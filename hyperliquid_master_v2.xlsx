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89F0F2-09CF-4CEC-8B3A-5E917629C75E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Assumptions" sheetId="1" r:id="rId1"/>
    <sheet name="Daily Master" sheetId="2" r:id="rId2"/>
    <sheet name="HIP-3 Model" sheetId="3" r:id="rId3"/>
    <sheet name="HIP-3 by Category" sheetId="4" r:id="rId4"/>
    <sheet name="Reconciliation" sheetId="5" r:id="rId5"/>
    <sheet name="Sources &amp; Methodology" sheetId="6" r:id="rId6"/>
  </sheets>
  <definedNames>
    <definedName name="AfShare">Assumptions!$B$18</definedName>
    <definedName name="AprCoef">Assumptions!$B$25</definedName>
    <definedName name="BaseMakerRate">Assumptions!$B$6</definedName>
    <definedName name="BaseTakerRate">Assumptions!$B$5</definedName>
    <definedName name="CoreBpsBlended">Assumptions!$B$7</definedName>
    <definedName name="GrowthModeDate">Assumptions!$B$21</definedName>
    <definedName name="GrowthModeFactor">Assumptions!$B$8</definedName>
    <definedName name="HIP3DeployerShare_50">Assumptions!$B$10</definedName>
    <definedName name="HIP3DeployerShare_Hyna">Assumptions!$B$12</definedName>
    <definedName name="Hip3LaunchDate">Assumptions!$B$20</definedName>
    <definedName name="HIP3TraderScale_50">Assumptions!$B$9</definedName>
    <definedName name="HIP3TraderScale_Hyna">Assumptions!$B$11</definedName>
    <definedName name="Hip4LaunchDate">Assumptions!$B$22</definedName>
    <definedName name="Hip4Rate">Assumptions!$B$23</definedName>
    <definedName name="HlpChangeDate">Assumptions!$B$16</definedName>
    <definedName name="HlpSharePost">Assumptions!$B$15</definedName>
    <definedName name="HlpSharePre">Assumptions!$B$14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5" l="1"/>
  <c r="B43" i="5"/>
  <c r="B42" i="5"/>
  <c r="B41" i="5"/>
  <c r="B35" i="5"/>
  <c r="B29" i="5"/>
  <c r="B24" i="5"/>
  <c r="B22" i="5"/>
  <c r="B17" i="5"/>
  <c r="B11" i="5"/>
  <c r="B7" i="5"/>
  <c r="B6" i="5"/>
  <c r="B5" i="5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P1101" i="2"/>
  <c r="AO1101" i="2"/>
  <c r="AL1101" i="2"/>
  <c r="AK1101" i="2"/>
  <c r="AI1101" i="2"/>
  <c r="AG1101" i="2"/>
  <c r="AF1101" i="2"/>
  <c r="AE1101" i="2"/>
  <c r="AM1101" i="2" s="1"/>
  <c r="X1101" i="2"/>
  <c r="AA1101" i="2" s="1"/>
  <c r="T1101" i="2"/>
  <c r="S1101" i="2"/>
  <c r="P1101" i="2"/>
  <c r="O1101" i="2"/>
  <c r="K1101" i="2"/>
  <c r="G1101" i="2"/>
  <c r="E1101" i="2"/>
  <c r="F1101" i="2" s="1"/>
  <c r="AP1100" i="2"/>
  <c r="AO1100" i="2"/>
  <c r="AM1100" i="2"/>
  <c r="AN1100" i="2" s="1"/>
  <c r="AK1100" i="2"/>
  <c r="AL1100" i="2" s="1"/>
  <c r="AI1100" i="2"/>
  <c r="AE1100" i="2"/>
  <c r="X1100" i="2"/>
  <c r="T1100" i="2"/>
  <c r="S1100" i="2"/>
  <c r="P1100" i="2"/>
  <c r="O1100" i="2"/>
  <c r="K1100" i="2"/>
  <c r="E1100" i="2"/>
  <c r="AP1099" i="2"/>
  <c r="AO1099" i="2"/>
  <c r="AN1099" i="2"/>
  <c r="AL1099" i="2"/>
  <c r="AK1099" i="2"/>
  <c r="AE1099" i="2"/>
  <c r="AM1099" i="2" s="1"/>
  <c r="X1099" i="2"/>
  <c r="AA1099" i="2" s="1"/>
  <c r="T1099" i="2"/>
  <c r="S1099" i="2"/>
  <c r="P1099" i="2"/>
  <c r="O1099" i="2"/>
  <c r="K1099" i="2"/>
  <c r="G1099" i="2"/>
  <c r="E1099" i="2"/>
  <c r="F1099" i="2" s="1"/>
  <c r="AP1098" i="2"/>
  <c r="AO1098" i="2"/>
  <c r="AM1098" i="2"/>
  <c r="AN1098" i="2" s="1"/>
  <c r="AK1098" i="2"/>
  <c r="AL1098" i="2" s="1"/>
  <c r="AG1098" i="2"/>
  <c r="AE1098" i="2"/>
  <c r="X1098" i="2"/>
  <c r="AA1098" i="2" s="1"/>
  <c r="T1098" i="2"/>
  <c r="U1098" i="2" s="1"/>
  <c r="W1098" i="2" s="1"/>
  <c r="S1098" i="2"/>
  <c r="AI1098" i="2" s="1"/>
  <c r="O1098" i="2"/>
  <c r="P1098" i="2" s="1"/>
  <c r="K1098" i="2"/>
  <c r="G1098" i="2"/>
  <c r="E1098" i="2"/>
  <c r="F1098" i="2" s="1"/>
  <c r="AP1097" i="2"/>
  <c r="AO1097" i="2"/>
  <c r="AL1097" i="2"/>
  <c r="AN1097" i="2" s="1"/>
  <c r="AK1097" i="2"/>
  <c r="AI1097" i="2"/>
  <c r="AG1097" i="2"/>
  <c r="AE1097" i="2"/>
  <c r="AM1097" i="2" s="1"/>
  <c r="X1097" i="2"/>
  <c r="T1097" i="2"/>
  <c r="U1097" i="2" s="1"/>
  <c r="W1097" i="2" s="1"/>
  <c r="S1097" i="2"/>
  <c r="O1097" i="2"/>
  <c r="P1097" i="2" s="1"/>
  <c r="K1097" i="2"/>
  <c r="G1097" i="2"/>
  <c r="E1097" i="2"/>
  <c r="F1097" i="2" s="1"/>
  <c r="AP1096" i="2"/>
  <c r="AO1096" i="2"/>
  <c r="AK1096" i="2"/>
  <c r="AL1096" i="2" s="1"/>
  <c r="AF1096" i="2"/>
  <c r="AE1096" i="2"/>
  <c r="AM1096" i="2" s="1"/>
  <c r="AN1096" i="2" s="1"/>
  <c r="AA1096" i="2"/>
  <c r="X1096" i="2"/>
  <c r="T1096" i="2"/>
  <c r="S1096" i="2"/>
  <c r="O1096" i="2"/>
  <c r="P1096" i="2" s="1"/>
  <c r="K1096" i="2"/>
  <c r="E1096" i="2"/>
  <c r="F1096" i="2" s="1"/>
  <c r="AP1095" i="2"/>
  <c r="AO1095" i="2"/>
  <c r="AL1095" i="2"/>
  <c r="AK1095" i="2"/>
  <c r="AG1095" i="2"/>
  <c r="AE1095" i="2"/>
  <c r="AM1095" i="2" s="1"/>
  <c r="X1095" i="2"/>
  <c r="T1095" i="2"/>
  <c r="S1095" i="2"/>
  <c r="O1095" i="2"/>
  <c r="P1095" i="2" s="1"/>
  <c r="K1095" i="2"/>
  <c r="G1095" i="2"/>
  <c r="E1095" i="2"/>
  <c r="F1095" i="2" s="1"/>
  <c r="AP1094" i="2"/>
  <c r="AO1094" i="2"/>
  <c r="AN1094" i="2"/>
  <c r="AK1094" i="2"/>
  <c r="AL1094" i="2" s="1"/>
  <c r="AG1094" i="2"/>
  <c r="AE1094" i="2"/>
  <c r="AM1094" i="2" s="1"/>
  <c r="AA1094" i="2"/>
  <c r="X1094" i="2"/>
  <c r="T1094" i="2"/>
  <c r="U1094" i="2" s="1"/>
  <c r="W1094" i="2" s="1"/>
  <c r="S1094" i="2"/>
  <c r="AI1094" i="2" s="1"/>
  <c r="O1094" i="2"/>
  <c r="P1094" i="2" s="1"/>
  <c r="K1094" i="2"/>
  <c r="AF1094" i="2" s="1"/>
  <c r="G1094" i="2"/>
  <c r="F1094" i="2"/>
  <c r="E1094" i="2"/>
  <c r="AP1093" i="2"/>
  <c r="AO1093" i="2"/>
  <c r="AK1093" i="2"/>
  <c r="AL1093" i="2" s="1"/>
  <c r="AN1093" i="2" s="1"/>
  <c r="AI1093" i="2"/>
  <c r="AE1093" i="2"/>
  <c r="AM1093" i="2" s="1"/>
  <c r="X1093" i="2"/>
  <c r="AA1093" i="2" s="1"/>
  <c r="T1093" i="2"/>
  <c r="S1093" i="2"/>
  <c r="P1093" i="2"/>
  <c r="O1093" i="2"/>
  <c r="K1093" i="2"/>
  <c r="E1093" i="2"/>
  <c r="F1093" i="2" s="1"/>
  <c r="AP1092" i="2"/>
  <c r="AO1092" i="2"/>
  <c r="AM1092" i="2"/>
  <c r="AK1092" i="2"/>
  <c r="AL1092" i="2" s="1"/>
  <c r="AN1092" i="2" s="1"/>
  <c r="AE1092" i="2"/>
  <c r="AA1092" i="2"/>
  <c r="X1092" i="2"/>
  <c r="T1092" i="2"/>
  <c r="S1092" i="2"/>
  <c r="O1092" i="2"/>
  <c r="P1092" i="2" s="1"/>
  <c r="K1092" i="2"/>
  <c r="E1092" i="2"/>
  <c r="AP1091" i="2"/>
  <c r="AO1091" i="2"/>
  <c r="AK1091" i="2"/>
  <c r="AL1091" i="2" s="1"/>
  <c r="AN1091" i="2" s="1"/>
  <c r="AE1091" i="2"/>
  <c r="AM1091" i="2" s="1"/>
  <c r="X1091" i="2"/>
  <c r="AA1091" i="2" s="1"/>
  <c r="T1091" i="2"/>
  <c r="S1091" i="2"/>
  <c r="O1091" i="2"/>
  <c r="P1091" i="2" s="1"/>
  <c r="K1091" i="2"/>
  <c r="E1091" i="2"/>
  <c r="AP1090" i="2"/>
  <c r="AO1090" i="2"/>
  <c r="AK1090" i="2"/>
  <c r="AL1090" i="2" s="1"/>
  <c r="AG1090" i="2"/>
  <c r="AE1090" i="2"/>
  <c r="AM1090" i="2" s="1"/>
  <c r="AN1090" i="2" s="1"/>
  <c r="X1090" i="2"/>
  <c r="AA1090" i="2" s="1"/>
  <c r="W1090" i="2"/>
  <c r="T1090" i="2"/>
  <c r="U1090" i="2" s="1"/>
  <c r="S1090" i="2"/>
  <c r="AI1090" i="2" s="1"/>
  <c r="O1090" i="2"/>
  <c r="P1090" i="2" s="1"/>
  <c r="K1090" i="2"/>
  <c r="AF1090" i="2" s="1"/>
  <c r="G1090" i="2"/>
  <c r="E1090" i="2"/>
  <c r="F1090" i="2" s="1"/>
  <c r="AP1089" i="2"/>
  <c r="AO1089" i="2"/>
  <c r="AL1089" i="2"/>
  <c r="AK1089" i="2"/>
  <c r="AI1089" i="2"/>
  <c r="AG1089" i="2"/>
  <c r="AF1089" i="2"/>
  <c r="AE1089" i="2"/>
  <c r="AM1089" i="2" s="1"/>
  <c r="X1089" i="2"/>
  <c r="AA1089" i="2" s="1"/>
  <c r="T1089" i="2"/>
  <c r="S1089" i="2"/>
  <c r="O1089" i="2"/>
  <c r="P1089" i="2" s="1"/>
  <c r="K1089" i="2"/>
  <c r="G1089" i="2"/>
  <c r="E1089" i="2"/>
  <c r="F1089" i="2" s="1"/>
  <c r="AP1088" i="2"/>
  <c r="AO1088" i="2"/>
  <c r="AM1088" i="2"/>
  <c r="AK1088" i="2"/>
  <c r="AL1088" i="2" s="1"/>
  <c r="AI1088" i="2"/>
  <c r="AF1088" i="2"/>
  <c r="AE1088" i="2"/>
  <c r="X1088" i="2"/>
  <c r="AA1088" i="2" s="1"/>
  <c r="T1088" i="2"/>
  <c r="S1088" i="2"/>
  <c r="O1088" i="2"/>
  <c r="P1088" i="2" s="1"/>
  <c r="K1088" i="2"/>
  <c r="E1088" i="2"/>
  <c r="F1088" i="2" s="1"/>
  <c r="AP1087" i="2"/>
  <c r="AO1087" i="2"/>
  <c r="AL1087" i="2"/>
  <c r="AN1087" i="2" s="1"/>
  <c r="AK1087" i="2"/>
  <c r="AE1087" i="2"/>
  <c r="AM1087" i="2" s="1"/>
  <c r="AA1087" i="2"/>
  <c r="X1087" i="2"/>
  <c r="U1087" i="2"/>
  <c r="W1087" i="2" s="1"/>
  <c r="T1087" i="2"/>
  <c r="S1087" i="2"/>
  <c r="P1087" i="2"/>
  <c r="O1087" i="2"/>
  <c r="K1087" i="2"/>
  <c r="G1087" i="2"/>
  <c r="E1087" i="2"/>
  <c r="F1087" i="2" s="1"/>
  <c r="AP1086" i="2"/>
  <c r="AO1086" i="2"/>
  <c r="AN1086" i="2"/>
  <c r="AM1086" i="2"/>
  <c r="AK1086" i="2"/>
  <c r="AL1086" i="2" s="1"/>
  <c r="AG1086" i="2"/>
  <c r="AE1086" i="2"/>
  <c r="AA1086" i="2"/>
  <c r="X1086" i="2"/>
  <c r="W1086" i="2"/>
  <c r="U1086" i="2"/>
  <c r="T1086" i="2"/>
  <c r="S1086" i="2"/>
  <c r="AI1086" i="2" s="1"/>
  <c r="O1086" i="2"/>
  <c r="P1086" i="2" s="1"/>
  <c r="K1086" i="2"/>
  <c r="G1086" i="2"/>
  <c r="F1086" i="2"/>
  <c r="E1086" i="2"/>
  <c r="AP1085" i="2"/>
  <c r="AO1085" i="2"/>
  <c r="AK1085" i="2"/>
  <c r="AL1085" i="2" s="1"/>
  <c r="AE1085" i="2"/>
  <c r="AM1085" i="2" s="1"/>
  <c r="X1085" i="2"/>
  <c r="T1085" i="2"/>
  <c r="S1085" i="2"/>
  <c r="O1085" i="2"/>
  <c r="P1085" i="2" s="1"/>
  <c r="K1085" i="2"/>
  <c r="E1085" i="2"/>
  <c r="AP1084" i="2"/>
  <c r="AO1084" i="2"/>
  <c r="AK1084" i="2"/>
  <c r="AL1084" i="2" s="1"/>
  <c r="AN1084" i="2" s="1"/>
  <c r="AE1084" i="2"/>
  <c r="AM1084" i="2" s="1"/>
  <c r="X1084" i="2"/>
  <c r="AA1084" i="2" s="1"/>
  <c r="T1084" i="2"/>
  <c r="S1084" i="2"/>
  <c r="O1084" i="2"/>
  <c r="P1084" i="2" s="1"/>
  <c r="K1084" i="2"/>
  <c r="AF1084" i="2" s="1"/>
  <c r="G1084" i="2"/>
  <c r="E1084" i="2"/>
  <c r="F1084" i="2" s="1"/>
  <c r="AP1083" i="2"/>
  <c r="AO1083" i="2"/>
  <c r="AK1083" i="2"/>
  <c r="AL1083" i="2" s="1"/>
  <c r="AN1083" i="2" s="1"/>
  <c r="AG1083" i="2"/>
  <c r="AE1083" i="2"/>
  <c r="AM1083" i="2" s="1"/>
  <c r="X1083" i="2"/>
  <c r="AA1083" i="2" s="1"/>
  <c r="T1083" i="2"/>
  <c r="S1083" i="2"/>
  <c r="P1083" i="2"/>
  <c r="O1083" i="2"/>
  <c r="K1083" i="2"/>
  <c r="E1083" i="2"/>
  <c r="AP1082" i="2"/>
  <c r="AO1082" i="2"/>
  <c r="AN1082" i="2"/>
  <c r="AM1082" i="2"/>
  <c r="AL1082" i="2"/>
  <c r="AK1082" i="2"/>
  <c r="AG1082" i="2"/>
  <c r="AE1082" i="2"/>
  <c r="X1082" i="2"/>
  <c r="AA1082" i="2" s="1"/>
  <c r="T1082" i="2"/>
  <c r="U1082" i="2" s="1"/>
  <c r="W1082" i="2" s="1"/>
  <c r="S1082" i="2"/>
  <c r="AI1082" i="2" s="1"/>
  <c r="O1082" i="2"/>
  <c r="P1082" i="2" s="1"/>
  <c r="K1082" i="2"/>
  <c r="AF1082" i="2" s="1"/>
  <c r="F1082" i="2"/>
  <c r="E1082" i="2"/>
  <c r="G1082" i="2" s="1"/>
  <c r="AP1081" i="2"/>
  <c r="AO1081" i="2"/>
  <c r="AK1081" i="2"/>
  <c r="AL1081" i="2" s="1"/>
  <c r="AN1081" i="2" s="1"/>
  <c r="AI1081" i="2"/>
  <c r="AG1081" i="2"/>
  <c r="AF1081" i="2"/>
  <c r="AE1081" i="2"/>
  <c r="AM1081" i="2" s="1"/>
  <c r="X1081" i="2"/>
  <c r="AA1081" i="2" s="1"/>
  <c r="U1081" i="2"/>
  <c r="W1081" i="2" s="1"/>
  <c r="T1081" i="2"/>
  <c r="S1081" i="2"/>
  <c r="P1081" i="2"/>
  <c r="O1081" i="2"/>
  <c r="K1081" i="2"/>
  <c r="G1081" i="2"/>
  <c r="E1081" i="2"/>
  <c r="F1081" i="2" s="1"/>
  <c r="AP1080" i="2"/>
  <c r="AO1080" i="2"/>
  <c r="AM1080" i="2"/>
  <c r="AK1080" i="2"/>
  <c r="AL1080" i="2" s="1"/>
  <c r="AI1080" i="2"/>
  <c r="AE1080" i="2"/>
  <c r="AA1080" i="2"/>
  <c r="X1080" i="2"/>
  <c r="T1080" i="2"/>
  <c r="S1080" i="2"/>
  <c r="AG1080" i="2" s="1"/>
  <c r="O1080" i="2"/>
  <c r="P1080" i="2" s="1"/>
  <c r="K1080" i="2"/>
  <c r="AF1080" i="2" s="1"/>
  <c r="G1080" i="2"/>
  <c r="E1080" i="2"/>
  <c r="F1080" i="2" s="1"/>
  <c r="AP1079" i="2"/>
  <c r="AO1079" i="2"/>
  <c r="AN1079" i="2"/>
  <c r="AK1079" i="2"/>
  <c r="AL1079" i="2" s="1"/>
  <c r="AE1079" i="2"/>
  <c r="AM1079" i="2" s="1"/>
  <c r="X1079" i="2"/>
  <c r="AA1079" i="2" s="1"/>
  <c r="T1079" i="2"/>
  <c r="S1079" i="2"/>
  <c r="O1079" i="2"/>
  <c r="P1079" i="2" s="1"/>
  <c r="K1079" i="2"/>
  <c r="E1079" i="2"/>
  <c r="F1079" i="2" s="1"/>
  <c r="AP1078" i="2"/>
  <c r="AO1078" i="2"/>
  <c r="AM1078" i="2"/>
  <c r="AL1078" i="2"/>
  <c r="AK1078" i="2"/>
  <c r="AG1078" i="2"/>
  <c r="AE1078" i="2"/>
  <c r="AA1078" i="2"/>
  <c r="X1078" i="2"/>
  <c r="U1078" i="2"/>
  <c r="W1078" i="2" s="1"/>
  <c r="T1078" i="2"/>
  <c r="S1078" i="2"/>
  <c r="AI1078" i="2" s="1"/>
  <c r="O1078" i="2"/>
  <c r="P1078" i="2" s="1"/>
  <c r="K1078" i="2"/>
  <c r="G1078" i="2"/>
  <c r="E1078" i="2"/>
  <c r="F1078" i="2" s="1"/>
  <c r="AP1077" i="2"/>
  <c r="AO1077" i="2"/>
  <c r="AL1077" i="2"/>
  <c r="AN1077" i="2" s="1"/>
  <c r="AK1077" i="2"/>
  <c r="AI1077" i="2"/>
  <c r="AG1077" i="2"/>
  <c r="AE1077" i="2"/>
  <c r="AM1077" i="2" s="1"/>
  <c r="X1077" i="2"/>
  <c r="T1077" i="2"/>
  <c r="U1077" i="2" s="1"/>
  <c r="W1077" i="2" s="1"/>
  <c r="S1077" i="2"/>
  <c r="O1077" i="2"/>
  <c r="P1077" i="2" s="1"/>
  <c r="K1077" i="2"/>
  <c r="G1077" i="2"/>
  <c r="E1077" i="2"/>
  <c r="F1077" i="2" s="1"/>
  <c r="AP1076" i="2"/>
  <c r="AO1076" i="2"/>
  <c r="AK1076" i="2"/>
  <c r="AL1076" i="2" s="1"/>
  <c r="AF1076" i="2"/>
  <c r="AE1076" i="2"/>
  <c r="AM1076" i="2" s="1"/>
  <c r="AA1076" i="2"/>
  <c r="X1076" i="2"/>
  <c r="T1076" i="2"/>
  <c r="S1076" i="2"/>
  <c r="O1076" i="2"/>
  <c r="P1076" i="2" s="1"/>
  <c r="K1076" i="2"/>
  <c r="G1076" i="2"/>
  <c r="E1076" i="2"/>
  <c r="F1076" i="2" s="1"/>
  <c r="AP1075" i="2"/>
  <c r="AO1075" i="2"/>
  <c r="AL1075" i="2"/>
  <c r="AK1075" i="2"/>
  <c r="AG1075" i="2"/>
  <c r="AE1075" i="2"/>
  <c r="AM1075" i="2" s="1"/>
  <c r="AA1075" i="2"/>
  <c r="X1075" i="2"/>
  <c r="T1075" i="2"/>
  <c r="S1075" i="2"/>
  <c r="AI1075" i="2" s="1"/>
  <c r="P1075" i="2"/>
  <c r="O1075" i="2"/>
  <c r="K1075" i="2"/>
  <c r="AF1075" i="2" s="1"/>
  <c r="G1075" i="2"/>
  <c r="E1075" i="2"/>
  <c r="F1075" i="2" s="1"/>
  <c r="AP1074" i="2"/>
  <c r="AO1074" i="2"/>
  <c r="AM1074" i="2"/>
  <c r="AL1074" i="2"/>
  <c r="AN1074" i="2" s="1"/>
  <c r="AK1074" i="2"/>
  <c r="AG1074" i="2"/>
  <c r="AE1074" i="2"/>
  <c r="X1074" i="2"/>
  <c r="AA1074" i="2" s="1"/>
  <c r="U1074" i="2"/>
  <c r="W1074" i="2" s="1"/>
  <c r="T1074" i="2"/>
  <c r="S1074" i="2"/>
  <c r="AI1074" i="2" s="1"/>
  <c r="O1074" i="2"/>
  <c r="P1074" i="2" s="1"/>
  <c r="K1074" i="2"/>
  <c r="F1074" i="2"/>
  <c r="E1074" i="2"/>
  <c r="G1074" i="2" s="1"/>
  <c r="AP1073" i="2"/>
  <c r="AO1073" i="2"/>
  <c r="AL1073" i="2"/>
  <c r="AN1073" i="2" s="1"/>
  <c r="AK1073" i="2"/>
  <c r="AE1073" i="2"/>
  <c r="AM1073" i="2" s="1"/>
  <c r="X1073" i="2"/>
  <c r="AA1073" i="2" s="1"/>
  <c r="T1073" i="2"/>
  <c r="S1073" i="2"/>
  <c r="O1073" i="2"/>
  <c r="P1073" i="2" s="1"/>
  <c r="K1073" i="2"/>
  <c r="E1073" i="2"/>
  <c r="AP1072" i="2"/>
  <c r="AO1072" i="2"/>
  <c r="AK1072" i="2"/>
  <c r="AL1072" i="2" s="1"/>
  <c r="AI1072" i="2"/>
  <c r="AE1072" i="2"/>
  <c r="AM1072" i="2" s="1"/>
  <c r="AN1072" i="2" s="1"/>
  <c r="X1072" i="2"/>
  <c r="AA1072" i="2" s="1"/>
  <c r="U1072" i="2"/>
  <c r="W1072" i="2" s="1"/>
  <c r="T1072" i="2"/>
  <c r="S1072" i="2"/>
  <c r="AG1072" i="2" s="1"/>
  <c r="O1072" i="2"/>
  <c r="P1072" i="2" s="1"/>
  <c r="K1072" i="2"/>
  <c r="AF1072" i="2" s="1"/>
  <c r="G1072" i="2"/>
  <c r="E1072" i="2"/>
  <c r="F1072" i="2" s="1"/>
  <c r="AP1071" i="2"/>
  <c r="AO1071" i="2"/>
  <c r="AK1071" i="2"/>
  <c r="AL1071" i="2" s="1"/>
  <c r="AE1071" i="2"/>
  <c r="AM1071" i="2" s="1"/>
  <c r="AA1071" i="2"/>
  <c r="X1071" i="2"/>
  <c r="AF1071" i="2" s="1"/>
  <c r="T1071" i="2"/>
  <c r="S1071" i="2"/>
  <c r="O1071" i="2"/>
  <c r="P1071" i="2" s="1"/>
  <c r="K1071" i="2"/>
  <c r="E1071" i="2"/>
  <c r="F1071" i="2" s="1"/>
  <c r="AP1070" i="2"/>
  <c r="AO1070" i="2"/>
  <c r="AL1070" i="2"/>
  <c r="AN1070" i="2" s="1"/>
  <c r="AK1070" i="2"/>
  <c r="AG1070" i="2"/>
  <c r="AE1070" i="2"/>
  <c r="AM1070" i="2" s="1"/>
  <c r="X1070" i="2"/>
  <c r="AA1070" i="2" s="1"/>
  <c r="T1070" i="2"/>
  <c r="U1070" i="2" s="1"/>
  <c r="W1070" i="2" s="1"/>
  <c r="S1070" i="2"/>
  <c r="AI1070" i="2" s="1"/>
  <c r="O1070" i="2"/>
  <c r="P1070" i="2" s="1"/>
  <c r="K1070" i="2"/>
  <c r="AF1070" i="2" s="1"/>
  <c r="E1070" i="2"/>
  <c r="AP1069" i="2"/>
  <c r="AO1069" i="2"/>
  <c r="AK1069" i="2"/>
  <c r="AL1069" i="2" s="1"/>
  <c r="AN1069" i="2" s="1"/>
  <c r="AE1069" i="2"/>
  <c r="AM1069" i="2" s="1"/>
  <c r="X1069" i="2"/>
  <c r="AA1069" i="2" s="1"/>
  <c r="U1069" i="2"/>
  <c r="W1069" i="2" s="1"/>
  <c r="T1069" i="2"/>
  <c r="S1069" i="2"/>
  <c r="P1069" i="2"/>
  <c r="O1069" i="2"/>
  <c r="K1069" i="2"/>
  <c r="G1069" i="2"/>
  <c r="E1069" i="2"/>
  <c r="F1069" i="2" s="1"/>
  <c r="AP1068" i="2"/>
  <c r="AO1068" i="2"/>
  <c r="AM1068" i="2"/>
  <c r="AN1068" i="2" s="1"/>
  <c r="AK1068" i="2"/>
  <c r="AL1068" i="2" s="1"/>
  <c r="AI1068" i="2"/>
  <c r="AE1068" i="2"/>
  <c r="AA1068" i="2"/>
  <c r="X1068" i="2"/>
  <c r="U1068" i="2"/>
  <c r="W1068" i="2" s="1"/>
  <c r="T1068" i="2"/>
  <c r="S1068" i="2"/>
  <c r="AG1068" i="2" s="1"/>
  <c r="O1068" i="2"/>
  <c r="P1068" i="2" s="1"/>
  <c r="K1068" i="2"/>
  <c r="AF1068" i="2" s="1"/>
  <c r="E1068" i="2"/>
  <c r="AP1067" i="2"/>
  <c r="AO1067" i="2"/>
  <c r="AN1067" i="2"/>
  <c r="AK1067" i="2"/>
  <c r="AL1067" i="2" s="1"/>
  <c r="AG1067" i="2"/>
  <c r="AE1067" i="2"/>
  <c r="AM1067" i="2" s="1"/>
  <c r="AA1067" i="2"/>
  <c r="X1067" i="2"/>
  <c r="U1067" i="2"/>
  <c r="W1067" i="2" s="1"/>
  <c r="T1067" i="2"/>
  <c r="S1067" i="2"/>
  <c r="AI1067" i="2" s="1"/>
  <c r="P1067" i="2"/>
  <c r="O1067" i="2"/>
  <c r="K1067" i="2"/>
  <c r="AF1067" i="2" s="1"/>
  <c r="G1067" i="2"/>
  <c r="E1067" i="2"/>
  <c r="F1067" i="2" s="1"/>
  <c r="AP1066" i="2"/>
  <c r="AO1066" i="2"/>
  <c r="AM1066" i="2"/>
  <c r="AK1066" i="2"/>
  <c r="AL1066" i="2" s="1"/>
  <c r="AG1066" i="2"/>
  <c r="AE1066" i="2"/>
  <c r="AA1066" i="2"/>
  <c r="X1066" i="2"/>
  <c r="U1066" i="2"/>
  <c r="W1066" i="2" s="1"/>
  <c r="T1066" i="2"/>
  <c r="S1066" i="2"/>
  <c r="AI1066" i="2" s="1"/>
  <c r="O1066" i="2"/>
  <c r="P1066" i="2" s="1"/>
  <c r="K1066" i="2"/>
  <c r="AF1066" i="2" s="1"/>
  <c r="G1066" i="2"/>
  <c r="E1066" i="2"/>
  <c r="F1066" i="2" s="1"/>
  <c r="AP1065" i="2"/>
  <c r="AO1065" i="2"/>
  <c r="AK1065" i="2"/>
  <c r="AL1065" i="2" s="1"/>
  <c r="AN1065" i="2" s="1"/>
  <c r="AE1065" i="2"/>
  <c r="AM1065" i="2" s="1"/>
  <c r="X1065" i="2"/>
  <c r="AA1065" i="2" s="1"/>
  <c r="T1065" i="2"/>
  <c r="S1065" i="2"/>
  <c r="P1065" i="2"/>
  <c r="O1065" i="2"/>
  <c r="K1065" i="2"/>
  <c r="E1065" i="2"/>
  <c r="AP1064" i="2"/>
  <c r="AO1064" i="2"/>
  <c r="AM1064" i="2"/>
  <c r="AK1064" i="2"/>
  <c r="AL1064" i="2" s="1"/>
  <c r="AN1064" i="2" s="1"/>
  <c r="AG1064" i="2"/>
  <c r="AF1064" i="2"/>
  <c r="AE1064" i="2"/>
  <c r="X1064" i="2"/>
  <c r="AA1064" i="2" s="1"/>
  <c r="T1064" i="2"/>
  <c r="U1064" i="2" s="1"/>
  <c r="W1064" i="2" s="1"/>
  <c r="S1064" i="2"/>
  <c r="AI1064" i="2" s="1"/>
  <c r="O1064" i="2"/>
  <c r="P1064" i="2" s="1"/>
  <c r="K1064" i="2"/>
  <c r="G1064" i="2"/>
  <c r="E1064" i="2"/>
  <c r="F1064" i="2" s="1"/>
  <c r="AP1063" i="2"/>
  <c r="AO1063" i="2"/>
  <c r="AL1063" i="2"/>
  <c r="AK1063" i="2"/>
  <c r="AG1063" i="2"/>
  <c r="AE1063" i="2"/>
  <c r="AM1063" i="2" s="1"/>
  <c r="AA1063" i="2"/>
  <c r="X1063" i="2"/>
  <c r="T1063" i="2"/>
  <c r="S1063" i="2"/>
  <c r="O1063" i="2"/>
  <c r="P1063" i="2" s="1"/>
  <c r="K1063" i="2"/>
  <c r="AF1063" i="2" s="1"/>
  <c r="E1063" i="2"/>
  <c r="AP1062" i="2"/>
  <c r="AO1062" i="2"/>
  <c r="AM1062" i="2"/>
  <c r="AL1062" i="2"/>
  <c r="AN1062" i="2" s="1"/>
  <c r="AK1062" i="2"/>
  <c r="AG1062" i="2"/>
  <c r="AE1062" i="2"/>
  <c r="AA1062" i="2"/>
  <c r="X1062" i="2"/>
  <c r="U1062" i="2"/>
  <c r="W1062" i="2" s="1"/>
  <c r="T1062" i="2"/>
  <c r="S1062" i="2"/>
  <c r="AI1062" i="2" s="1"/>
  <c r="O1062" i="2"/>
  <c r="P1062" i="2" s="1"/>
  <c r="K1062" i="2"/>
  <c r="E1062" i="2"/>
  <c r="AP1061" i="2"/>
  <c r="AO1061" i="2"/>
  <c r="AL1061" i="2"/>
  <c r="AK1061" i="2"/>
  <c r="AE1061" i="2"/>
  <c r="AM1061" i="2" s="1"/>
  <c r="X1061" i="2"/>
  <c r="AA1061" i="2" s="1"/>
  <c r="U1061" i="2"/>
  <c r="W1061" i="2" s="1"/>
  <c r="T1061" i="2"/>
  <c r="S1061" i="2"/>
  <c r="O1061" i="2"/>
  <c r="P1061" i="2" s="1"/>
  <c r="K1061" i="2"/>
  <c r="E1061" i="2"/>
  <c r="AP1060" i="2"/>
  <c r="AO1060" i="2"/>
  <c r="AM1060" i="2"/>
  <c r="AN1060" i="2" s="1"/>
  <c r="AK1060" i="2"/>
  <c r="AL1060" i="2" s="1"/>
  <c r="AG1060" i="2"/>
  <c r="AE1060" i="2"/>
  <c r="X1060" i="2"/>
  <c r="AF1060" i="2" s="1"/>
  <c r="T1060" i="2"/>
  <c r="U1060" i="2" s="1"/>
  <c r="W1060" i="2" s="1"/>
  <c r="S1060" i="2"/>
  <c r="AI1060" i="2" s="1"/>
  <c r="O1060" i="2"/>
  <c r="P1060" i="2" s="1"/>
  <c r="K1060" i="2"/>
  <c r="E1060" i="2"/>
  <c r="AP1059" i="2"/>
  <c r="AO1059" i="2"/>
  <c r="AM1059" i="2"/>
  <c r="AK1059" i="2"/>
  <c r="AL1059" i="2" s="1"/>
  <c r="AN1059" i="2" s="1"/>
  <c r="AG1059" i="2"/>
  <c r="AE1059" i="2"/>
  <c r="X1059" i="2"/>
  <c r="U1059" i="2"/>
  <c r="W1059" i="2" s="1"/>
  <c r="T1059" i="2"/>
  <c r="S1059" i="2"/>
  <c r="AI1059" i="2" s="1"/>
  <c r="P1059" i="2"/>
  <c r="O1059" i="2"/>
  <c r="K1059" i="2"/>
  <c r="G1059" i="2"/>
  <c r="E1059" i="2"/>
  <c r="F1059" i="2" s="1"/>
  <c r="AP1058" i="2"/>
  <c r="AO1058" i="2"/>
  <c r="AK1058" i="2"/>
  <c r="AL1058" i="2" s="1"/>
  <c r="AG1058" i="2"/>
  <c r="AE1058" i="2"/>
  <c r="AM1058" i="2" s="1"/>
  <c r="AN1058" i="2" s="1"/>
  <c r="AA1058" i="2"/>
  <c r="X1058" i="2"/>
  <c r="U1058" i="2"/>
  <c r="W1058" i="2" s="1"/>
  <c r="T1058" i="2"/>
  <c r="S1058" i="2"/>
  <c r="AI1058" i="2" s="1"/>
  <c r="O1058" i="2"/>
  <c r="P1058" i="2" s="1"/>
  <c r="K1058" i="2"/>
  <c r="AF1058" i="2" s="1"/>
  <c r="E1058" i="2"/>
  <c r="AP1057" i="2"/>
  <c r="AO1057" i="2"/>
  <c r="AL1057" i="2"/>
  <c r="AN1057" i="2" s="1"/>
  <c r="AK1057" i="2"/>
  <c r="AE1057" i="2"/>
  <c r="AM1057" i="2" s="1"/>
  <c r="AA1057" i="2"/>
  <c r="X1057" i="2"/>
  <c r="T1057" i="2"/>
  <c r="S1057" i="2"/>
  <c r="O1057" i="2"/>
  <c r="P1057" i="2" s="1"/>
  <c r="K1057" i="2"/>
  <c r="G1057" i="2"/>
  <c r="F1057" i="2"/>
  <c r="E1057" i="2"/>
  <c r="AP1056" i="2"/>
  <c r="AO1056" i="2"/>
  <c r="AK1056" i="2"/>
  <c r="AL1056" i="2" s="1"/>
  <c r="AI1056" i="2"/>
  <c r="AE1056" i="2"/>
  <c r="AM1056" i="2" s="1"/>
  <c r="X1056" i="2"/>
  <c r="AA1056" i="2" s="1"/>
  <c r="W1056" i="2"/>
  <c r="T1056" i="2"/>
  <c r="U1056" i="2" s="1"/>
  <c r="S1056" i="2"/>
  <c r="AG1056" i="2" s="1"/>
  <c r="O1056" i="2"/>
  <c r="P1056" i="2" s="1"/>
  <c r="K1056" i="2"/>
  <c r="E1056" i="2"/>
  <c r="AP1055" i="2"/>
  <c r="AO1055" i="2"/>
  <c r="AM1055" i="2"/>
  <c r="AK1055" i="2"/>
  <c r="AL1055" i="2" s="1"/>
  <c r="AI1055" i="2"/>
  <c r="AG1055" i="2"/>
  <c r="AF1055" i="2"/>
  <c r="AE1055" i="2"/>
  <c r="X1055" i="2"/>
  <c r="AA1055" i="2" s="1"/>
  <c r="U1055" i="2"/>
  <c r="W1055" i="2" s="1"/>
  <c r="T1055" i="2"/>
  <c r="S1055" i="2"/>
  <c r="P1055" i="2"/>
  <c r="O1055" i="2"/>
  <c r="K1055" i="2"/>
  <c r="G1055" i="2"/>
  <c r="E1055" i="2"/>
  <c r="F1055" i="2" s="1"/>
  <c r="AP1054" i="2"/>
  <c r="AO1054" i="2"/>
  <c r="AK1054" i="2"/>
  <c r="AL1054" i="2" s="1"/>
  <c r="AE1054" i="2"/>
  <c r="AM1054" i="2" s="1"/>
  <c r="AA1054" i="2"/>
  <c r="X1054" i="2"/>
  <c r="U1054" i="2"/>
  <c r="W1054" i="2" s="1"/>
  <c r="T1054" i="2"/>
  <c r="S1054" i="2"/>
  <c r="AI1054" i="2" s="1"/>
  <c r="O1054" i="2"/>
  <c r="P1054" i="2" s="1"/>
  <c r="K1054" i="2"/>
  <c r="AF1054" i="2" s="1"/>
  <c r="E1054" i="2"/>
  <c r="AP1053" i="2"/>
  <c r="AO1053" i="2"/>
  <c r="AL1053" i="2"/>
  <c r="AN1053" i="2" s="1"/>
  <c r="AK1053" i="2"/>
  <c r="AG1053" i="2"/>
  <c r="AE1053" i="2"/>
  <c r="AM1053" i="2" s="1"/>
  <c r="X1053" i="2"/>
  <c r="AA1053" i="2" s="1"/>
  <c r="T1053" i="2"/>
  <c r="S1053" i="2"/>
  <c r="P1053" i="2"/>
  <c r="O1053" i="2"/>
  <c r="K1053" i="2"/>
  <c r="G1053" i="2"/>
  <c r="F1053" i="2"/>
  <c r="E1053" i="2"/>
  <c r="AP1052" i="2"/>
  <c r="AO1052" i="2"/>
  <c r="AL1052" i="2"/>
  <c r="AN1052" i="2" s="1"/>
  <c r="AK1052" i="2"/>
  <c r="AI1052" i="2"/>
  <c r="AE1052" i="2"/>
  <c r="AM1052" i="2" s="1"/>
  <c r="X1052" i="2"/>
  <c r="AA1052" i="2" s="1"/>
  <c r="T1052" i="2"/>
  <c r="U1052" i="2" s="1"/>
  <c r="W1052" i="2" s="1"/>
  <c r="S1052" i="2"/>
  <c r="AG1052" i="2" s="1"/>
  <c r="O1052" i="2"/>
  <c r="P1052" i="2" s="1"/>
  <c r="K1052" i="2"/>
  <c r="AF1052" i="2" s="1"/>
  <c r="G1052" i="2"/>
  <c r="E1052" i="2"/>
  <c r="F1052" i="2" s="1"/>
  <c r="AP1051" i="2"/>
  <c r="AO1051" i="2"/>
  <c r="AM1051" i="2"/>
  <c r="AK1051" i="2"/>
  <c r="AL1051" i="2" s="1"/>
  <c r="AN1051" i="2" s="1"/>
  <c r="AI1051" i="2"/>
  <c r="AE1051" i="2"/>
  <c r="X1051" i="2"/>
  <c r="AA1051" i="2" s="1"/>
  <c r="T1051" i="2"/>
  <c r="S1051" i="2"/>
  <c r="P1051" i="2"/>
  <c r="O1051" i="2"/>
  <c r="K1051" i="2"/>
  <c r="E1051" i="2"/>
  <c r="AP1050" i="2"/>
  <c r="AO1050" i="2"/>
  <c r="AK1050" i="2"/>
  <c r="AL1050" i="2" s="1"/>
  <c r="AN1050" i="2" s="1"/>
  <c r="AG1050" i="2"/>
  <c r="AE1050" i="2"/>
  <c r="AM1050" i="2" s="1"/>
  <c r="AA1050" i="2"/>
  <c r="X1050" i="2"/>
  <c r="U1050" i="2"/>
  <c r="W1050" i="2" s="1"/>
  <c r="T1050" i="2"/>
  <c r="S1050" i="2"/>
  <c r="AI1050" i="2" s="1"/>
  <c r="O1050" i="2"/>
  <c r="P1050" i="2" s="1"/>
  <c r="K1050" i="2"/>
  <c r="AF1050" i="2" s="1"/>
  <c r="E1050" i="2"/>
  <c r="AP1049" i="2"/>
  <c r="AO1049" i="2"/>
  <c r="AL1049" i="2"/>
  <c r="AN1049" i="2" s="1"/>
  <c r="AK1049" i="2"/>
  <c r="AG1049" i="2"/>
  <c r="AE1049" i="2"/>
  <c r="AM1049" i="2" s="1"/>
  <c r="AA1049" i="2"/>
  <c r="X1049" i="2"/>
  <c r="T1049" i="2"/>
  <c r="S1049" i="2"/>
  <c r="O1049" i="2"/>
  <c r="P1049" i="2" s="1"/>
  <c r="K1049" i="2"/>
  <c r="AF1049" i="2" s="1"/>
  <c r="G1049" i="2"/>
  <c r="F1049" i="2"/>
  <c r="E1049" i="2"/>
  <c r="AP1048" i="2"/>
  <c r="AO1048" i="2"/>
  <c r="AM1048" i="2"/>
  <c r="AK1048" i="2"/>
  <c r="AL1048" i="2" s="1"/>
  <c r="AN1048" i="2" s="1"/>
  <c r="AI1048" i="2"/>
  <c r="AE1048" i="2"/>
  <c r="X1048" i="2"/>
  <c r="AA1048" i="2" s="1"/>
  <c r="T1048" i="2"/>
  <c r="U1048" i="2" s="1"/>
  <c r="W1048" i="2" s="1"/>
  <c r="S1048" i="2"/>
  <c r="AG1048" i="2" s="1"/>
  <c r="O1048" i="2"/>
  <c r="P1048" i="2" s="1"/>
  <c r="K1048" i="2"/>
  <c r="E1048" i="2"/>
  <c r="G1048" i="2" s="1"/>
  <c r="AP1047" i="2"/>
  <c r="AO1047" i="2"/>
  <c r="AM1047" i="2"/>
  <c r="AL1047" i="2"/>
  <c r="AN1047" i="2" s="1"/>
  <c r="AK1047" i="2"/>
  <c r="AG1047" i="2"/>
  <c r="AE1047" i="2"/>
  <c r="X1047" i="2"/>
  <c r="W1047" i="2"/>
  <c r="U1047" i="2"/>
  <c r="T1047" i="2"/>
  <c r="S1047" i="2"/>
  <c r="AI1047" i="2" s="1"/>
  <c r="P1047" i="2"/>
  <c r="O1047" i="2"/>
  <c r="K1047" i="2"/>
  <c r="G1047" i="2"/>
  <c r="F1047" i="2"/>
  <c r="E1047" i="2"/>
  <c r="AP1046" i="2"/>
  <c r="AO1046" i="2"/>
  <c r="AK1046" i="2"/>
  <c r="AL1046" i="2" s="1"/>
  <c r="AN1046" i="2" s="1"/>
  <c r="AE1046" i="2"/>
  <c r="AM1046" i="2" s="1"/>
  <c r="AA1046" i="2"/>
  <c r="X1046" i="2"/>
  <c r="T1046" i="2"/>
  <c r="S1046" i="2"/>
  <c r="P1046" i="2"/>
  <c r="O1046" i="2"/>
  <c r="K1046" i="2"/>
  <c r="E1046" i="2"/>
  <c r="AP1045" i="2"/>
  <c r="AO1045" i="2"/>
  <c r="AM1045" i="2"/>
  <c r="AL1045" i="2"/>
  <c r="AK1045" i="2"/>
  <c r="AG1045" i="2"/>
  <c r="AE1045" i="2"/>
  <c r="X1045" i="2"/>
  <c r="AA1045" i="2" s="1"/>
  <c r="T1045" i="2"/>
  <c r="S1045" i="2"/>
  <c r="P1045" i="2"/>
  <c r="O1045" i="2"/>
  <c r="K1045" i="2"/>
  <c r="AF1045" i="2" s="1"/>
  <c r="G1045" i="2"/>
  <c r="F1045" i="2"/>
  <c r="E1045" i="2"/>
  <c r="AP1044" i="2"/>
  <c r="AO1044" i="2"/>
  <c r="AN1044" i="2"/>
  <c r="AK1044" i="2"/>
  <c r="AL1044" i="2" s="1"/>
  <c r="AI1044" i="2"/>
  <c r="AE1044" i="2"/>
  <c r="AM1044" i="2" s="1"/>
  <c r="X1044" i="2"/>
  <c r="AA1044" i="2" s="1"/>
  <c r="W1044" i="2"/>
  <c r="T1044" i="2"/>
  <c r="U1044" i="2" s="1"/>
  <c r="S1044" i="2"/>
  <c r="AG1044" i="2" s="1"/>
  <c r="O1044" i="2"/>
  <c r="P1044" i="2" s="1"/>
  <c r="K1044" i="2"/>
  <c r="E1044" i="2"/>
  <c r="AP1043" i="2"/>
  <c r="AO1043" i="2"/>
  <c r="AM1043" i="2"/>
  <c r="AL1043" i="2"/>
  <c r="AK1043" i="2"/>
  <c r="AF1043" i="2"/>
  <c r="AE1043" i="2"/>
  <c r="X1043" i="2"/>
  <c r="AA1043" i="2" s="1"/>
  <c r="W1043" i="2"/>
  <c r="U1043" i="2"/>
  <c r="T1043" i="2"/>
  <c r="S1043" i="2"/>
  <c r="AI1043" i="2" s="1"/>
  <c r="P1043" i="2"/>
  <c r="O1043" i="2"/>
  <c r="K1043" i="2"/>
  <c r="G1043" i="2"/>
  <c r="F1043" i="2"/>
  <c r="E1043" i="2"/>
  <c r="AP1042" i="2"/>
  <c r="AO1042" i="2"/>
  <c r="AL1042" i="2"/>
  <c r="AN1042" i="2" s="1"/>
  <c r="AK1042" i="2"/>
  <c r="AE1042" i="2"/>
  <c r="AM1042" i="2" s="1"/>
  <c r="AA1042" i="2"/>
  <c r="X1042" i="2"/>
  <c r="T1042" i="2"/>
  <c r="S1042" i="2"/>
  <c r="O1042" i="2"/>
  <c r="P1042" i="2" s="1"/>
  <c r="K1042" i="2"/>
  <c r="F1042" i="2"/>
  <c r="E1042" i="2"/>
  <c r="G1042" i="2" s="1"/>
  <c r="AP1041" i="2"/>
  <c r="AO1041" i="2"/>
  <c r="AN1041" i="2"/>
  <c r="AL1041" i="2"/>
  <c r="AK1041" i="2"/>
  <c r="AI1041" i="2"/>
  <c r="AG1041" i="2"/>
  <c r="AE1041" i="2"/>
  <c r="AM1041" i="2" s="1"/>
  <c r="X1041" i="2"/>
  <c r="AA1041" i="2" s="1"/>
  <c r="T1041" i="2"/>
  <c r="S1041" i="2"/>
  <c r="P1041" i="2"/>
  <c r="O1041" i="2"/>
  <c r="K1041" i="2"/>
  <c r="G1041" i="2"/>
  <c r="F1041" i="2"/>
  <c r="E1041" i="2"/>
  <c r="AP1040" i="2"/>
  <c r="AO1040" i="2"/>
  <c r="AK1040" i="2"/>
  <c r="AL1040" i="2" s="1"/>
  <c r="AI1040" i="2"/>
  <c r="AE1040" i="2"/>
  <c r="AM1040" i="2" s="1"/>
  <c r="AA1040" i="2"/>
  <c r="X1040" i="2"/>
  <c r="U1040" i="2"/>
  <c r="W1040" i="2" s="1"/>
  <c r="T1040" i="2"/>
  <c r="S1040" i="2"/>
  <c r="AG1040" i="2" s="1"/>
  <c r="O1040" i="2"/>
  <c r="P1040" i="2" s="1"/>
  <c r="K1040" i="2"/>
  <c r="AF1040" i="2" s="1"/>
  <c r="G1040" i="2"/>
  <c r="E1040" i="2"/>
  <c r="F1040" i="2" s="1"/>
  <c r="AP1039" i="2"/>
  <c r="AO1039" i="2"/>
  <c r="AM1039" i="2"/>
  <c r="AK1039" i="2"/>
  <c r="AL1039" i="2" s="1"/>
  <c r="AN1039" i="2" s="1"/>
  <c r="AG1039" i="2"/>
  <c r="AE1039" i="2"/>
  <c r="X1039" i="2"/>
  <c r="AA1039" i="2" s="1"/>
  <c r="T1039" i="2"/>
  <c r="S1039" i="2"/>
  <c r="P1039" i="2"/>
  <c r="O1039" i="2"/>
  <c r="K1039" i="2"/>
  <c r="AF1039" i="2" s="1"/>
  <c r="G1039" i="2"/>
  <c r="F1039" i="2"/>
  <c r="E1039" i="2"/>
  <c r="AP1038" i="2"/>
  <c r="AO1038" i="2"/>
  <c r="AL1038" i="2"/>
  <c r="AN1038" i="2" s="1"/>
  <c r="AK1038" i="2"/>
  <c r="AI1038" i="2"/>
  <c r="AG1038" i="2"/>
  <c r="AE1038" i="2"/>
  <c r="AM1038" i="2" s="1"/>
  <c r="AA1038" i="2"/>
  <c r="X1038" i="2"/>
  <c r="T1038" i="2"/>
  <c r="S1038" i="2"/>
  <c r="P1038" i="2"/>
  <c r="O1038" i="2"/>
  <c r="K1038" i="2"/>
  <c r="AF1038" i="2" s="1"/>
  <c r="E1038" i="2"/>
  <c r="G1038" i="2" s="1"/>
  <c r="AP1037" i="2"/>
  <c r="AO1037" i="2"/>
  <c r="AN1037" i="2"/>
  <c r="AM1037" i="2"/>
  <c r="AL1037" i="2"/>
  <c r="AK1037" i="2"/>
  <c r="AE1037" i="2"/>
  <c r="AA1037" i="2"/>
  <c r="X1037" i="2"/>
  <c r="T1037" i="2"/>
  <c r="S1037" i="2"/>
  <c r="O1037" i="2"/>
  <c r="P1037" i="2" s="1"/>
  <c r="K1037" i="2"/>
  <c r="AF1037" i="2" s="1"/>
  <c r="G1037" i="2"/>
  <c r="F1037" i="2"/>
  <c r="E1037" i="2"/>
  <c r="AP1036" i="2"/>
  <c r="AO1036" i="2"/>
  <c r="AK1036" i="2"/>
  <c r="AL1036" i="2" s="1"/>
  <c r="AI1036" i="2"/>
  <c r="AE1036" i="2"/>
  <c r="AM1036" i="2" s="1"/>
  <c r="AA1036" i="2"/>
  <c r="X1036" i="2"/>
  <c r="T1036" i="2"/>
  <c r="U1036" i="2" s="1"/>
  <c r="W1036" i="2" s="1"/>
  <c r="S1036" i="2"/>
  <c r="AG1036" i="2" s="1"/>
  <c r="O1036" i="2"/>
  <c r="P1036" i="2" s="1"/>
  <c r="K1036" i="2"/>
  <c r="AF1036" i="2" s="1"/>
  <c r="G1036" i="2"/>
  <c r="F1036" i="2"/>
  <c r="E1036" i="2"/>
  <c r="AP1035" i="2"/>
  <c r="AO1035" i="2"/>
  <c r="AM1035" i="2"/>
  <c r="AK1035" i="2"/>
  <c r="AL1035" i="2" s="1"/>
  <c r="AN1035" i="2" s="1"/>
  <c r="AG1035" i="2"/>
  <c r="AE1035" i="2"/>
  <c r="X1035" i="2"/>
  <c r="AA1035" i="2" s="1"/>
  <c r="T1035" i="2"/>
  <c r="S1035" i="2"/>
  <c r="P1035" i="2"/>
  <c r="O1035" i="2"/>
  <c r="K1035" i="2"/>
  <c r="F1035" i="2"/>
  <c r="E1035" i="2"/>
  <c r="G1035" i="2" s="1"/>
  <c r="AP1034" i="2"/>
  <c r="AO1034" i="2"/>
  <c r="AN1034" i="2"/>
  <c r="AL1034" i="2"/>
  <c r="AK1034" i="2"/>
  <c r="AG1034" i="2"/>
  <c r="AE1034" i="2"/>
  <c r="AM1034" i="2" s="1"/>
  <c r="AA1034" i="2"/>
  <c r="X1034" i="2"/>
  <c r="T1034" i="2"/>
  <c r="S1034" i="2"/>
  <c r="O1034" i="2"/>
  <c r="P1034" i="2" s="1"/>
  <c r="K1034" i="2"/>
  <c r="AF1034" i="2" s="1"/>
  <c r="F1034" i="2"/>
  <c r="E1034" i="2"/>
  <c r="G1034" i="2" s="1"/>
  <c r="AP1033" i="2"/>
  <c r="AO1033" i="2"/>
  <c r="AM1033" i="2"/>
  <c r="AL1033" i="2"/>
  <c r="AK1033" i="2"/>
  <c r="AE1033" i="2"/>
  <c r="AA1033" i="2"/>
  <c r="X1033" i="2"/>
  <c r="T1033" i="2"/>
  <c r="S1033" i="2"/>
  <c r="P1033" i="2"/>
  <c r="O1033" i="2"/>
  <c r="K1033" i="2"/>
  <c r="G1033" i="2"/>
  <c r="F1033" i="2"/>
  <c r="E1033" i="2"/>
  <c r="AP1032" i="2"/>
  <c r="AO1032" i="2"/>
  <c r="AL1032" i="2"/>
  <c r="AK1032" i="2"/>
  <c r="AI1032" i="2"/>
  <c r="AE1032" i="2"/>
  <c r="AM1032" i="2" s="1"/>
  <c r="AN1032" i="2" s="1"/>
  <c r="AA1032" i="2"/>
  <c r="X1032" i="2"/>
  <c r="U1032" i="2"/>
  <c r="W1032" i="2" s="1"/>
  <c r="T1032" i="2"/>
  <c r="S1032" i="2"/>
  <c r="AG1032" i="2" s="1"/>
  <c r="P1032" i="2"/>
  <c r="O1032" i="2"/>
  <c r="K1032" i="2"/>
  <c r="G1032" i="2"/>
  <c r="E1032" i="2"/>
  <c r="F1032" i="2" s="1"/>
  <c r="AP1031" i="2"/>
  <c r="AO1031" i="2"/>
  <c r="AM1031" i="2"/>
  <c r="AK1031" i="2"/>
  <c r="AL1031" i="2" s="1"/>
  <c r="AN1031" i="2" s="1"/>
  <c r="AG1031" i="2"/>
  <c r="AE1031" i="2"/>
  <c r="AA1031" i="2"/>
  <c r="X1031" i="2"/>
  <c r="T1031" i="2"/>
  <c r="S1031" i="2"/>
  <c r="P1031" i="2"/>
  <c r="O1031" i="2"/>
  <c r="K1031" i="2"/>
  <c r="AF1031" i="2" s="1"/>
  <c r="F1031" i="2"/>
  <c r="E1031" i="2"/>
  <c r="G1031" i="2" s="1"/>
  <c r="AP1030" i="2"/>
  <c r="AO1030" i="2"/>
  <c r="AK1030" i="2"/>
  <c r="AL1030" i="2" s="1"/>
  <c r="AN1030" i="2" s="1"/>
  <c r="AE1030" i="2"/>
  <c r="AM1030" i="2" s="1"/>
  <c r="AA1030" i="2"/>
  <c r="X1030" i="2"/>
  <c r="W1030" i="2"/>
  <c r="U1030" i="2"/>
  <c r="T1030" i="2"/>
  <c r="S1030" i="2"/>
  <c r="AI1030" i="2" s="1"/>
  <c r="P1030" i="2"/>
  <c r="O1030" i="2"/>
  <c r="K1030" i="2"/>
  <c r="AF1030" i="2" s="1"/>
  <c r="E1030" i="2"/>
  <c r="AP1029" i="2"/>
  <c r="AO1029" i="2"/>
  <c r="AN1029" i="2"/>
  <c r="AM1029" i="2"/>
  <c r="AL1029" i="2"/>
  <c r="AK1029" i="2"/>
  <c r="AI1029" i="2"/>
  <c r="AG1029" i="2"/>
  <c r="AE1029" i="2"/>
  <c r="AA1029" i="2"/>
  <c r="X1029" i="2"/>
  <c r="T1029" i="2"/>
  <c r="S1029" i="2"/>
  <c r="U1029" i="2" s="1"/>
  <c r="W1029" i="2" s="1"/>
  <c r="O1029" i="2"/>
  <c r="P1029" i="2" s="1"/>
  <c r="K1029" i="2"/>
  <c r="AF1029" i="2" s="1"/>
  <c r="G1029" i="2"/>
  <c r="F1029" i="2"/>
  <c r="E1029" i="2"/>
  <c r="AP1028" i="2"/>
  <c r="AO1028" i="2"/>
  <c r="AM1028" i="2"/>
  <c r="AN1028" i="2" s="1"/>
  <c r="AL1028" i="2"/>
  <c r="AK1028" i="2"/>
  <c r="AI1028" i="2"/>
  <c r="AE1028" i="2"/>
  <c r="X1028" i="2"/>
  <c r="AA1028" i="2" s="1"/>
  <c r="U1028" i="2"/>
  <c r="W1028" i="2" s="1"/>
  <c r="T1028" i="2"/>
  <c r="S1028" i="2"/>
  <c r="AG1028" i="2" s="1"/>
  <c r="O1028" i="2"/>
  <c r="P1028" i="2" s="1"/>
  <c r="K1028" i="2"/>
  <c r="G1028" i="2"/>
  <c r="F1028" i="2"/>
  <c r="E1028" i="2"/>
  <c r="AP1027" i="2"/>
  <c r="AO1027" i="2"/>
  <c r="AM1027" i="2"/>
  <c r="AL1027" i="2"/>
  <c r="AN1027" i="2" s="1"/>
  <c r="AK1027" i="2"/>
  <c r="AI1027" i="2"/>
  <c r="AG1027" i="2"/>
  <c r="AF1027" i="2"/>
  <c r="AE1027" i="2"/>
  <c r="X1027" i="2"/>
  <c r="AA1027" i="2" s="1"/>
  <c r="T1027" i="2"/>
  <c r="S1027" i="2"/>
  <c r="U1027" i="2" s="1"/>
  <c r="W1027" i="2" s="1"/>
  <c r="P1027" i="2"/>
  <c r="O1027" i="2"/>
  <c r="K1027" i="2"/>
  <c r="G1027" i="2"/>
  <c r="E1027" i="2"/>
  <c r="F1027" i="2" s="1"/>
  <c r="AP1026" i="2"/>
  <c r="AO1026" i="2"/>
  <c r="AL1026" i="2"/>
  <c r="AN1026" i="2" s="1"/>
  <c r="AK1026" i="2"/>
  <c r="AE1026" i="2"/>
  <c r="AM1026" i="2" s="1"/>
  <c r="AA1026" i="2"/>
  <c r="X1026" i="2"/>
  <c r="T1026" i="2"/>
  <c r="S1026" i="2"/>
  <c r="O1026" i="2"/>
  <c r="P1026" i="2" s="1"/>
  <c r="K1026" i="2"/>
  <c r="E1026" i="2"/>
  <c r="G1026" i="2" s="1"/>
  <c r="AP1025" i="2"/>
  <c r="AO1025" i="2"/>
  <c r="AL1025" i="2"/>
  <c r="AK1025" i="2"/>
  <c r="AI1025" i="2"/>
  <c r="AG1025" i="2"/>
  <c r="AE1025" i="2"/>
  <c r="AM1025" i="2" s="1"/>
  <c r="AN1025" i="2" s="1"/>
  <c r="AA1025" i="2"/>
  <c r="X1025" i="2"/>
  <c r="T1025" i="2"/>
  <c r="S1025" i="2"/>
  <c r="U1025" i="2" s="1"/>
  <c r="W1025" i="2" s="1"/>
  <c r="P1025" i="2"/>
  <c r="O1025" i="2"/>
  <c r="K1025" i="2"/>
  <c r="AF1025" i="2" s="1"/>
  <c r="G1025" i="2"/>
  <c r="F1025" i="2"/>
  <c r="E1025" i="2"/>
  <c r="AP1024" i="2"/>
  <c r="AO1024" i="2"/>
  <c r="AN1024" i="2"/>
  <c r="AL1024" i="2"/>
  <c r="AK1024" i="2"/>
  <c r="AI1024" i="2"/>
  <c r="AF1024" i="2"/>
  <c r="AE1024" i="2"/>
  <c r="AM1024" i="2" s="1"/>
  <c r="X1024" i="2"/>
  <c r="AA1024" i="2" s="1"/>
  <c r="T1024" i="2"/>
  <c r="U1024" i="2" s="1"/>
  <c r="W1024" i="2" s="1"/>
  <c r="S1024" i="2"/>
  <c r="AG1024" i="2" s="1"/>
  <c r="P1024" i="2"/>
  <c r="O1024" i="2"/>
  <c r="K1024" i="2"/>
  <c r="G1024" i="2"/>
  <c r="E1024" i="2"/>
  <c r="F1024" i="2" s="1"/>
  <c r="AP1023" i="2"/>
  <c r="AO1023" i="2"/>
  <c r="AN1023" i="2"/>
  <c r="AM1023" i="2"/>
  <c r="AL1023" i="2"/>
  <c r="AK1023" i="2"/>
  <c r="AE1023" i="2"/>
  <c r="X1023" i="2"/>
  <c r="AA1023" i="2" s="1"/>
  <c r="U1023" i="2"/>
  <c r="W1023" i="2" s="1"/>
  <c r="T1023" i="2"/>
  <c r="S1023" i="2"/>
  <c r="AI1023" i="2" s="1"/>
  <c r="P1023" i="2"/>
  <c r="O1023" i="2"/>
  <c r="K1023" i="2"/>
  <c r="G1023" i="2"/>
  <c r="E1023" i="2"/>
  <c r="F1023" i="2" s="1"/>
  <c r="AP1022" i="2"/>
  <c r="AO1022" i="2"/>
  <c r="AL1022" i="2"/>
  <c r="AN1022" i="2" s="1"/>
  <c r="AK1022" i="2"/>
  <c r="AF1022" i="2"/>
  <c r="AE1022" i="2"/>
  <c r="AM1022" i="2" s="1"/>
  <c r="AA1022" i="2"/>
  <c r="X1022" i="2"/>
  <c r="T1022" i="2"/>
  <c r="S1022" i="2"/>
  <c r="AG1022" i="2" s="1"/>
  <c r="P1022" i="2"/>
  <c r="O1022" i="2"/>
  <c r="K1022" i="2"/>
  <c r="E1022" i="2"/>
  <c r="AP1021" i="2"/>
  <c r="AO1021" i="2"/>
  <c r="AM1021" i="2"/>
  <c r="AN1021" i="2" s="1"/>
  <c r="AL1021" i="2"/>
  <c r="AK1021" i="2"/>
  <c r="AG1021" i="2"/>
  <c r="AF1021" i="2"/>
  <c r="AE1021" i="2"/>
  <c r="AA1021" i="2"/>
  <c r="X1021" i="2"/>
  <c r="T1021" i="2"/>
  <c r="S1021" i="2"/>
  <c r="U1021" i="2" s="1"/>
  <c r="W1021" i="2" s="1"/>
  <c r="O1021" i="2"/>
  <c r="P1021" i="2" s="1"/>
  <c r="K1021" i="2"/>
  <c r="G1021" i="2"/>
  <c r="F1021" i="2"/>
  <c r="E1021" i="2"/>
  <c r="AP1020" i="2"/>
  <c r="AO1020" i="2"/>
  <c r="AM1020" i="2"/>
  <c r="AL1020" i="2"/>
  <c r="AN1020" i="2" s="1"/>
  <c r="AK1020" i="2"/>
  <c r="AI1020" i="2"/>
  <c r="AE1020" i="2"/>
  <c r="X1020" i="2"/>
  <c r="AA1020" i="2" s="1"/>
  <c r="T1020" i="2"/>
  <c r="U1020" i="2" s="1"/>
  <c r="W1020" i="2" s="1"/>
  <c r="S1020" i="2"/>
  <c r="AG1020" i="2" s="1"/>
  <c r="O1020" i="2"/>
  <c r="P1020" i="2" s="1"/>
  <c r="K1020" i="2"/>
  <c r="AF1020" i="2" s="1"/>
  <c r="F1020" i="2"/>
  <c r="E1020" i="2"/>
  <c r="G1020" i="2" s="1"/>
  <c r="AP1019" i="2"/>
  <c r="AO1019" i="2"/>
  <c r="AM1019" i="2"/>
  <c r="AL1019" i="2"/>
  <c r="AK1019" i="2"/>
  <c r="AG1019" i="2"/>
  <c r="AE1019" i="2"/>
  <c r="X1019" i="2"/>
  <c r="T1019" i="2"/>
  <c r="U1019" i="2" s="1"/>
  <c r="W1019" i="2" s="1"/>
  <c r="S1019" i="2"/>
  <c r="AI1019" i="2" s="1"/>
  <c r="P1019" i="2"/>
  <c r="O1019" i="2"/>
  <c r="K1019" i="2"/>
  <c r="G1019" i="2"/>
  <c r="F1019" i="2"/>
  <c r="E1019" i="2"/>
  <c r="AP1018" i="2"/>
  <c r="AO1018" i="2"/>
  <c r="AL1018" i="2"/>
  <c r="AK1018" i="2"/>
  <c r="AE1018" i="2"/>
  <c r="AM1018" i="2" s="1"/>
  <c r="AN1018" i="2" s="1"/>
  <c r="AA1018" i="2"/>
  <c r="X1018" i="2"/>
  <c r="T1018" i="2"/>
  <c r="S1018" i="2"/>
  <c r="P1018" i="2"/>
  <c r="O1018" i="2"/>
  <c r="K1018" i="2"/>
  <c r="E1018" i="2"/>
  <c r="G1018" i="2" s="1"/>
  <c r="AP1017" i="2"/>
  <c r="AO1017" i="2"/>
  <c r="AM1017" i="2"/>
  <c r="AN1017" i="2" s="1"/>
  <c r="AL1017" i="2"/>
  <c r="AK1017" i="2"/>
  <c r="AE1017" i="2"/>
  <c r="X1017" i="2"/>
  <c r="AA1017" i="2" s="1"/>
  <c r="T1017" i="2"/>
  <c r="S1017" i="2"/>
  <c r="P1017" i="2"/>
  <c r="O1017" i="2"/>
  <c r="K1017" i="2"/>
  <c r="G1017" i="2"/>
  <c r="F1017" i="2"/>
  <c r="E1017" i="2"/>
  <c r="AP1016" i="2"/>
  <c r="AO1016" i="2"/>
  <c r="AL1016" i="2"/>
  <c r="AN1016" i="2" s="1"/>
  <c r="AK1016" i="2"/>
  <c r="AI1016" i="2"/>
  <c r="AE1016" i="2"/>
  <c r="AM1016" i="2" s="1"/>
  <c r="AA1016" i="2"/>
  <c r="X1016" i="2"/>
  <c r="T1016" i="2"/>
  <c r="U1016" i="2" s="1"/>
  <c r="W1016" i="2" s="1"/>
  <c r="S1016" i="2"/>
  <c r="AG1016" i="2" s="1"/>
  <c r="P1016" i="2"/>
  <c r="O1016" i="2"/>
  <c r="K1016" i="2"/>
  <c r="AF1016" i="2" s="1"/>
  <c r="E1016" i="2"/>
  <c r="F1016" i="2" s="1"/>
  <c r="AP1015" i="2"/>
  <c r="AO1015" i="2"/>
  <c r="AM1015" i="2"/>
  <c r="AL1015" i="2"/>
  <c r="AK1015" i="2"/>
  <c r="AF1015" i="2"/>
  <c r="AE1015" i="2"/>
  <c r="AA1015" i="2"/>
  <c r="X1015" i="2"/>
  <c r="W1015" i="2"/>
  <c r="U1015" i="2"/>
  <c r="T1015" i="2"/>
  <c r="S1015" i="2"/>
  <c r="AI1015" i="2" s="1"/>
  <c r="P1015" i="2"/>
  <c r="O1015" i="2"/>
  <c r="K1015" i="2"/>
  <c r="E1015" i="2"/>
  <c r="AP1014" i="2"/>
  <c r="AO1014" i="2"/>
  <c r="AK1014" i="2"/>
  <c r="AL1014" i="2" s="1"/>
  <c r="AN1014" i="2" s="1"/>
  <c r="AG1014" i="2"/>
  <c r="AE1014" i="2"/>
  <c r="AM1014" i="2" s="1"/>
  <c r="AA1014" i="2"/>
  <c r="X1014" i="2"/>
  <c r="T1014" i="2"/>
  <c r="S1014" i="2"/>
  <c r="P1014" i="2"/>
  <c r="O1014" i="2"/>
  <c r="K1014" i="2"/>
  <c r="AF1014" i="2" s="1"/>
  <c r="F1014" i="2"/>
  <c r="E1014" i="2"/>
  <c r="G1014" i="2" s="1"/>
  <c r="AP1013" i="2"/>
  <c r="AO1013" i="2"/>
  <c r="AM1013" i="2"/>
  <c r="AN1013" i="2" s="1"/>
  <c r="AL1013" i="2"/>
  <c r="AK1013" i="2"/>
  <c r="AE1013" i="2"/>
  <c r="AA1013" i="2"/>
  <c r="X1013" i="2"/>
  <c r="T1013" i="2"/>
  <c r="S1013" i="2"/>
  <c r="P1013" i="2"/>
  <c r="O1013" i="2"/>
  <c r="K1013" i="2"/>
  <c r="G1013" i="2"/>
  <c r="F1013" i="2"/>
  <c r="E1013" i="2"/>
  <c r="AP1012" i="2"/>
  <c r="AO1012" i="2"/>
  <c r="AN1012" i="2"/>
  <c r="AL1012" i="2"/>
  <c r="AK1012" i="2"/>
  <c r="AI1012" i="2"/>
  <c r="AE1012" i="2"/>
  <c r="AM1012" i="2" s="1"/>
  <c r="AA1012" i="2"/>
  <c r="X1012" i="2"/>
  <c r="T1012" i="2"/>
  <c r="S1012" i="2"/>
  <c r="AG1012" i="2" s="1"/>
  <c r="O1012" i="2"/>
  <c r="P1012" i="2" s="1"/>
  <c r="K1012" i="2"/>
  <c r="AF1012" i="2" s="1"/>
  <c r="G1012" i="2"/>
  <c r="F1012" i="2"/>
  <c r="E1012" i="2"/>
  <c r="AP1011" i="2"/>
  <c r="AO1011" i="2"/>
  <c r="AM1011" i="2"/>
  <c r="AK1011" i="2"/>
  <c r="AL1011" i="2" s="1"/>
  <c r="AN1011" i="2" s="1"/>
  <c r="AE1011" i="2"/>
  <c r="X1011" i="2"/>
  <c r="AA1011" i="2" s="1"/>
  <c r="U1011" i="2"/>
  <c r="W1011" i="2" s="1"/>
  <c r="T1011" i="2"/>
  <c r="S1011" i="2"/>
  <c r="P1011" i="2"/>
  <c r="O1011" i="2"/>
  <c r="K1011" i="2"/>
  <c r="E1011" i="2"/>
  <c r="AP1010" i="2"/>
  <c r="AO1010" i="2"/>
  <c r="AN1010" i="2"/>
  <c r="AM1010" i="2"/>
  <c r="AK1010" i="2"/>
  <c r="AL1010" i="2" s="1"/>
  <c r="AE1010" i="2"/>
  <c r="AA1010" i="2"/>
  <c r="X1010" i="2"/>
  <c r="U1010" i="2"/>
  <c r="W1010" i="2" s="1"/>
  <c r="T1010" i="2"/>
  <c r="S1010" i="2"/>
  <c r="AI1010" i="2" s="1"/>
  <c r="O1010" i="2"/>
  <c r="P1010" i="2" s="1"/>
  <c r="K1010" i="2"/>
  <c r="AF1010" i="2" s="1"/>
  <c r="E1010" i="2"/>
  <c r="AP1009" i="2"/>
  <c r="AO1009" i="2"/>
  <c r="AK1009" i="2"/>
  <c r="AL1009" i="2" s="1"/>
  <c r="AN1009" i="2" s="1"/>
  <c r="AE1009" i="2"/>
  <c r="AM1009" i="2" s="1"/>
  <c r="X1009" i="2"/>
  <c r="AA1009" i="2" s="1"/>
  <c r="U1009" i="2"/>
  <c r="W1009" i="2" s="1"/>
  <c r="T1009" i="2"/>
  <c r="S1009" i="2"/>
  <c r="P1009" i="2"/>
  <c r="O1009" i="2"/>
  <c r="K1009" i="2"/>
  <c r="E1009" i="2"/>
  <c r="AP1008" i="2"/>
  <c r="AO1008" i="2"/>
  <c r="AM1008" i="2"/>
  <c r="AN1008" i="2" s="1"/>
  <c r="AK1008" i="2"/>
  <c r="AL1008" i="2" s="1"/>
  <c r="AG1008" i="2"/>
  <c r="AE1008" i="2"/>
  <c r="X1008" i="2"/>
  <c r="AA1008" i="2" s="1"/>
  <c r="W1008" i="2"/>
  <c r="T1008" i="2"/>
  <c r="S1008" i="2"/>
  <c r="U1008" i="2" s="1"/>
  <c r="O1008" i="2"/>
  <c r="P1008" i="2" s="1"/>
  <c r="K1008" i="2"/>
  <c r="E1008" i="2"/>
  <c r="AP1007" i="2"/>
  <c r="AO1007" i="2"/>
  <c r="AM1007" i="2"/>
  <c r="AL1007" i="2"/>
  <c r="AN1007" i="2" s="1"/>
  <c r="AK1007" i="2"/>
  <c r="AF1007" i="2"/>
  <c r="AE1007" i="2"/>
  <c r="X1007" i="2"/>
  <c r="AA1007" i="2" s="1"/>
  <c r="T1007" i="2"/>
  <c r="U1007" i="2" s="1"/>
  <c r="W1007" i="2" s="1"/>
  <c r="S1007" i="2"/>
  <c r="AI1007" i="2" s="1"/>
  <c r="P1007" i="2"/>
  <c r="O1007" i="2"/>
  <c r="K1007" i="2"/>
  <c r="E1007" i="2"/>
  <c r="AP1006" i="2"/>
  <c r="AO1006" i="2"/>
  <c r="AN1006" i="2"/>
  <c r="AK1006" i="2"/>
  <c r="AL1006" i="2" s="1"/>
  <c r="AE1006" i="2"/>
  <c r="AM1006" i="2" s="1"/>
  <c r="X1006" i="2"/>
  <c r="AA1006" i="2" s="1"/>
  <c r="U1006" i="2"/>
  <c r="W1006" i="2" s="1"/>
  <c r="T1006" i="2"/>
  <c r="S1006" i="2"/>
  <c r="AI1006" i="2" s="1"/>
  <c r="O1006" i="2"/>
  <c r="P1006" i="2" s="1"/>
  <c r="K1006" i="2"/>
  <c r="AF1006" i="2" s="1"/>
  <c r="G1006" i="2"/>
  <c r="E1006" i="2"/>
  <c r="F1006" i="2" s="1"/>
  <c r="AP1005" i="2"/>
  <c r="AO1005" i="2"/>
  <c r="AM1005" i="2"/>
  <c r="AL1005" i="2"/>
  <c r="AN1005" i="2" s="1"/>
  <c r="AK1005" i="2"/>
  <c r="AG1005" i="2"/>
  <c r="AF1005" i="2"/>
  <c r="AE1005" i="2"/>
  <c r="AA1005" i="2"/>
  <c r="X1005" i="2"/>
  <c r="T1005" i="2"/>
  <c r="S1005" i="2"/>
  <c r="P1005" i="2"/>
  <c r="O1005" i="2"/>
  <c r="K1005" i="2"/>
  <c r="F1005" i="2"/>
  <c r="E1005" i="2"/>
  <c r="G1005" i="2" s="1"/>
  <c r="AP1004" i="2"/>
  <c r="AO1004" i="2"/>
  <c r="AN1004" i="2"/>
  <c r="AL1004" i="2"/>
  <c r="AK1004" i="2"/>
  <c r="AI1004" i="2"/>
  <c r="AE1004" i="2"/>
  <c r="AM1004" i="2" s="1"/>
  <c r="AA1004" i="2"/>
  <c r="X1004" i="2"/>
  <c r="T1004" i="2"/>
  <c r="S1004" i="2"/>
  <c r="O1004" i="2"/>
  <c r="P1004" i="2" s="1"/>
  <c r="K1004" i="2"/>
  <c r="F1004" i="2"/>
  <c r="E1004" i="2"/>
  <c r="G1004" i="2" s="1"/>
  <c r="AP1003" i="2"/>
  <c r="AO1003" i="2"/>
  <c r="AM1003" i="2"/>
  <c r="AL1003" i="2"/>
  <c r="AK1003" i="2"/>
  <c r="AI1003" i="2"/>
  <c r="AE1003" i="2"/>
  <c r="X1003" i="2"/>
  <c r="AA1003" i="2" s="1"/>
  <c r="W1003" i="2"/>
  <c r="T1003" i="2"/>
  <c r="S1003" i="2"/>
  <c r="U1003" i="2" s="1"/>
  <c r="P1003" i="2"/>
  <c r="O1003" i="2"/>
  <c r="K1003" i="2"/>
  <c r="G1003" i="2"/>
  <c r="F1003" i="2"/>
  <c r="E1003" i="2"/>
  <c r="AP1002" i="2"/>
  <c r="AO1002" i="2"/>
  <c r="AM1002" i="2"/>
  <c r="AL1002" i="2"/>
  <c r="AN1002" i="2" s="1"/>
  <c r="AK1002" i="2"/>
  <c r="AI1002" i="2"/>
  <c r="AE1002" i="2"/>
  <c r="AA1002" i="2"/>
  <c r="X1002" i="2"/>
  <c r="T1002" i="2"/>
  <c r="U1002" i="2" s="1"/>
  <c r="W1002" i="2" s="1"/>
  <c r="S1002" i="2"/>
  <c r="AG1002" i="2" s="1"/>
  <c r="P1002" i="2"/>
  <c r="O1002" i="2"/>
  <c r="K1002" i="2"/>
  <c r="AF1002" i="2" s="1"/>
  <c r="G1002" i="2"/>
  <c r="F1002" i="2"/>
  <c r="E1002" i="2"/>
  <c r="AP1001" i="2"/>
  <c r="AO1001" i="2"/>
  <c r="AM1001" i="2"/>
  <c r="AK1001" i="2"/>
  <c r="AL1001" i="2" s="1"/>
  <c r="AN1001" i="2" s="1"/>
  <c r="AI1001" i="2"/>
  <c r="AE1001" i="2"/>
  <c r="AA1001" i="2"/>
  <c r="X1001" i="2"/>
  <c r="U1001" i="2"/>
  <c r="W1001" i="2" s="1"/>
  <c r="T1001" i="2"/>
  <c r="S1001" i="2"/>
  <c r="AG1001" i="2" s="1"/>
  <c r="P1001" i="2"/>
  <c r="O1001" i="2"/>
  <c r="K1001" i="2"/>
  <c r="F1001" i="2"/>
  <c r="E1001" i="2"/>
  <c r="G1001" i="2" s="1"/>
  <c r="AP1000" i="2"/>
  <c r="AO1000" i="2"/>
  <c r="AL1000" i="2"/>
  <c r="AK1000" i="2"/>
  <c r="AG1000" i="2"/>
  <c r="AF1000" i="2"/>
  <c r="AE1000" i="2"/>
  <c r="AM1000" i="2" s="1"/>
  <c r="AN1000" i="2" s="1"/>
  <c r="AA1000" i="2"/>
  <c r="X1000" i="2"/>
  <c r="T1000" i="2"/>
  <c r="S1000" i="2"/>
  <c r="U1000" i="2" s="1"/>
  <c r="W1000" i="2" s="1"/>
  <c r="O1000" i="2"/>
  <c r="P1000" i="2" s="1"/>
  <c r="K1000" i="2"/>
  <c r="F1000" i="2"/>
  <c r="E1000" i="2"/>
  <c r="G1000" i="2" s="1"/>
  <c r="AP999" i="2"/>
  <c r="AO999" i="2"/>
  <c r="AM999" i="2"/>
  <c r="AL999" i="2"/>
  <c r="AN999" i="2" s="1"/>
  <c r="AK999" i="2"/>
  <c r="AI999" i="2"/>
  <c r="AE999" i="2"/>
  <c r="X999" i="2"/>
  <c r="W999" i="2"/>
  <c r="T999" i="2"/>
  <c r="S999" i="2"/>
  <c r="U999" i="2" s="1"/>
  <c r="P999" i="2"/>
  <c r="O999" i="2"/>
  <c r="K999" i="2"/>
  <c r="G999" i="2"/>
  <c r="F999" i="2"/>
  <c r="E999" i="2"/>
  <c r="AP998" i="2"/>
  <c r="AO998" i="2"/>
  <c r="AN998" i="2"/>
  <c r="AM998" i="2"/>
  <c r="AL998" i="2"/>
  <c r="AK998" i="2"/>
  <c r="AI998" i="2"/>
  <c r="AE998" i="2"/>
  <c r="X998" i="2"/>
  <c r="AA998" i="2" s="1"/>
  <c r="W998" i="2"/>
  <c r="U998" i="2"/>
  <c r="T998" i="2"/>
  <c r="S998" i="2"/>
  <c r="AG998" i="2" s="1"/>
  <c r="P998" i="2"/>
  <c r="O998" i="2"/>
  <c r="K998" i="2"/>
  <c r="AF998" i="2" s="1"/>
  <c r="G998" i="2"/>
  <c r="F998" i="2"/>
  <c r="E998" i="2"/>
  <c r="AP997" i="2"/>
  <c r="AO997" i="2"/>
  <c r="AM997" i="2"/>
  <c r="AL997" i="2"/>
  <c r="AN997" i="2" s="1"/>
  <c r="AK997" i="2"/>
  <c r="AG997" i="2"/>
  <c r="AE997" i="2"/>
  <c r="AA997" i="2"/>
  <c r="X997" i="2"/>
  <c r="U997" i="2"/>
  <c r="W997" i="2" s="1"/>
  <c r="T997" i="2"/>
  <c r="S997" i="2"/>
  <c r="AF997" i="2" s="1"/>
  <c r="P997" i="2"/>
  <c r="O997" i="2"/>
  <c r="K997" i="2"/>
  <c r="F997" i="2"/>
  <c r="E997" i="2"/>
  <c r="G997" i="2" s="1"/>
  <c r="AP996" i="2"/>
  <c r="AO996" i="2"/>
  <c r="AN996" i="2"/>
  <c r="AL996" i="2"/>
  <c r="AK996" i="2"/>
  <c r="AG996" i="2"/>
  <c r="AF996" i="2"/>
  <c r="AE996" i="2"/>
  <c r="AM996" i="2" s="1"/>
  <c r="AA996" i="2"/>
  <c r="X996" i="2"/>
  <c r="T996" i="2"/>
  <c r="S996" i="2"/>
  <c r="AI996" i="2" s="1"/>
  <c r="O996" i="2"/>
  <c r="P996" i="2" s="1"/>
  <c r="K996" i="2"/>
  <c r="F996" i="2"/>
  <c r="E996" i="2"/>
  <c r="G996" i="2" s="1"/>
  <c r="AP995" i="2"/>
  <c r="AO995" i="2"/>
  <c r="AL995" i="2"/>
  <c r="AN995" i="2" s="1"/>
  <c r="AK995" i="2"/>
  <c r="AI995" i="2"/>
  <c r="AE995" i="2"/>
  <c r="AM995" i="2" s="1"/>
  <c r="AA995" i="2"/>
  <c r="X995" i="2"/>
  <c r="T995" i="2"/>
  <c r="S995" i="2"/>
  <c r="U995" i="2" s="1"/>
  <c r="W995" i="2" s="1"/>
  <c r="P995" i="2"/>
  <c r="O995" i="2"/>
  <c r="K995" i="2"/>
  <c r="AF995" i="2" s="1"/>
  <c r="G995" i="2"/>
  <c r="F995" i="2"/>
  <c r="E995" i="2"/>
  <c r="AP994" i="2"/>
  <c r="AO994" i="2"/>
  <c r="AN994" i="2"/>
  <c r="AM994" i="2"/>
  <c r="AL994" i="2"/>
  <c r="AK994" i="2"/>
  <c r="AI994" i="2"/>
  <c r="AE994" i="2"/>
  <c r="AA994" i="2"/>
  <c r="X994" i="2"/>
  <c r="W994" i="2"/>
  <c r="U994" i="2"/>
  <c r="T994" i="2"/>
  <c r="S994" i="2"/>
  <c r="AG994" i="2" s="1"/>
  <c r="P994" i="2"/>
  <c r="O994" i="2"/>
  <c r="K994" i="2"/>
  <c r="AF994" i="2" s="1"/>
  <c r="G994" i="2"/>
  <c r="F994" i="2"/>
  <c r="E994" i="2"/>
  <c r="AP993" i="2"/>
  <c r="AO993" i="2"/>
  <c r="AM993" i="2"/>
  <c r="AK993" i="2"/>
  <c r="AL993" i="2" s="1"/>
  <c r="AN993" i="2" s="1"/>
  <c r="AE993" i="2"/>
  <c r="AA993" i="2"/>
  <c r="X993" i="2"/>
  <c r="T993" i="2"/>
  <c r="S993" i="2"/>
  <c r="P993" i="2"/>
  <c r="O993" i="2"/>
  <c r="K993" i="2"/>
  <c r="F993" i="2"/>
  <c r="E993" i="2"/>
  <c r="G993" i="2" s="1"/>
  <c r="AP992" i="2"/>
  <c r="AO992" i="2"/>
  <c r="AN992" i="2"/>
  <c r="AL992" i="2"/>
  <c r="AK992" i="2"/>
  <c r="AE992" i="2"/>
  <c r="AM992" i="2" s="1"/>
  <c r="AA992" i="2"/>
  <c r="X992" i="2"/>
  <c r="T992" i="2"/>
  <c r="S992" i="2"/>
  <c r="P992" i="2"/>
  <c r="O992" i="2"/>
  <c r="K992" i="2"/>
  <c r="F992" i="2"/>
  <c r="E992" i="2"/>
  <c r="G992" i="2" s="1"/>
  <c r="AP991" i="2"/>
  <c r="AO991" i="2"/>
  <c r="AN991" i="2"/>
  <c r="AL991" i="2"/>
  <c r="AK991" i="2"/>
  <c r="AI991" i="2"/>
  <c r="AF991" i="2"/>
  <c r="AE991" i="2"/>
  <c r="AM991" i="2" s="1"/>
  <c r="AA991" i="2"/>
  <c r="X991" i="2"/>
  <c r="W991" i="2"/>
  <c r="T991" i="2"/>
  <c r="S991" i="2"/>
  <c r="U991" i="2" s="1"/>
  <c r="P991" i="2"/>
  <c r="O991" i="2"/>
  <c r="K991" i="2"/>
  <c r="G991" i="2"/>
  <c r="F991" i="2"/>
  <c r="E991" i="2"/>
  <c r="AP990" i="2"/>
  <c r="AO990" i="2"/>
  <c r="AN990" i="2"/>
  <c r="AM990" i="2"/>
  <c r="AL990" i="2"/>
  <c r="AK990" i="2"/>
  <c r="AI990" i="2"/>
  <c r="AE990" i="2"/>
  <c r="AA990" i="2"/>
  <c r="X990" i="2"/>
  <c r="W990" i="2"/>
  <c r="U990" i="2"/>
  <c r="T990" i="2"/>
  <c r="S990" i="2"/>
  <c r="AG990" i="2" s="1"/>
  <c r="P990" i="2"/>
  <c r="O990" i="2"/>
  <c r="K990" i="2"/>
  <c r="AF990" i="2" s="1"/>
  <c r="F990" i="2"/>
  <c r="E990" i="2"/>
  <c r="G990" i="2" s="1"/>
  <c r="AP989" i="2"/>
  <c r="AO989" i="2"/>
  <c r="AM989" i="2"/>
  <c r="AL989" i="2"/>
  <c r="AN989" i="2" s="1"/>
  <c r="AK989" i="2"/>
  <c r="AG989" i="2"/>
  <c r="AF989" i="2"/>
  <c r="AE989" i="2"/>
  <c r="AA989" i="2"/>
  <c r="X989" i="2"/>
  <c r="T989" i="2"/>
  <c r="S989" i="2"/>
  <c r="P989" i="2"/>
  <c r="O989" i="2"/>
  <c r="K989" i="2"/>
  <c r="F989" i="2"/>
  <c r="E989" i="2"/>
  <c r="G989" i="2" s="1"/>
  <c r="AP988" i="2"/>
  <c r="AO988" i="2"/>
  <c r="AN988" i="2"/>
  <c r="AL988" i="2"/>
  <c r="AK988" i="2"/>
  <c r="AI988" i="2"/>
  <c r="AE988" i="2"/>
  <c r="AM988" i="2" s="1"/>
  <c r="AA988" i="2"/>
  <c r="X988" i="2"/>
  <c r="T988" i="2"/>
  <c r="S988" i="2"/>
  <c r="O988" i="2"/>
  <c r="P988" i="2" s="1"/>
  <c r="K988" i="2"/>
  <c r="F988" i="2"/>
  <c r="E988" i="2"/>
  <c r="G988" i="2" s="1"/>
  <c r="AP987" i="2"/>
  <c r="AO987" i="2"/>
  <c r="AM987" i="2"/>
  <c r="AL987" i="2"/>
  <c r="AK987" i="2"/>
  <c r="AI987" i="2"/>
  <c r="AE987" i="2"/>
  <c r="AA987" i="2"/>
  <c r="X987" i="2"/>
  <c r="W987" i="2"/>
  <c r="T987" i="2"/>
  <c r="S987" i="2"/>
  <c r="U987" i="2" s="1"/>
  <c r="P987" i="2"/>
  <c r="O987" i="2"/>
  <c r="K987" i="2"/>
  <c r="AF987" i="2" s="1"/>
  <c r="G987" i="2"/>
  <c r="F987" i="2"/>
  <c r="E987" i="2"/>
  <c r="AP986" i="2"/>
  <c r="AO986" i="2"/>
  <c r="AM986" i="2"/>
  <c r="AL986" i="2"/>
  <c r="AN986" i="2" s="1"/>
  <c r="AK986" i="2"/>
  <c r="AI986" i="2"/>
  <c r="AE986" i="2"/>
  <c r="AA986" i="2"/>
  <c r="X986" i="2"/>
  <c r="T986" i="2"/>
  <c r="U986" i="2" s="1"/>
  <c r="W986" i="2" s="1"/>
  <c r="S986" i="2"/>
  <c r="AG986" i="2" s="1"/>
  <c r="P986" i="2"/>
  <c r="O986" i="2"/>
  <c r="K986" i="2"/>
  <c r="AF986" i="2" s="1"/>
  <c r="G986" i="2"/>
  <c r="F986" i="2"/>
  <c r="E986" i="2"/>
  <c r="AP985" i="2"/>
  <c r="AO985" i="2"/>
  <c r="AM985" i="2"/>
  <c r="AK985" i="2"/>
  <c r="AL985" i="2" s="1"/>
  <c r="AN985" i="2" s="1"/>
  <c r="AI985" i="2"/>
  <c r="AE985" i="2"/>
  <c r="AA985" i="2"/>
  <c r="X985" i="2"/>
  <c r="W985" i="2"/>
  <c r="U985" i="2"/>
  <c r="T985" i="2"/>
  <c r="S985" i="2"/>
  <c r="AG985" i="2" s="1"/>
  <c r="P985" i="2"/>
  <c r="O985" i="2"/>
  <c r="K985" i="2"/>
  <c r="F985" i="2"/>
  <c r="E985" i="2"/>
  <c r="G985" i="2" s="1"/>
  <c r="AP984" i="2"/>
  <c r="AO984" i="2"/>
  <c r="AL984" i="2"/>
  <c r="AK984" i="2"/>
  <c r="AI984" i="2"/>
  <c r="AG984" i="2"/>
  <c r="AF984" i="2"/>
  <c r="AE984" i="2"/>
  <c r="AM984" i="2" s="1"/>
  <c r="AN984" i="2" s="1"/>
  <c r="AA984" i="2"/>
  <c r="X984" i="2"/>
  <c r="T984" i="2"/>
  <c r="S984" i="2"/>
  <c r="U984" i="2" s="1"/>
  <c r="W984" i="2" s="1"/>
  <c r="O984" i="2"/>
  <c r="P984" i="2" s="1"/>
  <c r="K984" i="2"/>
  <c r="F984" i="2"/>
  <c r="E984" i="2"/>
  <c r="G984" i="2" s="1"/>
  <c r="AP983" i="2"/>
  <c r="AO983" i="2"/>
  <c r="AM983" i="2"/>
  <c r="AL983" i="2"/>
  <c r="AN983" i="2" s="1"/>
  <c r="AK983" i="2"/>
  <c r="AI983" i="2"/>
  <c r="AE983" i="2"/>
  <c r="X983" i="2"/>
  <c r="T983" i="2"/>
  <c r="S983" i="2"/>
  <c r="U983" i="2" s="1"/>
  <c r="W983" i="2" s="1"/>
  <c r="P983" i="2"/>
  <c r="O983" i="2"/>
  <c r="K983" i="2"/>
  <c r="G983" i="2"/>
  <c r="F983" i="2"/>
  <c r="E983" i="2"/>
  <c r="AP982" i="2"/>
  <c r="AO982" i="2"/>
  <c r="AN982" i="2"/>
  <c r="AM982" i="2"/>
  <c r="AL982" i="2"/>
  <c r="AK982" i="2"/>
  <c r="AI982" i="2"/>
  <c r="AE982" i="2"/>
  <c r="X982" i="2"/>
  <c r="AA982" i="2" s="1"/>
  <c r="W982" i="2"/>
  <c r="U982" i="2"/>
  <c r="T982" i="2"/>
  <c r="S982" i="2"/>
  <c r="AG982" i="2" s="1"/>
  <c r="P982" i="2"/>
  <c r="O982" i="2"/>
  <c r="K982" i="2"/>
  <c r="G982" i="2"/>
  <c r="F982" i="2"/>
  <c r="E982" i="2"/>
  <c r="AP981" i="2"/>
  <c r="AO981" i="2"/>
  <c r="AM981" i="2"/>
  <c r="AL981" i="2"/>
  <c r="AN981" i="2" s="1"/>
  <c r="AK981" i="2"/>
  <c r="AE981" i="2"/>
  <c r="AA981" i="2"/>
  <c r="X981" i="2"/>
  <c r="T981" i="2"/>
  <c r="S981" i="2"/>
  <c r="P981" i="2"/>
  <c r="O981" i="2"/>
  <c r="K981" i="2"/>
  <c r="F981" i="2"/>
  <c r="E981" i="2"/>
  <c r="G981" i="2" s="1"/>
  <c r="AP980" i="2"/>
  <c r="AO980" i="2"/>
  <c r="AN980" i="2"/>
  <c r="AL980" i="2"/>
  <c r="AK980" i="2"/>
  <c r="AG980" i="2"/>
  <c r="AF980" i="2"/>
  <c r="AE980" i="2"/>
  <c r="AM980" i="2" s="1"/>
  <c r="AA980" i="2"/>
  <c r="X980" i="2"/>
  <c r="T980" i="2"/>
  <c r="S980" i="2"/>
  <c r="AI980" i="2" s="1"/>
  <c r="O980" i="2"/>
  <c r="P980" i="2" s="1"/>
  <c r="K980" i="2"/>
  <c r="F980" i="2"/>
  <c r="E980" i="2"/>
  <c r="G980" i="2" s="1"/>
  <c r="AP979" i="2"/>
  <c r="AO979" i="2"/>
  <c r="AL979" i="2"/>
  <c r="AK979" i="2"/>
  <c r="AI979" i="2"/>
  <c r="AE979" i="2"/>
  <c r="AM979" i="2" s="1"/>
  <c r="AA979" i="2"/>
  <c r="X979" i="2"/>
  <c r="T979" i="2"/>
  <c r="S979" i="2"/>
  <c r="U979" i="2" s="1"/>
  <c r="W979" i="2" s="1"/>
  <c r="P979" i="2"/>
  <c r="O979" i="2"/>
  <c r="K979" i="2"/>
  <c r="AF979" i="2" s="1"/>
  <c r="G979" i="2"/>
  <c r="F979" i="2"/>
  <c r="E979" i="2"/>
  <c r="AP978" i="2"/>
  <c r="AO978" i="2"/>
  <c r="AM978" i="2"/>
  <c r="AK978" i="2"/>
  <c r="AL978" i="2" s="1"/>
  <c r="AN978" i="2" s="1"/>
  <c r="AI978" i="2"/>
  <c r="AE978" i="2"/>
  <c r="X978" i="2"/>
  <c r="AA978" i="2" s="1"/>
  <c r="W978" i="2"/>
  <c r="U978" i="2"/>
  <c r="T978" i="2"/>
  <c r="S978" i="2"/>
  <c r="AG978" i="2" s="1"/>
  <c r="P978" i="2"/>
  <c r="O978" i="2"/>
  <c r="K978" i="2"/>
  <c r="G978" i="2"/>
  <c r="F978" i="2"/>
  <c r="E978" i="2"/>
  <c r="AP977" i="2"/>
  <c r="AO977" i="2"/>
  <c r="AM977" i="2"/>
  <c r="AK977" i="2"/>
  <c r="AL977" i="2" s="1"/>
  <c r="AN977" i="2" s="1"/>
  <c r="AG977" i="2"/>
  <c r="AF977" i="2"/>
  <c r="AE977" i="2"/>
  <c r="AA977" i="2"/>
  <c r="X977" i="2"/>
  <c r="T977" i="2"/>
  <c r="U977" i="2" s="1"/>
  <c r="W977" i="2" s="1"/>
  <c r="S977" i="2"/>
  <c r="AI977" i="2" s="1"/>
  <c r="P977" i="2"/>
  <c r="O977" i="2"/>
  <c r="K977" i="2"/>
  <c r="F977" i="2"/>
  <c r="E977" i="2"/>
  <c r="G977" i="2" s="1"/>
  <c r="AP976" i="2"/>
  <c r="AO976" i="2"/>
  <c r="AL976" i="2"/>
  <c r="AK976" i="2"/>
  <c r="AI976" i="2"/>
  <c r="AE976" i="2"/>
  <c r="AM976" i="2" s="1"/>
  <c r="AN976" i="2" s="1"/>
  <c r="AA976" i="2"/>
  <c r="X976" i="2"/>
  <c r="T976" i="2"/>
  <c r="S976" i="2"/>
  <c r="P976" i="2"/>
  <c r="O976" i="2"/>
  <c r="K976" i="2"/>
  <c r="AF976" i="2" s="1"/>
  <c r="F976" i="2"/>
  <c r="E976" i="2"/>
  <c r="G976" i="2" s="1"/>
  <c r="AP975" i="2"/>
  <c r="AO975" i="2"/>
  <c r="AM975" i="2"/>
  <c r="AN975" i="2" s="1"/>
  <c r="AL975" i="2"/>
  <c r="AK975" i="2"/>
  <c r="AI975" i="2"/>
  <c r="AF975" i="2"/>
  <c r="AE975" i="2"/>
  <c r="AA975" i="2"/>
  <c r="X975" i="2"/>
  <c r="W975" i="2"/>
  <c r="T975" i="2"/>
  <c r="S975" i="2"/>
  <c r="U975" i="2" s="1"/>
  <c r="O975" i="2"/>
  <c r="P975" i="2" s="1"/>
  <c r="K975" i="2"/>
  <c r="G975" i="2"/>
  <c r="F975" i="2"/>
  <c r="E975" i="2"/>
  <c r="AP974" i="2"/>
  <c r="AO974" i="2"/>
  <c r="AM974" i="2"/>
  <c r="AN974" i="2" s="1"/>
  <c r="AK974" i="2"/>
  <c r="AL974" i="2" s="1"/>
  <c r="AI974" i="2"/>
  <c r="AE974" i="2"/>
  <c r="AA974" i="2"/>
  <c r="X974" i="2"/>
  <c r="W974" i="2"/>
  <c r="U974" i="2"/>
  <c r="T974" i="2"/>
  <c r="S974" i="2"/>
  <c r="AG974" i="2" s="1"/>
  <c r="P974" i="2"/>
  <c r="O974" i="2"/>
  <c r="K974" i="2"/>
  <c r="AF974" i="2" s="1"/>
  <c r="E974" i="2"/>
  <c r="G974" i="2" s="1"/>
  <c r="AP973" i="2"/>
  <c r="AO973" i="2"/>
  <c r="AM973" i="2"/>
  <c r="AK973" i="2"/>
  <c r="AL973" i="2" s="1"/>
  <c r="AN973" i="2" s="1"/>
  <c r="AE973" i="2"/>
  <c r="AA973" i="2"/>
  <c r="X973" i="2"/>
  <c r="T973" i="2"/>
  <c r="S973" i="2"/>
  <c r="P973" i="2"/>
  <c r="O973" i="2"/>
  <c r="K973" i="2"/>
  <c r="E973" i="2"/>
  <c r="G973" i="2" s="1"/>
  <c r="AP972" i="2"/>
  <c r="AO972" i="2"/>
  <c r="AN972" i="2"/>
  <c r="AL972" i="2"/>
  <c r="AK972" i="2"/>
  <c r="AE972" i="2"/>
  <c r="AM972" i="2" s="1"/>
  <c r="AA972" i="2"/>
  <c r="X972" i="2"/>
  <c r="T972" i="2"/>
  <c r="S972" i="2"/>
  <c r="P972" i="2"/>
  <c r="O972" i="2"/>
  <c r="K972" i="2"/>
  <c r="F972" i="2"/>
  <c r="E972" i="2"/>
  <c r="G972" i="2" s="1"/>
  <c r="AP971" i="2"/>
  <c r="AO971" i="2"/>
  <c r="AM971" i="2"/>
  <c r="AN971" i="2" s="1"/>
  <c r="AL971" i="2"/>
  <c r="AK971" i="2"/>
  <c r="AI971" i="2"/>
  <c r="AE971" i="2"/>
  <c r="X971" i="2"/>
  <c r="AA971" i="2" s="1"/>
  <c r="W971" i="2"/>
  <c r="T971" i="2"/>
  <c r="S971" i="2"/>
  <c r="U971" i="2" s="1"/>
  <c r="P971" i="2"/>
  <c r="O971" i="2"/>
  <c r="K971" i="2"/>
  <c r="G971" i="2"/>
  <c r="F971" i="2"/>
  <c r="E971" i="2"/>
  <c r="AP970" i="2"/>
  <c r="AO970" i="2"/>
  <c r="AM970" i="2"/>
  <c r="AK970" i="2"/>
  <c r="AL970" i="2" s="1"/>
  <c r="AN970" i="2" s="1"/>
  <c r="AI970" i="2"/>
  <c r="AE970" i="2"/>
  <c r="AA970" i="2"/>
  <c r="X970" i="2"/>
  <c r="W970" i="2"/>
  <c r="T970" i="2"/>
  <c r="U970" i="2" s="1"/>
  <c r="S970" i="2"/>
  <c r="AG970" i="2" s="1"/>
  <c r="P970" i="2"/>
  <c r="O970" i="2"/>
  <c r="K970" i="2"/>
  <c r="AF970" i="2" s="1"/>
  <c r="G970" i="2"/>
  <c r="F970" i="2"/>
  <c r="E970" i="2"/>
  <c r="AP969" i="2"/>
  <c r="AO969" i="2"/>
  <c r="AM969" i="2"/>
  <c r="AK969" i="2"/>
  <c r="AL969" i="2" s="1"/>
  <c r="AN969" i="2" s="1"/>
  <c r="AI969" i="2"/>
  <c r="AE969" i="2"/>
  <c r="AA969" i="2"/>
  <c r="X969" i="2"/>
  <c r="U969" i="2"/>
  <c r="W969" i="2" s="1"/>
  <c r="T969" i="2"/>
  <c r="S969" i="2"/>
  <c r="P969" i="2"/>
  <c r="O969" i="2"/>
  <c r="K969" i="2"/>
  <c r="F969" i="2"/>
  <c r="E969" i="2"/>
  <c r="G969" i="2" s="1"/>
  <c r="AP968" i="2"/>
  <c r="AO968" i="2"/>
  <c r="AN968" i="2"/>
  <c r="AL968" i="2"/>
  <c r="AK968" i="2"/>
  <c r="AG968" i="2"/>
  <c r="AE968" i="2"/>
  <c r="AM968" i="2" s="1"/>
  <c r="AA968" i="2"/>
  <c r="X968" i="2"/>
  <c r="T968" i="2"/>
  <c r="S968" i="2"/>
  <c r="U968" i="2" s="1"/>
  <c r="W968" i="2" s="1"/>
  <c r="O968" i="2"/>
  <c r="P968" i="2" s="1"/>
  <c r="K968" i="2"/>
  <c r="AF968" i="2" s="1"/>
  <c r="F968" i="2"/>
  <c r="E968" i="2"/>
  <c r="G968" i="2" s="1"/>
  <c r="AP967" i="2"/>
  <c r="AO967" i="2"/>
  <c r="AL967" i="2"/>
  <c r="AN967" i="2" s="1"/>
  <c r="AK967" i="2"/>
  <c r="AI967" i="2"/>
  <c r="AE967" i="2"/>
  <c r="AM967" i="2" s="1"/>
  <c r="X967" i="2"/>
  <c r="AA967" i="2" s="1"/>
  <c r="T967" i="2"/>
  <c r="S967" i="2"/>
  <c r="U967" i="2" s="1"/>
  <c r="W967" i="2" s="1"/>
  <c r="P967" i="2"/>
  <c r="O967" i="2"/>
  <c r="K967" i="2"/>
  <c r="AF967" i="2" s="1"/>
  <c r="G967" i="2"/>
  <c r="F967" i="2"/>
  <c r="E967" i="2"/>
  <c r="AP966" i="2"/>
  <c r="AO966" i="2"/>
  <c r="AN966" i="2"/>
  <c r="AM966" i="2"/>
  <c r="AL966" i="2"/>
  <c r="AK966" i="2"/>
  <c r="AI966" i="2"/>
  <c r="AE966" i="2"/>
  <c r="X966" i="2"/>
  <c r="AA966" i="2" s="1"/>
  <c r="U966" i="2"/>
  <c r="W966" i="2" s="1"/>
  <c r="T966" i="2"/>
  <c r="S966" i="2"/>
  <c r="AG966" i="2" s="1"/>
  <c r="P966" i="2"/>
  <c r="O966" i="2"/>
  <c r="K966" i="2"/>
  <c r="F966" i="2"/>
  <c r="E966" i="2"/>
  <c r="G966" i="2" s="1"/>
  <c r="AP965" i="2"/>
  <c r="AO965" i="2"/>
  <c r="AM965" i="2"/>
  <c r="AL965" i="2"/>
  <c r="AN965" i="2" s="1"/>
  <c r="AK965" i="2"/>
  <c r="AI965" i="2"/>
  <c r="AG965" i="2"/>
  <c r="AF965" i="2"/>
  <c r="AE965" i="2"/>
  <c r="AA965" i="2"/>
  <c r="X965" i="2"/>
  <c r="T965" i="2"/>
  <c r="S965" i="2"/>
  <c r="P965" i="2"/>
  <c r="O965" i="2"/>
  <c r="K965" i="2"/>
  <c r="E965" i="2"/>
  <c r="G965" i="2" s="1"/>
  <c r="AP964" i="2"/>
  <c r="AO964" i="2"/>
  <c r="AN964" i="2"/>
  <c r="AL964" i="2"/>
  <c r="AK964" i="2"/>
  <c r="AG964" i="2"/>
  <c r="AE964" i="2"/>
  <c r="AM964" i="2" s="1"/>
  <c r="AA964" i="2"/>
  <c r="X964" i="2"/>
  <c r="T964" i="2"/>
  <c r="S964" i="2"/>
  <c r="O964" i="2"/>
  <c r="P964" i="2" s="1"/>
  <c r="K964" i="2"/>
  <c r="AF964" i="2" s="1"/>
  <c r="F964" i="2"/>
  <c r="E964" i="2"/>
  <c r="G964" i="2" s="1"/>
  <c r="AP963" i="2"/>
  <c r="AO963" i="2"/>
  <c r="AN963" i="2"/>
  <c r="AL963" i="2"/>
  <c r="AK963" i="2"/>
  <c r="AI963" i="2"/>
  <c r="AE963" i="2"/>
  <c r="AM963" i="2" s="1"/>
  <c r="X963" i="2"/>
  <c r="AA963" i="2" s="1"/>
  <c r="T963" i="2"/>
  <c r="S963" i="2"/>
  <c r="U963" i="2" s="1"/>
  <c r="W963" i="2" s="1"/>
  <c r="P963" i="2"/>
  <c r="O963" i="2"/>
  <c r="K963" i="2"/>
  <c r="G963" i="2"/>
  <c r="F963" i="2"/>
  <c r="E963" i="2"/>
  <c r="AP962" i="2"/>
  <c r="AO962" i="2"/>
  <c r="AN962" i="2"/>
  <c r="AM962" i="2"/>
  <c r="AK962" i="2"/>
  <c r="AL962" i="2" s="1"/>
  <c r="AI962" i="2"/>
  <c r="AE962" i="2"/>
  <c r="AA962" i="2"/>
  <c r="X962" i="2"/>
  <c r="W962" i="2"/>
  <c r="U962" i="2"/>
  <c r="T962" i="2"/>
  <c r="S962" i="2"/>
  <c r="AG962" i="2" s="1"/>
  <c r="P962" i="2"/>
  <c r="O962" i="2"/>
  <c r="K962" i="2"/>
  <c r="AF962" i="2" s="1"/>
  <c r="G962" i="2"/>
  <c r="F962" i="2"/>
  <c r="E962" i="2"/>
  <c r="AP961" i="2"/>
  <c r="AO961" i="2"/>
  <c r="AM961" i="2"/>
  <c r="AK961" i="2"/>
  <c r="AL961" i="2" s="1"/>
  <c r="AN961" i="2" s="1"/>
  <c r="AI961" i="2"/>
  <c r="AE961" i="2"/>
  <c r="AA961" i="2"/>
  <c r="X961" i="2"/>
  <c r="T961" i="2"/>
  <c r="S961" i="2"/>
  <c r="P961" i="2"/>
  <c r="O961" i="2"/>
  <c r="K961" i="2"/>
  <c r="F961" i="2"/>
  <c r="E961" i="2"/>
  <c r="G961" i="2" s="1"/>
  <c r="AP960" i="2"/>
  <c r="AO960" i="2"/>
  <c r="AN960" i="2"/>
  <c r="AL960" i="2"/>
  <c r="AK960" i="2"/>
  <c r="AE960" i="2"/>
  <c r="AM960" i="2" s="1"/>
  <c r="AA960" i="2"/>
  <c r="X960" i="2"/>
  <c r="T960" i="2"/>
  <c r="S960" i="2"/>
  <c r="P960" i="2"/>
  <c r="O960" i="2"/>
  <c r="K960" i="2"/>
  <c r="F960" i="2"/>
  <c r="E960" i="2"/>
  <c r="G960" i="2" s="1"/>
  <c r="AP959" i="2"/>
  <c r="AO959" i="2"/>
  <c r="AN959" i="2"/>
  <c r="AM959" i="2"/>
  <c r="AL959" i="2"/>
  <c r="AK959" i="2"/>
  <c r="AI959" i="2"/>
  <c r="AE959" i="2"/>
  <c r="X959" i="2"/>
  <c r="AA959" i="2" s="1"/>
  <c r="W959" i="2"/>
  <c r="T959" i="2"/>
  <c r="S959" i="2"/>
  <c r="U959" i="2" s="1"/>
  <c r="P959" i="2"/>
  <c r="O959" i="2"/>
  <c r="K959" i="2"/>
  <c r="G959" i="2"/>
  <c r="F959" i="2"/>
  <c r="E959" i="2"/>
  <c r="AP958" i="2"/>
  <c r="AO958" i="2"/>
  <c r="AM958" i="2"/>
  <c r="AL958" i="2"/>
  <c r="AN958" i="2" s="1"/>
  <c r="AK958" i="2"/>
  <c r="AI958" i="2"/>
  <c r="AE958" i="2"/>
  <c r="AA958" i="2"/>
  <c r="X958" i="2"/>
  <c r="T958" i="2"/>
  <c r="U958" i="2" s="1"/>
  <c r="W958" i="2" s="1"/>
  <c r="S958" i="2"/>
  <c r="AG958" i="2" s="1"/>
  <c r="P958" i="2"/>
  <c r="O958" i="2"/>
  <c r="K958" i="2"/>
  <c r="AF958" i="2" s="1"/>
  <c r="E958" i="2"/>
  <c r="G958" i="2" s="1"/>
  <c r="AP957" i="2"/>
  <c r="AO957" i="2"/>
  <c r="AM957" i="2"/>
  <c r="AL957" i="2"/>
  <c r="AN957" i="2" s="1"/>
  <c r="AK957" i="2"/>
  <c r="AE957" i="2"/>
  <c r="AA957" i="2"/>
  <c r="X957" i="2"/>
  <c r="U957" i="2"/>
  <c r="W957" i="2" s="1"/>
  <c r="T957" i="2"/>
  <c r="S957" i="2"/>
  <c r="AG957" i="2" s="1"/>
  <c r="P957" i="2"/>
  <c r="O957" i="2"/>
  <c r="K957" i="2"/>
  <c r="F957" i="2"/>
  <c r="E957" i="2"/>
  <c r="G957" i="2" s="1"/>
  <c r="AP956" i="2"/>
  <c r="AO956" i="2"/>
  <c r="AL956" i="2"/>
  <c r="AK956" i="2"/>
  <c r="AG956" i="2"/>
  <c r="AE956" i="2"/>
  <c r="AM956" i="2" s="1"/>
  <c r="AN956" i="2" s="1"/>
  <c r="AA956" i="2"/>
  <c r="X956" i="2"/>
  <c r="T956" i="2"/>
  <c r="S956" i="2"/>
  <c r="U956" i="2" s="1"/>
  <c r="W956" i="2" s="1"/>
  <c r="O956" i="2"/>
  <c r="P956" i="2" s="1"/>
  <c r="K956" i="2"/>
  <c r="AF956" i="2" s="1"/>
  <c r="F956" i="2"/>
  <c r="E956" i="2"/>
  <c r="G956" i="2" s="1"/>
  <c r="AP955" i="2"/>
  <c r="AO955" i="2"/>
  <c r="AL955" i="2"/>
  <c r="AK955" i="2"/>
  <c r="AI955" i="2"/>
  <c r="AE955" i="2"/>
  <c r="AM955" i="2" s="1"/>
  <c r="AA955" i="2"/>
  <c r="X955" i="2"/>
  <c r="T955" i="2"/>
  <c r="S955" i="2"/>
  <c r="U955" i="2" s="1"/>
  <c r="W955" i="2" s="1"/>
  <c r="P955" i="2"/>
  <c r="O955" i="2"/>
  <c r="K955" i="2"/>
  <c r="AF955" i="2" s="1"/>
  <c r="G955" i="2"/>
  <c r="F955" i="2"/>
  <c r="E955" i="2"/>
  <c r="AP954" i="2"/>
  <c r="AO954" i="2"/>
  <c r="AM954" i="2"/>
  <c r="AK954" i="2"/>
  <c r="AL954" i="2" s="1"/>
  <c r="AN954" i="2" s="1"/>
  <c r="AI954" i="2"/>
  <c r="AE954" i="2"/>
  <c r="X954" i="2"/>
  <c r="AA954" i="2" s="1"/>
  <c r="W954" i="2"/>
  <c r="T954" i="2"/>
  <c r="U954" i="2" s="1"/>
  <c r="S954" i="2"/>
  <c r="AG954" i="2" s="1"/>
  <c r="P954" i="2"/>
  <c r="O954" i="2"/>
  <c r="K954" i="2"/>
  <c r="G954" i="2"/>
  <c r="F954" i="2"/>
  <c r="E954" i="2"/>
  <c r="AP953" i="2"/>
  <c r="AO953" i="2"/>
  <c r="AM953" i="2"/>
  <c r="AK953" i="2"/>
  <c r="AL953" i="2" s="1"/>
  <c r="AN953" i="2" s="1"/>
  <c r="AG953" i="2"/>
  <c r="AE953" i="2"/>
  <c r="AA953" i="2"/>
  <c r="X953" i="2"/>
  <c r="W953" i="2"/>
  <c r="T953" i="2"/>
  <c r="U953" i="2" s="1"/>
  <c r="S953" i="2"/>
  <c r="AF953" i="2" s="1"/>
  <c r="P953" i="2"/>
  <c r="O953" i="2"/>
  <c r="K953" i="2"/>
  <c r="E953" i="2"/>
  <c r="AP952" i="2"/>
  <c r="AO952" i="2"/>
  <c r="AL952" i="2"/>
  <c r="AK952" i="2"/>
  <c r="AG952" i="2"/>
  <c r="AE952" i="2"/>
  <c r="AM952" i="2" s="1"/>
  <c r="AN952" i="2" s="1"/>
  <c r="AA952" i="2"/>
  <c r="X952" i="2"/>
  <c r="T952" i="2"/>
  <c r="S952" i="2"/>
  <c r="U952" i="2" s="1"/>
  <c r="W952" i="2" s="1"/>
  <c r="O952" i="2"/>
  <c r="P952" i="2" s="1"/>
  <c r="K952" i="2"/>
  <c r="AF952" i="2" s="1"/>
  <c r="F952" i="2"/>
  <c r="E952" i="2"/>
  <c r="G952" i="2" s="1"/>
  <c r="AP951" i="2"/>
  <c r="AO951" i="2"/>
  <c r="AM951" i="2"/>
  <c r="AL951" i="2"/>
  <c r="AN951" i="2" s="1"/>
  <c r="AK951" i="2"/>
  <c r="AI951" i="2"/>
  <c r="AE951" i="2"/>
  <c r="X951" i="2"/>
  <c r="AA951" i="2" s="1"/>
  <c r="T951" i="2"/>
  <c r="S951" i="2"/>
  <c r="U951" i="2" s="1"/>
  <c r="W951" i="2" s="1"/>
  <c r="P951" i="2"/>
  <c r="O951" i="2"/>
  <c r="K951" i="2"/>
  <c r="AF951" i="2" s="1"/>
  <c r="G951" i="2"/>
  <c r="F951" i="2"/>
  <c r="E951" i="2"/>
  <c r="AP950" i="2"/>
  <c r="AO950" i="2"/>
  <c r="AN950" i="2"/>
  <c r="AM950" i="2"/>
  <c r="AL950" i="2"/>
  <c r="AK950" i="2"/>
  <c r="AI950" i="2"/>
  <c r="AE950" i="2"/>
  <c r="AA950" i="2"/>
  <c r="X950" i="2"/>
  <c r="T950" i="2"/>
  <c r="U950" i="2" s="1"/>
  <c r="W950" i="2" s="1"/>
  <c r="S950" i="2"/>
  <c r="AG950" i="2" s="1"/>
  <c r="P950" i="2"/>
  <c r="O950" i="2"/>
  <c r="K950" i="2"/>
  <c r="G950" i="2"/>
  <c r="F950" i="2"/>
  <c r="E950" i="2"/>
  <c r="AP949" i="2"/>
  <c r="AO949" i="2"/>
  <c r="AM949" i="2"/>
  <c r="AK949" i="2"/>
  <c r="AL949" i="2" s="1"/>
  <c r="AN949" i="2" s="1"/>
  <c r="AI949" i="2"/>
  <c r="AE949" i="2"/>
  <c r="AA949" i="2"/>
  <c r="X949" i="2"/>
  <c r="T949" i="2"/>
  <c r="U949" i="2" s="1"/>
  <c r="W949" i="2" s="1"/>
  <c r="S949" i="2"/>
  <c r="AG949" i="2" s="1"/>
  <c r="P949" i="2"/>
  <c r="O949" i="2"/>
  <c r="K949" i="2"/>
  <c r="AF949" i="2" s="1"/>
  <c r="F949" i="2"/>
  <c r="E949" i="2"/>
  <c r="G949" i="2" s="1"/>
  <c r="AP948" i="2"/>
  <c r="AO948" i="2"/>
  <c r="AL948" i="2"/>
  <c r="AN948" i="2" s="1"/>
  <c r="AK948" i="2"/>
  <c r="AI948" i="2"/>
  <c r="AE948" i="2"/>
  <c r="AM948" i="2" s="1"/>
  <c r="AA948" i="2"/>
  <c r="X948" i="2"/>
  <c r="T948" i="2"/>
  <c r="S948" i="2"/>
  <c r="U948" i="2" s="1"/>
  <c r="W948" i="2" s="1"/>
  <c r="P948" i="2"/>
  <c r="O948" i="2"/>
  <c r="K948" i="2"/>
  <c r="AF948" i="2" s="1"/>
  <c r="F948" i="2"/>
  <c r="E948" i="2"/>
  <c r="G948" i="2" s="1"/>
  <c r="AP947" i="2"/>
  <c r="AO947" i="2"/>
  <c r="AM947" i="2"/>
  <c r="AN947" i="2" s="1"/>
  <c r="AL947" i="2"/>
  <c r="AK947" i="2"/>
  <c r="AI947" i="2"/>
  <c r="AE947" i="2"/>
  <c r="X947" i="2"/>
  <c r="AA947" i="2" s="1"/>
  <c r="T947" i="2"/>
  <c r="S947" i="2"/>
  <c r="P947" i="2"/>
  <c r="O947" i="2"/>
  <c r="K947" i="2"/>
  <c r="AF947" i="2" s="1"/>
  <c r="G947" i="2"/>
  <c r="F947" i="2"/>
  <c r="E947" i="2"/>
  <c r="AP946" i="2"/>
  <c r="AO946" i="2"/>
  <c r="AN946" i="2"/>
  <c r="AM946" i="2"/>
  <c r="AL946" i="2"/>
  <c r="AK946" i="2"/>
  <c r="AI946" i="2"/>
  <c r="AE946" i="2"/>
  <c r="AA946" i="2"/>
  <c r="X946" i="2"/>
  <c r="W946" i="2"/>
  <c r="U946" i="2"/>
  <c r="T946" i="2"/>
  <c r="S946" i="2"/>
  <c r="AG946" i="2" s="1"/>
  <c r="P946" i="2"/>
  <c r="O946" i="2"/>
  <c r="K946" i="2"/>
  <c r="AF946" i="2" s="1"/>
  <c r="G946" i="2"/>
  <c r="F946" i="2"/>
  <c r="E946" i="2"/>
  <c r="AP945" i="2"/>
  <c r="AO945" i="2"/>
  <c r="AM945" i="2"/>
  <c r="AL945" i="2"/>
  <c r="AN945" i="2" s="1"/>
  <c r="AK945" i="2"/>
  <c r="AE945" i="2"/>
  <c r="AA945" i="2"/>
  <c r="X945" i="2"/>
  <c r="T945" i="2"/>
  <c r="S945" i="2"/>
  <c r="P945" i="2"/>
  <c r="O945" i="2"/>
  <c r="K945" i="2"/>
  <c r="E945" i="2"/>
  <c r="AP944" i="2"/>
  <c r="AO944" i="2"/>
  <c r="AN944" i="2"/>
  <c r="AL944" i="2"/>
  <c r="AK944" i="2"/>
  <c r="AG944" i="2"/>
  <c r="AE944" i="2"/>
  <c r="AM944" i="2" s="1"/>
  <c r="AA944" i="2"/>
  <c r="X944" i="2"/>
  <c r="T944" i="2"/>
  <c r="U944" i="2" s="1"/>
  <c r="W944" i="2" s="1"/>
  <c r="S944" i="2"/>
  <c r="AI944" i="2" s="1"/>
  <c r="P944" i="2"/>
  <c r="O944" i="2"/>
  <c r="K944" i="2"/>
  <c r="AF944" i="2" s="1"/>
  <c r="F944" i="2"/>
  <c r="E944" i="2"/>
  <c r="G944" i="2" s="1"/>
  <c r="AP943" i="2"/>
  <c r="AO943" i="2"/>
  <c r="AM943" i="2"/>
  <c r="AL943" i="2"/>
  <c r="AK943" i="2"/>
  <c r="AE943" i="2"/>
  <c r="AA943" i="2"/>
  <c r="X943" i="2"/>
  <c r="T943" i="2"/>
  <c r="S943" i="2"/>
  <c r="AI943" i="2" s="1"/>
  <c r="O943" i="2"/>
  <c r="P943" i="2" s="1"/>
  <c r="K943" i="2"/>
  <c r="AF943" i="2" s="1"/>
  <c r="G943" i="2"/>
  <c r="F943" i="2"/>
  <c r="E943" i="2"/>
  <c r="AP942" i="2"/>
  <c r="AO942" i="2"/>
  <c r="AM942" i="2"/>
  <c r="AK942" i="2"/>
  <c r="AL942" i="2" s="1"/>
  <c r="AN942" i="2" s="1"/>
  <c r="AI942" i="2"/>
  <c r="AE942" i="2"/>
  <c r="AA942" i="2"/>
  <c r="X942" i="2"/>
  <c r="T942" i="2"/>
  <c r="U942" i="2" s="1"/>
  <c r="W942" i="2" s="1"/>
  <c r="S942" i="2"/>
  <c r="AG942" i="2" s="1"/>
  <c r="P942" i="2"/>
  <c r="O942" i="2"/>
  <c r="K942" i="2"/>
  <c r="AF942" i="2" s="1"/>
  <c r="F942" i="2"/>
  <c r="E942" i="2"/>
  <c r="G942" i="2" s="1"/>
  <c r="AP941" i="2"/>
  <c r="AO941" i="2"/>
  <c r="AM941" i="2"/>
  <c r="AN941" i="2" s="1"/>
  <c r="AL941" i="2"/>
  <c r="AK941" i="2"/>
  <c r="AE941" i="2"/>
  <c r="X941" i="2"/>
  <c r="AA941" i="2" s="1"/>
  <c r="T941" i="2"/>
  <c r="S941" i="2"/>
  <c r="P941" i="2"/>
  <c r="O941" i="2"/>
  <c r="K941" i="2"/>
  <c r="G941" i="2"/>
  <c r="F941" i="2"/>
  <c r="E941" i="2"/>
  <c r="AP940" i="2"/>
  <c r="AO940" i="2"/>
  <c r="AL940" i="2"/>
  <c r="AN940" i="2" s="1"/>
  <c r="AK940" i="2"/>
  <c r="AG940" i="2"/>
  <c r="AE940" i="2"/>
  <c r="AM940" i="2" s="1"/>
  <c r="AA940" i="2"/>
  <c r="X940" i="2"/>
  <c r="T940" i="2"/>
  <c r="U940" i="2" s="1"/>
  <c r="W940" i="2" s="1"/>
  <c r="S940" i="2"/>
  <c r="AI940" i="2" s="1"/>
  <c r="O940" i="2"/>
  <c r="P940" i="2" s="1"/>
  <c r="K940" i="2"/>
  <c r="E940" i="2"/>
  <c r="AP939" i="2"/>
  <c r="AO939" i="2"/>
  <c r="AN939" i="2"/>
  <c r="AL939" i="2"/>
  <c r="AK939" i="2"/>
  <c r="AG939" i="2"/>
  <c r="AE939" i="2"/>
  <c r="AM939" i="2" s="1"/>
  <c r="AA939" i="2"/>
  <c r="X939" i="2"/>
  <c r="T939" i="2"/>
  <c r="S939" i="2"/>
  <c r="P939" i="2"/>
  <c r="O939" i="2"/>
  <c r="K939" i="2"/>
  <c r="AF939" i="2" s="1"/>
  <c r="G939" i="2"/>
  <c r="F939" i="2"/>
  <c r="E939" i="2"/>
  <c r="AP938" i="2"/>
  <c r="AO938" i="2"/>
  <c r="AM938" i="2"/>
  <c r="AK938" i="2"/>
  <c r="AL938" i="2" s="1"/>
  <c r="AN938" i="2" s="1"/>
  <c r="AI938" i="2"/>
  <c r="AE938" i="2"/>
  <c r="X938" i="2"/>
  <c r="W938" i="2"/>
  <c r="U938" i="2"/>
  <c r="T938" i="2"/>
  <c r="S938" i="2"/>
  <c r="AG938" i="2" s="1"/>
  <c r="O938" i="2"/>
  <c r="P938" i="2" s="1"/>
  <c r="K938" i="2"/>
  <c r="E938" i="2"/>
  <c r="AP937" i="2"/>
  <c r="AO937" i="2"/>
  <c r="AM937" i="2"/>
  <c r="AK937" i="2"/>
  <c r="AL937" i="2" s="1"/>
  <c r="AN937" i="2" s="1"/>
  <c r="AE937" i="2"/>
  <c r="X937" i="2"/>
  <c r="AA937" i="2" s="1"/>
  <c r="T937" i="2"/>
  <c r="S937" i="2"/>
  <c r="P937" i="2"/>
  <c r="O937" i="2"/>
  <c r="K937" i="2"/>
  <c r="E937" i="2"/>
  <c r="AP936" i="2"/>
  <c r="AO936" i="2"/>
  <c r="AK936" i="2"/>
  <c r="AL936" i="2" s="1"/>
  <c r="AN936" i="2" s="1"/>
  <c r="AG936" i="2"/>
  <c r="AE936" i="2"/>
  <c r="AM936" i="2" s="1"/>
  <c r="AA936" i="2"/>
  <c r="X936" i="2"/>
  <c r="U936" i="2"/>
  <c r="W936" i="2" s="1"/>
  <c r="T936" i="2"/>
  <c r="S936" i="2"/>
  <c r="AI936" i="2" s="1"/>
  <c r="P936" i="2"/>
  <c r="O936" i="2"/>
  <c r="K936" i="2"/>
  <c r="AF936" i="2" s="1"/>
  <c r="F936" i="2"/>
  <c r="E936" i="2"/>
  <c r="G936" i="2" s="1"/>
  <c r="AP935" i="2"/>
  <c r="AO935" i="2"/>
  <c r="AL935" i="2"/>
  <c r="AK935" i="2"/>
  <c r="AI935" i="2"/>
  <c r="AE935" i="2"/>
  <c r="AM935" i="2" s="1"/>
  <c r="AN935" i="2" s="1"/>
  <c r="AA935" i="2"/>
  <c r="X935" i="2"/>
  <c r="T935" i="2"/>
  <c r="S935" i="2"/>
  <c r="O935" i="2"/>
  <c r="P935" i="2" s="1"/>
  <c r="K935" i="2"/>
  <c r="AF935" i="2" s="1"/>
  <c r="G935" i="2"/>
  <c r="F935" i="2"/>
  <c r="E935" i="2"/>
  <c r="AP934" i="2"/>
  <c r="AO934" i="2"/>
  <c r="AM934" i="2"/>
  <c r="AL934" i="2"/>
  <c r="AN934" i="2" s="1"/>
  <c r="AK934" i="2"/>
  <c r="AI934" i="2"/>
  <c r="AF934" i="2"/>
  <c r="AE934" i="2"/>
  <c r="AA934" i="2"/>
  <c r="X934" i="2"/>
  <c r="U934" i="2"/>
  <c r="W934" i="2" s="1"/>
  <c r="T934" i="2"/>
  <c r="S934" i="2"/>
  <c r="AG934" i="2" s="1"/>
  <c r="P934" i="2"/>
  <c r="O934" i="2"/>
  <c r="K934" i="2"/>
  <c r="E934" i="2"/>
  <c r="AP933" i="2"/>
  <c r="AO933" i="2"/>
  <c r="AN933" i="2"/>
  <c r="AM933" i="2"/>
  <c r="AL933" i="2"/>
  <c r="AK933" i="2"/>
  <c r="AG933" i="2"/>
  <c r="AE933" i="2"/>
  <c r="X933" i="2"/>
  <c r="AA933" i="2" s="1"/>
  <c r="T933" i="2"/>
  <c r="S933" i="2"/>
  <c r="P933" i="2"/>
  <c r="O933" i="2"/>
  <c r="K933" i="2"/>
  <c r="G933" i="2"/>
  <c r="F933" i="2"/>
  <c r="E933" i="2"/>
  <c r="AP932" i="2"/>
  <c r="AO932" i="2"/>
  <c r="AN932" i="2"/>
  <c r="AL932" i="2"/>
  <c r="AK932" i="2"/>
  <c r="AG932" i="2"/>
  <c r="AE932" i="2"/>
  <c r="AM932" i="2" s="1"/>
  <c r="AA932" i="2"/>
  <c r="X932" i="2"/>
  <c r="W932" i="2"/>
  <c r="T932" i="2"/>
  <c r="S932" i="2"/>
  <c r="U932" i="2" s="1"/>
  <c r="O932" i="2"/>
  <c r="P932" i="2" s="1"/>
  <c r="K932" i="2"/>
  <c r="F932" i="2"/>
  <c r="E932" i="2"/>
  <c r="G932" i="2" s="1"/>
  <c r="AP931" i="2"/>
  <c r="AO931" i="2"/>
  <c r="AL931" i="2"/>
  <c r="AK931" i="2"/>
  <c r="AG931" i="2"/>
  <c r="AE931" i="2"/>
  <c r="AM931" i="2" s="1"/>
  <c r="AA931" i="2"/>
  <c r="X931" i="2"/>
  <c r="T931" i="2"/>
  <c r="S931" i="2"/>
  <c r="P931" i="2"/>
  <c r="O931" i="2"/>
  <c r="K931" i="2"/>
  <c r="AF931" i="2" s="1"/>
  <c r="E931" i="2"/>
  <c r="AP930" i="2"/>
  <c r="AO930" i="2"/>
  <c r="AK930" i="2"/>
  <c r="AL930" i="2" s="1"/>
  <c r="AG930" i="2"/>
  <c r="AE930" i="2"/>
  <c r="AM930" i="2" s="1"/>
  <c r="AA930" i="2"/>
  <c r="X930" i="2"/>
  <c r="T930" i="2"/>
  <c r="S930" i="2"/>
  <c r="O930" i="2"/>
  <c r="P930" i="2" s="1"/>
  <c r="K930" i="2"/>
  <c r="AF930" i="2" s="1"/>
  <c r="G930" i="2"/>
  <c r="F930" i="2"/>
  <c r="E930" i="2"/>
  <c r="AP929" i="2"/>
  <c r="AO929" i="2"/>
  <c r="AM929" i="2"/>
  <c r="AL929" i="2"/>
  <c r="AN929" i="2" s="1"/>
  <c r="AK929" i="2"/>
  <c r="AE929" i="2"/>
  <c r="AA929" i="2"/>
  <c r="X929" i="2"/>
  <c r="U929" i="2"/>
  <c r="W929" i="2" s="1"/>
  <c r="T929" i="2"/>
  <c r="S929" i="2"/>
  <c r="AI929" i="2" s="1"/>
  <c r="O929" i="2"/>
  <c r="P929" i="2" s="1"/>
  <c r="K929" i="2"/>
  <c r="AF929" i="2" s="1"/>
  <c r="G929" i="2"/>
  <c r="F929" i="2"/>
  <c r="E929" i="2"/>
  <c r="AP928" i="2"/>
  <c r="AO928" i="2"/>
  <c r="AK928" i="2"/>
  <c r="AL928" i="2" s="1"/>
  <c r="AN928" i="2" s="1"/>
  <c r="AI928" i="2"/>
  <c r="AE928" i="2"/>
  <c r="AM928" i="2" s="1"/>
  <c r="X928" i="2"/>
  <c r="AA928" i="2" s="1"/>
  <c r="T928" i="2"/>
  <c r="S928" i="2"/>
  <c r="P928" i="2"/>
  <c r="O928" i="2"/>
  <c r="K928" i="2"/>
  <c r="G928" i="2"/>
  <c r="F928" i="2"/>
  <c r="E928" i="2"/>
  <c r="AP927" i="2"/>
  <c r="AO927" i="2"/>
  <c r="AN927" i="2"/>
  <c r="AM927" i="2"/>
  <c r="AK927" i="2"/>
  <c r="AL927" i="2" s="1"/>
  <c r="AG927" i="2"/>
  <c r="AE927" i="2"/>
  <c r="X927" i="2"/>
  <c r="AA927" i="2" s="1"/>
  <c r="U927" i="2"/>
  <c r="W927" i="2" s="1"/>
  <c r="T927" i="2"/>
  <c r="S927" i="2"/>
  <c r="AI927" i="2" s="1"/>
  <c r="P927" i="2"/>
  <c r="O927" i="2"/>
  <c r="K927" i="2"/>
  <c r="E927" i="2"/>
  <c r="F927" i="2" s="1"/>
  <c r="AP926" i="2"/>
  <c r="AO926" i="2"/>
  <c r="AK926" i="2"/>
  <c r="AL926" i="2" s="1"/>
  <c r="AN926" i="2" s="1"/>
  <c r="AE926" i="2"/>
  <c r="AM926" i="2" s="1"/>
  <c r="AA926" i="2"/>
  <c r="X926" i="2"/>
  <c r="T926" i="2"/>
  <c r="S926" i="2"/>
  <c r="O926" i="2"/>
  <c r="P926" i="2" s="1"/>
  <c r="K926" i="2"/>
  <c r="G926" i="2"/>
  <c r="F926" i="2"/>
  <c r="E926" i="2"/>
  <c r="AP925" i="2"/>
  <c r="AO925" i="2"/>
  <c r="AM925" i="2"/>
  <c r="AN925" i="2" s="1"/>
  <c r="AL925" i="2"/>
  <c r="AK925" i="2"/>
  <c r="AE925" i="2"/>
  <c r="X925" i="2"/>
  <c r="AA925" i="2" s="1"/>
  <c r="U925" i="2"/>
  <c r="W925" i="2" s="1"/>
  <c r="T925" i="2"/>
  <c r="S925" i="2"/>
  <c r="AI925" i="2" s="1"/>
  <c r="O925" i="2"/>
  <c r="P925" i="2" s="1"/>
  <c r="K925" i="2"/>
  <c r="E925" i="2"/>
  <c r="G925" i="2" s="1"/>
  <c r="AP924" i="2"/>
  <c r="AO924" i="2"/>
  <c r="AK924" i="2"/>
  <c r="AL924" i="2" s="1"/>
  <c r="AE924" i="2"/>
  <c r="AM924" i="2" s="1"/>
  <c r="X924" i="2"/>
  <c r="AA924" i="2" s="1"/>
  <c r="T924" i="2"/>
  <c r="S924" i="2"/>
  <c r="P924" i="2"/>
  <c r="O924" i="2"/>
  <c r="K924" i="2"/>
  <c r="G924" i="2"/>
  <c r="F924" i="2"/>
  <c r="E924" i="2"/>
  <c r="AP923" i="2"/>
  <c r="AO923" i="2"/>
  <c r="AK923" i="2"/>
  <c r="AL923" i="2" s="1"/>
  <c r="AG923" i="2"/>
  <c r="AE923" i="2"/>
  <c r="AM923" i="2" s="1"/>
  <c r="AN923" i="2" s="1"/>
  <c r="X923" i="2"/>
  <c r="AA923" i="2" s="1"/>
  <c r="U923" i="2"/>
  <c r="W923" i="2" s="1"/>
  <c r="T923" i="2"/>
  <c r="S923" i="2"/>
  <c r="AI923" i="2" s="1"/>
  <c r="P923" i="2"/>
  <c r="O923" i="2"/>
  <c r="K923" i="2"/>
  <c r="E923" i="2"/>
  <c r="F923" i="2" s="1"/>
  <c r="AP922" i="2"/>
  <c r="AO922" i="2"/>
  <c r="AK922" i="2"/>
  <c r="AL922" i="2" s="1"/>
  <c r="AE922" i="2"/>
  <c r="AM922" i="2" s="1"/>
  <c r="AA922" i="2"/>
  <c r="X922" i="2"/>
  <c r="T922" i="2"/>
  <c r="S922" i="2"/>
  <c r="P922" i="2"/>
  <c r="O922" i="2"/>
  <c r="K922" i="2"/>
  <c r="G922" i="2"/>
  <c r="F922" i="2"/>
  <c r="E922" i="2"/>
  <c r="AP921" i="2"/>
  <c r="AO921" i="2"/>
  <c r="AL921" i="2"/>
  <c r="AK921" i="2"/>
  <c r="AE921" i="2"/>
  <c r="AM921" i="2" s="1"/>
  <c r="X921" i="2"/>
  <c r="AA921" i="2" s="1"/>
  <c r="W921" i="2"/>
  <c r="U921" i="2"/>
  <c r="T921" i="2"/>
  <c r="S921" i="2"/>
  <c r="AI921" i="2" s="1"/>
  <c r="O921" i="2"/>
  <c r="P921" i="2" s="1"/>
  <c r="K921" i="2"/>
  <c r="F921" i="2"/>
  <c r="E921" i="2"/>
  <c r="G921" i="2" s="1"/>
  <c r="AP920" i="2"/>
  <c r="AO920" i="2"/>
  <c r="AK920" i="2"/>
  <c r="AL920" i="2" s="1"/>
  <c r="AI920" i="2"/>
  <c r="AG920" i="2"/>
  <c r="AF920" i="2"/>
  <c r="AE920" i="2"/>
  <c r="AM920" i="2" s="1"/>
  <c r="X920" i="2"/>
  <c r="AA920" i="2" s="1"/>
  <c r="T920" i="2"/>
  <c r="S920" i="2"/>
  <c r="O920" i="2"/>
  <c r="P920" i="2" s="1"/>
  <c r="K920" i="2"/>
  <c r="G920" i="2"/>
  <c r="F920" i="2"/>
  <c r="E920" i="2"/>
  <c r="AP919" i="2"/>
  <c r="AO919" i="2"/>
  <c r="AM919" i="2"/>
  <c r="AK919" i="2"/>
  <c r="AL919" i="2" s="1"/>
  <c r="AE919" i="2"/>
  <c r="X919" i="2"/>
  <c r="AA919" i="2" s="1"/>
  <c r="U919" i="2"/>
  <c r="W919" i="2" s="1"/>
  <c r="T919" i="2"/>
  <c r="S919" i="2"/>
  <c r="AI919" i="2" s="1"/>
  <c r="P919" i="2"/>
  <c r="O919" i="2"/>
  <c r="K919" i="2"/>
  <c r="E919" i="2"/>
  <c r="F919" i="2" s="1"/>
  <c r="AP918" i="2"/>
  <c r="AO918" i="2"/>
  <c r="AK918" i="2"/>
  <c r="AL918" i="2" s="1"/>
  <c r="AG918" i="2"/>
  <c r="AE918" i="2"/>
  <c r="AM918" i="2" s="1"/>
  <c r="AA918" i="2"/>
  <c r="X918" i="2"/>
  <c r="T918" i="2"/>
  <c r="S918" i="2"/>
  <c r="O918" i="2"/>
  <c r="P918" i="2" s="1"/>
  <c r="K918" i="2"/>
  <c r="AF918" i="2" s="1"/>
  <c r="G918" i="2"/>
  <c r="F918" i="2"/>
  <c r="E918" i="2"/>
  <c r="AP917" i="2"/>
  <c r="AO917" i="2"/>
  <c r="AM917" i="2"/>
  <c r="AL917" i="2"/>
  <c r="AN917" i="2" s="1"/>
  <c r="AK917" i="2"/>
  <c r="AE917" i="2"/>
  <c r="AA917" i="2"/>
  <c r="X917" i="2"/>
  <c r="U917" i="2"/>
  <c r="W917" i="2" s="1"/>
  <c r="T917" i="2"/>
  <c r="S917" i="2"/>
  <c r="AI917" i="2" s="1"/>
  <c r="O917" i="2"/>
  <c r="P917" i="2" s="1"/>
  <c r="K917" i="2"/>
  <c r="AF917" i="2" s="1"/>
  <c r="G917" i="2"/>
  <c r="F917" i="2"/>
  <c r="E917" i="2"/>
  <c r="AP916" i="2"/>
  <c r="AO916" i="2"/>
  <c r="AK916" i="2"/>
  <c r="AL916" i="2" s="1"/>
  <c r="AN916" i="2" s="1"/>
  <c r="AE916" i="2"/>
  <c r="AM916" i="2" s="1"/>
  <c r="X916" i="2"/>
  <c r="AA916" i="2" s="1"/>
  <c r="T916" i="2"/>
  <c r="S916" i="2"/>
  <c r="P916" i="2"/>
  <c r="O916" i="2"/>
  <c r="K916" i="2"/>
  <c r="G916" i="2"/>
  <c r="F916" i="2"/>
  <c r="E916" i="2"/>
  <c r="AP915" i="2"/>
  <c r="AO915" i="2"/>
  <c r="AN915" i="2"/>
  <c r="AM915" i="2"/>
  <c r="AK915" i="2"/>
  <c r="AL915" i="2" s="1"/>
  <c r="AE915" i="2"/>
  <c r="AA915" i="2"/>
  <c r="X915" i="2"/>
  <c r="T915" i="2"/>
  <c r="U915" i="2" s="1"/>
  <c r="W915" i="2" s="1"/>
  <c r="S915" i="2"/>
  <c r="AI915" i="2" s="1"/>
  <c r="P915" i="2"/>
  <c r="O915" i="2"/>
  <c r="K915" i="2"/>
  <c r="AF915" i="2" s="1"/>
  <c r="G915" i="2"/>
  <c r="E915" i="2"/>
  <c r="F915" i="2" s="1"/>
  <c r="AP914" i="2"/>
  <c r="AO914" i="2"/>
  <c r="AK914" i="2"/>
  <c r="AL914" i="2" s="1"/>
  <c r="AN914" i="2" s="1"/>
  <c r="AG914" i="2"/>
  <c r="AE914" i="2"/>
  <c r="AM914" i="2" s="1"/>
  <c r="AA914" i="2"/>
  <c r="X914" i="2"/>
  <c r="T914" i="2"/>
  <c r="S914" i="2"/>
  <c r="O914" i="2"/>
  <c r="P914" i="2" s="1"/>
  <c r="K914" i="2"/>
  <c r="AF914" i="2" s="1"/>
  <c r="G914" i="2"/>
  <c r="F914" i="2"/>
  <c r="E914" i="2"/>
  <c r="AP913" i="2"/>
  <c r="AO913" i="2"/>
  <c r="AM913" i="2"/>
  <c r="AN913" i="2" s="1"/>
  <c r="AL913" i="2"/>
  <c r="AK913" i="2"/>
  <c r="AE913" i="2"/>
  <c r="X913" i="2"/>
  <c r="AA913" i="2" s="1"/>
  <c r="U913" i="2"/>
  <c r="W913" i="2" s="1"/>
  <c r="T913" i="2"/>
  <c r="S913" i="2"/>
  <c r="AI913" i="2" s="1"/>
  <c r="O913" i="2"/>
  <c r="P913" i="2" s="1"/>
  <c r="K913" i="2"/>
  <c r="E913" i="2"/>
  <c r="AP912" i="2"/>
  <c r="AO912" i="2"/>
  <c r="AK912" i="2"/>
  <c r="AL912" i="2" s="1"/>
  <c r="AN912" i="2" s="1"/>
  <c r="AI912" i="2"/>
  <c r="AE912" i="2"/>
  <c r="AM912" i="2" s="1"/>
  <c r="X912" i="2"/>
  <c r="AA912" i="2" s="1"/>
  <c r="T912" i="2"/>
  <c r="S912" i="2"/>
  <c r="O912" i="2"/>
  <c r="P912" i="2" s="1"/>
  <c r="K912" i="2"/>
  <c r="G912" i="2"/>
  <c r="F912" i="2"/>
  <c r="E912" i="2"/>
  <c r="AP911" i="2"/>
  <c r="AO911" i="2"/>
  <c r="AM911" i="2"/>
  <c r="AN911" i="2" s="1"/>
  <c r="AK911" i="2"/>
  <c r="AL911" i="2" s="1"/>
  <c r="AE911" i="2"/>
  <c r="X911" i="2"/>
  <c r="AA911" i="2" s="1"/>
  <c r="U911" i="2"/>
  <c r="W911" i="2" s="1"/>
  <c r="T911" i="2"/>
  <c r="S911" i="2"/>
  <c r="AI911" i="2" s="1"/>
  <c r="P911" i="2"/>
  <c r="O911" i="2"/>
  <c r="K911" i="2"/>
  <c r="E911" i="2"/>
  <c r="AP910" i="2"/>
  <c r="AO910" i="2"/>
  <c r="AK910" i="2"/>
  <c r="AL910" i="2" s="1"/>
  <c r="AN910" i="2" s="1"/>
  <c r="AE910" i="2"/>
  <c r="AM910" i="2" s="1"/>
  <c r="AA910" i="2"/>
  <c r="X910" i="2"/>
  <c r="T910" i="2"/>
  <c r="S910" i="2"/>
  <c r="P910" i="2"/>
  <c r="O910" i="2"/>
  <c r="K910" i="2"/>
  <c r="G910" i="2"/>
  <c r="F910" i="2"/>
  <c r="E910" i="2"/>
  <c r="AP909" i="2"/>
  <c r="AO909" i="2"/>
  <c r="AN909" i="2"/>
  <c r="AM909" i="2"/>
  <c r="AL909" i="2"/>
  <c r="AK909" i="2"/>
  <c r="AE909" i="2"/>
  <c r="X909" i="2"/>
  <c r="AA909" i="2" s="1"/>
  <c r="W909" i="2"/>
  <c r="U909" i="2"/>
  <c r="T909" i="2"/>
  <c r="S909" i="2"/>
  <c r="AI909" i="2" s="1"/>
  <c r="O909" i="2"/>
  <c r="P909" i="2" s="1"/>
  <c r="K909" i="2"/>
  <c r="E909" i="2"/>
  <c r="G909" i="2" s="1"/>
  <c r="AP908" i="2"/>
  <c r="AO908" i="2"/>
  <c r="AK908" i="2"/>
  <c r="AL908" i="2" s="1"/>
  <c r="AE908" i="2"/>
  <c r="AM908" i="2" s="1"/>
  <c r="X908" i="2"/>
  <c r="AA908" i="2" s="1"/>
  <c r="T908" i="2"/>
  <c r="S908" i="2"/>
  <c r="P908" i="2"/>
  <c r="O908" i="2"/>
  <c r="K908" i="2"/>
  <c r="G908" i="2"/>
  <c r="F908" i="2"/>
  <c r="E908" i="2"/>
  <c r="AP907" i="2"/>
  <c r="AO907" i="2"/>
  <c r="AK907" i="2"/>
  <c r="AL907" i="2" s="1"/>
  <c r="AN907" i="2" s="1"/>
  <c r="AE907" i="2"/>
  <c r="AM907" i="2" s="1"/>
  <c r="AA907" i="2"/>
  <c r="X907" i="2"/>
  <c r="T907" i="2"/>
  <c r="U907" i="2" s="1"/>
  <c r="W907" i="2" s="1"/>
  <c r="S907" i="2"/>
  <c r="AI907" i="2" s="1"/>
  <c r="P907" i="2"/>
  <c r="O907" i="2"/>
  <c r="K907" i="2"/>
  <c r="AF907" i="2" s="1"/>
  <c r="G907" i="2"/>
  <c r="E907" i="2"/>
  <c r="F907" i="2" s="1"/>
  <c r="AP906" i="2"/>
  <c r="AO906" i="2"/>
  <c r="AK906" i="2"/>
  <c r="AL906" i="2" s="1"/>
  <c r="AE906" i="2"/>
  <c r="AM906" i="2" s="1"/>
  <c r="AA906" i="2"/>
  <c r="X906" i="2"/>
  <c r="T906" i="2"/>
  <c r="S906" i="2"/>
  <c r="P906" i="2"/>
  <c r="O906" i="2"/>
  <c r="K906" i="2"/>
  <c r="AF906" i="2" s="1"/>
  <c r="G906" i="2"/>
  <c r="F906" i="2"/>
  <c r="E906" i="2"/>
  <c r="AP905" i="2"/>
  <c r="AO905" i="2"/>
  <c r="AL905" i="2"/>
  <c r="AK905" i="2"/>
  <c r="AE905" i="2"/>
  <c r="AM905" i="2" s="1"/>
  <c r="AA905" i="2"/>
  <c r="X905" i="2"/>
  <c r="W905" i="2"/>
  <c r="U905" i="2"/>
  <c r="T905" i="2"/>
  <c r="S905" i="2"/>
  <c r="AI905" i="2" s="1"/>
  <c r="O905" i="2"/>
  <c r="P905" i="2" s="1"/>
  <c r="K905" i="2"/>
  <c r="AF905" i="2" s="1"/>
  <c r="G905" i="2"/>
  <c r="E905" i="2"/>
  <c r="F905" i="2" s="1"/>
  <c r="AP904" i="2"/>
  <c r="AO904" i="2"/>
  <c r="AK904" i="2"/>
  <c r="AL904" i="2" s="1"/>
  <c r="AI904" i="2"/>
  <c r="AG904" i="2"/>
  <c r="AF904" i="2"/>
  <c r="AE904" i="2"/>
  <c r="AM904" i="2" s="1"/>
  <c r="X904" i="2"/>
  <c r="AA904" i="2" s="1"/>
  <c r="T904" i="2"/>
  <c r="S904" i="2"/>
  <c r="O904" i="2"/>
  <c r="P904" i="2" s="1"/>
  <c r="K904" i="2"/>
  <c r="G904" i="2"/>
  <c r="F904" i="2"/>
  <c r="E904" i="2"/>
  <c r="AP903" i="2"/>
  <c r="AO903" i="2"/>
  <c r="AK903" i="2"/>
  <c r="AL903" i="2" s="1"/>
  <c r="AE903" i="2"/>
  <c r="AM903" i="2" s="1"/>
  <c r="X903" i="2"/>
  <c r="AA903" i="2" s="1"/>
  <c r="U903" i="2"/>
  <c r="W903" i="2" s="1"/>
  <c r="T903" i="2"/>
  <c r="S903" i="2"/>
  <c r="AI903" i="2" s="1"/>
  <c r="P903" i="2"/>
  <c r="O903" i="2"/>
  <c r="K903" i="2"/>
  <c r="E903" i="2"/>
  <c r="F903" i="2" s="1"/>
  <c r="AP902" i="2"/>
  <c r="AO902" i="2"/>
  <c r="AK902" i="2"/>
  <c r="AL902" i="2" s="1"/>
  <c r="AG902" i="2"/>
  <c r="AF902" i="2"/>
  <c r="AE902" i="2"/>
  <c r="AM902" i="2" s="1"/>
  <c r="AA902" i="2"/>
  <c r="X902" i="2"/>
  <c r="T902" i="2"/>
  <c r="S902" i="2"/>
  <c r="O902" i="2"/>
  <c r="P902" i="2" s="1"/>
  <c r="K902" i="2"/>
  <c r="G902" i="2"/>
  <c r="F902" i="2"/>
  <c r="E902" i="2"/>
  <c r="AP901" i="2"/>
  <c r="AO901" i="2"/>
  <c r="AM901" i="2"/>
  <c r="AL901" i="2"/>
  <c r="AK901" i="2"/>
  <c r="AE901" i="2"/>
  <c r="AA901" i="2"/>
  <c r="X901" i="2"/>
  <c r="U901" i="2"/>
  <c r="W901" i="2" s="1"/>
  <c r="T901" i="2"/>
  <c r="S901" i="2"/>
  <c r="AI901" i="2" s="1"/>
  <c r="O901" i="2"/>
  <c r="P901" i="2" s="1"/>
  <c r="K901" i="2"/>
  <c r="AF901" i="2" s="1"/>
  <c r="G901" i="2"/>
  <c r="F901" i="2"/>
  <c r="E901" i="2"/>
  <c r="AP900" i="2"/>
  <c r="AO900" i="2"/>
  <c r="AK900" i="2"/>
  <c r="AL900" i="2" s="1"/>
  <c r="AN900" i="2" s="1"/>
  <c r="AE900" i="2"/>
  <c r="AM900" i="2" s="1"/>
  <c r="X900" i="2"/>
  <c r="AA900" i="2" s="1"/>
  <c r="T900" i="2"/>
  <c r="S900" i="2"/>
  <c r="P900" i="2"/>
  <c r="O900" i="2"/>
  <c r="K900" i="2"/>
  <c r="G900" i="2"/>
  <c r="F900" i="2"/>
  <c r="E900" i="2"/>
  <c r="AP899" i="2"/>
  <c r="AO899" i="2"/>
  <c r="AN899" i="2"/>
  <c r="AK899" i="2"/>
  <c r="AL899" i="2" s="1"/>
  <c r="AE899" i="2"/>
  <c r="AM899" i="2" s="1"/>
  <c r="AA899" i="2"/>
  <c r="X899" i="2"/>
  <c r="T899" i="2"/>
  <c r="U899" i="2" s="1"/>
  <c r="W899" i="2" s="1"/>
  <c r="S899" i="2"/>
  <c r="AI899" i="2" s="1"/>
  <c r="P899" i="2"/>
  <c r="O899" i="2"/>
  <c r="K899" i="2"/>
  <c r="AF899" i="2" s="1"/>
  <c r="G899" i="2"/>
  <c r="E899" i="2"/>
  <c r="F899" i="2" s="1"/>
  <c r="AP898" i="2"/>
  <c r="AO898" i="2"/>
  <c r="AK898" i="2"/>
  <c r="AL898" i="2" s="1"/>
  <c r="AN898" i="2" s="1"/>
  <c r="AG898" i="2"/>
  <c r="AE898" i="2"/>
  <c r="AM898" i="2" s="1"/>
  <c r="AA898" i="2"/>
  <c r="X898" i="2"/>
  <c r="T898" i="2"/>
  <c r="S898" i="2"/>
  <c r="P898" i="2"/>
  <c r="O898" i="2"/>
  <c r="K898" i="2"/>
  <c r="AF898" i="2" s="1"/>
  <c r="G898" i="2"/>
  <c r="F898" i="2"/>
  <c r="E898" i="2"/>
  <c r="AP897" i="2"/>
  <c r="AO897" i="2"/>
  <c r="AN897" i="2"/>
  <c r="AM897" i="2"/>
  <c r="AL897" i="2"/>
  <c r="AK897" i="2"/>
  <c r="AE897" i="2"/>
  <c r="X897" i="2"/>
  <c r="AA897" i="2" s="1"/>
  <c r="W897" i="2"/>
  <c r="U897" i="2"/>
  <c r="T897" i="2"/>
  <c r="S897" i="2"/>
  <c r="AI897" i="2" s="1"/>
  <c r="O897" i="2"/>
  <c r="P897" i="2" s="1"/>
  <c r="K897" i="2"/>
  <c r="E897" i="2"/>
  <c r="AP896" i="2"/>
  <c r="AO896" i="2"/>
  <c r="AK896" i="2"/>
  <c r="AL896" i="2" s="1"/>
  <c r="AN896" i="2" s="1"/>
  <c r="AI896" i="2"/>
  <c r="AE896" i="2"/>
  <c r="AM896" i="2" s="1"/>
  <c r="X896" i="2"/>
  <c r="AA896" i="2" s="1"/>
  <c r="T896" i="2"/>
  <c r="S896" i="2"/>
  <c r="O896" i="2"/>
  <c r="P896" i="2" s="1"/>
  <c r="K896" i="2"/>
  <c r="AF896" i="2" s="1"/>
  <c r="G896" i="2"/>
  <c r="F896" i="2"/>
  <c r="E896" i="2"/>
  <c r="AP895" i="2"/>
  <c r="AO895" i="2"/>
  <c r="AM895" i="2"/>
  <c r="AN895" i="2" s="1"/>
  <c r="AL895" i="2"/>
  <c r="AK895" i="2"/>
  <c r="AI895" i="2"/>
  <c r="AE895" i="2"/>
  <c r="X895" i="2"/>
  <c r="AA895" i="2" s="1"/>
  <c r="W895" i="2"/>
  <c r="U895" i="2"/>
  <c r="T895" i="2"/>
  <c r="S895" i="2"/>
  <c r="AG895" i="2" s="1"/>
  <c r="P895" i="2"/>
  <c r="O895" i="2"/>
  <c r="K895" i="2"/>
  <c r="AF895" i="2" s="1"/>
  <c r="G895" i="2"/>
  <c r="F895" i="2"/>
  <c r="E895" i="2"/>
  <c r="AP894" i="2"/>
  <c r="AO894" i="2"/>
  <c r="AM894" i="2"/>
  <c r="AK894" i="2"/>
  <c r="AL894" i="2" s="1"/>
  <c r="AN894" i="2" s="1"/>
  <c r="AI894" i="2"/>
  <c r="AE894" i="2"/>
  <c r="X894" i="2"/>
  <c r="AA894" i="2" s="1"/>
  <c r="W894" i="2"/>
  <c r="U894" i="2"/>
  <c r="T894" i="2"/>
  <c r="S894" i="2"/>
  <c r="AG894" i="2" s="1"/>
  <c r="P894" i="2"/>
  <c r="O894" i="2"/>
  <c r="K894" i="2"/>
  <c r="E894" i="2"/>
  <c r="AP893" i="2"/>
  <c r="AO893" i="2"/>
  <c r="AL893" i="2"/>
  <c r="AK893" i="2"/>
  <c r="AF893" i="2"/>
  <c r="AE893" i="2"/>
  <c r="AM893" i="2" s="1"/>
  <c r="AA893" i="2"/>
  <c r="X893" i="2"/>
  <c r="T893" i="2"/>
  <c r="S893" i="2"/>
  <c r="U893" i="2" s="1"/>
  <c r="W893" i="2" s="1"/>
  <c r="P893" i="2"/>
  <c r="O893" i="2"/>
  <c r="K893" i="2"/>
  <c r="E893" i="2"/>
  <c r="AP892" i="2"/>
  <c r="AO892" i="2"/>
  <c r="AN892" i="2"/>
  <c r="AL892" i="2"/>
  <c r="AK892" i="2"/>
  <c r="AE892" i="2"/>
  <c r="AM892" i="2" s="1"/>
  <c r="AA892" i="2"/>
  <c r="X892" i="2"/>
  <c r="T892" i="2"/>
  <c r="S892" i="2"/>
  <c r="U892" i="2" s="1"/>
  <c r="W892" i="2" s="1"/>
  <c r="P892" i="2"/>
  <c r="O892" i="2"/>
  <c r="K892" i="2"/>
  <c r="AF892" i="2" s="1"/>
  <c r="G892" i="2"/>
  <c r="F892" i="2"/>
  <c r="E892" i="2"/>
  <c r="AP891" i="2"/>
  <c r="AO891" i="2"/>
  <c r="AM891" i="2"/>
  <c r="AL891" i="2"/>
  <c r="AN891" i="2" s="1"/>
  <c r="AK891" i="2"/>
  <c r="AI891" i="2"/>
  <c r="AE891" i="2"/>
  <c r="X891" i="2"/>
  <c r="AA891" i="2" s="1"/>
  <c r="W891" i="2"/>
  <c r="U891" i="2"/>
  <c r="T891" i="2"/>
  <c r="S891" i="2"/>
  <c r="AG891" i="2" s="1"/>
  <c r="O891" i="2"/>
  <c r="P891" i="2" s="1"/>
  <c r="K891" i="2"/>
  <c r="G891" i="2"/>
  <c r="F891" i="2"/>
  <c r="E891" i="2"/>
  <c r="AP890" i="2"/>
  <c r="AO890" i="2"/>
  <c r="AM890" i="2"/>
  <c r="AK890" i="2"/>
  <c r="AL890" i="2" s="1"/>
  <c r="AN890" i="2" s="1"/>
  <c r="AI890" i="2"/>
  <c r="AE890" i="2"/>
  <c r="AA890" i="2"/>
  <c r="X890" i="2"/>
  <c r="U890" i="2"/>
  <c r="W890" i="2" s="1"/>
  <c r="T890" i="2"/>
  <c r="S890" i="2"/>
  <c r="AG890" i="2" s="1"/>
  <c r="P890" i="2"/>
  <c r="O890" i="2"/>
  <c r="K890" i="2"/>
  <c r="AF890" i="2" s="1"/>
  <c r="E890" i="2"/>
  <c r="AP889" i="2"/>
  <c r="AO889" i="2"/>
  <c r="AL889" i="2"/>
  <c r="AK889" i="2"/>
  <c r="AI889" i="2"/>
  <c r="AF889" i="2"/>
  <c r="AE889" i="2"/>
  <c r="AM889" i="2" s="1"/>
  <c r="AA889" i="2"/>
  <c r="X889" i="2"/>
  <c r="W889" i="2"/>
  <c r="U889" i="2"/>
  <c r="T889" i="2"/>
  <c r="S889" i="2"/>
  <c r="AG889" i="2" s="1"/>
  <c r="P889" i="2"/>
  <c r="O889" i="2"/>
  <c r="K889" i="2"/>
  <c r="F889" i="2"/>
  <c r="E889" i="2"/>
  <c r="G889" i="2" s="1"/>
  <c r="AP888" i="2"/>
  <c r="AO888" i="2"/>
  <c r="AL888" i="2"/>
  <c r="AK888" i="2"/>
  <c r="AI888" i="2"/>
  <c r="AG888" i="2"/>
  <c r="AE888" i="2"/>
  <c r="AM888" i="2" s="1"/>
  <c r="AN888" i="2" s="1"/>
  <c r="AA888" i="2"/>
  <c r="X888" i="2"/>
  <c r="T888" i="2"/>
  <c r="S888" i="2"/>
  <c r="U888" i="2" s="1"/>
  <c r="W888" i="2" s="1"/>
  <c r="P888" i="2"/>
  <c r="O888" i="2"/>
  <c r="K888" i="2"/>
  <c r="AF888" i="2" s="1"/>
  <c r="G888" i="2"/>
  <c r="F888" i="2"/>
  <c r="E888" i="2"/>
  <c r="AP887" i="2"/>
  <c r="AO887" i="2"/>
  <c r="AN887" i="2"/>
  <c r="AM887" i="2"/>
  <c r="AL887" i="2"/>
  <c r="AK887" i="2"/>
  <c r="AI887" i="2"/>
  <c r="AE887" i="2"/>
  <c r="X887" i="2"/>
  <c r="AA887" i="2" s="1"/>
  <c r="W887" i="2"/>
  <c r="U887" i="2"/>
  <c r="T887" i="2"/>
  <c r="S887" i="2"/>
  <c r="AG887" i="2" s="1"/>
  <c r="O887" i="2"/>
  <c r="P887" i="2" s="1"/>
  <c r="K887" i="2"/>
  <c r="G887" i="2"/>
  <c r="F887" i="2"/>
  <c r="E887" i="2"/>
  <c r="AP886" i="2"/>
  <c r="AO886" i="2"/>
  <c r="AM886" i="2"/>
  <c r="AL886" i="2"/>
  <c r="AN886" i="2" s="1"/>
  <c r="AK886" i="2"/>
  <c r="AI886" i="2"/>
  <c r="AE886" i="2"/>
  <c r="AA886" i="2"/>
  <c r="X886" i="2"/>
  <c r="T886" i="2"/>
  <c r="U886" i="2" s="1"/>
  <c r="W886" i="2" s="1"/>
  <c r="S886" i="2"/>
  <c r="AG886" i="2" s="1"/>
  <c r="P886" i="2"/>
  <c r="O886" i="2"/>
  <c r="K886" i="2"/>
  <c r="AF886" i="2" s="1"/>
  <c r="E886" i="2"/>
  <c r="G886" i="2" s="1"/>
  <c r="AP885" i="2"/>
  <c r="AO885" i="2"/>
  <c r="AK885" i="2"/>
  <c r="AL885" i="2" s="1"/>
  <c r="AN885" i="2" s="1"/>
  <c r="AI885" i="2"/>
  <c r="AE885" i="2"/>
  <c r="AM885" i="2" s="1"/>
  <c r="AA885" i="2"/>
  <c r="X885" i="2"/>
  <c r="U885" i="2"/>
  <c r="W885" i="2" s="1"/>
  <c r="T885" i="2"/>
  <c r="S885" i="2"/>
  <c r="AG885" i="2" s="1"/>
  <c r="P885" i="2"/>
  <c r="O885" i="2"/>
  <c r="K885" i="2"/>
  <c r="E885" i="2"/>
  <c r="AP884" i="2"/>
  <c r="AO884" i="2"/>
  <c r="AL884" i="2"/>
  <c r="AK884" i="2"/>
  <c r="AI884" i="2"/>
  <c r="AG884" i="2"/>
  <c r="AE884" i="2"/>
  <c r="AM884" i="2" s="1"/>
  <c r="AN884" i="2" s="1"/>
  <c r="AA884" i="2"/>
  <c r="X884" i="2"/>
  <c r="T884" i="2"/>
  <c r="S884" i="2"/>
  <c r="U884" i="2" s="1"/>
  <c r="W884" i="2" s="1"/>
  <c r="O884" i="2"/>
  <c r="P884" i="2" s="1"/>
  <c r="K884" i="2"/>
  <c r="AF884" i="2" s="1"/>
  <c r="G884" i="2"/>
  <c r="F884" i="2"/>
  <c r="E884" i="2"/>
  <c r="AP883" i="2"/>
  <c r="AO883" i="2"/>
  <c r="AM883" i="2"/>
  <c r="AL883" i="2"/>
  <c r="AN883" i="2" s="1"/>
  <c r="AK883" i="2"/>
  <c r="AI883" i="2"/>
  <c r="AE883" i="2"/>
  <c r="X883" i="2"/>
  <c r="AA883" i="2" s="1"/>
  <c r="W883" i="2"/>
  <c r="U883" i="2"/>
  <c r="T883" i="2"/>
  <c r="S883" i="2"/>
  <c r="AG883" i="2" s="1"/>
  <c r="P883" i="2"/>
  <c r="O883" i="2"/>
  <c r="K883" i="2"/>
  <c r="AF883" i="2" s="1"/>
  <c r="G883" i="2"/>
  <c r="F883" i="2"/>
  <c r="E883" i="2"/>
  <c r="AP882" i="2"/>
  <c r="AO882" i="2"/>
  <c r="AM882" i="2"/>
  <c r="AK882" i="2"/>
  <c r="AL882" i="2" s="1"/>
  <c r="AN882" i="2" s="1"/>
  <c r="AI882" i="2"/>
  <c r="AE882" i="2"/>
  <c r="AA882" i="2"/>
  <c r="X882" i="2"/>
  <c r="T882" i="2"/>
  <c r="U882" i="2" s="1"/>
  <c r="W882" i="2" s="1"/>
  <c r="S882" i="2"/>
  <c r="AG882" i="2" s="1"/>
  <c r="P882" i="2"/>
  <c r="O882" i="2"/>
  <c r="K882" i="2"/>
  <c r="AF882" i="2" s="1"/>
  <c r="G882" i="2"/>
  <c r="F882" i="2"/>
  <c r="E882" i="2"/>
  <c r="AP881" i="2"/>
  <c r="AO881" i="2"/>
  <c r="AL881" i="2"/>
  <c r="AN881" i="2" s="1"/>
  <c r="AK881" i="2"/>
  <c r="AI881" i="2"/>
  <c r="AG881" i="2"/>
  <c r="AE881" i="2"/>
  <c r="AM881" i="2" s="1"/>
  <c r="AA881" i="2"/>
  <c r="X881" i="2"/>
  <c r="U881" i="2"/>
  <c r="W881" i="2" s="1"/>
  <c r="T881" i="2"/>
  <c r="S881" i="2"/>
  <c r="AF881" i="2" s="1"/>
  <c r="P881" i="2"/>
  <c r="O881" i="2"/>
  <c r="K881" i="2"/>
  <c r="E881" i="2"/>
  <c r="G881" i="2" s="1"/>
  <c r="AP880" i="2"/>
  <c r="AO880" i="2"/>
  <c r="AL880" i="2"/>
  <c r="AK880" i="2"/>
  <c r="AI880" i="2"/>
  <c r="AG880" i="2"/>
  <c r="AF880" i="2"/>
  <c r="AE880" i="2"/>
  <c r="AM880" i="2" s="1"/>
  <c r="AN880" i="2" s="1"/>
  <c r="AA880" i="2"/>
  <c r="X880" i="2"/>
  <c r="T880" i="2"/>
  <c r="S880" i="2"/>
  <c r="O880" i="2"/>
  <c r="P880" i="2" s="1"/>
  <c r="K880" i="2"/>
  <c r="G880" i="2"/>
  <c r="F880" i="2"/>
  <c r="E880" i="2"/>
  <c r="AP879" i="2"/>
  <c r="AO879" i="2"/>
  <c r="AM879" i="2"/>
  <c r="AL879" i="2"/>
  <c r="AK879" i="2"/>
  <c r="AI879" i="2"/>
  <c r="AF879" i="2"/>
  <c r="AE879" i="2"/>
  <c r="X879" i="2"/>
  <c r="AA879" i="2" s="1"/>
  <c r="W879" i="2"/>
  <c r="U879" i="2"/>
  <c r="T879" i="2"/>
  <c r="S879" i="2"/>
  <c r="AG879" i="2" s="1"/>
  <c r="P879" i="2"/>
  <c r="O879" i="2"/>
  <c r="K879" i="2"/>
  <c r="G879" i="2"/>
  <c r="F879" i="2"/>
  <c r="E879" i="2"/>
  <c r="AP878" i="2"/>
  <c r="AO878" i="2"/>
  <c r="AM878" i="2"/>
  <c r="AK878" i="2"/>
  <c r="AL878" i="2" s="1"/>
  <c r="AN878" i="2" s="1"/>
  <c r="AI878" i="2"/>
  <c r="AE878" i="2"/>
  <c r="AA878" i="2"/>
  <c r="X878" i="2"/>
  <c r="W878" i="2"/>
  <c r="U878" i="2"/>
  <c r="T878" i="2"/>
  <c r="S878" i="2"/>
  <c r="AG878" i="2" s="1"/>
  <c r="P878" i="2"/>
  <c r="O878" i="2"/>
  <c r="K878" i="2"/>
  <c r="AF878" i="2" s="1"/>
  <c r="G878" i="2"/>
  <c r="F878" i="2"/>
  <c r="E878" i="2"/>
  <c r="AP877" i="2"/>
  <c r="AO877" i="2"/>
  <c r="AL877" i="2"/>
  <c r="AN877" i="2" s="1"/>
  <c r="AK877" i="2"/>
  <c r="AI877" i="2"/>
  <c r="AF877" i="2"/>
  <c r="AE877" i="2"/>
  <c r="AM877" i="2" s="1"/>
  <c r="AA877" i="2"/>
  <c r="X877" i="2"/>
  <c r="U877" i="2"/>
  <c r="W877" i="2" s="1"/>
  <c r="T877" i="2"/>
  <c r="S877" i="2"/>
  <c r="AG877" i="2" s="1"/>
  <c r="P877" i="2"/>
  <c r="O877" i="2"/>
  <c r="K877" i="2"/>
  <c r="E877" i="2"/>
  <c r="AP876" i="2"/>
  <c r="AO876" i="2"/>
  <c r="AL876" i="2"/>
  <c r="AK876" i="2"/>
  <c r="AG876" i="2"/>
  <c r="AF876" i="2"/>
  <c r="AE876" i="2"/>
  <c r="AM876" i="2" s="1"/>
  <c r="AN876" i="2" s="1"/>
  <c r="AA876" i="2"/>
  <c r="X876" i="2"/>
  <c r="T876" i="2"/>
  <c r="S876" i="2"/>
  <c r="AI876" i="2" s="1"/>
  <c r="O876" i="2"/>
  <c r="P876" i="2" s="1"/>
  <c r="K876" i="2"/>
  <c r="G876" i="2"/>
  <c r="F876" i="2"/>
  <c r="E876" i="2"/>
  <c r="AP875" i="2"/>
  <c r="AO875" i="2"/>
  <c r="AL875" i="2"/>
  <c r="AK875" i="2"/>
  <c r="AI875" i="2"/>
  <c r="AF875" i="2"/>
  <c r="AE875" i="2"/>
  <c r="AM875" i="2" s="1"/>
  <c r="AA875" i="2"/>
  <c r="X875" i="2"/>
  <c r="W875" i="2"/>
  <c r="U875" i="2"/>
  <c r="T875" i="2"/>
  <c r="S875" i="2"/>
  <c r="AG875" i="2" s="1"/>
  <c r="P875" i="2"/>
  <c r="O875" i="2"/>
  <c r="K875" i="2"/>
  <c r="G875" i="2"/>
  <c r="F875" i="2"/>
  <c r="E875" i="2"/>
  <c r="AP874" i="2"/>
  <c r="AO874" i="2"/>
  <c r="AN874" i="2"/>
  <c r="AM874" i="2"/>
  <c r="AL874" i="2"/>
  <c r="AK874" i="2"/>
  <c r="AI874" i="2"/>
  <c r="AE874" i="2"/>
  <c r="X874" i="2"/>
  <c r="AA874" i="2" s="1"/>
  <c r="U874" i="2"/>
  <c r="W874" i="2" s="1"/>
  <c r="T874" i="2"/>
  <c r="S874" i="2"/>
  <c r="AG874" i="2" s="1"/>
  <c r="P874" i="2"/>
  <c r="O874" i="2"/>
  <c r="K874" i="2"/>
  <c r="E874" i="2"/>
  <c r="AP873" i="2"/>
  <c r="AO873" i="2"/>
  <c r="AK873" i="2"/>
  <c r="AL873" i="2" s="1"/>
  <c r="AG873" i="2"/>
  <c r="AF873" i="2"/>
  <c r="AE873" i="2"/>
  <c r="AM873" i="2" s="1"/>
  <c r="AA873" i="2"/>
  <c r="X873" i="2"/>
  <c r="U873" i="2"/>
  <c r="W873" i="2" s="1"/>
  <c r="T873" i="2"/>
  <c r="S873" i="2"/>
  <c r="AI873" i="2" s="1"/>
  <c r="P873" i="2"/>
  <c r="O873" i="2"/>
  <c r="K873" i="2"/>
  <c r="E873" i="2"/>
  <c r="G873" i="2" s="1"/>
  <c r="AP872" i="2"/>
  <c r="AO872" i="2"/>
  <c r="AL872" i="2"/>
  <c r="AK872" i="2"/>
  <c r="AE872" i="2"/>
  <c r="AM872" i="2" s="1"/>
  <c r="AN872" i="2" s="1"/>
  <c r="AA872" i="2"/>
  <c r="X872" i="2"/>
  <c r="T872" i="2"/>
  <c r="S872" i="2"/>
  <c r="P872" i="2"/>
  <c r="O872" i="2"/>
  <c r="K872" i="2"/>
  <c r="G872" i="2"/>
  <c r="F872" i="2"/>
  <c r="E872" i="2"/>
  <c r="AP871" i="2"/>
  <c r="AO871" i="2"/>
  <c r="AL871" i="2"/>
  <c r="AK871" i="2"/>
  <c r="AI871" i="2"/>
  <c r="AE871" i="2"/>
  <c r="AM871" i="2" s="1"/>
  <c r="AA871" i="2"/>
  <c r="X871" i="2"/>
  <c r="W871" i="2"/>
  <c r="U871" i="2"/>
  <c r="T871" i="2"/>
  <c r="S871" i="2"/>
  <c r="AG871" i="2" s="1"/>
  <c r="O871" i="2"/>
  <c r="P871" i="2" s="1"/>
  <c r="K871" i="2"/>
  <c r="AF871" i="2" s="1"/>
  <c r="G871" i="2"/>
  <c r="F871" i="2"/>
  <c r="E871" i="2"/>
  <c r="AP870" i="2"/>
  <c r="AO870" i="2"/>
  <c r="AM870" i="2"/>
  <c r="AL870" i="2"/>
  <c r="AK870" i="2"/>
  <c r="AI870" i="2"/>
  <c r="AE870" i="2"/>
  <c r="X870" i="2"/>
  <c r="AA870" i="2" s="1"/>
  <c r="U870" i="2"/>
  <c r="W870" i="2" s="1"/>
  <c r="T870" i="2"/>
  <c r="S870" i="2"/>
  <c r="AG870" i="2" s="1"/>
  <c r="P870" i="2"/>
  <c r="O870" i="2"/>
  <c r="K870" i="2"/>
  <c r="E870" i="2"/>
  <c r="AP869" i="2"/>
  <c r="AO869" i="2"/>
  <c r="AK869" i="2"/>
  <c r="AL869" i="2" s="1"/>
  <c r="AN869" i="2" s="1"/>
  <c r="AE869" i="2"/>
  <c r="AM869" i="2" s="1"/>
  <c r="AA869" i="2"/>
  <c r="X869" i="2"/>
  <c r="T869" i="2"/>
  <c r="S869" i="2"/>
  <c r="P869" i="2"/>
  <c r="O869" i="2"/>
  <c r="K869" i="2"/>
  <c r="F869" i="2"/>
  <c r="E869" i="2"/>
  <c r="G869" i="2" s="1"/>
  <c r="AP868" i="2"/>
  <c r="AO868" i="2"/>
  <c r="AN868" i="2"/>
  <c r="AL868" i="2"/>
  <c r="AK868" i="2"/>
  <c r="AE868" i="2"/>
  <c r="AM868" i="2" s="1"/>
  <c r="AA868" i="2"/>
  <c r="X868" i="2"/>
  <c r="T868" i="2"/>
  <c r="S868" i="2"/>
  <c r="P868" i="2"/>
  <c r="O868" i="2"/>
  <c r="K868" i="2"/>
  <c r="G868" i="2"/>
  <c r="F868" i="2"/>
  <c r="E868" i="2"/>
  <c r="AP867" i="2"/>
  <c r="AO867" i="2"/>
  <c r="AL867" i="2"/>
  <c r="AK867" i="2"/>
  <c r="AI867" i="2"/>
  <c r="AE867" i="2"/>
  <c r="AM867" i="2" s="1"/>
  <c r="AN867" i="2" s="1"/>
  <c r="AA867" i="2"/>
  <c r="X867" i="2"/>
  <c r="W867" i="2"/>
  <c r="U867" i="2"/>
  <c r="T867" i="2"/>
  <c r="S867" i="2"/>
  <c r="AG867" i="2" s="1"/>
  <c r="O867" i="2"/>
  <c r="P867" i="2" s="1"/>
  <c r="K867" i="2"/>
  <c r="AF867" i="2" s="1"/>
  <c r="G867" i="2"/>
  <c r="F867" i="2"/>
  <c r="E867" i="2"/>
  <c r="AP866" i="2"/>
  <c r="AO866" i="2"/>
  <c r="AM866" i="2"/>
  <c r="AL866" i="2"/>
  <c r="AN866" i="2" s="1"/>
  <c r="AK866" i="2"/>
  <c r="AI866" i="2"/>
  <c r="AE866" i="2"/>
  <c r="X866" i="2"/>
  <c r="AA866" i="2" s="1"/>
  <c r="U866" i="2"/>
  <c r="W866" i="2" s="1"/>
  <c r="T866" i="2"/>
  <c r="S866" i="2"/>
  <c r="AG866" i="2" s="1"/>
  <c r="P866" i="2"/>
  <c r="O866" i="2"/>
  <c r="K866" i="2"/>
  <c r="E866" i="2"/>
  <c r="AP865" i="2"/>
  <c r="AO865" i="2"/>
  <c r="AL865" i="2"/>
  <c r="AK865" i="2"/>
  <c r="AE865" i="2"/>
  <c r="AM865" i="2" s="1"/>
  <c r="AA865" i="2"/>
  <c r="X865" i="2"/>
  <c r="T865" i="2"/>
  <c r="S865" i="2"/>
  <c r="P865" i="2"/>
  <c r="O865" i="2"/>
  <c r="K865" i="2"/>
  <c r="F865" i="2"/>
  <c r="E865" i="2"/>
  <c r="G865" i="2" s="1"/>
  <c r="AP864" i="2"/>
  <c r="AO864" i="2"/>
  <c r="AN864" i="2"/>
  <c r="AL864" i="2"/>
  <c r="AK864" i="2"/>
  <c r="AI864" i="2"/>
  <c r="AG864" i="2"/>
  <c r="AE864" i="2"/>
  <c r="AM864" i="2" s="1"/>
  <c r="AA864" i="2"/>
  <c r="X864" i="2"/>
  <c r="T864" i="2"/>
  <c r="S864" i="2"/>
  <c r="O864" i="2"/>
  <c r="P864" i="2" s="1"/>
  <c r="K864" i="2"/>
  <c r="AF864" i="2" s="1"/>
  <c r="G864" i="2"/>
  <c r="F864" i="2"/>
  <c r="E864" i="2"/>
  <c r="AP863" i="2"/>
  <c r="AO863" i="2"/>
  <c r="AL863" i="2"/>
  <c r="AK863" i="2"/>
  <c r="AI863" i="2"/>
  <c r="AF863" i="2"/>
  <c r="AE863" i="2"/>
  <c r="AM863" i="2" s="1"/>
  <c r="AN863" i="2" s="1"/>
  <c r="AA863" i="2"/>
  <c r="X863" i="2"/>
  <c r="W863" i="2"/>
  <c r="U863" i="2"/>
  <c r="T863" i="2"/>
  <c r="S863" i="2"/>
  <c r="AG863" i="2" s="1"/>
  <c r="P863" i="2"/>
  <c r="O863" i="2"/>
  <c r="K863" i="2"/>
  <c r="G863" i="2"/>
  <c r="F863" i="2"/>
  <c r="E863" i="2"/>
  <c r="AP862" i="2"/>
  <c r="AO862" i="2"/>
  <c r="AN862" i="2"/>
  <c r="AM862" i="2"/>
  <c r="AL862" i="2"/>
  <c r="AK862" i="2"/>
  <c r="AI862" i="2"/>
  <c r="AE862" i="2"/>
  <c r="X862" i="2"/>
  <c r="AA862" i="2" s="1"/>
  <c r="W862" i="2"/>
  <c r="U862" i="2"/>
  <c r="T862" i="2"/>
  <c r="S862" i="2"/>
  <c r="AG862" i="2" s="1"/>
  <c r="P862" i="2"/>
  <c r="O862" i="2"/>
  <c r="K862" i="2"/>
  <c r="E862" i="2"/>
  <c r="G862" i="2" s="1"/>
  <c r="AP861" i="2"/>
  <c r="AO861" i="2"/>
  <c r="AL861" i="2"/>
  <c r="AK861" i="2"/>
  <c r="AF861" i="2"/>
  <c r="AE861" i="2"/>
  <c r="AM861" i="2" s="1"/>
  <c r="AA861" i="2"/>
  <c r="X861" i="2"/>
  <c r="W861" i="2"/>
  <c r="T861" i="2"/>
  <c r="S861" i="2"/>
  <c r="U861" i="2" s="1"/>
  <c r="P861" i="2"/>
  <c r="O861" i="2"/>
  <c r="K861" i="2"/>
  <c r="E861" i="2"/>
  <c r="G861" i="2" s="1"/>
  <c r="AP860" i="2"/>
  <c r="AO860" i="2"/>
  <c r="AN860" i="2"/>
  <c r="AL860" i="2"/>
  <c r="AK860" i="2"/>
  <c r="AI860" i="2"/>
  <c r="AG860" i="2"/>
  <c r="AF860" i="2"/>
  <c r="AE860" i="2"/>
  <c r="AM860" i="2" s="1"/>
  <c r="AA860" i="2"/>
  <c r="X860" i="2"/>
  <c r="T860" i="2"/>
  <c r="S860" i="2"/>
  <c r="U860" i="2" s="1"/>
  <c r="W860" i="2" s="1"/>
  <c r="O860" i="2"/>
  <c r="P860" i="2" s="1"/>
  <c r="K860" i="2"/>
  <c r="G860" i="2"/>
  <c r="F860" i="2"/>
  <c r="E860" i="2"/>
  <c r="AP859" i="2"/>
  <c r="AO859" i="2"/>
  <c r="AM859" i="2"/>
  <c r="AL859" i="2"/>
  <c r="AN859" i="2" s="1"/>
  <c r="AK859" i="2"/>
  <c r="AI859" i="2"/>
  <c r="AE859" i="2"/>
  <c r="X859" i="2"/>
  <c r="AA859" i="2" s="1"/>
  <c r="W859" i="2"/>
  <c r="U859" i="2"/>
  <c r="T859" i="2"/>
  <c r="S859" i="2"/>
  <c r="AG859" i="2" s="1"/>
  <c r="O859" i="2"/>
  <c r="P859" i="2" s="1"/>
  <c r="K859" i="2"/>
  <c r="G859" i="2"/>
  <c r="F859" i="2"/>
  <c r="E859" i="2"/>
  <c r="AP858" i="2"/>
  <c r="AO858" i="2"/>
  <c r="AM858" i="2"/>
  <c r="AL858" i="2"/>
  <c r="AK858" i="2"/>
  <c r="AI858" i="2"/>
  <c r="AE858" i="2"/>
  <c r="AA858" i="2"/>
  <c r="X858" i="2"/>
  <c r="T858" i="2"/>
  <c r="U858" i="2" s="1"/>
  <c r="W858" i="2" s="1"/>
  <c r="S858" i="2"/>
  <c r="AG858" i="2" s="1"/>
  <c r="P858" i="2"/>
  <c r="O858" i="2"/>
  <c r="K858" i="2"/>
  <c r="AF858" i="2" s="1"/>
  <c r="E858" i="2"/>
  <c r="AP857" i="2"/>
  <c r="AO857" i="2"/>
  <c r="AK857" i="2"/>
  <c r="AL857" i="2" s="1"/>
  <c r="AN857" i="2" s="1"/>
  <c r="AI857" i="2"/>
  <c r="AF857" i="2"/>
  <c r="AE857" i="2"/>
  <c r="AM857" i="2" s="1"/>
  <c r="AA857" i="2"/>
  <c r="X857" i="2"/>
  <c r="U857" i="2"/>
  <c r="W857" i="2" s="1"/>
  <c r="T857" i="2"/>
  <c r="S857" i="2"/>
  <c r="AG857" i="2" s="1"/>
  <c r="P857" i="2"/>
  <c r="O857" i="2"/>
  <c r="K857" i="2"/>
  <c r="F857" i="2"/>
  <c r="E857" i="2"/>
  <c r="G857" i="2" s="1"/>
  <c r="AP856" i="2"/>
  <c r="AO856" i="2"/>
  <c r="AL856" i="2"/>
  <c r="AK856" i="2"/>
  <c r="AI856" i="2"/>
  <c r="AG856" i="2"/>
  <c r="AE856" i="2"/>
  <c r="AM856" i="2" s="1"/>
  <c r="AN856" i="2" s="1"/>
  <c r="AA856" i="2"/>
  <c r="X856" i="2"/>
  <c r="T856" i="2"/>
  <c r="S856" i="2"/>
  <c r="U856" i="2" s="1"/>
  <c r="W856" i="2" s="1"/>
  <c r="O856" i="2"/>
  <c r="P856" i="2" s="1"/>
  <c r="K856" i="2"/>
  <c r="AF856" i="2" s="1"/>
  <c r="G856" i="2"/>
  <c r="F856" i="2"/>
  <c r="E856" i="2"/>
  <c r="AP855" i="2"/>
  <c r="AO855" i="2"/>
  <c r="AM855" i="2"/>
  <c r="AL855" i="2"/>
  <c r="AN855" i="2" s="1"/>
  <c r="AK855" i="2"/>
  <c r="AI855" i="2"/>
  <c r="AE855" i="2"/>
  <c r="AA855" i="2"/>
  <c r="X855" i="2"/>
  <c r="W855" i="2"/>
  <c r="U855" i="2"/>
  <c r="T855" i="2"/>
  <c r="S855" i="2"/>
  <c r="AG855" i="2" s="1"/>
  <c r="O855" i="2"/>
  <c r="P855" i="2" s="1"/>
  <c r="K855" i="2"/>
  <c r="AF855" i="2" s="1"/>
  <c r="G855" i="2"/>
  <c r="F855" i="2"/>
  <c r="E855" i="2"/>
  <c r="AP854" i="2"/>
  <c r="AO854" i="2"/>
  <c r="AM854" i="2"/>
  <c r="AK854" i="2"/>
  <c r="AL854" i="2" s="1"/>
  <c r="AN854" i="2" s="1"/>
  <c r="AI854" i="2"/>
  <c r="AE854" i="2"/>
  <c r="AA854" i="2"/>
  <c r="X854" i="2"/>
  <c r="T854" i="2"/>
  <c r="U854" i="2" s="1"/>
  <c r="W854" i="2" s="1"/>
  <c r="S854" i="2"/>
  <c r="AG854" i="2" s="1"/>
  <c r="P854" i="2"/>
  <c r="O854" i="2"/>
  <c r="K854" i="2"/>
  <c r="AF854" i="2" s="1"/>
  <c r="E854" i="2"/>
  <c r="G854" i="2" s="1"/>
  <c r="AP853" i="2"/>
  <c r="AO853" i="2"/>
  <c r="AL853" i="2"/>
  <c r="AN853" i="2" s="1"/>
  <c r="AK853" i="2"/>
  <c r="AI853" i="2"/>
  <c r="AE853" i="2"/>
  <c r="AM853" i="2" s="1"/>
  <c r="AA853" i="2"/>
  <c r="X853" i="2"/>
  <c r="T853" i="2"/>
  <c r="U853" i="2" s="1"/>
  <c r="W853" i="2" s="1"/>
  <c r="S853" i="2"/>
  <c r="AG853" i="2" s="1"/>
  <c r="P853" i="2"/>
  <c r="O853" i="2"/>
  <c r="K853" i="2"/>
  <c r="E853" i="2"/>
  <c r="G853" i="2" s="1"/>
  <c r="AP852" i="2"/>
  <c r="AO852" i="2"/>
  <c r="AL852" i="2"/>
  <c r="AK852" i="2"/>
  <c r="AI852" i="2"/>
  <c r="AG852" i="2"/>
  <c r="AE852" i="2"/>
  <c r="AM852" i="2" s="1"/>
  <c r="AN852" i="2" s="1"/>
  <c r="AA852" i="2"/>
  <c r="X852" i="2"/>
  <c r="T852" i="2"/>
  <c r="S852" i="2"/>
  <c r="U852" i="2" s="1"/>
  <c r="W852" i="2" s="1"/>
  <c r="P852" i="2"/>
  <c r="O852" i="2"/>
  <c r="K852" i="2"/>
  <c r="AF852" i="2" s="1"/>
  <c r="G852" i="2"/>
  <c r="F852" i="2"/>
  <c r="E852" i="2"/>
  <c r="AP851" i="2"/>
  <c r="AO851" i="2"/>
  <c r="AN851" i="2"/>
  <c r="AM851" i="2"/>
  <c r="AL851" i="2"/>
  <c r="AK851" i="2"/>
  <c r="AI851" i="2"/>
  <c r="AE851" i="2"/>
  <c r="X851" i="2"/>
  <c r="AA851" i="2" s="1"/>
  <c r="W851" i="2"/>
  <c r="U851" i="2"/>
  <c r="T851" i="2"/>
  <c r="S851" i="2"/>
  <c r="AG851" i="2" s="1"/>
  <c r="P851" i="2"/>
  <c r="O851" i="2"/>
  <c r="K851" i="2"/>
  <c r="AF851" i="2" s="1"/>
  <c r="G851" i="2"/>
  <c r="F851" i="2"/>
  <c r="E851" i="2"/>
  <c r="AP850" i="2"/>
  <c r="AO850" i="2"/>
  <c r="AM850" i="2"/>
  <c r="AK850" i="2"/>
  <c r="AL850" i="2" s="1"/>
  <c r="AN850" i="2" s="1"/>
  <c r="AI850" i="2"/>
  <c r="AE850" i="2"/>
  <c r="AA850" i="2"/>
  <c r="X850" i="2"/>
  <c r="T850" i="2"/>
  <c r="U850" i="2" s="1"/>
  <c r="W850" i="2" s="1"/>
  <c r="S850" i="2"/>
  <c r="AG850" i="2" s="1"/>
  <c r="P850" i="2"/>
  <c r="O850" i="2"/>
  <c r="K850" i="2"/>
  <c r="AF850" i="2" s="1"/>
  <c r="G850" i="2"/>
  <c r="F850" i="2"/>
  <c r="E850" i="2"/>
  <c r="AP849" i="2"/>
  <c r="AO849" i="2"/>
  <c r="AK849" i="2"/>
  <c r="AL849" i="2" s="1"/>
  <c r="AN849" i="2" s="1"/>
  <c r="AG849" i="2"/>
  <c r="AE849" i="2"/>
  <c r="AM849" i="2" s="1"/>
  <c r="AA849" i="2"/>
  <c r="X849" i="2"/>
  <c r="T849" i="2"/>
  <c r="S849" i="2"/>
  <c r="AI849" i="2" s="1"/>
  <c r="P849" i="2"/>
  <c r="O849" i="2"/>
  <c r="K849" i="2"/>
  <c r="F849" i="2"/>
  <c r="E849" i="2"/>
  <c r="G849" i="2" s="1"/>
  <c r="AP848" i="2"/>
  <c r="AO848" i="2"/>
  <c r="AN848" i="2"/>
  <c r="AL848" i="2"/>
  <c r="AK848" i="2"/>
  <c r="AI848" i="2"/>
  <c r="AG848" i="2"/>
  <c r="AE848" i="2"/>
  <c r="AM848" i="2" s="1"/>
  <c r="AA848" i="2"/>
  <c r="X848" i="2"/>
  <c r="T848" i="2"/>
  <c r="S848" i="2"/>
  <c r="O848" i="2"/>
  <c r="P848" i="2" s="1"/>
  <c r="K848" i="2"/>
  <c r="AF848" i="2" s="1"/>
  <c r="G848" i="2"/>
  <c r="F848" i="2"/>
  <c r="E848" i="2"/>
  <c r="AP847" i="2"/>
  <c r="AO847" i="2"/>
  <c r="AM847" i="2"/>
  <c r="AL847" i="2"/>
  <c r="AN847" i="2" s="1"/>
  <c r="AK847" i="2"/>
  <c r="AI847" i="2"/>
  <c r="AF847" i="2"/>
  <c r="AE847" i="2"/>
  <c r="X847" i="2"/>
  <c r="AA847" i="2" s="1"/>
  <c r="W847" i="2"/>
  <c r="U847" i="2"/>
  <c r="T847" i="2"/>
  <c r="S847" i="2"/>
  <c r="AG847" i="2" s="1"/>
  <c r="P847" i="2"/>
  <c r="O847" i="2"/>
  <c r="K847" i="2"/>
  <c r="G847" i="2"/>
  <c r="F847" i="2"/>
  <c r="E847" i="2"/>
  <c r="AP846" i="2"/>
  <c r="AO846" i="2"/>
  <c r="AM846" i="2"/>
  <c r="AK846" i="2"/>
  <c r="AL846" i="2" s="1"/>
  <c r="AN846" i="2" s="1"/>
  <c r="AI846" i="2"/>
  <c r="AE846" i="2"/>
  <c r="AA846" i="2"/>
  <c r="X846" i="2"/>
  <c r="T846" i="2"/>
  <c r="U846" i="2" s="1"/>
  <c r="W846" i="2" s="1"/>
  <c r="S846" i="2"/>
  <c r="AG846" i="2" s="1"/>
  <c r="P846" i="2"/>
  <c r="O846" i="2"/>
  <c r="K846" i="2"/>
  <c r="AF846" i="2" s="1"/>
  <c r="G846" i="2"/>
  <c r="F846" i="2"/>
  <c r="E846" i="2"/>
  <c r="AP845" i="2"/>
  <c r="AO845" i="2"/>
  <c r="AL845" i="2"/>
  <c r="AN845" i="2" s="1"/>
  <c r="AK845" i="2"/>
  <c r="AI845" i="2"/>
  <c r="AE845" i="2"/>
  <c r="AM845" i="2" s="1"/>
  <c r="AA845" i="2"/>
  <c r="X845" i="2"/>
  <c r="T845" i="2"/>
  <c r="U845" i="2" s="1"/>
  <c r="W845" i="2" s="1"/>
  <c r="S845" i="2"/>
  <c r="AG845" i="2" s="1"/>
  <c r="P845" i="2"/>
  <c r="O845" i="2"/>
  <c r="K845" i="2"/>
  <c r="AF845" i="2" s="1"/>
  <c r="E845" i="2"/>
  <c r="G845" i="2" s="1"/>
  <c r="AP844" i="2"/>
  <c r="AO844" i="2"/>
  <c r="AL844" i="2"/>
  <c r="AK844" i="2"/>
  <c r="AI844" i="2"/>
  <c r="AE844" i="2"/>
  <c r="AM844" i="2" s="1"/>
  <c r="AN844" i="2" s="1"/>
  <c r="AA844" i="2"/>
  <c r="X844" i="2"/>
  <c r="T844" i="2"/>
  <c r="S844" i="2"/>
  <c r="P844" i="2"/>
  <c r="O844" i="2"/>
  <c r="K844" i="2"/>
  <c r="AF844" i="2" s="1"/>
  <c r="G844" i="2"/>
  <c r="F844" i="2"/>
  <c r="E844" i="2"/>
  <c r="AP843" i="2"/>
  <c r="AO843" i="2"/>
  <c r="AN843" i="2"/>
  <c r="AM843" i="2"/>
  <c r="AL843" i="2"/>
  <c r="AK843" i="2"/>
  <c r="AI843" i="2"/>
  <c r="AE843" i="2"/>
  <c r="X843" i="2"/>
  <c r="AA843" i="2" s="1"/>
  <c r="W843" i="2"/>
  <c r="T843" i="2"/>
  <c r="U843" i="2" s="1"/>
  <c r="S843" i="2"/>
  <c r="AG843" i="2" s="1"/>
  <c r="P843" i="2"/>
  <c r="O843" i="2"/>
  <c r="K843" i="2"/>
  <c r="AF843" i="2" s="1"/>
  <c r="G843" i="2"/>
  <c r="F843" i="2"/>
  <c r="E843" i="2"/>
  <c r="AP842" i="2"/>
  <c r="AO842" i="2"/>
  <c r="AM842" i="2"/>
  <c r="AK842" i="2"/>
  <c r="AL842" i="2" s="1"/>
  <c r="AN842" i="2" s="1"/>
  <c r="AI842" i="2"/>
  <c r="AE842" i="2"/>
  <c r="AA842" i="2"/>
  <c r="X842" i="2"/>
  <c r="T842" i="2"/>
  <c r="U842" i="2" s="1"/>
  <c r="W842" i="2" s="1"/>
  <c r="S842" i="2"/>
  <c r="AG842" i="2" s="1"/>
  <c r="P842" i="2"/>
  <c r="O842" i="2"/>
  <c r="K842" i="2"/>
  <c r="AF842" i="2" s="1"/>
  <c r="E842" i="2"/>
  <c r="G842" i="2" s="1"/>
  <c r="AP841" i="2"/>
  <c r="AO841" i="2"/>
  <c r="AK841" i="2"/>
  <c r="AL841" i="2" s="1"/>
  <c r="AN841" i="2" s="1"/>
  <c r="AI841" i="2"/>
  <c r="AF841" i="2"/>
  <c r="AE841" i="2"/>
  <c r="AM841" i="2" s="1"/>
  <c r="AA841" i="2"/>
  <c r="X841" i="2"/>
  <c r="U841" i="2"/>
  <c r="W841" i="2" s="1"/>
  <c r="T841" i="2"/>
  <c r="S841" i="2"/>
  <c r="AG841" i="2" s="1"/>
  <c r="P841" i="2"/>
  <c r="O841" i="2"/>
  <c r="K841" i="2"/>
  <c r="F841" i="2"/>
  <c r="E841" i="2"/>
  <c r="G841" i="2" s="1"/>
  <c r="AP840" i="2"/>
  <c r="AO840" i="2"/>
  <c r="AL840" i="2"/>
  <c r="AN840" i="2" s="1"/>
  <c r="AK840" i="2"/>
  <c r="AE840" i="2"/>
  <c r="AM840" i="2" s="1"/>
  <c r="AA840" i="2"/>
  <c r="X840" i="2"/>
  <c r="T840" i="2"/>
  <c r="S840" i="2"/>
  <c r="P840" i="2"/>
  <c r="O840" i="2"/>
  <c r="K840" i="2"/>
  <c r="G840" i="2"/>
  <c r="F840" i="2"/>
  <c r="E840" i="2"/>
  <c r="AP839" i="2"/>
  <c r="AO839" i="2"/>
  <c r="AL839" i="2"/>
  <c r="AK839" i="2"/>
  <c r="AI839" i="2"/>
  <c r="AE839" i="2"/>
  <c r="AM839" i="2" s="1"/>
  <c r="AN839" i="2" s="1"/>
  <c r="X839" i="2"/>
  <c r="AA839" i="2" s="1"/>
  <c r="W839" i="2"/>
  <c r="T839" i="2"/>
  <c r="U839" i="2" s="1"/>
  <c r="S839" i="2"/>
  <c r="AG839" i="2" s="1"/>
  <c r="O839" i="2"/>
  <c r="P839" i="2" s="1"/>
  <c r="K839" i="2"/>
  <c r="G839" i="2"/>
  <c r="F839" i="2"/>
  <c r="E839" i="2"/>
  <c r="AP838" i="2"/>
  <c r="AO838" i="2"/>
  <c r="AM838" i="2"/>
  <c r="AK838" i="2"/>
  <c r="AL838" i="2" s="1"/>
  <c r="AN838" i="2" s="1"/>
  <c r="AI838" i="2"/>
  <c r="AF838" i="2"/>
  <c r="AE838" i="2"/>
  <c r="AA838" i="2"/>
  <c r="X838" i="2"/>
  <c r="T838" i="2"/>
  <c r="U838" i="2" s="1"/>
  <c r="W838" i="2" s="1"/>
  <c r="S838" i="2"/>
  <c r="AG838" i="2" s="1"/>
  <c r="P838" i="2"/>
  <c r="O838" i="2"/>
  <c r="K838" i="2"/>
  <c r="E838" i="2"/>
  <c r="G838" i="2" s="1"/>
  <c r="AP837" i="2"/>
  <c r="AO837" i="2"/>
  <c r="AN837" i="2"/>
  <c r="AL837" i="2"/>
  <c r="AK837" i="2"/>
  <c r="AE837" i="2"/>
  <c r="AM837" i="2" s="1"/>
  <c r="AA837" i="2"/>
  <c r="X837" i="2"/>
  <c r="T837" i="2"/>
  <c r="S837" i="2"/>
  <c r="P837" i="2"/>
  <c r="O837" i="2"/>
  <c r="K837" i="2"/>
  <c r="AF837" i="2" s="1"/>
  <c r="E837" i="2"/>
  <c r="AP836" i="2"/>
  <c r="AO836" i="2"/>
  <c r="AN836" i="2"/>
  <c r="AL836" i="2"/>
  <c r="AK836" i="2"/>
  <c r="AG836" i="2"/>
  <c r="AF836" i="2"/>
  <c r="AE836" i="2"/>
  <c r="AM836" i="2" s="1"/>
  <c r="AA836" i="2"/>
  <c r="X836" i="2"/>
  <c r="T836" i="2"/>
  <c r="S836" i="2"/>
  <c r="U836" i="2" s="1"/>
  <c r="W836" i="2" s="1"/>
  <c r="O836" i="2"/>
  <c r="P836" i="2" s="1"/>
  <c r="K836" i="2"/>
  <c r="G836" i="2"/>
  <c r="F836" i="2"/>
  <c r="E836" i="2"/>
  <c r="AP835" i="2"/>
  <c r="AO835" i="2"/>
  <c r="AM835" i="2"/>
  <c r="AN835" i="2" s="1"/>
  <c r="AL835" i="2"/>
  <c r="AK835" i="2"/>
  <c r="AI835" i="2"/>
  <c r="AE835" i="2"/>
  <c r="X835" i="2"/>
  <c r="AF835" i="2" s="1"/>
  <c r="W835" i="2"/>
  <c r="T835" i="2"/>
  <c r="U835" i="2" s="1"/>
  <c r="S835" i="2"/>
  <c r="AG835" i="2" s="1"/>
  <c r="P835" i="2"/>
  <c r="O835" i="2"/>
  <c r="K835" i="2"/>
  <c r="G835" i="2"/>
  <c r="F835" i="2"/>
  <c r="E835" i="2"/>
  <c r="AP834" i="2"/>
  <c r="AO834" i="2"/>
  <c r="AM834" i="2"/>
  <c r="AK834" i="2"/>
  <c r="AL834" i="2" s="1"/>
  <c r="AN834" i="2" s="1"/>
  <c r="AI834" i="2"/>
  <c r="AF834" i="2"/>
  <c r="AE834" i="2"/>
  <c r="X834" i="2"/>
  <c r="AA834" i="2" s="1"/>
  <c r="W834" i="2"/>
  <c r="U834" i="2"/>
  <c r="T834" i="2"/>
  <c r="S834" i="2"/>
  <c r="AG834" i="2" s="1"/>
  <c r="P834" i="2"/>
  <c r="O834" i="2"/>
  <c r="K834" i="2"/>
  <c r="G834" i="2"/>
  <c r="F834" i="2"/>
  <c r="E834" i="2"/>
  <c r="AP833" i="2"/>
  <c r="AO833" i="2"/>
  <c r="AN833" i="2"/>
  <c r="AL833" i="2"/>
  <c r="AK833" i="2"/>
  <c r="AE833" i="2"/>
  <c r="AM833" i="2" s="1"/>
  <c r="AA833" i="2"/>
  <c r="X833" i="2"/>
  <c r="T833" i="2"/>
  <c r="S833" i="2"/>
  <c r="P833" i="2"/>
  <c r="O833" i="2"/>
  <c r="K833" i="2"/>
  <c r="F833" i="2"/>
  <c r="E833" i="2"/>
  <c r="G833" i="2" s="1"/>
  <c r="AP832" i="2"/>
  <c r="AO832" i="2"/>
  <c r="AN832" i="2"/>
  <c r="AL832" i="2"/>
  <c r="AK832" i="2"/>
  <c r="AE832" i="2"/>
  <c r="AM832" i="2" s="1"/>
  <c r="AA832" i="2"/>
  <c r="X832" i="2"/>
  <c r="T832" i="2"/>
  <c r="S832" i="2"/>
  <c r="P832" i="2"/>
  <c r="O832" i="2"/>
  <c r="K832" i="2"/>
  <c r="G832" i="2"/>
  <c r="F832" i="2"/>
  <c r="E832" i="2"/>
  <c r="AP831" i="2"/>
  <c r="AO831" i="2"/>
  <c r="AL831" i="2"/>
  <c r="AK831" i="2"/>
  <c r="AI831" i="2"/>
  <c r="AE831" i="2"/>
  <c r="AM831" i="2" s="1"/>
  <c r="AN831" i="2" s="1"/>
  <c r="X831" i="2"/>
  <c r="AA831" i="2" s="1"/>
  <c r="W831" i="2"/>
  <c r="T831" i="2"/>
  <c r="U831" i="2" s="1"/>
  <c r="S831" i="2"/>
  <c r="AG831" i="2" s="1"/>
  <c r="O831" i="2"/>
  <c r="P831" i="2" s="1"/>
  <c r="K831" i="2"/>
  <c r="G831" i="2"/>
  <c r="F831" i="2"/>
  <c r="E831" i="2"/>
  <c r="AP830" i="2"/>
  <c r="AO830" i="2"/>
  <c r="AM830" i="2"/>
  <c r="AL830" i="2"/>
  <c r="AN830" i="2" s="1"/>
  <c r="AK830" i="2"/>
  <c r="AI830" i="2"/>
  <c r="AE830" i="2"/>
  <c r="X830" i="2"/>
  <c r="AA830" i="2" s="1"/>
  <c r="U830" i="2"/>
  <c r="W830" i="2" s="1"/>
  <c r="T830" i="2"/>
  <c r="S830" i="2"/>
  <c r="AG830" i="2" s="1"/>
  <c r="P830" i="2"/>
  <c r="O830" i="2"/>
  <c r="K830" i="2"/>
  <c r="E830" i="2"/>
  <c r="AP829" i="2"/>
  <c r="AO829" i="2"/>
  <c r="AK829" i="2"/>
  <c r="AL829" i="2" s="1"/>
  <c r="AN829" i="2" s="1"/>
  <c r="AE829" i="2"/>
  <c r="AM829" i="2" s="1"/>
  <c r="AA829" i="2"/>
  <c r="X829" i="2"/>
  <c r="T829" i="2"/>
  <c r="U829" i="2" s="1"/>
  <c r="W829" i="2" s="1"/>
  <c r="S829" i="2"/>
  <c r="AI829" i="2" s="1"/>
  <c r="P829" i="2"/>
  <c r="O829" i="2"/>
  <c r="K829" i="2"/>
  <c r="AF829" i="2" s="1"/>
  <c r="F829" i="2"/>
  <c r="E829" i="2"/>
  <c r="G829" i="2" s="1"/>
  <c r="AP828" i="2"/>
  <c r="AO828" i="2"/>
  <c r="AL828" i="2"/>
  <c r="AK828" i="2"/>
  <c r="AI828" i="2"/>
  <c r="AE828" i="2"/>
  <c r="AM828" i="2" s="1"/>
  <c r="AN828" i="2" s="1"/>
  <c r="AA828" i="2"/>
  <c r="X828" i="2"/>
  <c r="T828" i="2"/>
  <c r="S828" i="2"/>
  <c r="P828" i="2"/>
  <c r="O828" i="2"/>
  <c r="K828" i="2"/>
  <c r="AF828" i="2" s="1"/>
  <c r="G828" i="2"/>
  <c r="F828" i="2"/>
  <c r="E828" i="2"/>
  <c r="AP827" i="2"/>
  <c r="AO827" i="2"/>
  <c r="AL827" i="2"/>
  <c r="AK827" i="2"/>
  <c r="AI827" i="2"/>
  <c r="AE827" i="2"/>
  <c r="AM827" i="2" s="1"/>
  <c r="AA827" i="2"/>
  <c r="X827" i="2"/>
  <c r="T827" i="2"/>
  <c r="U827" i="2" s="1"/>
  <c r="W827" i="2" s="1"/>
  <c r="S827" i="2"/>
  <c r="AG827" i="2" s="1"/>
  <c r="O827" i="2"/>
  <c r="P827" i="2" s="1"/>
  <c r="K827" i="2"/>
  <c r="AF827" i="2" s="1"/>
  <c r="G827" i="2"/>
  <c r="F827" i="2"/>
  <c r="E827" i="2"/>
  <c r="AP826" i="2"/>
  <c r="AO826" i="2"/>
  <c r="AM826" i="2"/>
  <c r="AL826" i="2"/>
  <c r="AN826" i="2" s="1"/>
  <c r="AK826" i="2"/>
  <c r="AI826" i="2"/>
  <c r="AE826" i="2"/>
  <c r="X826" i="2"/>
  <c r="AA826" i="2" s="1"/>
  <c r="U826" i="2"/>
  <c r="W826" i="2" s="1"/>
  <c r="T826" i="2"/>
  <c r="S826" i="2"/>
  <c r="AG826" i="2" s="1"/>
  <c r="P826" i="2"/>
  <c r="O826" i="2"/>
  <c r="K826" i="2"/>
  <c r="E826" i="2"/>
  <c r="AP825" i="2"/>
  <c r="AO825" i="2"/>
  <c r="AL825" i="2"/>
  <c r="AN825" i="2" s="1"/>
  <c r="AK825" i="2"/>
  <c r="AF825" i="2"/>
  <c r="AE825" i="2"/>
  <c r="AM825" i="2" s="1"/>
  <c r="AA825" i="2"/>
  <c r="X825" i="2"/>
  <c r="T825" i="2"/>
  <c r="S825" i="2"/>
  <c r="U825" i="2" s="1"/>
  <c r="W825" i="2" s="1"/>
  <c r="P825" i="2"/>
  <c r="O825" i="2"/>
  <c r="K825" i="2"/>
  <c r="E825" i="2"/>
  <c r="AP824" i="2"/>
  <c r="AO824" i="2"/>
  <c r="AL824" i="2"/>
  <c r="AK824" i="2"/>
  <c r="AE824" i="2"/>
  <c r="AM824" i="2" s="1"/>
  <c r="AA824" i="2"/>
  <c r="X824" i="2"/>
  <c r="T824" i="2"/>
  <c r="S824" i="2"/>
  <c r="AG824" i="2" s="1"/>
  <c r="O824" i="2"/>
  <c r="P824" i="2" s="1"/>
  <c r="K824" i="2"/>
  <c r="AF824" i="2" s="1"/>
  <c r="G824" i="2"/>
  <c r="F824" i="2"/>
  <c r="E824" i="2"/>
  <c r="AP823" i="2"/>
  <c r="AO823" i="2"/>
  <c r="AL823" i="2"/>
  <c r="AK823" i="2"/>
  <c r="AI823" i="2"/>
  <c r="AE823" i="2"/>
  <c r="AM823" i="2" s="1"/>
  <c r="AA823" i="2"/>
  <c r="X823" i="2"/>
  <c r="T823" i="2"/>
  <c r="U823" i="2" s="1"/>
  <c r="W823" i="2" s="1"/>
  <c r="S823" i="2"/>
  <c r="AG823" i="2" s="1"/>
  <c r="O823" i="2"/>
  <c r="P823" i="2" s="1"/>
  <c r="K823" i="2"/>
  <c r="AF823" i="2" s="1"/>
  <c r="G823" i="2"/>
  <c r="F823" i="2"/>
  <c r="E823" i="2"/>
  <c r="AP822" i="2"/>
  <c r="AO822" i="2"/>
  <c r="AM822" i="2"/>
  <c r="AN822" i="2" s="1"/>
  <c r="AL822" i="2"/>
  <c r="AK822" i="2"/>
  <c r="AI822" i="2"/>
  <c r="AE822" i="2"/>
  <c r="X822" i="2"/>
  <c r="AA822" i="2" s="1"/>
  <c r="W822" i="2"/>
  <c r="U822" i="2"/>
  <c r="T822" i="2"/>
  <c r="S822" i="2"/>
  <c r="AG822" i="2" s="1"/>
  <c r="P822" i="2"/>
  <c r="O822" i="2"/>
  <c r="K822" i="2"/>
  <c r="F822" i="2"/>
  <c r="E822" i="2"/>
  <c r="G822" i="2" s="1"/>
  <c r="AP821" i="2"/>
  <c r="AO821" i="2"/>
  <c r="AK821" i="2"/>
  <c r="AL821" i="2" s="1"/>
  <c r="AN821" i="2" s="1"/>
  <c r="AE821" i="2"/>
  <c r="AM821" i="2" s="1"/>
  <c r="AA821" i="2"/>
  <c r="X821" i="2"/>
  <c r="U821" i="2"/>
  <c r="W821" i="2" s="1"/>
  <c r="T821" i="2"/>
  <c r="S821" i="2"/>
  <c r="AI821" i="2" s="1"/>
  <c r="P821" i="2"/>
  <c r="O821" i="2"/>
  <c r="K821" i="2"/>
  <c r="E821" i="2"/>
  <c r="G821" i="2" s="1"/>
  <c r="AP820" i="2"/>
  <c r="AO820" i="2"/>
  <c r="AN820" i="2"/>
  <c r="AL820" i="2"/>
  <c r="AK820" i="2"/>
  <c r="AG820" i="2"/>
  <c r="AE820" i="2"/>
  <c r="AM820" i="2" s="1"/>
  <c r="AA820" i="2"/>
  <c r="X820" i="2"/>
  <c r="T820" i="2"/>
  <c r="S820" i="2"/>
  <c r="O820" i="2"/>
  <c r="P820" i="2" s="1"/>
  <c r="K820" i="2"/>
  <c r="AF820" i="2" s="1"/>
  <c r="G820" i="2"/>
  <c r="F820" i="2"/>
  <c r="E820" i="2"/>
  <c r="AP819" i="2"/>
  <c r="AO819" i="2"/>
  <c r="AM819" i="2"/>
  <c r="AL819" i="2"/>
  <c r="AN819" i="2" s="1"/>
  <c r="AK819" i="2"/>
  <c r="AI819" i="2"/>
  <c r="AF819" i="2"/>
  <c r="AE819" i="2"/>
  <c r="X819" i="2"/>
  <c r="AA819" i="2" s="1"/>
  <c r="T819" i="2"/>
  <c r="U819" i="2" s="1"/>
  <c r="W819" i="2" s="1"/>
  <c r="S819" i="2"/>
  <c r="AG819" i="2" s="1"/>
  <c r="O819" i="2"/>
  <c r="P819" i="2" s="1"/>
  <c r="K819" i="2"/>
  <c r="G819" i="2"/>
  <c r="F819" i="2"/>
  <c r="E819" i="2"/>
  <c r="AP818" i="2"/>
  <c r="AO818" i="2"/>
  <c r="AM818" i="2"/>
  <c r="AN818" i="2" s="1"/>
  <c r="AL818" i="2"/>
  <c r="AK818" i="2"/>
  <c r="AI818" i="2"/>
  <c r="AE818" i="2"/>
  <c r="X818" i="2"/>
  <c r="AA818" i="2" s="1"/>
  <c r="W818" i="2"/>
  <c r="U818" i="2"/>
  <c r="T818" i="2"/>
  <c r="S818" i="2"/>
  <c r="AG818" i="2" s="1"/>
  <c r="P818" i="2"/>
  <c r="O818" i="2"/>
  <c r="K818" i="2"/>
  <c r="AF818" i="2" s="1"/>
  <c r="G818" i="2"/>
  <c r="F818" i="2"/>
  <c r="E818" i="2"/>
  <c r="AP817" i="2"/>
  <c r="AO817" i="2"/>
  <c r="AK817" i="2"/>
  <c r="AL817" i="2" s="1"/>
  <c r="AN817" i="2" s="1"/>
  <c r="AI817" i="2"/>
  <c r="AG817" i="2"/>
  <c r="AE817" i="2"/>
  <c r="AM817" i="2" s="1"/>
  <c r="AA817" i="2"/>
  <c r="X817" i="2"/>
  <c r="T817" i="2"/>
  <c r="S817" i="2"/>
  <c r="U817" i="2" s="1"/>
  <c r="W817" i="2" s="1"/>
  <c r="P817" i="2"/>
  <c r="O817" i="2"/>
  <c r="K817" i="2"/>
  <c r="AF817" i="2" s="1"/>
  <c r="F817" i="2"/>
  <c r="E817" i="2"/>
  <c r="G817" i="2" s="1"/>
  <c r="AP816" i="2"/>
  <c r="AO816" i="2"/>
  <c r="AN816" i="2"/>
  <c r="AL816" i="2"/>
  <c r="AK816" i="2"/>
  <c r="AI816" i="2"/>
  <c r="AE816" i="2"/>
  <c r="AM816" i="2" s="1"/>
  <c r="AA816" i="2"/>
  <c r="X816" i="2"/>
  <c r="T816" i="2"/>
  <c r="S816" i="2"/>
  <c r="P816" i="2"/>
  <c r="O816" i="2"/>
  <c r="K816" i="2"/>
  <c r="AF816" i="2" s="1"/>
  <c r="G816" i="2"/>
  <c r="F816" i="2"/>
  <c r="E816" i="2"/>
  <c r="AP815" i="2"/>
  <c r="AO815" i="2"/>
  <c r="AN815" i="2"/>
  <c r="AM815" i="2"/>
  <c r="AL815" i="2"/>
  <c r="AK815" i="2"/>
  <c r="AI815" i="2"/>
  <c r="AE815" i="2"/>
  <c r="X815" i="2"/>
  <c r="W815" i="2"/>
  <c r="T815" i="2"/>
  <c r="U815" i="2" s="1"/>
  <c r="S815" i="2"/>
  <c r="AG815" i="2" s="1"/>
  <c r="P815" i="2"/>
  <c r="O815" i="2"/>
  <c r="K815" i="2"/>
  <c r="G815" i="2"/>
  <c r="F815" i="2"/>
  <c r="E815" i="2"/>
  <c r="AP814" i="2"/>
  <c r="AO814" i="2"/>
  <c r="AM814" i="2"/>
  <c r="AK814" i="2"/>
  <c r="AL814" i="2" s="1"/>
  <c r="AN814" i="2" s="1"/>
  <c r="AI814" i="2"/>
  <c r="AE814" i="2"/>
  <c r="AA814" i="2"/>
  <c r="X814" i="2"/>
  <c r="T814" i="2"/>
  <c r="U814" i="2" s="1"/>
  <c r="W814" i="2" s="1"/>
  <c r="S814" i="2"/>
  <c r="AG814" i="2" s="1"/>
  <c r="P814" i="2"/>
  <c r="O814" i="2"/>
  <c r="K814" i="2"/>
  <c r="AF814" i="2" s="1"/>
  <c r="G814" i="2"/>
  <c r="F814" i="2"/>
  <c r="E814" i="2"/>
  <c r="AP813" i="2"/>
  <c r="AO813" i="2"/>
  <c r="AK813" i="2"/>
  <c r="AL813" i="2" s="1"/>
  <c r="AN813" i="2" s="1"/>
  <c r="AI813" i="2"/>
  <c r="AE813" i="2"/>
  <c r="AM813" i="2" s="1"/>
  <c r="AA813" i="2"/>
  <c r="X813" i="2"/>
  <c r="T813" i="2"/>
  <c r="U813" i="2" s="1"/>
  <c r="W813" i="2" s="1"/>
  <c r="S813" i="2"/>
  <c r="AG813" i="2" s="1"/>
  <c r="P813" i="2"/>
  <c r="O813" i="2"/>
  <c r="K813" i="2"/>
  <c r="AF813" i="2" s="1"/>
  <c r="E813" i="2"/>
  <c r="G813" i="2" s="1"/>
  <c r="AP812" i="2"/>
  <c r="AO812" i="2"/>
  <c r="AL812" i="2"/>
  <c r="AK812" i="2"/>
  <c r="AE812" i="2"/>
  <c r="AM812" i="2" s="1"/>
  <c r="AN812" i="2" s="1"/>
  <c r="AA812" i="2"/>
  <c r="X812" i="2"/>
  <c r="T812" i="2"/>
  <c r="S812" i="2"/>
  <c r="P812" i="2"/>
  <c r="O812" i="2"/>
  <c r="K812" i="2"/>
  <c r="G812" i="2"/>
  <c r="F812" i="2"/>
  <c r="E812" i="2"/>
  <c r="AP811" i="2"/>
  <c r="AO811" i="2"/>
  <c r="AL811" i="2"/>
  <c r="AN811" i="2" s="1"/>
  <c r="AK811" i="2"/>
  <c r="AI811" i="2"/>
  <c r="AE811" i="2"/>
  <c r="AM811" i="2" s="1"/>
  <c r="X811" i="2"/>
  <c r="AA811" i="2" s="1"/>
  <c r="W811" i="2"/>
  <c r="T811" i="2"/>
  <c r="U811" i="2" s="1"/>
  <c r="S811" i="2"/>
  <c r="AG811" i="2" s="1"/>
  <c r="P811" i="2"/>
  <c r="O811" i="2"/>
  <c r="K811" i="2"/>
  <c r="G811" i="2"/>
  <c r="F811" i="2"/>
  <c r="E811" i="2"/>
  <c r="AP810" i="2"/>
  <c r="AO810" i="2"/>
  <c r="AM810" i="2"/>
  <c r="AK810" i="2"/>
  <c r="AL810" i="2" s="1"/>
  <c r="AN810" i="2" s="1"/>
  <c r="AI810" i="2"/>
  <c r="AF810" i="2"/>
  <c r="AE810" i="2"/>
  <c r="AA810" i="2"/>
  <c r="X810" i="2"/>
  <c r="T810" i="2"/>
  <c r="U810" i="2" s="1"/>
  <c r="W810" i="2" s="1"/>
  <c r="S810" i="2"/>
  <c r="AG810" i="2" s="1"/>
  <c r="P810" i="2"/>
  <c r="O810" i="2"/>
  <c r="K810" i="2"/>
  <c r="E810" i="2"/>
  <c r="AP809" i="2"/>
  <c r="AO809" i="2"/>
  <c r="AK809" i="2"/>
  <c r="AL809" i="2" s="1"/>
  <c r="AN809" i="2" s="1"/>
  <c r="AI809" i="2"/>
  <c r="AE809" i="2"/>
  <c r="AM809" i="2" s="1"/>
  <c r="AA809" i="2"/>
  <c r="X809" i="2"/>
  <c r="U809" i="2"/>
  <c r="W809" i="2" s="1"/>
  <c r="T809" i="2"/>
  <c r="S809" i="2"/>
  <c r="AG809" i="2" s="1"/>
  <c r="P809" i="2"/>
  <c r="O809" i="2"/>
  <c r="K809" i="2"/>
  <c r="AF809" i="2" s="1"/>
  <c r="E809" i="2"/>
  <c r="AP808" i="2"/>
  <c r="AO808" i="2"/>
  <c r="AL808" i="2"/>
  <c r="AK808" i="2"/>
  <c r="AG808" i="2"/>
  <c r="AE808" i="2"/>
  <c r="AM808" i="2" s="1"/>
  <c r="AA808" i="2"/>
  <c r="X808" i="2"/>
  <c r="T808" i="2"/>
  <c r="S808" i="2"/>
  <c r="P808" i="2"/>
  <c r="O808" i="2"/>
  <c r="K808" i="2"/>
  <c r="AF808" i="2" s="1"/>
  <c r="G808" i="2"/>
  <c r="F808" i="2"/>
  <c r="E808" i="2"/>
  <c r="AP807" i="2"/>
  <c r="AO807" i="2"/>
  <c r="AM807" i="2"/>
  <c r="AL807" i="2"/>
  <c r="AN807" i="2" s="1"/>
  <c r="AK807" i="2"/>
  <c r="AI807" i="2"/>
  <c r="AE807" i="2"/>
  <c r="X807" i="2"/>
  <c r="AA807" i="2" s="1"/>
  <c r="T807" i="2"/>
  <c r="U807" i="2" s="1"/>
  <c r="W807" i="2" s="1"/>
  <c r="S807" i="2"/>
  <c r="AG807" i="2" s="1"/>
  <c r="O807" i="2"/>
  <c r="P807" i="2" s="1"/>
  <c r="K807" i="2"/>
  <c r="AF807" i="2" s="1"/>
  <c r="G807" i="2"/>
  <c r="F807" i="2"/>
  <c r="E807" i="2"/>
  <c r="AP806" i="2"/>
  <c r="AO806" i="2"/>
  <c r="AM806" i="2"/>
  <c r="AL806" i="2"/>
  <c r="AN806" i="2" s="1"/>
  <c r="AK806" i="2"/>
  <c r="AI806" i="2"/>
  <c r="AF806" i="2"/>
  <c r="AE806" i="2"/>
  <c r="AA806" i="2"/>
  <c r="X806" i="2"/>
  <c r="U806" i="2"/>
  <c r="W806" i="2" s="1"/>
  <c r="T806" i="2"/>
  <c r="S806" i="2"/>
  <c r="AG806" i="2" s="1"/>
  <c r="P806" i="2"/>
  <c r="O806" i="2"/>
  <c r="K806" i="2"/>
  <c r="E806" i="2"/>
  <c r="G806" i="2" s="1"/>
  <c r="AP805" i="2"/>
  <c r="AO805" i="2"/>
  <c r="AL805" i="2"/>
  <c r="AK805" i="2"/>
  <c r="AE805" i="2"/>
  <c r="AM805" i="2" s="1"/>
  <c r="AN805" i="2" s="1"/>
  <c r="AA805" i="2"/>
  <c r="X805" i="2"/>
  <c r="T805" i="2"/>
  <c r="S805" i="2"/>
  <c r="AG805" i="2" s="1"/>
  <c r="P805" i="2"/>
  <c r="O805" i="2"/>
  <c r="K805" i="2"/>
  <c r="AF805" i="2" s="1"/>
  <c r="F805" i="2"/>
  <c r="E805" i="2"/>
  <c r="G805" i="2" s="1"/>
  <c r="AP804" i="2"/>
  <c r="AO804" i="2"/>
  <c r="AL804" i="2"/>
  <c r="AN804" i="2" s="1"/>
  <c r="AK804" i="2"/>
  <c r="AE804" i="2"/>
  <c r="AM804" i="2" s="1"/>
  <c r="AA804" i="2"/>
  <c r="X804" i="2"/>
  <c r="T804" i="2"/>
  <c r="S804" i="2"/>
  <c r="P804" i="2"/>
  <c r="O804" i="2"/>
  <c r="K804" i="2"/>
  <c r="G804" i="2"/>
  <c r="F804" i="2"/>
  <c r="E804" i="2"/>
  <c r="AP803" i="2"/>
  <c r="AO803" i="2"/>
  <c r="AN803" i="2"/>
  <c r="AL803" i="2"/>
  <c r="AK803" i="2"/>
  <c r="AI803" i="2"/>
  <c r="AE803" i="2"/>
  <c r="AM803" i="2" s="1"/>
  <c r="X803" i="2"/>
  <c r="AA803" i="2" s="1"/>
  <c r="W803" i="2"/>
  <c r="T803" i="2"/>
  <c r="U803" i="2" s="1"/>
  <c r="S803" i="2"/>
  <c r="AG803" i="2" s="1"/>
  <c r="O803" i="2"/>
  <c r="P803" i="2" s="1"/>
  <c r="K803" i="2"/>
  <c r="G803" i="2"/>
  <c r="F803" i="2"/>
  <c r="E803" i="2"/>
  <c r="AP802" i="2"/>
  <c r="AO802" i="2"/>
  <c r="AM802" i="2"/>
  <c r="AK802" i="2"/>
  <c r="AL802" i="2" s="1"/>
  <c r="AN802" i="2" s="1"/>
  <c r="AI802" i="2"/>
  <c r="AF802" i="2"/>
  <c r="AE802" i="2"/>
  <c r="X802" i="2"/>
  <c r="AA802" i="2" s="1"/>
  <c r="T802" i="2"/>
  <c r="U802" i="2" s="1"/>
  <c r="W802" i="2" s="1"/>
  <c r="S802" i="2"/>
  <c r="AG802" i="2" s="1"/>
  <c r="P802" i="2"/>
  <c r="O802" i="2"/>
  <c r="K802" i="2"/>
  <c r="E802" i="2"/>
  <c r="G802" i="2" s="1"/>
  <c r="AP801" i="2"/>
  <c r="AO801" i="2"/>
  <c r="AL801" i="2"/>
  <c r="AK801" i="2"/>
  <c r="AG801" i="2"/>
  <c r="AE801" i="2"/>
  <c r="AM801" i="2" s="1"/>
  <c r="AN801" i="2" s="1"/>
  <c r="AA801" i="2"/>
  <c r="X801" i="2"/>
  <c r="T801" i="2"/>
  <c r="S801" i="2"/>
  <c r="AI801" i="2" s="1"/>
  <c r="P801" i="2"/>
  <c r="O801" i="2"/>
  <c r="K801" i="2"/>
  <c r="AF801" i="2" s="1"/>
  <c r="F801" i="2"/>
  <c r="E801" i="2"/>
  <c r="G801" i="2" s="1"/>
  <c r="AP800" i="2"/>
  <c r="AO800" i="2"/>
  <c r="AN800" i="2"/>
  <c r="AL800" i="2"/>
  <c r="AK800" i="2"/>
  <c r="AG800" i="2"/>
  <c r="AE800" i="2"/>
  <c r="AM800" i="2" s="1"/>
  <c r="AA800" i="2"/>
  <c r="X800" i="2"/>
  <c r="T800" i="2"/>
  <c r="S800" i="2"/>
  <c r="AI800" i="2" s="1"/>
  <c r="P800" i="2"/>
  <c r="O800" i="2"/>
  <c r="K800" i="2"/>
  <c r="G800" i="2"/>
  <c r="F800" i="2"/>
  <c r="E800" i="2"/>
  <c r="AP799" i="2"/>
  <c r="AO799" i="2"/>
  <c r="AN799" i="2"/>
  <c r="AL799" i="2"/>
  <c r="AK799" i="2"/>
  <c r="AI799" i="2"/>
  <c r="AF799" i="2"/>
  <c r="AE799" i="2"/>
  <c r="AM799" i="2" s="1"/>
  <c r="X799" i="2"/>
  <c r="AA799" i="2" s="1"/>
  <c r="W799" i="2"/>
  <c r="T799" i="2"/>
  <c r="U799" i="2" s="1"/>
  <c r="S799" i="2"/>
  <c r="AG799" i="2" s="1"/>
  <c r="O799" i="2"/>
  <c r="P799" i="2" s="1"/>
  <c r="K799" i="2"/>
  <c r="G799" i="2"/>
  <c r="F799" i="2"/>
  <c r="E799" i="2"/>
  <c r="AP798" i="2"/>
  <c r="AO798" i="2"/>
  <c r="AM798" i="2"/>
  <c r="AN798" i="2" s="1"/>
  <c r="AL798" i="2"/>
  <c r="AK798" i="2"/>
  <c r="AI798" i="2"/>
  <c r="AE798" i="2"/>
  <c r="AA798" i="2"/>
  <c r="X798" i="2"/>
  <c r="U798" i="2"/>
  <c r="W798" i="2" s="1"/>
  <c r="T798" i="2"/>
  <c r="S798" i="2"/>
  <c r="AG798" i="2" s="1"/>
  <c r="P798" i="2"/>
  <c r="O798" i="2"/>
  <c r="K798" i="2"/>
  <c r="AF798" i="2" s="1"/>
  <c r="E798" i="2"/>
  <c r="AP797" i="2"/>
  <c r="AO797" i="2"/>
  <c r="AK797" i="2"/>
  <c r="AL797" i="2" s="1"/>
  <c r="AG797" i="2"/>
  <c r="AE797" i="2"/>
  <c r="AM797" i="2" s="1"/>
  <c r="AA797" i="2"/>
  <c r="X797" i="2"/>
  <c r="T797" i="2"/>
  <c r="S797" i="2"/>
  <c r="U797" i="2" s="1"/>
  <c r="W797" i="2" s="1"/>
  <c r="P797" i="2"/>
  <c r="O797" i="2"/>
  <c r="K797" i="2"/>
  <c r="AF797" i="2" s="1"/>
  <c r="F797" i="2"/>
  <c r="E797" i="2"/>
  <c r="G797" i="2" s="1"/>
  <c r="AP796" i="2"/>
  <c r="AO796" i="2"/>
  <c r="AL796" i="2"/>
  <c r="AN796" i="2" s="1"/>
  <c r="AK796" i="2"/>
  <c r="AE796" i="2"/>
  <c r="AM796" i="2" s="1"/>
  <c r="AA796" i="2"/>
  <c r="X796" i="2"/>
  <c r="T796" i="2"/>
  <c r="S796" i="2"/>
  <c r="P796" i="2"/>
  <c r="O796" i="2"/>
  <c r="K796" i="2"/>
  <c r="G796" i="2"/>
  <c r="F796" i="2"/>
  <c r="E796" i="2"/>
  <c r="AP795" i="2"/>
  <c r="AO795" i="2"/>
  <c r="AL795" i="2"/>
  <c r="AN795" i="2" s="1"/>
  <c r="AK795" i="2"/>
  <c r="AI795" i="2"/>
  <c r="AE795" i="2"/>
  <c r="AM795" i="2" s="1"/>
  <c r="AA795" i="2"/>
  <c r="X795" i="2"/>
  <c r="T795" i="2"/>
  <c r="U795" i="2" s="1"/>
  <c r="W795" i="2" s="1"/>
  <c r="S795" i="2"/>
  <c r="AG795" i="2" s="1"/>
  <c r="O795" i="2"/>
  <c r="P795" i="2" s="1"/>
  <c r="K795" i="2"/>
  <c r="AF795" i="2" s="1"/>
  <c r="G795" i="2"/>
  <c r="F795" i="2"/>
  <c r="E795" i="2"/>
  <c r="AP794" i="2"/>
  <c r="AO794" i="2"/>
  <c r="AM794" i="2"/>
  <c r="AN794" i="2" s="1"/>
  <c r="AL794" i="2"/>
  <c r="AK794" i="2"/>
  <c r="AI794" i="2"/>
  <c r="AE794" i="2"/>
  <c r="X794" i="2"/>
  <c r="AA794" i="2" s="1"/>
  <c r="U794" i="2"/>
  <c r="W794" i="2" s="1"/>
  <c r="T794" i="2"/>
  <c r="S794" i="2"/>
  <c r="AG794" i="2" s="1"/>
  <c r="P794" i="2"/>
  <c r="O794" i="2"/>
  <c r="K794" i="2"/>
  <c r="E794" i="2"/>
  <c r="AP793" i="2"/>
  <c r="AO793" i="2"/>
  <c r="AL793" i="2"/>
  <c r="AK793" i="2"/>
  <c r="AI793" i="2"/>
  <c r="AG793" i="2"/>
  <c r="AF793" i="2"/>
  <c r="AE793" i="2"/>
  <c r="AM793" i="2" s="1"/>
  <c r="AA793" i="2"/>
  <c r="X793" i="2"/>
  <c r="T793" i="2"/>
  <c r="S793" i="2"/>
  <c r="U793" i="2" s="1"/>
  <c r="W793" i="2" s="1"/>
  <c r="P793" i="2"/>
  <c r="O793" i="2"/>
  <c r="K793" i="2"/>
  <c r="E793" i="2"/>
  <c r="AP792" i="2"/>
  <c r="AO792" i="2"/>
  <c r="AL792" i="2"/>
  <c r="AN792" i="2" s="1"/>
  <c r="AK792" i="2"/>
  <c r="AE792" i="2"/>
  <c r="AM792" i="2" s="1"/>
  <c r="AA792" i="2"/>
  <c r="X792" i="2"/>
  <c r="T792" i="2"/>
  <c r="S792" i="2"/>
  <c r="AG792" i="2" s="1"/>
  <c r="O792" i="2"/>
  <c r="P792" i="2" s="1"/>
  <c r="K792" i="2"/>
  <c r="AF792" i="2" s="1"/>
  <c r="G792" i="2"/>
  <c r="F792" i="2"/>
  <c r="E792" i="2"/>
  <c r="AP791" i="2"/>
  <c r="AO791" i="2"/>
  <c r="AM791" i="2"/>
  <c r="AL791" i="2"/>
  <c r="AN791" i="2" s="1"/>
  <c r="AK791" i="2"/>
  <c r="AI791" i="2"/>
  <c r="AE791" i="2"/>
  <c r="AA791" i="2"/>
  <c r="X791" i="2"/>
  <c r="W791" i="2"/>
  <c r="T791" i="2"/>
  <c r="U791" i="2" s="1"/>
  <c r="S791" i="2"/>
  <c r="AG791" i="2" s="1"/>
  <c r="P791" i="2"/>
  <c r="O791" i="2"/>
  <c r="K791" i="2"/>
  <c r="AF791" i="2" s="1"/>
  <c r="G791" i="2"/>
  <c r="F791" i="2"/>
  <c r="E791" i="2"/>
  <c r="AP790" i="2"/>
  <c r="AO790" i="2"/>
  <c r="AM790" i="2"/>
  <c r="AL790" i="2"/>
  <c r="AN790" i="2" s="1"/>
  <c r="AK790" i="2"/>
  <c r="AI790" i="2"/>
  <c r="AE790" i="2"/>
  <c r="AA790" i="2"/>
  <c r="X790" i="2"/>
  <c r="U790" i="2"/>
  <c r="W790" i="2" s="1"/>
  <c r="T790" i="2"/>
  <c r="S790" i="2"/>
  <c r="AG790" i="2" s="1"/>
  <c r="P790" i="2"/>
  <c r="O790" i="2"/>
  <c r="K790" i="2"/>
  <c r="AF790" i="2" s="1"/>
  <c r="E790" i="2"/>
  <c r="G790" i="2" s="1"/>
  <c r="AP789" i="2"/>
  <c r="AO789" i="2"/>
  <c r="AK789" i="2"/>
  <c r="AL789" i="2" s="1"/>
  <c r="AN789" i="2" s="1"/>
  <c r="AI789" i="2"/>
  <c r="AF789" i="2"/>
  <c r="AE789" i="2"/>
  <c r="AM789" i="2" s="1"/>
  <c r="AA789" i="2"/>
  <c r="X789" i="2"/>
  <c r="W789" i="2"/>
  <c r="U789" i="2"/>
  <c r="T789" i="2"/>
  <c r="S789" i="2"/>
  <c r="AG789" i="2" s="1"/>
  <c r="P789" i="2"/>
  <c r="O789" i="2"/>
  <c r="K789" i="2"/>
  <c r="F789" i="2"/>
  <c r="E789" i="2"/>
  <c r="G789" i="2" s="1"/>
  <c r="AP788" i="2"/>
  <c r="AO788" i="2"/>
  <c r="AL788" i="2"/>
  <c r="AK788" i="2"/>
  <c r="AG788" i="2"/>
  <c r="AE788" i="2"/>
  <c r="AM788" i="2" s="1"/>
  <c r="AA788" i="2"/>
  <c r="X788" i="2"/>
  <c r="T788" i="2"/>
  <c r="S788" i="2"/>
  <c r="P788" i="2"/>
  <c r="O788" i="2"/>
  <c r="K788" i="2"/>
  <c r="AF788" i="2" s="1"/>
  <c r="G788" i="2"/>
  <c r="F788" i="2"/>
  <c r="E788" i="2"/>
  <c r="AP787" i="2"/>
  <c r="AO787" i="2"/>
  <c r="AN787" i="2"/>
  <c r="AM787" i="2"/>
  <c r="AL787" i="2"/>
  <c r="AK787" i="2"/>
  <c r="AI787" i="2"/>
  <c r="AE787" i="2"/>
  <c r="X787" i="2"/>
  <c r="AA787" i="2" s="1"/>
  <c r="T787" i="2"/>
  <c r="U787" i="2" s="1"/>
  <c r="W787" i="2" s="1"/>
  <c r="S787" i="2"/>
  <c r="AG787" i="2" s="1"/>
  <c r="P787" i="2"/>
  <c r="O787" i="2"/>
  <c r="K787" i="2"/>
  <c r="G787" i="2"/>
  <c r="F787" i="2"/>
  <c r="E787" i="2"/>
  <c r="AP786" i="2"/>
  <c r="AO786" i="2"/>
  <c r="AN786" i="2"/>
  <c r="AM786" i="2"/>
  <c r="AL786" i="2"/>
  <c r="AK786" i="2"/>
  <c r="AI786" i="2"/>
  <c r="AF786" i="2"/>
  <c r="AE786" i="2"/>
  <c r="X786" i="2"/>
  <c r="AA786" i="2" s="1"/>
  <c r="W786" i="2"/>
  <c r="U786" i="2"/>
  <c r="T786" i="2"/>
  <c r="S786" i="2"/>
  <c r="AG786" i="2" s="1"/>
  <c r="P786" i="2"/>
  <c r="O786" i="2"/>
  <c r="K786" i="2"/>
  <c r="G786" i="2"/>
  <c r="F786" i="2"/>
  <c r="E786" i="2"/>
  <c r="AP785" i="2"/>
  <c r="AO785" i="2"/>
  <c r="AL785" i="2"/>
  <c r="AN785" i="2" s="1"/>
  <c r="AK785" i="2"/>
  <c r="AE785" i="2"/>
  <c r="AM785" i="2" s="1"/>
  <c r="AA785" i="2"/>
  <c r="X785" i="2"/>
  <c r="T785" i="2"/>
  <c r="U785" i="2" s="1"/>
  <c r="W785" i="2" s="1"/>
  <c r="S785" i="2"/>
  <c r="AG785" i="2" s="1"/>
  <c r="P785" i="2"/>
  <c r="O785" i="2"/>
  <c r="K785" i="2"/>
  <c r="E785" i="2"/>
  <c r="AP784" i="2"/>
  <c r="AO784" i="2"/>
  <c r="AL784" i="2"/>
  <c r="AK784" i="2"/>
  <c r="AI784" i="2"/>
  <c r="AG784" i="2"/>
  <c r="AE784" i="2"/>
  <c r="AM784" i="2" s="1"/>
  <c r="AN784" i="2" s="1"/>
  <c r="AA784" i="2"/>
  <c r="X784" i="2"/>
  <c r="T784" i="2"/>
  <c r="S784" i="2"/>
  <c r="U784" i="2" s="1"/>
  <c r="W784" i="2" s="1"/>
  <c r="P784" i="2"/>
  <c r="O784" i="2"/>
  <c r="K784" i="2"/>
  <c r="AF784" i="2" s="1"/>
  <c r="G784" i="2"/>
  <c r="F784" i="2"/>
  <c r="E784" i="2"/>
  <c r="AP783" i="2"/>
  <c r="AO783" i="2"/>
  <c r="AM783" i="2"/>
  <c r="AL783" i="2"/>
  <c r="AN783" i="2" s="1"/>
  <c r="AK783" i="2"/>
  <c r="AI783" i="2"/>
  <c r="AE783" i="2"/>
  <c r="AA783" i="2"/>
  <c r="X783" i="2"/>
  <c r="T783" i="2"/>
  <c r="U783" i="2" s="1"/>
  <c r="W783" i="2" s="1"/>
  <c r="S783" i="2"/>
  <c r="AG783" i="2" s="1"/>
  <c r="P783" i="2"/>
  <c r="O783" i="2"/>
  <c r="K783" i="2"/>
  <c r="AF783" i="2" s="1"/>
  <c r="F783" i="2"/>
  <c r="E783" i="2"/>
  <c r="G783" i="2" s="1"/>
  <c r="AP782" i="2"/>
  <c r="AO782" i="2"/>
  <c r="AM782" i="2"/>
  <c r="AL782" i="2"/>
  <c r="AN782" i="2" s="1"/>
  <c r="AK782" i="2"/>
  <c r="AE782" i="2"/>
  <c r="AA782" i="2"/>
  <c r="X782" i="2"/>
  <c r="T782" i="2"/>
  <c r="S782" i="2"/>
  <c r="U782" i="2" s="1"/>
  <c r="W782" i="2" s="1"/>
  <c r="P782" i="2"/>
  <c r="O782" i="2"/>
  <c r="K782" i="2"/>
  <c r="E782" i="2"/>
  <c r="G782" i="2" s="1"/>
  <c r="AP781" i="2"/>
  <c r="AO781" i="2"/>
  <c r="AL781" i="2"/>
  <c r="AK781" i="2"/>
  <c r="AE781" i="2"/>
  <c r="AM781" i="2" s="1"/>
  <c r="AN781" i="2" s="1"/>
  <c r="AA781" i="2"/>
  <c r="X781" i="2"/>
  <c r="T781" i="2"/>
  <c r="S781" i="2"/>
  <c r="P781" i="2"/>
  <c r="O781" i="2"/>
  <c r="K781" i="2"/>
  <c r="AF781" i="2" s="1"/>
  <c r="F781" i="2"/>
  <c r="E781" i="2"/>
  <c r="G781" i="2" s="1"/>
  <c r="AP780" i="2"/>
  <c r="AO780" i="2"/>
  <c r="AM780" i="2"/>
  <c r="AN780" i="2" s="1"/>
  <c r="AL780" i="2"/>
  <c r="AK780" i="2"/>
  <c r="AE780" i="2"/>
  <c r="X780" i="2"/>
  <c r="AA780" i="2" s="1"/>
  <c r="T780" i="2"/>
  <c r="S780" i="2"/>
  <c r="P780" i="2"/>
  <c r="O780" i="2"/>
  <c r="K780" i="2"/>
  <c r="G780" i="2"/>
  <c r="F780" i="2"/>
  <c r="E780" i="2"/>
  <c r="AP779" i="2"/>
  <c r="AO779" i="2"/>
  <c r="AK779" i="2"/>
  <c r="AL779" i="2" s="1"/>
  <c r="AI779" i="2"/>
  <c r="AE779" i="2"/>
  <c r="AM779" i="2" s="1"/>
  <c r="AN779" i="2" s="1"/>
  <c r="X779" i="2"/>
  <c r="AA779" i="2" s="1"/>
  <c r="T779" i="2"/>
  <c r="U779" i="2" s="1"/>
  <c r="W779" i="2" s="1"/>
  <c r="S779" i="2"/>
  <c r="AG779" i="2" s="1"/>
  <c r="O779" i="2"/>
  <c r="P779" i="2" s="1"/>
  <c r="K779" i="2"/>
  <c r="AF779" i="2" s="1"/>
  <c r="G779" i="2"/>
  <c r="F779" i="2"/>
  <c r="E779" i="2"/>
  <c r="AP778" i="2"/>
  <c r="AO778" i="2"/>
  <c r="AM778" i="2"/>
  <c r="AK778" i="2"/>
  <c r="AL778" i="2" s="1"/>
  <c r="AN778" i="2" s="1"/>
  <c r="AI778" i="2"/>
  <c r="AF778" i="2"/>
  <c r="AE778" i="2"/>
  <c r="AA778" i="2"/>
  <c r="X778" i="2"/>
  <c r="T778" i="2"/>
  <c r="U778" i="2" s="1"/>
  <c r="W778" i="2" s="1"/>
  <c r="S778" i="2"/>
  <c r="AG778" i="2" s="1"/>
  <c r="P778" i="2"/>
  <c r="O778" i="2"/>
  <c r="K778" i="2"/>
  <c r="F778" i="2"/>
  <c r="E778" i="2"/>
  <c r="G778" i="2" s="1"/>
  <c r="AP777" i="2"/>
  <c r="AO777" i="2"/>
  <c r="AL777" i="2"/>
  <c r="AK777" i="2"/>
  <c r="AE777" i="2"/>
  <c r="AM777" i="2" s="1"/>
  <c r="AA777" i="2"/>
  <c r="X777" i="2"/>
  <c r="W777" i="2"/>
  <c r="T777" i="2"/>
  <c r="S777" i="2"/>
  <c r="U777" i="2" s="1"/>
  <c r="O777" i="2"/>
  <c r="P777" i="2" s="1"/>
  <c r="K777" i="2"/>
  <c r="F777" i="2"/>
  <c r="E777" i="2"/>
  <c r="G777" i="2" s="1"/>
  <c r="AP776" i="2"/>
  <c r="AO776" i="2"/>
  <c r="AM776" i="2"/>
  <c r="AL776" i="2"/>
  <c r="AN776" i="2" s="1"/>
  <c r="AK776" i="2"/>
  <c r="AI776" i="2"/>
  <c r="AG776" i="2"/>
  <c r="AE776" i="2"/>
  <c r="X776" i="2"/>
  <c r="AA776" i="2" s="1"/>
  <c r="T776" i="2"/>
  <c r="S776" i="2"/>
  <c r="P776" i="2"/>
  <c r="O776" i="2"/>
  <c r="K776" i="2"/>
  <c r="G776" i="2"/>
  <c r="F776" i="2"/>
  <c r="E776" i="2"/>
  <c r="AP775" i="2"/>
  <c r="AO775" i="2"/>
  <c r="AM775" i="2"/>
  <c r="AK775" i="2"/>
  <c r="AL775" i="2" s="1"/>
  <c r="AN775" i="2" s="1"/>
  <c r="AI775" i="2"/>
  <c r="AE775" i="2"/>
  <c r="X775" i="2"/>
  <c r="AA775" i="2" s="1"/>
  <c r="T775" i="2"/>
  <c r="U775" i="2" s="1"/>
  <c r="W775" i="2" s="1"/>
  <c r="S775" i="2"/>
  <c r="AG775" i="2" s="1"/>
  <c r="P775" i="2"/>
  <c r="O775" i="2"/>
  <c r="K775" i="2"/>
  <c r="AF775" i="2" s="1"/>
  <c r="G775" i="2"/>
  <c r="F775" i="2"/>
  <c r="E775" i="2"/>
  <c r="AP774" i="2"/>
  <c r="AO774" i="2"/>
  <c r="AM774" i="2"/>
  <c r="AK774" i="2"/>
  <c r="AL774" i="2" s="1"/>
  <c r="AN774" i="2" s="1"/>
  <c r="AI774" i="2"/>
  <c r="AE774" i="2"/>
  <c r="AA774" i="2"/>
  <c r="X774" i="2"/>
  <c r="U774" i="2"/>
  <c r="W774" i="2" s="1"/>
  <c r="T774" i="2"/>
  <c r="S774" i="2"/>
  <c r="AG774" i="2" s="1"/>
  <c r="P774" i="2"/>
  <c r="O774" i="2"/>
  <c r="K774" i="2"/>
  <c r="AF774" i="2" s="1"/>
  <c r="F774" i="2"/>
  <c r="E774" i="2"/>
  <c r="G774" i="2" s="1"/>
  <c r="AP773" i="2"/>
  <c r="AO773" i="2"/>
  <c r="AL773" i="2"/>
  <c r="AK773" i="2"/>
  <c r="AE773" i="2"/>
  <c r="AM773" i="2" s="1"/>
  <c r="AA773" i="2"/>
  <c r="X773" i="2"/>
  <c r="T773" i="2"/>
  <c r="S773" i="2"/>
  <c r="AG773" i="2" s="1"/>
  <c r="O773" i="2"/>
  <c r="P773" i="2" s="1"/>
  <c r="K773" i="2"/>
  <c r="AF773" i="2" s="1"/>
  <c r="F773" i="2"/>
  <c r="E773" i="2"/>
  <c r="G773" i="2" s="1"/>
  <c r="AP772" i="2"/>
  <c r="AO772" i="2"/>
  <c r="AN772" i="2"/>
  <c r="AM772" i="2"/>
  <c r="AL772" i="2"/>
  <c r="AK772" i="2"/>
  <c r="AE772" i="2"/>
  <c r="AA772" i="2"/>
  <c r="X772" i="2"/>
  <c r="AF772" i="2" s="1"/>
  <c r="T772" i="2"/>
  <c r="S772" i="2"/>
  <c r="AG772" i="2" s="1"/>
  <c r="O772" i="2"/>
  <c r="P772" i="2" s="1"/>
  <c r="K772" i="2"/>
  <c r="G772" i="2"/>
  <c r="F772" i="2"/>
  <c r="E772" i="2"/>
  <c r="AP771" i="2"/>
  <c r="AO771" i="2"/>
  <c r="AK771" i="2"/>
  <c r="AL771" i="2" s="1"/>
  <c r="AI771" i="2"/>
  <c r="AF771" i="2"/>
  <c r="AE771" i="2"/>
  <c r="AM771" i="2" s="1"/>
  <c r="AA771" i="2"/>
  <c r="X771" i="2"/>
  <c r="T771" i="2"/>
  <c r="U771" i="2" s="1"/>
  <c r="W771" i="2" s="1"/>
  <c r="S771" i="2"/>
  <c r="AG771" i="2" s="1"/>
  <c r="O771" i="2"/>
  <c r="P771" i="2" s="1"/>
  <c r="K771" i="2"/>
  <c r="G771" i="2"/>
  <c r="F771" i="2"/>
  <c r="E771" i="2"/>
  <c r="AP770" i="2"/>
  <c r="AO770" i="2"/>
  <c r="AM770" i="2"/>
  <c r="AL770" i="2"/>
  <c r="AN770" i="2" s="1"/>
  <c r="AK770" i="2"/>
  <c r="AI770" i="2"/>
  <c r="AE770" i="2"/>
  <c r="X770" i="2"/>
  <c r="AA770" i="2" s="1"/>
  <c r="T770" i="2"/>
  <c r="U770" i="2" s="1"/>
  <c r="W770" i="2" s="1"/>
  <c r="S770" i="2"/>
  <c r="AG770" i="2" s="1"/>
  <c r="P770" i="2"/>
  <c r="O770" i="2"/>
  <c r="K770" i="2"/>
  <c r="AF770" i="2" s="1"/>
  <c r="G770" i="2"/>
  <c r="F770" i="2"/>
  <c r="E770" i="2"/>
  <c r="AP769" i="2"/>
  <c r="AO769" i="2"/>
  <c r="AL769" i="2"/>
  <c r="AN769" i="2" s="1"/>
  <c r="AK769" i="2"/>
  <c r="AE769" i="2"/>
  <c r="AM769" i="2" s="1"/>
  <c r="AA769" i="2"/>
  <c r="X769" i="2"/>
  <c r="T769" i="2"/>
  <c r="S769" i="2"/>
  <c r="AI769" i="2" s="1"/>
  <c r="P769" i="2"/>
  <c r="O769" i="2"/>
  <c r="K769" i="2"/>
  <c r="E769" i="2"/>
  <c r="G769" i="2" s="1"/>
  <c r="AP768" i="2"/>
  <c r="AO768" i="2"/>
  <c r="AN768" i="2"/>
  <c r="AM768" i="2"/>
  <c r="AL768" i="2"/>
  <c r="AK768" i="2"/>
  <c r="AG768" i="2"/>
  <c r="AE768" i="2"/>
  <c r="X768" i="2"/>
  <c r="AA768" i="2" s="1"/>
  <c r="W768" i="2"/>
  <c r="T768" i="2"/>
  <c r="S768" i="2"/>
  <c r="U768" i="2" s="1"/>
  <c r="P768" i="2"/>
  <c r="O768" i="2"/>
  <c r="K768" i="2"/>
  <c r="G768" i="2"/>
  <c r="F768" i="2"/>
  <c r="E768" i="2"/>
  <c r="AP767" i="2"/>
  <c r="AO767" i="2"/>
  <c r="AM767" i="2"/>
  <c r="AL767" i="2"/>
  <c r="AN767" i="2" s="1"/>
  <c r="AK767" i="2"/>
  <c r="AI767" i="2"/>
  <c r="AF767" i="2"/>
  <c r="AE767" i="2"/>
  <c r="X767" i="2"/>
  <c r="AA767" i="2" s="1"/>
  <c r="U767" i="2"/>
  <c r="W767" i="2" s="1"/>
  <c r="T767" i="2"/>
  <c r="S767" i="2"/>
  <c r="AG767" i="2" s="1"/>
  <c r="P767" i="2"/>
  <c r="O767" i="2"/>
  <c r="K767" i="2"/>
  <c r="E767" i="2"/>
  <c r="AP766" i="2"/>
  <c r="AO766" i="2"/>
  <c r="AN766" i="2"/>
  <c r="AM766" i="2"/>
  <c r="AK766" i="2"/>
  <c r="AL766" i="2" s="1"/>
  <c r="AE766" i="2"/>
  <c r="AA766" i="2"/>
  <c r="X766" i="2"/>
  <c r="T766" i="2"/>
  <c r="S766" i="2"/>
  <c r="AG766" i="2" s="1"/>
  <c r="P766" i="2"/>
  <c r="O766" i="2"/>
  <c r="K766" i="2"/>
  <c r="AF766" i="2" s="1"/>
  <c r="F766" i="2"/>
  <c r="E766" i="2"/>
  <c r="G766" i="2" s="1"/>
  <c r="AP765" i="2"/>
  <c r="AO765" i="2"/>
  <c r="AK765" i="2"/>
  <c r="AL765" i="2" s="1"/>
  <c r="AN765" i="2" s="1"/>
  <c r="AG765" i="2"/>
  <c r="AE765" i="2"/>
  <c r="AM765" i="2" s="1"/>
  <c r="AA765" i="2"/>
  <c r="X765" i="2"/>
  <c r="U765" i="2"/>
  <c r="W765" i="2" s="1"/>
  <c r="T765" i="2"/>
  <c r="S765" i="2"/>
  <c r="AI765" i="2" s="1"/>
  <c r="P765" i="2"/>
  <c r="O765" i="2"/>
  <c r="K765" i="2"/>
  <c r="AF765" i="2" s="1"/>
  <c r="E765" i="2"/>
  <c r="AP764" i="2"/>
  <c r="AO764" i="2"/>
  <c r="AN764" i="2"/>
  <c r="AM764" i="2"/>
  <c r="AL764" i="2"/>
  <c r="AK764" i="2"/>
  <c r="AG764" i="2"/>
  <c r="AF764" i="2"/>
  <c r="AE764" i="2"/>
  <c r="AA764" i="2"/>
  <c r="X764" i="2"/>
  <c r="T764" i="2"/>
  <c r="S764" i="2"/>
  <c r="P764" i="2"/>
  <c r="O764" i="2"/>
  <c r="K764" i="2"/>
  <c r="G764" i="2"/>
  <c r="F764" i="2"/>
  <c r="E764" i="2"/>
  <c r="AP763" i="2"/>
  <c r="AO763" i="2"/>
  <c r="AM763" i="2"/>
  <c r="AK763" i="2"/>
  <c r="AL763" i="2" s="1"/>
  <c r="AN763" i="2" s="1"/>
  <c r="AI763" i="2"/>
  <c r="AE763" i="2"/>
  <c r="AA763" i="2"/>
  <c r="X763" i="2"/>
  <c r="AF763" i="2" s="1"/>
  <c r="T763" i="2"/>
  <c r="U763" i="2" s="1"/>
  <c r="W763" i="2" s="1"/>
  <c r="S763" i="2"/>
  <c r="AG763" i="2" s="1"/>
  <c r="P763" i="2"/>
  <c r="O763" i="2"/>
  <c r="K763" i="2"/>
  <c r="G763" i="2"/>
  <c r="F763" i="2"/>
  <c r="E763" i="2"/>
  <c r="AP762" i="2"/>
  <c r="AO762" i="2"/>
  <c r="AN762" i="2"/>
  <c r="AM762" i="2"/>
  <c r="AK762" i="2"/>
  <c r="AL762" i="2" s="1"/>
  <c r="AI762" i="2"/>
  <c r="AE762" i="2"/>
  <c r="X762" i="2"/>
  <c r="AA762" i="2" s="1"/>
  <c r="T762" i="2"/>
  <c r="U762" i="2" s="1"/>
  <c r="W762" i="2" s="1"/>
  <c r="S762" i="2"/>
  <c r="AG762" i="2" s="1"/>
  <c r="P762" i="2"/>
  <c r="O762" i="2"/>
  <c r="K762" i="2"/>
  <c r="AF762" i="2" s="1"/>
  <c r="G762" i="2"/>
  <c r="F762" i="2"/>
  <c r="E762" i="2"/>
  <c r="AP761" i="2"/>
  <c r="AO761" i="2"/>
  <c r="AK761" i="2"/>
  <c r="AL761" i="2" s="1"/>
  <c r="AN761" i="2" s="1"/>
  <c r="AI761" i="2"/>
  <c r="AE761" i="2"/>
  <c r="AM761" i="2" s="1"/>
  <c r="AA761" i="2"/>
  <c r="X761" i="2"/>
  <c r="U761" i="2"/>
  <c r="W761" i="2" s="1"/>
  <c r="T761" i="2"/>
  <c r="S761" i="2"/>
  <c r="AG761" i="2" s="1"/>
  <c r="O761" i="2"/>
  <c r="P761" i="2" s="1"/>
  <c r="K761" i="2"/>
  <c r="F761" i="2"/>
  <c r="E761" i="2"/>
  <c r="G761" i="2" s="1"/>
  <c r="AP760" i="2"/>
  <c r="AO760" i="2"/>
  <c r="AL760" i="2"/>
  <c r="AK760" i="2"/>
  <c r="AI760" i="2"/>
  <c r="AG760" i="2"/>
  <c r="AF760" i="2"/>
  <c r="AE760" i="2"/>
  <c r="AM760" i="2" s="1"/>
  <c r="AA760" i="2"/>
  <c r="X760" i="2"/>
  <c r="T760" i="2"/>
  <c r="S760" i="2"/>
  <c r="U760" i="2" s="1"/>
  <c r="W760" i="2" s="1"/>
  <c r="O760" i="2"/>
  <c r="P760" i="2" s="1"/>
  <c r="K760" i="2"/>
  <c r="G760" i="2"/>
  <c r="F760" i="2"/>
  <c r="E760" i="2"/>
  <c r="AP759" i="2"/>
  <c r="AO759" i="2"/>
  <c r="AM759" i="2"/>
  <c r="AL759" i="2"/>
  <c r="AK759" i="2"/>
  <c r="AI759" i="2"/>
  <c r="AE759" i="2"/>
  <c r="X759" i="2"/>
  <c r="AA759" i="2" s="1"/>
  <c r="W759" i="2"/>
  <c r="U759" i="2"/>
  <c r="T759" i="2"/>
  <c r="S759" i="2"/>
  <c r="AG759" i="2" s="1"/>
  <c r="P759" i="2"/>
  <c r="O759" i="2"/>
  <c r="K759" i="2"/>
  <c r="E759" i="2"/>
  <c r="AP758" i="2"/>
  <c r="AO758" i="2"/>
  <c r="AM758" i="2"/>
  <c r="AL758" i="2"/>
  <c r="AN758" i="2" s="1"/>
  <c r="AK758" i="2"/>
  <c r="AG758" i="2"/>
  <c r="AE758" i="2"/>
  <c r="AA758" i="2"/>
  <c r="X758" i="2"/>
  <c r="U758" i="2"/>
  <c r="W758" i="2" s="1"/>
  <c r="T758" i="2"/>
  <c r="S758" i="2"/>
  <c r="AI758" i="2" s="1"/>
  <c r="P758" i="2"/>
  <c r="O758" i="2"/>
  <c r="K758" i="2"/>
  <c r="AF758" i="2" s="1"/>
  <c r="E758" i="2"/>
  <c r="AP757" i="2"/>
  <c r="AO757" i="2"/>
  <c r="AL757" i="2"/>
  <c r="AK757" i="2"/>
  <c r="AE757" i="2"/>
  <c r="AM757" i="2" s="1"/>
  <c r="AN757" i="2" s="1"/>
  <c r="AA757" i="2"/>
  <c r="X757" i="2"/>
  <c r="T757" i="2"/>
  <c r="S757" i="2"/>
  <c r="AI757" i="2" s="1"/>
  <c r="O757" i="2"/>
  <c r="P757" i="2" s="1"/>
  <c r="K757" i="2"/>
  <c r="AF757" i="2" s="1"/>
  <c r="F757" i="2"/>
  <c r="E757" i="2"/>
  <c r="G757" i="2" s="1"/>
  <c r="AP756" i="2"/>
  <c r="AO756" i="2"/>
  <c r="AM756" i="2"/>
  <c r="AL756" i="2"/>
  <c r="AN756" i="2" s="1"/>
  <c r="AK756" i="2"/>
  <c r="AI756" i="2"/>
  <c r="AG756" i="2"/>
  <c r="AE756" i="2"/>
  <c r="AA756" i="2"/>
  <c r="X756" i="2"/>
  <c r="T756" i="2"/>
  <c r="S756" i="2"/>
  <c r="P756" i="2"/>
  <c r="O756" i="2"/>
  <c r="K756" i="2"/>
  <c r="G756" i="2"/>
  <c r="F756" i="2"/>
  <c r="E756" i="2"/>
  <c r="AP755" i="2"/>
  <c r="AO755" i="2"/>
  <c r="AN755" i="2"/>
  <c r="AK755" i="2"/>
  <c r="AL755" i="2" s="1"/>
  <c r="AI755" i="2"/>
  <c r="AE755" i="2"/>
  <c r="AM755" i="2" s="1"/>
  <c r="X755" i="2"/>
  <c r="AA755" i="2" s="1"/>
  <c r="W755" i="2"/>
  <c r="T755" i="2"/>
  <c r="U755" i="2" s="1"/>
  <c r="S755" i="2"/>
  <c r="AG755" i="2" s="1"/>
  <c r="P755" i="2"/>
  <c r="O755" i="2"/>
  <c r="K755" i="2"/>
  <c r="AF755" i="2" s="1"/>
  <c r="G755" i="2"/>
  <c r="F755" i="2"/>
  <c r="E755" i="2"/>
  <c r="AP754" i="2"/>
  <c r="AO754" i="2"/>
  <c r="AM754" i="2"/>
  <c r="AL754" i="2"/>
  <c r="AN754" i="2" s="1"/>
  <c r="AK754" i="2"/>
  <c r="AI754" i="2"/>
  <c r="AF754" i="2"/>
  <c r="AE754" i="2"/>
  <c r="X754" i="2"/>
  <c r="AA754" i="2" s="1"/>
  <c r="U754" i="2"/>
  <c r="W754" i="2" s="1"/>
  <c r="T754" i="2"/>
  <c r="S754" i="2"/>
  <c r="AG754" i="2" s="1"/>
  <c r="P754" i="2"/>
  <c r="O754" i="2"/>
  <c r="K754" i="2"/>
  <c r="E754" i="2"/>
  <c r="AP753" i="2"/>
  <c r="AO753" i="2"/>
  <c r="AN753" i="2"/>
  <c r="AL753" i="2"/>
  <c r="AK753" i="2"/>
  <c r="AI753" i="2"/>
  <c r="AF753" i="2"/>
  <c r="AE753" i="2"/>
  <c r="AM753" i="2" s="1"/>
  <c r="AA753" i="2"/>
  <c r="X753" i="2"/>
  <c r="T753" i="2"/>
  <c r="S753" i="2"/>
  <c r="U753" i="2" s="1"/>
  <c r="W753" i="2" s="1"/>
  <c r="P753" i="2"/>
  <c r="O753" i="2"/>
  <c r="K753" i="2"/>
  <c r="F753" i="2"/>
  <c r="E753" i="2"/>
  <c r="G753" i="2" s="1"/>
  <c r="AP752" i="2"/>
  <c r="AO752" i="2"/>
  <c r="AM752" i="2"/>
  <c r="AL752" i="2"/>
  <c r="AK752" i="2"/>
  <c r="AE752" i="2"/>
  <c r="X752" i="2"/>
  <c r="AA752" i="2" s="1"/>
  <c r="T752" i="2"/>
  <c r="S752" i="2"/>
  <c r="P752" i="2"/>
  <c r="O752" i="2"/>
  <c r="K752" i="2"/>
  <c r="G752" i="2"/>
  <c r="F752" i="2"/>
  <c r="E752" i="2"/>
  <c r="AP751" i="2"/>
  <c r="AO751" i="2"/>
  <c r="AM751" i="2"/>
  <c r="AL751" i="2"/>
  <c r="AN751" i="2" s="1"/>
  <c r="AK751" i="2"/>
  <c r="AI751" i="2"/>
  <c r="AE751" i="2"/>
  <c r="AA751" i="2"/>
  <c r="X751" i="2"/>
  <c r="U751" i="2"/>
  <c r="W751" i="2" s="1"/>
  <c r="T751" i="2"/>
  <c r="S751" i="2"/>
  <c r="AG751" i="2" s="1"/>
  <c r="P751" i="2"/>
  <c r="O751" i="2"/>
  <c r="K751" i="2"/>
  <c r="AF751" i="2" s="1"/>
  <c r="E751" i="2"/>
  <c r="G751" i="2" s="1"/>
  <c r="AP750" i="2"/>
  <c r="AO750" i="2"/>
  <c r="AN750" i="2"/>
  <c r="AM750" i="2"/>
  <c r="AL750" i="2"/>
  <c r="AK750" i="2"/>
  <c r="AE750" i="2"/>
  <c r="AA750" i="2"/>
  <c r="X750" i="2"/>
  <c r="W750" i="2"/>
  <c r="T750" i="2"/>
  <c r="S750" i="2"/>
  <c r="U750" i="2" s="1"/>
  <c r="P750" i="2"/>
  <c r="O750" i="2"/>
  <c r="K750" i="2"/>
  <c r="AF750" i="2" s="1"/>
  <c r="E750" i="2"/>
  <c r="G750" i="2" s="1"/>
  <c r="AP749" i="2"/>
  <c r="AO749" i="2"/>
  <c r="AK749" i="2"/>
  <c r="AL749" i="2" s="1"/>
  <c r="AE749" i="2"/>
  <c r="AM749" i="2" s="1"/>
  <c r="AA749" i="2"/>
  <c r="X749" i="2"/>
  <c r="T749" i="2"/>
  <c r="S749" i="2"/>
  <c r="AG749" i="2" s="1"/>
  <c r="P749" i="2"/>
  <c r="O749" i="2"/>
  <c r="K749" i="2"/>
  <c r="E749" i="2"/>
  <c r="G749" i="2" s="1"/>
  <c r="AP748" i="2"/>
  <c r="AO748" i="2"/>
  <c r="AN748" i="2"/>
  <c r="AM748" i="2"/>
  <c r="AL748" i="2"/>
  <c r="AK748" i="2"/>
  <c r="AG748" i="2"/>
  <c r="AE748" i="2"/>
  <c r="AA748" i="2"/>
  <c r="X748" i="2"/>
  <c r="AF748" i="2" s="1"/>
  <c r="T748" i="2"/>
  <c r="S748" i="2"/>
  <c r="P748" i="2"/>
  <c r="O748" i="2"/>
  <c r="K748" i="2"/>
  <c r="G748" i="2"/>
  <c r="F748" i="2"/>
  <c r="E748" i="2"/>
  <c r="AP747" i="2"/>
  <c r="AO747" i="2"/>
  <c r="AK747" i="2"/>
  <c r="AL747" i="2" s="1"/>
  <c r="AI747" i="2"/>
  <c r="AE747" i="2"/>
  <c r="AM747" i="2" s="1"/>
  <c r="AA747" i="2"/>
  <c r="X747" i="2"/>
  <c r="W747" i="2"/>
  <c r="T747" i="2"/>
  <c r="U747" i="2" s="1"/>
  <c r="S747" i="2"/>
  <c r="AG747" i="2" s="1"/>
  <c r="O747" i="2"/>
  <c r="P747" i="2" s="1"/>
  <c r="K747" i="2"/>
  <c r="AF747" i="2" s="1"/>
  <c r="G747" i="2"/>
  <c r="F747" i="2"/>
  <c r="E747" i="2"/>
  <c r="AP746" i="2"/>
  <c r="AO746" i="2"/>
  <c r="AM746" i="2"/>
  <c r="AL746" i="2"/>
  <c r="AK746" i="2"/>
  <c r="AI746" i="2"/>
  <c r="AE746" i="2"/>
  <c r="AA746" i="2"/>
  <c r="X746" i="2"/>
  <c r="U746" i="2"/>
  <c r="W746" i="2" s="1"/>
  <c r="T746" i="2"/>
  <c r="S746" i="2"/>
  <c r="AG746" i="2" s="1"/>
  <c r="P746" i="2"/>
  <c r="O746" i="2"/>
  <c r="K746" i="2"/>
  <c r="AF746" i="2" s="1"/>
  <c r="E746" i="2"/>
  <c r="AP745" i="2"/>
  <c r="AO745" i="2"/>
  <c r="AK745" i="2"/>
  <c r="AL745" i="2" s="1"/>
  <c r="AN745" i="2" s="1"/>
  <c r="AG745" i="2"/>
  <c r="AE745" i="2"/>
  <c r="AM745" i="2" s="1"/>
  <c r="AA745" i="2"/>
  <c r="X745" i="2"/>
  <c r="U745" i="2"/>
  <c r="W745" i="2" s="1"/>
  <c r="T745" i="2"/>
  <c r="S745" i="2"/>
  <c r="AI745" i="2" s="1"/>
  <c r="P745" i="2"/>
  <c r="O745" i="2"/>
  <c r="K745" i="2"/>
  <c r="F745" i="2"/>
  <c r="E745" i="2"/>
  <c r="G745" i="2" s="1"/>
  <c r="AP744" i="2"/>
  <c r="AO744" i="2"/>
  <c r="AL744" i="2"/>
  <c r="AK744" i="2"/>
  <c r="AF744" i="2"/>
  <c r="AE744" i="2"/>
  <c r="AM744" i="2" s="1"/>
  <c r="AN744" i="2" s="1"/>
  <c r="AA744" i="2"/>
  <c r="X744" i="2"/>
  <c r="T744" i="2"/>
  <c r="S744" i="2"/>
  <c r="U744" i="2" s="1"/>
  <c r="W744" i="2" s="1"/>
  <c r="O744" i="2"/>
  <c r="P744" i="2" s="1"/>
  <c r="K744" i="2"/>
  <c r="G744" i="2"/>
  <c r="F744" i="2"/>
  <c r="E744" i="2"/>
  <c r="AP743" i="2"/>
  <c r="AO743" i="2"/>
  <c r="AM743" i="2"/>
  <c r="AL743" i="2"/>
  <c r="AK743" i="2"/>
  <c r="AI743" i="2"/>
  <c r="AE743" i="2"/>
  <c r="AA743" i="2"/>
  <c r="X743" i="2"/>
  <c r="U743" i="2"/>
  <c r="W743" i="2" s="1"/>
  <c r="T743" i="2"/>
  <c r="S743" i="2"/>
  <c r="AG743" i="2" s="1"/>
  <c r="P743" i="2"/>
  <c r="O743" i="2"/>
  <c r="K743" i="2"/>
  <c r="AF743" i="2" s="1"/>
  <c r="F743" i="2"/>
  <c r="E743" i="2"/>
  <c r="G743" i="2" s="1"/>
  <c r="AP742" i="2"/>
  <c r="AO742" i="2"/>
  <c r="AM742" i="2"/>
  <c r="AL742" i="2"/>
  <c r="AN742" i="2" s="1"/>
  <c r="AK742" i="2"/>
  <c r="AE742" i="2"/>
  <c r="AA742" i="2"/>
  <c r="X742" i="2"/>
  <c r="T742" i="2"/>
  <c r="S742" i="2"/>
  <c r="P742" i="2"/>
  <c r="O742" i="2"/>
  <c r="K742" i="2"/>
  <c r="E742" i="2"/>
  <c r="G742" i="2" s="1"/>
  <c r="AP741" i="2"/>
  <c r="AO741" i="2"/>
  <c r="AN741" i="2"/>
  <c r="AL741" i="2"/>
  <c r="AK741" i="2"/>
  <c r="AE741" i="2"/>
  <c r="AM741" i="2" s="1"/>
  <c r="AA741" i="2"/>
  <c r="X741" i="2"/>
  <c r="W741" i="2"/>
  <c r="U741" i="2"/>
  <c r="T741" i="2"/>
  <c r="S741" i="2"/>
  <c r="AI741" i="2" s="1"/>
  <c r="O741" i="2"/>
  <c r="P741" i="2" s="1"/>
  <c r="K741" i="2"/>
  <c r="AF741" i="2" s="1"/>
  <c r="E741" i="2"/>
  <c r="G741" i="2" s="1"/>
  <c r="AP740" i="2"/>
  <c r="AO740" i="2"/>
  <c r="AM740" i="2"/>
  <c r="AL740" i="2"/>
  <c r="AN740" i="2" s="1"/>
  <c r="AK740" i="2"/>
  <c r="AE740" i="2"/>
  <c r="AA740" i="2"/>
  <c r="X740" i="2"/>
  <c r="T740" i="2"/>
  <c r="S740" i="2"/>
  <c r="P740" i="2"/>
  <c r="O740" i="2"/>
  <c r="K740" i="2"/>
  <c r="G740" i="2"/>
  <c r="F740" i="2"/>
  <c r="E740" i="2"/>
  <c r="AP739" i="2"/>
  <c r="AO739" i="2"/>
  <c r="AN739" i="2"/>
  <c r="AM739" i="2"/>
  <c r="AK739" i="2"/>
  <c r="AL739" i="2" s="1"/>
  <c r="AI739" i="2"/>
  <c r="AE739" i="2"/>
  <c r="X739" i="2"/>
  <c r="AA739" i="2" s="1"/>
  <c r="T739" i="2"/>
  <c r="U739" i="2" s="1"/>
  <c r="W739" i="2" s="1"/>
  <c r="S739" i="2"/>
  <c r="AG739" i="2" s="1"/>
  <c r="O739" i="2"/>
  <c r="P739" i="2" s="1"/>
  <c r="K739" i="2"/>
  <c r="F739" i="2"/>
  <c r="E739" i="2"/>
  <c r="G739" i="2" s="1"/>
  <c r="AP738" i="2"/>
  <c r="AO738" i="2"/>
  <c r="AM738" i="2"/>
  <c r="AK738" i="2"/>
  <c r="AL738" i="2" s="1"/>
  <c r="AN738" i="2" s="1"/>
  <c r="AF738" i="2"/>
  <c r="AE738" i="2"/>
  <c r="X738" i="2"/>
  <c r="AA738" i="2" s="1"/>
  <c r="U738" i="2"/>
  <c r="W738" i="2" s="1"/>
  <c r="T738" i="2"/>
  <c r="S738" i="2"/>
  <c r="AI738" i="2" s="1"/>
  <c r="P738" i="2"/>
  <c r="O738" i="2"/>
  <c r="K738" i="2"/>
  <c r="E738" i="2"/>
  <c r="AP737" i="2"/>
  <c r="AO737" i="2"/>
  <c r="AL737" i="2"/>
  <c r="AK737" i="2"/>
  <c r="AI737" i="2"/>
  <c r="AE737" i="2"/>
  <c r="AM737" i="2" s="1"/>
  <c r="AN737" i="2" s="1"/>
  <c r="AA737" i="2"/>
  <c r="X737" i="2"/>
  <c r="T737" i="2"/>
  <c r="S737" i="2"/>
  <c r="U737" i="2" s="1"/>
  <c r="W737" i="2" s="1"/>
  <c r="P737" i="2"/>
  <c r="O737" i="2"/>
  <c r="K737" i="2"/>
  <c r="AF737" i="2" s="1"/>
  <c r="F737" i="2"/>
  <c r="E737" i="2"/>
  <c r="G737" i="2" s="1"/>
  <c r="AP736" i="2"/>
  <c r="AO736" i="2"/>
  <c r="AM736" i="2"/>
  <c r="AL736" i="2"/>
  <c r="AK736" i="2"/>
  <c r="AI736" i="2"/>
  <c r="AE736" i="2"/>
  <c r="X736" i="2"/>
  <c r="AA736" i="2" s="1"/>
  <c r="T736" i="2"/>
  <c r="S736" i="2"/>
  <c r="P736" i="2"/>
  <c r="O736" i="2"/>
  <c r="K736" i="2"/>
  <c r="AF736" i="2" s="1"/>
  <c r="G736" i="2"/>
  <c r="F736" i="2"/>
  <c r="E736" i="2"/>
  <c r="AP735" i="2"/>
  <c r="AO735" i="2"/>
  <c r="AL735" i="2"/>
  <c r="AK735" i="2"/>
  <c r="AI735" i="2"/>
  <c r="AF735" i="2"/>
  <c r="AE735" i="2"/>
  <c r="AM735" i="2" s="1"/>
  <c r="AA735" i="2"/>
  <c r="X735" i="2"/>
  <c r="U735" i="2"/>
  <c r="W735" i="2" s="1"/>
  <c r="T735" i="2"/>
  <c r="S735" i="2"/>
  <c r="AG735" i="2" s="1"/>
  <c r="P735" i="2"/>
  <c r="O735" i="2"/>
  <c r="K735" i="2"/>
  <c r="E735" i="2"/>
  <c r="G735" i="2" s="1"/>
  <c r="AP734" i="2"/>
  <c r="AO734" i="2"/>
  <c r="AM734" i="2"/>
  <c r="AL734" i="2"/>
  <c r="AN734" i="2" s="1"/>
  <c r="AK734" i="2"/>
  <c r="AE734" i="2"/>
  <c r="AA734" i="2"/>
  <c r="X734" i="2"/>
  <c r="W734" i="2"/>
  <c r="T734" i="2"/>
  <c r="S734" i="2"/>
  <c r="U734" i="2" s="1"/>
  <c r="P734" i="2"/>
  <c r="O734" i="2"/>
  <c r="K734" i="2"/>
  <c r="AF734" i="2" s="1"/>
  <c r="G734" i="2"/>
  <c r="F734" i="2"/>
  <c r="E734" i="2"/>
  <c r="AP733" i="2"/>
  <c r="AO733" i="2"/>
  <c r="AK733" i="2"/>
  <c r="AL733" i="2" s="1"/>
  <c r="AN733" i="2" s="1"/>
  <c r="AE733" i="2"/>
  <c r="AM733" i="2" s="1"/>
  <c r="AA733" i="2"/>
  <c r="X733" i="2"/>
  <c r="T733" i="2"/>
  <c r="S733" i="2"/>
  <c r="P733" i="2"/>
  <c r="O733" i="2"/>
  <c r="K733" i="2"/>
  <c r="E733" i="2"/>
  <c r="AP732" i="2"/>
  <c r="AO732" i="2"/>
  <c r="AN732" i="2"/>
  <c r="AL732" i="2"/>
  <c r="AK732" i="2"/>
  <c r="AG732" i="2"/>
  <c r="AE732" i="2"/>
  <c r="AM732" i="2" s="1"/>
  <c r="AA732" i="2"/>
  <c r="X732" i="2"/>
  <c r="T732" i="2"/>
  <c r="S732" i="2"/>
  <c r="P732" i="2"/>
  <c r="O732" i="2"/>
  <c r="K732" i="2"/>
  <c r="AF732" i="2" s="1"/>
  <c r="G732" i="2"/>
  <c r="F732" i="2"/>
  <c r="E732" i="2"/>
  <c r="AP731" i="2"/>
  <c r="AO731" i="2"/>
  <c r="AN731" i="2"/>
  <c r="AM731" i="2"/>
  <c r="AL731" i="2"/>
  <c r="AK731" i="2"/>
  <c r="AI731" i="2"/>
  <c r="AE731" i="2"/>
  <c r="X731" i="2"/>
  <c r="AA731" i="2" s="1"/>
  <c r="W731" i="2"/>
  <c r="U731" i="2"/>
  <c r="T731" i="2"/>
  <c r="S731" i="2"/>
  <c r="AG731" i="2" s="1"/>
  <c r="O731" i="2"/>
  <c r="P731" i="2" s="1"/>
  <c r="K731" i="2"/>
  <c r="E731" i="2"/>
  <c r="AP730" i="2"/>
  <c r="AO730" i="2"/>
  <c r="AM730" i="2"/>
  <c r="AK730" i="2"/>
  <c r="AL730" i="2" s="1"/>
  <c r="AN730" i="2" s="1"/>
  <c r="AG730" i="2"/>
  <c r="AF730" i="2"/>
  <c r="AE730" i="2"/>
  <c r="X730" i="2"/>
  <c r="AA730" i="2" s="1"/>
  <c r="T730" i="2"/>
  <c r="U730" i="2" s="1"/>
  <c r="W730" i="2" s="1"/>
  <c r="S730" i="2"/>
  <c r="AI730" i="2" s="1"/>
  <c r="P730" i="2"/>
  <c r="O730" i="2"/>
  <c r="K730" i="2"/>
  <c r="E730" i="2"/>
  <c r="AP729" i="2"/>
  <c r="AO729" i="2"/>
  <c r="AL729" i="2"/>
  <c r="AK729" i="2"/>
  <c r="AI729" i="2"/>
  <c r="AF729" i="2"/>
  <c r="AE729" i="2"/>
  <c r="AM729" i="2" s="1"/>
  <c r="AN729" i="2" s="1"/>
  <c r="AA729" i="2"/>
  <c r="X729" i="2"/>
  <c r="T729" i="2"/>
  <c r="S729" i="2"/>
  <c r="U729" i="2" s="1"/>
  <c r="W729" i="2" s="1"/>
  <c r="O729" i="2"/>
  <c r="P729" i="2" s="1"/>
  <c r="K729" i="2"/>
  <c r="F729" i="2"/>
  <c r="E729" i="2"/>
  <c r="G729" i="2" s="1"/>
  <c r="AP728" i="2"/>
  <c r="AO728" i="2"/>
  <c r="AM728" i="2"/>
  <c r="AL728" i="2"/>
  <c r="AK728" i="2"/>
  <c r="AI728" i="2"/>
  <c r="AE728" i="2"/>
  <c r="X728" i="2"/>
  <c r="AA728" i="2" s="1"/>
  <c r="T728" i="2"/>
  <c r="S728" i="2"/>
  <c r="P728" i="2"/>
  <c r="O728" i="2"/>
  <c r="K728" i="2"/>
  <c r="AF728" i="2" s="1"/>
  <c r="G728" i="2"/>
  <c r="F728" i="2"/>
  <c r="E728" i="2"/>
  <c r="AP727" i="2"/>
  <c r="AO727" i="2"/>
  <c r="AL727" i="2"/>
  <c r="AK727" i="2"/>
  <c r="AI727" i="2"/>
  <c r="AE727" i="2"/>
  <c r="AM727" i="2" s="1"/>
  <c r="AA727" i="2"/>
  <c r="X727" i="2"/>
  <c r="U727" i="2"/>
  <c r="W727" i="2" s="1"/>
  <c r="T727" i="2"/>
  <c r="S727" i="2"/>
  <c r="AG727" i="2" s="1"/>
  <c r="P727" i="2"/>
  <c r="O727" i="2"/>
  <c r="K727" i="2"/>
  <c r="AF727" i="2" s="1"/>
  <c r="E727" i="2"/>
  <c r="G727" i="2" s="1"/>
  <c r="AP726" i="2"/>
  <c r="AO726" i="2"/>
  <c r="AM726" i="2"/>
  <c r="AL726" i="2"/>
  <c r="AN726" i="2" s="1"/>
  <c r="AK726" i="2"/>
  <c r="AE726" i="2"/>
  <c r="X726" i="2"/>
  <c r="AA726" i="2" s="1"/>
  <c r="T726" i="2"/>
  <c r="S726" i="2"/>
  <c r="U726" i="2" s="1"/>
  <c r="W726" i="2" s="1"/>
  <c r="P726" i="2"/>
  <c r="O726" i="2"/>
  <c r="K726" i="2"/>
  <c r="AF726" i="2" s="1"/>
  <c r="G726" i="2"/>
  <c r="F726" i="2"/>
  <c r="E726" i="2"/>
  <c r="AP725" i="2"/>
  <c r="AO725" i="2"/>
  <c r="AL725" i="2"/>
  <c r="AN725" i="2" s="1"/>
  <c r="AK725" i="2"/>
  <c r="AI725" i="2"/>
  <c r="AE725" i="2"/>
  <c r="AM725" i="2" s="1"/>
  <c r="AA725" i="2"/>
  <c r="X725" i="2"/>
  <c r="T725" i="2"/>
  <c r="S725" i="2"/>
  <c r="AG725" i="2" s="1"/>
  <c r="P725" i="2"/>
  <c r="O725" i="2"/>
  <c r="K725" i="2"/>
  <c r="E725" i="2"/>
  <c r="AP724" i="2"/>
  <c r="AO724" i="2"/>
  <c r="AN724" i="2"/>
  <c r="AL724" i="2"/>
  <c r="AK724" i="2"/>
  <c r="AG724" i="2"/>
  <c r="AE724" i="2"/>
  <c r="AM724" i="2" s="1"/>
  <c r="AA724" i="2"/>
  <c r="X724" i="2"/>
  <c r="T724" i="2"/>
  <c r="S724" i="2"/>
  <c r="O724" i="2"/>
  <c r="P724" i="2" s="1"/>
  <c r="K724" i="2"/>
  <c r="AF724" i="2" s="1"/>
  <c r="G724" i="2"/>
  <c r="F724" i="2"/>
  <c r="E724" i="2"/>
  <c r="AP723" i="2"/>
  <c r="AO723" i="2"/>
  <c r="AM723" i="2"/>
  <c r="AN723" i="2" s="1"/>
  <c r="AL723" i="2"/>
  <c r="AK723" i="2"/>
  <c r="AI723" i="2"/>
  <c r="AE723" i="2"/>
  <c r="X723" i="2"/>
  <c r="AA723" i="2" s="1"/>
  <c r="T723" i="2"/>
  <c r="U723" i="2" s="1"/>
  <c r="W723" i="2" s="1"/>
  <c r="S723" i="2"/>
  <c r="AG723" i="2" s="1"/>
  <c r="O723" i="2"/>
  <c r="P723" i="2" s="1"/>
  <c r="K723" i="2"/>
  <c r="AF723" i="2" s="1"/>
  <c r="G723" i="2"/>
  <c r="E723" i="2"/>
  <c r="F723" i="2" s="1"/>
  <c r="AP722" i="2"/>
  <c r="AO722" i="2"/>
  <c r="AM722" i="2"/>
  <c r="AK722" i="2"/>
  <c r="AL722" i="2" s="1"/>
  <c r="AN722" i="2" s="1"/>
  <c r="AI722" i="2"/>
  <c r="AG722" i="2"/>
  <c r="AF722" i="2"/>
  <c r="AE722" i="2"/>
  <c r="X722" i="2"/>
  <c r="AA722" i="2" s="1"/>
  <c r="U722" i="2"/>
  <c r="W722" i="2" s="1"/>
  <c r="T722" i="2"/>
  <c r="S722" i="2"/>
  <c r="P722" i="2"/>
  <c r="O722" i="2"/>
  <c r="K722" i="2"/>
  <c r="E722" i="2"/>
  <c r="AP721" i="2"/>
  <c r="AO721" i="2"/>
  <c r="AL721" i="2"/>
  <c r="AK721" i="2"/>
  <c r="AI721" i="2"/>
  <c r="AE721" i="2"/>
  <c r="AM721" i="2" s="1"/>
  <c r="AN721" i="2" s="1"/>
  <c r="AA721" i="2"/>
  <c r="X721" i="2"/>
  <c r="T721" i="2"/>
  <c r="S721" i="2"/>
  <c r="U721" i="2" s="1"/>
  <c r="W721" i="2" s="1"/>
  <c r="P721" i="2"/>
  <c r="O721" i="2"/>
  <c r="K721" i="2"/>
  <c r="AF721" i="2" s="1"/>
  <c r="F721" i="2"/>
  <c r="E721" i="2"/>
  <c r="G721" i="2" s="1"/>
  <c r="AP720" i="2"/>
  <c r="AO720" i="2"/>
  <c r="AM720" i="2"/>
  <c r="AL720" i="2"/>
  <c r="AN720" i="2" s="1"/>
  <c r="AK720" i="2"/>
  <c r="AI720" i="2"/>
  <c r="AE720" i="2"/>
  <c r="X720" i="2"/>
  <c r="AA720" i="2" s="1"/>
  <c r="T720" i="2"/>
  <c r="S720" i="2"/>
  <c r="P720" i="2"/>
  <c r="O720" i="2"/>
  <c r="K720" i="2"/>
  <c r="AF720" i="2" s="1"/>
  <c r="G720" i="2"/>
  <c r="F720" i="2"/>
  <c r="E720" i="2"/>
  <c r="AP719" i="2"/>
  <c r="AO719" i="2"/>
  <c r="AL719" i="2"/>
  <c r="AN719" i="2" s="1"/>
  <c r="AK719" i="2"/>
  <c r="AI719" i="2"/>
  <c r="AF719" i="2"/>
  <c r="AE719" i="2"/>
  <c r="AM719" i="2" s="1"/>
  <c r="AA719" i="2"/>
  <c r="X719" i="2"/>
  <c r="U719" i="2"/>
  <c r="W719" i="2" s="1"/>
  <c r="T719" i="2"/>
  <c r="S719" i="2"/>
  <c r="AG719" i="2" s="1"/>
  <c r="P719" i="2"/>
  <c r="O719" i="2"/>
  <c r="K719" i="2"/>
  <c r="E719" i="2"/>
  <c r="G719" i="2" s="1"/>
  <c r="AP718" i="2"/>
  <c r="AO718" i="2"/>
  <c r="AM718" i="2"/>
  <c r="AN718" i="2" s="1"/>
  <c r="AL718" i="2"/>
  <c r="AK718" i="2"/>
  <c r="AE718" i="2"/>
  <c r="AA718" i="2"/>
  <c r="X718" i="2"/>
  <c r="T718" i="2"/>
  <c r="S718" i="2"/>
  <c r="U718" i="2" s="1"/>
  <c r="W718" i="2" s="1"/>
  <c r="P718" i="2"/>
  <c r="O718" i="2"/>
  <c r="K718" i="2"/>
  <c r="AF718" i="2" s="1"/>
  <c r="G718" i="2"/>
  <c r="F718" i="2"/>
  <c r="E718" i="2"/>
  <c r="AP717" i="2"/>
  <c r="AO717" i="2"/>
  <c r="AL717" i="2"/>
  <c r="AN717" i="2" s="1"/>
  <c r="AK717" i="2"/>
  <c r="AG717" i="2"/>
  <c r="AE717" i="2"/>
  <c r="AM717" i="2" s="1"/>
  <c r="AA717" i="2"/>
  <c r="X717" i="2"/>
  <c r="T717" i="2"/>
  <c r="U717" i="2" s="1"/>
  <c r="W717" i="2" s="1"/>
  <c r="S717" i="2"/>
  <c r="AI717" i="2" s="1"/>
  <c r="P717" i="2"/>
  <c r="O717" i="2"/>
  <c r="K717" i="2"/>
  <c r="E717" i="2"/>
  <c r="AP716" i="2"/>
  <c r="AO716" i="2"/>
  <c r="AN716" i="2"/>
  <c r="AL716" i="2"/>
  <c r="AK716" i="2"/>
  <c r="AG716" i="2"/>
  <c r="AE716" i="2"/>
  <c r="AM716" i="2" s="1"/>
  <c r="AA716" i="2"/>
  <c r="X716" i="2"/>
  <c r="T716" i="2"/>
  <c r="S716" i="2"/>
  <c r="P716" i="2"/>
  <c r="O716" i="2"/>
  <c r="K716" i="2"/>
  <c r="AF716" i="2" s="1"/>
  <c r="G716" i="2"/>
  <c r="F716" i="2"/>
  <c r="E716" i="2"/>
  <c r="AP715" i="2"/>
  <c r="AO715" i="2"/>
  <c r="AM715" i="2"/>
  <c r="AK715" i="2"/>
  <c r="AL715" i="2" s="1"/>
  <c r="AN715" i="2" s="1"/>
  <c r="AI715" i="2"/>
  <c r="AE715" i="2"/>
  <c r="X715" i="2"/>
  <c r="AA715" i="2" s="1"/>
  <c r="U715" i="2"/>
  <c r="W715" i="2" s="1"/>
  <c r="T715" i="2"/>
  <c r="S715" i="2"/>
  <c r="AG715" i="2" s="1"/>
  <c r="O715" i="2"/>
  <c r="P715" i="2" s="1"/>
  <c r="K715" i="2"/>
  <c r="AF715" i="2" s="1"/>
  <c r="G715" i="2"/>
  <c r="F715" i="2"/>
  <c r="E715" i="2"/>
  <c r="AP714" i="2"/>
  <c r="AO714" i="2"/>
  <c r="AM714" i="2"/>
  <c r="AK714" i="2"/>
  <c r="AL714" i="2" s="1"/>
  <c r="AN714" i="2" s="1"/>
  <c r="AE714" i="2"/>
  <c r="X714" i="2"/>
  <c r="AA714" i="2" s="1"/>
  <c r="T714" i="2"/>
  <c r="S714" i="2"/>
  <c r="P714" i="2"/>
  <c r="O714" i="2"/>
  <c r="K714" i="2"/>
  <c r="E714" i="2"/>
  <c r="AP713" i="2"/>
  <c r="AO713" i="2"/>
  <c r="AL713" i="2"/>
  <c r="AK713" i="2"/>
  <c r="AI713" i="2"/>
  <c r="AE713" i="2"/>
  <c r="AM713" i="2" s="1"/>
  <c r="AN713" i="2" s="1"/>
  <c r="AA713" i="2"/>
  <c r="X713" i="2"/>
  <c r="T713" i="2"/>
  <c r="S713" i="2"/>
  <c r="U713" i="2" s="1"/>
  <c r="W713" i="2" s="1"/>
  <c r="O713" i="2"/>
  <c r="P713" i="2" s="1"/>
  <c r="K713" i="2"/>
  <c r="AF713" i="2" s="1"/>
  <c r="F713" i="2"/>
  <c r="E713" i="2"/>
  <c r="G713" i="2" s="1"/>
  <c r="AP712" i="2"/>
  <c r="AO712" i="2"/>
  <c r="AM712" i="2"/>
  <c r="AL712" i="2"/>
  <c r="AK712" i="2"/>
  <c r="AE712" i="2"/>
  <c r="X712" i="2"/>
  <c r="AA712" i="2" s="1"/>
  <c r="T712" i="2"/>
  <c r="S712" i="2"/>
  <c r="P712" i="2"/>
  <c r="O712" i="2"/>
  <c r="K712" i="2"/>
  <c r="G712" i="2"/>
  <c r="F712" i="2"/>
  <c r="E712" i="2"/>
  <c r="AP711" i="2"/>
  <c r="AO711" i="2"/>
  <c r="AL711" i="2"/>
  <c r="AN711" i="2" s="1"/>
  <c r="AK711" i="2"/>
  <c r="AI711" i="2"/>
  <c r="AE711" i="2"/>
  <c r="AM711" i="2" s="1"/>
  <c r="AA711" i="2"/>
  <c r="X711" i="2"/>
  <c r="U711" i="2"/>
  <c r="W711" i="2" s="1"/>
  <c r="T711" i="2"/>
  <c r="S711" i="2"/>
  <c r="AG711" i="2" s="1"/>
  <c r="P711" i="2"/>
  <c r="O711" i="2"/>
  <c r="K711" i="2"/>
  <c r="AF711" i="2" s="1"/>
  <c r="E711" i="2"/>
  <c r="AP710" i="2"/>
  <c r="AO710" i="2"/>
  <c r="AN710" i="2"/>
  <c r="AM710" i="2"/>
  <c r="AL710" i="2"/>
  <c r="AK710" i="2"/>
  <c r="AE710" i="2"/>
  <c r="X710" i="2"/>
  <c r="AA710" i="2" s="1"/>
  <c r="T710" i="2"/>
  <c r="S710" i="2"/>
  <c r="P710" i="2"/>
  <c r="O710" i="2"/>
  <c r="K710" i="2"/>
  <c r="G710" i="2"/>
  <c r="F710" i="2"/>
  <c r="E710" i="2"/>
  <c r="AP709" i="2"/>
  <c r="AO709" i="2"/>
  <c r="AK709" i="2"/>
  <c r="AL709" i="2" s="1"/>
  <c r="AN709" i="2" s="1"/>
  <c r="AE709" i="2"/>
  <c r="AM709" i="2" s="1"/>
  <c r="AA709" i="2"/>
  <c r="X709" i="2"/>
  <c r="T709" i="2"/>
  <c r="U709" i="2" s="1"/>
  <c r="W709" i="2" s="1"/>
  <c r="S709" i="2"/>
  <c r="AI709" i="2" s="1"/>
  <c r="P709" i="2"/>
  <c r="O709" i="2"/>
  <c r="K709" i="2"/>
  <c r="AF709" i="2" s="1"/>
  <c r="E709" i="2"/>
  <c r="AP708" i="2"/>
  <c r="AO708" i="2"/>
  <c r="AL708" i="2"/>
  <c r="AK708" i="2"/>
  <c r="AG708" i="2"/>
  <c r="AE708" i="2"/>
  <c r="AM708" i="2" s="1"/>
  <c r="AN708" i="2" s="1"/>
  <c r="AA708" i="2"/>
  <c r="X708" i="2"/>
  <c r="T708" i="2"/>
  <c r="S708" i="2"/>
  <c r="O708" i="2"/>
  <c r="P708" i="2" s="1"/>
  <c r="K708" i="2"/>
  <c r="AF708" i="2" s="1"/>
  <c r="G708" i="2"/>
  <c r="F708" i="2"/>
  <c r="E708" i="2"/>
  <c r="AP707" i="2"/>
  <c r="AO707" i="2"/>
  <c r="AM707" i="2"/>
  <c r="AK707" i="2"/>
  <c r="AL707" i="2" s="1"/>
  <c r="AN707" i="2" s="1"/>
  <c r="AI707" i="2"/>
  <c r="AE707" i="2"/>
  <c r="AA707" i="2"/>
  <c r="X707" i="2"/>
  <c r="T707" i="2"/>
  <c r="U707" i="2" s="1"/>
  <c r="W707" i="2" s="1"/>
  <c r="S707" i="2"/>
  <c r="AG707" i="2" s="1"/>
  <c r="O707" i="2"/>
  <c r="P707" i="2" s="1"/>
  <c r="K707" i="2"/>
  <c r="AF707" i="2" s="1"/>
  <c r="G707" i="2"/>
  <c r="F707" i="2"/>
  <c r="E707" i="2"/>
  <c r="AP706" i="2"/>
  <c r="AO706" i="2"/>
  <c r="AM706" i="2"/>
  <c r="AL706" i="2"/>
  <c r="AN706" i="2" s="1"/>
  <c r="AK706" i="2"/>
  <c r="AE706" i="2"/>
  <c r="X706" i="2"/>
  <c r="AA706" i="2" s="1"/>
  <c r="W706" i="2"/>
  <c r="U706" i="2"/>
  <c r="T706" i="2"/>
  <c r="S706" i="2"/>
  <c r="AI706" i="2" s="1"/>
  <c r="P706" i="2"/>
  <c r="O706" i="2"/>
  <c r="K706" i="2"/>
  <c r="G706" i="2"/>
  <c r="F706" i="2"/>
  <c r="E706" i="2"/>
  <c r="AP705" i="2"/>
  <c r="AO705" i="2"/>
  <c r="AK705" i="2"/>
  <c r="AL705" i="2" s="1"/>
  <c r="AI705" i="2"/>
  <c r="AG705" i="2"/>
  <c r="AE705" i="2"/>
  <c r="AM705" i="2" s="1"/>
  <c r="AN705" i="2" s="1"/>
  <c r="AA705" i="2"/>
  <c r="X705" i="2"/>
  <c r="T705" i="2"/>
  <c r="S705" i="2"/>
  <c r="P705" i="2"/>
  <c r="O705" i="2"/>
  <c r="K705" i="2"/>
  <c r="AF705" i="2" s="1"/>
  <c r="F705" i="2"/>
  <c r="E705" i="2"/>
  <c r="G705" i="2" s="1"/>
  <c r="AP704" i="2"/>
  <c r="AO704" i="2"/>
  <c r="AM704" i="2"/>
  <c r="AL704" i="2"/>
  <c r="AN704" i="2" s="1"/>
  <c r="AK704" i="2"/>
  <c r="AE704" i="2"/>
  <c r="AA704" i="2"/>
  <c r="X704" i="2"/>
  <c r="T704" i="2"/>
  <c r="S704" i="2"/>
  <c r="O704" i="2"/>
  <c r="P704" i="2" s="1"/>
  <c r="K704" i="2"/>
  <c r="G704" i="2"/>
  <c r="F704" i="2"/>
  <c r="E704" i="2"/>
  <c r="AP703" i="2"/>
  <c r="AO703" i="2"/>
  <c r="AL703" i="2"/>
  <c r="AN703" i="2" s="1"/>
  <c r="AK703" i="2"/>
  <c r="AI703" i="2"/>
  <c r="AE703" i="2"/>
  <c r="AM703" i="2" s="1"/>
  <c r="AA703" i="2"/>
  <c r="X703" i="2"/>
  <c r="U703" i="2"/>
  <c r="W703" i="2" s="1"/>
  <c r="T703" i="2"/>
  <c r="S703" i="2"/>
  <c r="AG703" i="2" s="1"/>
  <c r="P703" i="2"/>
  <c r="O703" i="2"/>
  <c r="K703" i="2"/>
  <c r="AF703" i="2" s="1"/>
  <c r="E703" i="2"/>
  <c r="AP702" i="2"/>
  <c r="AO702" i="2"/>
  <c r="AM702" i="2"/>
  <c r="AL702" i="2"/>
  <c r="AN702" i="2" s="1"/>
  <c r="AK702" i="2"/>
  <c r="AG702" i="2"/>
  <c r="AE702" i="2"/>
  <c r="X702" i="2"/>
  <c r="AA702" i="2" s="1"/>
  <c r="T702" i="2"/>
  <c r="S702" i="2"/>
  <c r="AF702" i="2" s="1"/>
  <c r="P702" i="2"/>
  <c r="O702" i="2"/>
  <c r="K702" i="2"/>
  <c r="G702" i="2"/>
  <c r="F702" i="2"/>
  <c r="E702" i="2"/>
  <c r="AP701" i="2"/>
  <c r="AO701" i="2"/>
  <c r="AN701" i="2"/>
  <c r="AL701" i="2"/>
  <c r="AK701" i="2"/>
  <c r="AE701" i="2"/>
  <c r="AM701" i="2" s="1"/>
  <c r="AA701" i="2"/>
  <c r="X701" i="2"/>
  <c r="T701" i="2"/>
  <c r="S701" i="2"/>
  <c r="O701" i="2"/>
  <c r="P701" i="2" s="1"/>
  <c r="K701" i="2"/>
  <c r="F701" i="2"/>
  <c r="E701" i="2"/>
  <c r="G701" i="2" s="1"/>
  <c r="AP700" i="2"/>
  <c r="AO700" i="2"/>
  <c r="AL700" i="2"/>
  <c r="AK700" i="2"/>
  <c r="AE700" i="2"/>
  <c r="AM700" i="2" s="1"/>
  <c r="AN700" i="2" s="1"/>
  <c r="AA700" i="2"/>
  <c r="X700" i="2"/>
  <c r="T700" i="2"/>
  <c r="S700" i="2"/>
  <c r="P700" i="2"/>
  <c r="O700" i="2"/>
  <c r="K700" i="2"/>
  <c r="G700" i="2"/>
  <c r="F700" i="2"/>
  <c r="E700" i="2"/>
  <c r="AP699" i="2"/>
  <c r="AO699" i="2"/>
  <c r="AN699" i="2"/>
  <c r="AM699" i="2"/>
  <c r="AK699" i="2"/>
  <c r="AL699" i="2" s="1"/>
  <c r="AI699" i="2"/>
  <c r="AE699" i="2"/>
  <c r="AA699" i="2"/>
  <c r="X699" i="2"/>
  <c r="W699" i="2"/>
  <c r="U699" i="2"/>
  <c r="T699" i="2"/>
  <c r="S699" i="2"/>
  <c r="AG699" i="2" s="1"/>
  <c r="O699" i="2"/>
  <c r="P699" i="2" s="1"/>
  <c r="K699" i="2"/>
  <c r="G699" i="2"/>
  <c r="F699" i="2"/>
  <c r="E699" i="2"/>
  <c r="AP698" i="2"/>
  <c r="AO698" i="2"/>
  <c r="AM698" i="2"/>
  <c r="AL698" i="2"/>
  <c r="AK698" i="2"/>
  <c r="AI698" i="2"/>
  <c r="AG698" i="2"/>
  <c r="AF698" i="2"/>
  <c r="AE698" i="2"/>
  <c r="X698" i="2"/>
  <c r="AA698" i="2" s="1"/>
  <c r="T698" i="2"/>
  <c r="S698" i="2"/>
  <c r="U698" i="2" s="1"/>
  <c r="W698" i="2" s="1"/>
  <c r="P698" i="2"/>
  <c r="O698" i="2"/>
  <c r="K698" i="2"/>
  <c r="G698" i="2"/>
  <c r="F698" i="2"/>
  <c r="E698" i="2"/>
  <c r="AP697" i="2"/>
  <c r="AO697" i="2"/>
  <c r="AK697" i="2"/>
  <c r="AL697" i="2" s="1"/>
  <c r="AN697" i="2" s="1"/>
  <c r="AI697" i="2"/>
  <c r="AE697" i="2"/>
  <c r="AM697" i="2" s="1"/>
  <c r="AA697" i="2"/>
  <c r="X697" i="2"/>
  <c r="T697" i="2"/>
  <c r="S697" i="2"/>
  <c r="P697" i="2"/>
  <c r="O697" i="2"/>
  <c r="K697" i="2"/>
  <c r="AF697" i="2" s="1"/>
  <c r="F697" i="2"/>
  <c r="E697" i="2"/>
  <c r="G697" i="2" s="1"/>
  <c r="AP696" i="2"/>
  <c r="AO696" i="2"/>
  <c r="AN696" i="2"/>
  <c r="AM696" i="2"/>
  <c r="AL696" i="2"/>
  <c r="AK696" i="2"/>
  <c r="AE696" i="2"/>
  <c r="AA696" i="2"/>
  <c r="X696" i="2"/>
  <c r="T696" i="2"/>
  <c r="S696" i="2"/>
  <c r="AI696" i="2" s="1"/>
  <c r="O696" i="2"/>
  <c r="P696" i="2" s="1"/>
  <c r="K696" i="2"/>
  <c r="G696" i="2"/>
  <c r="F696" i="2"/>
  <c r="E696" i="2"/>
  <c r="AP695" i="2"/>
  <c r="AO695" i="2"/>
  <c r="AK695" i="2"/>
  <c r="AL695" i="2" s="1"/>
  <c r="AI695" i="2"/>
  <c r="AE695" i="2"/>
  <c r="AM695" i="2" s="1"/>
  <c r="AA695" i="2"/>
  <c r="X695" i="2"/>
  <c r="U695" i="2"/>
  <c r="W695" i="2" s="1"/>
  <c r="T695" i="2"/>
  <c r="S695" i="2"/>
  <c r="AG695" i="2" s="1"/>
  <c r="P695" i="2"/>
  <c r="O695" i="2"/>
  <c r="K695" i="2"/>
  <c r="AF695" i="2" s="1"/>
  <c r="E695" i="2"/>
  <c r="AP694" i="2"/>
  <c r="AO694" i="2"/>
  <c r="AM694" i="2"/>
  <c r="AN694" i="2" s="1"/>
  <c r="AL694" i="2"/>
  <c r="AK694" i="2"/>
  <c r="AG694" i="2"/>
  <c r="AE694" i="2"/>
  <c r="AA694" i="2"/>
  <c r="X694" i="2"/>
  <c r="T694" i="2"/>
  <c r="S694" i="2"/>
  <c r="P694" i="2"/>
  <c r="O694" i="2"/>
  <c r="K694" i="2"/>
  <c r="AF694" i="2" s="1"/>
  <c r="G694" i="2"/>
  <c r="F694" i="2"/>
  <c r="E694" i="2"/>
  <c r="AP693" i="2"/>
  <c r="AO693" i="2"/>
  <c r="AL693" i="2"/>
  <c r="AN693" i="2" s="1"/>
  <c r="AK693" i="2"/>
  <c r="AI693" i="2"/>
  <c r="AE693" i="2"/>
  <c r="AM693" i="2" s="1"/>
  <c r="AA693" i="2"/>
  <c r="X693" i="2"/>
  <c r="T693" i="2"/>
  <c r="S693" i="2"/>
  <c r="O693" i="2"/>
  <c r="P693" i="2" s="1"/>
  <c r="K693" i="2"/>
  <c r="E693" i="2"/>
  <c r="G693" i="2" s="1"/>
  <c r="AP692" i="2"/>
  <c r="AO692" i="2"/>
  <c r="AL692" i="2"/>
  <c r="AK692" i="2"/>
  <c r="AI692" i="2"/>
  <c r="AE692" i="2"/>
  <c r="AM692" i="2" s="1"/>
  <c r="AN692" i="2" s="1"/>
  <c r="AA692" i="2"/>
  <c r="X692" i="2"/>
  <c r="T692" i="2"/>
  <c r="S692" i="2"/>
  <c r="AG692" i="2" s="1"/>
  <c r="P692" i="2"/>
  <c r="O692" i="2"/>
  <c r="K692" i="2"/>
  <c r="AF692" i="2" s="1"/>
  <c r="G692" i="2"/>
  <c r="F692" i="2"/>
  <c r="E692" i="2"/>
  <c r="AP691" i="2"/>
  <c r="AO691" i="2"/>
  <c r="AK691" i="2"/>
  <c r="AL691" i="2" s="1"/>
  <c r="AN691" i="2" s="1"/>
  <c r="AI691" i="2"/>
  <c r="AE691" i="2"/>
  <c r="AM691" i="2" s="1"/>
  <c r="AA691" i="2"/>
  <c r="X691" i="2"/>
  <c r="T691" i="2"/>
  <c r="U691" i="2" s="1"/>
  <c r="W691" i="2" s="1"/>
  <c r="S691" i="2"/>
  <c r="AG691" i="2" s="1"/>
  <c r="O691" i="2"/>
  <c r="P691" i="2" s="1"/>
  <c r="K691" i="2"/>
  <c r="AF691" i="2" s="1"/>
  <c r="G691" i="2"/>
  <c r="E691" i="2"/>
  <c r="F691" i="2" s="1"/>
  <c r="AP690" i="2"/>
  <c r="AO690" i="2"/>
  <c r="AM690" i="2"/>
  <c r="AL690" i="2"/>
  <c r="AN690" i="2" s="1"/>
  <c r="AK690" i="2"/>
  <c r="AI690" i="2"/>
  <c r="AE690" i="2"/>
  <c r="X690" i="2"/>
  <c r="AA690" i="2" s="1"/>
  <c r="T690" i="2"/>
  <c r="S690" i="2"/>
  <c r="P690" i="2"/>
  <c r="O690" i="2"/>
  <c r="K690" i="2"/>
  <c r="F690" i="2"/>
  <c r="E690" i="2"/>
  <c r="G690" i="2" s="1"/>
  <c r="AP689" i="2"/>
  <c r="AO689" i="2"/>
  <c r="AK689" i="2"/>
  <c r="AL689" i="2" s="1"/>
  <c r="AE689" i="2"/>
  <c r="AM689" i="2" s="1"/>
  <c r="AA689" i="2"/>
  <c r="X689" i="2"/>
  <c r="T689" i="2"/>
  <c r="S689" i="2"/>
  <c r="U689" i="2" s="1"/>
  <c r="W689" i="2" s="1"/>
  <c r="O689" i="2"/>
  <c r="P689" i="2" s="1"/>
  <c r="K689" i="2"/>
  <c r="AF689" i="2" s="1"/>
  <c r="F689" i="2"/>
  <c r="E689" i="2"/>
  <c r="G689" i="2" s="1"/>
  <c r="AP688" i="2"/>
  <c r="AO688" i="2"/>
  <c r="AL688" i="2"/>
  <c r="AK688" i="2"/>
  <c r="AE688" i="2"/>
  <c r="AM688" i="2" s="1"/>
  <c r="AN688" i="2" s="1"/>
  <c r="X688" i="2"/>
  <c r="AA688" i="2" s="1"/>
  <c r="T688" i="2"/>
  <c r="S688" i="2"/>
  <c r="O688" i="2"/>
  <c r="P688" i="2" s="1"/>
  <c r="K688" i="2"/>
  <c r="G688" i="2"/>
  <c r="F688" i="2"/>
  <c r="E688" i="2"/>
  <c r="AP687" i="2"/>
  <c r="AO687" i="2"/>
  <c r="AM687" i="2"/>
  <c r="AL687" i="2"/>
  <c r="AK687" i="2"/>
  <c r="AI687" i="2"/>
  <c r="AF687" i="2"/>
  <c r="AE687" i="2"/>
  <c r="AA687" i="2"/>
  <c r="X687" i="2"/>
  <c r="W687" i="2"/>
  <c r="U687" i="2"/>
  <c r="T687" i="2"/>
  <c r="S687" i="2"/>
  <c r="AG687" i="2" s="1"/>
  <c r="O687" i="2"/>
  <c r="P687" i="2" s="1"/>
  <c r="K687" i="2"/>
  <c r="E687" i="2"/>
  <c r="AP686" i="2"/>
  <c r="AO686" i="2"/>
  <c r="AN686" i="2"/>
  <c r="AM686" i="2"/>
  <c r="AL686" i="2"/>
  <c r="AK686" i="2"/>
  <c r="AG686" i="2"/>
  <c r="AE686" i="2"/>
  <c r="AA686" i="2"/>
  <c r="X686" i="2"/>
  <c r="W686" i="2"/>
  <c r="T686" i="2"/>
  <c r="S686" i="2"/>
  <c r="U686" i="2" s="1"/>
  <c r="P686" i="2"/>
  <c r="O686" i="2"/>
  <c r="K686" i="2"/>
  <c r="AF686" i="2" s="1"/>
  <c r="G686" i="2"/>
  <c r="F686" i="2"/>
  <c r="E686" i="2"/>
  <c r="AP685" i="2"/>
  <c r="AO685" i="2"/>
  <c r="AL685" i="2"/>
  <c r="AN685" i="2" s="1"/>
  <c r="AK685" i="2"/>
  <c r="AI685" i="2"/>
  <c r="AE685" i="2"/>
  <c r="AM685" i="2" s="1"/>
  <c r="AA685" i="2"/>
  <c r="X685" i="2"/>
  <c r="T685" i="2"/>
  <c r="S685" i="2"/>
  <c r="O685" i="2"/>
  <c r="P685" i="2" s="1"/>
  <c r="K685" i="2"/>
  <c r="E685" i="2"/>
  <c r="G685" i="2" s="1"/>
  <c r="AP684" i="2"/>
  <c r="AO684" i="2"/>
  <c r="AL684" i="2"/>
  <c r="AN684" i="2" s="1"/>
  <c r="AK684" i="2"/>
  <c r="AE684" i="2"/>
  <c r="AM684" i="2" s="1"/>
  <c r="AA684" i="2"/>
  <c r="X684" i="2"/>
  <c r="W684" i="2"/>
  <c r="T684" i="2"/>
  <c r="S684" i="2"/>
  <c r="U684" i="2" s="1"/>
  <c r="O684" i="2"/>
  <c r="P684" i="2" s="1"/>
  <c r="K684" i="2"/>
  <c r="AF684" i="2" s="1"/>
  <c r="G684" i="2"/>
  <c r="F684" i="2"/>
  <c r="E684" i="2"/>
  <c r="AP683" i="2"/>
  <c r="AO683" i="2"/>
  <c r="AK683" i="2"/>
  <c r="AL683" i="2" s="1"/>
  <c r="AN683" i="2" s="1"/>
  <c r="AI683" i="2"/>
  <c r="AF683" i="2"/>
  <c r="AE683" i="2"/>
  <c r="AM683" i="2" s="1"/>
  <c r="AA683" i="2"/>
  <c r="X683" i="2"/>
  <c r="U683" i="2"/>
  <c r="W683" i="2" s="1"/>
  <c r="T683" i="2"/>
  <c r="S683" i="2"/>
  <c r="AG683" i="2" s="1"/>
  <c r="P683" i="2"/>
  <c r="O683" i="2"/>
  <c r="K683" i="2"/>
  <c r="E683" i="2"/>
  <c r="AP682" i="2"/>
  <c r="AO682" i="2"/>
  <c r="AN682" i="2"/>
  <c r="AM682" i="2"/>
  <c r="AL682" i="2"/>
  <c r="AK682" i="2"/>
  <c r="AE682" i="2"/>
  <c r="AA682" i="2"/>
  <c r="X682" i="2"/>
  <c r="T682" i="2"/>
  <c r="S682" i="2"/>
  <c r="P682" i="2"/>
  <c r="O682" i="2"/>
  <c r="K682" i="2"/>
  <c r="G682" i="2"/>
  <c r="F682" i="2"/>
  <c r="E682" i="2"/>
  <c r="AP681" i="2"/>
  <c r="AO681" i="2"/>
  <c r="AN681" i="2"/>
  <c r="AL681" i="2"/>
  <c r="AK681" i="2"/>
  <c r="AE681" i="2"/>
  <c r="AM681" i="2" s="1"/>
  <c r="AA681" i="2"/>
  <c r="X681" i="2"/>
  <c r="U681" i="2"/>
  <c r="W681" i="2" s="1"/>
  <c r="T681" i="2"/>
  <c r="S681" i="2"/>
  <c r="AI681" i="2" s="1"/>
  <c r="O681" i="2"/>
  <c r="P681" i="2" s="1"/>
  <c r="K681" i="2"/>
  <c r="AF681" i="2" s="1"/>
  <c r="F681" i="2"/>
  <c r="E681" i="2"/>
  <c r="G681" i="2" s="1"/>
  <c r="AP680" i="2"/>
  <c r="AO680" i="2"/>
  <c r="AL680" i="2"/>
  <c r="AK680" i="2"/>
  <c r="AE680" i="2"/>
  <c r="AM680" i="2" s="1"/>
  <c r="AN680" i="2" s="1"/>
  <c r="AA680" i="2"/>
  <c r="X680" i="2"/>
  <c r="T680" i="2"/>
  <c r="S680" i="2"/>
  <c r="P680" i="2"/>
  <c r="O680" i="2"/>
  <c r="K680" i="2"/>
  <c r="G680" i="2"/>
  <c r="F680" i="2"/>
  <c r="E680" i="2"/>
  <c r="AP679" i="2"/>
  <c r="AO679" i="2"/>
  <c r="AK679" i="2"/>
  <c r="AL679" i="2" s="1"/>
  <c r="AN679" i="2" s="1"/>
  <c r="AI679" i="2"/>
  <c r="AE679" i="2"/>
  <c r="AM679" i="2" s="1"/>
  <c r="X679" i="2"/>
  <c r="AA679" i="2" s="1"/>
  <c r="W679" i="2"/>
  <c r="T679" i="2"/>
  <c r="U679" i="2" s="1"/>
  <c r="S679" i="2"/>
  <c r="AG679" i="2" s="1"/>
  <c r="O679" i="2"/>
  <c r="P679" i="2" s="1"/>
  <c r="K679" i="2"/>
  <c r="G679" i="2"/>
  <c r="F679" i="2"/>
  <c r="E679" i="2"/>
  <c r="AP678" i="2"/>
  <c r="AO678" i="2"/>
  <c r="AM678" i="2"/>
  <c r="AL678" i="2"/>
  <c r="AN678" i="2" s="1"/>
  <c r="AK678" i="2"/>
  <c r="AI678" i="2"/>
  <c r="AE678" i="2"/>
  <c r="X678" i="2"/>
  <c r="W678" i="2"/>
  <c r="U678" i="2"/>
  <c r="T678" i="2"/>
  <c r="S678" i="2"/>
  <c r="AG678" i="2" s="1"/>
  <c r="P678" i="2"/>
  <c r="O678" i="2"/>
  <c r="K678" i="2"/>
  <c r="G678" i="2"/>
  <c r="F678" i="2"/>
  <c r="E678" i="2"/>
  <c r="AP677" i="2"/>
  <c r="AO677" i="2"/>
  <c r="AK677" i="2"/>
  <c r="AL677" i="2" s="1"/>
  <c r="AI677" i="2"/>
  <c r="AG677" i="2"/>
  <c r="AF677" i="2"/>
  <c r="AE677" i="2"/>
  <c r="AM677" i="2" s="1"/>
  <c r="AA677" i="2"/>
  <c r="X677" i="2"/>
  <c r="T677" i="2"/>
  <c r="S677" i="2"/>
  <c r="P677" i="2"/>
  <c r="O677" i="2"/>
  <c r="K677" i="2"/>
  <c r="F677" i="2"/>
  <c r="E677" i="2"/>
  <c r="G677" i="2" s="1"/>
  <c r="AP676" i="2"/>
  <c r="AO676" i="2"/>
  <c r="AM676" i="2"/>
  <c r="AL676" i="2"/>
  <c r="AK676" i="2"/>
  <c r="AE676" i="2"/>
  <c r="AA676" i="2"/>
  <c r="X676" i="2"/>
  <c r="T676" i="2"/>
  <c r="S676" i="2"/>
  <c r="AG676" i="2" s="1"/>
  <c r="O676" i="2"/>
  <c r="P676" i="2" s="1"/>
  <c r="K676" i="2"/>
  <c r="AF676" i="2" s="1"/>
  <c r="G676" i="2"/>
  <c r="F676" i="2"/>
  <c r="E676" i="2"/>
  <c r="AP675" i="2"/>
  <c r="AO675" i="2"/>
  <c r="AK675" i="2"/>
  <c r="AL675" i="2" s="1"/>
  <c r="AN675" i="2" s="1"/>
  <c r="AI675" i="2"/>
  <c r="AF675" i="2"/>
  <c r="AE675" i="2"/>
  <c r="AM675" i="2" s="1"/>
  <c r="AA675" i="2"/>
  <c r="X675" i="2"/>
  <c r="T675" i="2"/>
  <c r="U675" i="2" s="1"/>
  <c r="W675" i="2" s="1"/>
  <c r="S675" i="2"/>
  <c r="AG675" i="2" s="1"/>
  <c r="P675" i="2"/>
  <c r="O675" i="2"/>
  <c r="K675" i="2"/>
  <c r="E675" i="2"/>
  <c r="AP674" i="2"/>
  <c r="AO674" i="2"/>
  <c r="AN674" i="2"/>
  <c r="AM674" i="2"/>
  <c r="AL674" i="2"/>
  <c r="AK674" i="2"/>
  <c r="AE674" i="2"/>
  <c r="AA674" i="2"/>
  <c r="X674" i="2"/>
  <c r="T674" i="2"/>
  <c r="S674" i="2"/>
  <c r="P674" i="2"/>
  <c r="O674" i="2"/>
  <c r="K674" i="2"/>
  <c r="G674" i="2"/>
  <c r="F674" i="2"/>
  <c r="E674" i="2"/>
  <c r="AP673" i="2"/>
  <c r="AO673" i="2"/>
  <c r="AN673" i="2"/>
  <c r="AL673" i="2"/>
  <c r="AK673" i="2"/>
  <c r="AI673" i="2"/>
  <c r="AE673" i="2"/>
  <c r="AM673" i="2" s="1"/>
  <c r="AA673" i="2"/>
  <c r="X673" i="2"/>
  <c r="U673" i="2"/>
  <c r="W673" i="2" s="1"/>
  <c r="T673" i="2"/>
  <c r="S673" i="2"/>
  <c r="AG673" i="2" s="1"/>
  <c r="O673" i="2"/>
  <c r="P673" i="2" s="1"/>
  <c r="K673" i="2"/>
  <c r="AF673" i="2" s="1"/>
  <c r="E673" i="2"/>
  <c r="AP672" i="2"/>
  <c r="AO672" i="2"/>
  <c r="AL672" i="2"/>
  <c r="AK672" i="2"/>
  <c r="AI672" i="2"/>
  <c r="AF672" i="2"/>
  <c r="AE672" i="2"/>
  <c r="AM672" i="2" s="1"/>
  <c r="AN672" i="2" s="1"/>
  <c r="AA672" i="2"/>
  <c r="X672" i="2"/>
  <c r="T672" i="2"/>
  <c r="S672" i="2"/>
  <c r="AG672" i="2" s="1"/>
  <c r="P672" i="2"/>
  <c r="O672" i="2"/>
  <c r="K672" i="2"/>
  <c r="G672" i="2"/>
  <c r="F672" i="2"/>
  <c r="E672" i="2"/>
  <c r="AP671" i="2"/>
  <c r="AO671" i="2"/>
  <c r="AL671" i="2"/>
  <c r="AK671" i="2"/>
  <c r="AI671" i="2"/>
  <c r="AE671" i="2"/>
  <c r="AM671" i="2" s="1"/>
  <c r="AN671" i="2" s="1"/>
  <c r="AA671" i="2"/>
  <c r="X671" i="2"/>
  <c r="W671" i="2"/>
  <c r="U671" i="2"/>
  <c r="T671" i="2"/>
  <c r="S671" i="2"/>
  <c r="AG671" i="2" s="1"/>
  <c r="O671" i="2"/>
  <c r="P671" i="2" s="1"/>
  <c r="K671" i="2"/>
  <c r="AF671" i="2" s="1"/>
  <c r="G671" i="2"/>
  <c r="F671" i="2"/>
  <c r="E671" i="2"/>
  <c r="AP670" i="2"/>
  <c r="AO670" i="2"/>
  <c r="AM670" i="2"/>
  <c r="AL670" i="2"/>
  <c r="AN670" i="2" s="1"/>
  <c r="AK670" i="2"/>
  <c r="AI670" i="2"/>
  <c r="AE670" i="2"/>
  <c r="X670" i="2"/>
  <c r="AA670" i="2" s="1"/>
  <c r="U670" i="2"/>
  <c r="W670" i="2" s="1"/>
  <c r="T670" i="2"/>
  <c r="S670" i="2"/>
  <c r="AG670" i="2" s="1"/>
  <c r="P670" i="2"/>
  <c r="O670" i="2"/>
  <c r="K670" i="2"/>
  <c r="E670" i="2"/>
  <c r="AP669" i="2"/>
  <c r="AO669" i="2"/>
  <c r="AK669" i="2"/>
  <c r="AL669" i="2" s="1"/>
  <c r="AN669" i="2" s="1"/>
  <c r="AE669" i="2"/>
  <c r="AM669" i="2" s="1"/>
  <c r="AA669" i="2"/>
  <c r="X669" i="2"/>
  <c r="T669" i="2"/>
  <c r="S669" i="2"/>
  <c r="P669" i="2"/>
  <c r="O669" i="2"/>
  <c r="K669" i="2"/>
  <c r="F669" i="2"/>
  <c r="E669" i="2"/>
  <c r="G669" i="2" s="1"/>
  <c r="AP668" i="2"/>
  <c r="AO668" i="2"/>
  <c r="AN668" i="2"/>
  <c r="AM668" i="2"/>
  <c r="AL668" i="2"/>
  <c r="AK668" i="2"/>
  <c r="AE668" i="2"/>
  <c r="AA668" i="2"/>
  <c r="X668" i="2"/>
  <c r="T668" i="2"/>
  <c r="S668" i="2"/>
  <c r="AG668" i="2" s="1"/>
  <c r="O668" i="2"/>
  <c r="P668" i="2" s="1"/>
  <c r="K668" i="2"/>
  <c r="G668" i="2"/>
  <c r="F668" i="2"/>
  <c r="E668" i="2"/>
  <c r="AP667" i="2"/>
  <c r="AO667" i="2"/>
  <c r="AL667" i="2"/>
  <c r="AK667" i="2"/>
  <c r="AI667" i="2"/>
  <c r="AE667" i="2"/>
  <c r="AM667" i="2" s="1"/>
  <c r="AA667" i="2"/>
  <c r="X667" i="2"/>
  <c r="U667" i="2"/>
  <c r="W667" i="2" s="1"/>
  <c r="T667" i="2"/>
  <c r="S667" i="2"/>
  <c r="AG667" i="2" s="1"/>
  <c r="P667" i="2"/>
  <c r="O667" i="2"/>
  <c r="K667" i="2"/>
  <c r="E667" i="2"/>
  <c r="AP666" i="2"/>
  <c r="AO666" i="2"/>
  <c r="AL666" i="2"/>
  <c r="AK666" i="2"/>
  <c r="AE666" i="2"/>
  <c r="AM666" i="2" s="1"/>
  <c r="AN666" i="2" s="1"/>
  <c r="AA666" i="2"/>
  <c r="X666" i="2"/>
  <c r="T666" i="2"/>
  <c r="S666" i="2"/>
  <c r="AG666" i="2" s="1"/>
  <c r="P666" i="2"/>
  <c r="O666" i="2"/>
  <c r="K666" i="2"/>
  <c r="AF666" i="2" s="1"/>
  <c r="G666" i="2"/>
  <c r="F666" i="2"/>
  <c r="E666" i="2"/>
  <c r="AP665" i="2"/>
  <c r="AO665" i="2"/>
  <c r="AL665" i="2"/>
  <c r="AN665" i="2" s="1"/>
  <c r="AK665" i="2"/>
  <c r="AI665" i="2"/>
  <c r="AE665" i="2"/>
  <c r="AM665" i="2" s="1"/>
  <c r="AA665" i="2"/>
  <c r="X665" i="2"/>
  <c r="W665" i="2"/>
  <c r="U665" i="2"/>
  <c r="T665" i="2"/>
  <c r="S665" i="2"/>
  <c r="AG665" i="2" s="1"/>
  <c r="O665" i="2"/>
  <c r="P665" i="2" s="1"/>
  <c r="K665" i="2"/>
  <c r="AF665" i="2" s="1"/>
  <c r="G665" i="2"/>
  <c r="F665" i="2"/>
  <c r="E665" i="2"/>
  <c r="AP664" i="2"/>
  <c r="AO664" i="2"/>
  <c r="AM664" i="2"/>
  <c r="AL664" i="2"/>
  <c r="AN664" i="2" s="1"/>
  <c r="AK664" i="2"/>
  <c r="AI664" i="2"/>
  <c r="AE664" i="2"/>
  <c r="X664" i="2"/>
  <c r="AA664" i="2" s="1"/>
  <c r="T664" i="2"/>
  <c r="U664" i="2" s="1"/>
  <c r="W664" i="2" s="1"/>
  <c r="S664" i="2"/>
  <c r="AG664" i="2" s="1"/>
  <c r="P664" i="2"/>
  <c r="O664" i="2"/>
  <c r="K664" i="2"/>
  <c r="E664" i="2"/>
  <c r="AP663" i="2"/>
  <c r="AO663" i="2"/>
  <c r="AK663" i="2"/>
  <c r="AL663" i="2" s="1"/>
  <c r="AN663" i="2" s="1"/>
  <c r="AF663" i="2"/>
  <c r="AE663" i="2"/>
  <c r="AM663" i="2" s="1"/>
  <c r="AA663" i="2"/>
  <c r="X663" i="2"/>
  <c r="U663" i="2"/>
  <c r="W663" i="2" s="1"/>
  <c r="T663" i="2"/>
  <c r="S663" i="2"/>
  <c r="AI663" i="2" s="1"/>
  <c r="P663" i="2"/>
  <c r="O663" i="2"/>
  <c r="K663" i="2"/>
  <c r="E663" i="2"/>
  <c r="AP662" i="2"/>
  <c r="AO662" i="2"/>
  <c r="AL662" i="2"/>
  <c r="AK662" i="2"/>
  <c r="AG662" i="2"/>
  <c r="AE662" i="2"/>
  <c r="AM662" i="2" s="1"/>
  <c r="AN662" i="2" s="1"/>
  <c r="AA662" i="2"/>
  <c r="X662" i="2"/>
  <c r="T662" i="2"/>
  <c r="S662" i="2"/>
  <c r="O662" i="2"/>
  <c r="P662" i="2" s="1"/>
  <c r="K662" i="2"/>
  <c r="AF662" i="2" s="1"/>
  <c r="G662" i="2"/>
  <c r="F662" i="2"/>
  <c r="E662" i="2"/>
  <c r="AP661" i="2"/>
  <c r="AO661" i="2"/>
  <c r="AL661" i="2"/>
  <c r="AK661" i="2"/>
  <c r="AI661" i="2"/>
  <c r="AE661" i="2"/>
  <c r="AM661" i="2" s="1"/>
  <c r="AN661" i="2" s="1"/>
  <c r="AA661" i="2"/>
  <c r="X661" i="2"/>
  <c r="W661" i="2"/>
  <c r="U661" i="2"/>
  <c r="T661" i="2"/>
  <c r="S661" i="2"/>
  <c r="AG661" i="2" s="1"/>
  <c r="O661" i="2"/>
  <c r="P661" i="2" s="1"/>
  <c r="K661" i="2"/>
  <c r="AF661" i="2" s="1"/>
  <c r="G661" i="2"/>
  <c r="F661" i="2"/>
  <c r="E661" i="2"/>
  <c r="AP660" i="2"/>
  <c r="AO660" i="2"/>
  <c r="AM660" i="2"/>
  <c r="AK660" i="2"/>
  <c r="AL660" i="2" s="1"/>
  <c r="AN660" i="2" s="1"/>
  <c r="AI660" i="2"/>
  <c r="AE660" i="2"/>
  <c r="X660" i="2"/>
  <c r="AA660" i="2" s="1"/>
  <c r="T660" i="2"/>
  <c r="U660" i="2" s="1"/>
  <c r="W660" i="2" s="1"/>
  <c r="S660" i="2"/>
  <c r="AG660" i="2" s="1"/>
  <c r="P660" i="2"/>
  <c r="O660" i="2"/>
  <c r="K660" i="2"/>
  <c r="G660" i="2"/>
  <c r="F660" i="2"/>
  <c r="E660" i="2"/>
  <c r="AP659" i="2"/>
  <c r="AO659" i="2"/>
  <c r="AK659" i="2"/>
  <c r="AL659" i="2" s="1"/>
  <c r="AN659" i="2" s="1"/>
  <c r="AI659" i="2"/>
  <c r="AE659" i="2"/>
  <c r="AM659" i="2" s="1"/>
  <c r="AA659" i="2"/>
  <c r="X659" i="2"/>
  <c r="T659" i="2"/>
  <c r="S659" i="2"/>
  <c r="P659" i="2"/>
  <c r="O659" i="2"/>
  <c r="K659" i="2"/>
  <c r="E659" i="2"/>
  <c r="AP658" i="2"/>
  <c r="AO658" i="2"/>
  <c r="AN658" i="2"/>
  <c r="AL658" i="2"/>
  <c r="AK658" i="2"/>
  <c r="AE658" i="2"/>
  <c r="AM658" i="2" s="1"/>
  <c r="AA658" i="2"/>
  <c r="X658" i="2"/>
  <c r="T658" i="2"/>
  <c r="S658" i="2"/>
  <c r="P658" i="2"/>
  <c r="O658" i="2"/>
  <c r="K658" i="2"/>
  <c r="AF658" i="2" s="1"/>
  <c r="G658" i="2"/>
  <c r="F658" i="2"/>
  <c r="E658" i="2"/>
  <c r="AP657" i="2"/>
  <c r="AO657" i="2"/>
  <c r="AL657" i="2"/>
  <c r="AK657" i="2"/>
  <c r="AI657" i="2"/>
  <c r="AE657" i="2"/>
  <c r="AM657" i="2" s="1"/>
  <c r="X657" i="2"/>
  <c r="AA657" i="2" s="1"/>
  <c r="W657" i="2"/>
  <c r="U657" i="2"/>
  <c r="T657" i="2"/>
  <c r="S657" i="2"/>
  <c r="AG657" i="2" s="1"/>
  <c r="O657" i="2"/>
  <c r="P657" i="2" s="1"/>
  <c r="K657" i="2"/>
  <c r="AF657" i="2" s="1"/>
  <c r="G657" i="2"/>
  <c r="F657" i="2"/>
  <c r="E657" i="2"/>
  <c r="AP656" i="2"/>
  <c r="AO656" i="2"/>
  <c r="AM656" i="2"/>
  <c r="AL656" i="2"/>
  <c r="AN656" i="2" s="1"/>
  <c r="AK656" i="2"/>
  <c r="AI656" i="2"/>
  <c r="AE656" i="2"/>
  <c r="X656" i="2"/>
  <c r="AA656" i="2" s="1"/>
  <c r="U656" i="2"/>
  <c r="W656" i="2" s="1"/>
  <c r="T656" i="2"/>
  <c r="S656" i="2"/>
  <c r="AG656" i="2" s="1"/>
  <c r="P656" i="2"/>
  <c r="O656" i="2"/>
  <c r="K656" i="2"/>
  <c r="E656" i="2"/>
  <c r="G656" i="2" s="1"/>
  <c r="AP655" i="2"/>
  <c r="AO655" i="2"/>
  <c r="AK655" i="2"/>
  <c r="AL655" i="2" s="1"/>
  <c r="AN655" i="2" s="1"/>
  <c r="AG655" i="2"/>
  <c r="AE655" i="2"/>
  <c r="AM655" i="2" s="1"/>
  <c r="AA655" i="2"/>
  <c r="X655" i="2"/>
  <c r="U655" i="2"/>
  <c r="W655" i="2" s="1"/>
  <c r="T655" i="2"/>
  <c r="S655" i="2"/>
  <c r="AF655" i="2" s="1"/>
  <c r="P655" i="2"/>
  <c r="O655" i="2"/>
  <c r="K655" i="2"/>
  <c r="E655" i="2"/>
  <c r="AP654" i="2"/>
  <c r="AO654" i="2"/>
  <c r="AN654" i="2"/>
  <c r="AL654" i="2"/>
  <c r="AK654" i="2"/>
  <c r="AE654" i="2"/>
  <c r="AM654" i="2" s="1"/>
  <c r="AA654" i="2"/>
  <c r="X654" i="2"/>
  <c r="T654" i="2"/>
  <c r="S654" i="2"/>
  <c r="P654" i="2"/>
  <c r="O654" i="2"/>
  <c r="K654" i="2"/>
  <c r="G654" i="2"/>
  <c r="F654" i="2"/>
  <c r="E654" i="2"/>
  <c r="AP653" i="2"/>
  <c r="AO653" i="2"/>
  <c r="AL653" i="2"/>
  <c r="AK653" i="2"/>
  <c r="AI653" i="2"/>
  <c r="AE653" i="2"/>
  <c r="AM653" i="2" s="1"/>
  <c r="AN653" i="2" s="1"/>
  <c r="AA653" i="2"/>
  <c r="X653" i="2"/>
  <c r="W653" i="2"/>
  <c r="U653" i="2"/>
  <c r="T653" i="2"/>
  <c r="S653" i="2"/>
  <c r="AG653" i="2" s="1"/>
  <c r="O653" i="2"/>
  <c r="P653" i="2" s="1"/>
  <c r="K653" i="2"/>
  <c r="AF653" i="2" s="1"/>
  <c r="G653" i="2"/>
  <c r="F653" i="2"/>
  <c r="E653" i="2"/>
  <c r="AP652" i="2"/>
  <c r="AO652" i="2"/>
  <c r="AM652" i="2"/>
  <c r="AK652" i="2"/>
  <c r="AL652" i="2" s="1"/>
  <c r="AN652" i="2" s="1"/>
  <c r="AI652" i="2"/>
  <c r="AE652" i="2"/>
  <c r="X652" i="2"/>
  <c r="AA652" i="2" s="1"/>
  <c r="T652" i="2"/>
  <c r="U652" i="2" s="1"/>
  <c r="W652" i="2" s="1"/>
  <c r="S652" i="2"/>
  <c r="AG652" i="2" s="1"/>
  <c r="P652" i="2"/>
  <c r="O652" i="2"/>
  <c r="K652" i="2"/>
  <c r="G652" i="2"/>
  <c r="F652" i="2"/>
  <c r="E652" i="2"/>
  <c r="AP651" i="2"/>
  <c r="AO651" i="2"/>
  <c r="AK651" i="2"/>
  <c r="AL651" i="2" s="1"/>
  <c r="AN651" i="2" s="1"/>
  <c r="AG651" i="2"/>
  <c r="AF651" i="2"/>
  <c r="AE651" i="2"/>
  <c r="AM651" i="2" s="1"/>
  <c r="AA651" i="2"/>
  <c r="X651" i="2"/>
  <c r="T651" i="2"/>
  <c r="S651" i="2"/>
  <c r="U651" i="2" s="1"/>
  <c r="W651" i="2" s="1"/>
  <c r="P651" i="2"/>
  <c r="O651" i="2"/>
  <c r="K651" i="2"/>
  <c r="E651" i="2"/>
  <c r="AP650" i="2"/>
  <c r="AO650" i="2"/>
  <c r="AN650" i="2"/>
  <c r="AL650" i="2"/>
  <c r="AK650" i="2"/>
  <c r="AG650" i="2"/>
  <c r="AE650" i="2"/>
  <c r="AM650" i="2" s="1"/>
  <c r="AA650" i="2"/>
  <c r="X650" i="2"/>
  <c r="T650" i="2"/>
  <c r="S650" i="2"/>
  <c r="P650" i="2"/>
  <c r="O650" i="2"/>
  <c r="K650" i="2"/>
  <c r="AF650" i="2" s="1"/>
  <c r="G650" i="2"/>
  <c r="F650" i="2"/>
  <c r="E650" i="2"/>
  <c r="AP649" i="2"/>
  <c r="AO649" i="2"/>
  <c r="AN649" i="2"/>
  <c r="AM649" i="2"/>
  <c r="AL649" i="2"/>
  <c r="AK649" i="2"/>
  <c r="AI649" i="2"/>
  <c r="AE649" i="2"/>
  <c r="AA649" i="2"/>
  <c r="X649" i="2"/>
  <c r="W649" i="2"/>
  <c r="U649" i="2"/>
  <c r="T649" i="2"/>
  <c r="S649" i="2"/>
  <c r="AG649" i="2" s="1"/>
  <c r="O649" i="2"/>
  <c r="P649" i="2" s="1"/>
  <c r="K649" i="2"/>
  <c r="G649" i="2"/>
  <c r="F649" i="2"/>
  <c r="E649" i="2"/>
  <c r="AP648" i="2"/>
  <c r="AO648" i="2"/>
  <c r="AM648" i="2"/>
  <c r="AL648" i="2"/>
  <c r="AN648" i="2" s="1"/>
  <c r="AK648" i="2"/>
  <c r="AI648" i="2"/>
  <c r="AE648" i="2"/>
  <c r="X648" i="2"/>
  <c r="AA648" i="2" s="1"/>
  <c r="W648" i="2"/>
  <c r="U648" i="2"/>
  <c r="T648" i="2"/>
  <c r="S648" i="2"/>
  <c r="AG648" i="2" s="1"/>
  <c r="P648" i="2"/>
  <c r="O648" i="2"/>
  <c r="K648" i="2"/>
  <c r="G648" i="2"/>
  <c r="F648" i="2"/>
  <c r="E648" i="2"/>
  <c r="AP647" i="2"/>
  <c r="AO647" i="2"/>
  <c r="AK647" i="2"/>
  <c r="AL647" i="2" s="1"/>
  <c r="AE647" i="2"/>
  <c r="AM647" i="2" s="1"/>
  <c r="AA647" i="2"/>
  <c r="X647" i="2"/>
  <c r="T647" i="2"/>
  <c r="S647" i="2"/>
  <c r="P647" i="2"/>
  <c r="O647" i="2"/>
  <c r="K647" i="2"/>
  <c r="E647" i="2"/>
  <c r="AP646" i="2"/>
  <c r="AO646" i="2"/>
  <c r="AL646" i="2"/>
  <c r="AK646" i="2"/>
  <c r="AE646" i="2"/>
  <c r="AM646" i="2" s="1"/>
  <c r="AN646" i="2" s="1"/>
  <c r="AA646" i="2"/>
  <c r="X646" i="2"/>
  <c r="T646" i="2"/>
  <c r="S646" i="2"/>
  <c r="P646" i="2"/>
  <c r="O646" i="2"/>
  <c r="K646" i="2"/>
  <c r="AF646" i="2" s="1"/>
  <c r="G646" i="2"/>
  <c r="F646" i="2"/>
  <c r="E646" i="2"/>
  <c r="AP645" i="2"/>
  <c r="AO645" i="2"/>
  <c r="AN645" i="2"/>
  <c r="AM645" i="2"/>
  <c r="AL645" i="2"/>
  <c r="AK645" i="2"/>
  <c r="AI645" i="2"/>
  <c r="AE645" i="2"/>
  <c r="X645" i="2"/>
  <c r="AA645" i="2" s="1"/>
  <c r="W645" i="2"/>
  <c r="U645" i="2"/>
  <c r="T645" i="2"/>
  <c r="S645" i="2"/>
  <c r="AG645" i="2" s="1"/>
  <c r="O645" i="2"/>
  <c r="P645" i="2" s="1"/>
  <c r="K645" i="2"/>
  <c r="F645" i="2"/>
  <c r="E645" i="2"/>
  <c r="G645" i="2" s="1"/>
  <c r="AP644" i="2"/>
  <c r="AO644" i="2"/>
  <c r="AM644" i="2"/>
  <c r="AK644" i="2"/>
  <c r="AL644" i="2" s="1"/>
  <c r="AN644" i="2" s="1"/>
  <c r="AG644" i="2"/>
  <c r="AE644" i="2"/>
  <c r="X644" i="2"/>
  <c r="AA644" i="2" s="1"/>
  <c r="T644" i="2"/>
  <c r="S644" i="2"/>
  <c r="AI644" i="2" s="1"/>
  <c r="P644" i="2"/>
  <c r="O644" i="2"/>
  <c r="K644" i="2"/>
  <c r="G644" i="2"/>
  <c r="F644" i="2"/>
  <c r="E644" i="2"/>
  <c r="AP643" i="2"/>
  <c r="AO643" i="2"/>
  <c r="AK643" i="2"/>
  <c r="AL643" i="2" s="1"/>
  <c r="AE643" i="2"/>
  <c r="AM643" i="2" s="1"/>
  <c r="AA643" i="2"/>
  <c r="X643" i="2"/>
  <c r="T643" i="2"/>
  <c r="S643" i="2"/>
  <c r="U643" i="2" s="1"/>
  <c r="W643" i="2" s="1"/>
  <c r="O643" i="2"/>
  <c r="P643" i="2" s="1"/>
  <c r="K643" i="2"/>
  <c r="E643" i="2"/>
  <c r="AP642" i="2"/>
  <c r="AO642" i="2"/>
  <c r="AM642" i="2"/>
  <c r="AN642" i="2" s="1"/>
  <c r="AL642" i="2"/>
  <c r="AK642" i="2"/>
  <c r="AE642" i="2"/>
  <c r="AA642" i="2"/>
  <c r="X642" i="2"/>
  <c r="T642" i="2"/>
  <c r="S642" i="2"/>
  <c r="P642" i="2"/>
  <c r="O642" i="2"/>
  <c r="K642" i="2"/>
  <c r="G642" i="2"/>
  <c r="F642" i="2"/>
  <c r="E642" i="2"/>
  <c r="AP641" i="2"/>
  <c r="AO641" i="2"/>
  <c r="AN641" i="2"/>
  <c r="AM641" i="2"/>
  <c r="AL641" i="2"/>
  <c r="AK641" i="2"/>
  <c r="AI641" i="2"/>
  <c r="AE641" i="2"/>
  <c r="AA641" i="2"/>
  <c r="X641" i="2"/>
  <c r="W641" i="2"/>
  <c r="U641" i="2"/>
  <c r="T641" i="2"/>
  <c r="S641" i="2"/>
  <c r="AG641" i="2" s="1"/>
  <c r="O641" i="2"/>
  <c r="P641" i="2" s="1"/>
  <c r="K641" i="2"/>
  <c r="G641" i="2"/>
  <c r="F641" i="2"/>
  <c r="E641" i="2"/>
  <c r="AP640" i="2"/>
  <c r="AO640" i="2"/>
  <c r="AM640" i="2"/>
  <c r="AL640" i="2"/>
  <c r="AN640" i="2" s="1"/>
  <c r="AK640" i="2"/>
  <c r="AI640" i="2"/>
  <c r="AG640" i="2"/>
  <c r="AE640" i="2"/>
  <c r="X640" i="2"/>
  <c r="AA640" i="2" s="1"/>
  <c r="T640" i="2"/>
  <c r="U640" i="2" s="1"/>
  <c r="W640" i="2" s="1"/>
  <c r="S640" i="2"/>
  <c r="P640" i="2"/>
  <c r="O640" i="2"/>
  <c r="K640" i="2"/>
  <c r="G640" i="2"/>
  <c r="F640" i="2"/>
  <c r="E640" i="2"/>
  <c r="AP639" i="2"/>
  <c r="AO639" i="2"/>
  <c r="AK639" i="2"/>
  <c r="AL639" i="2" s="1"/>
  <c r="AN639" i="2" s="1"/>
  <c r="AG639" i="2"/>
  <c r="AF639" i="2"/>
  <c r="AE639" i="2"/>
  <c r="AM639" i="2" s="1"/>
  <c r="AA639" i="2"/>
  <c r="X639" i="2"/>
  <c r="T639" i="2"/>
  <c r="S639" i="2"/>
  <c r="U639" i="2" s="1"/>
  <c r="W639" i="2" s="1"/>
  <c r="O639" i="2"/>
  <c r="P639" i="2" s="1"/>
  <c r="K639" i="2"/>
  <c r="E639" i="2"/>
  <c r="AP638" i="2"/>
  <c r="AO638" i="2"/>
  <c r="AM638" i="2"/>
  <c r="AN638" i="2" s="1"/>
  <c r="AL638" i="2"/>
  <c r="AK638" i="2"/>
  <c r="AE638" i="2"/>
  <c r="X638" i="2"/>
  <c r="AA638" i="2" s="1"/>
  <c r="T638" i="2"/>
  <c r="S638" i="2"/>
  <c r="P638" i="2"/>
  <c r="O638" i="2"/>
  <c r="K638" i="2"/>
  <c r="AF638" i="2" s="1"/>
  <c r="G638" i="2"/>
  <c r="F638" i="2"/>
  <c r="E638" i="2"/>
  <c r="AP637" i="2"/>
  <c r="AO637" i="2"/>
  <c r="AK637" i="2"/>
  <c r="AL637" i="2" s="1"/>
  <c r="AN637" i="2" s="1"/>
  <c r="AI637" i="2"/>
  <c r="AE637" i="2"/>
  <c r="AM637" i="2" s="1"/>
  <c r="AA637" i="2"/>
  <c r="X637" i="2"/>
  <c r="W637" i="2"/>
  <c r="U637" i="2"/>
  <c r="T637" i="2"/>
  <c r="S637" i="2"/>
  <c r="AG637" i="2" s="1"/>
  <c r="O637" i="2"/>
  <c r="P637" i="2" s="1"/>
  <c r="K637" i="2"/>
  <c r="AF637" i="2" s="1"/>
  <c r="G637" i="2"/>
  <c r="F637" i="2"/>
  <c r="E637" i="2"/>
  <c r="AP636" i="2"/>
  <c r="AO636" i="2"/>
  <c r="AM636" i="2"/>
  <c r="AK636" i="2"/>
  <c r="AL636" i="2" s="1"/>
  <c r="AN636" i="2" s="1"/>
  <c r="AI636" i="2"/>
  <c r="AG636" i="2"/>
  <c r="AE636" i="2"/>
  <c r="X636" i="2"/>
  <c r="AA636" i="2" s="1"/>
  <c r="T636" i="2"/>
  <c r="S636" i="2"/>
  <c r="P636" i="2"/>
  <c r="O636" i="2"/>
  <c r="K636" i="2"/>
  <c r="E636" i="2"/>
  <c r="G636" i="2" s="1"/>
  <c r="AP635" i="2"/>
  <c r="AO635" i="2"/>
  <c r="AK635" i="2"/>
  <c r="AL635" i="2" s="1"/>
  <c r="AN635" i="2" s="1"/>
  <c r="AG635" i="2"/>
  <c r="AE635" i="2"/>
  <c r="AM635" i="2" s="1"/>
  <c r="AA635" i="2"/>
  <c r="X635" i="2"/>
  <c r="T635" i="2"/>
  <c r="S635" i="2"/>
  <c r="AF635" i="2" s="1"/>
  <c r="P635" i="2"/>
  <c r="O635" i="2"/>
  <c r="K635" i="2"/>
  <c r="E635" i="2"/>
  <c r="AP634" i="2"/>
  <c r="AO634" i="2"/>
  <c r="AM634" i="2"/>
  <c r="AN634" i="2" s="1"/>
  <c r="AL634" i="2"/>
  <c r="AK634" i="2"/>
  <c r="AE634" i="2"/>
  <c r="AA634" i="2"/>
  <c r="X634" i="2"/>
  <c r="T634" i="2"/>
  <c r="S634" i="2"/>
  <c r="P634" i="2"/>
  <c r="O634" i="2"/>
  <c r="K634" i="2"/>
  <c r="AF634" i="2" s="1"/>
  <c r="G634" i="2"/>
  <c r="F634" i="2"/>
  <c r="E634" i="2"/>
  <c r="AP633" i="2"/>
  <c r="AO633" i="2"/>
  <c r="AL633" i="2"/>
  <c r="AK633" i="2"/>
  <c r="AI633" i="2"/>
  <c r="AE633" i="2"/>
  <c r="AM633" i="2" s="1"/>
  <c r="AA633" i="2"/>
  <c r="X633" i="2"/>
  <c r="W633" i="2"/>
  <c r="U633" i="2"/>
  <c r="T633" i="2"/>
  <c r="S633" i="2"/>
  <c r="AG633" i="2" s="1"/>
  <c r="O633" i="2"/>
  <c r="P633" i="2" s="1"/>
  <c r="K633" i="2"/>
  <c r="AF633" i="2" s="1"/>
  <c r="G633" i="2"/>
  <c r="F633" i="2"/>
  <c r="E633" i="2"/>
  <c r="AP632" i="2"/>
  <c r="AO632" i="2"/>
  <c r="AM632" i="2"/>
  <c r="AL632" i="2"/>
  <c r="AN632" i="2" s="1"/>
  <c r="AK632" i="2"/>
  <c r="AI632" i="2"/>
  <c r="AG632" i="2"/>
  <c r="AE632" i="2"/>
  <c r="X632" i="2"/>
  <c r="AA632" i="2" s="1"/>
  <c r="T632" i="2"/>
  <c r="S632" i="2"/>
  <c r="P632" i="2"/>
  <c r="O632" i="2"/>
  <c r="K632" i="2"/>
  <c r="F632" i="2"/>
  <c r="E632" i="2"/>
  <c r="G632" i="2" s="1"/>
  <c r="AP631" i="2"/>
  <c r="AO631" i="2"/>
  <c r="AK631" i="2"/>
  <c r="AL631" i="2" s="1"/>
  <c r="AN631" i="2" s="1"/>
  <c r="AI631" i="2"/>
  <c r="AE631" i="2"/>
  <c r="AM631" i="2" s="1"/>
  <c r="AA631" i="2"/>
  <c r="X631" i="2"/>
  <c r="T631" i="2"/>
  <c r="S631" i="2"/>
  <c r="P631" i="2"/>
  <c r="O631" i="2"/>
  <c r="K631" i="2"/>
  <c r="E631" i="2"/>
  <c r="AP630" i="2"/>
  <c r="AO630" i="2"/>
  <c r="AL630" i="2"/>
  <c r="AK630" i="2"/>
  <c r="AG630" i="2"/>
  <c r="AE630" i="2"/>
  <c r="AM630" i="2" s="1"/>
  <c r="AN630" i="2" s="1"/>
  <c r="AA630" i="2"/>
  <c r="X630" i="2"/>
  <c r="T630" i="2"/>
  <c r="S630" i="2"/>
  <c r="O630" i="2"/>
  <c r="P630" i="2" s="1"/>
  <c r="K630" i="2"/>
  <c r="AF630" i="2" s="1"/>
  <c r="G630" i="2"/>
  <c r="F630" i="2"/>
  <c r="E630" i="2"/>
  <c r="AP629" i="2"/>
  <c r="AO629" i="2"/>
  <c r="AK629" i="2"/>
  <c r="AL629" i="2" s="1"/>
  <c r="AI629" i="2"/>
  <c r="AE629" i="2"/>
  <c r="AM629" i="2" s="1"/>
  <c r="AA629" i="2"/>
  <c r="X629" i="2"/>
  <c r="U629" i="2"/>
  <c r="W629" i="2" s="1"/>
  <c r="T629" i="2"/>
  <c r="S629" i="2"/>
  <c r="AG629" i="2" s="1"/>
  <c r="O629" i="2"/>
  <c r="P629" i="2" s="1"/>
  <c r="K629" i="2"/>
  <c r="AF629" i="2" s="1"/>
  <c r="G629" i="2"/>
  <c r="F629" i="2"/>
  <c r="E629" i="2"/>
  <c r="AP628" i="2"/>
  <c r="AO628" i="2"/>
  <c r="AM628" i="2"/>
  <c r="AL628" i="2"/>
  <c r="AN628" i="2" s="1"/>
  <c r="AK628" i="2"/>
  <c r="AI628" i="2"/>
  <c r="AE628" i="2"/>
  <c r="X628" i="2"/>
  <c r="AA628" i="2" s="1"/>
  <c r="U628" i="2"/>
  <c r="W628" i="2" s="1"/>
  <c r="T628" i="2"/>
  <c r="S628" i="2"/>
  <c r="P628" i="2"/>
  <c r="O628" i="2"/>
  <c r="K628" i="2"/>
  <c r="E628" i="2"/>
  <c r="AP627" i="2"/>
  <c r="AO627" i="2"/>
  <c r="AK627" i="2"/>
  <c r="AL627" i="2" s="1"/>
  <c r="AN627" i="2" s="1"/>
  <c r="AF627" i="2"/>
  <c r="AE627" i="2"/>
  <c r="AM627" i="2" s="1"/>
  <c r="AA627" i="2"/>
  <c r="X627" i="2"/>
  <c r="T627" i="2"/>
  <c r="U627" i="2" s="1"/>
  <c r="W627" i="2" s="1"/>
  <c r="S627" i="2"/>
  <c r="AI627" i="2" s="1"/>
  <c r="O627" i="2"/>
  <c r="P627" i="2" s="1"/>
  <c r="K627" i="2"/>
  <c r="E627" i="2"/>
  <c r="AP626" i="2"/>
  <c r="AO626" i="2"/>
  <c r="AN626" i="2"/>
  <c r="AL626" i="2"/>
  <c r="AK626" i="2"/>
  <c r="AG626" i="2"/>
  <c r="AE626" i="2"/>
  <c r="AM626" i="2" s="1"/>
  <c r="X626" i="2"/>
  <c r="AA626" i="2" s="1"/>
  <c r="T626" i="2"/>
  <c r="S626" i="2"/>
  <c r="P626" i="2"/>
  <c r="O626" i="2"/>
  <c r="K626" i="2"/>
  <c r="AF626" i="2" s="1"/>
  <c r="G626" i="2"/>
  <c r="F626" i="2"/>
  <c r="E626" i="2"/>
  <c r="AP625" i="2"/>
  <c r="AO625" i="2"/>
  <c r="AL625" i="2"/>
  <c r="AN625" i="2" s="1"/>
  <c r="AK625" i="2"/>
  <c r="AI625" i="2"/>
  <c r="AE625" i="2"/>
  <c r="AM625" i="2" s="1"/>
  <c r="AA625" i="2"/>
  <c r="X625" i="2"/>
  <c r="W625" i="2"/>
  <c r="U625" i="2"/>
  <c r="T625" i="2"/>
  <c r="S625" i="2"/>
  <c r="AG625" i="2" s="1"/>
  <c r="O625" i="2"/>
  <c r="P625" i="2" s="1"/>
  <c r="K625" i="2"/>
  <c r="AF625" i="2" s="1"/>
  <c r="E625" i="2"/>
  <c r="G625" i="2" s="1"/>
  <c r="AP624" i="2"/>
  <c r="AO624" i="2"/>
  <c r="AM624" i="2"/>
  <c r="AL624" i="2"/>
  <c r="AK624" i="2"/>
  <c r="AE624" i="2"/>
  <c r="X624" i="2"/>
  <c r="U624" i="2"/>
  <c r="W624" i="2" s="1"/>
  <c r="T624" i="2"/>
  <c r="S624" i="2"/>
  <c r="AI624" i="2" s="1"/>
  <c r="P624" i="2"/>
  <c r="O624" i="2"/>
  <c r="K624" i="2"/>
  <c r="E624" i="2"/>
  <c r="AP623" i="2"/>
  <c r="AO623" i="2"/>
  <c r="AK623" i="2"/>
  <c r="AL623" i="2" s="1"/>
  <c r="AN623" i="2" s="1"/>
  <c r="AG623" i="2"/>
  <c r="AE623" i="2"/>
  <c r="AM623" i="2" s="1"/>
  <c r="AA623" i="2"/>
  <c r="X623" i="2"/>
  <c r="T623" i="2"/>
  <c r="S623" i="2"/>
  <c r="U623" i="2" s="1"/>
  <c r="W623" i="2" s="1"/>
  <c r="P623" i="2"/>
  <c r="O623" i="2"/>
  <c r="K623" i="2"/>
  <c r="AF623" i="2" s="1"/>
  <c r="E623" i="2"/>
  <c r="AP622" i="2"/>
  <c r="AO622" i="2"/>
  <c r="AL622" i="2"/>
  <c r="AN622" i="2" s="1"/>
  <c r="AK622" i="2"/>
  <c r="AG622" i="2"/>
  <c r="AE622" i="2"/>
  <c r="AM622" i="2" s="1"/>
  <c r="X622" i="2"/>
  <c r="AA622" i="2" s="1"/>
  <c r="T622" i="2"/>
  <c r="S622" i="2"/>
  <c r="O622" i="2"/>
  <c r="P622" i="2" s="1"/>
  <c r="K622" i="2"/>
  <c r="G622" i="2"/>
  <c r="F622" i="2"/>
  <c r="E622" i="2"/>
  <c r="AP621" i="2"/>
  <c r="AO621" i="2"/>
  <c r="AM621" i="2"/>
  <c r="AN621" i="2" s="1"/>
  <c r="AL621" i="2"/>
  <c r="AK621" i="2"/>
  <c r="AI621" i="2"/>
  <c r="AE621" i="2"/>
  <c r="X621" i="2"/>
  <c r="AA621" i="2" s="1"/>
  <c r="U621" i="2"/>
  <c r="W621" i="2" s="1"/>
  <c r="T621" i="2"/>
  <c r="S621" i="2"/>
  <c r="AG621" i="2" s="1"/>
  <c r="O621" i="2"/>
  <c r="P621" i="2" s="1"/>
  <c r="K621" i="2"/>
  <c r="E621" i="2"/>
  <c r="G621" i="2" s="1"/>
  <c r="AP620" i="2"/>
  <c r="AO620" i="2"/>
  <c r="AM620" i="2"/>
  <c r="AL620" i="2"/>
  <c r="AN620" i="2" s="1"/>
  <c r="AK620" i="2"/>
  <c r="AG620" i="2"/>
  <c r="AF620" i="2"/>
  <c r="AE620" i="2"/>
  <c r="X620" i="2"/>
  <c r="AA620" i="2" s="1"/>
  <c r="T620" i="2"/>
  <c r="S620" i="2"/>
  <c r="U620" i="2" s="1"/>
  <c r="W620" i="2" s="1"/>
  <c r="P620" i="2"/>
  <c r="O620" i="2"/>
  <c r="K620" i="2"/>
  <c r="E620" i="2"/>
  <c r="G620" i="2" s="1"/>
  <c r="AP619" i="2"/>
  <c r="AO619" i="2"/>
  <c r="AN619" i="2"/>
  <c r="AK619" i="2"/>
  <c r="AL619" i="2" s="1"/>
  <c r="AI619" i="2"/>
  <c r="AE619" i="2"/>
  <c r="AM619" i="2" s="1"/>
  <c r="AA619" i="2"/>
  <c r="X619" i="2"/>
  <c r="U619" i="2"/>
  <c r="W619" i="2" s="1"/>
  <c r="T619" i="2"/>
  <c r="S619" i="2"/>
  <c r="AG619" i="2" s="1"/>
  <c r="P619" i="2"/>
  <c r="O619" i="2"/>
  <c r="K619" i="2"/>
  <c r="E619" i="2"/>
  <c r="AP618" i="2"/>
  <c r="AO618" i="2"/>
  <c r="AL618" i="2"/>
  <c r="AK618" i="2"/>
  <c r="AG618" i="2"/>
  <c r="AE618" i="2"/>
  <c r="AM618" i="2" s="1"/>
  <c r="AN618" i="2" s="1"/>
  <c r="AA618" i="2"/>
  <c r="X618" i="2"/>
  <c r="T618" i="2"/>
  <c r="S618" i="2"/>
  <c r="P618" i="2"/>
  <c r="O618" i="2"/>
  <c r="K618" i="2"/>
  <c r="AF618" i="2" s="1"/>
  <c r="G618" i="2"/>
  <c r="F618" i="2"/>
  <c r="E618" i="2"/>
  <c r="AP617" i="2"/>
  <c r="AO617" i="2"/>
  <c r="AL617" i="2"/>
  <c r="AK617" i="2"/>
  <c r="AI617" i="2"/>
  <c r="AE617" i="2"/>
  <c r="AM617" i="2" s="1"/>
  <c r="AA617" i="2"/>
  <c r="X617" i="2"/>
  <c r="T617" i="2"/>
  <c r="U617" i="2" s="1"/>
  <c r="W617" i="2" s="1"/>
  <c r="S617" i="2"/>
  <c r="AG617" i="2" s="1"/>
  <c r="O617" i="2"/>
  <c r="P617" i="2" s="1"/>
  <c r="K617" i="2"/>
  <c r="AF617" i="2" s="1"/>
  <c r="E617" i="2"/>
  <c r="G617" i="2" s="1"/>
  <c r="AP616" i="2"/>
  <c r="AO616" i="2"/>
  <c r="AM616" i="2"/>
  <c r="AL616" i="2"/>
  <c r="AK616" i="2"/>
  <c r="AE616" i="2"/>
  <c r="X616" i="2"/>
  <c r="W616" i="2"/>
  <c r="U616" i="2"/>
  <c r="T616" i="2"/>
  <c r="S616" i="2"/>
  <c r="AI616" i="2" s="1"/>
  <c r="P616" i="2"/>
  <c r="O616" i="2"/>
  <c r="K616" i="2"/>
  <c r="E616" i="2"/>
  <c r="G616" i="2" s="1"/>
  <c r="AP615" i="2"/>
  <c r="AO615" i="2"/>
  <c r="AK615" i="2"/>
  <c r="AL615" i="2" s="1"/>
  <c r="AN615" i="2" s="1"/>
  <c r="AG615" i="2"/>
  <c r="AE615" i="2"/>
  <c r="AM615" i="2" s="1"/>
  <c r="AA615" i="2"/>
  <c r="X615" i="2"/>
  <c r="T615" i="2"/>
  <c r="S615" i="2"/>
  <c r="U615" i="2" s="1"/>
  <c r="W615" i="2" s="1"/>
  <c r="P615" i="2"/>
  <c r="O615" i="2"/>
  <c r="K615" i="2"/>
  <c r="AF615" i="2" s="1"/>
  <c r="E615" i="2"/>
  <c r="AP614" i="2"/>
  <c r="AO614" i="2"/>
  <c r="AL614" i="2"/>
  <c r="AN614" i="2" s="1"/>
  <c r="AK614" i="2"/>
  <c r="AE614" i="2"/>
  <c r="AM614" i="2" s="1"/>
  <c r="X614" i="2"/>
  <c r="AA614" i="2" s="1"/>
  <c r="T614" i="2"/>
  <c r="S614" i="2"/>
  <c r="P614" i="2"/>
  <c r="O614" i="2"/>
  <c r="K614" i="2"/>
  <c r="G614" i="2"/>
  <c r="F614" i="2"/>
  <c r="E614" i="2"/>
  <c r="AP613" i="2"/>
  <c r="AO613" i="2"/>
  <c r="AN613" i="2"/>
  <c r="AM613" i="2"/>
  <c r="AL613" i="2"/>
  <c r="AK613" i="2"/>
  <c r="AI613" i="2"/>
  <c r="AE613" i="2"/>
  <c r="X613" i="2"/>
  <c r="AA613" i="2" s="1"/>
  <c r="W613" i="2"/>
  <c r="U613" i="2"/>
  <c r="T613" i="2"/>
  <c r="S613" i="2"/>
  <c r="AG613" i="2" s="1"/>
  <c r="O613" i="2"/>
  <c r="P613" i="2" s="1"/>
  <c r="K613" i="2"/>
  <c r="F613" i="2"/>
  <c r="E613" i="2"/>
  <c r="G613" i="2" s="1"/>
  <c r="AP612" i="2"/>
  <c r="AO612" i="2"/>
  <c r="AM612" i="2"/>
  <c r="AL612" i="2"/>
  <c r="AN612" i="2" s="1"/>
  <c r="AK612" i="2"/>
  <c r="AI612" i="2"/>
  <c r="AG612" i="2"/>
  <c r="AF612" i="2"/>
  <c r="AE612" i="2"/>
  <c r="X612" i="2"/>
  <c r="AA612" i="2" s="1"/>
  <c r="T612" i="2"/>
  <c r="S612" i="2"/>
  <c r="U612" i="2" s="1"/>
  <c r="W612" i="2" s="1"/>
  <c r="P612" i="2"/>
  <c r="O612" i="2"/>
  <c r="K612" i="2"/>
  <c r="E612" i="2"/>
  <c r="G612" i="2" s="1"/>
  <c r="AP611" i="2"/>
  <c r="AO611" i="2"/>
  <c r="AK611" i="2"/>
  <c r="AL611" i="2" s="1"/>
  <c r="AN611" i="2" s="1"/>
  <c r="AE611" i="2"/>
  <c r="AM611" i="2" s="1"/>
  <c r="AA611" i="2"/>
  <c r="X611" i="2"/>
  <c r="U611" i="2"/>
  <c r="W611" i="2" s="1"/>
  <c r="T611" i="2"/>
  <c r="S611" i="2"/>
  <c r="AG611" i="2" s="1"/>
  <c r="P611" i="2"/>
  <c r="O611" i="2"/>
  <c r="K611" i="2"/>
  <c r="AF611" i="2" s="1"/>
  <c r="E611" i="2"/>
  <c r="AP610" i="2"/>
  <c r="AO610" i="2"/>
  <c r="AL610" i="2"/>
  <c r="AK610" i="2"/>
  <c r="AG610" i="2"/>
  <c r="AE610" i="2"/>
  <c r="AM610" i="2" s="1"/>
  <c r="AN610" i="2" s="1"/>
  <c r="X610" i="2"/>
  <c r="AA610" i="2" s="1"/>
  <c r="T610" i="2"/>
  <c r="S610" i="2"/>
  <c r="P610" i="2"/>
  <c r="O610" i="2"/>
  <c r="K610" i="2"/>
  <c r="AF610" i="2" s="1"/>
  <c r="G610" i="2"/>
  <c r="F610" i="2"/>
  <c r="E610" i="2"/>
  <c r="AP609" i="2"/>
  <c r="AO609" i="2"/>
  <c r="AK609" i="2"/>
  <c r="AL609" i="2" s="1"/>
  <c r="AN609" i="2" s="1"/>
  <c r="AI609" i="2"/>
  <c r="AE609" i="2"/>
  <c r="AM609" i="2" s="1"/>
  <c r="AA609" i="2"/>
  <c r="X609" i="2"/>
  <c r="T609" i="2"/>
  <c r="U609" i="2" s="1"/>
  <c r="W609" i="2" s="1"/>
  <c r="S609" i="2"/>
  <c r="AG609" i="2" s="1"/>
  <c r="O609" i="2"/>
  <c r="P609" i="2" s="1"/>
  <c r="K609" i="2"/>
  <c r="AF609" i="2" s="1"/>
  <c r="E609" i="2"/>
  <c r="G609" i="2" s="1"/>
  <c r="AP608" i="2"/>
  <c r="AO608" i="2"/>
  <c r="AM608" i="2"/>
  <c r="AK608" i="2"/>
  <c r="AL608" i="2" s="1"/>
  <c r="AN608" i="2" s="1"/>
  <c r="AE608" i="2"/>
  <c r="X608" i="2"/>
  <c r="W608" i="2"/>
  <c r="U608" i="2"/>
  <c r="T608" i="2"/>
  <c r="S608" i="2"/>
  <c r="AI608" i="2" s="1"/>
  <c r="P608" i="2"/>
  <c r="O608" i="2"/>
  <c r="K608" i="2"/>
  <c r="E608" i="2"/>
  <c r="G608" i="2" s="1"/>
  <c r="AP607" i="2"/>
  <c r="AO607" i="2"/>
  <c r="AK607" i="2"/>
  <c r="AL607" i="2" s="1"/>
  <c r="AG607" i="2"/>
  <c r="AE607" i="2"/>
  <c r="AM607" i="2" s="1"/>
  <c r="AA607" i="2"/>
  <c r="X607" i="2"/>
  <c r="T607" i="2"/>
  <c r="S607" i="2"/>
  <c r="U607" i="2" s="1"/>
  <c r="W607" i="2" s="1"/>
  <c r="O607" i="2"/>
  <c r="P607" i="2" s="1"/>
  <c r="K607" i="2"/>
  <c r="AF607" i="2" s="1"/>
  <c r="E607" i="2"/>
  <c r="AP606" i="2"/>
  <c r="AO606" i="2"/>
  <c r="AL606" i="2"/>
  <c r="AN606" i="2" s="1"/>
  <c r="AK606" i="2"/>
  <c r="AE606" i="2"/>
  <c r="AM606" i="2" s="1"/>
  <c r="X606" i="2"/>
  <c r="AA606" i="2" s="1"/>
  <c r="T606" i="2"/>
  <c r="S606" i="2"/>
  <c r="P606" i="2"/>
  <c r="O606" i="2"/>
  <c r="K606" i="2"/>
  <c r="G606" i="2"/>
  <c r="F606" i="2"/>
  <c r="E606" i="2"/>
  <c r="AP605" i="2"/>
  <c r="AO605" i="2"/>
  <c r="AN605" i="2"/>
  <c r="AM605" i="2"/>
  <c r="AL605" i="2"/>
  <c r="AK605" i="2"/>
  <c r="AI605" i="2"/>
  <c r="AE605" i="2"/>
  <c r="X605" i="2"/>
  <c r="AA605" i="2" s="1"/>
  <c r="W605" i="2"/>
  <c r="U605" i="2"/>
  <c r="T605" i="2"/>
  <c r="S605" i="2"/>
  <c r="AG605" i="2" s="1"/>
  <c r="O605" i="2"/>
  <c r="P605" i="2" s="1"/>
  <c r="K605" i="2"/>
  <c r="G605" i="2"/>
  <c r="F605" i="2"/>
  <c r="E605" i="2"/>
  <c r="AP604" i="2"/>
  <c r="AO604" i="2"/>
  <c r="AM604" i="2"/>
  <c r="AL604" i="2"/>
  <c r="AN604" i="2" s="1"/>
  <c r="AK604" i="2"/>
  <c r="AI604" i="2"/>
  <c r="AG604" i="2"/>
  <c r="AF604" i="2"/>
  <c r="AE604" i="2"/>
  <c r="X604" i="2"/>
  <c r="AA604" i="2" s="1"/>
  <c r="T604" i="2"/>
  <c r="S604" i="2"/>
  <c r="U604" i="2" s="1"/>
  <c r="W604" i="2" s="1"/>
  <c r="P604" i="2"/>
  <c r="O604" i="2"/>
  <c r="K604" i="2"/>
  <c r="E604" i="2"/>
  <c r="G604" i="2" s="1"/>
  <c r="AP603" i="2"/>
  <c r="AO603" i="2"/>
  <c r="AN603" i="2"/>
  <c r="AK603" i="2"/>
  <c r="AL603" i="2" s="1"/>
  <c r="AI603" i="2"/>
  <c r="AE603" i="2"/>
  <c r="AM603" i="2" s="1"/>
  <c r="AA603" i="2"/>
  <c r="X603" i="2"/>
  <c r="U603" i="2"/>
  <c r="W603" i="2" s="1"/>
  <c r="T603" i="2"/>
  <c r="S603" i="2"/>
  <c r="AG603" i="2" s="1"/>
  <c r="P603" i="2"/>
  <c r="O603" i="2"/>
  <c r="K603" i="2"/>
  <c r="AF603" i="2" s="1"/>
  <c r="E603" i="2"/>
  <c r="AP602" i="2"/>
  <c r="AO602" i="2"/>
  <c r="AL602" i="2"/>
  <c r="AK602" i="2"/>
  <c r="AG602" i="2"/>
  <c r="AE602" i="2"/>
  <c r="AM602" i="2" s="1"/>
  <c r="AN602" i="2" s="1"/>
  <c r="AA602" i="2"/>
  <c r="X602" i="2"/>
  <c r="T602" i="2"/>
  <c r="S602" i="2"/>
  <c r="P602" i="2"/>
  <c r="O602" i="2"/>
  <c r="K602" i="2"/>
  <c r="AF602" i="2" s="1"/>
  <c r="G602" i="2"/>
  <c r="F602" i="2"/>
  <c r="E602" i="2"/>
  <c r="AP601" i="2"/>
  <c r="AO601" i="2"/>
  <c r="AK601" i="2"/>
  <c r="AL601" i="2" s="1"/>
  <c r="AN601" i="2" s="1"/>
  <c r="AI601" i="2"/>
  <c r="AE601" i="2"/>
  <c r="AM601" i="2" s="1"/>
  <c r="AA601" i="2"/>
  <c r="X601" i="2"/>
  <c r="T601" i="2"/>
  <c r="U601" i="2" s="1"/>
  <c r="W601" i="2" s="1"/>
  <c r="S601" i="2"/>
  <c r="AG601" i="2" s="1"/>
  <c r="O601" i="2"/>
  <c r="P601" i="2" s="1"/>
  <c r="K601" i="2"/>
  <c r="AF601" i="2" s="1"/>
  <c r="E601" i="2"/>
  <c r="G601" i="2" s="1"/>
  <c r="AP600" i="2"/>
  <c r="AO600" i="2"/>
  <c r="AM600" i="2"/>
  <c r="AL600" i="2"/>
  <c r="AN600" i="2" s="1"/>
  <c r="AK600" i="2"/>
  <c r="AE600" i="2"/>
  <c r="X600" i="2"/>
  <c r="W600" i="2"/>
  <c r="U600" i="2"/>
  <c r="T600" i="2"/>
  <c r="S600" i="2"/>
  <c r="AI600" i="2" s="1"/>
  <c r="P600" i="2"/>
  <c r="O600" i="2"/>
  <c r="K600" i="2"/>
  <c r="G600" i="2"/>
  <c r="F600" i="2"/>
  <c r="E600" i="2"/>
  <c r="AP599" i="2"/>
  <c r="AO599" i="2"/>
  <c r="AK599" i="2"/>
  <c r="AL599" i="2" s="1"/>
  <c r="AG599" i="2"/>
  <c r="AE599" i="2"/>
  <c r="AM599" i="2" s="1"/>
  <c r="AA599" i="2"/>
  <c r="X599" i="2"/>
  <c r="T599" i="2"/>
  <c r="S599" i="2"/>
  <c r="U599" i="2" s="1"/>
  <c r="W599" i="2" s="1"/>
  <c r="P599" i="2"/>
  <c r="O599" i="2"/>
  <c r="K599" i="2"/>
  <c r="AF599" i="2" s="1"/>
  <c r="E599" i="2"/>
  <c r="AP598" i="2"/>
  <c r="AO598" i="2"/>
  <c r="AL598" i="2"/>
  <c r="AK598" i="2"/>
  <c r="AE598" i="2"/>
  <c r="AM598" i="2" s="1"/>
  <c r="X598" i="2"/>
  <c r="AA598" i="2" s="1"/>
  <c r="T598" i="2"/>
  <c r="S598" i="2"/>
  <c r="P598" i="2"/>
  <c r="O598" i="2"/>
  <c r="K598" i="2"/>
  <c r="G598" i="2"/>
  <c r="F598" i="2"/>
  <c r="E598" i="2"/>
  <c r="AP597" i="2"/>
  <c r="AO597" i="2"/>
  <c r="AN597" i="2"/>
  <c r="AM597" i="2"/>
  <c r="AL597" i="2"/>
  <c r="AK597" i="2"/>
  <c r="AI597" i="2"/>
  <c r="AE597" i="2"/>
  <c r="X597" i="2"/>
  <c r="AA597" i="2" s="1"/>
  <c r="W597" i="2"/>
  <c r="U597" i="2"/>
  <c r="T597" i="2"/>
  <c r="S597" i="2"/>
  <c r="AG597" i="2" s="1"/>
  <c r="O597" i="2"/>
  <c r="P597" i="2" s="1"/>
  <c r="K597" i="2"/>
  <c r="G597" i="2"/>
  <c r="F597" i="2"/>
  <c r="E597" i="2"/>
  <c r="AP596" i="2"/>
  <c r="AO596" i="2"/>
  <c r="AM596" i="2"/>
  <c r="AL596" i="2"/>
  <c r="AN596" i="2" s="1"/>
  <c r="AK596" i="2"/>
  <c r="AI596" i="2"/>
  <c r="AG596" i="2"/>
  <c r="AE596" i="2"/>
  <c r="X596" i="2"/>
  <c r="AA596" i="2" s="1"/>
  <c r="T596" i="2"/>
  <c r="S596" i="2"/>
  <c r="P596" i="2"/>
  <c r="O596" i="2"/>
  <c r="K596" i="2"/>
  <c r="E596" i="2"/>
  <c r="G596" i="2" s="1"/>
  <c r="AP595" i="2"/>
  <c r="AO595" i="2"/>
  <c r="AK595" i="2"/>
  <c r="AL595" i="2" s="1"/>
  <c r="AN595" i="2" s="1"/>
  <c r="AI595" i="2"/>
  <c r="AE595" i="2"/>
  <c r="AM595" i="2" s="1"/>
  <c r="AA595" i="2"/>
  <c r="X595" i="2"/>
  <c r="T595" i="2"/>
  <c r="U595" i="2" s="1"/>
  <c r="W595" i="2" s="1"/>
  <c r="S595" i="2"/>
  <c r="AG595" i="2" s="1"/>
  <c r="P595" i="2"/>
  <c r="O595" i="2"/>
  <c r="K595" i="2"/>
  <c r="AF595" i="2" s="1"/>
  <c r="E595" i="2"/>
  <c r="AP594" i="2"/>
  <c r="AO594" i="2"/>
  <c r="AL594" i="2"/>
  <c r="AK594" i="2"/>
  <c r="AG594" i="2"/>
  <c r="AE594" i="2"/>
  <c r="AM594" i="2" s="1"/>
  <c r="AN594" i="2" s="1"/>
  <c r="AA594" i="2"/>
  <c r="X594" i="2"/>
  <c r="T594" i="2"/>
  <c r="S594" i="2"/>
  <c r="P594" i="2"/>
  <c r="O594" i="2"/>
  <c r="K594" i="2"/>
  <c r="AF594" i="2" s="1"/>
  <c r="G594" i="2"/>
  <c r="F594" i="2"/>
  <c r="E594" i="2"/>
  <c r="AP593" i="2"/>
  <c r="AO593" i="2"/>
  <c r="AK593" i="2"/>
  <c r="AL593" i="2" s="1"/>
  <c r="AN593" i="2" s="1"/>
  <c r="AI593" i="2"/>
  <c r="AE593" i="2"/>
  <c r="AM593" i="2" s="1"/>
  <c r="AA593" i="2"/>
  <c r="X593" i="2"/>
  <c r="T593" i="2"/>
  <c r="U593" i="2" s="1"/>
  <c r="W593" i="2" s="1"/>
  <c r="S593" i="2"/>
  <c r="AG593" i="2" s="1"/>
  <c r="O593" i="2"/>
  <c r="P593" i="2" s="1"/>
  <c r="K593" i="2"/>
  <c r="AF593" i="2" s="1"/>
  <c r="E593" i="2"/>
  <c r="G593" i="2" s="1"/>
  <c r="AP592" i="2"/>
  <c r="AO592" i="2"/>
  <c r="AM592" i="2"/>
  <c r="AK592" i="2"/>
  <c r="AL592" i="2" s="1"/>
  <c r="AN592" i="2" s="1"/>
  <c r="AE592" i="2"/>
  <c r="X592" i="2"/>
  <c r="W592" i="2"/>
  <c r="U592" i="2"/>
  <c r="T592" i="2"/>
  <c r="S592" i="2"/>
  <c r="AI592" i="2" s="1"/>
  <c r="P592" i="2"/>
  <c r="O592" i="2"/>
  <c r="K592" i="2"/>
  <c r="G592" i="2"/>
  <c r="F592" i="2"/>
  <c r="E592" i="2"/>
  <c r="AP591" i="2"/>
  <c r="AO591" i="2"/>
  <c r="AK591" i="2"/>
  <c r="AL591" i="2" s="1"/>
  <c r="AG591" i="2"/>
  <c r="AF591" i="2"/>
  <c r="AE591" i="2"/>
  <c r="AM591" i="2" s="1"/>
  <c r="AA591" i="2"/>
  <c r="X591" i="2"/>
  <c r="T591" i="2"/>
  <c r="S591" i="2"/>
  <c r="U591" i="2" s="1"/>
  <c r="W591" i="2" s="1"/>
  <c r="O591" i="2"/>
  <c r="P591" i="2" s="1"/>
  <c r="K591" i="2"/>
  <c r="E591" i="2"/>
  <c r="AP590" i="2"/>
  <c r="AO590" i="2"/>
  <c r="AL590" i="2"/>
  <c r="AK590" i="2"/>
  <c r="AF590" i="2"/>
  <c r="AE590" i="2"/>
  <c r="AM590" i="2" s="1"/>
  <c r="X590" i="2"/>
  <c r="AA590" i="2" s="1"/>
  <c r="T590" i="2"/>
  <c r="S590" i="2"/>
  <c r="AG590" i="2" s="1"/>
  <c r="O590" i="2"/>
  <c r="P590" i="2" s="1"/>
  <c r="K590" i="2"/>
  <c r="G590" i="2"/>
  <c r="F590" i="2"/>
  <c r="E590" i="2"/>
  <c r="AP589" i="2"/>
  <c r="AO589" i="2"/>
  <c r="AM589" i="2"/>
  <c r="AN589" i="2" s="1"/>
  <c r="AL589" i="2"/>
  <c r="AK589" i="2"/>
  <c r="AI589" i="2"/>
  <c r="AE589" i="2"/>
  <c r="AA589" i="2"/>
  <c r="X589" i="2"/>
  <c r="U589" i="2"/>
  <c r="W589" i="2" s="1"/>
  <c r="T589" i="2"/>
  <c r="S589" i="2"/>
  <c r="AG589" i="2" s="1"/>
  <c r="O589" i="2"/>
  <c r="P589" i="2" s="1"/>
  <c r="K589" i="2"/>
  <c r="G589" i="2"/>
  <c r="F589" i="2"/>
  <c r="E589" i="2"/>
  <c r="AP588" i="2"/>
  <c r="AO588" i="2"/>
  <c r="AM588" i="2"/>
  <c r="AL588" i="2"/>
  <c r="AK588" i="2"/>
  <c r="AE588" i="2"/>
  <c r="X588" i="2"/>
  <c r="AA588" i="2" s="1"/>
  <c r="T588" i="2"/>
  <c r="S588" i="2"/>
  <c r="P588" i="2"/>
  <c r="O588" i="2"/>
  <c r="K588" i="2"/>
  <c r="E588" i="2"/>
  <c r="G588" i="2" s="1"/>
  <c r="AP587" i="2"/>
  <c r="AO587" i="2"/>
  <c r="AK587" i="2"/>
  <c r="AL587" i="2" s="1"/>
  <c r="AN587" i="2" s="1"/>
  <c r="AI587" i="2"/>
  <c r="AE587" i="2"/>
  <c r="AM587" i="2" s="1"/>
  <c r="AA587" i="2"/>
  <c r="X587" i="2"/>
  <c r="T587" i="2"/>
  <c r="S587" i="2"/>
  <c r="P587" i="2"/>
  <c r="O587" i="2"/>
  <c r="K587" i="2"/>
  <c r="AF587" i="2" s="1"/>
  <c r="E587" i="2"/>
  <c r="AP586" i="2"/>
  <c r="AO586" i="2"/>
  <c r="AM586" i="2"/>
  <c r="AN586" i="2" s="1"/>
  <c r="AL586" i="2"/>
  <c r="AK586" i="2"/>
  <c r="AG586" i="2"/>
  <c r="AE586" i="2"/>
  <c r="X586" i="2"/>
  <c r="AA586" i="2" s="1"/>
  <c r="T586" i="2"/>
  <c r="S586" i="2"/>
  <c r="P586" i="2"/>
  <c r="O586" i="2"/>
  <c r="K586" i="2"/>
  <c r="AF586" i="2" s="1"/>
  <c r="G586" i="2"/>
  <c r="F586" i="2"/>
  <c r="E586" i="2"/>
  <c r="AP585" i="2"/>
  <c r="AO585" i="2"/>
  <c r="AK585" i="2"/>
  <c r="AL585" i="2" s="1"/>
  <c r="AN585" i="2" s="1"/>
  <c r="AI585" i="2"/>
  <c r="AE585" i="2"/>
  <c r="AM585" i="2" s="1"/>
  <c r="AA585" i="2"/>
  <c r="X585" i="2"/>
  <c r="T585" i="2"/>
  <c r="U585" i="2" s="1"/>
  <c r="W585" i="2" s="1"/>
  <c r="S585" i="2"/>
  <c r="AG585" i="2" s="1"/>
  <c r="O585" i="2"/>
  <c r="P585" i="2" s="1"/>
  <c r="K585" i="2"/>
  <c r="AF585" i="2" s="1"/>
  <c r="E585" i="2"/>
  <c r="G585" i="2" s="1"/>
  <c r="AP584" i="2"/>
  <c r="AO584" i="2"/>
  <c r="AM584" i="2"/>
  <c r="AK584" i="2"/>
  <c r="AL584" i="2" s="1"/>
  <c r="AN584" i="2" s="1"/>
  <c r="AE584" i="2"/>
  <c r="X584" i="2"/>
  <c r="T584" i="2"/>
  <c r="U584" i="2" s="1"/>
  <c r="W584" i="2" s="1"/>
  <c r="S584" i="2"/>
  <c r="AI584" i="2" s="1"/>
  <c r="P584" i="2"/>
  <c r="O584" i="2"/>
  <c r="K584" i="2"/>
  <c r="G584" i="2"/>
  <c r="F584" i="2"/>
  <c r="E584" i="2"/>
  <c r="AP583" i="2"/>
  <c r="AO583" i="2"/>
  <c r="AK583" i="2"/>
  <c r="AL583" i="2" s="1"/>
  <c r="AN583" i="2" s="1"/>
  <c r="AG583" i="2"/>
  <c r="AE583" i="2"/>
  <c r="AM583" i="2" s="1"/>
  <c r="AA583" i="2"/>
  <c r="X583" i="2"/>
  <c r="T583" i="2"/>
  <c r="S583" i="2"/>
  <c r="U583" i="2" s="1"/>
  <c r="W583" i="2" s="1"/>
  <c r="P583" i="2"/>
  <c r="O583" i="2"/>
  <c r="K583" i="2"/>
  <c r="AF583" i="2" s="1"/>
  <c r="E583" i="2"/>
  <c r="AP582" i="2"/>
  <c r="AO582" i="2"/>
  <c r="AL582" i="2"/>
  <c r="AK582" i="2"/>
  <c r="AG582" i="2"/>
  <c r="AF582" i="2"/>
  <c r="AE582" i="2"/>
  <c r="AM582" i="2" s="1"/>
  <c r="X582" i="2"/>
  <c r="AA582" i="2" s="1"/>
  <c r="T582" i="2"/>
  <c r="S582" i="2"/>
  <c r="P582" i="2"/>
  <c r="O582" i="2"/>
  <c r="K582" i="2"/>
  <c r="G582" i="2"/>
  <c r="F582" i="2"/>
  <c r="E582" i="2"/>
  <c r="AP581" i="2"/>
  <c r="AO581" i="2"/>
  <c r="AN581" i="2"/>
  <c r="AM581" i="2"/>
  <c r="AL581" i="2"/>
  <c r="AK581" i="2"/>
  <c r="AI581" i="2"/>
  <c r="AE581" i="2"/>
  <c r="AA581" i="2"/>
  <c r="X581" i="2"/>
  <c r="W581" i="2"/>
  <c r="U581" i="2"/>
  <c r="T581" i="2"/>
  <c r="S581" i="2"/>
  <c r="AG581" i="2" s="1"/>
  <c r="O581" i="2"/>
  <c r="P581" i="2" s="1"/>
  <c r="K581" i="2"/>
  <c r="E581" i="2"/>
  <c r="G581" i="2" s="1"/>
  <c r="AP580" i="2"/>
  <c r="AO580" i="2"/>
  <c r="AM580" i="2"/>
  <c r="AL580" i="2"/>
  <c r="AN580" i="2" s="1"/>
  <c r="AK580" i="2"/>
  <c r="AE580" i="2"/>
  <c r="X580" i="2"/>
  <c r="AA580" i="2" s="1"/>
  <c r="T580" i="2"/>
  <c r="S580" i="2"/>
  <c r="P580" i="2"/>
  <c r="O580" i="2"/>
  <c r="K580" i="2"/>
  <c r="E580" i="2"/>
  <c r="G580" i="2" s="1"/>
  <c r="AP579" i="2"/>
  <c r="AO579" i="2"/>
  <c r="AK579" i="2"/>
  <c r="AL579" i="2" s="1"/>
  <c r="AN579" i="2" s="1"/>
  <c r="AI579" i="2"/>
  <c r="AE579" i="2"/>
  <c r="AM579" i="2" s="1"/>
  <c r="AA579" i="2"/>
  <c r="X579" i="2"/>
  <c r="T579" i="2"/>
  <c r="S579" i="2"/>
  <c r="P579" i="2"/>
  <c r="O579" i="2"/>
  <c r="K579" i="2"/>
  <c r="E579" i="2"/>
  <c r="AP578" i="2"/>
  <c r="AO578" i="2"/>
  <c r="AM578" i="2"/>
  <c r="AN578" i="2" s="1"/>
  <c r="AL578" i="2"/>
  <c r="AK578" i="2"/>
  <c r="AG578" i="2"/>
  <c r="AE578" i="2"/>
  <c r="AA578" i="2"/>
  <c r="X578" i="2"/>
  <c r="T578" i="2"/>
  <c r="S578" i="2"/>
  <c r="P578" i="2"/>
  <c r="O578" i="2"/>
  <c r="K578" i="2"/>
  <c r="AF578" i="2" s="1"/>
  <c r="G578" i="2"/>
  <c r="F578" i="2"/>
  <c r="E578" i="2"/>
  <c r="AP577" i="2"/>
  <c r="AO577" i="2"/>
  <c r="AL577" i="2"/>
  <c r="AN577" i="2" s="1"/>
  <c r="AK577" i="2"/>
  <c r="AI577" i="2"/>
  <c r="AE577" i="2"/>
  <c r="AM577" i="2" s="1"/>
  <c r="AA577" i="2"/>
  <c r="X577" i="2"/>
  <c r="T577" i="2"/>
  <c r="U577" i="2" s="1"/>
  <c r="W577" i="2" s="1"/>
  <c r="S577" i="2"/>
  <c r="AG577" i="2" s="1"/>
  <c r="O577" i="2"/>
  <c r="P577" i="2" s="1"/>
  <c r="K577" i="2"/>
  <c r="AF577" i="2" s="1"/>
  <c r="E577" i="2"/>
  <c r="G577" i="2" s="1"/>
  <c r="AP576" i="2"/>
  <c r="AO576" i="2"/>
  <c r="AM576" i="2"/>
  <c r="AL576" i="2"/>
  <c r="AN576" i="2" s="1"/>
  <c r="AK576" i="2"/>
  <c r="AE576" i="2"/>
  <c r="X576" i="2"/>
  <c r="U576" i="2"/>
  <c r="W576" i="2" s="1"/>
  <c r="T576" i="2"/>
  <c r="S576" i="2"/>
  <c r="AI576" i="2" s="1"/>
  <c r="P576" i="2"/>
  <c r="O576" i="2"/>
  <c r="K576" i="2"/>
  <c r="E576" i="2"/>
  <c r="G576" i="2" s="1"/>
  <c r="AP575" i="2"/>
  <c r="AO575" i="2"/>
  <c r="AK575" i="2"/>
  <c r="AL575" i="2" s="1"/>
  <c r="AN575" i="2" s="1"/>
  <c r="AG575" i="2"/>
  <c r="AE575" i="2"/>
  <c r="AM575" i="2" s="1"/>
  <c r="AA575" i="2"/>
  <c r="X575" i="2"/>
  <c r="T575" i="2"/>
  <c r="S575" i="2"/>
  <c r="U575" i="2" s="1"/>
  <c r="W575" i="2" s="1"/>
  <c r="P575" i="2"/>
  <c r="O575" i="2"/>
  <c r="K575" i="2"/>
  <c r="AF575" i="2" s="1"/>
  <c r="E575" i="2"/>
  <c r="AP574" i="2"/>
  <c r="AO574" i="2"/>
  <c r="AL574" i="2"/>
  <c r="AK574" i="2"/>
  <c r="AG574" i="2"/>
  <c r="AF574" i="2"/>
  <c r="AE574" i="2"/>
  <c r="AM574" i="2" s="1"/>
  <c r="X574" i="2"/>
  <c r="AA574" i="2" s="1"/>
  <c r="T574" i="2"/>
  <c r="S574" i="2"/>
  <c r="O574" i="2"/>
  <c r="P574" i="2" s="1"/>
  <c r="K574" i="2"/>
  <c r="G574" i="2"/>
  <c r="F574" i="2"/>
  <c r="E574" i="2"/>
  <c r="AP573" i="2"/>
  <c r="AO573" i="2"/>
  <c r="AM573" i="2"/>
  <c r="AN573" i="2" s="1"/>
  <c r="AL573" i="2"/>
  <c r="AK573" i="2"/>
  <c r="AI573" i="2"/>
  <c r="AE573" i="2"/>
  <c r="X573" i="2"/>
  <c r="AA573" i="2" s="1"/>
  <c r="U573" i="2"/>
  <c r="W573" i="2" s="1"/>
  <c r="T573" i="2"/>
  <c r="S573" i="2"/>
  <c r="AG573" i="2" s="1"/>
  <c r="O573" i="2"/>
  <c r="P573" i="2" s="1"/>
  <c r="K573" i="2"/>
  <c r="G573" i="2"/>
  <c r="F573" i="2"/>
  <c r="E573" i="2"/>
  <c r="AP572" i="2"/>
  <c r="AO572" i="2"/>
  <c r="AM572" i="2"/>
  <c r="AL572" i="2"/>
  <c r="AN572" i="2" s="1"/>
  <c r="AK572" i="2"/>
  <c r="AE572" i="2"/>
  <c r="X572" i="2"/>
  <c r="AA572" i="2" s="1"/>
  <c r="T572" i="2"/>
  <c r="S572" i="2"/>
  <c r="P572" i="2"/>
  <c r="O572" i="2"/>
  <c r="K572" i="2"/>
  <c r="E572" i="2"/>
  <c r="G572" i="2" s="1"/>
  <c r="AP571" i="2"/>
  <c r="AO571" i="2"/>
  <c r="AK571" i="2"/>
  <c r="AL571" i="2" s="1"/>
  <c r="AN571" i="2" s="1"/>
  <c r="AE571" i="2"/>
  <c r="AM571" i="2" s="1"/>
  <c r="AA571" i="2"/>
  <c r="X571" i="2"/>
  <c r="T571" i="2"/>
  <c r="U571" i="2" s="1"/>
  <c r="W571" i="2" s="1"/>
  <c r="S571" i="2"/>
  <c r="P571" i="2"/>
  <c r="O571" i="2"/>
  <c r="K571" i="2"/>
  <c r="E571" i="2"/>
  <c r="AP570" i="2"/>
  <c r="AO570" i="2"/>
  <c r="AN570" i="2"/>
  <c r="AM570" i="2"/>
  <c r="AL570" i="2"/>
  <c r="AK570" i="2"/>
  <c r="AG570" i="2"/>
  <c r="AE570" i="2"/>
  <c r="X570" i="2"/>
  <c r="AA570" i="2" s="1"/>
  <c r="T570" i="2"/>
  <c r="S570" i="2"/>
  <c r="P570" i="2"/>
  <c r="O570" i="2"/>
  <c r="K570" i="2"/>
  <c r="G570" i="2"/>
  <c r="F570" i="2"/>
  <c r="E570" i="2"/>
  <c r="AP569" i="2"/>
  <c r="AO569" i="2"/>
  <c r="AL569" i="2"/>
  <c r="AN569" i="2" s="1"/>
  <c r="AK569" i="2"/>
  <c r="AI569" i="2"/>
  <c r="AE569" i="2"/>
  <c r="AM569" i="2" s="1"/>
  <c r="AA569" i="2"/>
  <c r="X569" i="2"/>
  <c r="T569" i="2"/>
  <c r="U569" i="2" s="1"/>
  <c r="W569" i="2" s="1"/>
  <c r="S569" i="2"/>
  <c r="AG569" i="2" s="1"/>
  <c r="O569" i="2"/>
  <c r="P569" i="2" s="1"/>
  <c r="K569" i="2"/>
  <c r="AF569" i="2" s="1"/>
  <c r="E569" i="2"/>
  <c r="G569" i="2" s="1"/>
  <c r="AP568" i="2"/>
  <c r="AO568" i="2"/>
  <c r="AM568" i="2"/>
  <c r="AL568" i="2"/>
  <c r="AN568" i="2" s="1"/>
  <c r="AK568" i="2"/>
  <c r="AE568" i="2"/>
  <c r="X568" i="2"/>
  <c r="T568" i="2"/>
  <c r="U568" i="2" s="1"/>
  <c r="W568" i="2" s="1"/>
  <c r="S568" i="2"/>
  <c r="AI568" i="2" s="1"/>
  <c r="P568" i="2"/>
  <c r="O568" i="2"/>
  <c r="K568" i="2"/>
  <c r="G568" i="2"/>
  <c r="F568" i="2"/>
  <c r="E568" i="2"/>
  <c r="AP567" i="2"/>
  <c r="AO567" i="2"/>
  <c r="AK567" i="2"/>
  <c r="AL567" i="2" s="1"/>
  <c r="AN567" i="2" s="1"/>
  <c r="AG567" i="2"/>
  <c r="AE567" i="2"/>
  <c r="AM567" i="2" s="1"/>
  <c r="AA567" i="2"/>
  <c r="X567" i="2"/>
  <c r="T567" i="2"/>
  <c r="S567" i="2"/>
  <c r="U567" i="2" s="1"/>
  <c r="W567" i="2" s="1"/>
  <c r="O567" i="2"/>
  <c r="P567" i="2" s="1"/>
  <c r="K567" i="2"/>
  <c r="AF567" i="2" s="1"/>
  <c r="E567" i="2"/>
  <c r="AP566" i="2"/>
  <c r="AO566" i="2"/>
  <c r="AL566" i="2"/>
  <c r="AN566" i="2" s="1"/>
  <c r="AK566" i="2"/>
  <c r="AG566" i="2"/>
  <c r="AF566" i="2"/>
  <c r="AE566" i="2"/>
  <c r="AM566" i="2" s="1"/>
  <c r="X566" i="2"/>
  <c r="AA566" i="2" s="1"/>
  <c r="T566" i="2"/>
  <c r="S566" i="2"/>
  <c r="P566" i="2"/>
  <c r="O566" i="2"/>
  <c r="K566" i="2"/>
  <c r="G566" i="2"/>
  <c r="F566" i="2"/>
  <c r="E566" i="2"/>
  <c r="AP565" i="2"/>
  <c r="AO565" i="2"/>
  <c r="AN565" i="2"/>
  <c r="AM565" i="2"/>
  <c r="AL565" i="2"/>
  <c r="AK565" i="2"/>
  <c r="AI565" i="2"/>
  <c r="AE565" i="2"/>
  <c r="AA565" i="2"/>
  <c r="X565" i="2"/>
  <c r="W565" i="2"/>
  <c r="U565" i="2"/>
  <c r="T565" i="2"/>
  <c r="S565" i="2"/>
  <c r="AG565" i="2" s="1"/>
  <c r="O565" i="2"/>
  <c r="P565" i="2" s="1"/>
  <c r="K565" i="2"/>
  <c r="E565" i="2"/>
  <c r="AP564" i="2"/>
  <c r="AO564" i="2"/>
  <c r="AM564" i="2"/>
  <c r="AL564" i="2"/>
  <c r="AN564" i="2" s="1"/>
  <c r="AK564" i="2"/>
  <c r="AI564" i="2"/>
  <c r="AF564" i="2"/>
  <c r="AE564" i="2"/>
  <c r="X564" i="2"/>
  <c r="AA564" i="2" s="1"/>
  <c r="T564" i="2"/>
  <c r="S564" i="2"/>
  <c r="U564" i="2" s="1"/>
  <c r="W564" i="2" s="1"/>
  <c r="P564" i="2"/>
  <c r="O564" i="2"/>
  <c r="K564" i="2"/>
  <c r="E564" i="2"/>
  <c r="G564" i="2" s="1"/>
  <c r="AP563" i="2"/>
  <c r="AO563" i="2"/>
  <c r="AN563" i="2"/>
  <c r="AK563" i="2"/>
  <c r="AL563" i="2" s="1"/>
  <c r="AE563" i="2"/>
  <c r="AM563" i="2" s="1"/>
  <c r="AA563" i="2"/>
  <c r="X563" i="2"/>
  <c r="U563" i="2"/>
  <c r="W563" i="2" s="1"/>
  <c r="T563" i="2"/>
  <c r="S563" i="2"/>
  <c r="P563" i="2"/>
  <c r="O563" i="2"/>
  <c r="K563" i="2"/>
  <c r="E563" i="2"/>
  <c r="AP562" i="2"/>
  <c r="AO562" i="2"/>
  <c r="AN562" i="2"/>
  <c r="AM562" i="2"/>
  <c r="AL562" i="2"/>
  <c r="AK562" i="2"/>
  <c r="AG562" i="2"/>
  <c r="AE562" i="2"/>
  <c r="X562" i="2"/>
  <c r="AA562" i="2" s="1"/>
  <c r="T562" i="2"/>
  <c r="S562" i="2"/>
  <c r="P562" i="2"/>
  <c r="O562" i="2"/>
  <c r="K562" i="2"/>
  <c r="G562" i="2"/>
  <c r="F562" i="2"/>
  <c r="E562" i="2"/>
  <c r="AP561" i="2"/>
  <c r="AO561" i="2"/>
  <c r="AK561" i="2"/>
  <c r="AL561" i="2" s="1"/>
  <c r="AI561" i="2"/>
  <c r="AE561" i="2"/>
  <c r="AM561" i="2" s="1"/>
  <c r="AA561" i="2"/>
  <c r="X561" i="2"/>
  <c r="T561" i="2"/>
  <c r="U561" i="2" s="1"/>
  <c r="W561" i="2" s="1"/>
  <c r="S561" i="2"/>
  <c r="AG561" i="2" s="1"/>
  <c r="O561" i="2"/>
  <c r="P561" i="2" s="1"/>
  <c r="K561" i="2"/>
  <c r="AF561" i="2" s="1"/>
  <c r="E561" i="2"/>
  <c r="G561" i="2" s="1"/>
  <c r="AP560" i="2"/>
  <c r="AO560" i="2"/>
  <c r="AM560" i="2"/>
  <c r="AL560" i="2"/>
  <c r="AK560" i="2"/>
  <c r="AE560" i="2"/>
  <c r="X560" i="2"/>
  <c r="T560" i="2"/>
  <c r="U560" i="2" s="1"/>
  <c r="W560" i="2" s="1"/>
  <c r="S560" i="2"/>
  <c r="AI560" i="2" s="1"/>
  <c r="P560" i="2"/>
  <c r="O560" i="2"/>
  <c r="K560" i="2"/>
  <c r="E560" i="2"/>
  <c r="AP559" i="2"/>
  <c r="AO559" i="2"/>
  <c r="AK559" i="2"/>
  <c r="AL559" i="2" s="1"/>
  <c r="AN559" i="2" s="1"/>
  <c r="AG559" i="2"/>
  <c r="AE559" i="2"/>
  <c r="AM559" i="2" s="1"/>
  <c r="AA559" i="2"/>
  <c r="X559" i="2"/>
  <c r="T559" i="2"/>
  <c r="S559" i="2"/>
  <c r="U559" i="2" s="1"/>
  <c r="W559" i="2" s="1"/>
  <c r="P559" i="2"/>
  <c r="O559" i="2"/>
  <c r="K559" i="2"/>
  <c r="AF559" i="2" s="1"/>
  <c r="E559" i="2"/>
  <c r="AP558" i="2"/>
  <c r="AO558" i="2"/>
  <c r="AL558" i="2"/>
  <c r="AN558" i="2" s="1"/>
  <c r="AK558" i="2"/>
  <c r="AG558" i="2"/>
  <c r="AE558" i="2"/>
  <c r="AM558" i="2" s="1"/>
  <c r="X558" i="2"/>
  <c r="AA558" i="2" s="1"/>
  <c r="T558" i="2"/>
  <c r="S558" i="2"/>
  <c r="O558" i="2"/>
  <c r="P558" i="2" s="1"/>
  <c r="K558" i="2"/>
  <c r="G558" i="2"/>
  <c r="F558" i="2"/>
  <c r="E558" i="2"/>
  <c r="AP557" i="2"/>
  <c r="AO557" i="2"/>
  <c r="AM557" i="2"/>
  <c r="AN557" i="2" s="1"/>
  <c r="AL557" i="2"/>
  <c r="AK557" i="2"/>
  <c r="AI557" i="2"/>
  <c r="AE557" i="2"/>
  <c r="X557" i="2"/>
  <c r="AA557" i="2" s="1"/>
  <c r="W557" i="2"/>
  <c r="U557" i="2"/>
  <c r="T557" i="2"/>
  <c r="S557" i="2"/>
  <c r="AG557" i="2" s="1"/>
  <c r="O557" i="2"/>
  <c r="P557" i="2" s="1"/>
  <c r="K557" i="2"/>
  <c r="E557" i="2"/>
  <c r="G557" i="2" s="1"/>
  <c r="AP556" i="2"/>
  <c r="AO556" i="2"/>
  <c r="AM556" i="2"/>
  <c r="AL556" i="2"/>
  <c r="AN556" i="2" s="1"/>
  <c r="AK556" i="2"/>
  <c r="AG556" i="2"/>
  <c r="AF556" i="2"/>
  <c r="AE556" i="2"/>
  <c r="X556" i="2"/>
  <c r="AA556" i="2" s="1"/>
  <c r="T556" i="2"/>
  <c r="S556" i="2"/>
  <c r="U556" i="2" s="1"/>
  <c r="W556" i="2" s="1"/>
  <c r="P556" i="2"/>
  <c r="O556" i="2"/>
  <c r="K556" i="2"/>
  <c r="E556" i="2"/>
  <c r="G556" i="2" s="1"/>
  <c r="AP555" i="2"/>
  <c r="AO555" i="2"/>
  <c r="AN555" i="2"/>
  <c r="AK555" i="2"/>
  <c r="AL555" i="2" s="1"/>
  <c r="AI555" i="2"/>
  <c r="AE555" i="2"/>
  <c r="AM555" i="2" s="1"/>
  <c r="AA555" i="2"/>
  <c r="X555" i="2"/>
  <c r="U555" i="2"/>
  <c r="W555" i="2" s="1"/>
  <c r="T555" i="2"/>
  <c r="S555" i="2"/>
  <c r="AG555" i="2" s="1"/>
  <c r="P555" i="2"/>
  <c r="O555" i="2"/>
  <c r="K555" i="2"/>
  <c r="E555" i="2"/>
  <c r="AP554" i="2"/>
  <c r="AO554" i="2"/>
  <c r="AL554" i="2"/>
  <c r="AK554" i="2"/>
  <c r="AG554" i="2"/>
  <c r="AE554" i="2"/>
  <c r="AM554" i="2" s="1"/>
  <c r="AN554" i="2" s="1"/>
  <c r="AA554" i="2"/>
  <c r="X554" i="2"/>
  <c r="T554" i="2"/>
  <c r="S554" i="2"/>
  <c r="P554" i="2"/>
  <c r="O554" i="2"/>
  <c r="K554" i="2"/>
  <c r="AF554" i="2" s="1"/>
  <c r="G554" i="2"/>
  <c r="F554" i="2"/>
  <c r="E554" i="2"/>
  <c r="AP553" i="2"/>
  <c r="AO553" i="2"/>
  <c r="AL553" i="2"/>
  <c r="AK553" i="2"/>
  <c r="AI553" i="2"/>
  <c r="AE553" i="2"/>
  <c r="AM553" i="2" s="1"/>
  <c r="AA553" i="2"/>
  <c r="X553" i="2"/>
  <c r="T553" i="2"/>
  <c r="U553" i="2" s="1"/>
  <c r="W553" i="2" s="1"/>
  <c r="S553" i="2"/>
  <c r="AG553" i="2" s="1"/>
  <c r="O553" i="2"/>
  <c r="P553" i="2" s="1"/>
  <c r="K553" i="2"/>
  <c r="AF553" i="2" s="1"/>
  <c r="E553" i="2"/>
  <c r="G553" i="2" s="1"/>
  <c r="AP552" i="2"/>
  <c r="AO552" i="2"/>
  <c r="AM552" i="2"/>
  <c r="AL552" i="2"/>
  <c r="AK552" i="2"/>
  <c r="AE552" i="2"/>
  <c r="X552" i="2"/>
  <c r="W552" i="2"/>
  <c r="U552" i="2"/>
  <c r="T552" i="2"/>
  <c r="S552" i="2"/>
  <c r="AI552" i="2" s="1"/>
  <c r="P552" i="2"/>
  <c r="O552" i="2"/>
  <c r="K552" i="2"/>
  <c r="E552" i="2"/>
  <c r="AP551" i="2"/>
  <c r="AO551" i="2"/>
  <c r="AK551" i="2"/>
  <c r="AL551" i="2" s="1"/>
  <c r="AN551" i="2" s="1"/>
  <c r="AG551" i="2"/>
  <c r="AE551" i="2"/>
  <c r="AM551" i="2" s="1"/>
  <c r="AA551" i="2"/>
  <c r="X551" i="2"/>
  <c r="T551" i="2"/>
  <c r="S551" i="2"/>
  <c r="U551" i="2" s="1"/>
  <c r="W551" i="2" s="1"/>
  <c r="P551" i="2"/>
  <c r="O551" i="2"/>
  <c r="K551" i="2"/>
  <c r="AF551" i="2" s="1"/>
  <c r="E551" i="2"/>
  <c r="AP550" i="2"/>
  <c r="AO550" i="2"/>
  <c r="AL550" i="2"/>
  <c r="AN550" i="2" s="1"/>
  <c r="AK550" i="2"/>
  <c r="AE550" i="2"/>
  <c r="AM550" i="2" s="1"/>
  <c r="X550" i="2"/>
  <c r="AA550" i="2" s="1"/>
  <c r="T550" i="2"/>
  <c r="S550" i="2"/>
  <c r="P550" i="2"/>
  <c r="O550" i="2"/>
  <c r="K550" i="2"/>
  <c r="G550" i="2"/>
  <c r="F550" i="2"/>
  <c r="E550" i="2"/>
  <c r="AP549" i="2"/>
  <c r="AO549" i="2"/>
  <c r="AN549" i="2"/>
  <c r="AM549" i="2"/>
  <c r="AL549" i="2"/>
  <c r="AK549" i="2"/>
  <c r="AI549" i="2"/>
  <c r="AE549" i="2"/>
  <c r="AA549" i="2"/>
  <c r="X549" i="2"/>
  <c r="W549" i="2"/>
  <c r="U549" i="2"/>
  <c r="T549" i="2"/>
  <c r="S549" i="2"/>
  <c r="AG549" i="2" s="1"/>
  <c r="O549" i="2"/>
  <c r="P549" i="2" s="1"/>
  <c r="K549" i="2"/>
  <c r="G549" i="2"/>
  <c r="E549" i="2"/>
  <c r="F549" i="2" s="1"/>
  <c r="AP548" i="2"/>
  <c r="AO548" i="2"/>
  <c r="AM548" i="2"/>
  <c r="AK548" i="2"/>
  <c r="AL548" i="2" s="1"/>
  <c r="AN548" i="2" s="1"/>
  <c r="AG548" i="2"/>
  <c r="AF548" i="2"/>
  <c r="AE548" i="2"/>
  <c r="X548" i="2"/>
  <c r="AA548" i="2" s="1"/>
  <c r="T548" i="2"/>
  <c r="S548" i="2"/>
  <c r="U548" i="2" s="1"/>
  <c r="W548" i="2" s="1"/>
  <c r="P548" i="2"/>
  <c r="O548" i="2"/>
  <c r="K548" i="2"/>
  <c r="E548" i="2"/>
  <c r="AP547" i="2"/>
  <c r="AO547" i="2"/>
  <c r="AL547" i="2"/>
  <c r="AK547" i="2"/>
  <c r="AI547" i="2"/>
  <c r="AF547" i="2"/>
  <c r="AE547" i="2"/>
  <c r="AM547" i="2" s="1"/>
  <c r="AN547" i="2" s="1"/>
  <c r="AA547" i="2"/>
  <c r="X547" i="2"/>
  <c r="T547" i="2"/>
  <c r="S547" i="2"/>
  <c r="U547" i="2" s="1"/>
  <c r="W547" i="2" s="1"/>
  <c r="O547" i="2"/>
  <c r="P547" i="2" s="1"/>
  <c r="K547" i="2"/>
  <c r="G547" i="2"/>
  <c r="F547" i="2"/>
  <c r="E547" i="2"/>
  <c r="AP546" i="2"/>
  <c r="AO546" i="2"/>
  <c r="AM546" i="2"/>
  <c r="AK546" i="2"/>
  <c r="AL546" i="2" s="1"/>
  <c r="AN546" i="2" s="1"/>
  <c r="AI546" i="2"/>
  <c r="AE546" i="2"/>
  <c r="X546" i="2"/>
  <c r="AA546" i="2" s="1"/>
  <c r="U546" i="2"/>
  <c r="W546" i="2" s="1"/>
  <c r="T546" i="2"/>
  <c r="S546" i="2"/>
  <c r="AG546" i="2" s="1"/>
  <c r="P546" i="2"/>
  <c r="O546" i="2"/>
  <c r="K546" i="2"/>
  <c r="E546" i="2"/>
  <c r="AP545" i="2"/>
  <c r="AO545" i="2"/>
  <c r="AL545" i="2"/>
  <c r="AN545" i="2" s="1"/>
  <c r="AK545" i="2"/>
  <c r="AG545" i="2"/>
  <c r="AE545" i="2"/>
  <c r="AM545" i="2" s="1"/>
  <c r="AA545" i="2"/>
  <c r="X545" i="2"/>
  <c r="W545" i="2"/>
  <c r="U545" i="2"/>
  <c r="T545" i="2"/>
  <c r="S545" i="2"/>
  <c r="AI545" i="2" s="1"/>
  <c r="P545" i="2"/>
  <c r="O545" i="2"/>
  <c r="K545" i="2"/>
  <c r="AF545" i="2" s="1"/>
  <c r="F545" i="2"/>
  <c r="E545" i="2"/>
  <c r="G545" i="2" s="1"/>
  <c r="AP544" i="2"/>
  <c r="AO544" i="2"/>
  <c r="AL544" i="2"/>
  <c r="AK544" i="2"/>
  <c r="AG544" i="2"/>
  <c r="AF544" i="2"/>
  <c r="AE544" i="2"/>
  <c r="AM544" i="2" s="1"/>
  <c r="AA544" i="2"/>
  <c r="X544" i="2"/>
  <c r="T544" i="2"/>
  <c r="S544" i="2"/>
  <c r="U544" i="2" s="1"/>
  <c r="W544" i="2" s="1"/>
  <c r="O544" i="2"/>
  <c r="P544" i="2" s="1"/>
  <c r="K544" i="2"/>
  <c r="G544" i="2"/>
  <c r="F544" i="2"/>
  <c r="E544" i="2"/>
  <c r="AP543" i="2"/>
  <c r="AO543" i="2"/>
  <c r="AM543" i="2"/>
  <c r="AN543" i="2" s="1"/>
  <c r="AL543" i="2"/>
  <c r="AK543" i="2"/>
  <c r="AI543" i="2"/>
  <c r="AE543" i="2"/>
  <c r="AA543" i="2"/>
  <c r="X543" i="2"/>
  <c r="T543" i="2"/>
  <c r="U543" i="2" s="1"/>
  <c r="W543" i="2" s="1"/>
  <c r="S543" i="2"/>
  <c r="AG543" i="2" s="1"/>
  <c r="O543" i="2"/>
  <c r="P543" i="2" s="1"/>
  <c r="K543" i="2"/>
  <c r="AF543" i="2" s="1"/>
  <c r="G543" i="2"/>
  <c r="F543" i="2"/>
  <c r="E543" i="2"/>
  <c r="AP542" i="2"/>
  <c r="AO542" i="2"/>
  <c r="AM542" i="2"/>
  <c r="AN542" i="2" s="1"/>
  <c r="AL542" i="2"/>
  <c r="AK542" i="2"/>
  <c r="AI542" i="2"/>
  <c r="AE542" i="2"/>
  <c r="AA542" i="2"/>
  <c r="X542" i="2"/>
  <c r="U542" i="2"/>
  <c r="W542" i="2" s="1"/>
  <c r="T542" i="2"/>
  <c r="S542" i="2"/>
  <c r="AG542" i="2" s="1"/>
  <c r="P542" i="2"/>
  <c r="O542" i="2"/>
  <c r="K542" i="2"/>
  <c r="AF542" i="2" s="1"/>
  <c r="E542" i="2"/>
  <c r="G542" i="2" s="1"/>
  <c r="AP541" i="2"/>
  <c r="AO541" i="2"/>
  <c r="AL541" i="2"/>
  <c r="AK541" i="2"/>
  <c r="AE541" i="2"/>
  <c r="AM541" i="2" s="1"/>
  <c r="AA541" i="2"/>
  <c r="X541" i="2"/>
  <c r="T541" i="2"/>
  <c r="S541" i="2"/>
  <c r="U541" i="2" s="1"/>
  <c r="W541" i="2" s="1"/>
  <c r="P541" i="2"/>
  <c r="O541" i="2"/>
  <c r="K541" i="2"/>
  <c r="F541" i="2"/>
  <c r="E541" i="2"/>
  <c r="G541" i="2" s="1"/>
  <c r="AP540" i="2"/>
  <c r="AO540" i="2"/>
  <c r="AL540" i="2"/>
  <c r="AN540" i="2" s="1"/>
  <c r="AK540" i="2"/>
  <c r="AE540" i="2"/>
  <c r="AM540" i="2" s="1"/>
  <c r="AA540" i="2"/>
  <c r="X540" i="2"/>
  <c r="T540" i="2"/>
  <c r="S540" i="2"/>
  <c r="AI540" i="2" s="1"/>
  <c r="O540" i="2"/>
  <c r="P540" i="2" s="1"/>
  <c r="K540" i="2"/>
  <c r="G540" i="2"/>
  <c r="F540" i="2"/>
  <c r="E540" i="2"/>
  <c r="AP539" i="2"/>
  <c r="AO539" i="2"/>
  <c r="AL539" i="2"/>
  <c r="AK539" i="2"/>
  <c r="AI539" i="2"/>
  <c r="AE539" i="2"/>
  <c r="AM539" i="2" s="1"/>
  <c r="AN539" i="2" s="1"/>
  <c r="AA539" i="2"/>
  <c r="X539" i="2"/>
  <c r="T539" i="2"/>
  <c r="S539" i="2"/>
  <c r="U539" i="2" s="1"/>
  <c r="W539" i="2" s="1"/>
  <c r="O539" i="2"/>
  <c r="P539" i="2" s="1"/>
  <c r="K539" i="2"/>
  <c r="AF539" i="2" s="1"/>
  <c r="G539" i="2"/>
  <c r="F539" i="2"/>
  <c r="E539" i="2"/>
  <c r="AP538" i="2"/>
  <c r="AO538" i="2"/>
  <c r="AM538" i="2"/>
  <c r="AK538" i="2"/>
  <c r="AL538" i="2" s="1"/>
  <c r="AN538" i="2" s="1"/>
  <c r="AI538" i="2"/>
  <c r="AE538" i="2"/>
  <c r="AA538" i="2"/>
  <c r="X538" i="2"/>
  <c r="U538" i="2"/>
  <c r="W538" i="2" s="1"/>
  <c r="T538" i="2"/>
  <c r="S538" i="2"/>
  <c r="AG538" i="2" s="1"/>
  <c r="P538" i="2"/>
  <c r="O538" i="2"/>
  <c r="K538" i="2"/>
  <c r="AF538" i="2" s="1"/>
  <c r="E538" i="2"/>
  <c r="G538" i="2" s="1"/>
  <c r="AP537" i="2"/>
  <c r="AO537" i="2"/>
  <c r="AK537" i="2"/>
  <c r="AL537" i="2" s="1"/>
  <c r="AN537" i="2" s="1"/>
  <c r="AE537" i="2"/>
  <c r="AM537" i="2" s="1"/>
  <c r="AA537" i="2"/>
  <c r="X537" i="2"/>
  <c r="W537" i="2"/>
  <c r="U537" i="2"/>
  <c r="T537" i="2"/>
  <c r="S537" i="2"/>
  <c r="AG537" i="2" s="1"/>
  <c r="P537" i="2"/>
  <c r="O537" i="2"/>
  <c r="K537" i="2"/>
  <c r="E537" i="2"/>
  <c r="AP536" i="2"/>
  <c r="AO536" i="2"/>
  <c r="AL536" i="2"/>
  <c r="AK536" i="2"/>
  <c r="AG536" i="2"/>
  <c r="AE536" i="2"/>
  <c r="AM536" i="2" s="1"/>
  <c r="AA536" i="2"/>
  <c r="X536" i="2"/>
  <c r="T536" i="2"/>
  <c r="S536" i="2"/>
  <c r="AI536" i="2" s="1"/>
  <c r="O536" i="2"/>
  <c r="P536" i="2" s="1"/>
  <c r="K536" i="2"/>
  <c r="G536" i="2"/>
  <c r="F536" i="2"/>
  <c r="E536" i="2"/>
  <c r="AP535" i="2"/>
  <c r="AO535" i="2"/>
  <c r="AL535" i="2"/>
  <c r="AK535" i="2"/>
  <c r="AI535" i="2"/>
  <c r="AE535" i="2"/>
  <c r="AM535" i="2" s="1"/>
  <c r="AN535" i="2" s="1"/>
  <c r="AA535" i="2"/>
  <c r="X535" i="2"/>
  <c r="T535" i="2"/>
  <c r="U535" i="2" s="1"/>
  <c r="W535" i="2" s="1"/>
  <c r="S535" i="2"/>
  <c r="AG535" i="2" s="1"/>
  <c r="O535" i="2"/>
  <c r="P535" i="2" s="1"/>
  <c r="K535" i="2"/>
  <c r="AF535" i="2" s="1"/>
  <c r="G535" i="2"/>
  <c r="F535" i="2"/>
  <c r="E535" i="2"/>
  <c r="AP534" i="2"/>
  <c r="AO534" i="2"/>
  <c r="AM534" i="2"/>
  <c r="AK534" i="2"/>
  <c r="AL534" i="2" s="1"/>
  <c r="AN534" i="2" s="1"/>
  <c r="AI534" i="2"/>
  <c r="AE534" i="2"/>
  <c r="AA534" i="2"/>
  <c r="X534" i="2"/>
  <c r="U534" i="2"/>
  <c r="W534" i="2" s="1"/>
  <c r="T534" i="2"/>
  <c r="S534" i="2"/>
  <c r="AG534" i="2" s="1"/>
  <c r="P534" i="2"/>
  <c r="O534" i="2"/>
  <c r="K534" i="2"/>
  <c r="AF534" i="2" s="1"/>
  <c r="F534" i="2"/>
  <c r="E534" i="2"/>
  <c r="G534" i="2" s="1"/>
  <c r="AP533" i="2"/>
  <c r="AO533" i="2"/>
  <c r="AL533" i="2"/>
  <c r="AK533" i="2"/>
  <c r="AE533" i="2"/>
  <c r="AM533" i="2" s="1"/>
  <c r="AA533" i="2"/>
  <c r="X533" i="2"/>
  <c r="W533" i="2"/>
  <c r="T533" i="2"/>
  <c r="S533" i="2"/>
  <c r="U533" i="2" s="1"/>
  <c r="P533" i="2"/>
  <c r="O533" i="2"/>
  <c r="K533" i="2"/>
  <c r="AF533" i="2" s="1"/>
  <c r="F533" i="2"/>
  <c r="E533" i="2"/>
  <c r="G533" i="2" s="1"/>
  <c r="AP532" i="2"/>
  <c r="AO532" i="2"/>
  <c r="AL532" i="2"/>
  <c r="AK532" i="2"/>
  <c r="AI532" i="2"/>
  <c r="AG532" i="2"/>
  <c r="AF532" i="2"/>
  <c r="AE532" i="2"/>
  <c r="AM532" i="2" s="1"/>
  <c r="AA532" i="2"/>
  <c r="X532" i="2"/>
  <c r="T532" i="2"/>
  <c r="S532" i="2"/>
  <c r="P532" i="2"/>
  <c r="O532" i="2"/>
  <c r="K532" i="2"/>
  <c r="G532" i="2"/>
  <c r="F532" i="2"/>
  <c r="E532" i="2"/>
  <c r="AP531" i="2"/>
  <c r="AO531" i="2"/>
  <c r="AN531" i="2"/>
  <c r="AM531" i="2"/>
  <c r="AL531" i="2"/>
  <c r="AK531" i="2"/>
  <c r="AI531" i="2"/>
  <c r="AE531" i="2"/>
  <c r="X531" i="2"/>
  <c r="AA531" i="2" s="1"/>
  <c r="T531" i="2"/>
  <c r="U531" i="2" s="1"/>
  <c r="W531" i="2" s="1"/>
  <c r="S531" i="2"/>
  <c r="AG531" i="2" s="1"/>
  <c r="P531" i="2"/>
  <c r="O531" i="2"/>
  <c r="K531" i="2"/>
  <c r="AF531" i="2" s="1"/>
  <c r="G531" i="2"/>
  <c r="F531" i="2"/>
  <c r="E531" i="2"/>
  <c r="AP530" i="2"/>
  <c r="AO530" i="2"/>
  <c r="AN530" i="2"/>
  <c r="AM530" i="2"/>
  <c r="AK530" i="2"/>
  <c r="AL530" i="2" s="1"/>
  <c r="AI530" i="2"/>
  <c r="AE530" i="2"/>
  <c r="X530" i="2"/>
  <c r="AA530" i="2" s="1"/>
  <c r="W530" i="2"/>
  <c r="U530" i="2"/>
  <c r="T530" i="2"/>
  <c r="S530" i="2"/>
  <c r="AG530" i="2" s="1"/>
  <c r="P530" i="2"/>
  <c r="O530" i="2"/>
  <c r="K530" i="2"/>
  <c r="G530" i="2"/>
  <c r="F530" i="2"/>
  <c r="E530" i="2"/>
  <c r="AP529" i="2"/>
  <c r="AO529" i="2"/>
  <c r="AK529" i="2"/>
  <c r="AL529" i="2" s="1"/>
  <c r="AE529" i="2"/>
  <c r="AM529" i="2" s="1"/>
  <c r="AA529" i="2"/>
  <c r="X529" i="2"/>
  <c r="T529" i="2"/>
  <c r="S529" i="2"/>
  <c r="AI529" i="2" s="1"/>
  <c r="P529" i="2"/>
  <c r="O529" i="2"/>
  <c r="K529" i="2"/>
  <c r="E529" i="2"/>
  <c r="G529" i="2" s="1"/>
  <c r="AP528" i="2"/>
  <c r="AO528" i="2"/>
  <c r="AL528" i="2"/>
  <c r="AN528" i="2" s="1"/>
  <c r="AK528" i="2"/>
  <c r="AE528" i="2"/>
  <c r="AM528" i="2" s="1"/>
  <c r="AA528" i="2"/>
  <c r="X528" i="2"/>
  <c r="T528" i="2"/>
  <c r="S528" i="2"/>
  <c r="P528" i="2"/>
  <c r="O528" i="2"/>
  <c r="K528" i="2"/>
  <c r="F528" i="2"/>
  <c r="E528" i="2"/>
  <c r="G528" i="2" s="1"/>
  <c r="AP527" i="2"/>
  <c r="AO527" i="2"/>
  <c r="AM527" i="2"/>
  <c r="AN527" i="2" s="1"/>
  <c r="AL527" i="2"/>
  <c r="AK527" i="2"/>
  <c r="AI527" i="2"/>
  <c r="AE527" i="2"/>
  <c r="X527" i="2"/>
  <c r="AA527" i="2" s="1"/>
  <c r="T527" i="2"/>
  <c r="S527" i="2"/>
  <c r="U527" i="2" s="1"/>
  <c r="W527" i="2" s="1"/>
  <c r="O527" i="2"/>
  <c r="P527" i="2" s="1"/>
  <c r="K527" i="2"/>
  <c r="G527" i="2"/>
  <c r="F527" i="2"/>
  <c r="E527" i="2"/>
  <c r="AP526" i="2"/>
  <c r="AO526" i="2"/>
  <c r="AM526" i="2"/>
  <c r="AK526" i="2"/>
  <c r="AL526" i="2" s="1"/>
  <c r="AN526" i="2" s="1"/>
  <c r="AI526" i="2"/>
  <c r="AE526" i="2"/>
  <c r="AA526" i="2"/>
  <c r="X526" i="2"/>
  <c r="U526" i="2"/>
  <c r="W526" i="2" s="1"/>
  <c r="T526" i="2"/>
  <c r="S526" i="2"/>
  <c r="AG526" i="2" s="1"/>
  <c r="P526" i="2"/>
  <c r="O526" i="2"/>
  <c r="K526" i="2"/>
  <c r="AF526" i="2" s="1"/>
  <c r="E526" i="2"/>
  <c r="G526" i="2" s="1"/>
  <c r="AP525" i="2"/>
  <c r="AO525" i="2"/>
  <c r="AK525" i="2"/>
  <c r="AL525" i="2" s="1"/>
  <c r="AN525" i="2" s="1"/>
  <c r="AE525" i="2"/>
  <c r="AM525" i="2" s="1"/>
  <c r="AA525" i="2"/>
  <c r="X525" i="2"/>
  <c r="T525" i="2"/>
  <c r="S525" i="2"/>
  <c r="U525" i="2" s="1"/>
  <c r="W525" i="2" s="1"/>
  <c r="P525" i="2"/>
  <c r="O525" i="2"/>
  <c r="K525" i="2"/>
  <c r="E525" i="2"/>
  <c r="AP524" i="2"/>
  <c r="AO524" i="2"/>
  <c r="AL524" i="2"/>
  <c r="AN524" i="2" s="1"/>
  <c r="AK524" i="2"/>
  <c r="AG524" i="2"/>
  <c r="AE524" i="2"/>
  <c r="AM524" i="2" s="1"/>
  <c r="AA524" i="2"/>
  <c r="X524" i="2"/>
  <c r="T524" i="2"/>
  <c r="S524" i="2"/>
  <c r="AI524" i="2" s="1"/>
  <c r="O524" i="2"/>
  <c r="P524" i="2" s="1"/>
  <c r="K524" i="2"/>
  <c r="F524" i="2"/>
  <c r="E524" i="2"/>
  <c r="G524" i="2" s="1"/>
  <c r="AP523" i="2"/>
  <c r="AO523" i="2"/>
  <c r="AL523" i="2"/>
  <c r="AK523" i="2"/>
  <c r="AI523" i="2"/>
  <c r="AF523" i="2"/>
  <c r="AE523" i="2"/>
  <c r="AM523" i="2" s="1"/>
  <c r="AN523" i="2" s="1"/>
  <c r="AA523" i="2"/>
  <c r="X523" i="2"/>
  <c r="T523" i="2"/>
  <c r="S523" i="2"/>
  <c r="U523" i="2" s="1"/>
  <c r="W523" i="2" s="1"/>
  <c r="O523" i="2"/>
  <c r="P523" i="2" s="1"/>
  <c r="K523" i="2"/>
  <c r="G523" i="2"/>
  <c r="F523" i="2"/>
  <c r="E523" i="2"/>
  <c r="AP522" i="2"/>
  <c r="AO522" i="2"/>
  <c r="AM522" i="2"/>
  <c r="AK522" i="2"/>
  <c r="AL522" i="2" s="1"/>
  <c r="AN522" i="2" s="1"/>
  <c r="AI522" i="2"/>
  <c r="AE522" i="2"/>
  <c r="X522" i="2"/>
  <c r="AA522" i="2" s="1"/>
  <c r="U522" i="2"/>
  <c r="W522" i="2" s="1"/>
  <c r="T522" i="2"/>
  <c r="S522" i="2"/>
  <c r="AG522" i="2" s="1"/>
  <c r="P522" i="2"/>
  <c r="O522" i="2"/>
  <c r="K522" i="2"/>
  <c r="E522" i="2"/>
  <c r="AP521" i="2"/>
  <c r="AO521" i="2"/>
  <c r="AL521" i="2"/>
  <c r="AN521" i="2" s="1"/>
  <c r="AK521" i="2"/>
  <c r="AG521" i="2"/>
  <c r="AE521" i="2"/>
  <c r="AM521" i="2" s="1"/>
  <c r="AA521" i="2"/>
  <c r="X521" i="2"/>
  <c r="U521" i="2"/>
  <c r="W521" i="2" s="1"/>
  <c r="T521" i="2"/>
  <c r="S521" i="2"/>
  <c r="AI521" i="2" s="1"/>
  <c r="P521" i="2"/>
  <c r="O521" i="2"/>
  <c r="K521" i="2"/>
  <c r="AF521" i="2" s="1"/>
  <c r="F521" i="2"/>
  <c r="E521" i="2"/>
  <c r="G521" i="2" s="1"/>
  <c r="AP520" i="2"/>
  <c r="AO520" i="2"/>
  <c r="AL520" i="2"/>
  <c r="AK520" i="2"/>
  <c r="AG520" i="2"/>
  <c r="AF520" i="2"/>
  <c r="AE520" i="2"/>
  <c r="AM520" i="2" s="1"/>
  <c r="AA520" i="2"/>
  <c r="X520" i="2"/>
  <c r="T520" i="2"/>
  <c r="S520" i="2"/>
  <c r="U520" i="2" s="1"/>
  <c r="W520" i="2" s="1"/>
  <c r="O520" i="2"/>
  <c r="P520" i="2" s="1"/>
  <c r="K520" i="2"/>
  <c r="F520" i="2"/>
  <c r="E520" i="2"/>
  <c r="G520" i="2" s="1"/>
  <c r="AP519" i="2"/>
  <c r="AO519" i="2"/>
  <c r="AL519" i="2"/>
  <c r="AK519" i="2"/>
  <c r="AI519" i="2"/>
  <c r="AE519" i="2"/>
  <c r="AM519" i="2" s="1"/>
  <c r="AN519" i="2" s="1"/>
  <c r="X519" i="2"/>
  <c r="AA519" i="2" s="1"/>
  <c r="T519" i="2"/>
  <c r="S519" i="2"/>
  <c r="U519" i="2" s="1"/>
  <c r="W519" i="2" s="1"/>
  <c r="O519" i="2"/>
  <c r="P519" i="2" s="1"/>
  <c r="K519" i="2"/>
  <c r="AF519" i="2" s="1"/>
  <c r="G519" i="2"/>
  <c r="F519" i="2"/>
  <c r="E519" i="2"/>
  <c r="AP518" i="2"/>
  <c r="AO518" i="2"/>
  <c r="AM518" i="2"/>
  <c r="AL518" i="2"/>
  <c r="AK518" i="2"/>
  <c r="AI518" i="2"/>
  <c r="AE518" i="2"/>
  <c r="X518" i="2"/>
  <c r="AA518" i="2" s="1"/>
  <c r="W518" i="2"/>
  <c r="U518" i="2"/>
  <c r="T518" i="2"/>
  <c r="S518" i="2"/>
  <c r="AG518" i="2" s="1"/>
  <c r="P518" i="2"/>
  <c r="O518" i="2"/>
  <c r="K518" i="2"/>
  <c r="F518" i="2"/>
  <c r="E518" i="2"/>
  <c r="G518" i="2" s="1"/>
  <c r="AP517" i="2"/>
  <c r="AO517" i="2"/>
  <c r="AK517" i="2"/>
  <c r="AL517" i="2" s="1"/>
  <c r="AN517" i="2" s="1"/>
  <c r="AG517" i="2"/>
  <c r="AE517" i="2"/>
  <c r="AM517" i="2" s="1"/>
  <c r="AA517" i="2"/>
  <c r="X517" i="2"/>
  <c r="T517" i="2"/>
  <c r="U517" i="2" s="1"/>
  <c r="W517" i="2" s="1"/>
  <c r="S517" i="2"/>
  <c r="AI517" i="2" s="1"/>
  <c r="P517" i="2"/>
  <c r="O517" i="2"/>
  <c r="K517" i="2"/>
  <c r="AF517" i="2" s="1"/>
  <c r="F517" i="2"/>
  <c r="E517" i="2"/>
  <c r="G517" i="2" s="1"/>
  <c r="AP516" i="2"/>
  <c r="AO516" i="2"/>
  <c r="AL516" i="2"/>
  <c r="AK516" i="2"/>
  <c r="AI516" i="2"/>
  <c r="AE516" i="2"/>
  <c r="AM516" i="2" s="1"/>
  <c r="AA516" i="2"/>
  <c r="X516" i="2"/>
  <c r="T516" i="2"/>
  <c r="S516" i="2"/>
  <c r="O516" i="2"/>
  <c r="P516" i="2" s="1"/>
  <c r="K516" i="2"/>
  <c r="F516" i="2"/>
  <c r="E516" i="2"/>
  <c r="G516" i="2" s="1"/>
  <c r="AP515" i="2"/>
  <c r="AO515" i="2"/>
  <c r="AM515" i="2"/>
  <c r="AN515" i="2" s="1"/>
  <c r="AL515" i="2"/>
  <c r="AK515" i="2"/>
  <c r="AI515" i="2"/>
  <c r="AE515" i="2"/>
  <c r="X515" i="2"/>
  <c r="AA515" i="2" s="1"/>
  <c r="T515" i="2"/>
  <c r="S515" i="2"/>
  <c r="U515" i="2" s="1"/>
  <c r="W515" i="2" s="1"/>
  <c r="P515" i="2"/>
  <c r="O515" i="2"/>
  <c r="K515" i="2"/>
  <c r="AF515" i="2" s="1"/>
  <c r="G515" i="2"/>
  <c r="F515" i="2"/>
  <c r="E515" i="2"/>
  <c r="AP514" i="2"/>
  <c r="AO514" i="2"/>
  <c r="AN514" i="2"/>
  <c r="AM514" i="2"/>
  <c r="AK514" i="2"/>
  <c r="AL514" i="2" s="1"/>
  <c r="AI514" i="2"/>
  <c r="AE514" i="2"/>
  <c r="X514" i="2"/>
  <c r="AA514" i="2" s="1"/>
  <c r="W514" i="2"/>
  <c r="U514" i="2"/>
  <c r="T514" i="2"/>
  <c r="S514" i="2"/>
  <c r="AG514" i="2" s="1"/>
  <c r="P514" i="2"/>
  <c r="O514" i="2"/>
  <c r="K514" i="2"/>
  <c r="G514" i="2"/>
  <c r="F514" i="2"/>
  <c r="E514" i="2"/>
  <c r="AP513" i="2"/>
  <c r="AO513" i="2"/>
  <c r="AK513" i="2"/>
  <c r="AL513" i="2" s="1"/>
  <c r="AE513" i="2"/>
  <c r="AM513" i="2" s="1"/>
  <c r="AA513" i="2"/>
  <c r="X513" i="2"/>
  <c r="T513" i="2"/>
  <c r="S513" i="2"/>
  <c r="AI513" i="2" s="1"/>
  <c r="P513" i="2"/>
  <c r="O513" i="2"/>
  <c r="K513" i="2"/>
  <c r="E513" i="2"/>
  <c r="G513" i="2" s="1"/>
  <c r="AP512" i="2"/>
  <c r="AO512" i="2"/>
  <c r="AL512" i="2"/>
  <c r="AN512" i="2" s="1"/>
  <c r="AK512" i="2"/>
  <c r="AE512" i="2"/>
  <c r="AM512" i="2" s="1"/>
  <c r="AA512" i="2"/>
  <c r="X512" i="2"/>
  <c r="T512" i="2"/>
  <c r="S512" i="2"/>
  <c r="P512" i="2"/>
  <c r="O512" i="2"/>
  <c r="K512" i="2"/>
  <c r="F512" i="2"/>
  <c r="E512" i="2"/>
  <c r="G512" i="2" s="1"/>
  <c r="AP511" i="2"/>
  <c r="AO511" i="2"/>
  <c r="AM511" i="2"/>
  <c r="AN511" i="2" s="1"/>
  <c r="AL511" i="2"/>
  <c r="AK511" i="2"/>
  <c r="AI511" i="2"/>
  <c r="AE511" i="2"/>
  <c r="AA511" i="2"/>
  <c r="X511" i="2"/>
  <c r="T511" i="2"/>
  <c r="S511" i="2"/>
  <c r="U511" i="2" s="1"/>
  <c r="W511" i="2" s="1"/>
  <c r="O511" i="2"/>
  <c r="P511" i="2" s="1"/>
  <c r="K511" i="2"/>
  <c r="G511" i="2"/>
  <c r="F511" i="2"/>
  <c r="E511" i="2"/>
  <c r="AP510" i="2"/>
  <c r="AO510" i="2"/>
  <c r="AM510" i="2"/>
  <c r="AK510" i="2"/>
  <c r="AL510" i="2" s="1"/>
  <c r="AN510" i="2" s="1"/>
  <c r="AI510" i="2"/>
  <c r="AE510" i="2"/>
  <c r="AA510" i="2"/>
  <c r="X510" i="2"/>
  <c r="U510" i="2"/>
  <c r="W510" i="2" s="1"/>
  <c r="T510" i="2"/>
  <c r="S510" i="2"/>
  <c r="AG510" i="2" s="1"/>
  <c r="P510" i="2"/>
  <c r="O510" i="2"/>
  <c r="K510" i="2"/>
  <c r="AF510" i="2" s="1"/>
  <c r="E510" i="2"/>
  <c r="G510" i="2" s="1"/>
  <c r="AP509" i="2"/>
  <c r="AO509" i="2"/>
  <c r="AK509" i="2"/>
  <c r="AL509" i="2" s="1"/>
  <c r="AN509" i="2" s="1"/>
  <c r="AE509" i="2"/>
  <c r="AM509" i="2" s="1"/>
  <c r="AA509" i="2"/>
  <c r="X509" i="2"/>
  <c r="W509" i="2"/>
  <c r="U509" i="2"/>
  <c r="T509" i="2"/>
  <c r="S509" i="2"/>
  <c r="P509" i="2"/>
  <c r="O509" i="2"/>
  <c r="K509" i="2"/>
  <c r="E509" i="2"/>
  <c r="AP508" i="2"/>
  <c r="AO508" i="2"/>
  <c r="AL508" i="2"/>
  <c r="AN508" i="2" s="1"/>
  <c r="AK508" i="2"/>
  <c r="AG508" i="2"/>
  <c r="AE508" i="2"/>
  <c r="AM508" i="2" s="1"/>
  <c r="AA508" i="2"/>
  <c r="X508" i="2"/>
  <c r="T508" i="2"/>
  <c r="S508" i="2"/>
  <c r="AI508" i="2" s="1"/>
  <c r="O508" i="2"/>
  <c r="P508" i="2" s="1"/>
  <c r="K508" i="2"/>
  <c r="G508" i="2"/>
  <c r="F508" i="2"/>
  <c r="E508" i="2"/>
  <c r="AP507" i="2"/>
  <c r="AO507" i="2"/>
  <c r="AL507" i="2"/>
  <c r="AK507" i="2"/>
  <c r="AI507" i="2"/>
  <c r="AE507" i="2"/>
  <c r="AM507" i="2" s="1"/>
  <c r="AN507" i="2" s="1"/>
  <c r="AA507" i="2"/>
  <c r="X507" i="2"/>
  <c r="T507" i="2"/>
  <c r="U507" i="2" s="1"/>
  <c r="W507" i="2" s="1"/>
  <c r="S507" i="2"/>
  <c r="AG507" i="2" s="1"/>
  <c r="P507" i="2"/>
  <c r="O507" i="2"/>
  <c r="K507" i="2"/>
  <c r="AF507" i="2" s="1"/>
  <c r="G507" i="2"/>
  <c r="F507" i="2"/>
  <c r="E507" i="2"/>
  <c r="AP506" i="2"/>
  <c r="AO506" i="2"/>
  <c r="AN506" i="2"/>
  <c r="AM506" i="2"/>
  <c r="AL506" i="2"/>
  <c r="AK506" i="2"/>
  <c r="AI506" i="2"/>
  <c r="AE506" i="2"/>
  <c r="AA506" i="2"/>
  <c r="X506" i="2"/>
  <c r="W506" i="2"/>
  <c r="U506" i="2"/>
  <c r="T506" i="2"/>
  <c r="S506" i="2"/>
  <c r="AG506" i="2" s="1"/>
  <c r="P506" i="2"/>
  <c r="O506" i="2"/>
  <c r="K506" i="2"/>
  <c r="AF506" i="2" s="1"/>
  <c r="F506" i="2"/>
  <c r="E506" i="2"/>
  <c r="G506" i="2" s="1"/>
  <c r="AP505" i="2"/>
  <c r="AO505" i="2"/>
  <c r="AL505" i="2"/>
  <c r="AK505" i="2"/>
  <c r="AE505" i="2"/>
  <c r="AM505" i="2" s="1"/>
  <c r="AA505" i="2"/>
  <c r="X505" i="2"/>
  <c r="W505" i="2"/>
  <c r="T505" i="2"/>
  <c r="S505" i="2"/>
  <c r="U505" i="2" s="1"/>
  <c r="P505" i="2"/>
  <c r="O505" i="2"/>
  <c r="K505" i="2"/>
  <c r="AF505" i="2" s="1"/>
  <c r="E505" i="2"/>
  <c r="G505" i="2" s="1"/>
  <c r="AP504" i="2"/>
  <c r="AO504" i="2"/>
  <c r="AL504" i="2"/>
  <c r="AK504" i="2"/>
  <c r="AI504" i="2"/>
  <c r="AG504" i="2"/>
  <c r="AF504" i="2"/>
  <c r="AE504" i="2"/>
  <c r="AM504" i="2" s="1"/>
  <c r="AA504" i="2"/>
  <c r="X504" i="2"/>
  <c r="T504" i="2"/>
  <c r="S504" i="2"/>
  <c r="P504" i="2"/>
  <c r="O504" i="2"/>
  <c r="K504" i="2"/>
  <c r="G504" i="2"/>
  <c r="F504" i="2"/>
  <c r="E504" i="2"/>
  <c r="AP503" i="2"/>
  <c r="AO503" i="2"/>
  <c r="AN503" i="2"/>
  <c r="AM503" i="2"/>
  <c r="AL503" i="2"/>
  <c r="AK503" i="2"/>
  <c r="AI503" i="2"/>
  <c r="AE503" i="2"/>
  <c r="X503" i="2"/>
  <c r="AA503" i="2" s="1"/>
  <c r="T503" i="2"/>
  <c r="S503" i="2"/>
  <c r="U503" i="2" s="1"/>
  <c r="W503" i="2" s="1"/>
  <c r="P503" i="2"/>
  <c r="O503" i="2"/>
  <c r="K503" i="2"/>
  <c r="AF503" i="2" s="1"/>
  <c r="G503" i="2"/>
  <c r="F503" i="2"/>
  <c r="E503" i="2"/>
  <c r="AP502" i="2"/>
  <c r="AO502" i="2"/>
  <c r="AM502" i="2"/>
  <c r="AK502" i="2"/>
  <c r="AL502" i="2" s="1"/>
  <c r="AN502" i="2" s="1"/>
  <c r="AI502" i="2"/>
  <c r="AE502" i="2"/>
  <c r="AA502" i="2"/>
  <c r="X502" i="2"/>
  <c r="W502" i="2"/>
  <c r="U502" i="2"/>
  <c r="T502" i="2"/>
  <c r="S502" i="2"/>
  <c r="AG502" i="2" s="1"/>
  <c r="P502" i="2"/>
  <c r="O502" i="2"/>
  <c r="K502" i="2"/>
  <c r="AF502" i="2" s="1"/>
  <c r="G502" i="2"/>
  <c r="F502" i="2"/>
  <c r="E502" i="2"/>
  <c r="AP501" i="2"/>
  <c r="AO501" i="2"/>
  <c r="AK501" i="2"/>
  <c r="AL501" i="2" s="1"/>
  <c r="AN501" i="2" s="1"/>
  <c r="AE501" i="2"/>
  <c r="AM501" i="2" s="1"/>
  <c r="AA501" i="2"/>
  <c r="X501" i="2"/>
  <c r="T501" i="2"/>
  <c r="S501" i="2"/>
  <c r="P501" i="2"/>
  <c r="O501" i="2"/>
  <c r="K501" i="2"/>
  <c r="E501" i="2"/>
  <c r="G501" i="2" s="1"/>
  <c r="AP500" i="2"/>
  <c r="AO500" i="2"/>
  <c r="AL500" i="2"/>
  <c r="AN500" i="2" s="1"/>
  <c r="AK500" i="2"/>
  <c r="AI500" i="2"/>
  <c r="AE500" i="2"/>
  <c r="AM500" i="2" s="1"/>
  <c r="AA500" i="2"/>
  <c r="X500" i="2"/>
  <c r="T500" i="2"/>
  <c r="S500" i="2"/>
  <c r="P500" i="2"/>
  <c r="O500" i="2"/>
  <c r="K500" i="2"/>
  <c r="F500" i="2"/>
  <c r="E500" i="2"/>
  <c r="G500" i="2" s="1"/>
  <c r="AP499" i="2"/>
  <c r="AO499" i="2"/>
  <c r="AM499" i="2"/>
  <c r="AN499" i="2" s="1"/>
  <c r="AL499" i="2"/>
  <c r="AK499" i="2"/>
  <c r="AI499" i="2"/>
  <c r="AE499" i="2"/>
  <c r="X499" i="2"/>
  <c r="AA499" i="2" s="1"/>
  <c r="T499" i="2"/>
  <c r="S499" i="2"/>
  <c r="U499" i="2" s="1"/>
  <c r="W499" i="2" s="1"/>
  <c r="O499" i="2"/>
  <c r="P499" i="2" s="1"/>
  <c r="K499" i="2"/>
  <c r="AF499" i="2" s="1"/>
  <c r="G499" i="2"/>
  <c r="F499" i="2"/>
  <c r="E499" i="2"/>
  <c r="AP498" i="2"/>
  <c r="AO498" i="2"/>
  <c r="AM498" i="2"/>
  <c r="AK498" i="2"/>
  <c r="AL498" i="2" s="1"/>
  <c r="AN498" i="2" s="1"/>
  <c r="AI498" i="2"/>
  <c r="AE498" i="2"/>
  <c r="AA498" i="2"/>
  <c r="X498" i="2"/>
  <c r="U498" i="2"/>
  <c r="W498" i="2" s="1"/>
  <c r="T498" i="2"/>
  <c r="S498" i="2"/>
  <c r="AG498" i="2" s="1"/>
  <c r="P498" i="2"/>
  <c r="O498" i="2"/>
  <c r="K498" i="2"/>
  <c r="AF498" i="2" s="1"/>
  <c r="E498" i="2"/>
  <c r="G498" i="2" s="1"/>
  <c r="AP497" i="2"/>
  <c r="AO497" i="2"/>
  <c r="AK497" i="2"/>
  <c r="AL497" i="2" s="1"/>
  <c r="AN497" i="2" s="1"/>
  <c r="AE497" i="2"/>
  <c r="AM497" i="2" s="1"/>
  <c r="AA497" i="2"/>
  <c r="X497" i="2"/>
  <c r="T497" i="2"/>
  <c r="S497" i="2"/>
  <c r="P497" i="2"/>
  <c r="O497" i="2"/>
  <c r="K497" i="2"/>
  <c r="E497" i="2"/>
  <c r="AP496" i="2"/>
  <c r="AO496" i="2"/>
  <c r="AL496" i="2"/>
  <c r="AK496" i="2"/>
  <c r="AG496" i="2"/>
  <c r="AE496" i="2"/>
  <c r="AM496" i="2" s="1"/>
  <c r="AA496" i="2"/>
  <c r="X496" i="2"/>
  <c r="T496" i="2"/>
  <c r="S496" i="2"/>
  <c r="AI496" i="2" s="1"/>
  <c r="O496" i="2"/>
  <c r="P496" i="2" s="1"/>
  <c r="K496" i="2"/>
  <c r="F496" i="2"/>
  <c r="E496" i="2"/>
  <c r="G496" i="2" s="1"/>
  <c r="AP495" i="2"/>
  <c r="AO495" i="2"/>
  <c r="AL495" i="2"/>
  <c r="AK495" i="2"/>
  <c r="AI495" i="2"/>
  <c r="AF495" i="2"/>
  <c r="AE495" i="2"/>
  <c r="AM495" i="2" s="1"/>
  <c r="AN495" i="2" s="1"/>
  <c r="AA495" i="2"/>
  <c r="X495" i="2"/>
  <c r="T495" i="2"/>
  <c r="S495" i="2"/>
  <c r="U495" i="2" s="1"/>
  <c r="W495" i="2" s="1"/>
  <c r="O495" i="2"/>
  <c r="P495" i="2" s="1"/>
  <c r="K495" i="2"/>
  <c r="G495" i="2"/>
  <c r="F495" i="2"/>
  <c r="E495" i="2"/>
  <c r="AP494" i="2"/>
  <c r="AO494" i="2"/>
  <c r="AM494" i="2"/>
  <c r="AL494" i="2"/>
  <c r="AN494" i="2" s="1"/>
  <c r="AK494" i="2"/>
  <c r="AI494" i="2"/>
  <c r="AE494" i="2"/>
  <c r="X494" i="2"/>
  <c r="AA494" i="2" s="1"/>
  <c r="U494" i="2"/>
  <c r="W494" i="2" s="1"/>
  <c r="T494" i="2"/>
  <c r="S494" i="2"/>
  <c r="AG494" i="2" s="1"/>
  <c r="P494" i="2"/>
  <c r="O494" i="2"/>
  <c r="K494" i="2"/>
  <c r="E494" i="2"/>
  <c r="AP493" i="2"/>
  <c r="AO493" i="2"/>
  <c r="AL493" i="2"/>
  <c r="AN493" i="2" s="1"/>
  <c r="AK493" i="2"/>
  <c r="AG493" i="2"/>
  <c r="AE493" i="2"/>
  <c r="AM493" i="2" s="1"/>
  <c r="AA493" i="2"/>
  <c r="X493" i="2"/>
  <c r="W493" i="2"/>
  <c r="U493" i="2"/>
  <c r="T493" i="2"/>
  <c r="S493" i="2"/>
  <c r="AI493" i="2" s="1"/>
  <c r="P493" i="2"/>
  <c r="O493" i="2"/>
  <c r="K493" i="2"/>
  <c r="AF493" i="2" s="1"/>
  <c r="F493" i="2"/>
  <c r="E493" i="2"/>
  <c r="G493" i="2" s="1"/>
  <c r="AP492" i="2"/>
  <c r="AO492" i="2"/>
  <c r="AL492" i="2"/>
  <c r="AK492" i="2"/>
  <c r="AG492" i="2"/>
  <c r="AF492" i="2"/>
  <c r="AE492" i="2"/>
  <c r="AM492" i="2" s="1"/>
  <c r="AA492" i="2"/>
  <c r="X492" i="2"/>
  <c r="T492" i="2"/>
  <c r="S492" i="2"/>
  <c r="U492" i="2" s="1"/>
  <c r="W492" i="2" s="1"/>
  <c r="O492" i="2"/>
  <c r="P492" i="2" s="1"/>
  <c r="K492" i="2"/>
  <c r="G492" i="2"/>
  <c r="F492" i="2"/>
  <c r="E492" i="2"/>
  <c r="AP491" i="2"/>
  <c r="AO491" i="2"/>
  <c r="AM491" i="2"/>
  <c r="AN491" i="2" s="1"/>
  <c r="AL491" i="2"/>
  <c r="AK491" i="2"/>
  <c r="AI491" i="2"/>
  <c r="AE491" i="2"/>
  <c r="AA491" i="2"/>
  <c r="X491" i="2"/>
  <c r="T491" i="2"/>
  <c r="S491" i="2"/>
  <c r="U491" i="2" s="1"/>
  <c r="W491" i="2" s="1"/>
  <c r="P491" i="2"/>
  <c r="O491" i="2"/>
  <c r="K491" i="2"/>
  <c r="AF491" i="2" s="1"/>
  <c r="G491" i="2"/>
  <c r="F491" i="2"/>
  <c r="E491" i="2"/>
  <c r="AP490" i="2"/>
  <c r="AO490" i="2"/>
  <c r="AN490" i="2"/>
  <c r="AM490" i="2"/>
  <c r="AL490" i="2"/>
  <c r="AK490" i="2"/>
  <c r="AI490" i="2"/>
  <c r="AE490" i="2"/>
  <c r="AA490" i="2"/>
  <c r="X490" i="2"/>
  <c r="W490" i="2"/>
  <c r="U490" i="2"/>
  <c r="T490" i="2"/>
  <c r="S490" i="2"/>
  <c r="AG490" i="2" s="1"/>
  <c r="P490" i="2"/>
  <c r="O490" i="2"/>
  <c r="K490" i="2"/>
  <c r="AF490" i="2" s="1"/>
  <c r="F490" i="2"/>
  <c r="E490" i="2"/>
  <c r="G490" i="2" s="1"/>
  <c r="AP489" i="2"/>
  <c r="AO489" i="2"/>
  <c r="AL489" i="2"/>
  <c r="AK489" i="2"/>
  <c r="AE489" i="2"/>
  <c r="AM489" i="2" s="1"/>
  <c r="AA489" i="2"/>
  <c r="X489" i="2"/>
  <c r="T489" i="2"/>
  <c r="S489" i="2"/>
  <c r="P489" i="2"/>
  <c r="O489" i="2"/>
  <c r="K489" i="2"/>
  <c r="F489" i="2"/>
  <c r="E489" i="2"/>
  <c r="G489" i="2" s="1"/>
  <c r="AP488" i="2"/>
  <c r="AO488" i="2"/>
  <c r="AL488" i="2"/>
  <c r="AN488" i="2" s="1"/>
  <c r="AK488" i="2"/>
  <c r="AE488" i="2"/>
  <c r="AM488" i="2" s="1"/>
  <c r="AA488" i="2"/>
  <c r="X488" i="2"/>
  <c r="T488" i="2"/>
  <c r="S488" i="2"/>
  <c r="P488" i="2"/>
  <c r="O488" i="2"/>
  <c r="K488" i="2"/>
  <c r="G488" i="2"/>
  <c r="F488" i="2"/>
  <c r="E488" i="2"/>
  <c r="AP487" i="2"/>
  <c r="AO487" i="2"/>
  <c r="AN487" i="2"/>
  <c r="AL487" i="2"/>
  <c r="AK487" i="2"/>
  <c r="AI487" i="2"/>
  <c r="AE487" i="2"/>
  <c r="AM487" i="2" s="1"/>
  <c r="X487" i="2"/>
  <c r="AA487" i="2" s="1"/>
  <c r="T487" i="2"/>
  <c r="U487" i="2" s="1"/>
  <c r="W487" i="2" s="1"/>
  <c r="S487" i="2"/>
  <c r="AG487" i="2" s="1"/>
  <c r="O487" i="2"/>
  <c r="P487" i="2" s="1"/>
  <c r="K487" i="2"/>
  <c r="G487" i="2"/>
  <c r="F487" i="2"/>
  <c r="E487" i="2"/>
  <c r="AP486" i="2"/>
  <c r="AO486" i="2"/>
  <c r="AM486" i="2"/>
  <c r="AK486" i="2"/>
  <c r="AL486" i="2" s="1"/>
  <c r="AN486" i="2" s="1"/>
  <c r="AI486" i="2"/>
  <c r="AE486" i="2"/>
  <c r="AA486" i="2"/>
  <c r="X486" i="2"/>
  <c r="U486" i="2"/>
  <c r="W486" i="2" s="1"/>
  <c r="T486" i="2"/>
  <c r="S486" i="2"/>
  <c r="AG486" i="2" s="1"/>
  <c r="P486" i="2"/>
  <c r="O486" i="2"/>
  <c r="K486" i="2"/>
  <c r="AF486" i="2" s="1"/>
  <c r="E486" i="2"/>
  <c r="G486" i="2" s="1"/>
  <c r="AP485" i="2"/>
  <c r="AO485" i="2"/>
  <c r="AL485" i="2"/>
  <c r="AN485" i="2" s="1"/>
  <c r="AK485" i="2"/>
  <c r="AE485" i="2"/>
  <c r="AM485" i="2" s="1"/>
  <c r="AA485" i="2"/>
  <c r="X485" i="2"/>
  <c r="T485" i="2"/>
  <c r="U485" i="2" s="1"/>
  <c r="W485" i="2" s="1"/>
  <c r="S485" i="2"/>
  <c r="AG485" i="2" s="1"/>
  <c r="P485" i="2"/>
  <c r="O485" i="2"/>
  <c r="K485" i="2"/>
  <c r="E485" i="2"/>
  <c r="AP484" i="2"/>
  <c r="AO484" i="2"/>
  <c r="AL484" i="2"/>
  <c r="AN484" i="2" s="1"/>
  <c r="AK484" i="2"/>
  <c r="AG484" i="2"/>
  <c r="AE484" i="2"/>
  <c r="AM484" i="2" s="1"/>
  <c r="AA484" i="2"/>
  <c r="X484" i="2"/>
  <c r="T484" i="2"/>
  <c r="S484" i="2"/>
  <c r="AI484" i="2" s="1"/>
  <c r="O484" i="2"/>
  <c r="P484" i="2" s="1"/>
  <c r="K484" i="2"/>
  <c r="F484" i="2"/>
  <c r="E484" i="2"/>
  <c r="G484" i="2" s="1"/>
  <c r="AP483" i="2"/>
  <c r="AO483" i="2"/>
  <c r="AL483" i="2"/>
  <c r="AK483" i="2"/>
  <c r="AI483" i="2"/>
  <c r="AE483" i="2"/>
  <c r="AM483" i="2" s="1"/>
  <c r="AN483" i="2" s="1"/>
  <c r="AA483" i="2"/>
  <c r="X483" i="2"/>
  <c r="T483" i="2"/>
  <c r="S483" i="2"/>
  <c r="U483" i="2" s="1"/>
  <c r="W483" i="2" s="1"/>
  <c r="O483" i="2"/>
  <c r="P483" i="2" s="1"/>
  <c r="K483" i="2"/>
  <c r="AF483" i="2" s="1"/>
  <c r="G483" i="2"/>
  <c r="F483" i="2"/>
  <c r="E483" i="2"/>
  <c r="AP482" i="2"/>
  <c r="AO482" i="2"/>
  <c r="AM482" i="2"/>
  <c r="AL482" i="2"/>
  <c r="AK482" i="2"/>
  <c r="AI482" i="2"/>
  <c r="AE482" i="2"/>
  <c r="X482" i="2"/>
  <c r="AA482" i="2" s="1"/>
  <c r="U482" i="2"/>
  <c r="W482" i="2" s="1"/>
  <c r="T482" i="2"/>
  <c r="S482" i="2"/>
  <c r="AG482" i="2" s="1"/>
  <c r="P482" i="2"/>
  <c r="O482" i="2"/>
  <c r="K482" i="2"/>
  <c r="E482" i="2"/>
  <c r="AP481" i="2"/>
  <c r="AO481" i="2"/>
  <c r="AL481" i="2"/>
  <c r="AN481" i="2" s="1"/>
  <c r="AK481" i="2"/>
  <c r="AG481" i="2"/>
  <c r="AE481" i="2"/>
  <c r="AM481" i="2" s="1"/>
  <c r="AA481" i="2"/>
  <c r="X481" i="2"/>
  <c r="W481" i="2"/>
  <c r="U481" i="2"/>
  <c r="T481" i="2"/>
  <c r="S481" i="2"/>
  <c r="AI481" i="2" s="1"/>
  <c r="P481" i="2"/>
  <c r="O481" i="2"/>
  <c r="K481" i="2"/>
  <c r="AF481" i="2" s="1"/>
  <c r="E481" i="2"/>
  <c r="G481" i="2" s="1"/>
  <c r="AP480" i="2"/>
  <c r="AO480" i="2"/>
  <c r="AL480" i="2"/>
  <c r="AK480" i="2"/>
  <c r="AG480" i="2"/>
  <c r="AF480" i="2"/>
  <c r="AE480" i="2"/>
  <c r="AM480" i="2" s="1"/>
  <c r="AA480" i="2"/>
  <c r="X480" i="2"/>
  <c r="T480" i="2"/>
  <c r="S480" i="2"/>
  <c r="U480" i="2" s="1"/>
  <c r="W480" i="2" s="1"/>
  <c r="O480" i="2"/>
  <c r="P480" i="2" s="1"/>
  <c r="K480" i="2"/>
  <c r="F480" i="2"/>
  <c r="E480" i="2"/>
  <c r="G480" i="2" s="1"/>
  <c r="AP479" i="2"/>
  <c r="AO479" i="2"/>
  <c r="AL479" i="2"/>
  <c r="AK479" i="2"/>
  <c r="AI479" i="2"/>
  <c r="AE479" i="2"/>
  <c r="AM479" i="2" s="1"/>
  <c r="AN479" i="2" s="1"/>
  <c r="X479" i="2"/>
  <c r="AA479" i="2" s="1"/>
  <c r="T479" i="2"/>
  <c r="S479" i="2"/>
  <c r="U479" i="2" s="1"/>
  <c r="W479" i="2" s="1"/>
  <c r="O479" i="2"/>
  <c r="P479" i="2" s="1"/>
  <c r="K479" i="2"/>
  <c r="AF479" i="2" s="1"/>
  <c r="G479" i="2"/>
  <c r="F479" i="2"/>
  <c r="E479" i="2"/>
  <c r="AP478" i="2"/>
  <c r="AO478" i="2"/>
  <c r="AM478" i="2"/>
  <c r="AN478" i="2" s="1"/>
  <c r="AL478" i="2"/>
  <c r="AK478" i="2"/>
  <c r="AI478" i="2"/>
  <c r="AE478" i="2"/>
  <c r="X478" i="2"/>
  <c r="AA478" i="2" s="1"/>
  <c r="U478" i="2"/>
  <c r="W478" i="2" s="1"/>
  <c r="T478" i="2"/>
  <c r="S478" i="2"/>
  <c r="AG478" i="2" s="1"/>
  <c r="P478" i="2"/>
  <c r="O478" i="2"/>
  <c r="K478" i="2"/>
  <c r="E478" i="2"/>
  <c r="AP477" i="2"/>
  <c r="AO477" i="2"/>
  <c r="AK477" i="2"/>
  <c r="AL477" i="2" s="1"/>
  <c r="AN477" i="2" s="1"/>
  <c r="AG477" i="2"/>
  <c r="AE477" i="2"/>
  <c r="AM477" i="2" s="1"/>
  <c r="AA477" i="2"/>
  <c r="X477" i="2"/>
  <c r="T477" i="2"/>
  <c r="U477" i="2" s="1"/>
  <c r="W477" i="2" s="1"/>
  <c r="S477" i="2"/>
  <c r="AI477" i="2" s="1"/>
  <c r="P477" i="2"/>
  <c r="O477" i="2"/>
  <c r="K477" i="2"/>
  <c r="AF477" i="2" s="1"/>
  <c r="F477" i="2"/>
  <c r="E477" i="2"/>
  <c r="G477" i="2" s="1"/>
  <c r="AP476" i="2"/>
  <c r="AO476" i="2"/>
  <c r="AL476" i="2"/>
  <c r="AK476" i="2"/>
  <c r="AI476" i="2"/>
  <c r="AE476" i="2"/>
  <c r="AM476" i="2" s="1"/>
  <c r="AA476" i="2"/>
  <c r="X476" i="2"/>
  <c r="T476" i="2"/>
  <c r="S476" i="2"/>
  <c r="P476" i="2"/>
  <c r="O476" i="2"/>
  <c r="K476" i="2"/>
  <c r="G476" i="2"/>
  <c r="F476" i="2"/>
  <c r="E476" i="2"/>
  <c r="AP475" i="2"/>
  <c r="AO475" i="2"/>
  <c r="AN475" i="2"/>
  <c r="AM475" i="2"/>
  <c r="AL475" i="2"/>
  <c r="AK475" i="2"/>
  <c r="AI475" i="2"/>
  <c r="AE475" i="2"/>
  <c r="X475" i="2"/>
  <c r="AA475" i="2" s="1"/>
  <c r="T475" i="2"/>
  <c r="U475" i="2" s="1"/>
  <c r="W475" i="2" s="1"/>
  <c r="S475" i="2"/>
  <c r="AG475" i="2" s="1"/>
  <c r="P475" i="2"/>
  <c r="O475" i="2"/>
  <c r="K475" i="2"/>
  <c r="G475" i="2"/>
  <c r="F475" i="2"/>
  <c r="E475" i="2"/>
  <c r="AP474" i="2"/>
  <c r="AO474" i="2"/>
  <c r="AM474" i="2"/>
  <c r="AL474" i="2"/>
  <c r="AN474" i="2" s="1"/>
  <c r="AK474" i="2"/>
  <c r="AI474" i="2"/>
  <c r="AE474" i="2"/>
  <c r="X474" i="2"/>
  <c r="AA474" i="2" s="1"/>
  <c r="W474" i="2"/>
  <c r="U474" i="2"/>
  <c r="T474" i="2"/>
  <c r="S474" i="2"/>
  <c r="AG474" i="2" s="1"/>
  <c r="P474" i="2"/>
  <c r="O474" i="2"/>
  <c r="K474" i="2"/>
  <c r="G474" i="2"/>
  <c r="F474" i="2"/>
  <c r="E474" i="2"/>
  <c r="AP473" i="2"/>
  <c r="AO473" i="2"/>
  <c r="AL473" i="2"/>
  <c r="AN473" i="2" s="1"/>
  <c r="AK473" i="2"/>
  <c r="AG473" i="2"/>
  <c r="AE473" i="2"/>
  <c r="AM473" i="2" s="1"/>
  <c r="AA473" i="2"/>
  <c r="X473" i="2"/>
  <c r="T473" i="2"/>
  <c r="S473" i="2"/>
  <c r="AI473" i="2" s="1"/>
  <c r="P473" i="2"/>
  <c r="O473" i="2"/>
  <c r="K473" i="2"/>
  <c r="F473" i="2"/>
  <c r="E473" i="2"/>
  <c r="G473" i="2" s="1"/>
  <c r="AP472" i="2"/>
  <c r="AO472" i="2"/>
  <c r="AL472" i="2"/>
  <c r="AN472" i="2" s="1"/>
  <c r="AK472" i="2"/>
  <c r="AE472" i="2"/>
  <c r="AM472" i="2" s="1"/>
  <c r="AA472" i="2"/>
  <c r="X472" i="2"/>
  <c r="T472" i="2"/>
  <c r="S472" i="2"/>
  <c r="P472" i="2"/>
  <c r="O472" i="2"/>
  <c r="K472" i="2"/>
  <c r="G472" i="2"/>
  <c r="F472" i="2"/>
  <c r="E472" i="2"/>
  <c r="AP471" i="2"/>
  <c r="AO471" i="2"/>
  <c r="AL471" i="2"/>
  <c r="AK471" i="2"/>
  <c r="AI471" i="2"/>
  <c r="AF471" i="2"/>
  <c r="AE471" i="2"/>
  <c r="AM471" i="2" s="1"/>
  <c r="AN471" i="2" s="1"/>
  <c r="AA471" i="2"/>
  <c r="X471" i="2"/>
  <c r="T471" i="2"/>
  <c r="U471" i="2" s="1"/>
  <c r="W471" i="2" s="1"/>
  <c r="S471" i="2"/>
  <c r="AG471" i="2" s="1"/>
  <c r="O471" i="2"/>
  <c r="P471" i="2" s="1"/>
  <c r="K471" i="2"/>
  <c r="G471" i="2"/>
  <c r="F471" i="2"/>
  <c r="E471" i="2"/>
  <c r="AP470" i="2"/>
  <c r="AO470" i="2"/>
  <c r="AM470" i="2"/>
  <c r="AL470" i="2"/>
  <c r="AK470" i="2"/>
  <c r="AI470" i="2"/>
  <c r="AE470" i="2"/>
  <c r="X470" i="2"/>
  <c r="AA470" i="2" s="1"/>
  <c r="U470" i="2"/>
  <c r="W470" i="2" s="1"/>
  <c r="T470" i="2"/>
  <c r="S470" i="2"/>
  <c r="AG470" i="2" s="1"/>
  <c r="P470" i="2"/>
  <c r="O470" i="2"/>
  <c r="K470" i="2"/>
  <c r="E470" i="2"/>
  <c r="AP469" i="2"/>
  <c r="AO469" i="2"/>
  <c r="AL469" i="2"/>
  <c r="AN469" i="2" s="1"/>
  <c r="AK469" i="2"/>
  <c r="AG469" i="2"/>
  <c r="AE469" i="2"/>
  <c r="AM469" i="2" s="1"/>
  <c r="AA469" i="2"/>
  <c r="X469" i="2"/>
  <c r="U469" i="2"/>
  <c r="W469" i="2" s="1"/>
  <c r="T469" i="2"/>
  <c r="S469" i="2"/>
  <c r="AI469" i="2" s="1"/>
  <c r="P469" i="2"/>
  <c r="O469" i="2"/>
  <c r="K469" i="2"/>
  <c r="AF469" i="2" s="1"/>
  <c r="F469" i="2"/>
  <c r="E469" i="2"/>
  <c r="G469" i="2" s="1"/>
  <c r="AP468" i="2"/>
  <c r="AO468" i="2"/>
  <c r="AL468" i="2"/>
  <c r="AK468" i="2"/>
  <c r="AG468" i="2"/>
  <c r="AF468" i="2"/>
  <c r="AE468" i="2"/>
  <c r="AM468" i="2" s="1"/>
  <c r="AA468" i="2"/>
  <c r="X468" i="2"/>
  <c r="T468" i="2"/>
  <c r="S468" i="2"/>
  <c r="U468" i="2" s="1"/>
  <c r="W468" i="2" s="1"/>
  <c r="O468" i="2"/>
  <c r="P468" i="2" s="1"/>
  <c r="K468" i="2"/>
  <c r="G468" i="2"/>
  <c r="F468" i="2"/>
  <c r="E468" i="2"/>
  <c r="AP467" i="2"/>
  <c r="AO467" i="2"/>
  <c r="AM467" i="2"/>
  <c r="AN467" i="2" s="1"/>
  <c r="AL467" i="2"/>
  <c r="AK467" i="2"/>
  <c r="AI467" i="2"/>
  <c r="AE467" i="2"/>
  <c r="AA467" i="2"/>
  <c r="X467" i="2"/>
  <c r="T467" i="2"/>
  <c r="S467" i="2"/>
  <c r="U467" i="2" s="1"/>
  <c r="W467" i="2" s="1"/>
  <c r="P467" i="2"/>
  <c r="O467" i="2"/>
  <c r="K467" i="2"/>
  <c r="AF467" i="2" s="1"/>
  <c r="G467" i="2"/>
  <c r="F467" i="2"/>
  <c r="E467" i="2"/>
  <c r="AP466" i="2"/>
  <c r="AO466" i="2"/>
  <c r="AN466" i="2"/>
  <c r="AM466" i="2"/>
  <c r="AL466" i="2"/>
  <c r="AK466" i="2"/>
  <c r="AI466" i="2"/>
  <c r="AE466" i="2"/>
  <c r="X466" i="2"/>
  <c r="AA466" i="2" s="1"/>
  <c r="W466" i="2"/>
  <c r="U466" i="2"/>
  <c r="T466" i="2"/>
  <c r="S466" i="2"/>
  <c r="AG466" i="2" s="1"/>
  <c r="P466" i="2"/>
  <c r="O466" i="2"/>
  <c r="K466" i="2"/>
  <c r="G466" i="2"/>
  <c r="F466" i="2"/>
  <c r="E466" i="2"/>
  <c r="AP465" i="2"/>
  <c r="AO465" i="2"/>
  <c r="AL465" i="2"/>
  <c r="AK465" i="2"/>
  <c r="AI465" i="2"/>
  <c r="AG465" i="2"/>
  <c r="AE465" i="2"/>
  <c r="AM465" i="2" s="1"/>
  <c r="AA465" i="2"/>
  <c r="X465" i="2"/>
  <c r="T465" i="2"/>
  <c r="S465" i="2"/>
  <c r="U465" i="2" s="1"/>
  <c r="W465" i="2" s="1"/>
  <c r="P465" i="2"/>
  <c r="O465" i="2"/>
  <c r="K465" i="2"/>
  <c r="AF465" i="2" s="1"/>
  <c r="F465" i="2"/>
  <c r="E465" i="2"/>
  <c r="G465" i="2" s="1"/>
  <c r="AP464" i="2"/>
  <c r="AO464" i="2"/>
  <c r="AL464" i="2"/>
  <c r="AN464" i="2" s="1"/>
  <c r="AK464" i="2"/>
  <c r="AI464" i="2"/>
  <c r="AG464" i="2"/>
  <c r="AE464" i="2"/>
  <c r="AM464" i="2" s="1"/>
  <c r="AA464" i="2"/>
  <c r="X464" i="2"/>
  <c r="T464" i="2"/>
  <c r="S464" i="2"/>
  <c r="P464" i="2"/>
  <c r="O464" i="2"/>
  <c r="K464" i="2"/>
  <c r="F464" i="2"/>
  <c r="E464" i="2"/>
  <c r="G464" i="2" s="1"/>
  <c r="AP463" i="2"/>
  <c r="AO463" i="2"/>
  <c r="AM463" i="2"/>
  <c r="AN463" i="2" s="1"/>
  <c r="AL463" i="2"/>
  <c r="AK463" i="2"/>
  <c r="AI463" i="2"/>
  <c r="AE463" i="2"/>
  <c r="AA463" i="2"/>
  <c r="X463" i="2"/>
  <c r="T463" i="2"/>
  <c r="S463" i="2"/>
  <c r="U463" i="2" s="1"/>
  <c r="W463" i="2" s="1"/>
  <c r="P463" i="2"/>
  <c r="O463" i="2"/>
  <c r="K463" i="2"/>
  <c r="AF463" i="2" s="1"/>
  <c r="G463" i="2"/>
  <c r="F463" i="2"/>
  <c r="E463" i="2"/>
  <c r="AP462" i="2"/>
  <c r="AO462" i="2"/>
  <c r="AM462" i="2"/>
  <c r="AL462" i="2"/>
  <c r="AN462" i="2" s="1"/>
  <c r="AK462" i="2"/>
  <c r="AI462" i="2"/>
  <c r="AE462" i="2"/>
  <c r="AA462" i="2"/>
  <c r="X462" i="2"/>
  <c r="W462" i="2"/>
  <c r="U462" i="2"/>
  <c r="T462" i="2"/>
  <c r="S462" i="2"/>
  <c r="AG462" i="2" s="1"/>
  <c r="P462" i="2"/>
  <c r="O462" i="2"/>
  <c r="K462" i="2"/>
  <c r="AF462" i="2" s="1"/>
  <c r="G462" i="2"/>
  <c r="F462" i="2"/>
  <c r="E462" i="2"/>
  <c r="AP461" i="2"/>
  <c r="AO461" i="2"/>
  <c r="AL461" i="2"/>
  <c r="AN461" i="2" s="1"/>
  <c r="AK461" i="2"/>
  <c r="AE461" i="2"/>
  <c r="AM461" i="2" s="1"/>
  <c r="AA461" i="2"/>
  <c r="X461" i="2"/>
  <c r="T461" i="2"/>
  <c r="S461" i="2"/>
  <c r="P461" i="2"/>
  <c r="O461" i="2"/>
  <c r="K461" i="2"/>
  <c r="F461" i="2"/>
  <c r="E461" i="2"/>
  <c r="G461" i="2" s="1"/>
  <c r="AP460" i="2"/>
  <c r="AO460" i="2"/>
  <c r="AL460" i="2"/>
  <c r="AN460" i="2" s="1"/>
  <c r="AK460" i="2"/>
  <c r="AE460" i="2"/>
  <c r="AM460" i="2" s="1"/>
  <c r="AA460" i="2"/>
  <c r="X460" i="2"/>
  <c r="T460" i="2"/>
  <c r="S460" i="2"/>
  <c r="P460" i="2"/>
  <c r="O460" i="2"/>
  <c r="K460" i="2"/>
  <c r="G460" i="2"/>
  <c r="F460" i="2"/>
  <c r="E460" i="2"/>
  <c r="AP459" i="2"/>
  <c r="AO459" i="2"/>
  <c r="AL459" i="2"/>
  <c r="AK459" i="2"/>
  <c r="AI459" i="2"/>
  <c r="AE459" i="2"/>
  <c r="AM459" i="2" s="1"/>
  <c r="AN459" i="2" s="1"/>
  <c r="AA459" i="2"/>
  <c r="X459" i="2"/>
  <c r="T459" i="2"/>
  <c r="U459" i="2" s="1"/>
  <c r="W459" i="2" s="1"/>
  <c r="S459" i="2"/>
  <c r="AG459" i="2" s="1"/>
  <c r="O459" i="2"/>
  <c r="P459" i="2" s="1"/>
  <c r="K459" i="2"/>
  <c r="AF459" i="2" s="1"/>
  <c r="G459" i="2"/>
  <c r="F459" i="2"/>
  <c r="E459" i="2"/>
  <c r="AP458" i="2"/>
  <c r="AO458" i="2"/>
  <c r="AM458" i="2"/>
  <c r="AL458" i="2"/>
  <c r="AN458" i="2" s="1"/>
  <c r="AK458" i="2"/>
  <c r="AI458" i="2"/>
  <c r="AE458" i="2"/>
  <c r="X458" i="2"/>
  <c r="AA458" i="2" s="1"/>
  <c r="U458" i="2"/>
  <c r="W458" i="2" s="1"/>
  <c r="T458" i="2"/>
  <c r="S458" i="2"/>
  <c r="AG458" i="2" s="1"/>
  <c r="P458" i="2"/>
  <c r="O458" i="2"/>
  <c r="K458" i="2"/>
  <c r="E458" i="2"/>
  <c r="AP457" i="2"/>
  <c r="AO457" i="2"/>
  <c r="AL457" i="2"/>
  <c r="AN457" i="2" s="1"/>
  <c r="AK457" i="2"/>
  <c r="AG457" i="2"/>
  <c r="AE457" i="2"/>
  <c r="AM457" i="2" s="1"/>
  <c r="AA457" i="2"/>
  <c r="X457" i="2"/>
  <c r="U457" i="2"/>
  <c r="W457" i="2" s="1"/>
  <c r="T457" i="2"/>
  <c r="S457" i="2"/>
  <c r="AI457" i="2" s="1"/>
  <c r="P457" i="2"/>
  <c r="O457" i="2"/>
  <c r="K457" i="2"/>
  <c r="AF457" i="2" s="1"/>
  <c r="F457" i="2"/>
  <c r="E457" i="2"/>
  <c r="G457" i="2" s="1"/>
  <c r="AP456" i="2"/>
  <c r="AO456" i="2"/>
  <c r="AL456" i="2"/>
  <c r="AN456" i="2" s="1"/>
  <c r="AK456" i="2"/>
  <c r="AE456" i="2"/>
  <c r="AM456" i="2" s="1"/>
  <c r="AA456" i="2"/>
  <c r="X456" i="2"/>
  <c r="T456" i="2"/>
  <c r="S456" i="2"/>
  <c r="P456" i="2"/>
  <c r="O456" i="2"/>
  <c r="K456" i="2"/>
  <c r="AF456" i="2" s="1"/>
  <c r="G456" i="2"/>
  <c r="F456" i="2"/>
  <c r="E456" i="2"/>
  <c r="AP455" i="2"/>
  <c r="AO455" i="2"/>
  <c r="AN455" i="2"/>
  <c r="AM455" i="2"/>
  <c r="AL455" i="2"/>
  <c r="AK455" i="2"/>
  <c r="AI455" i="2"/>
  <c r="AE455" i="2"/>
  <c r="AA455" i="2"/>
  <c r="X455" i="2"/>
  <c r="AF455" i="2" s="1"/>
  <c r="W455" i="2"/>
  <c r="T455" i="2"/>
  <c r="U455" i="2" s="1"/>
  <c r="S455" i="2"/>
  <c r="AG455" i="2" s="1"/>
  <c r="O455" i="2"/>
  <c r="P455" i="2" s="1"/>
  <c r="K455" i="2"/>
  <c r="G455" i="2"/>
  <c r="F455" i="2"/>
  <c r="E455" i="2"/>
  <c r="AP454" i="2"/>
  <c r="AO454" i="2"/>
  <c r="AM454" i="2"/>
  <c r="AK454" i="2"/>
  <c r="AL454" i="2" s="1"/>
  <c r="AN454" i="2" s="1"/>
  <c r="AI454" i="2"/>
  <c r="AF454" i="2"/>
  <c r="AE454" i="2"/>
  <c r="AA454" i="2"/>
  <c r="X454" i="2"/>
  <c r="T454" i="2"/>
  <c r="U454" i="2" s="1"/>
  <c r="W454" i="2" s="1"/>
  <c r="S454" i="2"/>
  <c r="AG454" i="2" s="1"/>
  <c r="P454" i="2"/>
  <c r="O454" i="2"/>
  <c r="K454" i="2"/>
  <c r="G454" i="2"/>
  <c r="F454" i="2"/>
  <c r="E454" i="2"/>
  <c r="AP453" i="2"/>
  <c r="AO453" i="2"/>
  <c r="AL453" i="2"/>
  <c r="AK453" i="2"/>
  <c r="AE453" i="2"/>
  <c r="AM453" i="2" s="1"/>
  <c r="AA453" i="2"/>
  <c r="X453" i="2"/>
  <c r="W453" i="2"/>
  <c r="U453" i="2"/>
  <c r="T453" i="2"/>
  <c r="S453" i="2"/>
  <c r="AI453" i="2" s="1"/>
  <c r="P453" i="2"/>
  <c r="O453" i="2"/>
  <c r="K453" i="2"/>
  <c r="AF453" i="2" s="1"/>
  <c r="F453" i="2"/>
  <c r="E453" i="2"/>
  <c r="G453" i="2" s="1"/>
  <c r="AP452" i="2"/>
  <c r="AO452" i="2"/>
  <c r="AL452" i="2"/>
  <c r="AK452" i="2"/>
  <c r="AI452" i="2"/>
  <c r="AE452" i="2"/>
  <c r="AM452" i="2" s="1"/>
  <c r="AN452" i="2" s="1"/>
  <c r="AA452" i="2"/>
  <c r="X452" i="2"/>
  <c r="T452" i="2"/>
  <c r="S452" i="2"/>
  <c r="O452" i="2"/>
  <c r="P452" i="2" s="1"/>
  <c r="K452" i="2"/>
  <c r="F452" i="2"/>
  <c r="E452" i="2"/>
  <c r="G452" i="2" s="1"/>
  <c r="AP451" i="2"/>
  <c r="AO451" i="2"/>
  <c r="AM451" i="2"/>
  <c r="AL451" i="2"/>
  <c r="AK451" i="2"/>
  <c r="AI451" i="2"/>
  <c r="AE451" i="2"/>
  <c r="X451" i="2"/>
  <c r="T451" i="2"/>
  <c r="S451" i="2"/>
  <c r="O451" i="2"/>
  <c r="P451" i="2" s="1"/>
  <c r="K451" i="2"/>
  <c r="G451" i="2"/>
  <c r="F451" i="2"/>
  <c r="E451" i="2"/>
  <c r="AP450" i="2"/>
  <c r="AO450" i="2"/>
  <c r="AM450" i="2"/>
  <c r="AK450" i="2"/>
  <c r="AL450" i="2" s="1"/>
  <c r="AN450" i="2" s="1"/>
  <c r="AI450" i="2"/>
  <c r="AF450" i="2"/>
  <c r="AE450" i="2"/>
  <c r="AA450" i="2"/>
  <c r="X450" i="2"/>
  <c r="T450" i="2"/>
  <c r="U450" i="2" s="1"/>
  <c r="W450" i="2" s="1"/>
  <c r="S450" i="2"/>
  <c r="AG450" i="2" s="1"/>
  <c r="P450" i="2"/>
  <c r="O450" i="2"/>
  <c r="K450" i="2"/>
  <c r="G450" i="2"/>
  <c r="F450" i="2"/>
  <c r="E450" i="2"/>
  <c r="AP449" i="2"/>
  <c r="AO449" i="2"/>
  <c r="AN449" i="2"/>
  <c r="AL449" i="2"/>
  <c r="AK449" i="2"/>
  <c r="AE449" i="2"/>
  <c r="AM449" i="2" s="1"/>
  <c r="AA449" i="2"/>
  <c r="X449" i="2"/>
  <c r="W449" i="2"/>
  <c r="U449" i="2"/>
  <c r="T449" i="2"/>
  <c r="S449" i="2"/>
  <c r="AI449" i="2" s="1"/>
  <c r="P449" i="2"/>
  <c r="O449" i="2"/>
  <c r="K449" i="2"/>
  <c r="AF449" i="2" s="1"/>
  <c r="E449" i="2"/>
  <c r="G449" i="2" s="1"/>
  <c r="AP448" i="2"/>
  <c r="AO448" i="2"/>
  <c r="AL448" i="2"/>
  <c r="AK448" i="2"/>
  <c r="AG448" i="2"/>
  <c r="AF448" i="2"/>
  <c r="AE448" i="2"/>
  <c r="AM448" i="2" s="1"/>
  <c r="AN448" i="2" s="1"/>
  <c r="AA448" i="2"/>
  <c r="X448" i="2"/>
  <c r="T448" i="2"/>
  <c r="S448" i="2"/>
  <c r="U448" i="2" s="1"/>
  <c r="W448" i="2" s="1"/>
  <c r="O448" i="2"/>
  <c r="P448" i="2" s="1"/>
  <c r="K448" i="2"/>
  <c r="F448" i="2"/>
  <c r="E448" i="2"/>
  <c r="G448" i="2" s="1"/>
  <c r="AP447" i="2"/>
  <c r="AO447" i="2"/>
  <c r="AM447" i="2"/>
  <c r="AL447" i="2"/>
  <c r="AN447" i="2" s="1"/>
  <c r="AK447" i="2"/>
  <c r="AI447" i="2"/>
  <c r="AE447" i="2"/>
  <c r="AA447" i="2"/>
  <c r="X447" i="2"/>
  <c r="AF447" i="2" s="1"/>
  <c r="T447" i="2"/>
  <c r="S447" i="2"/>
  <c r="O447" i="2"/>
  <c r="P447" i="2" s="1"/>
  <c r="K447" i="2"/>
  <c r="G447" i="2"/>
  <c r="F447" i="2"/>
  <c r="E447" i="2"/>
  <c r="AP446" i="2"/>
  <c r="AO446" i="2"/>
  <c r="AM446" i="2"/>
  <c r="AK446" i="2"/>
  <c r="AL446" i="2" s="1"/>
  <c r="AN446" i="2" s="1"/>
  <c r="AI446" i="2"/>
  <c r="AF446" i="2"/>
  <c r="AE446" i="2"/>
  <c r="AA446" i="2"/>
  <c r="X446" i="2"/>
  <c r="T446" i="2"/>
  <c r="U446" i="2" s="1"/>
  <c r="W446" i="2" s="1"/>
  <c r="S446" i="2"/>
  <c r="AG446" i="2" s="1"/>
  <c r="P446" i="2"/>
  <c r="O446" i="2"/>
  <c r="K446" i="2"/>
  <c r="G446" i="2"/>
  <c r="F446" i="2"/>
  <c r="E446" i="2"/>
  <c r="AP445" i="2"/>
  <c r="AO445" i="2"/>
  <c r="AN445" i="2"/>
  <c r="AL445" i="2"/>
  <c r="AK445" i="2"/>
  <c r="AE445" i="2"/>
  <c r="AM445" i="2" s="1"/>
  <c r="AA445" i="2"/>
  <c r="X445" i="2"/>
  <c r="W445" i="2"/>
  <c r="U445" i="2"/>
  <c r="T445" i="2"/>
  <c r="S445" i="2"/>
  <c r="AI445" i="2" s="1"/>
  <c r="P445" i="2"/>
  <c r="O445" i="2"/>
  <c r="K445" i="2"/>
  <c r="AF445" i="2" s="1"/>
  <c r="F445" i="2"/>
  <c r="E445" i="2"/>
  <c r="G445" i="2" s="1"/>
  <c r="AP444" i="2"/>
  <c r="AO444" i="2"/>
  <c r="AL444" i="2"/>
  <c r="AK444" i="2"/>
  <c r="AE444" i="2"/>
  <c r="AM444" i="2" s="1"/>
  <c r="AN444" i="2" s="1"/>
  <c r="AA444" i="2"/>
  <c r="X444" i="2"/>
  <c r="T444" i="2"/>
  <c r="S444" i="2"/>
  <c r="P444" i="2"/>
  <c r="O444" i="2"/>
  <c r="K444" i="2"/>
  <c r="F444" i="2"/>
  <c r="E444" i="2"/>
  <c r="G444" i="2" s="1"/>
  <c r="AP443" i="2"/>
  <c r="AO443" i="2"/>
  <c r="AN443" i="2"/>
  <c r="AM443" i="2"/>
  <c r="AL443" i="2"/>
  <c r="AK443" i="2"/>
  <c r="AI443" i="2"/>
  <c r="AE443" i="2"/>
  <c r="X443" i="2"/>
  <c r="T443" i="2"/>
  <c r="S443" i="2"/>
  <c r="O443" i="2"/>
  <c r="P443" i="2" s="1"/>
  <c r="K443" i="2"/>
  <c r="G443" i="2"/>
  <c r="F443" i="2"/>
  <c r="E443" i="2"/>
  <c r="AP442" i="2"/>
  <c r="AO442" i="2"/>
  <c r="AM442" i="2"/>
  <c r="AK442" i="2"/>
  <c r="AL442" i="2" s="1"/>
  <c r="AN442" i="2" s="1"/>
  <c r="AI442" i="2"/>
  <c r="AF442" i="2"/>
  <c r="AE442" i="2"/>
  <c r="AA442" i="2"/>
  <c r="X442" i="2"/>
  <c r="T442" i="2"/>
  <c r="U442" i="2" s="1"/>
  <c r="W442" i="2" s="1"/>
  <c r="S442" i="2"/>
  <c r="AG442" i="2" s="1"/>
  <c r="P442" i="2"/>
  <c r="O442" i="2"/>
  <c r="K442" i="2"/>
  <c r="G442" i="2"/>
  <c r="F442" i="2"/>
  <c r="E442" i="2"/>
  <c r="AP441" i="2"/>
  <c r="AO441" i="2"/>
  <c r="AL441" i="2"/>
  <c r="AK441" i="2"/>
  <c r="AE441" i="2"/>
  <c r="AM441" i="2" s="1"/>
  <c r="AN441" i="2" s="1"/>
  <c r="AA441" i="2"/>
  <c r="X441" i="2"/>
  <c r="W441" i="2"/>
  <c r="U441" i="2"/>
  <c r="T441" i="2"/>
  <c r="S441" i="2"/>
  <c r="AI441" i="2" s="1"/>
  <c r="P441" i="2"/>
  <c r="O441" i="2"/>
  <c r="K441" i="2"/>
  <c r="AF441" i="2" s="1"/>
  <c r="F441" i="2"/>
  <c r="E441" i="2"/>
  <c r="G441" i="2" s="1"/>
  <c r="AP440" i="2"/>
  <c r="AO440" i="2"/>
  <c r="AL440" i="2"/>
  <c r="AK440" i="2"/>
  <c r="AI440" i="2"/>
  <c r="AG440" i="2"/>
  <c r="AF440" i="2"/>
  <c r="AE440" i="2"/>
  <c r="AM440" i="2" s="1"/>
  <c r="AN440" i="2" s="1"/>
  <c r="AA440" i="2"/>
  <c r="X440" i="2"/>
  <c r="T440" i="2"/>
  <c r="S440" i="2"/>
  <c r="U440" i="2" s="1"/>
  <c r="W440" i="2" s="1"/>
  <c r="O440" i="2"/>
  <c r="P440" i="2" s="1"/>
  <c r="K440" i="2"/>
  <c r="F440" i="2"/>
  <c r="E440" i="2"/>
  <c r="G440" i="2" s="1"/>
  <c r="AP439" i="2"/>
  <c r="AO439" i="2"/>
  <c r="AM439" i="2"/>
  <c r="AL439" i="2"/>
  <c r="AN439" i="2" s="1"/>
  <c r="AK439" i="2"/>
  <c r="AI439" i="2"/>
  <c r="AE439" i="2"/>
  <c r="AA439" i="2"/>
  <c r="X439" i="2"/>
  <c r="AF439" i="2" s="1"/>
  <c r="T439" i="2"/>
  <c r="S439" i="2"/>
  <c r="O439" i="2"/>
  <c r="P439" i="2" s="1"/>
  <c r="K439" i="2"/>
  <c r="G439" i="2"/>
  <c r="F439" i="2"/>
  <c r="E439" i="2"/>
  <c r="AP438" i="2"/>
  <c r="AO438" i="2"/>
  <c r="AM438" i="2"/>
  <c r="AK438" i="2"/>
  <c r="AL438" i="2" s="1"/>
  <c r="AN438" i="2" s="1"/>
  <c r="AI438" i="2"/>
  <c r="AF438" i="2"/>
  <c r="AE438" i="2"/>
  <c r="AA438" i="2"/>
  <c r="X438" i="2"/>
  <c r="T438" i="2"/>
  <c r="U438" i="2" s="1"/>
  <c r="W438" i="2" s="1"/>
  <c r="S438" i="2"/>
  <c r="AG438" i="2" s="1"/>
  <c r="P438" i="2"/>
  <c r="O438" i="2"/>
  <c r="K438" i="2"/>
  <c r="G438" i="2"/>
  <c r="F438" i="2"/>
  <c r="E438" i="2"/>
  <c r="AP437" i="2"/>
  <c r="AO437" i="2"/>
  <c r="AN437" i="2"/>
  <c r="AL437" i="2"/>
  <c r="AK437" i="2"/>
  <c r="AE437" i="2"/>
  <c r="AM437" i="2" s="1"/>
  <c r="AA437" i="2"/>
  <c r="X437" i="2"/>
  <c r="W437" i="2"/>
  <c r="U437" i="2"/>
  <c r="T437" i="2"/>
  <c r="S437" i="2"/>
  <c r="AI437" i="2" s="1"/>
  <c r="P437" i="2"/>
  <c r="O437" i="2"/>
  <c r="K437" i="2"/>
  <c r="AF437" i="2" s="1"/>
  <c r="E437" i="2"/>
  <c r="G437" i="2" s="1"/>
  <c r="AP436" i="2"/>
  <c r="AO436" i="2"/>
  <c r="AL436" i="2"/>
  <c r="AK436" i="2"/>
  <c r="AI436" i="2"/>
  <c r="AG436" i="2"/>
  <c r="AF436" i="2"/>
  <c r="AE436" i="2"/>
  <c r="AM436" i="2" s="1"/>
  <c r="AN436" i="2" s="1"/>
  <c r="AA436" i="2"/>
  <c r="X436" i="2"/>
  <c r="T436" i="2"/>
  <c r="S436" i="2"/>
  <c r="P436" i="2"/>
  <c r="O436" i="2"/>
  <c r="K436" i="2"/>
  <c r="F436" i="2"/>
  <c r="E436" i="2"/>
  <c r="G436" i="2" s="1"/>
  <c r="AP435" i="2"/>
  <c r="AO435" i="2"/>
  <c r="AM435" i="2"/>
  <c r="AL435" i="2"/>
  <c r="AN435" i="2" s="1"/>
  <c r="AK435" i="2"/>
  <c r="AI435" i="2"/>
  <c r="AE435" i="2"/>
  <c r="AA435" i="2"/>
  <c r="X435" i="2"/>
  <c r="AF435" i="2" s="1"/>
  <c r="T435" i="2"/>
  <c r="S435" i="2"/>
  <c r="O435" i="2"/>
  <c r="P435" i="2" s="1"/>
  <c r="K435" i="2"/>
  <c r="G435" i="2"/>
  <c r="F435" i="2"/>
  <c r="E435" i="2"/>
  <c r="AP434" i="2"/>
  <c r="AO434" i="2"/>
  <c r="AM434" i="2"/>
  <c r="AK434" i="2"/>
  <c r="AL434" i="2" s="1"/>
  <c r="AN434" i="2" s="1"/>
  <c r="AI434" i="2"/>
  <c r="AF434" i="2"/>
  <c r="AE434" i="2"/>
  <c r="AA434" i="2"/>
  <c r="X434" i="2"/>
  <c r="T434" i="2"/>
  <c r="U434" i="2" s="1"/>
  <c r="W434" i="2" s="1"/>
  <c r="S434" i="2"/>
  <c r="AG434" i="2" s="1"/>
  <c r="P434" i="2"/>
  <c r="O434" i="2"/>
  <c r="K434" i="2"/>
  <c r="G434" i="2"/>
  <c r="F434" i="2"/>
  <c r="E434" i="2"/>
  <c r="AP433" i="2"/>
  <c r="AO433" i="2"/>
  <c r="AN433" i="2"/>
  <c r="AM433" i="2"/>
  <c r="AL433" i="2"/>
  <c r="AK433" i="2"/>
  <c r="AI433" i="2"/>
  <c r="AE433" i="2"/>
  <c r="AA433" i="2"/>
  <c r="X433" i="2"/>
  <c r="T433" i="2"/>
  <c r="U433" i="2" s="1"/>
  <c r="W433" i="2" s="1"/>
  <c r="S433" i="2"/>
  <c r="AG433" i="2" s="1"/>
  <c r="P433" i="2"/>
  <c r="O433" i="2"/>
  <c r="K433" i="2"/>
  <c r="AF433" i="2" s="1"/>
  <c r="F433" i="2"/>
  <c r="E433" i="2"/>
  <c r="G433" i="2" s="1"/>
  <c r="AP432" i="2"/>
  <c r="AO432" i="2"/>
  <c r="AL432" i="2"/>
  <c r="AN432" i="2" s="1"/>
  <c r="AK432" i="2"/>
  <c r="AE432" i="2"/>
  <c r="AM432" i="2" s="1"/>
  <c r="AA432" i="2"/>
  <c r="X432" i="2"/>
  <c r="T432" i="2"/>
  <c r="S432" i="2"/>
  <c r="P432" i="2"/>
  <c r="O432" i="2"/>
  <c r="K432" i="2"/>
  <c r="F432" i="2"/>
  <c r="E432" i="2"/>
  <c r="G432" i="2" s="1"/>
  <c r="AP431" i="2"/>
  <c r="AO431" i="2"/>
  <c r="AL431" i="2"/>
  <c r="AK431" i="2"/>
  <c r="AI431" i="2"/>
  <c r="AE431" i="2"/>
  <c r="AM431" i="2" s="1"/>
  <c r="AN431" i="2" s="1"/>
  <c r="AA431" i="2"/>
  <c r="X431" i="2"/>
  <c r="T431" i="2"/>
  <c r="S431" i="2"/>
  <c r="P431" i="2"/>
  <c r="O431" i="2"/>
  <c r="K431" i="2"/>
  <c r="G431" i="2"/>
  <c r="F431" i="2"/>
  <c r="E431" i="2"/>
  <c r="AP430" i="2"/>
  <c r="AO430" i="2"/>
  <c r="AM430" i="2"/>
  <c r="AK430" i="2"/>
  <c r="AL430" i="2" s="1"/>
  <c r="AN430" i="2" s="1"/>
  <c r="AI430" i="2"/>
  <c r="AF430" i="2"/>
  <c r="AE430" i="2"/>
  <c r="X430" i="2"/>
  <c r="AA430" i="2" s="1"/>
  <c r="T430" i="2"/>
  <c r="U430" i="2" s="1"/>
  <c r="W430" i="2" s="1"/>
  <c r="S430" i="2"/>
  <c r="AG430" i="2" s="1"/>
  <c r="P430" i="2"/>
  <c r="O430" i="2"/>
  <c r="K430" i="2"/>
  <c r="E430" i="2"/>
  <c r="AP429" i="2"/>
  <c r="AO429" i="2"/>
  <c r="AL429" i="2"/>
  <c r="AK429" i="2"/>
  <c r="AI429" i="2"/>
  <c r="AE429" i="2"/>
  <c r="AM429" i="2" s="1"/>
  <c r="AN429" i="2" s="1"/>
  <c r="AA429" i="2"/>
  <c r="X429" i="2"/>
  <c r="T429" i="2"/>
  <c r="U429" i="2" s="1"/>
  <c r="W429" i="2" s="1"/>
  <c r="S429" i="2"/>
  <c r="AG429" i="2" s="1"/>
  <c r="P429" i="2"/>
  <c r="O429" i="2"/>
  <c r="K429" i="2"/>
  <c r="AF429" i="2" s="1"/>
  <c r="F429" i="2"/>
  <c r="E429" i="2"/>
  <c r="G429" i="2" s="1"/>
  <c r="AP428" i="2"/>
  <c r="AO428" i="2"/>
  <c r="AL428" i="2"/>
  <c r="AN428" i="2" s="1"/>
  <c r="AK428" i="2"/>
  <c r="AG428" i="2"/>
  <c r="AE428" i="2"/>
  <c r="AM428" i="2" s="1"/>
  <c r="AA428" i="2"/>
  <c r="X428" i="2"/>
  <c r="T428" i="2"/>
  <c r="S428" i="2"/>
  <c r="AI428" i="2" s="1"/>
  <c r="P428" i="2"/>
  <c r="O428" i="2"/>
  <c r="K428" i="2"/>
  <c r="F428" i="2"/>
  <c r="E428" i="2"/>
  <c r="G428" i="2" s="1"/>
  <c r="AP427" i="2"/>
  <c r="AO427" i="2"/>
  <c r="AN427" i="2"/>
  <c r="AM427" i="2"/>
  <c r="AL427" i="2"/>
  <c r="AK427" i="2"/>
  <c r="AI427" i="2"/>
  <c r="AE427" i="2"/>
  <c r="AA427" i="2"/>
  <c r="X427" i="2"/>
  <c r="T427" i="2"/>
  <c r="S427" i="2"/>
  <c r="P427" i="2"/>
  <c r="O427" i="2"/>
  <c r="K427" i="2"/>
  <c r="G427" i="2"/>
  <c r="F427" i="2"/>
  <c r="E427" i="2"/>
  <c r="AP426" i="2"/>
  <c r="AO426" i="2"/>
  <c r="AM426" i="2"/>
  <c r="AL426" i="2"/>
  <c r="AN426" i="2" s="1"/>
  <c r="AK426" i="2"/>
  <c r="AI426" i="2"/>
  <c r="AF426" i="2"/>
  <c r="AE426" i="2"/>
  <c r="X426" i="2"/>
  <c r="AA426" i="2" s="1"/>
  <c r="T426" i="2"/>
  <c r="U426" i="2" s="1"/>
  <c r="W426" i="2" s="1"/>
  <c r="S426" i="2"/>
  <c r="AG426" i="2" s="1"/>
  <c r="P426" i="2"/>
  <c r="O426" i="2"/>
  <c r="K426" i="2"/>
  <c r="E426" i="2"/>
  <c r="AP425" i="2"/>
  <c r="AO425" i="2"/>
  <c r="AN425" i="2"/>
  <c r="AL425" i="2"/>
  <c r="AK425" i="2"/>
  <c r="AI425" i="2"/>
  <c r="AE425" i="2"/>
  <c r="AM425" i="2" s="1"/>
  <c r="AA425" i="2"/>
  <c r="X425" i="2"/>
  <c r="T425" i="2"/>
  <c r="U425" i="2" s="1"/>
  <c r="W425" i="2" s="1"/>
  <c r="S425" i="2"/>
  <c r="AG425" i="2" s="1"/>
  <c r="P425" i="2"/>
  <c r="O425" i="2"/>
  <c r="K425" i="2"/>
  <c r="AF425" i="2" s="1"/>
  <c r="F425" i="2"/>
  <c r="E425" i="2"/>
  <c r="G425" i="2" s="1"/>
  <c r="AP424" i="2"/>
  <c r="AO424" i="2"/>
  <c r="AL424" i="2"/>
  <c r="AN424" i="2" s="1"/>
  <c r="AK424" i="2"/>
  <c r="AI424" i="2"/>
  <c r="AG424" i="2"/>
  <c r="AE424" i="2"/>
  <c r="AM424" i="2" s="1"/>
  <c r="AA424" i="2"/>
  <c r="X424" i="2"/>
  <c r="T424" i="2"/>
  <c r="S424" i="2"/>
  <c r="P424" i="2"/>
  <c r="O424" i="2"/>
  <c r="K424" i="2"/>
  <c r="G424" i="2"/>
  <c r="F424" i="2"/>
  <c r="E424" i="2"/>
  <c r="AP423" i="2"/>
  <c r="AO423" i="2"/>
  <c r="AL423" i="2"/>
  <c r="AK423" i="2"/>
  <c r="AI423" i="2"/>
  <c r="AE423" i="2"/>
  <c r="AM423" i="2" s="1"/>
  <c r="AN423" i="2" s="1"/>
  <c r="AA423" i="2"/>
  <c r="X423" i="2"/>
  <c r="W423" i="2"/>
  <c r="T423" i="2"/>
  <c r="S423" i="2"/>
  <c r="U423" i="2" s="1"/>
  <c r="O423" i="2"/>
  <c r="P423" i="2" s="1"/>
  <c r="K423" i="2"/>
  <c r="AF423" i="2" s="1"/>
  <c r="G423" i="2"/>
  <c r="F423" i="2"/>
  <c r="E423" i="2"/>
  <c r="AP422" i="2"/>
  <c r="AO422" i="2"/>
  <c r="AM422" i="2"/>
  <c r="AL422" i="2"/>
  <c r="AK422" i="2"/>
  <c r="AI422" i="2"/>
  <c r="AF422" i="2"/>
  <c r="AE422" i="2"/>
  <c r="AA422" i="2"/>
  <c r="X422" i="2"/>
  <c r="W422" i="2"/>
  <c r="U422" i="2"/>
  <c r="T422" i="2"/>
  <c r="S422" i="2"/>
  <c r="AG422" i="2" s="1"/>
  <c r="P422" i="2"/>
  <c r="O422" i="2"/>
  <c r="K422" i="2"/>
  <c r="E422" i="2"/>
  <c r="AP421" i="2"/>
  <c r="AO421" i="2"/>
  <c r="AK421" i="2"/>
  <c r="AL421" i="2" s="1"/>
  <c r="AN421" i="2" s="1"/>
  <c r="AE421" i="2"/>
  <c r="AM421" i="2" s="1"/>
  <c r="AA421" i="2"/>
  <c r="X421" i="2"/>
  <c r="T421" i="2"/>
  <c r="S421" i="2"/>
  <c r="P421" i="2"/>
  <c r="O421" i="2"/>
  <c r="K421" i="2"/>
  <c r="F421" i="2"/>
  <c r="E421" i="2"/>
  <c r="G421" i="2" s="1"/>
  <c r="AP420" i="2"/>
  <c r="AO420" i="2"/>
  <c r="AL420" i="2"/>
  <c r="AN420" i="2" s="1"/>
  <c r="AK420" i="2"/>
  <c r="AE420" i="2"/>
  <c r="AM420" i="2" s="1"/>
  <c r="AA420" i="2"/>
  <c r="X420" i="2"/>
  <c r="T420" i="2"/>
  <c r="S420" i="2"/>
  <c r="P420" i="2"/>
  <c r="O420" i="2"/>
  <c r="K420" i="2"/>
  <c r="F420" i="2"/>
  <c r="E420" i="2"/>
  <c r="G420" i="2" s="1"/>
  <c r="AP419" i="2"/>
  <c r="AO419" i="2"/>
  <c r="AN419" i="2"/>
  <c r="AL419" i="2"/>
  <c r="AK419" i="2"/>
  <c r="AI419" i="2"/>
  <c r="AE419" i="2"/>
  <c r="AM419" i="2" s="1"/>
  <c r="X419" i="2"/>
  <c r="AA419" i="2" s="1"/>
  <c r="T419" i="2"/>
  <c r="S419" i="2"/>
  <c r="U419" i="2" s="1"/>
  <c r="W419" i="2" s="1"/>
  <c r="O419" i="2"/>
  <c r="P419" i="2" s="1"/>
  <c r="K419" i="2"/>
  <c r="G419" i="2"/>
  <c r="F419" i="2"/>
  <c r="E419" i="2"/>
  <c r="AP418" i="2"/>
  <c r="AO418" i="2"/>
  <c r="AM418" i="2"/>
  <c r="AK418" i="2"/>
  <c r="AL418" i="2" s="1"/>
  <c r="AN418" i="2" s="1"/>
  <c r="AI418" i="2"/>
  <c r="AE418" i="2"/>
  <c r="AA418" i="2"/>
  <c r="X418" i="2"/>
  <c r="W418" i="2"/>
  <c r="U418" i="2"/>
  <c r="T418" i="2"/>
  <c r="S418" i="2"/>
  <c r="AG418" i="2" s="1"/>
  <c r="P418" i="2"/>
  <c r="O418" i="2"/>
  <c r="K418" i="2"/>
  <c r="AF418" i="2" s="1"/>
  <c r="E418" i="2"/>
  <c r="G418" i="2" s="1"/>
  <c r="AP417" i="2"/>
  <c r="AO417" i="2"/>
  <c r="AK417" i="2"/>
  <c r="AL417" i="2" s="1"/>
  <c r="AE417" i="2"/>
  <c r="AM417" i="2" s="1"/>
  <c r="AA417" i="2"/>
  <c r="X417" i="2"/>
  <c r="T417" i="2"/>
  <c r="S417" i="2"/>
  <c r="AG417" i="2" s="1"/>
  <c r="P417" i="2"/>
  <c r="O417" i="2"/>
  <c r="K417" i="2"/>
  <c r="AF417" i="2" s="1"/>
  <c r="F417" i="2"/>
  <c r="E417" i="2"/>
  <c r="G417" i="2" s="1"/>
  <c r="AP416" i="2"/>
  <c r="AO416" i="2"/>
  <c r="AL416" i="2"/>
  <c r="AN416" i="2" s="1"/>
  <c r="AK416" i="2"/>
  <c r="AI416" i="2"/>
  <c r="AE416" i="2"/>
  <c r="AM416" i="2" s="1"/>
  <c r="AA416" i="2"/>
  <c r="X416" i="2"/>
  <c r="T416" i="2"/>
  <c r="S416" i="2"/>
  <c r="P416" i="2"/>
  <c r="O416" i="2"/>
  <c r="K416" i="2"/>
  <c r="AF416" i="2" s="1"/>
  <c r="F416" i="2"/>
  <c r="E416" i="2"/>
  <c r="G416" i="2" s="1"/>
  <c r="AP415" i="2"/>
  <c r="AO415" i="2"/>
  <c r="AL415" i="2"/>
  <c r="AK415" i="2"/>
  <c r="AI415" i="2"/>
  <c r="AE415" i="2"/>
  <c r="AM415" i="2" s="1"/>
  <c r="AN415" i="2" s="1"/>
  <c r="AA415" i="2"/>
  <c r="X415" i="2"/>
  <c r="T415" i="2"/>
  <c r="S415" i="2"/>
  <c r="U415" i="2" s="1"/>
  <c r="W415" i="2" s="1"/>
  <c r="O415" i="2"/>
  <c r="P415" i="2" s="1"/>
  <c r="K415" i="2"/>
  <c r="AF415" i="2" s="1"/>
  <c r="G415" i="2"/>
  <c r="F415" i="2"/>
  <c r="E415" i="2"/>
  <c r="AP414" i="2"/>
  <c r="AO414" i="2"/>
  <c r="AM414" i="2"/>
  <c r="AK414" i="2"/>
  <c r="AL414" i="2" s="1"/>
  <c r="AN414" i="2" s="1"/>
  <c r="AI414" i="2"/>
  <c r="AE414" i="2"/>
  <c r="AA414" i="2"/>
  <c r="X414" i="2"/>
  <c r="T414" i="2"/>
  <c r="U414" i="2" s="1"/>
  <c r="W414" i="2" s="1"/>
  <c r="S414" i="2"/>
  <c r="AG414" i="2" s="1"/>
  <c r="P414" i="2"/>
  <c r="O414" i="2"/>
  <c r="K414" i="2"/>
  <c r="AF414" i="2" s="1"/>
  <c r="E414" i="2"/>
  <c r="G414" i="2" s="1"/>
  <c r="AP413" i="2"/>
  <c r="AO413" i="2"/>
  <c r="AK413" i="2"/>
  <c r="AL413" i="2" s="1"/>
  <c r="AN413" i="2" s="1"/>
  <c r="AG413" i="2"/>
  <c r="AE413" i="2"/>
  <c r="AM413" i="2" s="1"/>
  <c r="AA413" i="2"/>
  <c r="X413" i="2"/>
  <c r="T413" i="2"/>
  <c r="S413" i="2"/>
  <c r="P413" i="2"/>
  <c r="O413" i="2"/>
  <c r="K413" i="2"/>
  <c r="AF413" i="2" s="1"/>
  <c r="F413" i="2"/>
  <c r="E413" i="2"/>
  <c r="G413" i="2" s="1"/>
  <c r="AP412" i="2"/>
  <c r="AO412" i="2"/>
  <c r="AL412" i="2"/>
  <c r="AN412" i="2" s="1"/>
  <c r="AK412" i="2"/>
  <c r="AI412" i="2"/>
  <c r="AE412" i="2"/>
  <c r="AM412" i="2" s="1"/>
  <c r="AA412" i="2"/>
  <c r="X412" i="2"/>
  <c r="T412" i="2"/>
  <c r="S412" i="2"/>
  <c r="P412" i="2"/>
  <c r="O412" i="2"/>
  <c r="K412" i="2"/>
  <c r="F412" i="2"/>
  <c r="E412" i="2"/>
  <c r="G412" i="2" s="1"/>
  <c r="AP411" i="2"/>
  <c r="AO411" i="2"/>
  <c r="AN411" i="2"/>
  <c r="AL411" i="2"/>
  <c r="AK411" i="2"/>
  <c r="AI411" i="2"/>
  <c r="AE411" i="2"/>
  <c r="AM411" i="2" s="1"/>
  <c r="X411" i="2"/>
  <c r="AA411" i="2" s="1"/>
  <c r="T411" i="2"/>
  <c r="S411" i="2"/>
  <c r="U411" i="2" s="1"/>
  <c r="W411" i="2" s="1"/>
  <c r="O411" i="2"/>
  <c r="P411" i="2" s="1"/>
  <c r="K411" i="2"/>
  <c r="G411" i="2"/>
  <c r="F411" i="2"/>
  <c r="E411" i="2"/>
  <c r="AP410" i="2"/>
  <c r="AO410" i="2"/>
  <c r="AM410" i="2"/>
  <c r="AL410" i="2"/>
  <c r="AK410" i="2"/>
  <c r="AI410" i="2"/>
  <c r="AE410" i="2"/>
  <c r="AA410" i="2"/>
  <c r="X410" i="2"/>
  <c r="U410" i="2"/>
  <c r="W410" i="2" s="1"/>
  <c r="T410" i="2"/>
  <c r="S410" i="2"/>
  <c r="AG410" i="2" s="1"/>
  <c r="P410" i="2"/>
  <c r="O410" i="2"/>
  <c r="K410" i="2"/>
  <c r="AF410" i="2" s="1"/>
  <c r="F410" i="2"/>
  <c r="E410" i="2"/>
  <c r="G410" i="2" s="1"/>
  <c r="AP409" i="2"/>
  <c r="AO409" i="2"/>
  <c r="AK409" i="2"/>
  <c r="AL409" i="2" s="1"/>
  <c r="AN409" i="2" s="1"/>
  <c r="AE409" i="2"/>
  <c r="AM409" i="2" s="1"/>
  <c r="AA409" i="2"/>
  <c r="X409" i="2"/>
  <c r="T409" i="2"/>
  <c r="S409" i="2"/>
  <c r="P409" i="2"/>
  <c r="O409" i="2"/>
  <c r="K409" i="2"/>
  <c r="F409" i="2"/>
  <c r="E409" i="2"/>
  <c r="G409" i="2" s="1"/>
  <c r="AP408" i="2"/>
  <c r="AO408" i="2"/>
  <c r="AN408" i="2"/>
  <c r="AL408" i="2"/>
  <c r="AK408" i="2"/>
  <c r="AE408" i="2"/>
  <c r="AM408" i="2" s="1"/>
  <c r="AA408" i="2"/>
  <c r="X408" i="2"/>
  <c r="T408" i="2"/>
  <c r="S408" i="2"/>
  <c r="AI408" i="2" s="1"/>
  <c r="P408" i="2"/>
  <c r="O408" i="2"/>
  <c r="K408" i="2"/>
  <c r="F408" i="2"/>
  <c r="E408" i="2"/>
  <c r="G408" i="2" s="1"/>
  <c r="AP407" i="2"/>
  <c r="AO407" i="2"/>
  <c r="AL407" i="2"/>
  <c r="AK407" i="2"/>
  <c r="AI407" i="2"/>
  <c r="AE407" i="2"/>
  <c r="AM407" i="2" s="1"/>
  <c r="AN407" i="2" s="1"/>
  <c r="X407" i="2"/>
  <c r="T407" i="2"/>
  <c r="S407" i="2"/>
  <c r="U407" i="2" s="1"/>
  <c r="W407" i="2" s="1"/>
  <c r="O407" i="2"/>
  <c r="P407" i="2" s="1"/>
  <c r="K407" i="2"/>
  <c r="G407" i="2"/>
  <c r="F407" i="2"/>
  <c r="E407" i="2"/>
  <c r="AP406" i="2"/>
  <c r="AO406" i="2"/>
  <c r="AM406" i="2"/>
  <c r="AL406" i="2"/>
  <c r="AN406" i="2" s="1"/>
  <c r="AK406" i="2"/>
  <c r="AI406" i="2"/>
  <c r="AE406" i="2"/>
  <c r="AA406" i="2"/>
  <c r="X406" i="2"/>
  <c r="T406" i="2"/>
  <c r="U406" i="2" s="1"/>
  <c r="W406" i="2" s="1"/>
  <c r="S406" i="2"/>
  <c r="AG406" i="2" s="1"/>
  <c r="P406" i="2"/>
  <c r="O406" i="2"/>
  <c r="K406" i="2"/>
  <c r="AF406" i="2" s="1"/>
  <c r="F406" i="2"/>
  <c r="E406" i="2"/>
  <c r="G406" i="2" s="1"/>
  <c r="AP405" i="2"/>
  <c r="AO405" i="2"/>
  <c r="AK405" i="2"/>
  <c r="AL405" i="2" s="1"/>
  <c r="AG405" i="2"/>
  <c r="AE405" i="2"/>
  <c r="AM405" i="2" s="1"/>
  <c r="AA405" i="2"/>
  <c r="X405" i="2"/>
  <c r="T405" i="2"/>
  <c r="S405" i="2"/>
  <c r="P405" i="2"/>
  <c r="O405" i="2"/>
  <c r="K405" i="2"/>
  <c r="AF405" i="2" s="1"/>
  <c r="F405" i="2"/>
  <c r="E405" i="2"/>
  <c r="G405" i="2" s="1"/>
  <c r="AP404" i="2"/>
  <c r="AO404" i="2"/>
  <c r="AN404" i="2"/>
  <c r="AL404" i="2"/>
  <c r="AK404" i="2"/>
  <c r="AI404" i="2"/>
  <c r="AE404" i="2"/>
  <c r="AM404" i="2" s="1"/>
  <c r="AA404" i="2"/>
  <c r="X404" i="2"/>
  <c r="T404" i="2"/>
  <c r="S404" i="2"/>
  <c r="P404" i="2"/>
  <c r="O404" i="2"/>
  <c r="K404" i="2"/>
  <c r="AF404" i="2" s="1"/>
  <c r="F404" i="2"/>
  <c r="E404" i="2"/>
  <c r="G404" i="2" s="1"/>
  <c r="AP403" i="2"/>
  <c r="AO403" i="2"/>
  <c r="AL403" i="2"/>
  <c r="AK403" i="2"/>
  <c r="AI403" i="2"/>
  <c r="AE403" i="2"/>
  <c r="AM403" i="2" s="1"/>
  <c r="AN403" i="2" s="1"/>
  <c r="X403" i="2"/>
  <c r="AA403" i="2" s="1"/>
  <c r="T403" i="2"/>
  <c r="S403" i="2"/>
  <c r="U403" i="2" s="1"/>
  <c r="W403" i="2" s="1"/>
  <c r="O403" i="2"/>
  <c r="P403" i="2" s="1"/>
  <c r="K403" i="2"/>
  <c r="AF403" i="2" s="1"/>
  <c r="G403" i="2"/>
  <c r="F403" i="2"/>
  <c r="E403" i="2"/>
  <c r="AP402" i="2"/>
  <c r="AO402" i="2"/>
  <c r="AM402" i="2"/>
  <c r="AL402" i="2"/>
  <c r="AK402" i="2"/>
  <c r="AI402" i="2"/>
  <c r="AE402" i="2"/>
  <c r="AA402" i="2"/>
  <c r="X402" i="2"/>
  <c r="T402" i="2"/>
  <c r="U402" i="2" s="1"/>
  <c r="W402" i="2" s="1"/>
  <c r="S402" i="2"/>
  <c r="AG402" i="2" s="1"/>
  <c r="P402" i="2"/>
  <c r="O402" i="2"/>
  <c r="K402" i="2"/>
  <c r="AF402" i="2" s="1"/>
  <c r="F402" i="2"/>
  <c r="E402" i="2"/>
  <c r="G402" i="2" s="1"/>
  <c r="AP401" i="2"/>
  <c r="AO401" i="2"/>
  <c r="AK401" i="2"/>
  <c r="AL401" i="2" s="1"/>
  <c r="AN401" i="2" s="1"/>
  <c r="AE401" i="2"/>
  <c r="AM401" i="2" s="1"/>
  <c r="AA401" i="2"/>
  <c r="X401" i="2"/>
  <c r="T401" i="2"/>
  <c r="S401" i="2"/>
  <c r="P401" i="2"/>
  <c r="O401" i="2"/>
  <c r="K401" i="2"/>
  <c r="F401" i="2"/>
  <c r="E401" i="2"/>
  <c r="G401" i="2" s="1"/>
  <c r="AP400" i="2"/>
  <c r="AO400" i="2"/>
  <c r="AL400" i="2"/>
  <c r="AN400" i="2" s="1"/>
  <c r="AK400" i="2"/>
  <c r="AE400" i="2"/>
  <c r="AM400" i="2" s="1"/>
  <c r="AA400" i="2"/>
  <c r="X400" i="2"/>
  <c r="T400" i="2"/>
  <c r="S400" i="2"/>
  <c r="P400" i="2"/>
  <c r="O400" i="2"/>
  <c r="K400" i="2"/>
  <c r="F400" i="2"/>
  <c r="E400" i="2"/>
  <c r="G400" i="2" s="1"/>
  <c r="AP399" i="2"/>
  <c r="AO399" i="2"/>
  <c r="AN399" i="2"/>
  <c r="AL399" i="2"/>
  <c r="AK399" i="2"/>
  <c r="AI399" i="2"/>
  <c r="AE399" i="2"/>
  <c r="AM399" i="2" s="1"/>
  <c r="X399" i="2"/>
  <c r="AF399" i="2" s="1"/>
  <c r="T399" i="2"/>
  <c r="S399" i="2"/>
  <c r="U399" i="2" s="1"/>
  <c r="W399" i="2" s="1"/>
  <c r="O399" i="2"/>
  <c r="P399" i="2" s="1"/>
  <c r="K399" i="2"/>
  <c r="G399" i="2"/>
  <c r="F399" i="2"/>
  <c r="E399" i="2"/>
  <c r="AP398" i="2"/>
  <c r="AO398" i="2"/>
  <c r="AM398" i="2"/>
  <c r="AL398" i="2"/>
  <c r="AK398" i="2"/>
  <c r="AI398" i="2"/>
  <c r="AE398" i="2"/>
  <c r="AA398" i="2"/>
  <c r="X398" i="2"/>
  <c r="U398" i="2"/>
  <c r="W398" i="2" s="1"/>
  <c r="T398" i="2"/>
  <c r="S398" i="2"/>
  <c r="AG398" i="2" s="1"/>
  <c r="P398" i="2"/>
  <c r="O398" i="2"/>
  <c r="K398" i="2"/>
  <c r="AF398" i="2" s="1"/>
  <c r="E398" i="2"/>
  <c r="G398" i="2" s="1"/>
  <c r="AP397" i="2"/>
  <c r="AO397" i="2"/>
  <c r="AK397" i="2"/>
  <c r="AL397" i="2" s="1"/>
  <c r="AE397" i="2"/>
  <c r="AM397" i="2" s="1"/>
  <c r="AA397" i="2"/>
  <c r="X397" i="2"/>
  <c r="T397" i="2"/>
  <c r="S397" i="2"/>
  <c r="AG397" i="2" s="1"/>
  <c r="P397" i="2"/>
  <c r="O397" i="2"/>
  <c r="K397" i="2"/>
  <c r="AF397" i="2" s="1"/>
  <c r="F397" i="2"/>
  <c r="E397" i="2"/>
  <c r="G397" i="2" s="1"/>
  <c r="AP396" i="2"/>
  <c r="AO396" i="2"/>
  <c r="AN396" i="2"/>
  <c r="AL396" i="2"/>
  <c r="AK396" i="2"/>
  <c r="AE396" i="2"/>
  <c r="AM396" i="2" s="1"/>
  <c r="AA396" i="2"/>
  <c r="X396" i="2"/>
  <c r="T396" i="2"/>
  <c r="S396" i="2"/>
  <c r="AI396" i="2" s="1"/>
  <c r="P396" i="2"/>
  <c r="O396" i="2"/>
  <c r="K396" i="2"/>
  <c r="AF396" i="2" s="1"/>
  <c r="F396" i="2"/>
  <c r="E396" i="2"/>
  <c r="G396" i="2" s="1"/>
  <c r="AP395" i="2"/>
  <c r="AO395" i="2"/>
  <c r="AL395" i="2"/>
  <c r="AK395" i="2"/>
  <c r="AI395" i="2"/>
  <c r="AE395" i="2"/>
  <c r="AM395" i="2" s="1"/>
  <c r="AN395" i="2" s="1"/>
  <c r="AA395" i="2"/>
  <c r="X395" i="2"/>
  <c r="T395" i="2"/>
  <c r="S395" i="2"/>
  <c r="U395" i="2" s="1"/>
  <c r="W395" i="2" s="1"/>
  <c r="O395" i="2"/>
  <c r="P395" i="2" s="1"/>
  <c r="K395" i="2"/>
  <c r="AF395" i="2" s="1"/>
  <c r="G395" i="2"/>
  <c r="F395" i="2"/>
  <c r="E395" i="2"/>
  <c r="AP394" i="2"/>
  <c r="AO394" i="2"/>
  <c r="AM394" i="2"/>
  <c r="AK394" i="2"/>
  <c r="AL394" i="2" s="1"/>
  <c r="AN394" i="2" s="1"/>
  <c r="AI394" i="2"/>
  <c r="AE394" i="2"/>
  <c r="AA394" i="2"/>
  <c r="X394" i="2"/>
  <c r="U394" i="2"/>
  <c r="W394" i="2" s="1"/>
  <c r="T394" i="2"/>
  <c r="S394" i="2"/>
  <c r="AG394" i="2" s="1"/>
  <c r="P394" i="2"/>
  <c r="O394" i="2"/>
  <c r="K394" i="2"/>
  <c r="AF394" i="2" s="1"/>
  <c r="F394" i="2"/>
  <c r="E394" i="2"/>
  <c r="G394" i="2" s="1"/>
  <c r="AP393" i="2"/>
  <c r="AO393" i="2"/>
  <c r="AM393" i="2"/>
  <c r="AL393" i="2"/>
  <c r="AN393" i="2" s="1"/>
  <c r="AK393" i="2"/>
  <c r="AI393" i="2"/>
  <c r="AE393" i="2"/>
  <c r="AA393" i="2"/>
  <c r="X393" i="2"/>
  <c r="T393" i="2"/>
  <c r="S393" i="2"/>
  <c r="P393" i="2"/>
  <c r="O393" i="2"/>
  <c r="K393" i="2"/>
  <c r="E393" i="2"/>
  <c r="G393" i="2" s="1"/>
  <c r="AP392" i="2"/>
  <c r="AO392" i="2"/>
  <c r="AL392" i="2"/>
  <c r="AN392" i="2" s="1"/>
  <c r="AK392" i="2"/>
  <c r="AF392" i="2"/>
  <c r="AE392" i="2"/>
  <c r="AM392" i="2" s="1"/>
  <c r="AA392" i="2"/>
  <c r="X392" i="2"/>
  <c r="T392" i="2"/>
  <c r="S392" i="2"/>
  <c r="AG392" i="2" s="1"/>
  <c r="O392" i="2"/>
  <c r="P392" i="2" s="1"/>
  <c r="K392" i="2"/>
  <c r="F392" i="2"/>
  <c r="E392" i="2"/>
  <c r="G392" i="2" s="1"/>
  <c r="AP391" i="2"/>
  <c r="AO391" i="2"/>
  <c r="AL391" i="2"/>
  <c r="AN391" i="2" s="1"/>
  <c r="AK391" i="2"/>
  <c r="AI391" i="2"/>
  <c r="AE391" i="2"/>
  <c r="AM391" i="2" s="1"/>
  <c r="AA391" i="2"/>
  <c r="X391" i="2"/>
  <c r="T391" i="2"/>
  <c r="S391" i="2"/>
  <c r="O391" i="2"/>
  <c r="P391" i="2" s="1"/>
  <c r="K391" i="2"/>
  <c r="AF391" i="2" s="1"/>
  <c r="G391" i="2"/>
  <c r="F391" i="2"/>
  <c r="E391" i="2"/>
  <c r="AP390" i="2"/>
  <c r="AO390" i="2"/>
  <c r="AM390" i="2"/>
  <c r="AN390" i="2" s="1"/>
  <c r="AL390" i="2"/>
  <c r="AK390" i="2"/>
  <c r="AI390" i="2"/>
  <c r="AE390" i="2"/>
  <c r="X390" i="2"/>
  <c r="T390" i="2"/>
  <c r="U390" i="2" s="1"/>
  <c r="W390" i="2" s="1"/>
  <c r="S390" i="2"/>
  <c r="AG390" i="2" s="1"/>
  <c r="P390" i="2"/>
  <c r="O390" i="2"/>
  <c r="K390" i="2"/>
  <c r="G390" i="2"/>
  <c r="E390" i="2"/>
  <c r="F390" i="2" s="1"/>
  <c r="AP389" i="2"/>
  <c r="AO389" i="2"/>
  <c r="AM389" i="2"/>
  <c r="AK389" i="2"/>
  <c r="AL389" i="2" s="1"/>
  <c r="AN389" i="2" s="1"/>
  <c r="AG389" i="2"/>
  <c r="AF389" i="2"/>
  <c r="AE389" i="2"/>
  <c r="AA389" i="2"/>
  <c r="X389" i="2"/>
  <c r="T389" i="2"/>
  <c r="S389" i="2"/>
  <c r="U389" i="2" s="1"/>
  <c r="W389" i="2" s="1"/>
  <c r="P389" i="2"/>
  <c r="O389" i="2"/>
  <c r="K389" i="2"/>
  <c r="F389" i="2"/>
  <c r="E389" i="2"/>
  <c r="G389" i="2" s="1"/>
  <c r="AP388" i="2"/>
  <c r="AO388" i="2"/>
  <c r="AL388" i="2"/>
  <c r="AN388" i="2" s="1"/>
  <c r="AK388" i="2"/>
  <c r="AG388" i="2"/>
  <c r="AE388" i="2"/>
  <c r="AM388" i="2" s="1"/>
  <c r="AA388" i="2"/>
  <c r="X388" i="2"/>
  <c r="T388" i="2"/>
  <c r="S388" i="2"/>
  <c r="P388" i="2"/>
  <c r="O388" i="2"/>
  <c r="K388" i="2"/>
  <c r="AF388" i="2" s="1"/>
  <c r="F388" i="2"/>
  <c r="E388" i="2"/>
  <c r="G388" i="2" s="1"/>
  <c r="AP387" i="2"/>
  <c r="AO387" i="2"/>
  <c r="AL387" i="2"/>
  <c r="AK387" i="2"/>
  <c r="AI387" i="2"/>
  <c r="AE387" i="2"/>
  <c r="AM387" i="2" s="1"/>
  <c r="AN387" i="2" s="1"/>
  <c r="AA387" i="2"/>
  <c r="X387" i="2"/>
  <c r="T387" i="2"/>
  <c r="S387" i="2"/>
  <c r="U387" i="2" s="1"/>
  <c r="W387" i="2" s="1"/>
  <c r="P387" i="2"/>
  <c r="O387" i="2"/>
  <c r="K387" i="2"/>
  <c r="AF387" i="2" s="1"/>
  <c r="G387" i="2"/>
  <c r="F387" i="2"/>
  <c r="E387" i="2"/>
  <c r="AP386" i="2"/>
  <c r="AO386" i="2"/>
  <c r="AN386" i="2"/>
  <c r="AM386" i="2"/>
  <c r="AL386" i="2"/>
  <c r="AK386" i="2"/>
  <c r="AI386" i="2"/>
  <c r="AE386" i="2"/>
  <c r="X386" i="2"/>
  <c r="AA386" i="2" s="1"/>
  <c r="U386" i="2"/>
  <c r="W386" i="2" s="1"/>
  <c r="T386" i="2"/>
  <c r="S386" i="2"/>
  <c r="AG386" i="2" s="1"/>
  <c r="P386" i="2"/>
  <c r="O386" i="2"/>
  <c r="K386" i="2"/>
  <c r="E386" i="2"/>
  <c r="AP385" i="2"/>
  <c r="AO385" i="2"/>
  <c r="AM385" i="2"/>
  <c r="AL385" i="2"/>
  <c r="AN385" i="2" s="1"/>
  <c r="AK385" i="2"/>
  <c r="AI385" i="2"/>
  <c r="AG385" i="2"/>
  <c r="AE385" i="2"/>
  <c r="AA385" i="2"/>
  <c r="X385" i="2"/>
  <c r="T385" i="2"/>
  <c r="S385" i="2"/>
  <c r="U385" i="2" s="1"/>
  <c r="W385" i="2" s="1"/>
  <c r="P385" i="2"/>
  <c r="O385" i="2"/>
  <c r="K385" i="2"/>
  <c r="AF385" i="2" s="1"/>
  <c r="E385" i="2"/>
  <c r="AP384" i="2"/>
  <c r="AO384" i="2"/>
  <c r="AL384" i="2"/>
  <c r="AK384" i="2"/>
  <c r="AF384" i="2"/>
  <c r="AE384" i="2"/>
  <c r="AM384" i="2" s="1"/>
  <c r="AN384" i="2" s="1"/>
  <c r="AA384" i="2"/>
  <c r="X384" i="2"/>
  <c r="T384" i="2"/>
  <c r="S384" i="2"/>
  <c r="U384" i="2" s="1"/>
  <c r="W384" i="2" s="1"/>
  <c r="O384" i="2"/>
  <c r="P384" i="2" s="1"/>
  <c r="K384" i="2"/>
  <c r="F384" i="2"/>
  <c r="E384" i="2"/>
  <c r="G384" i="2" s="1"/>
  <c r="AP383" i="2"/>
  <c r="AO383" i="2"/>
  <c r="AL383" i="2"/>
  <c r="AK383" i="2"/>
  <c r="AI383" i="2"/>
  <c r="AF383" i="2"/>
  <c r="AE383" i="2"/>
  <c r="AM383" i="2" s="1"/>
  <c r="X383" i="2"/>
  <c r="AA383" i="2" s="1"/>
  <c r="T383" i="2"/>
  <c r="S383" i="2"/>
  <c r="P383" i="2"/>
  <c r="O383" i="2"/>
  <c r="K383" i="2"/>
  <c r="G383" i="2"/>
  <c r="F383" i="2"/>
  <c r="E383" i="2"/>
  <c r="AP382" i="2"/>
  <c r="AO382" i="2"/>
  <c r="AN382" i="2"/>
  <c r="AM382" i="2"/>
  <c r="AL382" i="2"/>
  <c r="AK382" i="2"/>
  <c r="AI382" i="2"/>
  <c r="AE382" i="2"/>
  <c r="AA382" i="2"/>
  <c r="X382" i="2"/>
  <c r="W382" i="2"/>
  <c r="U382" i="2"/>
  <c r="T382" i="2"/>
  <c r="S382" i="2"/>
  <c r="AG382" i="2" s="1"/>
  <c r="P382" i="2"/>
  <c r="O382" i="2"/>
  <c r="K382" i="2"/>
  <c r="AF382" i="2" s="1"/>
  <c r="G382" i="2"/>
  <c r="F382" i="2"/>
  <c r="E382" i="2"/>
  <c r="AP381" i="2"/>
  <c r="AO381" i="2"/>
  <c r="AM381" i="2"/>
  <c r="AL381" i="2"/>
  <c r="AN381" i="2" s="1"/>
  <c r="AK381" i="2"/>
  <c r="AI381" i="2"/>
  <c r="AE381" i="2"/>
  <c r="AA381" i="2"/>
  <c r="X381" i="2"/>
  <c r="T381" i="2"/>
  <c r="U381" i="2" s="1"/>
  <c r="W381" i="2" s="1"/>
  <c r="S381" i="2"/>
  <c r="AG381" i="2" s="1"/>
  <c r="P381" i="2"/>
  <c r="O381" i="2"/>
  <c r="K381" i="2"/>
  <c r="F381" i="2"/>
  <c r="E381" i="2"/>
  <c r="G381" i="2" s="1"/>
  <c r="AP380" i="2"/>
  <c r="AO380" i="2"/>
  <c r="AL380" i="2"/>
  <c r="AK380" i="2"/>
  <c r="AG380" i="2"/>
  <c r="AE380" i="2"/>
  <c r="AM380" i="2" s="1"/>
  <c r="AN380" i="2" s="1"/>
  <c r="AA380" i="2"/>
  <c r="X380" i="2"/>
  <c r="T380" i="2"/>
  <c r="S380" i="2"/>
  <c r="O380" i="2"/>
  <c r="P380" i="2" s="1"/>
  <c r="K380" i="2"/>
  <c r="AF380" i="2" s="1"/>
  <c r="F380" i="2"/>
  <c r="E380" i="2"/>
  <c r="G380" i="2" s="1"/>
  <c r="AP379" i="2"/>
  <c r="AO379" i="2"/>
  <c r="AM379" i="2"/>
  <c r="AL379" i="2"/>
  <c r="AK379" i="2"/>
  <c r="AI379" i="2"/>
  <c r="AF379" i="2"/>
  <c r="AE379" i="2"/>
  <c r="AA379" i="2"/>
  <c r="X379" i="2"/>
  <c r="T379" i="2"/>
  <c r="S379" i="2"/>
  <c r="U379" i="2" s="1"/>
  <c r="W379" i="2" s="1"/>
  <c r="P379" i="2"/>
  <c r="O379" i="2"/>
  <c r="K379" i="2"/>
  <c r="G379" i="2"/>
  <c r="F379" i="2"/>
  <c r="E379" i="2"/>
  <c r="AP378" i="2"/>
  <c r="AO378" i="2"/>
  <c r="AM378" i="2"/>
  <c r="AK378" i="2"/>
  <c r="AL378" i="2" s="1"/>
  <c r="AN378" i="2" s="1"/>
  <c r="AI378" i="2"/>
  <c r="AE378" i="2"/>
  <c r="X378" i="2"/>
  <c r="AA378" i="2" s="1"/>
  <c r="T378" i="2"/>
  <c r="U378" i="2" s="1"/>
  <c r="W378" i="2" s="1"/>
  <c r="S378" i="2"/>
  <c r="AG378" i="2" s="1"/>
  <c r="P378" i="2"/>
  <c r="O378" i="2"/>
  <c r="K378" i="2"/>
  <c r="AF378" i="2" s="1"/>
  <c r="G378" i="2"/>
  <c r="F378" i="2"/>
  <c r="E378" i="2"/>
  <c r="AP377" i="2"/>
  <c r="AO377" i="2"/>
  <c r="AM377" i="2"/>
  <c r="AL377" i="2"/>
  <c r="AN377" i="2" s="1"/>
  <c r="AK377" i="2"/>
  <c r="AI377" i="2"/>
  <c r="AE377" i="2"/>
  <c r="AA377" i="2"/>
  <c r="X377" i="2"/>
  <c r="U377" i="2"/>
  <c r="W377" i="2" s="1"/>
  <c r="T377" i="2"/>
  <c r="S377" i="2"/>
  <c r="AG377" i="2" s="1"/>
  <c r="P377" i="2"/>
  <c r="O377" i="2"/>
  <c r="K377" i="2"/>
  <c r="AF377" i="2" s="1"/>
  <c r="E377" i="2"/>
  <c r="G377" i="2" s="1"/>
  <c r="AP376" i="2"/>
  <c r="AO376" i="2"/>
  <c r="AL376" i="2"/>
  <c r="AK376" i="2"/>
  <c r="AI376" i="2"/>
  <c r="AE376" i="2"/>
  <c r="AM376" i="2" s="1"/>
  <c r="AA376" i="2"/>
  <c r="X376" i="2"/>
  <c r="T376" i="2"/>
  <c r="S376" i="2"/>
  <c r="U376" i="2" s="1"/>
  <c r="W376" i="2" s="1"/>
  <c r="P376" i="2"/>
  <c r="O376" i="2"/>
  <c r="K376" i="2"/>
  <c r="AF376" i="2" s="1"/>
  <c r="F376" i="2"/>
  <c r="E376" i="2"/>
  <c r="G376" i="2" s="1"/>
  <c r="AP375" i="2"/>
  <c r="AO375" i="2"/>
  <c r="AM375" i="2"/>
  <c r="AN375" i="2" s="1"/>
  <c r="AL375" i="2"/>
  <c r="AK375" i="2"/>
  <c r="AI375" i="2"/>
  <c r="AE375" i="2"/>
  <c r="X375" i="2"/>
  <c r="AA375" i="2" s="1"/>
  <c r="T375" i="2"/>
  <c r="S375" i="2"/>
  <c r="U375" i="2" s="1"/>
  <c r="W375" i="2" s="1"/>
  <c r="P375" i="2"/>
  <c r="O375" i="2"/>
  <c r="K375" i="2"/>
  <c r="G375" i="2"/>
  <c r="F375" i="2"/>
  <c r="E375" i="2"/>
  <c r="AP374" i="2"/>
  <c r="AO374" i="2"/>
  <c r="AM374" i="2"/>
  <c r="AL374" i="2"/>
  <c r="AN374" i="2" s="1"/>
  <c r="AK374" i="2"/>
  <c r="AI374" i="2"/>
  <c r="AF374" i="2"/>
  <c r="AE374" i="2"/>
  <c r="AA374" i="2"/>
  <c r="X374" i="2"/>
  <c r="U374" i="2"/>
  <c r="W374" i="2" s="1"/>
  <c r="T374" i="2"/>
  <c r="S374" i="2"/>
  <c r="AG374" i="2" s="1"/>
  <c r="P374" i="2"/>
  <c r="O374" i="2"/>
  <c r="K374" i="2"/>
  <c r="E374" i="2"/>
  <c r="G374" i="2" s="1"/>
  <c r="AP373" i="2"/>
  <c r="AO373" i="2"/>
  <c r="AN373" i="2"/>
  <c r="AM373" i="2"/>
  <c r="AL373" i="2"/>
  <c r="AK373" i="2"/>
  <c r="AE373" i="2"/>
  <c r="AA373" i="2"/>
  <c r="X373" i="2"/>
  <c r="T373" i="2"/>
  <c r="S373" i="2"/>
  <c r="U373" i="2" s="1"/>
  <c r="W373" i="2" s="1"/>
  <c r="P373" i="2"/>
  <c r="O373" i="2"/>
  <c r="K373" i="2"/>
  <c r="AF373" i="2" s="1"/>
  <c r="E373" i="2"/>
  <c r="G373" i="2" s="1"/>
  <c r="AP372" i="2"/>
  <c r="AO372" i="2"/>
  <c r="AN372" i="2"/>
  <c r="AL372" i="2"/>
  <c r="AK372" i="2"/>
  <c r="AE372" i="2"/>
  <c r="AM372" i="2" s="1"/>
  <c r="AA372" i="2"/>
  <c r="X372" i="2"/>
  <c r="T372" i="2"/>
  <c r="S372" i="2"/>
  <c r="P372" i="2"/>
  <c r="O372" i="2"/>
  <c r="K372" i="2"/>
  <c r="F372" i="2"/>
  <c r="E372" i="2"/>
  <c r="G372" i="2" s="1"/>
  <c r="AP371" i="2"/>
  <c r="AO371" i="2"/>
  <c r="AN371" i="2"/>
  <c r="AM371" i="2"/>
  <c r="AL371" i="2"/>
  <c r="AK371" i="2"/>
  <c r="AI371" i="2"/>
  <c r="AE371" i="2"/>
  <c r="X371" i="2"/>
  <c r="T371" i="2"/>
  <c r="S371" i="2"/>
  <c r="O371" i="2"/>
  <c r="P371" i="2" s="1"/>
  <c r="K371" i="2"/>
  <c r="G371" i="2"/>
  <c r="F371" i="2"/>
  <c r="E371" i="2"/>
  <c r="AP370" i="2"/>
  <c r="AO370" i="2"/>
  <c r="AM370" i="2"/>
  <c r="AK370" i="2"/>
  <c r="AL370" i="2" s="1"/>
  <c r="AN370" i="2" s="1"/>
  <c r="AI370" i="2"/>
  <c r="AF370" i="2"/>
  <c r="AE370" i="2"/>
  <c r="AA370" i="2"/>
  <c r="X370" i="2"/>
  <c r="T370" i="2"/>
  <c r="U370" i="2" s="1"/>
  <c r="W370" i="2" s="1"/>
  <c r="S370" i="2"/>
  <c r="AG370" i="2" s="1"/>
  <c r="P370" i="2"/>
  <c r="O370" i="2"/>
  <c r="K370" i="2"/>
  <c r="G370" i="2"/>
  <c r="F370" i="2"/>
  <c r="E370" i="2"/>
  <c r="AP369" i="2"/>
  <c r="AO369" i="2"/>
  <c r="AL369" i="2"/>
  <c r="AK369" i="2"/>
  <c r="AE369" i="2"/>
  <c r="AM369" i="2" s="1"/>
  <c r="AN369" i="2" s="1"/>
  <c r="AA369" i="2"/>
  <c r="X369" i="2"/>
  <c r="W369" i="2"/>
  <c r="T369" i="2"/>
  <c r="S369" i="2"/>
  <c r="U369" i="2" s="1"/>
  <c r="P369" i="2"/>
  <c r="O369" i="2"/>
  <c r="K369" i="2"/>
  <c r="AF369" i="2" s="1"/>
  <c r="E369" i="2"/>
  <c r="AP368" i="2"/>
  <c r="AO368" i="2"/>
  <c r="AN368" i="2"/>
  <c r="AL368" i="2"/>
  <c r="AK368" i="2"/>
  <c r="AI368" i="2"/>
  <c r="AG368" i="2"/>
  <c r="AF368" i="2"/>
  <c r="AE368" i="2"/>
  <c r="AM368" i="2" s="1"/>
  <c r="AA368" i="2"/>
  <c r="X368" i="2"/>
  <c r="T368" i="2"/>
  <c r="S368" i="2"/>
  <c r="U368" i="2" s="1"/>
  <c r="W368" i="2" s="1"/>
  <c r="O368" i="2"/>
  <c r="P368" i="2" s="1"/>
  <c r="K368" i="2"/>
  <c r="F368" i="2"/>
  <c r="E368" i="2"/>
  <c r="G368" i="2" s="1"/>
  <c r="AP367" i="2"/>
  <c r="AO367" i="2"/>
  <c r="AM367" i="2"/>
  <c r="AL367" i="2"/>
  <c r="AN367" i="2" s="1"/>
  <c r="AK367" i="2"/>
  <c r="AI367" i="2"/>
  <c r="AE367" i="2"/>
  <c r="AA367" i="2"/>
  <c r="X367" i="2"/>
  <c r="AF367" i="2" s="1"/>
  <c r="T367" i="2"/>
  <c r="S367" i="2"/>
  <c r="O367" i="2"/>
  <c r="P367" i="2" s="1"/>
  <c r="K367" i="2"/>
  <c r="G367" i="2"/>
  <c r="F367" i="2"/>
  <c r="E367" i="2"/>
  <c r="AP366" i="2"/>
  <c r="AO366" i="2"/>
  <c r="AM366" i="2"/>
  <c r="AK366" i="2"/>
  <c r="AL366" i="2" s="1"/>
  <c r="AN366" i="2" s="1"/>
  <c r="AI366" i="2"/>
  <c r="AF366" i="2"/>
  <c r="AE366" i="2"/>
  <c r="AA366" i="2"/>
  <c r="X366" i="2"/>
  <c r="T366" i="2"/>
  <c r="U366" i="2" s="1"/>
  <c r="W366" i="2" s="1"/>
  <c r="S366" i="2"/>
  <c r="AG366" i="2" s="1"/>
  <c r="P366" i="2"/>
  <c r="O366" i="2"/>
  <c r="K366" i="2"/>
  <c r="G366" i="2"/>
  <c r="F366" i="2"/>
  <c r="E366" i="2"/>
  <c r="AP365" i="2"/>
  <c r="AO365" i="2"/>
  <c r="AN365" i="2"/>
  <c r="AL365" i="2"/>
  <c r="AK365" i="2"/>
  <c r="AE365" i="2"/>
  <c r="AM365" i="2" s="1"/>
  <c r="AA365" i="2"/>
  <c r="X365" i="2"/>
  <c r="T365" i="2"/>
  <c r="S365" i="2"/>
  <c r="U365" i="2" s="1"/>
  <c r="W365" i="2" s="1"/>
  <c r="P365" i="2"/>
  <c r="O365" i="2"/>
  <c r="K365" i="2"/>
  <c r="AF365" i="2" s="1"/>
  <c r="E365" i="2"/>
  <c r="AP364" i="2"/>
  <c r="AO364" i="2"/>
  <c r="AL364" i="2"/>
  <c r="AK364" i="2"/>
  <c r="AE364" i="2"/>
  <c r="AM364" i="2" s="1"/>
  <c r="AN364" i="2" s="1"/>
  <c r="AA364" i="2"/>
  <c r="X364" i="2"/>
  <c r="T364" i="2"/>
  <c r="S364" i="2"/>
  <c r="AI364" i="2" s="1"/>
  <c r="O364" i="2"/>
  <c r="P364" i="2" s="1"/>
  <c r="K364" i="2"/>
  <c r="F364" i="2"/>
  <c r="E364" i="2"/>
  <c r="G364" i="2" s="1"/>
  <c r="AP363" i="2"/>
  <c r="AO363" i="2"/>
  <c r="AM363" i="2"/>
  <c r="AL363" i="2"/>
  <c r="AN363" i="2" s="1"/>
  <c r="AK363" i="2"/>
  <c r="AI363" i="2"/>
  <c r="AE363" i="2"/>
  <c r="AA363" i="2"/>
  <c r="X363" i="2"/>
  <c r="AF363" i="2" s="1"/>
  <c r="T363" i="2"/>
  <c r="S363" i="2"/>
  <c r="O363" i="2"/>
  <c r="P363" i="2" s="1"/>
  <c r="K363" i="2"/>
  <c r="G363" i="2"/>
  <c r="F363" i="2"/>
  <c r="E363" i="2"/>
  <c r="AP362" i="2"/>
  <c r="AO362" i="2"/>
  <c r="AM362" i="2"/>
  <c r="AK362" i="2"/>
  <c r="AL362" i="2" s="1"/>
  <c r="AN362" i="2" s="1"/>
  <c r="AI362" i="2"/>
  <c r="AF362" i="2"/>
  <c r="AE362" i="2"/>
  <c r="AA362" i="2"/>
  <c r="X362" i="2"/>
  <c r="T362" i="2"/>
  <c r="U362" i="2" s="1"/>
  <c r="W362" i="2" s="1"/>
  <c r="S362" i="2"/>
  <c r="AG362" i="2" s="1"/>
  <c r="P362" i="2"/>
  <c r="O362" i="2"/>
  <c r="K362" i="2"/>
  <c r="G362" i="2"/>
  <c r="F362" i="2"/>
  <c r="E362" i="2"/>
  <c r="AP361" i="2"/>
  <c r="AO361" i="2"/>
  <c r="AL361" i="2"/>
  <c r="AK361" i="2"/>
  <c r="AE361" i="2"/>
  <c r="AM361" i="2" s="1"/>
  <c r="AA361" i="2"/>
  <c r="X361" i="2"/>
  <c r="W361" i="2"/>
  <c r="T361" i="2"/>
  <c r="S361" i="2"/>
  <c r="U361" i="2" s="1"/>
  <c r="P361" i="2"/>
  <c r="O361" i="2"/>
  <c r="K361" i="2"/>
  <c r="AF361" i="2" s="1"/>
  <c r="F361" i="2"/>
  <c r="E361" i="2"/>
  <c r="G361" i="2" s="1"/>
  <c r="AP360" i="2"/>
  <c r="AO360" i="2"/>
  <c r="AL360" i="2"/>
  <c r="AK360" i="2"/>
  <c r="AI360" i="2"/>
  <c r="AG360" i="2"/>
  <c r="AF360" i="2"/>
  <c r="AE360" i="2"/>
  <c r="AM360" i="2" s="1"/>
  <c r="AN360" i="2" s="1"/>
  <c r="AA360" i="2"/>
  <c r="X360" i="2"/>
  <c r="T360" i="2"/>
  <c r="S360" i="2"/>
  <c r="U360" i="2" s="1"/>
  <c r="W360" i="2" s="1"/>
  <c r="O360" i="2"/>
  <c r="P360" i="2" s="1"/>
  <c r="K360" i="2"/>
  <c r="F360" i="2"/>
  <c r="E360" i="2"/>
  <c r="G360" i="2" s="1"/>
  <c r="AP359" i="2"/>
  <c r="AO359" i="2"/>
  <c r="AM359" i="2"/>
  <c r="AL359" i="2"/>
  <c r="AN359" i="2" s="1"/>
  <c r="AK359" i="2"/>
  <c r="AI359" i="2"/>
  <c r="AE359" i="2"/>
  <c r="AA359" i="2"/>
  <c r="X359" i="2"/>
  <c r="AF359" i="2" s="1"/>
  <c r="T359" i="2"/>
  <c r="S359" i="2"/>
  <c r="O359" i="2"/>
  <c r="P359" i="2" s="1"/>
  <c r="K359" i="2"/>
  <c r="G359" i="2"/>
  <c r="F359" i="2"/>
  <c r="E359" i="2"/>
  <c r="AP358" i="2"/>
  <c r="AO358" i="2"/>
  <c r="AM358" i="2"/>
  <c r="AK358" i="2"/>
  <c r="AL358" i="2" s="1"/>
  <c r="AN358" i="2" s="1"/>
  <c r="AI358" i="2"/>
  <c r="AF358" i="2"/>
  <c r="AE358" i="2"/>
  <c r="AA358" i="2"/>
  <c r="X358" i="2"/>
  <c r="T358" i="2"/>
  <c r="U358" i="2" s="1"/>
  <c r="W358" i="2" s="1"/>
  <c r="S358" i="2"/>
  <c r="AG358" i="2" s="1"/>
  <c r="P358" i="2"/>
  <c r="O358" i="2"/>
  <c r="K358" i="2"/>
  <c r="G358" i="2"/>
  <c r="F358" i="2"/>
  <c r="E358" i="2"/>
  <c r="AP357" i="2"/>
  <c r="AO357" i="2"/>
  <c r="AN357" i="2"/>
  <c r="AM357" i="2"/>
  <c r="AL357" i="2"/>
  <c r="AK357" i="2"/>
  <c r="AI357" i="2"/>
  <c r="AE357" i="2"/>
  <c r="AA357" i="2"/>
  <c r="X357" i="2"/>
  <c r="T357" i="2"/>
  <c r="U357" i="2" s="1"/>
  <c r="W357" i="2" s="1"/>
  <c r="S357" i="2"/>
  <c r="AG357" i="2" s="1"/>
  <c r="P357" i="2"/>
  <c r="O357" i="2"/>
  <c r="K357" i="2"/>
  <c r="AF357" i="2" s="1"/>
  <c r="F357" i="2"/>
  <c r="E357" i="2"/>
  <c r="G357" i="2" s="1"/>
  <c r="AP356" i="2"/>
  <c r="AO356" i="2"/>
  <c r="AL356" i="2"/>
  <c r="AN356" i="2" s="1"/>
  <c r="AK356" i="2"/>
  <c r="AG356" i="2"/>
  <c r="AE356" i="2"/>
  <c r="AM356" i="2" s="1"/>
  <c r="AA356" i="2"/>
  <c r="X356" i="2"/>
  <c r="T356" i="2"/>
  <c r="S356" i="2"/>
  <c r="AI356" i="2" s="1"/>
  <c r="P356" i="2"/>
  <c r="O356" i="2"/>
  <c r="K356" i="2"/>
  <c r="F356" i="2"/>
  <c r="E356" i="2"/>
  <c r="G356" i="2" s="1"/>
  <c r="AP355" i="2"/>
  <c r="AO355" i="2"/>
  <c r="AL355" i="2"/>
  <c r="AK355" i="2"/>
  <c r="AI355" i="2"/>
  <c r="AE355" i="2"/>
  <c r="AM355" i="2" s="1"/>
  <c r="AN355" i="2" s="1"/>
  <c r="AA355" i="2"/>
  <c r="X355" i="2"/>
  <c r="T355" i="2"/>
  <c r="S355" i="2"/>
  <c r="P355" i="2"/>
  <c r="O355" i="2"/>
  <c r="K355" i="2"/>
  <c r="AF355" i="2" s="1"/>
  <c r="G355" i="2"/>
  <c r="F355" i="2"/>
  <c r="E355" i="2"/>
  <c r="AP354" i="2"/>
  <c r="AO354" i="2"/>
  <c r="AM354" i="2"/>
  <c r="AK354" i="2"/>
  <c r="AL354" i="2" s="1"/>
  <c r="AN354" i="2" s="1"/>
  <c r="AI354" i="2"/>
  <c r="AF354" i="2"/>
  <c r="AE354" i="2"/>
  <c r="X354" i="2"/>
  <c r="AA354" i="2" s="1"/>
  <c r="U354" i="2"/>
  <c r="W354" i="2" s="1"/>
  <c r="T354" i="2"/>
  <c r="S354" i="2"/>
  <c r="AG354" i="2" s="1"/>
  <c r="P354" i="2"/>
  <c r="O354" i="2"/>
  <c r="K354" i="2"/>
  <c r="E354" i="2"/>
  <c r="AP353" i="2"/>
  <c r="AO353" i="2"/>
  <c r="AN353" i="2"/>
  <c r="AL353" i="2"/>
  <c r="AK353" i="2"/>
  <c r="AI353" i="2"/>
  <c r="AE353" i="2"/>
  <c r="AM353" i="2" s="1"/>
  <c r="AA353" i="2"/>
  <c r="X353" i="2"/>
  <c r="T353" i="2"/>
  <c r="U353" i="2" s="1"/>
  <c r="W353" i="2" s="1"/>
  <c r="S353" i="2"/>
  <c r="AG353" i="2" s="1"/>
  <c r="P353" i="2"/>
  <c r="O353" i="2"/>
  <c r="K353" i="2"/>
  <c r="AF353" i="2" s="1"/>
  <c r="F353" i="2"/>
  <c r="E353" i="2"/>
  <c r="G353" i="2" s="1"/>
  <c r="AP352" i="2"/>
  <c r="AO352" i="2"/>
  <c r="AL352" i="2"/>
  <c r="AN352" i="2" s="1"/>
  <c r="AK352" i="2"/>
  <c r="AE352" i="2"/>
  <c r="AM352" i="2" s="1"/>
  <c r="AA352" i="2"/>
  <c r="X352" i="2"/>
  <c r="T352" i="2"/>
  <c r="S352" i="2"/>
  <c r="P352" i="2"/>
  <c r="O352" i="2"/>
  <c r="K352" i="2"/>
  <c r="G352" i="2"/>
  <c r="F352" i="2"/>
  <c r="E352" i="2"/>
  <c r="AP351" i="2"/>
  <c r="AO351" i="2"/>
  <c r="AL351" i="2"/>
  <c r="AK351" i="2"/>
  <c r="AI351" i="2"/>
  <c r="AE351" i="2"/>
  <c r="AM351" i="2" s="1"/>
  <c r="AN351" i="2" s="1"/>
  <c r="X351" i="2"/>
  <c r="AA351" i="2" s="1"/>
  <c r="T351" i="2"/>
  <c r="S351" i="2"/>
  <c r="U351" i="2" s="1"/>
  <c r="W351" i="2" s="1"/>
  <c r="O351" i="2"/>
  <c r="P351" i="2" s="1"/>
  <c r="K351" i="2"/>
  <c r="G351" i="2"/>
  <c r="F351" i="2"/>
  <c r="E351" i="2"/>
  <c r="AP350" i="2"/>
  <c r="AO350" i="2"/>
  <c r="AM350" i="2"/>
  <c r="AL350" i="2"/>
  <c r="AN350" i="2" s="1"/>
  <c r="AK350" i="2"/>
  <c r="AI350" i="2"/>
  <c r="AE350" i="2"/>
  <c r="AA350" i="2"/>
  <c r="X350" i="2"/>
  <c r="T350" i="2"/>
  <c r="U350" i="2" s="1"/>
  <c r="W350" i="2" s="1"/>
  <c r="S350" i="2"/>
  <c r="AG350" i="2" s="1"/>
  <c r="P350" i="2"/>
  <c r="O350" i="2"/>
  <c r="K350" i="2"/>
  <c r="AF350" i="2" s="1"/>
  <c r="F350" i="2"/>
  <c r="E350" i="2"/>
  <c r="G350" i="2" s="1"/>
  <c r="AP349" i="2"/>
  <c r="AO349" i="2"/>
  <c r="AK349" i="2"/>
  <c r="AL349" i="2" s="1"/>
  <c r="AG349" i="2"/>
  <c r="AE349" i="2"/>
  <c r="AM349" i="2" s="1"/>
  <c r="AA349" i="2"/>
  <c r="X349" i="2"/>
  <c r="T349" i="2"/>
  <c r="S349" i="2"/>
  <c r="P349" i="2"/>
  <c r="O349" i="2"/>
  <c r="K349" i="2"/>
  <c r="AF349" i="2" s="1"/>
  <c r="F349" i="2"/>
  <c r="E349" i="2"/>
  <c r="G349" i="2" s="1"/>
  <c r="AP348" i="2"/>
  <c r="AO348" i="2"/>
  <c r="AN348" i="2"/>
  <c r="AL348" i="2"/>
  <c r="AK348" i="2"/>
  <c r="AI348" i="2"/>
  <c r="AE348" i="2"/>
  <c r="AM348" i="2" s="1"/>
  <c r="AA348" i="2"/>
  <c r="X348" i="2"/>
  <c r="T348" i="2"/>
  <c r="S348" i="2"/>
  <c r="P348" i="2"/>
  <c r="O348" i="2"/>
  <c r="K348" i="2"/>
  <c r="AF348" i="2" s="1"/>
  <c r="F348" i="2"/>
  <c r="E348" i="2"/>
  <c r="G348" i="2" s="1"/>
  <c r="AP347" i="2"/>
  <c r="AO347" i="2"/>
  <c r="AL347" i="2"/>
  <c r="AK347" i="2"/>
  <c r="AI347" i="2"/>
  <c r="AE347" i="2"/>
  <c r="AM347" i="2" s="1"/>
  <c r="AN347" i="2" s="1"/>
  <c r="X347" i="2"/>
  <c r="AA347" i="2" s="1"/>
  <c r="T347" i="2"/>
  <c r="S347" i="2"/>
  <c r="U347" i="2" s="1"/>
  <c r="W347" i="2" s="1"/>
  <c r="O347" i="2"/>
  <c r="P347" i="2" s="1"/>
  <c r="K347" i="2"/>
  <c r="AF347" i="2" s="1"/>
  <c r="G347" i="2"/>
  <c r="F347" i="2"/>
  <c r="E347" i="2"/>
  <c r="AP346" i="2"/>
  <c r="AO346" i="2"/>
  <c r="AM346" i="2"/>
  <c r="AL346" i="2"/>
  <c r="AN346" i="2" s="1"/>
  <c r="AK346" i="2"/>
  <c r="AI346" i="2"/>
  <c r="AE346" i="2"/>
  <c r="AA346" i="2"/>
  <c r="X346" i="2"/>
  <c r="T346" i="2"/>
  <c r="U346" i="2" s="1"/>
  <c r="W346" i="2" s="1"/>
  <c r="S346" i="2"/>
  <c r="AG346" i="2" s="1"/>
  <c r="P346" i="2"/>
  <c r="O346" i="2"/>
  <c r="K346" i="2"/>
  <c r="AF346" i="2" s="1"/>
  <c r="F346" i="2"/>
  <c r="E346" i="2"/>
  <c r="G346" i="2" s="1"/>
  <c r="AP345" i="2"/>
  <c r="AO345" i="2"/>
  <c r="AK345" i="2"/>
  <c r="AL345" i="2" s="1"/>
  <c r="AN345" i="2" s="1"/>
  <c r="AG345" i="2"/>
  <c r="AE345" i="2"/>
  <c r="AM345" i="2" s="1"/>
  <c r="AA345" i="2"/>
  <c r="X345" i="2"/>
  <c r="T345" i="2"/>
  <c r="S345" i="2"/>
  <c r="P345" i="2"/>
  <c r="O345" i="2"/>
  <c r="K345" i="2"/>
  <c r="AF345" i="2" s="1"/>
  <c r="F345" i="2"/>
  <c r="E345" i="2"/>
  <c r="G345" i="2" s="1"/>
  <c r="AP344" i="2"/>
  <c r="AO344" i="2"/>
  <c r="AL344" i="2"/>
  <c r="AN344" i="2" s="1"/>
  <c r="AK344" i="2"/>
  <c r="AE344" i="2"/>
  <c r="AM344" i="2" s="1"/>
  <c r="AA344" i="2"/>
  <c r="X344" i="2"/>
  <c r="T344" i="2"/>
  <c r="S344" i="2"/>
  <c r="P344" i="2"/>
  <c r="O344" i="2"/>
  <c r="K344" i="2"/>
  <c r="F344" i="2"/>
  <c r="E344" i="2"/>
  <c r="G344" i="2" s="1"/>
  <c r="AP343" i="2"/>
  <c r="AO343" i="2"/>
  <c r="AN343" i="2"/>
  <c r="AL343" i="2"/>
  <c r="AK343" i="2"/>
  <c r="AI343" i="2"/>
  <c r="AE343" i="2"/>
  <c r="AM343" i="2" s="1"/>
  <c r="AA343" i="2"/>
  <c r="X343" i="2"/>
  <c r="AF343" i="2" s="1"/>
  <c r="T343" i="2"/>
  <c r="S343" i="2"/>
  <c r="U343" i="2" s="1"/>
  <c r="W343" i="2" s="1"/>
  <c r="O343" i="2"/>
  <c r="P343" i="2" s="1"/>
  <c r="K343" i="2"/>
  <c r="G343" i="2"/>
  <c r="F343" i="2"/>
  <c r="E343" i="2"/>
  <c r="AP342" i="2"/>
  <c r="AO342" i="2"/>
  <c r="AM342" i="2"/>
  <c r="AL342" i="2"/>
  <c r="AK342" i="2"/>
  <c r="AI342" i="2"/>
  <c r="AE342" i="2"/>
  <c r="AA342" i="2"/>
  <c r="X342" i="2"/>
  <c r="U342" i="2"/>
  <c r="W342" i="2" s="1"/>
  <c r="T342" i="2"/>
  <c r="S342" i="2"/>
  <c r="AG342" i="2" s="1"/>
  <c r="P342" i="2"/>
  <c r="O342" i="2"/>
  <c r="K342" i="2"/>
  <c r="AF342" i="2" s="1"/>
  <c r="E342" i="2"/>
  <c r="G342" i="2" s="1"/>
  <c r="AP341" i="2"/>
  <c r="AO341" i="2"/>
  <c r="AL341" i="2"/>
  <c r="AK341" i="2"/>
  <c r="AG341" i="2"/>
  <c r="AF341" i="2"/>
  <c r="AE341" i="2"/>
  <c r="AM341" i="2" s="1"/>
  <c r="AA341" i="2"/>
  <c r="X341" i="2"/>
  <c r="T341" i="2"/>
  <c r="S341" i="2"/>
  <c r="U341" i="2" s="1"/>
  <c r="W341" i="2" s="1"/>
  <c r="O341" i="2"/>
  <c r="P341" i="2" s="1"/>
  <c r="K341" i="2"/>
  <c r="G341" i="2"/>
  <c r="F341" i="2"/>
  <c r="E341" i="2"/>
  <c r="AP340" i="2"/>
  <c r="AO340" i="2"/>
  <c r="AM340" i="2"/>
  <c r="AN340" i="2" s="1"/>
  <c r="AL340" i="2"/>
  <c r="AK340" i="2"/>
  <c r="AI340" i="2"/>
  <c r="AE340" i="2"/>
  <c r="AA340" i="2"/>
  <c r="X340" i="2"/>
  <c r="T340" i="2"/>
  <c r="U340" i="2" s="1"/>
  <c r="W340" i="2" s="1"/>
  <c r="S340" i="2"/>
  <c r="AG340" i="2" s="1"/>
  <c r="P340" i="2"/>
  <c r="O340" i="2"/>
  <c r="K340" i="2"/>
  <c r="AF340" i="2" s="1"/>
  <c r="G340" i="2"/>
  <c r="F340" i="2"/>
  <c r="E340" i="2"/>
  <c r="AP339" i="2"/>
  <c r="AO339" i="2"/>
  <c r="AN339" i="2"/>
  <c r="AM339" i="2"/>
  <c r="AL339" i="2"/>
  <c r="AK339" i="2"/>
  <c r="AI339" i="2"/>
  <c r="AE339" i="2"/>
  <c r="X339" i="2"/>
  <c r="AA339" i="2" s="1"/>
  <c r="W339" i="2"/>
  <c r="U339" i="2"/>
  <c r="T339" i="2"/>
  <c r="S339" i="2"/>
  <c r="AG339" i="2" s="1"/>
  <c r="P339" i="2"/>
  <c r="O339" i="2"/>
  <c r="K339" i="2"/>
  <c r="G339" i="2"/>
  <c r="F339" i="2"/>
  <c r="E339" i="2"/>
  <c r="AP338" i="2"/>
  <c r="AO338" i="2"/>
  <c r="AL338" i="2"/>
  <c r="AK338" i="2"/>
  <c r="AI338" i="2"/>
  <c r="AG338" i="2"/>
  <c r="AE338" i="2"/>
  <c r="AM338" i="2" s="1"/>
  <c r="AA338" i="2"/>
  <c r="X338" i="2"/>
  <c r="T338" i="2"/>
  <c r="S338" i="2"/>
  <c r="U338" i="2" s="1"/>
  <c r="W338" i="2" s="1"/>
  <c r="P338" i="2"/>
  <c r="O338" i="2"/>
  <c r="K338" i="2"/>
  <c r="AF338" i="2" s="1"/>
  <c r="F338" i="2"/>
  <c r="E338" i="2"/>
  <c r="G338" i="2" s="1"/>
  <c r="AP337" i="2"/>
  <c r="AO337" i="2"/>
  <c r="AL337" i="2"/>
  <c r="AN337" i="2" s="1"/>
  <c r="AK337" i="2"/>
  <c r="AI337" i="2"/>
  <c r="AG337" i="2"/>
  <c r="AE337" i="2"/>
  <c r="AM337" i="2" s="1"/>
  <c r="AA337" i="2"/>
  <c r="X337" i="2"/>
  <c r="T337" i="2"/>
  <c r="S337" i="2"/>
  <c r="O337" i="2"/>
  <c r="P337" i="2" s="1"/>
  <c r="K337" i="2"/>
  <c r="G337" i="2"/>
  <c r="F337" i="2"/>
  <c r="E337" i="2"/>
  <c r="AP336" i="2"/>
  <c r="AO336" i="2"/>
  <c r="AM336" i="2"/>
  <c r="AN336" i="2" s="1"/>
  <c r="AL336" i="2"/>
  <c r="AK336" i="2"/>
  <c r="AI336" i="2"/>
  <c r="AE336" i="2"/>
  <c r="X336" i="2"/>
  <c r="AA336" i="2" s="1"/>
  <c r="T336" i="2"/>
  <c r="U336" i="2" s="1"/>
  <c r="W336" i="2" s="1"/>
  <c r="S336" i="2"/>
  <c r="AG336" i="2" s="1"/>
  <c r="O336" i="2"/>
  <c r="P336" i="2" s="1"/>
  <c r="K336" i="2"/>
  <c r="AF336" i="2" s="1"/>
  <c r="G336" i="2"/>
  <c r="F336" i="2"/>
  <c r="E336" i="2"/>
  <c r="AP335" i="2"/>
  <c r="AO335" i="2"/>
  <c r="AM335" i="2"/>
  <c r="AK335" i="2"/>
  <c r="AL335" i="2" s="1"/>
  <c r="AN335" i="2" s="1"/>
  <c r="AI335" i="2"/>
  <c r="AE335" i="2"/>
  <c r="AA335" i="2"/>
  <c r="X335" i="2"/>
  <c r="U335" i="2"/>
  <c r="W335" i="2" s="1"/>
  <c r="T335" i="2"/>
  <c r="S335" i="2"/>
  <c r="AG335" i="2" s="1"/>
  <c r="P335" i="2"/>
  <c r="O335" i="2"/>
  <c r="K335" i="2"/>
  <c r="AF335" i="2" s="1"/>
  <c r="E335" i="2"/>
  <c r="G335" i="2" s="1"/>
  <c r="AP334" i="2"/>
  <c r="AO334" i="2"/>
  <c r="AK334" i="2"/>
  <c r="AL334" i="2" s="1"/>
  <c r="AN334" i="2" s="1"/>
  <c r="AI334" i="2"/>
  <c r="AE334" i="2"/>
  <c r="AM334" i="2" s="1"/>
  <c r="AA334" i="2"/>
  <c r="X334" i="2"/>
  <c r="T334" i="2"/>
  <c r="S334" i="2"/>
  <c r="AG334" i="2" s="1"/>
  <c r="P334" i="2"/>
  <c r="O334" i="2"/>
  <c r="K334" i="2"/>
  <c r="E334" i="2"/>
  <c r="AP333" i="2"/>
  <c r="AO333" i="2"/>
  <c r="AL333" i="2"/>
  <c r="AK333" i="2"/>
  <c r="AG333" i="2"/>
  <c r="AE333" i="2"/>
  <c r="AM333" i="2" s="1"/>
  <c r="AA333" i="2"/>
  <c r="X333" i="2"/>
  <c r="T333" i="2"/>
  <c r="S333" i="2"/>
  <c r="AI333" i="2" s="1"/>
  <c r="O333" i="2"/>
  <c r="P333" i="2" s="1"/>
  <c r="K333" i="2"/>
  <c r="G333" i="2"/>
  <c r="F333" i="2"/>
  <c r="E333" i="2"/>
  <c r="AP332" i="2"/>
  <c r="AO332" i="2"/>
  <c r="AL332" i="2"/>
  <c r="AK332" i="2"/>
  <c r="AI332" i="2"/>
  <c r="AE332" i="2"/>
  <c r="AM332" i="2" s="1"/>
  <c r="AN332" i="2" s="1"/>
  <c r="AA332" i="2"/>
  <c r="X332" i="2"/>
  <c r="T332" i="2"/>
  <c r="U332" i="2" s="1"/>
  <c r="W332" i="2" s="1"/>
  <c r="S332" i="2"/>
  <c r="AG332" i="2" s="1"/>
  <c r="O332" i="2"/>
  <c r="P332" i="2" s="1"/>
  <c r="K332" i="2"/>
  <c r="AF332" i="2" s="1"/>
  <c r="G332" i="2"/>
  <c r="F332" i="2"/>
  <c r="E332" i="2"/>
  <c r="AP331" i="2"/>
  <c r="AO331" i="2"/>
  <c r="AM331" i="2"/>
  <c r="AL331" i="2"/>
  <c r="AN331" i="2" s="1"/>
  <c r="AK331" i="2"/>
  <c r="AI331" i="2"/>
  <c r="AE331" i="2"/>
  <c r="AA331" i="2"/>
  <c r="X331" i="2"/>
  <c r="U331" i="2"/>
  <c r="W331" i="2" s="1"/>
  <c r="T331" i="2"/>
  <c r="S331" i="2"/>
  <c r="AG331" i="2" s="1"/>
  <c r="P331" i="2"/>
  <c r="O331" i="2"/>
  <c r="K331" i="2"/>
  <c r="AF331" i="2" s="1"/>
  <c r="E331" i="2"/>
  <c r="G331" i="2" s="1"/>
  <c r="AP330" i="2"/>
  <c r="AO330" i="2"/>
  <c r="AL330" i="2"/>
  <c r="AK330" i="2"/>
  <c r="AE330" i="2"/>
  <c r="AM330" i="2" s="1"/>
  <c r="AA330" i="2"/>
  <c r="X330" i="2"/>
  <c r="T330" i="2"/>
  <c r="S330" i="2"/>
  <c r="U330" i="2" s="1"/>
  <c r="W330" i="2" s="1"/>
  <c r="P330" i="2"/>
  <c r="O330" i="2"/>
  <c r="K330" i="2"/>
  <c r="AF330" i="2" s="1"/>
  <c r="E330" i="2"/>
  <c r="G330" i="2" s="1"/>
  <c r="AP329" i="2"/>
  <c r="AO329" i="2"/>
  <c r="AL329" i="2"/>
  <c r="AK329" i="2"/>
  <c r="AI329" i="2"/>
  <c r="AG329" i="2"/>
  <c r="AF329" i="2"/>
  <c r="AE329" i="2"/>
  <c r="AM329" i="2" s="1"/>
  <c r="AA329" i="2"/>
  <c r="X329" i="2"/>
  <c r="T329" i="2"/>
  <c r="S329" i="2"/>
  <c r="O329" i="2"/>
  <c r="P329" i="2" s="1"/>
  <c r="K329" i="2"/>
  <c r="G329" i="2"/>
  <c r="F329" i="2"/>
  <c r="E329" i="2"/>
  <c r="AP328" i="2"/>
  <c r="AO328" i="2"/>
  <c r="AM328" i="2"/>
  <c r="AN328" i="2" s="1"/>
  <c r="AL328" i="2"/>
  <c r="AK328" i="2"/>
  <c r="AI328" i="2"/>
  <c r="AE328" i="2"/>
  <c r="X328" i="2"/>
  <c r="AA328" i="2" s="1"/>
  <c r="T328" i="2"/>
  <c r="U328" i="2" s="1"/>
  <c r="W328" i="2" s="1"/>
  <c r="S328" i="2"/>
  <c r="AG328" i="2" s="1"/>
  <c r="P328" i="2"/>
  <c r="O328" i="2"/>
  <c r="K328" i="2"/>
  <c r="G328" i="2"/>
  <c r="F328" i="2"/>
  <c r="E328" i="2"/>
  <c r="AP327" i="2"/>
  <c r="AO327" i="2"/>
  <c r="AN327" i="2"/>
  <c r="AM327" i="2"/>
  <c r="AK327" i="2"/>
  <c r="AL327" i="2" s="1"/>
  <c r="AI327" i="2"/>
  <c r="AE327" i="2"/>
  <c r="X327" i="2"/>
  <c r="AA327" i="2" s="1"/>
  <c r="W327" i="2"/>
  <c r="U327" i="2"/>
  <c r="T327" i="2"/>
  <c r="S327" i="2"/>
  <c r="AG327" i="2" s="1"/>
  <c r="P327" i="2"/>
  <c r="O327" i="2"/>
  <c r="K327" i="2"/>
  <c r="G327" i="2"/>
  <c r="F327" i="2"/>
  <c r="E327" i="2"/>
  <c r="AP326" i="2"/>
  <c r="AO326" i="2"/>
  <c r="AK326" i="2"/>
  <c r="AL326" i="2" s="1"/>
  <c r="AN326" i="2" s="1"/>
  <c r="AI326" i="2"/>
  <c r="AG326" i="2"/>
  <c r="AE326" i="2"/>
  <c r="AM326" i="2" s="1"/>
  <c r="AA326" i="2"/>
  <c r="X326" i="2"/>
  <c r="T326" i="2"/>
  <c r="S326" i="2"/>
  <c r="U326" i="2" s="1"/>
  <c r="W326" i="2" s="1"/>
  <c r="P326" i="2"/>
  <c r="O326" i="2"/>
  <c r="K326" i="2"/>
  <c r="F326" i="2"/>
  <c r="E326" i="2"/>
  <c r="G326" i="2" s="1"/>
  <c r="AP325" i="2"/>
  <c r="AO325" i="2"/>
  <c r="AL325" i="2"/>
  <c r="AN325" i="2" s="1"/>
  <c r="AK325" i="2"/>
  <c r="AG325" i="2"/>
  <c r="AE325" i="2"/>
  <c r="AM325" i="2" s="1"/>
  <c r="AA325" i="2"/>
  <c r="X325" i="2"/>
  <c r="T325" i="2"/>
  <c r="S325" i="2"/>
  <c r="P325" i="2"/>
  <c r="O325" i="2"/>
  <c r="K325" i="2"/>
  <c r="AF325" i="2" s="1"/>
  <c r="G325" i="2"/>
  <c r="F325" i="2"/>
  <c r="E325" i="2"/>
  <c r="AP324" i="2"/>
  <c r="AO324" i="2"/>
  <c r="AL324" i="2"/>
  <c r="AN324" i="2" s="1"/>
  <c r="AK324" i="2"/>
  <c r="AI324" i="2"/>
  <c r="AF324" i="2"/>
  <c r="AE324" i="2"/>
  <c r="AM324" i="2" s="1"/>
  <c r="X324" i="2"/>
  <c r="AA324" i="2" s="1"/>
  <c r="T324" i="2"/>
  <c r="U324" i="2" s="1"/>
  <c r="W324" i="2" s="1"/>
  <c r="S324" i="2"/>
  <c r="AG324" i="2" s="1"/>
  <c r="P324" i="2"/>
  <c r="O324" i="2"/>
  <c r="K324" i="2"/>
  <c r="G324" i="2"/>
  <c r="F324" i="2"/>
  <c r="E324" i="2"/>
  <c r="AP323" i="2"/>
  <c r="AO323" i="2"/>
  <c r="AN323" i="2"/>
  <c r="AM323" i="2"/>
  <c r="AL323" i="2"/>
  <c r="AK323" i="2"/>
  <c r="AI323" i="2"/>
  <c r="AE323" i="2"/>
  <c r="X323" i="2"/>
  <c r="AA323" i="2" s="1"/>
  <c r="W323" i="2"/>
  <c r="U323" i="2"/>
  <c r="T323" i="2"/>
  <c r="S323" i="2"/>
  <c r="AG323" i="2" s="1"/>
  <c r="P323" i="2"/>
  <c r="O323" i="2"/>
  <c r="K323" i="2"/>
  <c r="G323" i="2"/>
  <c r="F323" i="2"/>
  <c r="E323" i="2"/>
  <c r="AP322" i="2"/>
  <c r="AO322" i="2"/>
  <c r="AK322" i="2"/>
  <c r="AL322" i="2" s="1"/>
  <c r="AN322" i="2" s="1"/>
  <c r="AG322" i="2"/>
  <c r="AE322" i="2"/>
  <c r="AM322" i="2" s="1"/>
  <c r="AA322" i="2"/>
  <c r="X322" i="2"/>
  <c r="T322" i="2"/>
  <c r="S322" i="2"/>
  <c r="AI322" i="2" s="1"/>
  <c r="P322" i="2"/>
  <c r="O322" i="2"/>
  <c r="K322" i="2"/>
  <c r="E322" i="2"/>
  <c r="AP321" i="2"/>
  <c r="AO321" i="2"/>
  <c r="AN321" i="2"/>
  <c r="AL321" i="2"/>
  <c r="AK321" i="2"/>
  <c r="AF321" i="2"/>
  <c r="AE321" i="2"/>
  <c r="AM321" i="2" s="1"/>
  <c r="AA321" i="2"/>
  <c r="X321" i="2"/>
  <c r="T321" i="2"/>
  <c r="S321" i="2"/>
  <c r="U321" i="2" s="1"/>
  <c r="W321" i="2" s="1"/>
  <c r="O321" i="2"/>
  <c r="P321" i="2" s="1"/>
  <c r="K321" i="2"/>
  <c r="G321" i="2"/>
  <c r="F321" i="2"/>
  <c r="E321" i="2"/>
  <c r="AP320" i="2"/>
  <c r="AO320" i="2"/>
  <c r="AM320" i="2"/>
  <c r="AL320" i="2"/>
  <c r="AN320" i="2" s="1"/>
  <c r="AK320" i="2"/>
  <c r="AI320" i="2"/>
  <c r="AF320" i="2"/>
  <c r="AE320" i="2"/>
  <c r="AA320" i="2"/>
  <c r="X320" i="2"/>
  <c r="T320" i="2"/>
  <c r="U320" i="2" s="1"/>
  <c r="W320" i="2" s="1"/>
  <c r="S320" i="2"/>
  <c r="AG320" i="2" s="1"/>
  <c r="P320" i="2"/>
  <c r="O320" i="2"/>
  <c r="K320" i="2"/>
  <c r="G320" i="2"/>
  <c r="F320" i="2"/>
  <c r="E320" i="2"/>
  <c r="AP319" i="2"/>
  <c r="AO319" i="2"/>
  <c r="AN319" i="2"/>
  <c r="AM319" i="2"/>
  <c r="AK319" i="2"/>
  <c r="AL319" i="2" s="1"/>
  <c r="AI319" i="2"/>
  <c r="AE319" i="2"/>
  <c r="X319" i="2"/>
  <c r="AA319" i="2" s="1"/>
  <c r="T319" i="2"/>
  <c r="U319" i="2" s="1"/>
  <c r="W319" i="2" s="1"/>
  <c r="S319" i="2"/>
  <c r="AG319" i="2" s="1"/>
  <c r="P319" i="2"/>
  <c r="O319" i="2"/>
  <c r="K319" i="2"/>
  <c r="G319" i="2"/>
  <c r="F319" i="2"/>
  <c r="E319" i="2"/>
  <c r="AP318" i="2"/>
  <c r="AO318" i="2"/>
  <c r="AK318" i="2"/>
  <c r="AL318" i="2" s="1"/>
  <c r="AN318" i="2" s="1"/>
  <c r="AI318" i="2"/>
  <c r="AE318" i="2"/>
  <c r="AM318" i="2" s="1"/>
  <c r="AA318" i="2"/>
  <c r="X318" i="2"/>
  <c r="U318" i="2"/>
  <c r="W318" i="2" s="1"/>
  <c r="T318" i="2"/>
  <c r="S318" i="2"/>
  <c r="AG318" i="2" s="1"/>
  <c r="P318" i="2"/>
  <c r="O318" i="2"/>
  <c r="K318" i="2"/>
  <c r="F318" i="2"/>
  <c r="E318" i="2"/>
  <c r="G318" i="2" s="1"/>
  <c r="AP317" i="2"/>
  <c r="AO317" i="2"/>
  <c r="AL317" i="2"/>
  <c r="AK317" i="2"/>
  <c r="AG317" i="2"/>
  <c r="AF317" i="2"/>
  <c r="AE317" i="2"/>
  <c r="AM317" i="2" s="1"/>
  <c r="AN317" i="2" s="1"/>
  <c r="AA317" i="2"/>
  <c r="X317" i="2"/>
  <c r="T317" i="2"/>
  <c r="S317" i="2"/>
  <c r="O317" i="2"/>
  <c r="P317" i="2" s="1"/>
  <c r="K317" i="2"/>
  <c r="G317" i="2"/>
  <c r="F317" i="2"/>
  <c r="E317" i="2"/>
  <c r="AP316" i="2"/>
  <c r="AO316" i="2"/>
  <c r="AM316" i="2"/>
  <c r="AL316" i="2"/>
  <c r="AN316" i="2" s="1"/>
  <c r="AK316" i="2"/>
  <c r="AI316" i="2"/>
  <c r="AE316" i="2"/>
  <c r="X316" i="2"/>
  <c r="AA316" i="2" s="1"/>
  <c r="T316" i="2"/>
  <c r="U316" i="2" s="1"/>
  <c r="W316" i="2" s="1"/>
  <c r="S316" i="2"/>
  <c r="AG316" i="2" s="1"/>
  <c r="P316" i="2"/>
  <c r="O316" i="2"/>
  <c r="K316" i="2"/>
  <c r="AF316" i="2" s="1"/>
  <c r="G316" i="2"/>
  <c r="F316" i="2"/>
  <c r="E316" i="2"/>
  <c r="AP315" i="2"/>
  <c r="AO315" i="2"/>
  <c r="AM315" i="2"/>
  <c r="AL315" i="2"/>
  <c r="AN315" i="2" s="1"/>
  <c r="AK315" i="2"/>
  <c r="AI315" i="2"/>
  <c r="AE315" i="2"/>
  <c r="AA315" i="2"/>
  <c r="X315" i="2"/>
  <c r="U315" i="2"/>
  <c r="W315" i="2" s="1"/>
  <c r="T315" i="2"/>
  <c r="S315" i="2"/>
  <c r="AG315" i="2" s="1"/>
  <c r="P315" i="2"/>
  <c r="O315" i="2"/>
  <c r="K315" i="2"/>
  <c r="AF315" i="2" s="1"/>
  <c r="E315" i="2"/>
  <c r="G315" i="2" s="1"/>
  <c r="AP314" i="2"/>
  <c r="AO314" i="2"/>
  <c r="AN314" i="2"/>
  <c r="AK314" i="2"/>
  <c r="AL314" i="2" s="1"/>
  <c r="AI314" i="2"/>
  <c r="AE314" i="2"/>
  <c r="AM314" i="2" s="1"/>
  <c r="AA314" i="2"/>
  <c r="X314" i="2"/>
  <c r="W314" i="2"/>
  <c r="U314" i="2"/>
  <c r="T314" i="2"/>
  <c r="S314" i="2"/>
  <c r="AG314" i="2" s="1"/>
  <c r="P314" i="2"/>
  <c r="O314" i="2"/>
  <c r="K314" i="2"/>
  <c r="AF314" i="2" s="1"/>
  <c r="E314" i="2"/>
  <c r="AP313" i="2"/>
  <c r="AO313" i="2"/>
  <c r="AL313" i="2"/>
  <c r="AK313" i="2"/>
  <c r="AI313" i="2"/>
  <c r="AG313" i="2"/>
  <c r="AE313" i="2"/>
  <c r="AM313" i="2" s="1"/>
  <c r="AA313" i="2"/>
  <c r="X313" i="2"/>
  <c r="T313" i="2"/>
  <c r="S313" i="2"/>
  <c r="U313" i="2" s="1"/>
  <c r="W313" i="2" s="1"/>
  <c r="O313" i="2"/>
  <c r="P313" i="2" s="1"/>
  <c r="K313" i="2"/>
  <c r="AF313" i="2" s="1"/>
  <c r="G313" i="2"/>
  <c r="F313" i="2"/>
  <c r="E313" i="2"/>
  <c r="AP312" i="2"/>
  <c r="AO312" i="2"/>
  <c r="AM312" i="2"/>
  <c r="AL312" i="2"/>
  <c r="AN312" i="2" s="1"/>
  <c r="AK312" i="2"/>
  <c r="AI312" i="2"/>
  <c r="AE312" i="2"/>
  <c r="AA312" i="2"/>
  <c r="X312" i="2"/>
  <c r="AF312" i="2" s="1"/>
  <c r="T312" i="2"/>
  <c r="U312" i="2" s="1"/>
  <c r="W312" i="2" s="1"/>
  <c r="S312" i="2"/>
  <c r="AG312" i="2" s="1"/>
  <c r="O312" i="2"/>
  <c r="P312" i="2" s="1"/>
  <c r="K312" i="2"/>
  <c r="G312" i="2"/>
  <c r="F312" i="2"/>
  <c r="E312" i="2"/>
  <c r="AP311" i="2"/>
  <c r="AO311" i="2"/>
  <c r="AM311" i="2"/>
  <c r="AK311" i="2"/>
  <c r="AL311" i="2" s="1"/>
  <c r="AN311" i="2" s="1"/>
  <c r="AI311" i="2"/>
  <c r="AF311" i="2"/>
  <c r="AE311" i="2"/>
  <c r="AA311" i="2"/>
  <c r="X311" i="2"/>
  <c r="T311" i="2"/>
  <c r="U311" i="2" s="1"/>
  <c r="W311" i="2" s="1"/>
  <c r="S311" i="2"/>
  <c r="AG311" i="2" s="1"/>
  <c r="P311" i="2"/>
  <c r="O311" i="2"/>
  <c r="K311" i="2"/>
  <c r="G311" i="2"/>
  <c r="F311" i="2"/>
  <c r="E311" i="2"/>
  <c r="AP310" i="2"/>
  <c r="AO310" i="2"/>
  <c r="AN310" i="2"/>
  <c r="AL310" i="2"/>
  <c r="AK310" i="2"/>
  <c r="AE310" i="2"/>
  <c r="AM310" i="2" s="1"/>
  <c r="AA310" i="2"/>
  <c r="X310" i="2"/>
  <c r="T310" i="2"/>
  <c r="S310" i="2"/>
  <c r="U310" i="2" s="1"/>
  <c r="W310" i="2" s="1"/>
  <c r="P310" i="2"/>
  <c r="O310" i="2"/>
  <c r="K310" i="2"/>
  <c r="AF310" i="2" s="1"/>
  <c r="E310" i="2"/>
  <c r="G310" i="2" s="1"/>
  <c r="AP309" i="2"/>
  <c r="AO309" i="2"/>
  <c r="AL309" i="2"/>
  <c r="AK309" i="2"/>
  <c r="AE309" i="2"/>
  <c r="AM309" i="2" s="1"/>
  <c r="AN309" i="2" s="1"/>
  <c r="AA309" i="2"/>
  <c r="X309" i="2"/>
  <c r="T309" i="2"/>
  <c r="S309" i="2"/>
  <c r="O309" i="2"/>
  <c r="P309" i="2" s="1"/>
  <c r="K309" i="2"/>
  <c r="G309" i="2"/>
  <c r="F309" i="2"/>
  <c r="E309" i="2"/>
  <c r="AP308" i="2"/>
  <c r="AO308" i="2"/>
  <c r="AL308" i="2"/>
  <c r="AK308" i="2"/>
  <c r="AI308" i="2"/>
  <c r="AE308" i="2"/>
  <c r="AM308" i="2" s="1"/>
  <c r="AN308" i="2" s="1"/>
  <c r="AA308" i="2"/>
  <c r="X308" i="2"/>
  <c r="W308" i="2"/>
  <c r="T308" i="2"/>
  <c r="U308" i="2" s="1"/>
  <c r="S308" i="2"/>
  <c r="AG308" i="2" s="1"/>
  <c r="P308" i="2"/>
  <c r="O308" i="2"/>
  <c r="K308" i="2"/>
  <c r="G308" i="2"/>
  <c r="F308" i="2"/>
  <c r="E308" i="2"/>
  <c r="AP307" i="2"/>
  <c r="AO307" i="2"/>
  <c r="AM307" i="2"/>
  <c r="AK307" i="2"/>
  <c r="AL307" i="2" s="1"/>
  <c r="AN307" i="2" s="1"/>
  <c r="AI307" i="2"/>
  <c r="AF307" i="2"/>
  <c r="AE307" i="2"/>
  <c r="X307" i="2"/>
  <c r="AA307" i="2" s="1"/>
  <c r="T307" i="2"/>
  <c r="U307" i="2" s="1"/>
  <c r="W307" i="2" s="1"/>
  <c r="S307" i="2"/>
  <c r="AG307" i="2" s="1"/>
  <c r="P307" i="2"/>
  <c r="O307" i="2"/>
  <c r="K307" i="2"/>
  <c r="E307" i="2"/>
  <c r="AP306" i="2"/>
  <c r="AO306" i="2"/>
  <c r="AL306" i="2"/>
  <c r="AK306" i="2"/>
  <c r="AI306" i="2"/>
  <c r="AE306" i="2"/>
  <c r="AM306" i="2" s="1"/>
  <c r="AN306" i="2" s="1"/>
  <c r="AA306" i="2"/>
  <c r="X306" i="2"/>
  <c r="T306" i="2"/>
  <c r="U306" i="2" s="1"/>
  <c r="W306" i="2" s="1"/>
  <c r="S306" i="2"/>
  <c r="AG306" i="2" s="1"/>
  <c r="P306" i="2"/>
  <c r="O306" i="2"/>
  <c r="K306" i="2"/>
  <c r="AF306" i="2" s="1"/>
  <c r="F306" i="2"/>
  <c r="E306" i="2"/>
  <c r="G306" i="2" s="1"/>
  <c r="AP305" i="2"/>
  <c r="AO305" i="2"/>
  <c r="AL305" i="2"/>
  <c r="AN305" i="2" s="1"/>
  <c r="AK305" i="2"/>
  <c r="AI305" i="2"/>
  <c r="AG305" i="2"/>
  <c r="AE305" i="2"/>
  <c r="AM305" i="2" s="1"/>
  <c r="AA305" i="2"/>
  <c r="X305" i="2"/>
  <c r="T305" i="2"/>
  <c r="S305" i="2"/>
  <c r="P305" i="2"/>
  <c r="O305" i="2"/>
  <c r="K305" i="2"/>
  <c r="G305" i="2"/>
  <c r="F305" i="2"/>
  <c r="E305" i="2"/>
  <c r="AP304" i="2"/>
  <c r="AO304" i="2"/>
  <c r="AN304" i="2"/>
  <c r="AL304" i="2"/>
  <c r="AK304" i="2"/>
  <c r="AI304" i="2"/>
  <c r="AE304" i="2"/>
  <c r="AM304" i="2" s="1"/>
  <c r="X304" i="2"/>
  <c r="AA304" i="2" s="1"/>
  <c r="W304" i="2"/>
  <c r="T304" i="2"/>
  <c r="U304" i="2" s="1"/>
  <c r="S304" i="2"/>
  <c r="AG304" i="2" s="1"/>
  <c r="O304" i="2"/>
  <c r="P304" i="2" s="1"/>
  <c r="K304" i="2"/>
  <c r="AF304" i="2" s="1"/>
  <c r="G304" i="2"/>
  <c r="F304" i="2"/>
  <c r="E304" i="2"/>
  <c r="AP303" i="2"/>
  <c r="AO303" i="2"/>
  <c r="AM303" i="2"/>
  <c r="AL303" i="2"/>
  <c r="AN303" i="2" s="1"/>
  <c r="AK303" i="2"/>
  <c r="AI303" i="2"/>
  <c r="AE303" i="2"/>
  <c r="AA303" i="2"/>
  <c r="X303" i="2"/>
  <c r="T303" i="2"/>
  <c r="U303" i="2" s="1"/>
  <c r="W303" i="2" s="1"/>
  <c r="S303" i="2"/>
  <c r="AG303" i="2" s="1"/>
  <c r="P303" i="2"/>
  <c r="O303" i="2"/>
  <c r="K303" i="2"/>
  <c r="AF303" i="2" s="1"/>
  <c r="E303" i="2"/>
  <c r="G303" i="2" s="1"/>
  <c r="AP302" i="2"/>
  <c r="AO302" i="2"/>
  <c r="AK302" i="2"/>
  <c r="AL302" i="2" s="1"/>
  <c r="AE302" i="2"/>
  <c r="AM302" i="2" s="1"/>
  <c r="AA302" i="2"/>
  <c r="X302" i="2"/>
  <c r="T302" i="2"/>
  <c r="S302" i="2"/>
  <c r="AG302" i="2" s="1"/>
  <c r="P302" i="2"/>
  <c r="O302" i="2"/>
  <c r="K302" i="2"/>
  <c r="AF302" i="2" s="1"/>
  <c r="F302" i="2"/>
  <c r="E302" i="2"/>
  <c r="G302" i="2" s="1"/>
  <c r="AP301" i="2"/>
  <c r="AO301" i="2"/>
  <c r="AN301" i="2"/>
  <c r="AL301" i="2"/>
  <c r="AK301" i="2"/>
  <c r="AI301" i="2"/>
  <c r="AE301" i="2"/>
  <c r="AM301" i="2" s="1"/>
  <c r="AA301" i="2"/>
  <c r="X301" i="2"/>
  <c r="T301" i="2"/>
  <c r="S301" i="2"/>
  <c r="P301" i="2"/>
  <c r="O301" i="2"/>
  <c r="K301" i="2"/>
  <c r="AF301" i="2" s="1"/>
  <c r="G301" i="2"/>
  <c r="F301" i="2"/>
  <c r="E301" i="2"/>
  <c r="AP300" i="2"/>
  <c r="AO300" i="2"/>
  <c r="AL300" i="2"/>
  <c r="AK300" i="2"/>
  <c r="AI300" i="2"/>
  <c r="AE300" i="2"/>
  <c r="AM300" i="2" s="1"/>
  <c r="AA300" i="2"/>
  <c r="X300" i="2"/>
  <c r="T300" i="2"/>
  <c r="U300" i="2" s="1"/>
  <c r="W300" i="2" s="1"/>
  <c r="S300" i="2"/>
  <c r="AG300" i="2" s="1"/>
  <c r="O300" i="2"/>
  <c r="P300" i="2" s="1"/>
  <c r="K300" i="2"/>
  <c r="AF300" i="2" s="1"/>
  <c r="G300" i="2"/>
  <c r="F300" i="2"/>
  <c r="E300" i="2"/>
  <c r="AP299" i="2"/>
  <c r="AO299" i="2"/>
  <c r="AM299" i="2"/>
  <c r="AK299" i="2"/>
  <c r="AL299" i="2" s="1"/>
  <c r="AN299" i="2" s="1"/>
  <c r="AI299" i="2"/>
  <c r="AE299" i="2"/>
  <c r="X299" i="2"/>
  <c r="T299" i="2"/>
  <c r="U299" i="2" s="1"/>
  <c r="W299" i="2" s="1"/>
  <c r="S299" i="2"/>
  <c r="AG299" i="2" s="1"/>
  <c r="P299" i="2"/>
  <c r="O299" i="2"/>
  <c r="K299" i="2"/>
  <c r="E299" i="2"/>
  <c r="G299" i="2" s="1"/>
  <c r="AP298" i="2"/>
  <c r="AO298" i="2"/>
  <c r="AL298" i="2"/>
  <c r="AN298" i="2" s="1"/>
  <c r="AK298" i="2"/>
  <c r="AI298" i="2"/>
  <c r="AE298" i="2"/>
  <c r="AM298" i="2" s="1"/>
  <c r="AA298" i="2"/>
  <c r="X298" i="2"/>
  <c r="T298" i="2"/>
  <c r="S298" i="2"/>
  <c r="AG298" i="2" s="1"/>
  <c r="P298" i="2"/>
  <c r="O298" i="2"/>
  <c r="K298" i="2"/>
  <c r="E298" i="2"/>
  <c r="G298" i="2" s="1"/>
  <c r="AP297" i="2"/>
  <c r="AO297" i="2"/>
  <c r="AN297" i="2"/>
  <c r="AL297" i="2"/>
  <c r="AK297" i="2"/>
  <c r="AF297" i="2"/>
  <c r="AE297" i="2"/>
  <c r="AM297" i="2" s="1"/>
  <c r="AA297" i="2"/>
  <c r="X297" i="2"/>
  <c r="T297" i="2"/>
  <c r="S297" i="2"/>
  <c r="AG297" i="2" s="1"/>
  <c r="O297" i="2"/>
  <c r="P297" i="2" s="1"/>
  <c r="K297" i="2"/>
  <c r="G297" i="2"/>
  <c r="F297" i="2"/>
  <c r="E297" i="2"/>
  <c r="AP296" i="2"/>
  <c r="AO296" i="2"/>
  <c r="AL296" i="2"/>
  <c r="AK296" i="2"/>
  <c r="AI296" i="2"/>
  <c r="AE296" i="2"/>
  <c r="AM296" i="2" s="1"/>
  <c r="AN296" i="2" s="1"/>
  <c r="AA296" i="2"/>
  <c r="X296" i="2"/>
  <c r="W296" i="2"/>
  <c r="T296" i="2"/>
  <c r="U296" i="2" s="1"/>
  <c r="S296" i="2"/>
  <c r="AG296" i="2" s="1"/>
  <c r="O296" i="2"/>
  <c r="P296" i="2" s="1"/>
  <c r="K296" i="2"/>
  <c r="AF296" i="2" s="1"/>
  <c r="G296" i="2"/>
  <c r="F296" i="2"/>
  <c r="E296" i="2"/>
  <c r="AP295" i="2"/>
  <c r="AO295" i="2"/>
  <c r="AM295" i="2"/>
  <c r="AL295" i="2"/>
  <c r="AN295" i="2" s="1"/>
  <c r="AK295" i="2"/>
  <c r="AI295" i="2"/>
  <c r="AE295" i="2"/>
  <c r="X295" i="2"/>
  <c r="AA295" i="2" s="1"/>
  <c r="U295" i="2"/>
  <c r="W295" i="2" s="1"/>
  <c r="T295" i="2"/>
  <c r="S295" i="2"/>
  <c r="AG295" i="2" s="1"/>
  <c r="P295" i="2"/>
  <c r="O295" i="2"/>
  <c r="K295" i="2"/>
  <c r="G295" i="2"/>
  <c r="E295" i="2"/>
  <c r="F295" i="2" s="1"/>
  <c r="AP294" i="2"/>
  <c r="AO294" i="2"/>
  <c r="AK294" i="2"/>
  <c r="AL294" i="2" s="1"/>
  <c r="AN294" i="2" s="1"/>
  <c r="AE294" i="2"/>
  <c r="AM294" i="2" s="1"/>
  <c r="AA294" i="2"/>
  <c r="X294" i="2"/>
  <c r="T294" i="2"/>
  <c r="S294" i="2"/>
  <c r="AI294" i="2" s="1"/>
  <c r="P294" i="2"/>
  <c r="O294" i="2"/>
  <c r="K294" i="2"/>
  <c r="F294" i="2"/>
  <c r="E294" i="2"/>
  <c r="G294" i="2" s="1"/>
  <c r="AP293" i="2"/>
  <c r="AO293" i="2"/>
  <c r="AN293" i="2"/>
  <c r="AL293" i="2"/>
  <c r="AK293" i="2"/>
  <c r="AG293" i="2"/>
  <c r="AE293" i="2"/>
  <c r="AM293" i="2" s="1"/>
  <c r="AA293" i="2"/>
  <c r="X293" i="2"/>
  <c r="T293" i="2"/>
  <c r="S293" i="2"/>
  <c r="P293" i="2"/>
  <c r="O293" i="2"/>
  <c r="K293" i="2"/>
  <c r="AF293" i="2" s="1"/>
  <c r="G293" i="2"/>
  <c r="F293" i="2"/>
  <c r="E293" i="2"/>
  <c r="AP292" i="2"/>
  <c r="AO292" i="2"/>
  <c r="AL292" i="2"/>
  <c r="AK292" i="2"/>
  <c r="AI292" i="2"/>
  <c r="AF292" i="2"/>
  <c r="AE292" i="2"/>
  <c r="AM292" i="2" s="1"/>
  <c r="X292" i="2"/>
  <c r="AA292" i="2" s="1"/>
  <c r="T292" i="2"/>
  <c r="U292" i="2" s="1"/>
  <c r="W292" i="2" s="1"/>
  <c r="S292" i="2"/>
  <c r="AG292" i="2" s="1"/>
  <c r="P292" i="2"/>
  <c r="O292" i="2"/>
  <c r="K292" i="2"/>
  <c r="G292" i="2"/>
  <c r="F292" i="2"/>
  <c r="E292" i="2"/>
  <c r="AP291" i="2"/>
  <c r="AO291" i="2"/>
  <c r="AN291" i="2"/>
  <c r="AM291" i="2"/>
  <c r="AL291" i="2"/>
  <c r="AK291" i="2"/>
  <c r="AI291" i="2"/>
  <c r="AE291" i="2"/>
  <c r="AA291" i="2"/>
  <c r="X291" i="2"/>
  <c r="W291" i="2"/>
  <c r="U291" i="2"/>
  <c r="T291" i="2"/>
  <c r="S291" i="2"/>
  <c r="AG291" i="2" s="1"/>
  <c r="P291" i="2"/>
  <c r="O291" i="2"/>
  <c r="K291" i="2"/>
  <c r="AF291" i="2" s="1"/>
  <c r="G291" i="2"/>
  <c r="F291" i="2"/>
  <c r="E291" i="2"/>
  <c r="AP290" i="2"/>
  <c r="AO290" i="2"/>
  <c r="AK290" i="2"/>
  <c r="AL290" i="2" s="1"/>
  <c r="AN290" i="2" s="1"/>
  <c r="AI290" i="2"/>
  <c r="AE290" i="2"/>
  <c r="AM290" i="2" s="1"/>
  <c r="AA290" i="2"/>
  <c r="X290" i="2"/>
  <c r="T290" i="2"/>
  <c r="S290" i="2"/>
  <c r="P290" i="2"/>
  <c r="O290" i="2"/>
  <c r="K290" i="2"/>
  <c r="E290" i="2"/>
  <c r="AP289" i="2"/>
  <c r="AO289" i="2"/>
  <c r="AN289" i="2"/>
  <c r="AL289" i="2"/>
  <c r="AK289" i="2"/>
  <c r="AE289" i="2"/>
  <c r="AM289" i="2" s="1"/>
  <c r="AA289" i="2"/>
  <c r="X289" i="2"/>
  <c r="W289" i="2"/>
  <c r="T289" i="2"/>
  <c r="S289" i="2"/>
  <c r="U289" i="2" s="1"/>
  <c r="O289" i="2"/>
  <c r="P289" i="2" s="1"/>
  <c r="K289" i="2"/>
  <c r="AF289" i="2" s="1"/>
  <c r="G289" i="2"/>
  <c r="F289" i="2"/>
  <c r="E289" i="2"/>
  <c r="AP288" i="2"/>
  <c r="AO288" i="2"/>
  <c r="AM288" i="2"/>
  <c r="AL288" i="2"/>
  <c r="AK288" i="2"/>
  <c r="AI288" i="2"/>
  <c r="AF288" i="2"/>
  <c r="AE288" i="2"/>
  <c r="AA288" i="2"/>
  <c r="X288" i="2"/>
  <c r="W288" i="2"/>
  <c r="T288" i="2"/>
  <c r="U288" i="2" s="1"/>
  <c r="S288" i="2"/>
  <c r="AG288" i="2" s="1"/>
  <c r="P288" i="2"/>
  <c r="O288" i="2"/>
  <c r="K288" i="2"/>
  <c r="G288" i="2"/>
  <c r="F288" i="2"/>
  <c r="E288" i="2"/>
  <c r="AP287" i="2"/>
  <c r="AO287" i="2"/>
  <c r="AM287" i="2"/>
  <c r="AK287" i="2"/>
  <c r="AL287" i="2" s="1"/>
  <c r="AN287" i="2" s="1"/>
  <c r="AI287" i="2"/>
  <c r="AF287" i="2"/>
  <c r="AE287" i="2"/>
  <c r="X287" i="2"/>
  <c r="AA287" i="2" s="1"/>
  <c r="T287" i="2"/>
  <c r="U287" i="2" s="1"/>
  <c r="W287" i="2" s="1"/>
  <c r="S287" i="2"/>
  <c r="AG287" i="2" s="1"/>
  <c r="P287" i="2"/>
  <c r="O287" i="2"/>
  <c r="K287" i="2"/>
  <c r="G287" i="2"/>
  <c r="F287" i="2"/>
  <c r="E287" i="2"/>
  <c r="AP286" i="2"/>
  <c r="AO286" i="2"/>
  <c r="AK286" i="2"/>
  <c r="AL286" i="2" s="1"/>
  <c r="AN286" i="2" s="1"/>
  <c r="AI286" i="2"/>
  <c r="AE286" i="2"/>
  <c r="AM286" i="2" s="1"/>
  <c r="AA286" i="2"/>
  <c r="X286" i="2"/>
  <c r="T286" i="2"/>
  <c r="U286" i="2" s="1"/>
  <c r="W286" i="2" s="1"/>
  <c r="S286" i="2"/>
  <c r="AG286" i="2" s="1"/>
  <c r="P286" i="2"/>
  <c r="O286" i="2"/>
  <c r="K286" i="2"/>
  <c r="E286" i="2"/>
  <c r="G286" i="2" s="1"/>
  <c r="AP285" i="2"/>
  <c r="AO285" i="2"/>
  <c r="AL285" i="2"/>
  <c r="AK285" i="2"/>
  <c r="AG285" i="2"/>
  <c r="AE285" i="2"/>
  <c r="AM285" i="2" s="1"/>
  <c r="AN285" i="2" s="1"/>
  <c r="AA285" i="2"/>
  <c r="X285" i="2"/>
  <c r="T285" i="2"/>
  <c r="S285" i="2"/>
  <c r="P285" i="2"/>
  <c r="O285" i="2"/>
  <c r="K285" i="2"/>
  <c r="AF285" i="2" s="1"/>
  <c r="G285" i="2"/>
  <c r="F285" i="2"/>
  <c r="E285" i="2"/>
  <c r="AP284" i="2"/>
  <c r="AO284" i="2"/>
  <c r="AN284" i="2"/>
  <c r="AM284" i="2"/>
  <c r="AL284" i="2"/>
  <c r="AK284" i="2"/>
  <c r="AI284" i="2"/>
  <c r="AE284" i="2"/>
  <c r="X284" i="2"/>
  <c r="AA284" i="2" s="1"/>
  <c r="T284" i="2"/>
  <c r="U284" i="2" s="1"/>
  <c r="W284" i="2" s="1"/>
  <c r="S284" i="2"/>
  <c r="AG284" i="2" s="1"/>
  <c r="P284" i="2"/>
  <c r="O284" i="2"/>
  <c r="K284" i="2"/>
  <c r="G284" i="2"/>
  <c r="F284" i="2"/>
  <c r="E284" i="2"/>
  <c r="AP283" i="2"/>
  <c r="AO283" i="2"/>
  <c r="AM283" i="2"/>
  <c r="AL283" i="2"/>
  <c r="AN283" i="2" s="1"/>
  <c r="AK283" i="2"/>
  <c r="AI283" i="2"/>
  <c r="AE283" i="2"/>
  <c r="AA283" i="2"/>
  <c r="X283" i="2"/>
  <c r="U283" i="2"/>
  <c r="W283" i="2" s="1"/>
  <c r="T283" i="2"/>
  <c r="S283" i="2"/>
  <c r="AG283" i="2" s="1"/>
  <c r="P283" i="2"/>
  <c r="O283" i="2"/>
  <c r="K283" i="2"/>
  <c r="AF283" i="2" s="1"/>
  <c r="E283" i="2"/>
  <c r="G283" i="2" s="1"/>
  <c r="AP282" i="2"/>
  <c r="AO282" i="2"/>
  <c r="AK282" i="2"/>
  <c r="AL282" i="2" s="1"/>
  <c r="AN282" i="2" s="1"/>
  <c r="AI282" i="2"/>
  <c r="AE282" i="2"/>
  <c r="AM282" i="2" s="1"/>
  <c r="AA282" i="2"/>
  <c r="X282" i="2"/>
  <c r="W282" i="2"/>
  <c r="U282" i="2"/>
  <c r="T282" i="2"/>
  <c r="S282" i="2"/>
  <c r="AG282" i="2" s="1"/>
  <c r="P282" i="2"/>
  <c r="O282" i="2"/>
  <c r="K282" i="2"/>
  <c r="AF282" i="2" s="1"/>
  <c r="E282" i="2"/>
  <c r="G282" i="2" s="1"/>
  <c r="AP281" i="2"/>
  <c r="AO281" i="2"/>
  <c r="AL281" i="2"/>
  <c r="AN281" i="2" s="1"/>
  <c r="AK281" i="2"/>
  <c r="AI281" i="2"/>
  <c r="AG281" i="2"/>
  <c r="AE281" i="2"/>
  <c r="AM281" i="2" s="1"/>
  <c r="AA281" i="2"/>
  <c r="X281" i="2"/>
  <c r="T281" i="2"/>
  <c r="S281" i="2"/>
  <c r="U281" i="2" s="1"/>
  <c r="W281" i="2" s="1"/>
  <c r="O281" i="2"/>
  <c r="P281" i="2" s="1"/>
  <c r="K281" i="2"/>
  <c r="AF281" i="2" s="1"/>
  <c r="G281" i="2"/>
  <c r="F281" i="2"/>
  <c r="E281" i="2"/>
  <c r="AP280" i="2"/>
  <c r="AO280" i="2"/>
  <c r="AM280" i="2"/>
  <c r="AN280" i="2" s="1"/>
  <c r="AL280" i="2"/>
  <c r="AK280" i="2"/>
  <c r="AI280" i="2"/>
  <c r="AE280" i="2"/>
  <c r="X280" i="2"/>
  <c r="AF280" i="2" s="1"/>
  <c r="W280" i="2"/>
  <c r="T280" i="2"/>
  <c r="U280" i="2" s="1"/>
  <c r="S280" i="2"/>
  <c r="AG280" i="2" s="1"/>
  <c r="O280" i="2"/>
  <c r="P280" i="2" s="1"/>
  <c r="K280" i="2"/>
  <c r="G280" i="2"/>
  <c r="F280" i="2"/>
  <c r="E280" i="2"/>
  <c r="AP279" i="2"/>
  <c r="AO279" i="2"/>
  <c r="AM279" i="2"/>
  <c r="AK279" i="2"/>
  <c r="AL279" i="2" s="1"/>
  <c r="AN279" i="2" s="1"/>
  <c r="AI279" i="2"/>
  <c r="AF279" i="2"/>
  <c r="AE279" i="2"/>
  <c r="AA279" i="2"/>
  <c r="X279" i="2"/>
  <c r="T279" i="2"/>
  <c r="U279" i="2" s="1"/>
  <c r="W279" i="2" s="1"/>
  <c r="S279" i="2"/>
  <c r="AG279" i="2" s="1"/>
  <c r="P279" i="2"/>
  <c r="O279" i="2"/>
  <c r="K279" i="2"/>
  <c r="F279" i="2"/>
  <c r="E279" i="2"/>
  <c r="G279" i="2" s="1"/>
  <c r="AP278" i="2"/>
  <c r="AO278" i="2"/>
  <c r="AL278" i="2"/>
  <c r="AN278" i="2" s="1"/>
  <c r="AK278" i="2"/>
  <c r="AE278" i="2"/>
  <c r="AM278" i="2" s="1"/>
  <c r="AA278" i="2"/>
  <c r="X278" i="2"/>
  <c r="W278" i="2"/>
  <c r="T278" i="2"/>
  <c r="S278" i="2"/>
  <c r="U278" i="2" s="1"/>
  <c r="P278" i="2"/>
  <c r="O278" i="2"/>
  <c r="K278" i="2"/>
  <c r="AF278" i="2" s="1"/>
  <c r="E278" i="2"/>
  <c r="G278" i="2" s="1"/>
  <c r="AP277" i="2"/>
  <c r="AO277" i="2"/>
  <c r="AL277" i="2"/>
  <c r="AK277" i="2"/>
  <c r="AF277" i="2"/>
  <c r="AE277" i="2"/>
  <c r="AM277" i="2" s="1"/>
  <c r="AN277" i="2" s="1"/>
  <c r="AA277" i="2"/>
  <c r="X277" i="2"/>
  <c r="T277" i="2"/>
  <c r="S277" i="2"/>
  <c r="U277" i="2" s="1"/>
  <c r="W277" i="2" s="1"/>
  <c r="P277" i="2"/>
  <c r="O277" i="2"/>
  <c r="K277" i="2"/>
  <c r="G277" i="2"/>
  <c r="F277" i="2"/>
  <c r="E277" i="2"/>
  <c r="AP276" i="2"/>
  <c r="AO276" i="2"/>
  <c r="AL276" i="2"/>
  <c r="AK276" i="2"/>
  <c r="AI276" i="2"/>
  <c r="AE276" i="2"/>
  <c r="AM276" i="2" s="1"/>
  <c r="AN276" i="2" s="1"/>
  <c r="X276" i="2"/>
  <c r="AA276" i="2" s="1"/>
  <c r="W276" i="2"/>
  <c r="T276" i="2"/>
  <c r="U276" i="2" s="1"/>
  <c r="S276" i="2"/>
  <c r="AG276" i="2" s="1"/>
  <c r="P276" i="2"/>
  <c r="O276" i="2"/>
  <c r="K276" i="2"/>
  <c r="AF276" i="2" s="1"/>
  <c r="G276" i="2"/>
  <c r="F276" i="2"/>
  <c r="E276" i="2"/>
  <c r="AP275" i="2"/>
  <c r="AO275" i="2"/>
  <c r="AM275" i="2"/>
  <c r="AK275" i="2"/>
  <c r="AL275" i="2" s="1"/>
  <c r="AN275" i="2" s="1"/>
  <c r="AI275" i="2"/>
  <c r="AF275" i="2"/>
  <c r="AE275" i="2"/>
  <c r="X275" i="2"/>
  <c r="AA275" i="2" s="1"/>
  <c r="T275" i="2"/>
  <c r="U275" i="2" s="1"/>
  <c r="W275" i="2" s="1"/>
  <c r="S275" i="2"/>
  <c r="AG275" i="2" s="1"/>
  <c r="P275" i="2"/>
  <c r="O275" i="2"/>
  <c r="K275" i="2"/>
  <c r="E275" i="2"/>
  <c r="AP274" i="2"/>
  <c r="AO274" i="2"/>
  <c r="AN274" i="2"/>
  <c r="AL274" i="2"/>
  <c r="AK274" i="2"/>
  <c r="AI274" i="2"/>
  <c r="AE274" i="2"/>
  <c r="AM274" i="2" s="1"/>
  <c r="AA274" i="2"/>
  <c r="X274" i="2"/>
  <c r="T274" i="2"/>
  <c r="U274" i="2" s="1"/>
  <c r="W274" i="2" s="1"/>
  <c r="S274" i="2"/>
  <c r="AG274" i="2" s="1"/>
  <c r="P274" i="2"/>
  <c r="O274" i="2"/>
  <c r="K274" i="2"/>
  <c r="AF274" i="2" s="1"/>
  <c r="F274" i="2"/>
  <c r="E274" i="2"/>
  <c r="G274" i="2" s="1"/>
  <c r="AP273" i="2"/>
  <c r="AO273" i="2"/>
  <c r="AL273" i="2"/>
  <c r="AN273" i="2" s="1"/>
  <c r="AK273" i="2"/>
  <c r="AE273" i="2"/>
  <c r="AM273" i="2" s="1"/>
  <c r="AA273" i="2"/>
  <c r="X273" i="2"/>
  <c r="T273" i="2"/>
  <c r="S273" i="2"/>
  <c r="P273" i="2"/>
  <c r="O273" i="2"/>
  <c r="K273" i="2"/>
  <c r="G273" i="2"/>
  <c r="F273" i="2"/>
  <c r="E273" i="2"/>
  <c r="AP272" i="2"/>
  <c r="AO272" i="2"/>
  <c r="AL272" i="2"/>
  <c r="AK272" i="2"/>
  <c r="AI272" i="2"/>
  <c r="AE272" i="2"/>
  <c r="AM272" i="2" s="1"/>
  <c r="AN272" i="2" s="1"/>
  <c r="X272" i="2"/>
  <c r="AA272" i="2" s="1"/>
  <c r="W272" i="2"/>
  <c r="T272" i="2"/>
  <c r="U272" i="2" s="1"/>
  <c r="S272" i="2"/>
  <c r="AG272" i="2" s="1"/>
  <c r="O272" i="2"/>
  <c r="P272" i="2" s="1"/>
  <c r="K272" i="2"/>
  <c r="G272" i="2"/>
  <c r="F272" i="2"/>
  <c r="E272" i="2"/>
  <c r="AP271" i="2"/>
  <c r="AO271" i="2"/>
  <c r="AM271" i="2"/>
  <c r="AK271" i="2"/>
  <c r="AL271" i="2" s="1"/>
  <c r="AN271" i="2" s="1"/>
  <c r="AI271" i="2"/>
  <c r="AE271" i="2"/>
  <c r="AA271" i="2"/>
  <c r="X271" i="2"/>
  <c r="T271" i="2"/>
  <c r="U271" i="2" s="1"/>
  <c r="W271" i="2" s="1"/>
  <c r="S271" i="2"/>
  <c r="AG271" i="2" s="1"/>
  <c r="P271" i="2"/>
  <c r="O271" i="2"/>
  <c r="K271" i="2"/>
  <c r="AF271" i="2" s="1"/>
  <c r="E271" i="2"/>
  <c r="G271" i="2" s="1"/>
  <c r="AP270" i="2"/>
  <c r="AO270" i="2"/>
  <c r="AK270" i="2"/>
  <c r="AL270" i="2" s="1"/>
  <c r="AG270" i="2"/>
  <c r="AE270" i="2"/>
  <c r="AM270" i="2" s="1"/>
  <c r="AA270" i="2"/>
  <c r="X270" i="2"/>
  <c r="T270" i="2"/>
  <c r="S270" i="2"/>
  <c r="O270" i="2"/>
  <c r="P270" i="2" s="1"/>
  <c r="K270" i="2"/>
  <c r="AF270" i="2" s="1"/>
  <c r="G270" i="2"/>
  <c r="E270" i="2"/>
  <c r="F270" i="2" s="1"/>
  <c r="AP269" i="2"/>
  <c r="AO269" i="2"/>
  <c r="AL269" i="2"/>
  <c r="AN269" i="2" s="1"/>
  <c r="AK269" i="2"/>
  <c r="AE269" i="2"/>
  <c r="AM269" i="2" s="1"/>
  <c r="X269" i="2"/>
  <c r="AA269" i="2" s="1"/>
  <c r="W269" i="2"/>
  <c r="U269" i="2"/>
  <c r="T269" i="2"/>
  <c r="S269" i="2"/>
  <c r="AI269" i="2" s="1"/>
  <c r="O269" i="2"/>
  <c r="P269" i="2" s="1"/>
  <c r="K269" i="2"/>
  <c r="AF269" i="2" s="1"/>
  <c r="G269" i="2"/>
  <c r="F269" i="2"/>
  <c r="E269" i="2"/>
  <c r="AP268" i="2"/>
  <c r="AO268" i="2"/>
  <c r="AM268" i="2"/>
  <c r="AK268" i="2"/>
  <c r="AL268" i="2" s="1"/>
  <c r="AN268" i="2" s="1"/>
  <c r="AI268" i="2"/>
  <c r="AE268" i="2"/>
  <c r="X268" i="2"/>
  <c r="AA268" i="2" s="1"/>
  <c r="T268" i="2"/>
  <c r="U268" i="2" s="1"/>
  <c r="W268" i="2" s="1"/>
  <c r="S268" i="2"/>
  <c r="AG268" i="2" s="1"/>
  <c r="O268" i="2"/>
  <c r="P268" i="2" s="1"/>
  <c r="K268" i="2"/>
  <c r="AF268" i="2" s="1"/>
  <c r="G268" i="2"/>
  <c r="E268" i="2"/>
  <c r="F268" i="2" s="1"/>
  <c r="AP267" i="2"/>
  <c r="AO267" i="2"/>
  <c r="AK267" i="2"/>
  <c r="AL267" i="2" s="1"/>
  <c r="AN267" i="2" s="1"/>
  <c r="AI267" i="2"/>
  <c r="AE267" i="2"/>
  <c r="AM267" i="2" s="1"/>
  <c r="X267" i="2"/>
  <c r="AA267" i="2" s="1"/>
  <c r="T267" i="2"/>
  <c r="S267" i="2"/>
  <c r="P267" i="2"/>
  <c r="O267" i="2"/>
  <c r="K267" i="2"/>
  <c r="E267" i="2"/>
  <c r="AP266" i="2"/>
  <c r="AO266" i="2"/>
  <c r="AK266" i="2"/>
  <c r="AL266" i="2" s="1"/>
  <c r="AN266" i="2" s="1"/>
  <c r="AG266" i="2"/>
  <c r="AE266" i="2"/>
  <c r="AM266" i="2" s="1"/>
  <c r="AA266" i="2"/>
  <c r="X266" i="2"/>
  <c r="T266" i="2"/>
  <c r="S266" i="2"/>
  <c r="O266" i="2"/>
  <c r="P266" i="2" s="1"/>
  <c r="K266" i="2"/>
  <c r="AF266" i="2" s="1"/>
  <c r="G266" i="2"/>
  <c r="E266" i="2"/>
  <c r="F266" i="2" s="1"/>
  <c r="AP265" i="2"/>
  <c r="AO265" i="2"/>
  <c r="AM265" i="2"/>
  <c r="AL265" i="2"/>
  <c r="AN265" i="2" s="1"/>
  <c r="AK265" i="2"/>
  <c r="AE265" i="2"/>
  <c r="X265" i="2"/>
  <c r="AA265" i="2" s="1"/>
  <c r="W265" i="2"/>
  <c r="U265" i="2"/>
  <c r="T265" i="2"/>
  <c r="S265" i="2"/>
  <c r="AI265" i="2" s="1"/>
  <c r="O265" i="2"/>
  <c r="P265" i="2" s="1"/>
  <c r="K265" i="2"/>
  <c r="AF265" i="2" s="1"/>
  <c r="G265" i="2"/>
  <c r="F265" i="2"/>
  <c r="E265" i="2"/>
  <c r="AP264" i="2"/>
  <c r="AO264" i="2"/>
  <c r="AM264" i="2"/>
  <c r="AK264" i="2"/>
  <c r="AL264" i="2" s="1"/>
  <c r="AN264" i="2" s="1"/>
  <c r="AI264" i="2"/>
  <c r="AE264" i="2"/>
  <c r="X264" i="2"/>
  <c r="AA264" i="2" s="1"/>
  <c r="T264" i="2"/>
  <c r="U264" i="2" s="1"/>
  <c r="W264" i="2" s="1"/>
  <c r="S264" i="2"/>
  <c r="AG264" i="2" s="1"/>
  <c r="O264" i="2"/>
  <c r="P264" i="2" s="1"/>
  <c r="K264" i="2"/>
  <c r="E264" i="2"/>
  <c r="F264" i="2" s="1"/>
  <c r="AP263" i="2"/>
  <c r="AO263" i="2"/>
  <c r="AK263" i="2"/>
  <c r="AL263" i="2" s="1"/>
  <c r="AE263" i="2"/>
  <c r="AM263" i="2" s="1"/>
  <c r="X263" i="2"/>
  <c r="AA263" i="2" s="1"/>
  <c r="T263" i="2"/>
  <c r="U263" i="2" s="1"/>
  <c r="W263" i="2" s="1"/>
  <c r="S263" i="2"/>
  <c r="AI263" i="2" s="1"/>
  <c r="P263" i="2"/>
  <c r="O263" i="2"/>
  <c r="K263" i="2"/>
  <c r="E263" i="2"/>
  <c r="AP262" i="2"/>
  <c r="AO262" i="2"/>
  <c r="AN262" i="2"/>
  <c r="AK262" i="2"/>
  <c r="AL262" i="2" s="1"/>
  <c r="AE262" i="2"/>
  <c r="AM262" i="2" s="1"/>
  <c r="AA262" i="2"/>
  <c r="X262" i="2"/>
  <c r="T262" i="2"/>
  <c r="S262" i="2"/>
  <c r="P262" i="2"/>
  <c r="O262" i="2"/>
  <c r="K262" i="2"/>
  <c r="AF262" i="2" s="1"/>
  <c r="G262" i="2"/>
  <c r="E262" i="2"/>
  <c r="F262" i="2" s="1"/>
  <c r="AP261" i="2"/>
  <c r="AO261" i="2"/>
  <c r="AN261" i="2"/>
  <c r="AM261" i="2"/>
  <c r="AL261" i="2"/>
  <c r="AK261" i="2"/>
  <c r="AE261" i="2"/>
  <c r="X261" i="2"/>
  <c r="AA261" i="2" s="1"/>
  <c r="W261" i="2"/>
  <c r="U261" i="2"/>
  <c r="T261" i="2"/>
  <c r="S261" i="2"/>
  <c r="AI261" i="2" s="1"/>
  <c r="O261" i="2"/>
  <c r="P261" i="2" s="1"/>
  <c r="K261" i="2"/>
  <c r="G261" i="2"/>
  <c r="F261" i="2"/>
  <c r="E261" i="2"/>
  <c r="AP260" i="2"/>
  <c r="AO260" i="2"/>
  <c r="AM260" i="2"/>
  <c r="AK260" i="2"/>
  <c r="AL260" i="2" s="1"/>
  <c r="AN260" i="2" s="1"/>
  <c r="AI260" i="2"/>
  <c r="AE260" i="2"/>
  <c r="X260" i="2"/>
  <c r="AA260" i="2" s="1"/>
  <c r="T260" i="2"/>
  <c r="U260" i="2" s="1"/>
  <c r="W260" i="2" s="1"/>
  <c r="S260" i="2"/>
  <c r="AG260" i="2" s="1"/>
  <c r="O260" i="2"/>
  <c r="P260" i="2" s="1"/>
  <c r="K260" i="2"/>
  <c r="F260" i="2"/>
  <c r="E260" i="2"/>
  <c r="G260" i="2" s="1"/>
  <c r="AP259" i="2"/>
  <c r="AO259" i="2"/>
  <c r="AK259" i="2"/>
  <c r="AL259" i="2" s="1"/>
  <c r="AG259" i="2"/>
  <c r="AF259" i="2"/>
  <c r="AE259" i="2"/>
  <c r="AM259" i="2" s="1"/>
  <c r="X259" i="2"/>
  <c r="AA259" i="2" s="1"/>
  <c r="T259" i="2"/>
  <c r="U259" i="2" s="1"/>
  <c r="W259" i="2" s="1"/>
  <c r="S259" i="2"/>
  <c r="AI259" i="2" s="1"/>
  <c r="P259" i="2"/>
  <c r="O259" i="2"/>
  <c r="K259" i="2"/>
  <c r="E259" i="2"/>
  <c r="AP258" i="2"/>
  <c r="AO258" i="2"/>
  <c r="AK258" i="2"/>
  <c r="AL258" i="2" s="1"/>
  <c r="AE258" i="2"/>
  <c r="AM258" i="2" s="1"/>
  <c r="AN258" i="2" s="1"/>
  <c r="AA258" i="2"/>
  <c r="X258" i="2"/>
  <c r="T258" i="2"/>
  <c r="S258" i="2"/>
  <c r="AG258" i="2" s="1"/>
  <c r="O258" i="2"/>
  <c r="P258" i="2" s="1"/>
  <c r="K258" i="2"/>
  <c r="AF258" i="2" s="1"/>
  <c r="E258" i="2"/>
  <c r="G258" i="2" s="1"/>
  <c r="AP257" i="2"/>
  <c r="AO257" i="2"/>
  <c r="AL257" i="2"/>
  <c r="AK257" i="2"/>
  <c r="AE257" i="2"/>
  <c r="AM257" i="2" s="1"/>
  <c r="AN257" i="2" s="1"/>
  <c r="X257" i="2"/>
  <c r="AA257" i="2" s="1"/>
  <c r="W257" i="2"/>
  <c r="T257" i="2"/>
  <c r="S257" i="2"/>
  <c r="U257" i="2" s="1"/>
  <c r="O257" i="2"/>
  <c r="P257" i="2" s="1"/>
  <c r="K257" i="2"/>
  <c r="G257" i="2"/>
  <c r="F257" i="2"/>
  <c r="E257" i="2"/>
  <c r="AP256" i="2"/>
  <c r="AO256" i="2"/>
  <c r="AM256" i="2"/>
  <c r="AL256" i="2"/>
  <c r="AK256" i="2"/>
  <c r="AI256" i="2"/>
  <c r="AE256" i="2"/>
  <c r="X256" i="2"/>
  <c r="AA256" i="2" s="1"/>
  <c r="W256" i="2"/>
  <c r="T256" i="2"/>
  <c r="U256" i="2" s="1"/>
  <c r="S256" i="2"/>
  <c r="AG256" i="2" s="1"/>
  <c r="O256" i="2"/>
  <c r="P256" i="2" s="1"/>
  <c r="K256" i="2"/>
  <c r="F256" i="2"/>
  <c r="E256" i="2"/>
  <c r="G256" i="2" s="1"/>
  <c r="AP255" i="2"/>
  <c r="AO255" i="2"/>
  <c r="AK255" i="2"/>
  <c r="AL255" i="2" s="1"/>
  <c r="AG255" i="2"/>
  <c r="AF255" i="2"/>
  <c r="AE255" i="2"/>
  <c r="AM255" i="2" s="1"/>
  <c r="X255" i="2"/>
  <c r="AA255" i="2" s="1"/>
  <c r="T255" i="2"/>
  <c r="U255" i="2" s="1"/>
  <c r="W255" i="2" s="1"/>
  <c r="S255" i="2"/>
  <c r="AI255" i="2" s="1"/>
  <c r="P255" i="2"/>
  <c r="O255" i="2"/>
  <c r="K255" i="2"/>
  <c r="E255" i="2"/>
  <c r="AP254" i="2"/>
  <c r="AO254" i="2"/>
  <c r="AK254" i="2"/>
  <c r="AL254" i="2" s="1"/>
  <c r="AE254" i="2"/>
  <c r="AM254" i="2" s="1"/>
  <c r="AN254" i="2" s="1"/>
  <c r="AA254" i="2"/>
  <c r="X254" i="2"/>
  <c r="T254" i="2"/>
  <c r="S254" i="2"/>
  <c r="AG254" i="2" s="1"/>
  <c r="P254" i="2"/>
  <c r="O254" i="2"/>
  <c r="K254" i="2"/>
  <c r="AF254" i="2" s="1"/>
  <c r="E254" i="2"/>
  <c r="G254" i="2" s="1"/>
  <c r="AP253" i="2"/>
  <c r="AO253" i="2"/>
  <c r="AL253" i="2"/>
  <c r="AK253" i="2"/>
  <c r="AE253" i="2"/>
  <c r="AM253" i="2" s="1"/>
  <c r="AN253" i="2" s="1"/>
  <c r="X253" i="2"/>
  <c r="AA253" i="2" s="1"/>
  <c r="W253" i="2"/>
  <c r="T253" i="2"/>
  <c r="S253" i="2"/>
  <c r="U253" i="2" s="1"/>
  <c r="O253" i="2"/>
  <c r="P253" i="2" s="1"/>
  <c r="K253" i="2"/>
  <c r="G253" i="2"/>
  <c r="F253" i="2"/>
  <c r="E253" i="2"/>
  <c r="AP252" i="2"/>
  <c r="AO252" i="2"/>
  <c r="AM252" i="2"/>
  <c r="AL252" i="2"/>
  <c r="AK252" i="2"/>
  <c r="AI252" i="2"/>
  <c r="AE252" i="2"/>
  <c r="X252" i="2"/>
  <c r="AA252" i="2" s="1"/>
  <c r="T252" i="2"/>
  <c r="U252" i="2" s="1"/>
  <c r="W252" i="2" s="1"/>
  <c r="S252" i="2"/>
  <c r="AG252" i="2" s="1"/>
  <c r="O252" i="2"/>
  <c r="P252" i="2" s="1"/>
  <c r="K252" i="2"/>
  <c r="E252" i="2"/>
  <c r="G252" i="2" s="1"/>
  <c r="AP251" i="2"/>
  <c r="AO251" i="2"/>
  <c r="AK251" i="2"/>
  <c r="AL251" i="2" s="1"/>
  <c r="AG251" i="2"/>
  <c r="AF251" i="2"/>
  <c r="AE251" i="2"/>
  <c r="AM251" i="2" s="1"/>
  <c r="X251" i="2"/>
  <c r="AA251" i="2" s="1"/>
  <c r="T251" i="2"/>
  <c r="U251" i="2" s="1"/>
  <c r="W251" i="2" s="1"/>
  <c r="S251" i="2"/>
  <c r="AI251" i="2" s="1"/>
  <c r="P251" i="2"/>
  <c r="O251" i="2"/>
  <c r="K251" i="2"/>
  <c r="E251" i="2"/>
  <c r="AP250" i="2"/>
  <c r="AO250" i="2"/>
  <c r="AK250" i="2"/>
  <c r="AL250" i="2" s="1"/>
  <c r="AE250" i="2"/>
  <c r="AM250" i="2" s="1"/>
  <c r="AN250" i="2" s="1"/>
  <c r="AA250" i="2"/>
  <c r="X250" i="2"/>
  <c r="T250" i="2"/>
  <c r="S250" i="2"/>
  <c r="AG250" i="2" s="1"/>
  <c r="P250" i="2"/>
  <c r="O250" i="2"/>
  <c r="K250" i="2"/>
  <c r="AF250" i="2" s="1"/>
  <c r="E250" i="2"/>
  <c r="G250" i="2" s="1"/>
  <c r="AP249" i="2"/>
  <c r="AO249" i="2"/>
  <c r="AL249" i="2"/>
  <c r="AK249" i="2"/>
  <c r="AE249" i="2"/>
  <c r="AM249" i="2" s="1"/>
  <c r="AN249" i="2" s="1"/>
  <c r="X249" i="2"/>
  <c r="AA249" i="2" s="1"/>
  <c r="W249" i="2"/>
  <c r="T249" i="2"/>
  <c r="S249" i="2"/>
  <c r="U249" i="2" s="1"/>
  <c r="O249" i="2"/>
  <c r="P249" i="2" s="1"/>
  <c r="K249" i="2"/>
  <c r="G249" i="2"/>
  <c r="F249" i="2"/>
  <c r="E249" i="2"/>
  <c r="AP248" i="2"/>
  <c r="AO248" i="2"/>
  <c r="AM248" i="2"/>
  <c r="AL248" i="2"/>
  <c r="AK248" i="2"/>
  <c r="AI248" i="2"/>
  <c r="AE248" i="2"/>
  <c r="X248" i="2"/>
  <c r="AA248" i="2" s="1"/>
  <c r="T248" i="2"/>
  <c r="U248" i="2" s="1"/>
  <c r="W248" i="2" s="1"/>
  <c r="S248" i="2"/>
  <c r="AG248" i="2" s="1"/>
  <c r="O248" i="2"/>
  <c r="P248" i="2" s="1"/>
  <c r="K248" i="2"/>
  <c r="E248" i="2"/>
  <c r="G248" i="2" s="1"/>
  <c r="AP247" i="2"/>
  <c r="AO247" i="2"/>
  <c r="AK247" i="2"/>
  <c r="AL247" i="2" s="1"/>
  <c r="AG247" i="2"/>
  <c r="AF247" i="2"/>
  <c r="AE247" i="2"/>
  <c r="AM247" i="2" s="1"/>
  <c r="X247" i="2"/>
  <c r="AA247" i="2" s="1"/>
  <c r="T247" i="2"/>
  <c r="U247" i="2" s="1"/>
  <c r="W247" i="2" s="1"/>
  <c r="S247" i="2"/>
  <c r="AI247" i="2" s="1"/>
  <c r="P247" i="2"/>
  <c r="O247" i="2"/>
  <c r="K247" i="2"/>
  <c r="E247" i="2"/>
  <c r="AP246" i="2"/>
  <c r="AO246" i="2"/>
  <c r="AK246" i="2"/>
  <c r="AL246" i="2" s="1"/>
  <c r="AE246" i="2"/>
  <c r="AM246" i="2" s="1"/>
  <c r="AN246" i="2" s="1"/>
  <c r="AA246" i="2"/>
  <c r="X246" i="2"/>
  <c r="T246" i="2"/>
  <c r="S246" i="2"/>
  <c r="AG246" i="2" s="1"/>
  <c r="P246" i="2"/>
  <c r="O246" i="2"/>
  <c r="K246" i="2"/>
  <c r="AF246" i="2" s="1"/>
  <c r="E246" i="2"/>
  <c r="G246" i="2" s="1"/>
  <c r="AP245" i="2"/>
  <c r="AO245" i="2"/>
  <c r="AL245" i="2"/>
  <c r="AK245" i="2"/>
  <c r="AE245" i="2"/>
  <c r="AM245" i="2" s="1"/>
  <c r="AN245" i="2" s="1"/>
  <c r="X245" i="2"/>
  <c r="AA245" i="2" s="1"/>
  <c r="W245" i="2"/>
  <c r="T245" i="2"/>
  <c r="S245" i="2"/>
  <c r="U245" i="2" s="1"/>
  <c r="O245" i="2"/>
  <c r="P245" i="2" s="1"/>
  <c r="K245" i="2"/>
  <c r="G245" i="2"/>
  <c r="F245" i="2"/>
  <c r="E245" i="2"/>
  <c r="AP244" i="2"/>
  <c r="AO244" i="2"/>
  <c r="AM244" i="2"/>
  <c r="AL244" i="2"/>
  <c r="AK244" i="2"/>
  <c r="AI244" i="2"/>
  <c r="AE244" i="2"/>
  <c r="X244" i="2"/>
  <c r="AA244" i="2" s="1"/>
  <c r="W244" i="2"/>
  <c r="T244" i="2"/>
  <c r="U244" i="2" s="1"/>
  <c r="S244" i="2"/>
  <c r="AG244" i="2" s="1"/>
  <c r="O244" i="2"/>
  <c r="P244" i="2" s="1"/>
  <c r="K244" i="2"/>
  <c r="E244" i="2"/>
  <c r="G244" i="2" s="1"/>
  <c r="AP243" i="2"/>
  <c r="AO243" i="2"/>
  <c r="AK243" i="2"/>
  <c r="AL243" i="2" s="1"/>
  <c r="AG243" i="2"/>
  <c r="AF243" i="2"/>
  <c r="AE243" i="2"/>
  <c r="AM243" i="2" s="1"/>
  <c r="X243" i="2"/>
  <c r="AA243" i="2" s="1"/>
  <c r="T243" i="2"/>
  <c r="U243" i="2" s="1"/>
  <c r="W243" i="2" s="1"/>
  <c r="S243" i="2"/>
  <c r="AI243" i="2" s="1"/>
  <c r="P243" i="2"/>
  <c r="O243" i="2"/>
  <c r="K243" i="2"/>
  <c r="E243" i="2"/>
  <c r="AP242" i="2"/>
  <c r="AO242" i="2"/>
  <c r="AK242" i="2"/>
  <c r="AL242" i="2" s="1"/>
  <c r="AE242" i="2"/>
  <c r="AM242" i="2" s="1"/>
  <c r="AN242" i="2" s="1"/>
  <c r="AA242" i="2"/>
  <c r="X242" i="2"/>
  <c r="T242" i="2"/>
  <c r="S242" i="2"/>
  <c r="AG242" i="2" s="1"/>
  <c r="P242" i="2"/>
  <c r="O242" i="2"/>
  <c r="K242" i="2"/>
  <c r="AF242" i="2" s="1"/>
  <c r="E242" i="2"/>
  <c r="G242" i="2" s="1"/>
  <c r="AP241" i="2"/>
  <c r="AO241" i="2"/>
  <c r="AL241" i="2"/>
  <c r="AK241" i="2"/>
  <c r="AE241" i="2"/>
  <c r="AM241" i="2" s="1"/>
  <c r="AN241" i="2" s="1"/>
  <c r="X241" i="2"/>
  <c r="AA241" i="2" s="1"/>
  <c r="W241" i="2"/>
  <c r="T241" i="2"/>
  <c r="S241" i="2"/>
  <c r="U241" i="2" s="1"/>
  <c r="O241" i="2"/>
  <c r="P241" i="2" s="1"/>
  <c r="K241" i="2"/>
  <c r="G241" i="2"/>
  <c r="F241" i="2"/>
  <c r="E241" i="2"/>
  <c r="AP240" i="2"/>
  <c r="AO240" i="2"/>
  <c r="AM240" i="2"/>
  <c r="AL240" i="2"/>
  <c r="AK240" i="2"/>
  <c r="AI240" i="2"/>
  <c r="AE240" i="2"/>
  <c r="X240" i="2"/>
  <c r="AA240" i="2" s="1"/>
  <c r="W240" i="2"/>
  <c r="T240" i="2"/>
  <c r="U240" i="2" s="1"/>
  <c r="S240" i="2"/>
  <c r="AG240" i="2" s="1"/>
  <c r="O240" i="2"/>
  <c r="P240" i="2" s="1"/>
  <c r="K240" i="2"/>
  <c r="E240" i="2"/>
  <c r="G240" i="2" s="1"/>
  <c r="AP239" i="2"/>
  <c r="AO239" i="2"/>
  <c r="AK239" i="2"/>
  <c r="AL239" i="2" s="1"/>
  <c r="AG239" i="2"/>
  <c r="AF239" i="2"/>
  <c r="AE239" i="2"/>
  <c r="AM239" i="2" s="1"/>
  <c r="X239" i="2"/>
  <c r="AA239" i="2" s="1"/>
  <c r="T239" i="2"/>
  <c r="U239" i="2" s="1"/>
  <c r="W239" i="2" s="1"/>
  <c r="S239" i="2"/>
  <c r="AI239" i="2" s="1"/>
  <c r="P239" i="2"/>
  <c r="O239" i="2"/>
  <c r="K239" i="2"/>
  <c r="E239" i="2"/>
  <c r="AP238" i="2"/>
  <c r="AO238" i="2"/>
  <c r="AK238" i="2"/>
  <c r="AL238" i="2" s="1"/>
  <c r="AE238" i="2"/>
  <c r="AM238" i="2" s="1"/>
  <c r="AN238" i="2" s="1"/>
  <c r="AA238" i="2"/>
  <c r="X238" i="2"/>
  <c r="T238" i="2"/>
  <c r="S238" i="2"/>
  <c r="AG238" i="2" s="1"/>
  <c r="P238" i="2"/>
  <c r="O238" i="2"/>
  <c r="K238" i="2"/>
  <c r="AF238" i="2" s="1"/>
  <c r="E238" i="2"/>
  <c r="G238" i="2" s="1"/>
  <c r="AP237" i="2"/>
  <c r="AO237" i="2"/>
  <c r="AL237" i="2"/>
  <c r="AK237" i="2"/>
  <c r="AE237" i="2"/>
  <c r="AM237" i="2" s="1"/>
  <c r="AN237" i="2" s="1"/>
  <c r="X237" i="2"/>
  <c r="AA237" i="2" s="1"/>
  <c r="W237" i="2"/>
  <c r="T237" i="2"/>
  <c r="S237" i="2"/>
  <c r="U237" i="2" s="1"/>
  <c r="O237" i="2"/>
  <c r="P237" i="2" s="1"/>
  <c r="K237" i="2"/>
  <c r="G237" i="2"/>
  <c r="F237" i="2"/>
  <c r="E237" i="2"/>
  <c r="AP236" i="2"/>
  <c r="AO236" i="2"/>
  <c r="AM236" i="2"/>
  <c r="AL236" i="2"/>
  <c r="AK236" i="2"/>
  <c r="AI236" i="2"/>
  <c r="AE236" i="2"/>
  <c r="X236" i="2"/>
  <c r="AA236" i="2" s="1"/>
  <c r="T236" i="2"/>
  <c r="U236" i="2" s="1"/>
  <c r="W236" i="2" s="1"/>
  <c r="S236" i="2"/>
  <c r="AG236" i="2" s="1"/>
  <c r="O236" i="2"/>
  <c r="P236" i="2" s="1"/>
  <c r="K236" i="2"/>
  <c r="E236" i="2"/>
  <c r="G236" i="2" s="1"/>
  <c r="AP235" i="2"/>
  <c r="AO235" i="2"/>
  <c r="AK235" i="2"/>
  <c r="AL235" i="2" s="1"/>
  <c r="AG235" i="2"/>
  <c r="AF235" i="2"/>
  <c r="AE235" i="2"/>
  <c r="AM235" i="2" s="1"/>
  <c r="X235" i="2"/>
  <c r="AA235" i="2" s="1"/>
  <c r="T235" i="2"/>
  <c r="U235" i="2" s="1"/>
  <c r="W235" i="2" s="1"/>
  <c r="S235" i="2"/>
  <c r="AI235" i="2" s="1"/>
  <c r="P235" i="2"/>
  <c r="O235" i="2"/>
  <c r="K235" i="2"/>
  <c r="E235" i="2"/>
  <c r="AP234" i="2"/>
  <c r="AO234" i="2"/>
  <c r="AK234" i="2"/>
  <c r="AL234" i="2" s="1"/>
  <c r="AE234" i="2"/>
  <c r="AM234" i="2" s="1"/>
  <c r="AN234" i="2" s="1"/>
  <c r="AA234" i="2"/>
  <c r="X234" i="2"/>
  <c r="T234" i="2"/>
  <c r="S234" i="2"/>
  <c r="AG234" i="2" s="1"/>
  <c r="P234" i="2"/>
  <c r="O234" i="2"/>
  <c r="K234" i="2"/>
  <c r="AF234" i="2" s="1"/>
  <c r="E234" i="2"/>
  <c r="G234" i="2" s="1"/>
  <c r="AP233" i="2"/>
  <c r="AO233" i="2"/>
  <c r="AL233" i="2"/>
  <c r="AK233" i="2"/>
  <c r="AE233" i="2"/>
  <c r="AM233" i="2" s="1"/>
  <c r="AN233" i="2" s="1"/>
  <c r="X233" i="2"/>
  <c r="AA233" i="2" s="1"/>
  <c r="W233" i="2"/>
  <c r="T233" i="2"/>
  <c r="S233" i="2"/>
  <c r="U233" i="2" s="1"/>
  <c r="O233" i="2"/>
  <c r="P233" i="2" s="1"/>
  <c r="K233" i="2"/>
  <c r="G233" i="2"/>
  <c r="F233" i="2"/>
  <c r="E233" i="2"/>
  <c r="AP232" i="2"/>
  <c r="AO232" i="2"/>
  <c r="AM232" i="2"/>
  <c r="AL232" i="2"/>
  <c r="AK232" i="2"/>
  <c r="AI232" i="2"/>
  <c r="AE232" i="2"/>
  <c r="X232" i="2"/>
  <c r="AA232" i="2" s="1"/>
  <c r="T232" i="2"/>
  <c r="U232" i="2" s="1"/>
  <c r="W232" i="2" s="1"/>
  <c r="S232" i="2"/>
  <c r="AG232" i="2" s="1"/>
  <c r="O232" i="2"/>
  <c r="P232" i="2" s="1"/>
  <c r="K232" i="2"/>
  <c r="E232" i="2"/>
  <c r="G232" i="2" s="1"/>
  <c r="AP231" i="2"/>
  <c r="AO231" i="2"/>
  <c r="AK231" i="2"/>
  <c r="AL231" i="2" s="1"/>
  <c r="AG231" i="2"/>
  <c r="AF231" i="2"/>
  <c r="AE231" i="2"/>
  <c r="AM231" i="2" s="1"/>
  <c r="X231" i="2"/>
  <c r="AA231" i="2" s="1"/>
  <c r="T231" i="2"/>
  <c r="U231" i="2" s="1"/>
  <c r="W231" i="2" s="1"/>
  <c r="S231" i="2"/>
  <c r="AI231" i="2" s="1"/>
  <c r="P231" i="2"/>
  <c r="O231" i="2"/>
  <c r="K231" i="2"/>
  <c r="E231" i="2"/>
  <c r="AP230" i="2"/>
  <c r="AO230" i="2"/>
  <c r="AK230" i="2"/>
  <c r="AL230" i="2" s="1"/>
  <c r="AE230" i="2"/>
  <c r="AM230" i="2" s="1"/>
  <c r="AN230" i="2" s="1"/>
  <c r="AA230" i="2"/>
  <c r="X230" i="2"/>
  <c r="T230" i="2"/>
  <c r="S230" i="2"/>
  <c r="AG230" i="2" s="1"/>
  <c r="P230" i="2"/>
  <c r="O230" i="2"/>
  <c r="K230" i="2"/>
  <c r="AF230" i="2" s="1"/>
  <c r="E230" i="2"/>
  <c r="G230" i="2" s="1"/>
  <c r="AP229" i="2"/>
  <c r="AO229" i="2"/>
  <c r="AL229" i="2"/>
  <c r="AK229" i="2"/>
  <c r="AE229" i="2"/>
  <c r="AM229" i="2" s="1"/>
  <c r="AN229" i="2" s="1"/>
  <c r="X229" i="2"/>
  <c r="AA229" i="2" s="1"/>
  <c r="W229" i="2"/>
  <c r="T229" i="2"/>
  <c r="S229" i="2"/>
  <c r="U229" i="2" s="1"/>
  <c r="O229" i="2"/>
  <c r="P229" i="2" s="1"/>
  <c r="K229" i="2"/>
  <c r="G229" i="2"/>
  <c r="F229" i="2"/>
  <c r="E229" i="2"/>
  <c r="AP228" i="2"/>
  <c r="AO228" i="2"/>
  <c r="AM228" i="2"/>
  <c r="AL228" i="2"/>
  <c r="AK228" i="2"/>
  <c r="AI228" i="2"/>
  <c r="AE228" i="2"/>
  <c r="X228" i="2"/>
  <c r="AA228" i="2" s="1"/>
  <c r="W228" i="2"/>
  <c r="T228" i="2"/>
  <c r="U228" i="2" s="1"/>
  <c r="S228" i="2"/>
  <c r="AG228" i="2" s="1"/>
  <c r="O228" i="2"/>
  <c r="P228" i="2" s="1"/>
  <c r="K228" i="2"/>
  <c r="E228" i="2"/>
  <c r="G228" i="2" s="1"/>
  <c r="AP227" i="2"/>
  <c r="AO227" i="2"/>
  <c r="AK227" i="2"/>
  <c r="AL227" i="2" s="1"/>
  <c r="AG227" i="2"/>
  <c r="AF227" i="2"/>
  <c r="AE227" i="2"/>
  <c r="AM227" i="2" s="1"/>
  <c r="X227" i="2"/>
  <c r="AA227" i="2" s="1"/>
  <c r="T227" i="2"/>
  <c r="U227" i="2" s="1"/>
  <c r="W227" i="2" s="1"/>
  <c r="S227" i="2"/>
  <c r="AI227" i="2" s="1"/>
  <c r="P227" i="2"/>
  <c r="O227" i="2"/>
  <c r="K227" i="2"/>
  <c r="E227" i="2"/>
  <c r="AP226" i="2"/>
  <c r="AO226" i="2"/>
  <c r="AK226" i="2"/>
  <c r="AL226" i="2" s="1"/>
  <c r="AE226" i="2"/>
  <c r="AM226" i="2" s="1"/>
  <c r="AN226" i="2" s="1"/>
  <c r="AA226" i="2"/>
  <c r="X226" i="2"/>
  <c r="T226" i="2"/>
  <c r="S226" i="2"/>
  <c r="AG226" i="2" s="1"/>
  <c r="P226" i="2"/>
  <c r="O226" i="2"/>
  <c r="K226" i="2"/>
  <c r="AF226" i="2" s="1"/>
  <c r="E226" i="2"/>
  <c r="G226" i="2" s="1"/>
  <c r="AP225" i="2"/>
  <c r="AO225" i="2"/>
  <c r="AL225" i="2"/>
  <c r="AK225" i="2"/>
  <c r="AE225" i="2"/>
  <c r="AM225" i="2" s="1"/>
  <c r="AN225" i="2" s="1"/>
  <c r="X225" i="2"/>
  <c r="AA225" i="2" s="1"/>
  <c r="W225" i="2"/>
  <c r="T225" i="2"/>
  <c r="S225" i="2"/>
  <c r="U225" i="2" s="1"/>
  <c r="O225" i="2"/>
  <c r="P225" i="2" s="1"/>
  <c r="K225" i="2"/>
  <c r="G225" i="2"/>
  <c r="F225" i="2"/>
  <c r="E225" i="2"/>
  <c r="AP224" i="2"/>
  <c r="AO224" i="2"/>
  <c r="AM224" i="2"/>
  <c r="AL224" i="2"/>
  <c r="AK224" i="2"/>
  <c r="AI224" i="2"/>
  <c r="AE224" i="2"/>
  <c r="X224" i="2"/>
  <c r="AA224" i="2" s="1"/>
  <c r="W224" i="2"/>
  <c r="T224" i="2"/>
  <c r="U224" i="2" s="1"/>
  <c r="S224" i="2"/>
  <c r="AG224" i="2" s="1"/>
  <c r="O224" i="2"/>
  <c r="P224" i="2" s="1"/>
  <c r="K224" i="2"/>
  <c r="E224" i="2"/>
  <c r="G224" i="2" s="1"/>
  <c r="AP223" i="2"/>
  <c r="AO223" i="2"/>
  <c r="AK223" i="2"/>
  <c r="AL223" i="2" s="1"/>
  <c r="AG223" i="2"/>
  <c r="AF223" i="2"/>
  <c r="AE223" i="2"/>
  <c r="AM223" i="2" s="1"/>
  <c r="X223" i="2"/>
  <c r="AA223" i="2" s="1"/>
  <c r="T223" i="2"/>
  <c r="U223" i="2" s="1"/>
  <c r="W223" i="2" s="1"/>
  <c r="S223" i="2"/>
  <c r="AI223" i="2" s="1"/>
  <c r="P223" i="2"/>
  <c r="O223" i="2"/>
  <c r="K223" i="2"/>
  <c r="E223" i="2"/>
  <c r="AP222" i="2"/>
  <c r="AO222" i="2"/>
  <c r="AK222" i="2"/>
  <c r="AL222" i="2" s="1"/>
  <c r="AE222" i="2"/>
  <c r="AM222" i="2" s="1"/>
  <c r="AN222" i="2" s="1"/>
  <c r="AA222" i="2"/>
  <c r="X222" i="2"/>
  <c r="T222" i="2"/>
  <c r="S222" i="2"/>
  <c r="AG222" i="2" s="1"/>
  <c r="P222" i="2"/>
  <c r="O222" i="2"/>
  <c r="K222" i="2"/>
  <c r="AF222" i="2" s="1"/>
  <c r="E222" i="2"/>
  <c r="G222" i="2" s="1"/>
  <c r="AP221" i="2"/>
  <c r="AO221" i="2"/>
  <c r="AL221" i="2"/>
  <c r="AK221" i="2"/>
  <c r="AE221" i="2"/>
  <c r="AM221" i="2" s="1"/>
  <c r="AN221" i="2" s="1"/>
  <c r="X221" i="2"/>
  <c r="AA221" i="2" s="1"/>
  <c r="W221" i="2"/>
  <c r="T221" i="2"/>
  <c r="S221" i="2"/>
  <c r="U221" i="2" s="1"/>
  <c r="O221" i="2"/>
  <c r="P221" i="2" s="1"/>
  <c r="K221" i="2"/>
  <c r="G221" i="2"/>
  <c r="F221" i="2"/>
  <c r="E221" i="2"/>
  <c r="AP220" i="2"/>
  <c r="AO220" i="2"/>
  <c r="AM220" i="2"/>
  <c r="AL220" i="2"/>
  <c r="AK220" i="2"/>
  <c r="AI220" i="2"/>
  <c r="AE220" i="2"/>
  <c r="X220" i="2"/>
  <c r="AA220" i="2" s="1"/>
  <c r="T220" i="2"/>
  <c r="U220" i="2" s="1"/>
  <c r="W220" i="2" s="1"/>
  <c r="S220" i="2"/>
  <c r="AG220" i="2" s="1"/>
  <c r="O220" i="2"/>
  <c r="P220" i="2" s="1"/>
  <c r="K220" i="2"/>
  <c r="E220" i="2"/>
  <c r="G220" i="2" s="1"/>
  <c r="AP219" i="2"/>
  <c r="AO219" i="2"/>
  <c r="AK219" i="2"/>
  <c r="AL219" i="2" s="1"/>
  <c r="AG219" i="2"/>
  <c r="AF219" i="2"/>
  <c r="AE219" i="2"/>
  <c r="AM219" i="2" s="1"/>
  <c r="X219" i="2"/>
  <c r="AA219" i="2" s="1"/>
  <c r="T219" i="2"/>
  <c r="U219" i="2" s="1"/>
  <c r="W219" i="2" s="1"/>
  <c r="S219" i="2"/>
  <c r="AI219" i="2" s="1"/>
  <c r="P219" i="2"/>
  <c r="O219" i="2"/>
  <c r="K219" i="2"/>
  <c r="E219" i="2"/>
  <c r="AP218" i="2"/>
  <c r="AO218" i="2"/>
  <c r="AK218" i="2"/>
  <c r="AL218" i="2" s="1"/>
  <c r="AE218" i="2"/>
  <c r="AM218" i="2" s="1"/>
  <c r="AN218" i="2" s="1"/>
  <c r="AA218" i="2"/>
  <c r="X218" i="2"/>
  <c r="T218" i="2"/>
  <c r="S218" i="2"/>
  <c r="AG218" i="2" s="1"/>
  <c r="P218" i="2"/>
  <c r="O218" i="2"/>
  <c r="K218" i="2"/>
  <c r="AF218" i="2" s="1"/>
  <c r="E218" i="2"/>
  <c r="G218" i="2" s="1"/>
  <c r="AP217" i="2"/>
  <c r="AO217" i="2"/>
  <c r="AL217" i="2"/>
  <c r="AK217" i="2"/>
  <c r="AE217" i="2"/>
  <c r="AM217" i="2" s="1"/>
  <c r="AN217" i="2" s="1"/>
  <c r="X217" i="2"/>
  <c r="AA217" i="2" s="1"/>
  <c r="W217" i="2"/>
  <c r="T217" i="2"/>
  <c r="S217" i="2"/>
  <c r="U217" i="2" s="1"/>
  <c r="O217" i="2"/>
  <c r="P217" i="2" s="1"/>
  <c r="K217" i="2"/>
  <c r="G217" i="2"/>
  <c r="F217" i="2"/>
  <c r="E217" i="2"/>
  <c r="AP216" i="2"/>
  <c r="AO216" i="2"/>
  <c r="AM216" i="2"/>
  <c r="AL216" i="2"/>
  <c r="AK216" i="2"/>
  <c r="AI216" i="2"/>
  <c r="AE216" i="2"/>
  <c r="X216" i="2"/>
  <c r="AA216" i="2" s="1"/>
  <c r="T216" i="2"/>
  <c r="U216" i="2" s="1"/>
  <c r="W216" i="2" s="1"/>
  <c r="S216" i="2"/>
  <c r="AG216" i="2" s="1"/>
  <c r="O216" i="2"/>
  <c r="P216" i="2" s="1"/>
  <c r="K216" i="2"/>
  <c r="E216" i="2"/>
  <c r="G216" i="2" s="1"/>
  <c r="AP215" i="2"/>
  <c r="AO215" i="2"/>
  <c r="AK215" i="2"/>
  <c r="AL215" i="2" s="1"/>
  <c r="AG215" i="2"/>
  <c r="AF215" i="2"/>
  <c r="AE215" i="2"/>
  <c r="AM215" i="2" s="1"/>
  <c r="X215" i="2"/>
  <c r="AA215" i="2" s="1"/>
  <c r="T215" i="2"/>
  <c r="U215" i="2" s="1"/>
  <c r="W215" i="2" s="1"/>
  <c r="S215" i="2"/>
  <c r="AI215" i="2" s="1"/>
  <c r="P215" i="2"/>
  <c r="O215" i="2"/>
  <c r="K215" i="2"/>
  <c r="E215" i="2"/>
  <c r="AP214" i="2"/>
  <c r="AO214" i="2"/>
  <c r="AK214" i="2"/>
  <c r="AL214" i="2" s="1"/>
  <c r="AE214" i="2"/>
  <c r="AM214" i="2" s="1"/>
  <c r="AN214" i="2" s="1"/>
  <c r="AA214" i="2"/>
  <c r="X214" i="2"/>
  <c r="T214" i="2"/>
  <c r="S214" i="2"/>
  <c r="AG214" i="2" s="1"/>
  <c r="P214" i="2"/>
  <c r="O214" i="2"/>
  <c r="K214" i="2"/>
  <c r="AF214" i="2" s="1"/>
  <c r="E214" i="2"/>
  <c r="G214" i="2" s="1"/>
  <c r="AP213" i="2"/>
  <c r="AO213" i="2"/>
  <c r="AL213" i="2"/>
  <c r="AK213" i="2"/>
  <c r="AE213" i="2"/>
  <c r="AM213" i="2" s="1"/>
  <c r="AN213" i="2" s="1"/>
  <c r="X213" i="2"/>
  <c r="AA213" i="2" s="1"/>
  <c r="W213" i="2"/>
  <c r="T213" i="2"/>
  <c r="S213" i="2"/>
  <c r="U213" i="2" s="1"/>
  <c r="O213" i="2"/>
  <c r="P213" i="2" s="1"/>
  <c r="K213" i="2"/>
  <c r="G213" i="2"/>
  <c r="F213" i="2"/>
  <c r="E213" i="2"/>
  <c r="AP212" i="2"/>
  <c r="AO212" i="2"/>
  <c r="AM212" i="2"/>
  <c r="AL212" i="2"/>
  <c r="AK212" i="2"/>
  <c r="AI212" i="2"/>
  <c r="AE212" i="2"/>
  <c r="X212" i="2"/>
  <c r="AA212" i="2" s="1"/>
  <c r="W212" i="2"/>
  <c r="T212" i="2"/>
  <c r="U212" i="2" s="1"/>
  <c r="S212" i="2"/>
  <c r="AG212" i="2" s="1"/>
  <c r="O212" i="2"/>
  <c r="P212" i="2" s="1"/>
  <c r="K212" i="2"/>
  <c r="E212" i="2"/>
  <c r="G212" i="2" s="1"/>
  <c r="AP211" i="2"/>
  <c r="AO211" i="2"/>
  <c r="AK211" i="2"/>
  <c r="AL211" i="2" s="1"/>
  <c r="AG211" i="2"/>
  <c r="AF211" i="2"/>
  <c r="AE211" i="2"/>
  <c r="AM211" i="2" s="1"/>
  <c r="X211" i="2"/>
  <c r="AA211" i="2" s="1"/>
  <c r="T211" i="2"/>
  <c r="U211" i="2" s="1"/>
  <c r="W211" i="2" s="1"/>
  <c r="S211" i="2"/>
  <c r="AI211" i="2" s="1"/>
  <c r="P211" i="2"/>
  <c r="O211" i="2"/>
  <c r="K211" i="2"/>
  <c r="E211" i="2"/>
  <c r="AP210" i="2"/>
  <c r="AO210" i="2"/>
  <c r="AK210" i="2"/>
  <c r="AL210" i="2" s="1"/>
  <c r="AE210" i="2"/>
  <c r="AM210" i="2" s="1"/>
  <c r="AN210" i="2" s="1"/>
  <c r="AA210" i="2"/>
  <c r="X210" i="2"/>
  <c r="T210" i="2"/>
  <c r="S210" i="2"/>
  <c r="AG210" i="2" s="1"/>
  <c r="P210" i="2"/>
  <c r="O210" i="2"/>
  <c r="K210" i="2"/>
  <c r="AF210" i="2" s="1"/>
  <c r="E210" i="2"/>
  <c r="G210" i="2" s="1"/>
  <c r="AP209" i="2"/>
  <c r="AO209" i="2"/>
  <c r="AL209" i="2"/>
  <c r="AK209" i="2"/>
  <c r="AE209" i="2"/>
  <c r="AM209" i="2" s="1"/>
  <c r="AN209" i="2" s="1"/>
  <c r="X209" i="2"/>
  <c r="AA209" i="2" s="1"/>
  <c r="W209" i="2"/>
  <c r="T209" i="2"/>
  <c r="S209" i="2"/>
  <c r="U209" i="2" s="1"/>
  <c r="O209" i="2"/>
  <c r="P209" i="2" s="1"/>
  <c r="K209" i="2"/>
  <c r="G209" i="2"/>
  <c r="F209" i="2"/>
  <c r="E209" i="2"/>
  <c r="AP208" i="2"/>
  <c r="AO208" i="2"/>
  <c r="AM208" i="2"/>
  <c r="AL208" i="2"/>
  <c r="AK208" i="2"/>
  <c r="AI208" i="2"/>
  <c r="AE208" i="2"/>
  <c r="X208" i="2"/>
  <c r="AA208" i="2" s="1"/>
  <c r="W208" i="2"/>
  <c r="T208" i="2"/>
  <c r="U208" i="2" s="1"/>
  <c r="S208" i="2"/>
  <c r="AG208" i="2" s="1"/>
  <c r="O208" i="2"/>
  <c r="P208" i="2" s="1"/>
  <c r="K208" i="2"/>
  <c r="E208" i="2"/>
  <c r="G208" i="2" s="1"/>
  <c r="AP207" i="2"/>
  <c r="AO207" i="2"/>
  <c r="AK207" i="2"/>
  <c r="AL207" i="2" s="1"/>
  <c r="AG207" i="2"/>
  <c r="AF207" i="2"/>
  <c r="AE207" i="2"/>
  <c r="AM207" i="2" s="1"/>
  <c r="X207" i="2"/>
  <c r="AA207" i="2" s="1"/>
  <c r="T207" i="2"/>
  <c r="U207" i="2" s="1"/>
  <c r="W207" i="2" s="1"/>
  <c r="S207" i="2"/>
  <c r="AI207" i="2" s="1"/>
  <c r="P207" i="2"/>
  <c r="O207" i="2"/>
  <c r="K207" i="2"/>
  <c r="E207" i="2"/>
  <c r="AP206" i="2"/>
  <c r="AO206" i="2"/>
  <c r="AK206" i="2"/>
  <c r="AL206" i="2" s="1"/>
  <c r="AE206" i="2"/>
  <c r="AM206" i="2" s="1"/>
  <c r="AN206" i="2" s="1"/>
  <c r="AA206" i="2"/>
  <c r="X206" i="2"/>
  <c r="T206" i="2"/>
  <c r="S206" i="2"/>
  <c r="AG206" i="2" s="1"/>
  <c r="P206" i="2"/>
  <c r="O206" i="2"/>
  <c r="K206" i="2"/>
  <c r="AF206" i="2" s="1"/>
  <c r="E206" i="2"/>
  <c r="G206" i="2" s="1"/>
  <c r="AP205" i="2"/>
  <c r="AO205" i="2"/>
  <c r="AL205" i="2"/>
  <c r="AK205" i="2"/>
  <c r="AE205" i="2"/>
  <c r="AM205" i="2" s="1"/>
  <c r="AN205" i="2" s="1"/>
  <c r="X205" i="2"/>
  <c r="AA205" i="2" s="1"/>
  <c r="W205" i="2"/>
  <c r="T205" i="2"/>
  <c r="S205" i="2"/>
  <c r="U205" i="2" s="1"/>
  <c r="O205" i="2"/>
  <c r="P205" i="2" s="1"/>
  <c r="K205" i="2"/>
  <c r="G205" i="2"/>
  <c r="F205" i="2"/>
  <c r="E205" i="2"/>
  <c r="AP204" i="2"/>
  <c r="AO204" i="2"/>
  <c r="AM204" i="2"/>
  <c r="AL204" i="2"/>
  <c r="AK204" i="2"/>
  <c r="AI204" i="2"/>
  <c r="AE204" i="2"/>
  <c r="X204" i="2"/>
  <c r="AA204" i="2" s="1"/>
  <c r="T204" i="2"/>
  <c r="U204" i="2" s="1"/>
  <c r="W204" i="2" s="1"/>
  <c r="S204" i="2"/>
  <c r="AG204" i="2" s="1"/>
  <c r="O204" i="2"/>
  <c r="P204" i="2" s="1"/>
  <c r="K204" i="2"/>
  <c r="E204" i="2"/>
  <c r="G204" i="2" s="1"/>
  <c r="AP203" i="2"/>
  <c r="AO203" i="2"/>
  <c r="AK203" i="2"/>
  <c r="AL203" i="2" s="1"/>
  <c r="AG203" i="2"/>
  <c r="AF203" i="2"/>
  <c r="AE203" i="2"/>
  <c r="AM203" i="2" s="1"/>
  <c r="X203" i="2"/>
  <c r="AA203" i="2" s="1"/>
  <c r="T203" i="2"/>
  <c r="U203" i="2" s="1"/>
  <c r="W203" i="2" s="1"/>
  <c r="S203" i="2"/>
  <c r="AI203" i="2" s="1"/>
  <c r="P203" i="2"/>
  <c r="O203" i="2"/>
  <c r="K203" i="2"/>
  <c r="E203" i="2"/>
  <c r="AP202" i="2"/>
  <c r="AO202" i="2"/>
  <c r="AK202" i="2"/>
  <c r="AL202" i="2" s="1"/>
  <c r="AE202" i="2"/>
  <c r="AM202" i="2" s="1"/>
  <c r="AN202" i="2" s="1"/>
  <c r="AA202" i="2"/>
  <c r="X202" i="2"/>
  <c r="T202" i="2"/>
  <c r="S202" i="2"/>
  <c r="AG202" i="2" s="1"/>
  <c r="P202" i="2"/>
  <c r="O202" i="2"/>
  <c r="K202" i="2"/>
  <c r="AF202" i="2" s="1"/>
  <c r="E202" i="2"/>
  <c r="G202" i="2" s="1"/>
  <c r="AP201" i="2"/>
  <c r="AO201" i="2"/>
  <c r="AL201" i="2"/>
  <c r="AK201" i="2"/>
  <c r="AE201" i="2"/>
  <c r="AM201" i="2" s="1"/>
  <c r="AN201" i="2" s="1"/>
  <c r="X201" i="2"/>
  <c r="AA201" i="2" s="1"/>
  <c r="W201" i="2"/>
  <c r="T201" i="2"/>
  <c r="S201" i="2"/>
  <c r="U201" i="2" s="1"/>
  <c r="O201" i="2"/>
  <c r="P201" i="2" s="1"/>
  <c r="K201" i="2"/>
  <c r="G201" i="2"/>
  <c r="F201" i="2"/>
  <c r="E201" i="2"/>
  <c r="AP200" i="2"/>
  <c r="AO200" i="2"/>
  <c r="AM200" i="2"/>
  <c r="AL200" i="2"/>
  <c r="AK200" i="2"/>
  <c r="AI200" i="2"/>
  <c r="AE200" i="2"/>
  <c r="X200" i="2"/>
  <c r="AA200" i="2" s="1"/>
  <c r="T200" i="2"/>
  <c r="U200" i="2" s="1"/>
  <c r="W200" i="2" s="1"/>
  <c r="S200" i="2"/>
  <c r="AG200" i="2" s="1"/>
  <c r="O200" i="2"/>
  <c r="P200" i="2" s="1"/>
  <c r="K200" i="2"/>
  <c r="E200" i="2"/>
  <c r="G200" i="2" s="1"/>
  <c r="AP199" i="2"/>
  <c r="AO199" i="2"/>
  <c r="AK199" i="2"/>
  <c r="AL199" i="2" s="1"/>
  <c r="AG199" i="2"/>
  <c r="AF199" i="2"/>
  <c r="AE199" i="2"/>
  <c r="AM199" i="2" s="1"/>
  <c r="X199" i="2"/>
  <c r="AA199" i="2" s="1"/>
  <c r="T199" i="2"/>
  <c r="U199" i="2" s="1"/>
  <c r="W199" i="2" s="1"/>
  <c r="S199" i="2"/>
  <c r="AI199" i="2" s="1"/>
  <c r="P199" i="2"/>
  <c r="O199" i="2"/>
  <c r="K199" i="2"/>
  <c r="E199" i="2"/>
  <c r="AP198" i="2"/>
  <c r="AO198" i="2"/>
  <c r="AK198" i="2"/>
  <c r="AL198" i="2" s="1"/>
  <c r="AE198" i="2"/>
  <c r="AM198" i="2" s="1"/>
  <c r="AN198" i="2" s="1"/>
  <c r="AA198" i="2"/>
  <c r="X198" i="2"/>
  <c r="T198" i="2"/>
  <c r="S198" i="2"/>
  <c r="AG198" i="2" s="1"/>
  <c r="P198" i="2"/>
  <c r="O198" i="2"/>
  <c r="K198" i="2"/>
  <c r="AF198" i="2" s="1"/>
  <c r="E198" i="2"/>
  <c r="G198" i="2" s="1"/>
  <c r="AP197" i="2"/>
  <c r="AO197" i="2"/>
  <c r="AL197" i="2"/>
  <c r="AK197" i="2"/>
  <c r="AE197" i="2"/>
  <c r="AM197" i="2" s="1"/>
  <c r="AN197" i="2" s="1"/>
  <c r="X197" i="2"/>
  <c r="AA197" i="2" s="1"/>
  <c r="W197" i="2"/>
  <c r="T197" i="2"/>
  <c r="S197" i="2"/>
  <c r="U197" i="2" s="1"/>
  <c r="O197" i="2"/>
  <c r="P197" i="2" s="1"/>
  <c r="K197" i="2"/>
  <c r="G197" i="2"/>
  <c r="F197" i="2"/>
  <c r="E197" i="2"/>
  <c r="AP196" i="2"/>
  <c r="AO196" i="2"/>
  <c r="AM196" i="2"/>
  <c r="AL196" i="2"/>
  <c r="AK196" i="2"/>
  <c r="AI196" i="2"/>
  <c r="AE196" i="2"/>
  <c r="X196" i="2"/>
  <c r="AA196" i="2" s="1"/>
  <c r="W196" i="2"/>
  <c r="T196" i="2"/>
  <c r="U196" i="2" s="1"/>
  <c r="S196" i="2"/>
  <c r="AG196" i="2" s="1"/>
  <c r="O196" i="2"/>
  <c r="P196" i="2" s="1"/>
  <c r="K196" i="2"/>
  <c r="E196" i="2"/>
  <c r="G196" i="2" s="1"/>
  <c r="AP195" i="2"/>
  <c r="AO195" i="2"/>
  <c r="AK195" i="2"/>
  <c r="AL195" i="2" s="1"/>
  <c r="AG195" i="2"/>
  <c r="AF195" i="2"/>
  <c r="AE195" i="2"/>
  <c r="AM195" i="2" s="1"/>
  <c r="X195" i="2"/>
  <c r="AA195" i="2" s="1"/>
  <c r="T195" i="2"/>
  <c r="U195" i="2" s="1"/>
  <c r="W195" i="2" s="1"/>
  <c r="S195" i="2"/>
  <c r="AI195" i="2" s="1"/>
  <c r="P195" i="2"/>
  <c r="O195" i="2"/>
  <c r="K195" i="2"/>
  <c r="E195" i="2"/>
  <c r="AP194" i="2"/>
  <c r="AO194" i="2"/>
  <c r="AK194" i="2"/>
  <c r="AL194" i="2" s="1"/>
  <c r="AE194" i="2"/>
  <c r="AM194" i="2" s="1"/>
  <c r="AN194" i="2" s="1"/>
  <c r="AA194" i="2"/>
  <c r="X194" i="2"/>
  <c r="T194" i="2"/>
  <c r="S194" i="2"/>
  <c r="AG194" i="2" s="1"/>
  <c r="P194" i="2"/>
  <c r="O194" i="2"/>
  <c r="K194" i="2"/>
  <c r="AF194" i="2" s="1"/>
  <c r="E194" i="2"/>
  <c r="G194" i="2" s="1"/>
  <c r="AP193" i="2"/>
  <c r="AO193" i="2"/>
  <c r="AL193" i="2"/>
  <c r="AK193" i="2"/>
  <c r="AE193" i="2"/>
  <c r="AM193" i="2" s="1"/>
  <c r="AN193" i="2" s="1"/>
  <c r="X193" i="2"/>
  <c r="AA193" i="2" s="1"/>
  <c r="W193" i="2"/>
  <c r="T193" i="2"/>
  <c r="S193" i="2"/>
  <c r="U193" i="2" s="1"/>
  <c r="O193" i="2"/>
  <c r="P193" i="2" s="1"/>
  <c r="K193" i="2"/>
  <c r="G193" i="2"/>
  <c r="F193" i="2"/>
  <c r="E193" i="2"/>
  <c r="AP192" i="2"/>
  <c r="AO192" i="2"/>
  <c r="AM192" i="2"/>
  <c r="AL192" i="2"/>
  <c r="AK192" i="2"/>
  <c r="AI192" i="2"/>
  <c r="AE192" i="2"/>
  <c r="X192" i="2"/>
  <c r="AA192" i="2" s="1"/>
  <c r="W192" i="2"/>
  <c r="T192" i="2"/>
  <c r="U192" i="2" s="1"/>
  <c r="S192" i="2"/>
  <c r="AG192" i="2" s="1"/>
  <c r="O192" i="2"/>
  <c r="P192" i="2" s="1"/>
  <c r="K192" i="2"/>
  <c r="E192" i="2"/>
  <c r="G192" i="2" s="1"/>
  <c r="AP191" i="2"/>
  <c r="AO191" i="2"/>
  <c r="AK191" i="2"/>
  <c r="AL191" i="2" s="1"/>
  <c r="AG191" i="2"/>
  <c r="AF191" i="2"/>
  <c r="AE191" i="2"/>
  <c r="AM191" i="2" s="1"/>
  <c r="X191" i="2"/>
  <c r="AA191" i="2" s="1"/>
  <c r="T191" i="2"/>
  <c r="U191" i="2" s="1"/>
  <c r="W191" i="2" s="1"/>
  <c r="S191" i="2"/>
  <c r="AI191" i="2" s="1"/>
  <c r="P191" i="2"/>
  <c r="O191" i="2"/>
  <c r="K191" i="2"/>
  <c r="E191" i="2"/>
  <c r="AP190" i="2"/>
  <c r="AO190" i="2"/>
  <c r="AK190" i="2"/>
  <c r="AL190" i="2" s="1"/>
  <c r="AE190" i="2"/>
  <c r="AM190" i="2" s="1"/>
  <c r="AN190" i="2" s="1"/>
  <c r="AA190" i="2"/>
  <c r="X190" i="2"/>
  <c r="T190" i="2"/>
  <c r="S190" i="2"/>
  <c r="AG190" i="2" s="1"/>
  <c r="P190" i="2"/>
  <c r="O190" i="2"/>
  <c r="K190" i="2"/>
  <c r="AF190" i="2" s="1"/>
  <c r="E190" i="2"/>
  <c r="G190" i="2" s="1"/>
  <c r="AP189" i="2"/>
  <c r="AO189" i="2"/>
  <c r="AL189" i="2"/>
  <c r="AK189" i="2"/>
  <c r="AE189" i="2"/>
  <c r="AM189" i="2" s="1"/>
  <c r="AN189" i="2" s="1"/>
  <c r="X189" i="2"/>
  <c r="AA189" i="2" s="1"/>
  <c r="W189" i="2"/>
  <c r="T189" i="2"/>
  <c r="S189" i="2"/>
  <c r="U189" i="2" s="1"/>
  <c r="O189" i="2"/>
  <c r="P189" i="2" s="1"/>
  <c r="K189" i="2"/>
  <c r="G189" i="2"/>
  <c r="F189" i="2"/>
  <c r="E189" i="2"/>
  <c r="AP188" i="2"/>
  <c r="AO188" i="2"/>
  <c r="AM188" i="2"/>
  <c r="AL188" i="2"/>
  <c r="AK188" i="2"/>
  <c r="AI188" i="2"/>
  <c r="AE188" i="2"/>
  <c r="X188" i="2"/>
  <c r="AA188" i="2" s="1"/>
  <c r="T188" i="2"/>
  <c r="U188" i="2" s="1"/>
  <c r="W188" i="2" s="1"/>
  <c r="S188" i="2"/>
  <c r="AG188" i="2" s="1"/>
  <c r="O188" i="2"/>
  <c r="P188" i="2" s="1"/>
  <c r="K188" i="2"/>
  <c r="E188" i="2"/>
  <c r="G188" i="2" s="1"/>
  <c r="AP187" i="2"/>
  <c r="AO187" i="2"/>
  <c r="AK187" i="2"/>
  <c r="AL187" i="2" s="1"/>
  <c r="AG187" i="2"/>
  <c r="AF187" i="2"/>
  <c r="AE187" i="2"/>
  <c r="AM187" i="2" s="1"/>
  <c r="X187" i="2"/>
  <c r="AA187" i="2" s="1"/>
  <c r="T187" i="2"/>
  <c r="U187" i="2" s="1"/>
  <c r="W187" i="2" s="1"/>
  <c r="S187" i="2"/>
  <c r="AI187" i="2" s="1"/>
  <c r="P187" i="2"/>
  <c r="O187" i="2"/>
  <c r="K187" i="2"/>
  <c r="E187" i="2"/>
  <c r="AP186" i="2"/>
  <c r="AO186" i="2"/>
  <c r="AK186" i="2"/>
  <c r="AL186" i="2" s="1"/>
  <c r="AE186" i="2"/>
  <c r="AM186" i="2" s="1"/>
  <c r="AN186" i="2" s="1"/>
  <c r="AA186" i="2"/>
  <c r="X186" i="2"/>
  <c r="T186" i="2"/>
  <c r="S186" i="2"/>
  <c r="AG186" i="2" s="1"/>
  <c r="P186" i="2"/>
  <c r="O186" i="2"/>
  <c r="K186" i="2"/>
  <c r="AF186" i="2" s="1"/>
  <c r="E186" i="2"/>
  <c r="G186" i="2" s="1"/>
  <c r="AP185" i="2"/>
  <c r="AO185" i="2"/>
  <c r="AL185" i="2"/>
  <c r="AK185" i="2"/>
  <c r="AE185" i="2"/>
  <c r="AM185" i="2" s="1"/>
  <c r="AN185" i="2" s="1"/>
  <c r="X185" i="2"/>
  <c r="AA185" i="2" s="1"/>
  <c r="W185" i="2"/>
  <c r="U185" i="2"/>
  <c r="T185" i="2"/>
  <c r="S185" i="2"/>
  <c r="AI185" i="2" s="1"/>
  <c r="O185" i="2"/>
  <c r="P185" i="2" s="1"/>
  <c r="K185" i="2"/>
  <c r="G185" i="2"/>
  <c r="F185" i="2"/>
  <c r="E185" i="2"/>
  <c r="AP184" i="2"/>
  <c r="AO184" i="2"/>
  <c r="AM184" i="2"/>
  <c r="AK184" i="2"/>
  <c r="AL184" i="2" s="1"/>
  <c r="AN184" i="2" s="1"/>
  <c r="AI184" i="2"/>
  <c r="AE184" i="2"/>
  <c r="X184" i="2"/>
  <c r="AA184" i="2" s="1"/>
  <c r="U184" i="2"/>
  <c r="W184" i="2" s="1"/>
  <c r="T184" i="2"/>
  <c r="S184" i="2"/>
  <c r="AG184" i="2" s="1"/>
  <c r="O184" i="2"/>
  <c r="P184" i="2" s="1"/>
  <c r="K184" i="2"/>
  <c r="G184" i="2"/>
  <c r="F184" i="2"/>
  <c r="E184" i="2"/>
  <c r="AP183" i="2"/>
  <c r="AO183" i="2"/>
  <c r="AK183" i="2"/>
  <c r="AL183" i="2" s="1"/>
  <c r="AI183" i="2"/>
  <c r="AG183" i="2"/>
  <c r="AF183" i="2"/>
  <c r="AE183" i="2"/>
  <c r="AM183" i="2" s="1"/>
  <c r="X183" i="2"/>
  <c r="AA183" i="2" s="1"/>
  <c r="U183" i="2"/>
  <c r="W183" i="2" s="1"/>
  <c r="T183" i="2"/>
  <c r="S183" i="2"/>
  <c r="P183" i="2"/>
  <c r="O183" i="2"/>
  <c r="K183" i="2"/>
  <c r="E183" i="2"/>
  <c r="AP182" i="2"/>
  <c r="AO182" i="2"/>
  <c r="AK182" i="2"/>
  <c r="AL182" i="2" s="1"/>
  <c r="AG182" i="2"/>
  <c r="AE182" i="2"/>
  <c r="AM182" i="2" s="1"/>
  <c r="AN182" i="2" s="1"/>
  <c r="AA182" i="2"/>
  <c r="X182" i="2"/>
  <c r="T182" i="2"/>
  <c r="S182" i="2"/>
  <c r="O182" i="2"/>
  <c r="P182" i="2" s="1"/>
  <c r="K182" i="2"/>
  <c r="AF182" i="2" s="1"/>
  <c r="G182" i="2"/>
  <c r="E182" i="2"/>
  <c r="F182" i="2" s="1"/>
  <c r="AP181" i="2"/>
  <c r="AO181" i="2"/>
  <c r="AL181" i="2"/>
  <c r="AN181" i="2" s="1"/>
  <c r="AK181" i="2"/>
  <c r="AE181" i="2"/>
  <c r="AM181" i="2" s="1"/>
  <c r="AA181" i="2"/>
  <c r="X181" i="2"/>
  <c r="W181" i="2"/>
  <c r="U181" i="2"/>
  <c r="T181" i="2"/>
  <c r="S181" i="2"/>
  <c r="AI181" i="2" s="1"/>
  <c r="O181" i="2"/>
  <c r="P181" i="2" s="1"/>
  <c r="K181" i="2"/>
  <c r="AF181" i="2" s="1"/>
  <c r="G181" i="2"/>
  <c r="F181" i="2"/>
  <c r="E181" i="2"/>
  <c r="AP180" i="2"/>
  <c r="AO180" i="2"/>
  <c r="AM180" i="2"/>
  <c r="AK180" i="2"/>
  <c r="AL180" i="2" s="1"/>
  <c r="AN180" i="2" s="1"/>
  <c r="AI180" i="2"/>
  <c r="AE180" i="2"/>
  <c r="X180" i="2"/>
  <c r="AA180" i="2" s="1"/>
  <c r="T180" i="2"/>
  <c r="U180" i="2" s="1"/>
  <c r="W180" i="2" s="1"/>
  <c r="S180" i="2"/>
  <c r="AG180" i="2" s="1"/>
  <c r="O180" i="2"/>
  <c r="P180" i="2" s="1"/>
  <c r="K180" i="2"/>
  <c r="G180" i="2"/>
  <c r="F180" i="2"/>
  <c r="E180" i="2"/>
  <c r="AP179" i="2"/>
  <c r="AO179" i="2"/>
  <c r="AK179" i="2"/>
  <c r="AL179" i="2" s="1"/>
  <c r="AN179" i="2" s="1"/>
  <c r="AI179" i="2"/>
  <c r="AG179" i="2"/>
  <c r="AE179" i="2"/>
  <c r="AM179" i="2" s="1"/>
  <c r="X179" i="2"/>
  <c r="AA179" i="2" s="1"/>
  <c r="T179" i="2"/>
  <c r="S179" i="2"/>
  <c r="AF179" i="2" s="1"/>
  <c r="P179" i="2"/>
  <c r="O179" i="2"/>
  <c r="K179" i="2"/>
  <c r="E179" i="2"/>
  <c r="AP178" i="2"/>
  <c r="AO178" i="2"/>
  <c r="AK178" i="2"/>
  <c r="AL178" i="2" s="1"/>
  <c r="AN178" i="2" s="1"/>
  <c r="AG178" i="2"/>
  <c r="AF178" i="2"/>
  <c r="AE178" i="2"/>
  <c r="AM178" i="2" s="1"/>
  <c r="AA178" i="2"/>
  <c r="X178" i="2"/>
  <c r="T178" i="2"/>
  <c r="S178" i="2"/>
  <c r="O178" i="2"/>
  <c r="P178" i="2" s="1"/>
  <c r="K178" i="2"/>
  <c r="G178" i="2"/>
  <c r="E178" i="2"/>
  <c r="F178" i="2" s="1"/>
  <c r="AP177" i="2"/>
  <c r="AO177" i="2"/>
  <c r="AM177" i="2"/>
  <c r="AL177" i="2"/>
  <c r="AN177" i="2" s="1"/>
  <c r="AK177" i="2"/>
  <c r="AE177" i="2"/>
  <c r="AA177" i="2"/>
  <c r="X177" i="2"/>
  <c r="T177" i="2"/>
  <c r="S177" i="2"/>
  <c r="U177" i="2" s="1"/>
  <c r="W177" i="2" s="1"/>
  <c r="O177" i="2"/>
  <c r="P177" i="2" s="1"/>
  <c r="K177" i="2"/>
  <c r="AF177" i="2" s="1"/>
  <c r="G177" i="2"/>
  <c r="F177" i="2"/>
  <c r="E177" i="2"/>
  <c r="AP176" i="2"/>
  <c r="AO176" i="2"/>
  <c r="AM176" i="2"/>
  <c r="AK176" i="2"/>
  <c r="AL176" i="2" s="1"/>
  <c r="AN176" i="2" s="1"/>
  <c r="AI176" i="2"/>
  <c r="AE176" i="2"/>
  <c r="X176" i="2"/>
  <c r="AA176" i="2" s="1"/>
  <c r="T176" i="2"/>
  <c r="U176" i="2" s="1"/>
  <c r="W176" i="2" s="1"/>
  <c r="S176" i="2"/>
  <c r="AG176" i="2" s="1"/>
  <c r="O176" i="2"/>
  <c r="P176" i="2" s="1"/>
  <c r="K176" i="2"/>
  <c r="AF176" i="2" s="1"/>
  <c r="G176" i="2"/>
  <c r="F176" i="2"/>
  <c r="E176" i="2"/>
  <c r="AP175" i="2"/>
  <c r="AO175" i="2"/>
  <c r="AK175" i="2"/>
  <c r="AL175" i="2" s="1"/>
  <c r="AN175" i="2" s="1"/>
  <c r="AE175" i="2"/>
  <c r="AM175" i="2" s="1"/>
  <c r="X175" i="2"/>
  <c r="AA175" i="2" s="1"/>
  <c r="T175" i="2"/>
  <c r="S175" i="2"/>
  <c r="P175" i="2"/>
  <c r="O175" i="2"/>
  <c r="K175" i="2"/>
  <c r="E175" i="2"/>
  <c r="AP174" i="2"/>
  <c r="AO174" i="2"/>
  <c r="AK174" i="2"/>
  <c r="AL174" i="2" s="1"/>
  <c r="AN174" i="2" s="1"/>
  <c r="AG174" i="2"/>
  <c r="AE174" i="2"/>
  <c r="AM174" i="2" s="1"/>
  <c r="AA174" i="2"/>
  <c r="X174" i="2"/>
  <c r="T174" i="2"/>
  <c r="S174" i="2"/>
  <c r="O174" i="2"/>
  <c r="P174" i="2" s="1"/>
  <c r="K174" i="2"/>
  <c r="AF174" i="2" s="1"/>
  <c r="E174" i="2"/>
  <c r="G174" i="2" s="1"/>
  <c r="AP173" i="2"/>
  <c r="AO173" i="2"/>
  <c r="AM173" i="2"/>
  <c r="AL173" i="2"/>
  <c r="AN173" i="2" s="1"/>
  <c r="AK173" i="2"/>
  <c r="AE173" i="2"/>
  <c r="AA173" i="2"/>
  <c r="X173" i="2"/>
  <c r="T173" i="2"/>
  <c r="S173" i="2"/>
  <c r="U173" i="2" s="1"/>
  <c r="W173" i="2" s="1"/>
  <c r="O173" i="2"/>
  <c r="P173" i="2" s="1"/>
  <c r="K173" i="2"/>
  <c r="AF173" i="2" s="1"/>
  <c r="G173" i="2"/>
  <c r="F173" i="2"/>
  <c r="E173" i="2"/>
  <c r="AP172" i="2"/>
  <c r="AO172" i="2"/>
  <c r="AM172" i="2"/>
  <c r="AL172" i="2"/>
  <c r="AN172" i="2" s="1"/>
  <c r="AK172" i="2"/>
  <c r="AI172" i="2"/>
  <c r="AE172" i="2"/>
  <c r="X172" i="2"/>
  <c r="AA172" i="2" s="1"/>
  <c r="T172" i="2"/>
  <c r="U172" i="2" s="1"/>
  <c r="W172" i="2" s="1"/>
  <c r="S172" i="2"/>
  <c r="AG172" i="2" s="1"/>
  <c r="O172" i="2"/>
  <c r="P172" i="2" s="1"/>
  <c r="K172" i="2"/>
  <c r="G172" i="2"/>
  <c r="F172" i="2"/>
  <c r="E172" i="2"/>
  <c r="AP171" i="2"/>
  <c r="AO171" i="2"/>
  <c r="AK171" i="2"/>
  <c r="AL171" i="2" s="1"/>
  <c r="AN171" i="2" s="1"/>
  <c r="AE171" i="2"/>
  <c r="AM171" i="2" s="1"/>
  <c r="X171" i="2"/>
  <c r="AA171" i="2" s="1"/>
  <c r="T171" i="2"/>
  <c r="S171" i="2"/>
  <c r="P171" i="2"/>
  <c r="O171" i="2"/>
  <c r="K171" i="2"/>
  <c r="E171" i="2"/>
  <c r="AP170" i="2"/>
  <c r="AO170" i="2"/>
  <c r="AK170" i="2"/>
  <c r="AL170" i="2" s="1"/>
  <c r="AN170" i="2" s="1"/>
  <c r="AG170" i="2"/>
  <c r="AE170" i="2"/>
  <c r="AM170" i="2" s="1"/>
  <c r="AA170" i="2"/>
  <c r="X170" i="2"/>
  <c r="T170" i="2"/>
  <c r="S170" i="2"/>
  <c r="O170" i="2"/>
  <c r="P170" i="2" s="1"/>
  <c r="K170" i="2"/>
  <c r="AF170" i="2" s="1"/>
  <c r="E170" i="2"/>
  <c r="G170" i="2" s="1"/>
  <c r="AP169" i="2"/>
  <c r="AO169" i="2"/>
  <c r="AM169" i="2"/>
  <c r="AL169" i="2"/>
  <c r="AN169" i="2" s="1"/>
  <c r="AK169" i="2"/>
  <c r="AE169" i="2"/>
  <c r="AA169" i="2"/>
  <c r="X169" i="2"/>
  <c r="T169" i="2"/>
  <c r="S169" i="2"/>
  <c r="U169" i="2" s="1"/>
  <c r="W169" i="2" s="1"/>
  <c r="O169" i="2"/>
  <c r="P169" i="2" s="1"/>
  <c r="K169" i="2"/>
  <c r="AF169" i="2" s="1"/>
  <c r="G169" i="2"/>
  <c r="F169" i="2"/>
  <c r="E169" i="2"/>
  <c r="AP168" i="2"/>
  <c r="AO168" i="2"/>
  <c r="AM168" i="2"/>
  <c r="AK168" i="2"/>
  <c r="AL168" i="2" s="1"/>
  <c r="AN168" i="2" s="1"/>
  <c r="AI168" i="2"/>
  <c r="AE168" i="2"/>
  <c r="X168" i="2"/>
  <c r="AA168" i="2" s="1"/>
  <c r="T168" i="2"/>
  <c r="U168" i="2" s="1"/>
  <c r="W168" i="2" s="1"/>
  <c r="S168" i="2"/>
  <c r="AG168" i="2" s="1"/>
  <c r="O168" i="2"/>
  <c r="P168" i="2" s="1"/>
  <c r="K168" i="2"/>
  <c r="G168" i="2"/>
  <c r="F168" i="2"/>
  <c r="E168" i="2"/>
  <c r="AP167" i="2"/>
  <c r="AO167" i="2"/>
  <c r="AK167" i="2"/>
  <c r="AL167" i="2" s="1"/>
  <c r="AN167" i="2" s="1"/>
  <c r="AI167" i="2"/>
  <c r="AE167" i="2"/>
  <c r="AM167" i="2" s="1"/>
  <c r="X167" i="2"/>
  <c r="AA167" i="2" s="1"/>
  <c r="T167" i="2"/>
  <c r="S167" i="2"/>
  <c r="P167" i="2"/>
  <c r="O167" i="2"/>
  <c r="K167" i="2"/>
  <c r="E167" i="2"/>
  <c r="AP166" i="2"/>
  <c r="AO166" i="2"/>
  <c r="AK166" i="2"/>
  <c r="AL166" i="2" s="1"/>
  <c r="AN166" i="2" s="1"/>
  <c r="AG166" i="2"/>
  <c r="AE166" i="2"/>
  <c r="AM166" i="2" s="1"/>
  <c r="AA166" i="2"/>
  <c r="X166" i="2"/>
  <c r="T166" i="2"/>
  <c r="S166" i="2"/>
  <c r="P166" i="2"/>
  <c r="O166" i="2"/>
  <c r="K166" i="2"/>
  <c r="AF166" i="2" s="1"/>
  <c r="G166" i="2"/>
  <c r="E166" i="2"/>
  <c r="F166" i="2" s="1"/>
  <c r="AP165" i="2"/>
  <c r="AO165" i="2"/>
  <c r="AM165" i="2"/>
  <c r="AL165" i="2"/>
  <c r="AN165" i="2" s="1"/>
  <c r="AK165" i="2"/>
  <c r="AE165" i="2"/>
  <c r="AA165" i="2"/>
  <c r="X165" i="2"/>
  <c r="T165" i="2"/>
  <c r="S165" i="2"/>
  <c r="U165" i="2" s="1"/>
  <c r="W165" i="2" s="1"/>
  <c r="O165" i="2"/>
  <c r="P165" i="2" s="1"/>
  <c r="K165" i="2"/>
  <c r="AF165" i="2" s="1"/>
  <c r="G165" i="2"/>
  <c r="F165" i="2"/>
  <c r="E165" i="2"/>
  <c r="AP164" i="2"/>
  <c r="AO164" i="2"/>
  <c r="AM164" i="2"/>
  <c r="AL164" i="2"/>
  <c r="AK164" i="2"/>
  <c r="AI164" i="2"/>
  <c r="AE164" i="2"/>
  <c r="X164" i="2"/>
  <c r="AA164" i="2" s="1"/>
  <c r="T164" i="2"/>
  <c r="U164" i="2" s="1"/>
  <c r="W164" i="2" s="1"/>
  <c r="S164" i="2"/>
  <c r="AG164" i="2" s="1"/>
  <c r="O164" i="2"/>
  <c r="P164" i="2" s="1"/>
  <c r="K164" i="2"/>
  <c r="E164" i="2"/>
  <c r="G164" i="2" s="1"/>
  <c r="AP163" i="2"/>
  <c r="AO163" i="2"/>
  <c r="AK163" i="2"/>
  <c r="AL163" i="2" s="1"/>
  <c r="AN163" i="2" s="1"/>
  <c r="AE163" i="2"/>
  <c r="AM163" i="2" s="1"/>
  <c r="X163" i="2"/>
  <c r="AA163" i="2" s="1"/>
  <c r="T163" i="2"/>
  <c r="S163" i="2"/>
  <c r="P163" i="2"/>
  <c r="O163" i="2"/>
  <c r="K163" i="2"/>
  <c r="E163" i="2"/>
  <c r="AP162" i="2"/>
  <c r="AO162" i="2"/>
  <c r="AN162" i="2"/>
  <c r="AK162" i="2"/>
  <c r="AL162" i="2" s="1"/>
  <c r="AE162" i="2"/>
  <c r="AM162" i="2" s="1"/>
  <c r="AA162" i="2"/>
  <c r="X162" i="2"/>
  <c r="T162" i="2"/>
  <c r="S162" i="2"/>
  <c r="P162" i="2"/>
  <c r="O162" i="2"/>
  <c r="K162" i="2"/>
  <c r="E162" i="2"/>
  <c r="G162" i="2" s="1"/>
  <c r="AP161" i="2"/>
  <c r="AO161" i="2"/>
  <c r="AM161" i="2"/>
  <c r="AL161" i="2"/>
  <c r="AN161" i="2" s="1"/>
  <c r="AK161" i="2"/>
  <c r="AE161" i="2"/>
  <c r="AA161" i="2"/>
  <c r="X161" i="2"/>
  <c r="T161" i="2"/>
  <c r="S161" i="2"/>
  <c r="U161" i="2" s="1"/>
  <c r="W161" i="2" s="1"/>
  <c r="O161" i="2"/>
  <c r="P161" i="2" s="1"/>
  <c r="K161" i="2"/>
  <c r="AF161" i="2" s="1"/>
  <c r="G161" i="2"/>
  <c r="F161" i="2"/>
  <c r="E161" i="2"/>
  <c r="AP160" i="2"/>
  <c r="AO160" i="2"/>
  <c r="AM160" i="2"/>
  <c r="AL160" i="2"/>
  <c r="AN160" i="2" s="1"/>
  <c r="AK160" i="2"/>
  <c r="AI160" i="2"/>
  <c r="AE160" i="2"/>
  <c r="X160" i="2"/>
  <c r="AA160" i="2" s="1"/>
  <c r="T160" i="2"/>
  <c r="U160" i="2" s="1"/>
  <c r="W160" i="2" s="1"/>
  <c r="S160" i="2"/>
  <c r="AG160" i="2" s="1"/>
  <c r="O160" i="2"/>
  <c r="P160" i="2" s="1"/>
  <c r="K160" i="2"/>
  <c r="AF160" i="2" s="1"/>
  <c r="E160" i="2"/>
  <c r="G160" i="2" s="1"/>
  <c r="AP159" i="2"/>
  <c r="AO159" i="2"/>
  <c r="AK159" i="2"/>
  <c r="AL159" i="2" s="1"/>
  <c r="AN159" i="2" s="1"/>
  <c r="AE159" i="2"/>
  <c r="AM159" i="2" s="1"/>
  <c r="X159" i="2"/>
  <c r="AA159" i="2" s="1"/>
  <c r="T159" i="2"/>
  <c r="S159" i="2"/>
  <c r="P159" i="2"/>
  <c r="O159" i="2"/>
  <c r="K159" i="2"/>
  <c r="E159" i="2"/>
  <c r="AP158" i="2"/>
  <c r="AO158" i="2"/>
  <c r="AK158" i="2"/>
  <c r="AL158" i="2" s="1"/>
  <c r="AN158" i="2" s="1"/>
  <c r="AE158" i="2"/>
  <c r="AM158" i="2" s="1"/>
  <c r="AA158" i="2"/>
  <c r="X158" i="2"/>
  <c r="T158" i="2"/>
  <c r="S158" i="2"/>
  <c r="P158" i="2"/>
  <c r="O158" i="2"/>
  <c r="K158" i="2"/>
  <c r="AF158" i="2" s="1"/>
  <c r="E158" i="2"/>
  <c r="G158" i="2" s="1"/>
  <c r="AP157" i="2"/>
  <c r="AO157" i="2"/>
  <c r="AM157" i="2"/>
  <c r="AL157" i="2"/>
  <c r="AN157" i="2" s="1"/>
  <c r="AK157" i="2"/>
  <c r="AE157" i="2"/>
  <c r="AA157" i="2"/>
  <c r="X157" i="2"/>
  <c r="T157" i="2"/>
  <c r="S157" i="2"/>
  <c r="U157" i="2" s="1"/>
  <c r="W157" i="2" s="1"/>
  <c r="O157" i="2"/>
  <c r="P157" i="2" s="1"/>
  <c r="K157" i="2"/>
  <c r="AF157" i="2" s="1"/>
  <c r="G157" i="2"/>
  <c r="F157" i="2"/>
  <c r="E157" i="2"/>
  <c r="AP156" i="2"/>
  <c r="AO156" i="2"/>
  <c r="AM156" i="2"/>
  <c r="AL156" i="2"/>
  <c r="AK156" i="2"/>
  <c r="AI156" i="2"/>
  <c r="AE156" i="2"/>
  <c r="X156" i="2"/>
  <c r="AA156" i="2" s="1"/>
  <c r="T156" i="2"/>
  <c r="U156" i="2" s="1"/>
  <c r="W156" i="2" s="1"/>
  <c r="S156" i="2"/>
  <c r="AG156" i="2" s="1"/>
  <c r="O156" i="2"/>
  <c r="P156" i="2" s="1"/>
  <c r="K156" i="2"/>
  <c r="AF156" i="2" s="1"/>
  <c r="E156" i="2"/>
  <c r="G156" i="2" s="1"/>
  <c r="AP155" i="2"/>
  <c r="AO155" i="2"/>
  <c r="AK155" i="2"/>
  <c r="AL155" i="2" s="1"/>
  <c r="AN155" i="2" s="1"/>
  <c r="AE155" i="2"/>
  <c r="AM155" i="2" s="1"/>
  <c r="X155" i="2"/>
  <c r="AA155" i="2" s="1"/>
  <c r="T155" i="2"/>
  <c r="S155" i="2"/>
  <c r="P155" i="2"/>
  <c r="O155" i="2"/>
  <c r="K155" i="2"/>
  <c r="E155" i="2"/>
  <c r="AP154" i="2"/>
  <c r="AO154" i="2"/>
  <c r="AN154" i="2"/>
  <c r="AK154" i="2"/>
  <c r="AL154" i="2" s="1"/>
  <c r="AE154" i="2"/>
  <c r="AM154" i="2" s="1"/>
  <c r="AA154" i="2"/>
  <c r="X154" i="2"/>
  <c r="T154" i="2"/>
  <c r="S154" i="2"/>
  <c r="P154" i="2"/>
  <c r="O154" i="2"/>
  <c r="K154" i="2"/>
  <c r="E154" i="2"/>
  <c r="G154" i="2" s="1"/>
  <c r="AP153" i="2"/>
  <c r="AO153" i="2"/>
  <c r="AM153" i="2"/>
  <c r="AL153" i="2"/>
  <c r="AN153" i="2" s="1"/>
  <c r="AK153" i="2"/>
  <c r="AE153" i="2"/>
  <c r="AA153" i="2"/>
  <c r="X153" i="2"/>
  <c r="T153" i="2"/>
  <c r="S153" i="2"/>
  <c r="U153" i="2" s="1"/>
  <c r="W153" i="2" s="1"/>
  <c r="O153" i="2"/>
  <c r="P153" i="2" s="1"/>
  <c r="K153" i="2"/>
  <c r="AF153" i="2" s="1"/>
  <c r="G153" i="2"/>
  <c r="F153" i="2"/>
  <c r="E153" i="2"/>
  <c r="AP152" i="2"/>
  <c r="AO152" i="2"/>
  <c r="AM152" i="2"/>
  <c r="AL152" i="2"/>
  <c r="AN152" i="2" s="1"/>
  <c r="AK152" i="2"/>
  <c r="AI152" i="2"/>
  <c r="AE152" i="2"/>
  <c r="X152" i="2"/>
  <c r="AA152" i="2" s="1"/>
  <c r="T152" i="2"/>
  <c r="U152" i="2" s="1"/>
  <c r="W152" i="2" s="1"/>
  <c r="S152" i="2"/>
  <c r="AG152" i="2" s="1"/>
  <c r="O152" i="2"/>
  <c r="P152" i="2" s="1"/>
  <c r="K152" i="2"/>
  <c r="E152" i="2"/>
  <c r="G152" i="2" s="1"/>
  <c r="AP151" i="2"/>
  <c r="AO151" i="2"/>
  <c r="AM151" i="2"/>
  <c r="AK151" i="2"/>
  <c r="AL151" i="2" s="1"/>
  <c r="AN151" i="2" s="1"/>
  <c r="AE151" i="2"/>
  <c r="X151" i="2"/>
  <c r="AA151" i="2" s="1"/>
  <c r="T151" i="2"/>
  <c r="U151" i="2" s="1"/>
  <c r="W151" i="2" s="1"/>
  <c r="S151" i="2"/>
  <c r="AI151" i="2" s="1"/>
  <c r="P151" i="2"/>
  <c r="O151" i="2"/>
  <c r="K151" i="2"/>
  <c r="E151" i="2"/>
  <c r="AP150" i="2"/>
  <c r="AO150" i="2"/>
  <c r="AN150" i="2"/>
  <c r="AK150" i="2"/>
  <c r="AL150" i="2" s="1"/>
  <c r="AE150" i="2"/>
  <c r="AM150" i="2" s="1"/>
  <c r="AA150" i="2"/>
  <c r="X150" i="2"/>
  <c r="T150" i="2"/>
  <c r="S150" i="2"/>
  <c r="P150" i="2"/>
  <c r="O150" i="2"/>
  <c r="K150" i="2"/>
  <c r="AF150" i="2" s="1"/>
  <c r="E150" i="2"/>
  <c r="G150" i="2" s="1"/>
  <c r="AP149" i="2"/>
  <c r="AO149" i="2"/>
  <c r="AM149" i="2"/>
  <c r="AN149" i="2" s="1"/>
  <c r="AL149" i="2"/>
  <c r="AK149" i="2"/>
  <c r="AE149" i="2"/>
  <c r="X149" i="2"/>
  <c r="AA149" i="2" s="1"/>
  <c r="T149" i="2"/>
  <c r="S149" i="2"/>
  <c r="U149" i="2" s="1"/>
  <c r="W149" i="2" s="1"/>
  <c r="O149" i="2"/>
  <c r="P149" i="2" s="1"/>
  <c r="K149" i="2"/>
  <c r="G149" i="2"/>
  <c r="F149" i="2"/>
  <c r="E149" i="2"/>
  <c r="AP148" i="2"/>
  <c r="AO148" i="2"/>
  <c r="AM148" i="2"/>
  <c r="AL148" i="2"/>
  <c r="AK148" i="2"/>
  <c r="AI148" i="2"/>
  <c r="AE148" i="2"/>
  <c r="X148" i="2"/>
  <c r="AA148" i="2" s="1"/>
  <c r="U148" i="2"/>
  <c r="W148" i="2" s="1"/>
  <c r="T148" i="2"/>
  <c r="S148" i="2"/>
  <c r="AG148" i="2" s="1"/>
  <c r="O148" i="2"/>
  <c r="P148" i="2" s="1"/>
  <c r="K148" i="2"/>
  <c r="E148" i="2"/>
  <c r="F148" i="2" s="1"/>
  <c r="AP147" i="2"/>
  <c r="AO147" i="2"/>
  <c r="AK147" i="2"/>
  <c r="AL147" i="2" s="1"/>
  <c r="AE147" i="2"/>
  <c r="AM147" i="2" s="1"/>
  <c r="X147" i="2"/>
  <c r="AA147" i="2" s="1"/>
  <c r="T147" i="2"/>
  <c r="U147" i="2" s="1"/>
  <c r="W147" i="2" s="1"/>
  <c r="S147" i="2"/>
  <c r="AI147" i="2" s="1"/>
  <c r="P147" i="2"/>
  <c r="O147" i="2"/>
  <c r="K147" i="2"/>
  <c r="E147" i="2"/>
  <c r="AP146" i="2"/>
  <c r="AO146" i="2"/>
  <c r="AN146" i="2"/>
  <c r="AK146" i="2"/>
  <c r="AL146" i="2" s="1"/>
  <c r="AE146" i="2"/>
  <c r="AM146" i="2" s="1"/>
  <c r="AA146" i="2"/>
  <c r="X146" i="2"/>
  <c r="T146" i="2"/>
  <c r="S146" i="2"/>
  <c r="P146" i="2"/>
  <c r="O146" i="2"/>
  <c r="K146" i="2"/>
  <c r="AF146" i="2" s="1"/>
  <c r="E146" i="2"/>
  <c r="G146" i="2" s="1"/>
  <c r="AP145" i="2"/>
  <c r="AO145" i="2"/>
  <c r="AM145" i="2"/>
  <c r="AN145" i="2" s="1"/>
  <c r="AL145" i="2"/>
  <c r="AK145" i="2"/>
  <c r="AE145" i="2"/>
  <c r="X145" i="2"/>
  <c r="AA145" i="2" s="1"/>
  <c r="T145" i="2"/>
  <c r="S145" i="2"/>
  <c r="U145" i="2" s="1"/>
  <c r="W145" i="2" s="1"/>
  <c r="O145" i="2"/>
  <c r="P145" i="2" s="1"/>
  <c r="K145" i="2"/>
  <c r="G145" i="2"/>
  <c r="F145" i="2"/>
  <c r="E145" i="2"/>
  <c r="AP144" i="2"/>
  <c r="AO144" i="2"/>
  <c r="AM144" i="2"/>
  <c r="AL144" i="2"/>
  <c r="AK144" i="2"/>
  <c r="AI144" i="2"/>
  <c r="AE144" i="2"/>
  <c r="X144" i="2"/>
  <c r="AA144" i="2" s="1"/>
  <c r="T144" i="2"/>
  <c r="U144" i="2" s="1"/>
  <c r="W144" i="2" s="1"/>
  <c r="S144" i="2"/>
  <c r="AG144" i="2" s="1"/>
  <c r="O144" i="2"/>
  <c r="P144" i="2" s="1"/>
  <c r="K144" i="2"/>
  <c r="E144" i="2"/>
  <c r="F144" i="2" s="1"/>
  <c r="AP143" i="2"/>
  <c r="AO143" i="2"/>
  <c r="AK143" i="2"/>
  <c r="AL143" i="2" s="1"/>
  <c r="AE143" i="2"/>
  <c r="AM143" i="2" s="1"/>
  <c r="X143" i="2"/>
  <c r="AA143" i="2" s="1"/>
  <c r="T143" i="2"/>
  <c r="U143" i="2" s="1"/>
  <c r="W143" i="2" s="1"/>
  <c r="S143" i="2"/>
  <c r="AI143" i="2" s="1"/>
  <c r="P143" i="2"/>
  <c r="O143" i="2"/>
  <c r="K143" i="2"/>
  <c r="E143" i="2"/>
  <c r="AP142" i="2"/>
  <c r="AO142" i="2"/>
  <c r="AN142" i="2"/>
  <c r="AK142" i="2"/>
  <c r="AL142" i="2" s="1"/>
  <c r="AE142" i="2"/>
  <c r="AM142" i="2" s="1"/>
  <c r="AA142" i="2"/>
  <c r="X142" i="2"/>
  <c r="T142" i="2"/>
  <c r="S142" i="2"/>
  <c r="P142" i="2"/>
  <c r="O142" i="2"/>
  <c r="K142" i="2"/>
  <c r="E142" i="2"/>
  <c r="G142" i="2" s="1"/>
  <c r="AP141" i="2"/>
  <c r="AO141" i="2"/>
  <c r="AM141" i="2"/>
  <c r="AN141" i="2" s="1"/>
  <c r="AL141" i="2"/>
  <c r="AK141" i="2"/>
  <c r="AE141" i="2"/>
  <c r="X141" i="2"/>
  <c r="AA141" i="2" s="1"/>
  <c r="T141" i="2"/>
  <c r="S141" i="2"/>
  <c r="U141" i="2" s="1"/>
  <c r="W141" i="2" s="1"/>
  <c r="O141" i="2"/>
  <c r="P141" i="2" s="1"/>
  <c r="K141" i="2"/>
  <c r="G141" i="2"/>
  <c r="F141" i="2"/>
  <c r="E141" i="2"/>
  <c r="AP140" i="2"/>
  <c r="AO140" i="2"/>
  <c r="AM140" i="2"/>
  <c r="AK140" i="2"/>
  <c r="AL140" i="2" s="1"/>
  <c r="AN140" i="2" s="1"/>
  <c r="AI140" i="2"/>
  <c r="AE140" i="2"/>
  <c r="X140" i="2"/>
  <c r="AA140" i="2" s="1"/>
  <c r="T140" i="2"/>
  <c r="U140" i="2" s="1"/>
  <c r="W140" i="2" s="1"/>
  <c r="S140" i="2"/>
  <c r="AG140" i="2" s="1"/>
  <c r="O140" i="2"/>
  <c r="P140" i="2" s="1"/>
  <c r="K140" i="2"/>
  <c r="E140" i="2"/>
  <c r="F140" i="2" s="1"/>
  <c r="AP139" i="2"/>
  <c r="AO139" i="2"/>
  <c r="AK139" i="2"/>
  <c r="AL139" i="2" s="1"/>
  <c r="AI139" i="2"/>
  <c r="AE139" i="2"/>
  <c r="AM139" i="2" s="1"/>
  <c r="X139" i="2"/>
  <c r="AA139" i="2" s="1"/>
  <c r="T139" i="2"/>
  <c r="U139" i="2" s="1"/>
  <c r="W139" i="2" s="1"/>
  <c r="S139" i="2"/>
  <c r="AG139" i="2" s="1"/>
  <c r="P139" i="2"/>
  <c r="O139" i="2"/>
  <c r="K139" i="2"/>
  <c r="E139" i="2"/>
  <c r="AP138" i="2"/>
  <c r="AO138" i="2"/>
  <c r="AN138" i="2"/>
  <c r="AK138" i="2"/>
  <c r="AL138" i="2" s="1"/>
  <c r="AE138" i="2"/>
  <c r="AM138" i="2" s="1"/>
  <c r="AA138" i="2"/>
  <c r="X138" i="2"/>
  <c r="T138" i="2"/>
  <c r="S138" i="2"/>
  <c r="O138" i="2"/>
  <c r="P138" i="2" s="1"/>
  <c r="K138" i="2"/>
  <c r="AF138" i="2" s="1"/>
  <c r="E138" i="2"/>
  <c r="G138" i="2" s="1"/>
  <c r="AP137" i="2"/>
  <c r="AO137" i="2"/>
  <c r="AM137" i="2"/>
  <c r="AN137" i="2" s="1"/>
  <c r="AL137" i="2"/>
  <c r="AK137" i="2"/>
  <c r="AE137" i="2"/>
  <c r="X137" i="2"/>
  <c r="AA137" i="2" s="1"/>
  <c r="T137" i="2"/>
  <c r="S137" i="2"/>
  <c r="U137" i="2" s="1"/>
  <c r="W137" i="2" s="1"/>
  <c r="O137" i="2"/>
  <c r="P137" i="2" s="1"/>
  <c r="K137" i="2"/>
  <c r="G137" i="2"/>
  <c r="F137" i="2"/>
  <c r="E137" i="2"/>
  <c r="AP136" i="2"/>
  <c r="AO136" i="2"/>
  <c r="AM136" i="2"/>
  <c r="AK136" i="2"/>
  <c r="AL136" i="2" s="1"/>
  <c r="AN136" i="2" s="1"/>
  <c r="AI136" i="2"/>
  <c r="AE136" i="2"/>
  <c r="X136" i="2"/>
  <c r="AA136" i="2" s="1"/>
  <c r="U136" i="2"/>
  <c r="W136" i="2" s="1"/>
  <c r="T136" i="2"/>
  <c r="S136" i="2"/>
  <c r="AG136" i="2" s="1"/>
  <c r="O136" i="2"/>
  <c r="P136" i="2" s="1"/>
  <c r="K136" i="2"/>
  <c r="E136" i="2"/>
  <c r="F136" i="2" s="1"/>
  <c r="AP135" i="2"/>
  <c r="AO135" i="2"/>
  <c r="AK135" i="2"/>
  <c r="AL135" i="2" s="1"/>
  <c r="AI135" i="2"/>
  <c r="AE135" i="2"/>
  <c r="AM135" i="2" s="1"/>
  <c r="X135" i="2"/>
  <c r="AA135" i="2" s="1"/>
  <c r="T135" i="2"/>
  <c r="U135" i="2" s="1"/>
  <c r="W135" i="2" s="1"/>
  <c r="S135" i="2"/>
  <c r="AG135" i="2" s="1"/>
  <c r="P135" i="2"/>
  <c r="O135" i="2"/>
  <c r="K135" i="2"/>
  <c r="E135" i="2"/>
  <c r="AP134" i="2"/>
  <c r="AO134" i="2"/>
  <c r="AN134" i="2"/>
  <c r="AK134" i="2"/>
  <c r="AL134" i="2" s="1"/>
  <c r="AE134" i="2"/>
  <c r="AM134" i="2" s="1"/>
  <c r="AA134" i="2"/>
  <c r="X134" i="2"/>
  <c r="T134" i="2"/>
  <c r="S134" i="2"/>
  <c r="O134" i="2"/>
  <c r="P134" i="2" s="1"/>
  <c r="K134" i="2"/>
  <c r="AF134" i="2" s="1"/>
  <c r="E134" i="2"/>
  <c r="G134" i="2" s="1"/>
  <c r="AP133" i="2"/>
  <c r="AO133" i="2"/>
  <c r="AM133" i="2"/>
  <c r="AN133" i="2" s="1"/>
  <c r="AL133" i="2"/>
  <c r="AK133" i="2"/>
  <c r="AE133" i="2"/>
  <c r="X133" i="2"/>
  <c r="AA133" i="2" s="1"/>
  <c r="T133" i="2"/>
  <c r="S133" i="2"/>
  <c r="U133" i="2" s="1"/>
  <c r="W133" i="2" s="1"/>
  <c r="O133" i="2"/>
  <c r="P133" i="2" s="1"/>
  <c r="K133" i="2"/>
  <c r="G133" i="2"/>
  <c r="F133" i="2"/>
  <c r="E133" i="2"/>
  <c r="AP132" i="2"/>
  <c r="AO132" i="2"/>
  <c r="AM132" i="2"/>
  <c r="AK132" i="2"/>
  <c r="AL132" i="2" s="1"/>
  <c r="AI132" i="2"/>
  <c r="AE132" i="2"/>
  <c r="X132" i="2"/>
  <c r="AA132" i="2" s="1"/>
  <c r="T132" i="2"/>
  <c r="U132" i="2" s="1"/>
  <c r="W132" i="2" s="1"/>
  <c r="S132" i="2"/>
  <c r="AG132" i="2" s="1"/>
  <c r="O132" i="2"/>
  <c r="P132" i="2" s="1"/>
  <c r="K132" i="2"/>
  <c r="E132" i="2"/>
  <c r="F132" i="2" s="1"/>
  <c r="AP131" i="2"/>
  <c r="AO131" i="2"/>
  <c r="AK131" i="2"/>
  <c r="AL131" i="2" s="1"/>
  <c r="AI131" i="2"/>
  <c r="AE131" i="2"/>
  <c r="AM131" i="2" s="1"/>
  <c r="X131" i="2"/>
  <c r="AA131" i="2" s="1"/>
  <c r="T131" i="2"/>
  <c r="U131" i="2" s="1"/>
  <c r="W131" i="2" s="1"/>
  <c r="S131" i="2"/>
  <c r="AG131" i="2" s="1"/>
  <c r="P131" i="2"/>
  <c r="O131" i="2"/>
  <c r="K131" i="2"/>
  <c r="E131" i="2"/>
  <c r="AP130" i="2"/>
  <c r="AO130" i="2"/>
  <c r="AN130" i="2"/>
  <c r="AK130" i="2"/>
  <c r="AL130" i="2" s="1"/>
  <c r="AE130" i="2"/>
  <c r="AM130" i="2" s="1"/>
  <c r="AA130" i="2"/>
  <c r="X130" i="2"/>
  <c r="T130" i="2"/>
  <c r="S130" i="2"/>
  <c r="O130" i="2"/>
  <c r="P130" i="2" s="1"/>
  <c r="K130" i="2"/>
  <c r="E130" i="2"/>
  <c r="G130" i="2" s="1"/>
  <c r="AP129" i="2"/>
  <c r="AO129" i="2"/>
  <c r="AM129" i="2"/>
  <c r="AN129" i="2" s="1"/>
  <c r="AL129" i="2"/>
  <c r="AK129" i="2"/>
  <c r="AE129" i="2"/>
  <c r="X129" i="2"/>
  <c r="AA129" i="2" s="1"/>
  <c r="T129" i="2"/>
  <c r="S129" i="2"/>
  <c r="U129" i="2" s="1"/>
  <c r="W129" i="2" s="1"/>
  <c r="O129" i="2"/>
  <c r="P129" i="2" s="1"/>
  <c r="K129" i="2"/>
  <c r="G129" i="2"/>
  <c r="F129" i="2"/>
  <c r="E129" i="2"/>
  <c r="AP128" i="2"/>
  <c r="AO128" i="2"/>
  <c r="AM128" i="2"/>
  <c r="AK128" i="2"/>
  <c r="AL128" i="2" s="1"/>
  <c r="AN128" i="2" s="1"/>
  <c r="AI128" i="2"/>
  <c r="AE128" i="2"/>
  <c r="X128" i="2"/>
  <c r="AA128" i="2" s="1"/>
  <c r="U128" i="2"/>
  <c r="W128" i="2" s="1"/>
  <c r="T128" i="2"/>
  <c r="S128" i="2"/>
  <c r="AG128" i="2" s="1"/>
  <c r="O128" i="2"/>
  <c r="P128" i="2" s="1"/>
  <c r="K128" i="2"/>
  <c r="E128" i="2"/>
  <c r="F128" i="2" s="1"/>
  <c r="AP127" i="2"/>
  <c r="AO127" i="2"/>
  <c r="AK127" i="2"/>
  <c r="AL127" i="2" s="1"/>
  <c r="AE127" i="2"/>
  <c r="AM127" i="2" s="1"/>
  <c r="X127" i="2"/>
  <c r="AA127" i="2" s="1"/>
  <c r="T127" i="2"/>
  <c r="U127" i="2" s="1"/>
  <c r="W127" i="2" s="1"/>
  <c r="S127" i="2"/>
  <c r="AI127" i="2" s="1"/>
  <c r="P127" i="2"/>
  <c r="O127" i="2"/>
  <c r="K127" i="2"/>
  <c r="E127" i="2"/>
  <c r="AP126" i="2"/>
  <c r="AO126" i="2"/>
  <c r="AN126" i="2"/>
  <c r="AK126" i="2"/>
  <c r="AL126" i="2" s="1"/>
  <c r="AE126" i="2"/>
  <c r="AM126" i="2" s="1"/>
  <c r="AA126" i="2"/>
  <c r="X126" i="2"/>
  <c r="T126" i="2"/>
  <c r="S126" i="2"/>
  <c r="O126" i="2"/>
  <c r="P126" i="2" s="1"/>
  <c r="K126" i="2"/>
  <c r="AF126" i="2" s="1"/>
  <c r="E126" i="2"/>
  <c r="G126" i="2" s="1"/>
  <c r="AP125" i="2"/>
  <c r="AO125" i="2"/>
  <c r="AN125" i="2"/>
  <c r="AM125" i="2"/>
  <c r="AL125" i="2"/>
  <c r="AK125" i="2"/>
  <c r="AE125" i="2"/>
  <c r="X125" i="2"/>
  <c r="AA125" i="2" s="1"/>
  <c r="T125" i="2"/>
  <c r="S125" i="2"/>
  <c r="U125" i="2" s="1"/>
  <c r="W125" i="2" s="1"/>
  <c r="O125" i="2"/>
  <c r="P125" i="2" s="1"/>
  <c r="K125" i="2"/>
  <c r="G125" i="2"/>
  <c r="F125" i="2"/>
  <c r="E125" i="2"/>
  <c r="AP124" i="2"/>
  <c r="AO124" i="2"/>
  <c r="AM124" i="2"/>
  <c r="AL124" i="2"/>
  <c r="AK124" i="2"/>
  <c r="AI124" i="2"/>
  <c r="AE124" i="2"/>
  <c r="X124" i="2"/>
  <c r="AA124" i="2" s="1"/>
  <c r="T124" i="2"/>
  <c r="U124" i="2" s="1"/>
  <c r="W124" i="2" s="1"/>
  <c r="S124" i="2"/>
  <c r="AG124" i="2" s="1"/>
  <c r="O124" i="2"/>
  <c r="P124" i="2" s="1"/>
  <c r="K124" i="2"/>
  <c r="E124" i="2"/>
  <c r="F124" i="2" s="1"/>
  <c r="AP123" i="2"/>
  <c r="AO123" i="2"/>
  <c r="AK123" i="2"/>
  <c r="AL123" i="2" s="1"/>
  <c r="AE123" i="2"/>
  <c r="AM123" i="2" s="1"/>
  <c r="X123" i="2"/>
  <c r="AA123" i="2" s="1"/>
  <c r="U123" i="2"/>
  <c r="W123" i="2" s="1"/>
  <c r="T123" i="2"/>
  <c r="S123" i="2"/>
  <c r="AI123" i="2" s="1"/>
  <c r="P123" i="2"/>
  <c r="O123" i="2"/>
  <c r="K123" i="2"/>
  <c r="E123" i="2"/>
  <c r="AP122" i="2"/>
  <c r="AO122" i="2"/>
  <c r="AN122" i="2"/>
  <c r="AK122" i="2"/>
  <c r="AL122" i="2" s="1"/>
  <c r="AE122" i="2"/>
  <c r="AM122" i="2" s="1"/>
  <c r="AA122" i="2"/>
  <c r="X122" i="2"/>
  <c r="T122" i="2"/>
  <c r="S122" i="2"/>
  <c r="P122" i="2"/>
  <c r="O122" i="2"/>
  <c r="K122" i="2"/>
  <c r="E122" i="2"/>
  <c r="G122" i="2" s="1"/>
  <c r="AP121" i="2"/>
  <c r="AO121" i="2"/>
  <c r="AN121" i="2"/>
  <c r="AM121" i="2"/>
  <c r="AL121" i="2"/>
  <c r="AK121" i="2"/>
  <c r="AE121" i="2"/>
  <c r="X121" i="2"/>
  <c r="AA121" i="2" s="1"/>
  <c r="T121" i="2"/>
  <c r="S121" i="2"/>
  <c r="U121" i="2" s="1"/>
  <c r="W121" i="2" s="1"/>
  <c r="O121" i="2"/>
  <c r="P121" i="2" s="1"/>
  <c r="K121" i="2"/>
  <c r="G121" i="2"/>
  <c r="F121" i="2"/>
  <c r="E121" i="2"/>
  <c r="AP120" i="2"/>
  <c r="AO120" i="2"/>
  <c r="AM120" i="2"/>
  <c r="AL120" i="2"/>
  <c r="AK120" i="2"/>
  <c r="AI120" i="2"/>
  <c r="AE120" i="2"/>
  <c r="X120" i="2"/>
  <c r="AA120" i="2" s="1"/>
  <c r="T120" i="2"/>
  <c r="U120" i="2" s="1"/>
  <c r="W120" i="2" s="1"/>
  <c r="S120" i="2"/>
  <c r="AG120" i="2" s="1"/>
  <c r="O120" i="2"/>
  <c r="P120" i="2" s="1"/>
  <c r="K120" i="2"/>
  <c r="E120" i="2"/>
  <c r="F120" i="2" s="1"/>
  <c r="AP119" i="2"/>
  <c r="AO119" i="2"/>
  <c r="AK119" i="2"/>
  <c r="AL119" i="2" s="1"/>
  <c r="AE119" i="2"/>
  <c r="AM119" i="2" s="1"/>
  <c r="X119" i="2"/>
  <c r="AA119" i="2" s="1"/>
  <c r="U119" i="2"/>
  <c r="W119" i="2" s="1"/>
  <c r="T119" i="2"/>
  <c r="S119" i="2"/>
  <c r="AI119" i="2" s="1"/>
  <c r="P119" i="2"/>
  <c r="O119" i="2"/>
  <c r="K119" i="2"/>
  <c r="E119" i="2"/>
  <c r="AP118" i="2"/>
  <c r="AO118" i="2"/>
  <c r="AN118" i="2"/>
  <c r="AK118" i="2"/>
  <c r="AL118" i="2" s="1"/>
  <c r="AE118" i="2"/>
  <c r="AM118" i="2" s="1"/>
  <c r="AA118" i="2"/>
  <c r="X118" i="2"/>
  <c r="T118" i="2"/>
  <c r="S118" i="2"/>
  <c r="P118" i="2"/>
  <c r="O118" i="2"/>
  <c r="K118" i="2"/>
  <c r="E118" i="2"/>
  <c r="G118" i="2" s="1"/>
  <c r="AP117" i="2"/>
  <c r="AO117" i="2"/>
  <c r="AM117" i="2"/>
  <c r="AN117" i="2" s="1"/>
  <c r="AL117" i="2"/>
  <c r="AK117" i="2"/>
  <c r="AE117" i="2"/>
  <c r="X117" i="2"/>
  <c r="AA117" i="2" s="1"/>
  <c r="T117" i="2"/>
  <c r="S117" i="2"/>
  <c r="U117" i="2" s="1"/>
  <c r="W117" i="2" s="1"/>
  <c r="O117" i="2"/>
  <c r="P117" i="2" s="1"/>
  <c r="K117" i="2"/>
  <c r="G117" i="2"/>
  <c r="F117" i="2"/>
  <c r="E117" i="2"/>
  <c r="AP116" i="2"/>
  <c r="AO116" i="2"/>
  <c r="AM116" i="2"/>
  <c r="AL116" i="2"/>
  <c r="AK116" i="2"/>
  <c r="AI116" i="2"/>
  <c r="AE116" i="2"/>
  <c r="X116" i="2"/>
  <c r="AA116" i="2" s="1"/>
  <c r="U116" i="2"/>
  <c r="W116" i="2" s="1"/>
  <c r="T116" i="2"/>
  <c r="S116" i="2"/>
  <c r="AG116" i="2" s="1"/>
  <c r="O116" i="2"/>
  <c r="P116" i="2" s="1"/>
  <c r="K116" i="2"/>
  <c r="E116" i="2"/>
  <c r="F116" i="2" s="1"/>
  <c r="AP115" i="2"/>
  <c r="AO115" i="2"/>
  <c r="AK115" i="2"/>
  <c r="AL115" i="2" s="1"/>
  <c r="AE115" i="2"/>
  <c r="AM115" i="2" s="1"/>
  <c r="X115" i="2"/>
  <c r="AA115" i="2" s="1"/>
  <c r="T115" i="2"/>
  <c r="U115" i="2" s="1"/>
  <c r="W115" i="2" s="1"/>
  <c r="S115" i="2"/>
  <c r="AI115" i="2" s="1"/>
  <c r="P115" i="2"/>
  <c r="O115" i="2"/>
  <c r="K115" i="2"/>
  <c r="E115" i="2"/>
  <c r="AP114" i="2"/>
  <c r="AO114" i="2"/>
  <c r="AN114" i="2"/>
  <c r="AK114" i="2"/>
  <c r="AL114" i="2" s="1"/>
  <c r="AE114" i="2"/>
  <c r="AM114" i="2" s="1"/>
  <c r="AA114" i="2"/>
  <c r="X114" i="2"/>
  <c r="T114" i="2"/>
  <c r="S114" i="2"/>
  <c r="P114" i="2"/>
  <c r="O114" i="2"/>
  <c r="K114" i="2"/>
  <c r="AF114" i="2" s="1"/>
  <c r="G114" i="2"/>
  <c r="E114" i="2"/>
  <c r="F114" i="2" s="1"/>
  <c r="AP113" i="2"/>
  <c r="AO113" i="2"/>
  <c r="AN113" i="2"/>
  <c r="AM113" i="2"/>
  <c r="AL113" i="2"/>
  <c r="AK113" i="2"/>
  <c r="AE113" i="2"/>
  <c r="X113" i="2"/>
  <c r="AA113" i="2" s="1"/>
  <c r="W113" i="2"/>
  <c r="T113" i="2"/>
  <c r="S113" i="2"/>
  <c r="U113" i="2" s="1"/>
  <c r="O113" i="2"/>
  <c r="P113" i="2" s="1"/>
  <c r="K113" i="2"/>
  <c r="G113" i="2"/>
  <c r="F113" i="2"/>
  <c r="E113" i="2"/>
  <c r="AP112" i="2"/>
  <c r="AO112" i="2"/>
  <c r="AM112" i="2"/>
  <c r="AL112" i="2"/>
  <c r="AK112" i="2"/>
  <c r="AI112" i="2"/>
  <c r="AE112" i="2"/>
  <c r="X112" i="2"/>
  <c r="AA112" i="2" s="1"/>
  <c r="U112" i="2"/>
  <c r="W112" i="2" s="1"/>
  <c r="T112" i="2"/>
  <c r="S112" i="2"/>
  <c r="AG112" i="2" s="1"/>
  <c r="O112" i="2"/>
  <c r="P112" i="2" s="1"/>
  <c r="K112" i="2"/>
  <c r="E112" i="2"/>
  <c r="AP111" i="2"/>
  <c r="AO111" i="2"/>
  <c r="AK111" i="2"/>
  <c r="AL111" i="2" s="1"/>
  <c r="AF111" i="2"/>
  <c r="AE111" i="2"/>
  <c r="AM111" i="2" s="1"/>
  <c r="X111" i="2"/>
  <c r="AA111" i="2" s="1"/>
  <c r="U111" i="2"/>
  <c r="W111" i="2" s="1"/>
  <c r="T111" i="2"/>
  <c r="S111" i="2"/>
  <c r="AI111" i="2" s="1"/>
  <c r="P111" i="2"/>
  <c r="O111" i="2"/>
  <c r="K111" i="2"/>
  <c r="E111" i="2"/>
  <c r="AP110" i="2"/>
  <c r="AO110" i="2"/>
  <c r="AK110" i="2"/>
  <c r="AL110" i="2" s="1"/>
  <c r="AE110" i="2"/>
  <c r="AM110" i="2" s="1"/>
  <c r="AN110" i="2" s="1"/>
  <c r="AA110" i="2"/>
  <c r="X110" i="2"/>
  <c r="T110" i="2"/>
  <c r="S110" i="2"/>
  <c r="AG110" i="2" s="1"/>
  <c r="P110" i="2"/>
  <c r="O110" i="2"/>
  <c r="K110" i="2"/>
  <c r="AF110" i="2" s="1"/>
  <c r="E110" i="2"/>
  <c r="G110" i="2" s="1"/>
  <c r="AP109" i="2"/>
  <c r="AO109" i="2"/>
  <c r="AN109" i="2"/>
  <c r="AM109" i="2"/>
  <c r="AL109" i="2"/>
  <c r="AK109" i="2"/>
  <c r="AE109" i="2"/>
  <c r="X109" i="2"/>
  <c r="AA109" i="2" s="1"/>
  <c r="W109" i="2"/>
  <c r="T109" i="2"/>
  <c r="S109" i="2"/>
  <c r="U109" i="2" s="1"/>
  <c r="O109" i="2"/>
  <c r="P109" i="2" s="1"/>
  <c r="K109" i="2"/>
  <c r="G109" i="2"/>
  <c r="F109" i="2"/>
  <c r="E109" i="2"/>
  <c r="AP108" i="2"/>
  <c r="AO108" i="2"/>
  <c r="AM108" i="2"/>
  <c r="AL108" i="2"/>
  <c r="AK108" i="2"/>
  <c r="AI108" i="2"/>
  <c r="AE108" i="2"/>
  <c r="X108" i="2"/>
  <c r="AA108" i="2" s="1"/>
  <c r="U108" i="2"/>
  <c r="W108" i="2" s="1"/>
  <c r="T108" i="2"/>
  <c r="S108" i="2"/>
  <c r="AG108" i="2" s="1"/>
  <c r="O108" i="2"/>
  <c r="P108" i="2" s="1"/>
  <c r="K108" i="2"/>
  <c r="E108" i="2"/>
  <c r="AP107" i="2"/>
  <c r="AO107" i="2"/>
  <c r="AK107" i="2"/>
  <c r="AL107" i="2" s="1"/>
  <c r="AF107" i="2"/>
  <c r="AE107" i="2"/>
  <c r="AM107" i="2" s="1"/>
  <c r="X107" i="2"/>
  <c r="AA107" i="2" s="1"/>
  <c r="U107" i="2"/>
  <c r="W107" i="2" s="1"/>
  <c r="T107" i="2"/>
  <c r="S107" i="2"/>
  <c r="AI107" i="2" s="1"/>
  <c r="P107" i="2"/>
  <c r="O107" i="2"/>
  <c r="K107" i="2"/>
  <c r="E107" i="2"/>
  <c r="AP106" i="2"/>
  <c r="AO106" i="2"/>
  <c r="AK106" i="2"/>
  <c r="AL106" i="2" s="1"/>
  <c r="AE106" i="2"/>
  <c r="AM106" i="2" s="1"/>
  <c r="AN106" i="2" s="1"/>
  <c r="AA106" i="2"/>
  <c r="X106" i="2"/>
  <c r="T106" i="2"/>
  <c r="S106" i="2"/>
  <c r="AG106" i="2" s="1"/>
  <c r="P106" i="2"/>
  <c r="O106" i="2"/>
  <c r="K106" i="2"/>
  <c r="AF106" i="2" s="1"/>
  <c r="E106" i="2"/>
  <c r="G106" i="2" s="1"/>
  <c r="AP105" i="2"/>
  <c r="AO105" i="2"/>
  <c r="AN105" i="2"/>
  <c r="AM105" i="2"/>
  <c r="AL105" i="2"/>
  <c r="AK105" i="2"/>
  <c r="AE105" i="2"/>
  <c r="X105" i="2"/>
  <c r="AA105" i="2" s="1"/>
  <c r="W105" i="2"/>
  <c r="T105" i="2"/>
  <c r="S105" i="2"/>
  <c r="U105" i="2" s="1"/>
  <c r="O105" i="2"/>
  <c r="P105" i="2" s="1"/>
  <c r="K105" i="2"/>
  <c r="G105" i="2"/>
  <c r="F105" i="2"/>
  <c r="E105" i="2"/>
  <c r="AP104" i="2"/>
  <c r="AO104" i="2"/>
  <c r="AM104" i="2"/>
  <c r="AL104" i="2"/>
  <c r="AN104" i="2" s="1"/>
  <c r="AK104" i="2"/>
  <c r="AI104" i="2"/>
  <c r="AE104" i="2"/>
  <c r="X104" i="2"/>
  <c r="AA104" i="2" s="1"/>
  <c r="U104" i="2"/>
  <c r="W104" i="2" s="1"/>
  <c r="T104" i="2"/>
  <c r="S104" i="2"/>
  <c r="AG104" i="2" s="1"/>
  <c r="O104" i="2"/>
  <c r="P104" i="2" s="1"/>
  <c r="K104" i="2"/>
  <c r="E104" i="2"/>
  <c r="AP103" i="2"/>
  <c r="AO103" i="2"/>
  <c r="AK103" i="2"/>
  <c r="AL103" i="2" s="1"/>
  <c r="AF103" i="2"/>
  <c r="AE103" i="2"/>
  <c r="AM103" i="2" s="1"/>
  <c r="X103" i="2"/>
  <c r="AA103" i="2" s="1"/>
  <c r="U103" i="2"/>
  <c r="W103" i="2" s="1"/>
  <c r="T103" i="2"/>
  <c r="S103" i="2"/>
  <c r="AI103" i="2" s="1"/>
  <c r="P103" i="2"/>
  <c r="O103" i="2"/>
  <c r="K103" i="2"/>
  <c r="E103" i="2"/>
  <c r="AP102" i="2"/>
  <c r="AO102" i="2"/>
  <c r="AK102" i="2"/>
  <c r="AL102" i="2" s="1"/>
  <c r="AN102" i="2" s="1"/>
  <c r="AE102" i="2"/>
  <c r="AM102" i="2" s="1"/>
  <c r="AA102" i="2"/>
  <c r="X102" i="2"/>
  <c r="T102" i="2"/>
  <c r="S102" i="2"/>
  <c r="AG102" i="2" s="1"/>
  <c r="P102" i="2"/>
  <c r="O102" i="2"/>
  <c r="K102" i="2"/>
  <c r="AF102" i="2" s="1"/>
  <c r="E102" i="2"/>
  <c r="G102" i="2" s="1"/>
  <c r="AP101" i="2"/>
  <c r="AO101" i="2"/>
  <c r="AN101" i="2"/>
  <c r="AM101" i="2"/>
  <c r="AL101" i="2"/>
  <c r="AK101" i="2"/>
  <c r="AE101" i="2"/>
  <c r="X101" i="2"/>
  <c r="AA101" i="2" s="1"/>
  <c r="W101" i="2"/>
  <c r="T101" i="2"/>
  <c r="S101" i="2"/>
  <c r="U101" i="2" s="1"/>
  <c r="O101" i="2"/>
  <c r="P101" i="2" s="1"/>
  <c r="K101" i="2"/>
  <c r="G101" i="2"/>
  <c r="F101" i="2"/>
  <c r="E101" i="2"/>
  <c r="AP100" i="2"/>
  <c r="AO100" i="2"/>
  <c r="AM100" i="2"/>
  <c r="AL100" i="2"/>
  <c r="AN100" i="2" s="1"/>
  <c r="AK100" i="2"/>
  <c r="AI100" i="2"/>
  <c r="AE100" i="2"/>
  <c r="X100" i="2"/>
  <c r="AA100" i="2" s="1"/>
  <c r="U100" i="2"/>
  <c r="W100" i="2" s="1"/>
  <c r="T100" i="2"/>
  <c r="S100" i="2"/>
  <c r="AG100" i="2" s="1"/>
  <c r="O100" i="2"/>
  <c r="P100" i="2" s="1"/>
  <c r="K100" i="2"/>
  <c r="E100" i="2"/>
  <c r="AP99" i="2"/>
  <c r="AO99" i="2"/>
  <c r="AK99" i="2"/>
  <c r="AL99" i="2" s="1"/>
  <c r="AF99" i="2"/>
  <c r="AE99" i="2"/>
  <c r="AM99" i="2" s="1"/>
  <c r="X99" i="2"/>
  <c r="AA99" i="2" s="1"/>
  <c r="U99" i="2"/>
  <c r="W99" i="2" s="1"/>
  <c r="T99" i="2"/>
  <c r="S99" i="2"/>
  <c r="AI99" i="2" s="1"/>
  <c r="P99" i="2"/>
  <c r="O99" i="2"/>
  <c r="K99" i="2"/>
  <c r="E99" i="2"/>
  <c r="AP98" i="2"/>
  <c r="AO98" i="2"/>
  <c r="AK98" i="2"/>
  <c r="AL98" i="2" s="1"/>
  <c r="AN98" i="2" s="1"/>
  <c r="AE98" i="2"/>
  <c r="AM98" i="2" s="1"/>
  <c r="AA98" i="2"/>
  <c r="X98" i="2"/>
  <c r="T98" i="2"/>
  <c r="S98" i="2"/>
  <c r="AG98" i="2" s="1"/>
  <c r="P98" i="2"/>
  <c r="O98" i="2"/>
  <c r="K98" i="2"/>
  <c r="AF98" i="2" s="1"/>
  <c r="E98" i="2"/>
  <c r="G98" i="2" s="1"/>
  <c r="AP97" i="2"/>
  <c r="AO97" i="2"/>
  <c r="AN97" i="2"/>
  <c r="AM97" i="2"/>
  <c r="AL97" i="2"/>
  <c r="AK97" i="2"/>
  <c r="AE97" i="2"/>
  <c r="X97" i="2"/>
  <c r="AA97" i="2" s="1"/>
  <c r="W97" i="2"/>
  <c r="T97" i="2"/>
  <c r="S97" i="2"/>
  <c r="U97" i="2" s="1"/>
  <c r="O97" i="2"/>
  <c r="P97" i="2" s="1"/>
  <c r="K97" i="2"/>
  <c r="G97" i="2"/>
  <c r="F97" i="2"/>
  <c r="E97" i="2"/>
  <c r="AP96" i="2"/>
  <c r="AO96" i="2"/>
  <c r="AM96" i="2"/>
  <c r="AL96" i="2"/>
  <c r="AN96" i="2" s="1"/>
  <c r="AK96" i="2"/>
  <c r="AI96" i="2"/>
  <c r="AE96" i="2"/>
  <c r="X96" i="2"/>
  <c r="AA96" i="2" s="1"/>
  <c r="U96" i="2"/>
  <c r="W96" i="2" s="1"/>
  <c r="T96" i="2"/>
  <c r="S96" i="2"/>
  <c r="AG96" i="2" s="1"/>
  <c r="O96" i="2"/>
  <c r="P96" i="2" s="1"/>
  <c r="K96" i="2"/>
  <c r="E96" i="2"/>
  <c r="AP95" i="2"/>
  <c r="AO95" i="2"/>
  <c r="AK95" i="2"/>
  <c r="AL95" i="2" s="1"/>
  <c r="AF95" i="2"/>
  <c r="AE95" i="2"/>
  <c r="AM95" i="2" s="1"/>
  <c r="X95" i="2"/>
  <c r="AA95" i="2" s="1"/>
  <c r="U95" i="2"/>
  <c r="W95" i="2" s="1"/>
  <c r="T95" i="2"/>
  <c r="S95" i="2"/>
  <c r="AI95" i="2" s="1"/>
  <c r="P95" i="2"/>
  <c r="O95" i="2"/>
  <c r="K95" i="2"/>
  <c r="E95" i="2"/>
  <c r="AP94" i="2"/>
  <c r="AO94" i="2"/>
  <c r="AK94" i="2"/>
  <c r="AL94" i="2" s="1"/>
  <c r="AN94" i="2" s="1"/>
  <c r="AE94" i="2"/>
  <c r="AM94" i="2" s="1"/>
  <c r="AA94" i="2"/>
  <c r="X94" i="2"/>
  <c r="T94" i="2"/>
  <c r="S94" i="2"/>
  <c r="AG94" i="2" s="1"/>
  <c r="P94" i="2"/>
  <c r="O94" i="2"/>
  <c r="K94" i="2"/>
  <c r="AF94" i="2" s="1"/>
  <c r="G94" i="2"/>
  <c r="E94" i="2"/>
  <c r="F94" i="2" s="1"/>
  <c r="AP93" i="2"/>
  <c r="AO93" i="2"/>
  <c r="AL93" i="2"/>
  <c r="AK93" i="2"/>
  <c r="AE93" i="2"/>
  <c r="AM93" i="2" s="1"/>
  <c r="AN93" i="2" s="1"/>
  <c r="X93" i="2"/>
  <c r="AA93" i="2" s="1"/>
  <c r="W93" i="2"/>
  <c r="U93" i="2"/>
  <c r="T93" i="2"/>
  <c r="S93" i="2"/>
  <c r="AI93" i="2" s="1"/>
  <c r="O93" i="2"/>
  <c r="P93" i="2" s="1"/>
  <c r="K93" i="2"/>
  <c r="G93" i="2"/>
  <c r="F93" i="2"/>
  <c r="E93" i="2"/>
  <c r="AP92" i="2"/>
  <c r="AO92" i="2"/>
  <c r="AM92" i="2"/>
  <c r="AK92" i="2"/>
  <c r="AL92" i="2" s="1"/>
  <c r="AN92" i="2" s="1"/>
  <c r="AI92" i="2"/>
  <c r="AE92" i="2"/>
  <c r="X92" i="2"/>
  <c r="AA92" i="2" s="1"/>
  <c r="U92" i="2"/>
  <c r="W92" i="2" s="1"/>
  <c r="T92" i="2"/>
  <c r="S92" i="2"/>
  <c r="AG92" i="2" s="1"/>
  <c r="O92" i="2"/>
  <c r="P92" i="2" s="1"/>
  <c r="K92" i="2"/>
  <c r="G92" i="2"/>
  <c r="F92" i="2"/>
  <c r="E92" i="2"/>
  <c r="AP91" i="2"/>
  <c r="AO91" i="2"/>
  <c r="AK91" i="2"/>
  <c r="AL91" i="2" s="1"/>
  <c r="AI91" i="2"/>
  <c r="AG91" i="2"/>
  <c r="AF91" i="2"/>
  <c r="AE91" i="2"/>
  <c r="AM91" i="2" s="1"/>
  <c r="X91" i="2"/>
  <c r="AA91" i="2" s="1"/>
  <c r="U91" i="2"/>
  <c r="W91" i="2" s="1"/>
  <c r="T91" i="2"/>
  <c r="S91" i="2"/>
  <c r="P91" i="2"/>
  <c r="O91" i="2"/>
  <c r="K91" i="2"/>
  <c r="E91" i="2"/>
  <c r="AP90" i="2"/>
  <c r="AO90" i="2"/>
  <c r="AK90" i="2"/>
  <c r="AL90" i="2" s="1"/>
  <c r="AG90" i="2"/>
  <c r="AE90" i="2"/>
  <c r="AM90" i="2" s="1"/>
  <c r="AN90" i="2" s="1"/>
  <c r="AA90" i="2"/>
  <c r="X90" i="2"/>
  <c r="T90" i="2"/>
  <c r="S90" i="2"/>
  <c r="O90" i="2"/>
  <c r="P90" i="2" s="1"/>
  <c r="K90" i="2"/>
  <c r="AF90" i="2" s="1"/>
  <c r="E90" i="2"/>
  <c r="G90" i="2" s="1"/>
  <c r="AP89" i="2"/>
  <c r="AO89" i="2"/>
  <c r="AL89" i="2"/>
  <c r="AK89" i="2"/>
  <c r="AE89" i="2"/>
  <c r="AM89" i="2" s="1"/>
  <c r="AN89" i="2" s="1"/>
  <c r="AA89" i="2"/>
  <c r="X89" i="2"/>
  <c r="W89" i="2"/>
  <c r="T89" i="2"/>
  <c r="S89" i="2"/>
  <c r="U89" i="2" s="1"/>
  <c r="O89" i="2"/>
  <c r="P89" i="2" s="1"/>
  <c r="K89" i="2"/>
  <c r="G89" i="2"/>
  <c r="F89" i="2"/>
  <c r="E89" i="2"/>
  <c r="AP88" i="2"/>
  <c r="AO88" i="2"/>
  <c r="AM88" i="2"/>
  <c r="AK88" i="2"/>
  <c r="AL88" i="2" s="1"/>
  <c r="AN88" i="2" s="1"/>
  <c r="AI88" i="2"/>
  <c r="AE88" i="2"/>
  <c r="X88" i="2"/>
  <c r="AA88" i="2" s="1"/>
  <c r="U88" i="2"/>
  <c r="W88" i="2" s="1"/>
  <c r="T88" i="2"/>
  <c r="S88" i="2"/>
  <c r="AG88" i="2" s="1"/>
  <c r="O88" i="2"/>
  <c r="P88" i="2" s="1"/>
  <c r="K88" i="2"/>
  <c r="G88" i="2"/>
  <c r="F88" i="2"/>
  <c r="E88" i="2"/>
  <c r="AP87" i="2"/>
  <c r="AO87" i="2"/>
  <c r="AK87" i="2"/>
  <c r="AL87" i="2" s="1"/>
  <c r="AI87" i="2"/>
  <c r="AG87" i="2"/>
  <c r="AF87" i="2"/>
  <c r="AE87" i="2"/>
  <c r="AM87" i="2" s="1"/>
  <c r="X87" i="2"/>
  <c r="AA87" i="2" s="1"/>
  <c r="U87" i="2"/>
  <c r="W87" i="2" s="1"/>
  <c r="T87" i="2"/>
  <c r="S87" i="2"/>
  <c r="P87" i="2"/>
  <c r="O87" i="2"/>
  <c r="K87" i="2"/>
  <c r="E87" i="2"/>
  <c r="AP86" i="2"/>
  <c r="AO86" i="2"/>
  <c r="AK86" i="2"/>
  <c r="AL86" i="2" s="1"/>
  <c r="AG86" i="2"/>
  <c r="AE86" i="2"/>
  <c r="AM86" i="2" s="1"/>
  <c r="AN86" i="2" s="1"/>
  <c r="AA86" i="2"/>
  <c r="X86" i="2"/>
  <c r="T86" i="2"/>
  <c r="S86" i="2"/>
  <c r="O86" i="2"/>
  <c r="P86" i="2" s="1"/>
  <c r="K86" i="2"/>
  <c r="AF86" i="2" s="1"/>
  <c r="E86" i="2"/>
  <c r="G86" i="2" s="1"/>
  <c r="AP85" i="2"/>
  <c r="AO85" i="2"/>
  <c r="AL85" i="2"/>
  <c r="AK85" i="2"/>
  <c r="AE85" i="2"/>
  <c r="AM85" i="2" s="1"/>
  <c r="AN85" i="2" s="1"/>
  <c r="X85" i="2"/>
  <c r="AA85" i="2" s="1"/>
  <c r="W85" i="2"/>
  <c r="T85" i="2"/>
  <c r="S85" i="2"/>
  <c r="U85" i="2" s="1"/>
  <c r="O85" i="2"/>
  <c r="P85" i="2" s="1"/>
  <c r="K85" i="2"/>
  <c r="G85" i="2"/>
  <c r="F85" i="2"/>
  <c r="E85" i="2"/>
  <c r="AP84" i="2"/>
  <c r="AO84" i="2"/>
  <c r="AM84" i="2"/>
  <c r="AK84" i="2"/>
  <c r="AL84" i="2" s="1"/>
  <c r="AN84" i="2" s="1"/>
  <c r="AI84" i="2"/>
  <c r="AE84" i="2"/>
  <c r="X84" i="2"/>
  <c r="AA84" i="2" s="1"/>
  <c r="U84" i="2"/>
  <c r="W84" i="2" s="1"/>
  <c r="T84" i="2"/>
  <c r="S84" i="2"/>
  <c r="AG84" i="2" s="1"/>
  <c r="O84" i="2"/>
  <c r="P84" i="2" s="1"/>
  <c r="K84" i="2"/>
  <c r="G84" i="2"/>
  <c r="F84" i="2"/>
  <c r="E84" i="2"/>
  <c r="AP83" i="2"/>
  <c r="AO83" i="2"/>
  <c r="AK83" i="2"/>
  <c r="AL83" i="2" s="1"/>
  <c r="AI83" i="2"/>
  <c r="AG83" i="2"/>
  <c r="AF83" i="2"/>
  <c r="AE83" i="2"/>
  <c r="AM83" i="2" s="1"/>
  <c r="X83" i="2"/>
  <c r="AA83" i="2" s="1"/>
  <c r="U83" i="2"/>
  <c r="W83" i="2" s="1"/>
  <c r="T83" i="2"/>
  <c r="S83" i="2"/>
  <c r="P83" i="2"/>
  <c r="O83" i="2"/>
  <c r="K83" i="2"/>
  <c r="E83" i="2"/>
  <c r="AP82" i="2"/>
  <c r="AO82" i="2"/>
  <c r="AK82" i="2"/>
  <c r="AL82" i="2" s="1"/>
  <c r="AG82" i="2"/>
  <c r="AE82" i="2"/>
  <c r="AM82" i="2" s="1"/>
  <c r="AN82" i="2" s="1"/>
  <c r="AA82" i="2"/>
  <c r="X82" i="2"/>
  <c r="T82" i="2"/>
  <c r="S82" i="2"/>
  <c r="O82" i="2"/>
  <c r="P82" i="2" s="1"/>
  <c r="K82" i="2"/>
  <c r="AF82" i="2" s="1"/>
  <c r="G82" i="2"/>
  <c r="E82" i="2"/>
  <c r="F82" i="2" s="1"/>
  <c r="AP81" i="2"/>
  <c r="AO81" i="2"/>
  <c r="AL81" i="2"/>
  <c r="AN81" i="2" s="1"/>
  <c r="AK81" i="2"/>
  <c r="AE81" i="2"/>
  <c r="AM81" i="2" s="1"/>
  <c r="AA81" i="2"/>
  <c r="X81" i="2"/>
  <c r="W81" i="2"/>
  <c r="U81" i="2"/>
  <c r="T81" i="2"/>
  <c r="S81" i="2"/>
  <c r="AI81" i="2" s="1"/>
  <c r="O81" i="2"/>
  <c r="P81" i="2" s="1"/>
  <c r="K81" i="2"/>
  <c r="AF81" i="2" s="1"/>
  <c r="G81" i="2"/>
  <c r="F81" i="2"/>
  <c r="E81" i="2"/>
  <c r="AP80" i="2"/>
  <c r="AO80" i="2"/>
  <c r="AM80" i="2"/>
  <c r="AK80" i="2"/>
  <c r="AL80" i="2" s="1"/>
  <c r="AN80" i="2" s="1"/>
  <c r="AI80" i="2"/>
  <c r="AE80" i="2"/>
  <c r="X80" i="2"/>
  <c r="AA80" i="2" s="1"/>
  <c r="T80" i="2"/>
  <c r="U80" i="2" s="1"/>
  <c r="W80" i="2" s="1"/>
  <c r="S80" i="2"/>
  <c r="AG80" i="2" s="1"/>
  <c r="O80" i="2"/>
  <c r="P80" i="2" s="1"/>
  <c r="K80" i="2"/>
  <c r="G80" i="2"/>
  <c r="F80" i="2"/>
  <c r="E80" i="2"/>
  <c r="AP79" i="2"/>
  <c r="AO79" i="2"/>
  <c r="AK79" i="2"/>
  <c r="AL79" i="2" s="1"/>
  <c r="AN79" i="2" s="1"/>
  <c r="AI79" i="2"/>
  <c r="AG79" i="2"/>
  <c r="AE79" i="2"/>
  <c r="AM79" i="2" s="1"/>
  <c r="X79" i="2"/>
  <c r="AA79" i="2" s="1"/>
  <c r="T79" i="2"/>
  <c r="S79" i="2"/>
  <c r="AF79" i="2" s="1"/>
  <c r="P79" i="2"/>
  <c r="O79" i="2"/>
  <c r="K79" i="2"/>
  <c r="E79" i="2"/>
  <c r="AP78" i="2"/>
  <c r="AO78" i="2"/>
  <c r="AK78" i="2"/>
  <c r="AL78" i="2" s="1"/>
  <c r="AN78" i="2" s="1"/>
  <c r="AG78" i="2"/>
  <c r="AF78" i="2"/>
  <c r="AE78" i="2"/>
  <c r="AM78" i="2" s="1"/>
  <c r="AA78" i="2"/>
  <c r="X78" i="2"/>
  <c r="T78" i="2"/>
  <c r="S78" i="2"/>
  <c r="O78" i="2"/>
  <c r="P78" i="2" s="1"/>
  <c r="K78" i="2"/>
  <c r="G78" i="2"/>
  <c r="E78" i="2"/>
  <c r="F78" i="2" s="1"/>
  <c r="AP77" i="2"/>
  <c r="AO77" i="2"/>
  <c r="AM77" i="2"/>
  <c r="AL77" i="2"/>
  <c r="AN77" i="2" s="1"/>
  <c r="AK77" i="2"/>
  <c r="AE77" i="2"/>
  <c r="AA77" i="2"/>
  <c r="X77" i="2"/>
  <c r="W77" i="2"/>
  <c r="U77" i="2"/>
  <c r="T77" i="2"/>
  <c r="S77" i="2"/>
  <c r="AI77" i="2" s="1"/>
  <c r="O77" i="2"/>
  <c r="P77" i="2" s="1"/>
  <c r="K77" i="2"/>
  <c r="AF77" i="2" s="1"/>
  <c r="G77" i="2"/>
  <c r="F77" i="2"/>
  <c r="E77" i="2"/>
  <c r="AP76" i="2"/>
  <c r="AO76" i="2"/>
  <c r="AM76" i="2"/>
  <c r="AL76" i="2"/>
  <c r="AN76" i="2" s="1"/>
  <c r="AK76" i="2"/>
  <c r="AI76" i="2"/>
  <c r="AE76" i="2"/>
  <c r="X76" i="2"/>
  <c r="AA76" i="2" s="1"/>
  <c r="T76" i="2"/>
  <c r="U76" i="2" s="1"/>
  <c r="W76" i="2" s="1"/>
  <c r="S76" i="2"/>
  <c r="AG76" i="2" s="1"/>
  <c r="O76" i="2"/>
  <c r="P76" i="2" s="1"/>
  <c r="K76" i="2"/>
  <c r="E76" i="2"/>
  <c r="G76" i="2" s="1"/>
  <c r="AP75" i="2"/>
  <c r="AO75" i="2"/>
  <c r="AK75" i="2"/>
  <c r="AL75" i="2" s="1"/>
  <c r="AN75" i="2" s="1"/>
  <c r="AE75" i="2"/>
  <c r="AM75" i="2" s="1"/>
  <c r="X75" i="2"/>
  <c r="AA75" i="2" s="1"/>
  <c r="T75" i="2"/>
  <c r="S75" i="2"/>
  <c r="P75" i="2"/>
  <c r="O75" i="2"/>
  <c r="K75" i="2"/>
  <c r="E75" i="2"/>
  <c r="AP74" i="2"/>
  <c r="AO74" i="2"/>
  <c r="AK74" i="2"/>
  <c r="AL74" i="2" s="1"/>
  <c r="AN74" i="2" s="1"/>
  <c r="AE74" i="2"/>
  <c r="AM74" i="2" s="1"/>
  <c r="AA74" i="2"/>
  <c r="X74" i="2"/>
  <c r="T74" i="2"/>
  <c r="S74" i="2"/>
  <c r="P74" i="2"/>
  <c r="O74" i="2"/>
  <c r="K74" i="2"/>
  <c r="AF74" i="2" s="1"/>
  <c r="G74" i="2"/>
  <c r="E74" i="2"/>
  <c r="F74" i="2" s="1"/>
  <c r="AP73" i="2"/>
  <c r="AO73" i="2"/>
  <c r="AN73" i="2"/>
  <c r="AM73" i="2"/>
  <c r="AL73" i="2"/>
  <c r="AK73" i="2"/>
  <c r="AE73" i="2"/>
  <c r="X73" i="2"/>
  <c r="AA73" i="2" s="1"/>
  <c r="W73" i="2"/>
  <c r="U73" i="2"/>
  <c r="T73" i="2"/>
  <c r="S73" i="2"/>
  <c r="AI73" i="2" s="1"/>
  <c r="O73" i="2"/>
  <c r="P73" i="2" s="1"/>
  <c r="K73" i="2"/>
  <c r="G73" i="2"/>
  <c r="F73" i="2"/>
  <c r="E73" i="2"/>
  <c r="AP72" i="2"/>
  <c r="AO72" i="2"/>
  <c r="AM72" i="2"/>
  <c r="AL72" i="2"/>
  <c r="AN72" i="2" s="1"/>
  <c r="AK72" i="2"/>
  <c r="AI72" i="2"/>
  <c r="AE72" i="2"/>
  <c r="X72" i="2"/>
  <c r="AA72" i="2" s="1"/>
  <c r="U72" i="2"/>
  <c r="W72" i="2" s="1"/>
  <c r="T72" i="2"/>
  <c r="S72" i="2"/>
  <c r="AG72" i="2" s="1"/>
  <c r="O72" i="2"/>
  <c r="P72" i="2" s="1"/>
  <c r="K72" i="2"/>
  <c r="E72" i="2"/>
  <c r="G72" i="2" s="1"/>
  <c r="AP71" i="2"/>
  <c r="AO71" i="2"/>
  <c r="AK71" i="2"/>
  <c r="AL71" i="2" s="1"/>
  <c r="AF71" i="2"/>
  <c r="AE71" i="2"/>
  <c r="AM71" i="2" s="1"/>
  <c r="X71" i="2"/>
  <c r="AA71" i="2" s="1"/>
  <c r="U71" i="2"/>
  <c r="W71" i="2" s="1"/>
  <c r="T71" i="2"/>
  <c r="S71" i="2"/>
  <c r="AI71" i="2" s="1"/>
  <c r="P71" i="2"/>
  <c r="O71" i="2"/>
  <c r="K71" i="2"/>
  <c r="E71" i="2"/>
  <c r="AP70" i="2"/>
  <c r="AO70" i="2"/>
  <c r="AK70" i="2"/>
  <c r="AL70" i="2" s="1"/>
  <c r="AN70" i="2" s="1"/>
  <c r="AE70" i="2"/>
  <c r="AM70" i="2" s="1"/>
  <c r="AA70" i="2"/>
  <c r="X70" i="2"/>
  <c r="T70" i="2"/>
  <c r="S70" i="2"/>
  <c r="AG70" i="2" s="1"/>
  <c r="P70" i="2"/>
  <c r="O70" i="2"/>
  <c r="K70" i="2"/>
  <c r="AF70" i="2" s="1"/>
  <c r="G70" i="2"/>
  <c r="E70" i="2"/>
  <c r="F70" i="2" s="1"/>
  <c r="AP69" i="2"/>
  <c r="AO69" i="2"/>
  <c r="AL69" i="2"/>
  <c r="AK69" i="2"/>
  <c r="AE69" i="2"/>
  <c r="AM69" i="2" s="1"/>
  <c r="AN69" i="2" s="1"/>
  <c r="AA69" i="2"/>
  <c r="X69" i="2"/>
  <c r="W69" i="2"/>
  <c r="U69" i="2"/>
  <c r="T69" i="2"/>
  <c r="S69" i="2"/>
  <c r="AI69" i="2" s="1"/>
  <c r="O69" i="2"/>
  <c r="P69" i="2" s="1"/>
  <c r="K69" i="2"/>
  <c r="G69" i="2"/>
  <c r="F69" i="2"/>
  <c r="E69" i="2"/>
  <c r="AP68" i="2"/>
  <c r="AO68" i="2"/>
  <c r="AM68" i="2"/>
  <c r="AK68" i="2"/>
  <c r="AL68" i="2" s="1"/>
  <c r="AN68" i="2" s="1"/>
  <c r="AI68" i="2"/>
  <c r="AE68" i="2"/>
  <c r="X68" i="2"/>
  <c r="AA68" i="2" s="1"/>
  <c r="U68" i="2"/>
  <c r="W68" i="2" s="1"/>
  <c r="T68" i="2"/>
  <c r="S68" i="2"/>
  <c r="AG68" i="2" s="1"/>
  <c r="O68" i="2"/>
  <c r="P68" i="2" s="1"/>
  <c r="K68" i="2"/>
  <c r="AF68" i="2" s="1"/>
  <c r="G68" i="2"/>
  <c r="F68" i="2"/>
  <c r="E68" i="2"/>
  <c r="AP67" i="2"/>
  <c r="AO67" i="2"/>
  <c r="AK67" i="2"/>
  <c r="AL67" i="2" s="1"/>
  <c r="AI67" i="2"/>
  <c r="AG67" i="2"/>
  <c r="AF67" i="2"/>
  <c r="AE67" i="2"/>
  <c r="AM67" i="2" s="1"/>
  <c r="X67" i="2"/>
  <c r="AA67" i="2" s="1"/>
  <c r="U67" i="2"/>
  <c r="W67" i="2" s="1"/>
  <c r="T67" i="2"/>
  <c r="S67" i="2"/>
  <c r="P67" i="2"/>
  <c r="O67" i="2"/>
  <c r="K67" i="2"/>
  <c r="E67" i="2"/>
  <c r="AP66" i="2"/>
  <c r="AO66" i="2"/>
  <c r="AK66" i="2"/>
  <c r="AL66" i="2" s="1"/>
  <c r="AG66" i="2"/>
  <c r="AF66" i="2"/>
  <c r="AE66" i="2"/>
  <c r="AM66" i="2" s="1"/>
  <c r="AN66" i="2" s="1"/>
  <c r="AA66" i="2"/>
  <c r="X66" i="2"/>
  <c r="T66" i="2"/>
  <c r="S66" i="2"/>
  <c r="O66" i="2"/>
  <c r="P66" i="2" s="1"/>
  <c r="K66" i="2"/>
  <c r="G66" i="2"/>
  <c r="E66" i="2"/>
  <c r="F66" i="2" s="1"/>
  <c r="AP65" i="2"/>
  <c r="AO65" i="2"/>
  <c r="AL65" i="2"/>
  <c r="AN65" i="2" s="1"/>
  <c r="AK65" i="2"/>
  <c r="AE65" i="2"/>
  <c r="AM65" i="2" s="1"/>
  <c r="AA65" i="2"/>
  <c r="X65" i="2"/>
  <c r="W65" i="2"/>
  <c r="U65" i="2"/>
  <c r="T65" i="2"/>
  <c r="S65" i="2"/>
  <c r="AI65" i="2" s="1"/>
  <c r="O65" i="2"/>
  <c r="P65" i="2" s="1"/>
  <c r="K65" i="2"/>
  <c r="AF65" i="2" s="1"/>
  <c r="G65" i="2"/>
  <c r="F65" i="2"/>
  <c r="E65" i="2"/>
  <c r="AP64" i="2"/>
  <c r="AO64" i="2"/>
  <c r="AM64" i="2"/>
  <c r="AL64" i="2"/>
  <c r="AN64" i="2" s="1"/>
  <c r="AK64" i="2"/>
  <c r="AI64" i="2"/>
  <c r="AE64" i="2"/>
  <c r="X64" i="2"/>
  <c r="AA64" i="2" s="1"/>
  <c r="T64" i="2"/>
  <c r="U64" i="2" s="1"/>
  <c r="W64" i="2" s="1"/>
  <c r="S64" i="2"/>
  <c r="AG64" i="2" s="1"/>
  <c r="O64" i="2"/>
  <c r="P64" i="2" s="1"/>
  <c r="K64" i="2"/>
  <c r="AF64" i="2" s="1"/>
  <c r="G64" i="2"/>
  <c r="F64" i="2"/>
  <c r="E64" i="2"/>
  <c r="AP63" i="2"/>
  <c r="AO63" i="2"/>
  <c r="AK63" i="2"/>
  <c r="AL63" i="2" s="1"/>
  <c r="AN63" i="2" s="1"/>
  <c r="AE63" i="2"/>
  <c r="AM63" i="2" s="1"/>
  <c r="X63" i="2"/>
  <c r="AA63" i="2" s="1"/>
  <c r="T63" i="2"/>
  <c r="S63" i="2"/>
  <c r="P63" i="2"/>
  <c r="O63" i="2"/>
  <c r="K63" i="2"/>
  <c r="E63" i="2"/>
  <c r="AP62" i="2"/>
  <c r="AO62" i="2"/>
  <c r="AK62" i="2"/>
  <c r="AL62" i="2" s="1"/>
  <c r="AN62" i="2" s="1"/>
  <c r="AG62" i="2"/>
  <c r="AE62" i="2"/>
  <c r="AM62" i="2" s="1"/>
  <c r="AA62" i="2"/>
  <c r="X62" i="2"/>
  <c r="T62" i="2"/>
  <c r="S62" i="2"/>
  <c r="O62" i="2"/>
  <c r="P62" i="2" s="1"/>
  <c r="K62" i="2"/>
  <c r="AF62" i="2" s="1"/>
  <c r="G62" i="2"/>
  <c r="E62" i="2"/>
  <c r="F62" i="2" s="1"/>
  <c r="AP61" i="2"/>
  <c r="AO61" i="2"/>
  <c r="AM61" i="2"/>
  <c r="AL61" i="2"/>
  <c r="AN61" i="2" s="1"/>
  <c r="AK61" i="2"/>
  <c r="AE61" i="2"/>
  <c r="AA61" i="2"/>
  <c r="X61" i="2"/>
  <c r="W61" i="2"/>
  <c r="U61" i="2"/>
  <c r="T61" i="2"/>
  <c r="S61" i="2"/>
  <c r="AI61" i="2" s="1"/>
  <c r="O61" i="2"/>
  <c r="P61" i="2" s="1"/>
  <c r="K61" i="2"/>
  <c r="AF61" i="2" s="1"/>
  <c r="G61" i="2"/>
  <c r="F61" i="2"/>
  <c r="E61" i="2"/>
  <c r="AP60" i="2"/>
  <c r="AO60" i="2"/>
  <c r="AM60" i="2"/>
  <c r="AL60" i="2"/>
  <c r="AN60" i="2" s="1"/>
  <c r="AK60" i="2"/>
  <c r="AI60" i="2"/>
  <c r="AE60" i="2"/>
  <c r="X60" i="2"/>
  <c r="AA60" i="2" s="1"/>
  <c r="T60" i="2"/>
  <c r="U60" i="2" s="1"/>
  <c r="W60" i="2" s="1"/>
  <c r="S60" i="2"/>
  <c r="AG60" i="2" s="1"/>
  <c r="O60" i="2"/>
  <c r="P60" i="2" s="1"/>
  <c r="K60" i="2"/>
  <c r="AF60" i="2" s="1"/>
  <c r="E60" i="2"/>
  <c r="G60" i="2" s="1"/>
  <c r="AP59" i="2"/>
  <c r="AO59" i="2"/>
  <c r="AK59" i="2"/>
  <c r="AL59" i="2" s="1"/>
  <c r="AN59" i="2" s="1"/>
  <c r="AE59" i="2"/>
  <c r="AM59" i="2" s="1"/>
  <c r="X59" i="2"/>
  <c r="AA59" i="2" s="1"/>
  <c r="T59" i="2"/>
  <c r="S59" i="2"/>
  <c r="U59" i="2" s="1"/>
  <c r="W59" i="2" s="1"/>
  <c r="P59" i="2"/>
  <c r="O59" i="2"/>
  <c r="K59" i="2"/>
  <c r="E59" i="2"/>
  <c r="AP58" i="2"/>
  <c r="AO58" i="2"/>
  <c r="AK58" i="2"/>
  <c r="AL58" i="2" s="1"/>
  <c r="AN58" i="2" s="1"/>
  <c r="AE58" i="2"/>
  <c r="AM58" i="2" s="1"/>
  <c r="AA58" i="2"/>
  <c r="X58" i="2"/>
  <c r="T58" i="2"/>
  <c r="S58" i="2"/>
  <c r="P58" i="2"/>
  <c r="O58" i="2"/>
  <c r="K58" i="2"/>
  <c r="AF58" i="2" s="1"/>
  <c r="G58" i="2"/>
  <c r="E58" i="2"/>
  <c r="F58" i="2" s="1"/>
  <c r="AP57" i="2"/>
  <c r="AO57" i="2"/>
  <c r="AM57" i="2"/>
  <c r="AN57" i="2" s="1"/>
  <c r="AL57" i="2"/>
  <c r="AK57" i="2"/>
  <c r="AE57" i="2"/>
  <c r="X57" i="2"/>
  <c r="AA57" i="2" s="1"/>
  <c r="W57" i="2"/>
  <c r="U57" i="2"/>
  <c r="T57" i="2"/>
  <c r="S57" i="2"/>
  <c r="AI57" i="2" s="1"/>
  <c r="O57" i="2"/>
  <c r="P57" i="2" s="1"/>
  <c r="K57" i="2"/>
  <c r="G57" i="2"/>
  <c r="F57" i="2"/>
  <c r="E57" i="2"/>
  <c r="AP56" i="2"/>
  <c r="AO56" i="2"/>
  <c r="AM56" i="2"/>
  <c r="AL56" i="2"/>
  <c r="AN56" i="2" s="1"/>
  <c r="AK56" i="2"/>
  <c r="AI56" i="2"/>
  <c r="AE56" i="2"/>
  <c r="X56" i="2"/>
  <c r="AA56" i="2" s="1"/>
  <c r="U56" i="2"/>
  <c r="W56" i="2" s="1"/>
  <c r="T56" i="2"/>
  <c r="S56" i="2"/>
  <c r="AG56" i="2" s="1"/>
  <c r="O56" i="2"/>
  <c r="P56" i="2" s="1"/>
  <c r="K56" i="2"/>
  <c r="F56" i="2"/>
  <c r="E56" i="2"/>
  <c r="G56" i="2" s="1"/>
  <c r="AP55" i="2"/>
  <c r="AO55" i="2"/>
  <c r="AK55" i="2"/>
  <c r="AL55" i="2" s="1"/>
  <c r="AF55" i="2"/>
  <c r="AE55" i="2"/>
  <c r="AM55" i="2" s="1"/>
  <c r="X55" i="2"/>
  <c r="AA55" i="2" s="1"/>
  <c r="U55" i="2"/>
  <c r="W55" i="2" s="1"/>
  <c r="T55" i="2"/>
  <c r="S55" i="2"/>
  <c r="AI55" i="2" s="1"/>
  <c r="P55" i="2"/>
  <c r="O55" i="2"/>
  <c r="K55" i="2"/>
  <c r="E55" i="2"/>
  <c r="AP54" i="2"/>
  <c r="AO54" i="2"/>
  <c r="AK54" i="2"/>
  <c r="AL54" i="2" s="1"/>
  <c r="AN54" i="2" s="1"/>
  <c r="AE54" i="2"/>
  <c r="AM54" i="2" s="1"/>
  <c r="AA54" i="2"/>
  <c r="X54" i="2"/>
  <c r="T54" i="2"/>
  <c r="S54" i="2"/>
  <c r="AG54" i="2" s="1"/>
  <c r="P54" i="2"/>
  <c r="O54" i="2"/>
  <c r="K54" i="2"/>
  <c r="AF54" i="2" s="1"/>
  <c r="G54" i="2"/>
  <c r="E54" i="2"/>
  <c r="F54" i="2" s="1"/>
  <c r="AP53" i="2"/>
  <c r="AO53" i="2"/>
  <c r="AL53" i="2"/>
  <c r="AK53" i="2"/>
  <c r="AE53" i="2"/>
  <c r="AM53" i="2" s="1"/>
  <c r="AN53" i="2" s="1"/>
  <c r="X53" i="2"/>
  <c r="AA53" i="2" s="1"/>
  <c r="W53" i="2"/>
  <c r="U53" i="2"/>
  <c r="T53" i="2"/>
  <c r="S53" i="2"/>
  <c r="AI53" i="2" s="1"/>
  <c r="O53" i="2"/>
  <c r="P53" i="2" s="1"/>
  <c r="K53" i="2"/>
  <c r="G53" i="2"/>
  <c r="F53" i="2"/>
  <c r="E53" i="2"/>
  <c r="AP52" i="2"/>
  <c r="AO52" i="2"/>
  <c r="AM52" i="2"/>
  <c r="AK52" i="2"/>
  <c r="AL52" i="2" s="1"/>
  <c r="AN52" i="2" s="1"/>
  <c r="AI52" i="2"/>
  <c r="AE52" i="2"/>
  <c r="X52" i="2"/>
  <c r="AA52" i="2" s="1"/>
  <c r="U52" i="2"/>
  <c r="W52" i="2" s="1"/>
  <c r="T52" i="2"/>
  <c r="S52" i="2"/>
  <c r="AG52" i="2" s="1"/>
  <c r="O52" i="2"/>
  <c r="P52" i="2" s="1"/>
  <c r="K52" i="2"/>
  <c r="AF52" i="2" s="1"/>
  <c r="G52" i="2"/>
  <c r="F52" i="2"/>
  <c r="E52" i="2"/>
  <c r="AP51" i="2"/>
  <c r="AO51" i="2"/>
  <c r="AK51" i="2"/>
  <c r="AL51" i="2" s="1"/>
  <c r="AI51" i="2"/>
  <c r="AG51" i="2"/>
  <c r="AF51" i="2"/>
  <c r="AE51" i="2"/>
  <c r="AM51" i="2" s="1"/>
  <c r="X51" i="2"/>
  <c r="AA51" i="2" s="1"/>
  <c r="U51" i="2"/>
  <c r="W51" i="2" s="1"/>
  <c r="T51" i="2"/>
  <c r="S51" i="2"/>
  <c r="P51" i="2"/>
  <c r="O51" i="2"/>
  <c r="K51" i="2"/>
  <c r="E51" i="2"/>
  <c r="AP50" i="2"/>
  <c r="AO50" i="2"/>
  <c r="AK50" i="2"/>
  <c r="AL50" i="2" s="1"/>
  <c r="AG50" i="2"/>
  <c r="AF50" i="2"/>
  <c r="AE50" i="2"/>
  <c r="AM50" i="2" s="1"/>
  <c r="AN50" i="2" s="1"/>
  <c r="AA50" i="2"/>
  <c r="X50" i="2"/>
  <c r="T50" i="2"/>
  <c r="S50" i="2"/>
  <c r="O50" i="2"/>
  <c r="P50" i="2" s="1"/>
  <c r="K50" i="2"/>
  <c r="G50" i="2"/>
  <c r="E50" i="2"/>
  <c r="F50" i="2" s="1"/>
  <c r="AP49" i="2"/>
  <c r="AO49" i="2"/>
  <c r="AL49" i="2"/>
  <c r="AK49" i="2"/>
  <c r="AE49" i="2"/>
  <c r="AM49" i="2" s="1"/>
  <c r="AA49" i="2"/>
  <c r="X49" i="2"/>
  <c r="W49" i="2"/>
  <c r="U49" i="2"/>
  <c r="T49" i="2"/>
  <c r="S49" i="2"/>
  <c r="AI49" i="2" s="1"/>
  <c r="O49" i="2"/>
  <c r="P49" i="2" s="1"/>
  <c r="K49" i="2"/>
  <c r="AF49" i="2" s="1"/>
  <c r="G49" i="2"/>
  <c r="F49" i="2"/>
  <c r="E49" i="2"/>
  <c r="AP48" i="2"/>
  <c r="AO48" i="2"/>
  <c r="AM48" i="2"/>
  <c r="AK48" i="2"/>
  <c r="AL48" i="2" s="1"/>
  <c r="AN48" i="2" s="1"/>
  <c r="AI48" i="2"/>
  <c r="AE48" i="2"/>
  <c r="X48" i="2"/>
  <c r="AA48" i="2" s="1"/>
  <c r="T48" i="2"/>
  <c r="U48" i="2" s="1"/>
  <c r="W48" i="2" s="1"/>
  <c r="S48" i="2"/>
  <c r="AG48" i="2" s="1"/>
  <c r="O48" i="2"/>
  <c r="P48" i="2" s="1"/>
  <c r="K48" i="2"/>
  <c r="AF48" i="2" s="1"/>
  <c r="G48" i="2"/>
  <c r="F48" i="2"/>
  <c r="E48" i="2"/>
  <c r="AP47" i="2"/>
  <c r="AO47" i="2"/>
  <c r="AK47" i="2"/>
  <c r="AL47" i="2" s="1"/>
  <c r="AN47" i="2" s="1"/>
  <c r="AG47" i="2"/>
  <c r="AE47" i="2"/>
  <c r="AM47" i="2" s="1"/>
  <c r="X47" i="2"/>
  <c r="AA47" i="2" s="1"/>
  <c r="T47" i="2"/>
  <c r="S47" i="2"/>
  <c r="AI47" i="2" s="1"/>
  <c r="P47" i="2"/>
  <c r="O47" i="2"/>
  <c r="K47" i="2"/>
  <c r="E47" i="2"/>
  <c r="AP46" i="2"/>
  <c r="AO46" i="2"/>
  <c r="AK46" i="2"/>
  <c r="AL46" i="2" s="1"/>
  <c r="AN46" i="2" s="1"/>
  <c r="AG46" i="2"/>
  <c r="AE46" i="2"/>
  <c r="AM46" i="2" s="1"/>
  <c r="AA46" i="2"/>
  <c r="X46" i="2"/>
  <c r="T46" i="2"/>
  <c r="S46" i="2"/>
  <c r="P46" i="2"/>
  <c r="O46" i="2"/>
  <c r="K46" i="2"/>
  <c r="AF46" i="2" s="1"/>
  <c r="G46" i="2"/>
  <c r="E46" i="2"/>
  <c r="F46" i="2" s="1"/>
  <c r="AP45" i="2"/>
  <c r="AO45" i="2"/>
  <c r="AM45" i="2"/>
  <c r="AL45" i="2"/>
  <c r="AN45" i="2" s="1"/>
  <c r="AK45" i="2"/>
  <c r="AE45" i="2"/>
  <c r="AA45" i="2"/>
  <c r="X45" i="2"/>
  <c r="W45" i="2"/>
  <c r="U45" i="2"/>
  <c r="T45" i="2"/>
  <c r="S45" i="2"/>
  <c r="AI45" i="2" s="1"/>
  <c r="O45" i="2"/>
  <c r="P45" i="2" s="1"/>
  <c r="K45" i="2"/>
  <c r="AF45" i="2" s="1"/>
  <c r="G45" i="2"/>
  <c r="F45" i="2"/>
  <c r="E45" i="2"/>
  <c r="AP44" i="2"/>
  <c r="AO44" i="2"/>
  <c r="AM44" i="2"/>
  <c r="AL44" i="2"/>
  <c r="AK44" i="2"/>
  <c r="AI44" i="2"/>
  <c r="AE44" i="2"/>
  <c r="X44" i="2"/>
  <c r="AA44" i="2" s="1"/>
  <c r="T44" i="2"/>
  <c r="U44" i="2" s="1"/>
  <c r="W44" i="2" s="1"/>
  <c r="S44" i="2"/>
  <c r="AG44" i="2" s="1"/>
  <c r="O44" i="2"/>
  <c r="P44" i="2" s="1"/>
  <c r="K44" i="2"/>
  <c r="AF44" i="2" s="1"/>
  <c r="E44" i="2"/>
  <c r="G44" i="2" s="1"/>
  <c r="AP43" i="2"/>
  <c r="AO43" i="2"/>
  <c r="AK43" i="2"/>
  <c r="AL43" i="2" s="1"/>
  <c r="AN43" i="2" s="1"/>
  <c r="AE43" i="2"/>
  <c r="AM43" i="2" s="1"/>
  <c r="X43" i="2"/>
  <c r="AA43" i="2" s="1"/>
  <c r="T43" i="2"/>
  <c r="U43" i="2" s="1"/>
  <c r="W43" i="2" s="1"/>
  <c r="S43" i="2"/>
  <c r="P43" i="2"/>
  <c r="O43" i="2"/>
  <c r="K43" i="2"/>
  <c r="E43" i="2"/>
  <c r="AP42" i="2"/>
  <c r="AO42" i="2"/>
  <c r="AN42" i="2"/>
  <c r="AK42" i="2"/>
  <c r="AL42" i="2" s="1"/>
  <c r="AE42" i="2"/>
  <c r="AM42" i="2" s="1"/>
  <c r="AA42" i="2"/>
  <c r="X42" i="2"/>
  <c r="T42" i="2"/>
  <c r="S42" i="2"/>
  <c r="P42" i="2"/>
  <c r="O42" i="2"/>
  <c r="K42" i="2"/>
  <c r="G42" i="2"/>
  <c r="E42" i="2"/>
  <c r="F42" i="2" s="1"/>
  <c r="AP41" i="2"/>
  <c r="AO41" i="2"/>
  <c r="AN41" i="2"/>
  <c r="AM41" i="2"/>
  <c r="AL41" i="2"/>
  <c r="AK41" i="2"/>
  <c r="AE41" i="2"/>
  <c r="X41" i="2"/>
  <c r="AA41" i="2" s="1"/>
  <c r="W41" i="2"/>
  <c r="U41" i="2"/>
  <c r="T41" i="2"/>
  <c r="S41" i="2"/>
  <c r="AI41" i="2" s="1"/>
  <c r="O41" i="2"/>
  <c r="P41" i="2" s="1"/>
  <c r="K41" i="2"/>
  <c r="G41" i="2"/>
  <c r="F41" i="2"/>
  <c r="E41" i="2"/>
  <c r="AP40" i="2"/>
  <c r="AO40" i="2"/>
  <c r="AM40" i="2"/>
  <c r="AL40" i="2"/>
  <c r="AN40" i="2" s="1"/>
  <c r="AK40" i="2"/>
  <c r="AI40" i="2"/>
  <c r="AE40" i="2"/>
  <c r="X40" i="2"/>
  <c r="AA40" i="2" s="1"/>
  <c r="U40" i="2"/>
  <c r="W40" i="2" s="1"/>
  <c r="T40" i="2"/>
  <c r="S40" i="2"/>
  <c r="AG40" i="2" s="1"/>
  <c r="O40" i="2"/>
  <c r="P40" i="2" s="1"/>
  <c r="K40" i="2"/>
  <c r="E40" i="2"/>
  <c r="G40" i="2" s="1"/>
  <c r="AP39" i="2"/>
  <c r="AO39" i="2"/>
  <c r="AK39" i="2"/>
  <c r="AL39" i="2" s="1"/>
  <c r="AF39" i="2"/>
  <c r="AE39" i="2"/>
  <c r="AM39" i="2" s="1"/>
  <c r="X39" i="2"/>
  <c r="AA39" i="2" s="1"/>
  <c r="U39" i="2"/>
  <c r="W39" i="2" s="1"/>
  <c r="T39" i="2"/>
  <c r="S39" i="2"/>
  <c r="AI39" i="2" s="1"/>
  <c r="P39" i="2"/>
  <c r="O39" i="2"/>
  <c r="K39" i="2"/>
  <c r="E39" i="2"/>
  <c r="AP38" i="2"/>
  <c r="AO38" i="2"/>
  <c r="AK38" i="2"/>
  <c r="AL38" i="2" s="1"/>
  <c r="AN38" i="2" s="1"/>
  <c r="AE38" i="2"/>
  <c r="AM38" i="2" s="1"/>
  <c r="AA38" i="2"/>
  <c r="X38" i="2"/>
  <c r="T38" i="2"/>
  <c r="S38" i="2"/>
  <c r="AG38" i="2" s="1"/>
  <c r="P38" i="2"/>
  <c r="O38" i="2"/>
  <c r="K38" i="2"/>
  <c r="AF38" i="2" s="1"/>
  <c r="E38" i="2"/>
  <c r="G38" i="2" s="1"/>
  <c r="AP37" i="2"/>
  <c r="AO37" i="2"/>
  <c r="AN37" i="2"/>
  <c r="AM37" i="2"/>
  <c r="AL37" i="2"/>
  <c r="AK37" i="2"/>
  <c r="AE37" i="2"/>
  <c r="X37" i="2"/>
  <c r="AA37" i="2" s="1"/>
  <c r="W37" i="2"/>
  <c r="T37" i="2"/>
  <c r="S37" i="2"/>
  <c r="U37" i="2" s="1"/>
  <c r="O37" i="2"/>
  <c r="P37" i="2" s="1"/>
  <c r="K37" i="2"/>
  <c r="G37" i="2"/>
  <c r="F37" i="2"/>
  <c r="E37" i="2"/>
  <c r="AP36" i="2"/>
  <c r="AO36" i="2"/>
  <c r="AL36" i="2"/>
  <c r="AK36" i="2"/>
  <c r="AI36" i="2"/>
  <c r="AE36" i="2"/>
  <c r="AM36" i="2" s="1"/>
  <c r="X36" i="2"/>
  <c r="AA36" i="2" s="1"/>
  <c r="U36" i="2"/>
  <c r="W36" i="2" s="1"/>
  <c r="T36" i="2"/>
  <c r="S36" i="2"/>
  <c r="AG36" i="2" s="1"/>
  <c r="O36" i="2"/>
  <c r="P36" i="2" s="1"/>
  <c r="K36" i="2"/>
  <c r="E36" i="2"/>
  <c r="G36" i="2" s="1"/>
  <c r="AP35" i="2"/>
  <c r="AO35" i="2"/>
  <c r="AM35" i="2"/>
  <c r="AK35" i="2"/>
  <c r="AL35" i="2" s="1"/>
  <c r="AG35" i="2"/>
  <c r="AE35" i="2"/>
  <c r="X35" i="2"/>
  <c r="AA35" i="2" s="1"/>
  <c r="T35" i="2"/>
  <c r="U35" i="2" s="1"/>
  <c r="W35" i="2" s="1"/>
  <c r="S35" i="2"/>
  <c r="AI35" i="2" s="1"/>
  <c r="P35" i="2"/>
  <c r="O35" i="2"/>
  <c r="K35" i="2"/>
  <c r="E35" i="2"/>
  <c r="F35" i="2" s="1"/>
  <c r="AP34" i="2"/>
  <c r="AO34" i="2"/>
  <c r="AK34" i="2"/>
  <c r="AL34" i="2" s="1"/>
  <c r="AG34" i="2"/>
  <c r="AE34" i="2"/>
  <c r="AM34" i="2" s="1"/>
  <c r="AN34" i="2" s="1"/>
  <c r="AA34" i="2"/>
  <c r="X34" i="2"/>
  <c r="U34" i="2"/>
  <c r="W34" i="2" s="1"/>
  <c r="T34" i="2"/>
  <c r="S34" i="2"/>
  <c r="AI34" i="2" s="1"/>
  <c r="O34" i="2"/>
  <c r="P34" i="2" s="1"/>
  <c r="K34" i="2"/>
  <c r="AF34" i="2" s="1"/>
  <c r="E34" i="2"/>
  <c r="AP33" i="2"/>
  <c r="AO33" i="2"/>
  <c r="AL33" i="2"/>
  <c r="AN33" i="2" s="1"/>
  <c r="AK33" i="2"/>
  <c r="AG33" i="2"/>
  <c r="AE33" i="2"/>
  <c r="AM33" i="2" s="1"/>
  <c r="X33" i="2"/>
  <c r="AA33" i="2" s="1"/>
  <c r="T33" i="2"/>
  <c r="S33" i="2"/>
  <c r="O33" i="2"/>
  <c r="P33" i="2" s="1"/>
  <c r="K33" i="2"/>
  <c r="AF33" i="2" s="1"/>
  <c r="G33" i="2"/>
  <c r="F33" i="2"/>
  <c r="E33" i="2"/>
  <c r="AP32" i="2"/>
  <c r="AO32" i="2"/>
  <c r="AM32" i="2"/>
  <c r="AK32" i="2"/>
  <c r="AL32" i="2" s="1"/>
  <c r="AN32" i="2" s="1"/>
  <c r="AI32" i="2"/>
  <c r="AE32" i="2"/>
  <c r="X32" i="2"/>
  <c r="AA32" i="2" s="1"/>
  <c r="T32" i="2"/>
  <c r="S32" i="2"/>
  <c r="O32" i="2"/>
  <c r="P32" i="2" s="1"/>
  <c r="K32" i="2"/>
  <c r="G32" i="2"/>
  <c r="F32" i="2"/>
  <c r="E32" i="2"/>
  <c r="AP31" i="2"/>
  <c r="AO31" i="2"/>
  <c r="AM31" i="2"/>
  <c r="AK31" i="2"/>
  <c r="AL31" i="2" s="1"/>
  <c r="AN31" i="2" s="1"/>
  <c r="AE31" i="2"/>
  <c r="X31" i="2"/>
  <c r="AA31" i="2" s="1"/>
  <c r="T31" i="2"/>
  <c r="U31" i="2" s="1"/>
  <c r="W31" i="2" s="1"/>
  <c r="S31" i="2"/>
  <c r="O31" i="2"/>
  <c r="P31" i="2" s="1"/>
  <c r="K31" i="2"/>
  <c r="E31" i="2"/>
  <c r="F31" i="2" s="1"/>
  <c r="AP30" i="2"/>
  <c r="AO30" i="2"/>
  <c r="AN30" i="2"/>
  <c r="AK30" i="2"/>
  <c r="AL30" i="2" s="1"/>
  <c r="AE30" i="2"/>
  <c r="AM30" i="2" s="1"/>
  <c r="AA30" i="2"/>
  <c r="X30" i="2"/>
  <c r="U30" i="2"/>
  <c r="W30" i="2" s="1"/>
  <c r="T30" i="2"/>
  <c r="S30" i="2"/>
  <c r="AI30" i="2" s="1"/>
  <c r="P30" i="2"/>
  <c r="O30" i="2"/>
  <c r="K30" i="2"/>
  <c r="AF30" i="2" s="1"/>
  <c r="G30" i="2"/>
  <c r="E30" i="2"/>
  <c r="F30" i="2" s="1"/>
  <c r="AP29" i="2"/>
  <c r="AO29" i="2"/>
  <c r="AK29" i="2"/>
  <c r="AL29" i="2" s="1"/>
  <c r="AG29" i="2"/>
  <c r="AE29" i="2"/>
  <c r="AM29" i="2" s="1"/>
  <c r="AA29" i="2"/>
  <c r="X29" i="2"/>
  <c r="T29" i="2"/>
  <c r="S29" i="2"/>
  <c r="AI29" i="2" s="1"/>
  <c r="O29" i="2"/>
  <c r="P29" i="2" s="1"/>
  <c r="K29" i="2"/>
  <c r="AF29" i="2" s="1"/>
  <c r="G29" i="2"/>
  <c r="E29" i="2"/>
  <c r="F29" i="2" s="1"/>
  <c r="AP28" i="2"/>
  <c r="AO28" i="2"/>
  <c r="AM28" i="2"/>
  <c r="AK28" i="2"/>
  <c r="AL28" i="2" s="1"/>
  <c r="AN28" i="2" s="1"/>
  <c r="AI28" i="2"/>
  <c r="AE28" i="2"/>
  <c r="X28" i="2"/>
  <c r="AA28" i="2" s="1"/>
  <c r="T28" i="2"/>
  <c r="S28" i="2"/>
  <c r="O28" i="2"/>
  <c r="P28" i="2" s="1"/>
  <c r="K28" i="2"/>
  <c r="G28" i="2"/>
  <c r="F28" i="2"/>
  <c r="E28" i="2"/>
  <c r="AP27" i="2"/>
  <c r="AO27" i="2"/>
  <c r="AM27" i="2"/>
  <c r="AK27" i="2"/>
  <c r="AL27" i="2" s="1"/>
  <c r="AE27" i="2"/>
  <c r="X27" i="2"/>
  <c r="AA27" i="2" s="1"/>
  <c r="T27" i="2"/>
  <c r="S27" i="2"/>
  <c r="U27" i="2" s="1"/>
  <c r="W27" i="2" s="1"/>
  <c r="O27" i="2"/>
  <c r="P27" i="2" s="1"/>
  <c r="K27" i="2"/>
  <c r="E27" i="2"/>
  <c r="F27" i="2" s="1"/>
  <c r="AP26" i="2"/>
  <c r="AO26" i="2"/>
  <c r="AK26" i="2"/>
  <c r="AL26" i="2" s="1"/>
  <c r="AE26" i="2"/>
  <c r="AM26" i="2" s="1"/>
  <c r="AN26" i="2" s="1"/>
  <c r="X26" i="2"/>
  <c r="AA26" i="2" s="1"/>
  <c r="U26" i="2"/>
  <c r="W26" i="2" s="1"/>
  <c r="T26" i="2"/>
  <c r="S26" i="2"/>
  <c r="AI26" i="2" s="1"/>
  <c r="P26" i="2"/>
  <c r="O26" i="2"/>
  <c r="K26" i="2"/>
  <c r="AF26" i="2" s="1"/>
  <c r="E26" i="2"/>
  <c r="F26" i="2" s="1"/>
  <c r="AP25" i="2"/>
  <c r="AO25" i="2"/>
  <c r="AK25" i="2"/>
  <c r="AL25" i="2" s="1"/>
  <c r="AG25" i="2"/>
  <c r="AE25" i="2"/>
  <c r="AM25" i="2" s="1"/>
  <c r="AA25" i="2"/>
  <c r="X25" i="2"/>
  <c r="T25" i="2"/>
  <c r="S25" i="2"/>
  <c r="AI25" i="2" s="1"/>
  <c r="O25" i="2"/>
  <c r="P25" i="2" s="1"/>
  <c r="K25" i="2"/>
  <c r="AF25" i="2" s="1"/>
  <c r="G25" i="2"/>
  <c r="E25" i="2"/>
  <c r="F25" i="2" s="1"/>
  <c r="AP24" i="2"/>
  <c r="AO24" i="2"/>
  <c r="AM24" i="2"/>
  <c r="AK24" i="2"/>
  <c r="AL24" i="2" s="1"/>
  <c r="AN24" i="2" s="1"/>
  <c r="AI24" i="2"/>
  <c r="AE24" i="2"/>
  <c r="X24" i="2"/>
  <c r="AA24" i="2" s="1"/>
  <c r="T24" i="2"/>
  <c r="S24" i="2"/>
  <c r="O24" i="2"/>
  <c r="P24" i="2" s="1"/>
  <c r="K24" i="2"/>
  <c r="G24" i="2"/>
  <c r="F24" i="2"/>
  <c r="E24" i="2"/>
  <c r="AP23" i="2"/>
  <c r="AO23" i="2"/>
  <c r="AM23" i="2"/>
  <c r="AK23" i="2"/>
  <c r="AL23" i="2" s="1"/>
  <c r="AN23" i="2" s="1"/>
  <c r="AE23" i="2"/>
  <c r="X23" i="2"/>
  <c r="AA23" i="2" s="1"/>
  <c r="T23" i="2"/>
  <c r="S23" i="2"/>
  <c r="O23" i="2"/>
  <c r="P23" i="2" s="1"/>
  <c r="K23" i="2"/>
  <c r="E23" i="2"/>
  <c r="F23" i="2" s="1"/>
  <c r="AP22" i="2"/>
  <c r="AO22" i="2"/>
  <c r="AK22" i="2"/>
  <c r="AL22" i="2" s="1"/>
  <c r="AE22" i="2"/>
  <c r="AM22" i="2" s="1"/>
  <c r="AN22" i="2" s="1"/>
  <c r="AA22" i="2"/>
  <c r="X22" i="2"/>
  <c r="U22" i="2"/>
  <c r="W22" i="2" s="1"/>
  <c r="T22" i="2"/>
  <c r="S22" i="2"/>
  <c r="AI22" i="2" s="1"/>
  <c r="P22" i="2"/>
  <c r="O22" i="2"/>
  <c r="K22" i="2"/>
  <c r="AF22" i="2" s="1"/>
  <c r="G22" i="2"/>
  <c r="E22" i="2"/>
  <c r="F22" i="2" s="1"/>
  <c r="AP21" i="2"/>
  <c r="AO21" i="2"/>
  <c r="AK21" i="2"/>
  <c r="AL21" i="2" s="1"/>
  <c r="AG21" i="2"/>
  <c r="AE21" i="2"/>
  <c r="AM21" i="2" s="1"/>
  <c r="AA21" i="2"/>
  <c r="X21" i="2"/>
  <c r="T21" i="2"/>
  <c r="S21" i="2"/>
  <c r="AI21" i="2" s="1"/>
  <c r="O21" i="2"/>
  <c r="P21" i="2" s="1"/>
  <c r="K21" i="2"/>
  <c r="AF21" i="2" s="1"/>
  <c r="G21" i="2"/>
  <c r="E21" i="2"/>
  <c r="F21" i="2" s="1"/>
  <c r="AP20" i="2"/>
  <c r="AO20" i="2"/>
  <c r="AM20" i="2"/>
  <c r="AL20" i="2"/>
  <c r="AN20" i="2" s="1"/>
  <c r="AK20" i="2"/>
  <c r="AE20" i="2"/>
  <c r="X20" i="2"/>
  <c r="AA20" i="2" s="1"/>
  <c r="T20" i="2"/>
  <c r="S20" i="2"/>
  <c r="O20" i="2"/>
  <c r="P20" i="2" s="1"/>
  <c r="K20" i="2"/>
  <c r="G20" i="2"/>
  <c r="F20" i="2"/>
  <c r="E20" i="2"/>
  <c r="AP19" i="2"/>
  <c r="AO19" i="2"/>
  <c r="AM19" i="2"/>
  <c r="AK19" i="2"/>
  <c r="AL19" i="2" s="1"/>
  <c r="AE19" i="2"/>
  <c r="X19" i="2"/>
  <c r="AA19" i="2" s="1"/>
  <c r="T19" i="2"/>
  <c r="S19" i="2"/>
  <c r="U19" i="2" s="1"/>
  <c r="W19" i="2" s="1"/>
  <c r="O19" i="2"/>
  <c r="P19" i="2" s="1"/>
  <c r="K19" i="2"/>
  <c r="E19" i="2"/>
  <c r="F19" i="2" s="1"/>
  <c r="AP18" i="2"/>
  <c r="AO18" i="2"/>
  <c r="AK18" i="2"/>
  <c r="AL18" i="2" s="1"/>
  <c r="AE18" i="2"/>
  <c r="AM18" i="2" s="1"/>
  <c r="AN18" i="2" s="1"/>
  <c r="X18" i="2"/>
  <c r="AA18" i="2" s="1"/>
  <c r="U18" i="2"/>
  <c r="W18" i="2" s="1"/>
  <c r="T18" i="2"/>
  <c r="S18" i="2"/>
  <c r="AI18" i="2" s="1"/>
  <c r="P18" i="2"/>
  <c r="O18" i="2"/>
  <c r="K18" i="2"/>
  <c r="E18" i="2"/>
  <c r="F18" i="2" s="1"/>
  <c r="AP17" i="2"/>
  <c r="AO17" i="2"/>
  <c r="AK17" i="2"/>
  <c r="AL17" i="2" s="1"/>
  <c r="AG17" i="2"/>
  <c r="AE17" i="2"/>
  <c r="AM17" i="2" s="1"/>
  <c r="AA17" i="2"/>
  <c r="X17" i="2"/>
  <c r="T17" i="2"/>
  <c r="S17" i="2"/>
  <c r="AI17" i="2" s="1"/>
  <c r="O17" i="2"/>
  <c r="P17" i="2" s="1"/>
  <c r="K17" i="2"/>
  <c r="AF17" i="2" s="1"/>
  <c r="G17" i="2"/>
  <c r="E17" i="2"/>
  <c r="F17" i="2" s="1"/>
  <c r="AP16" i="2"/>
  <c r="AO16" i="2"/>
  <c r="AM16" i="2"/>
  <c r="AK16" i="2"/>
  <c r="AL16" i="2" s="1"/>
  <c r="AN16" i="2" s="1"/>
  <c r="AE16" i="2"/>
  <c r="X16" i="2"/>
  <c r="AA16" i="2" s="1"/>
  <c r="T16" i="2"/>
  <c r="S16" i="2"/>
  <c r="O16" i="2"/>
  <c r="P16" i="2" s="1"/>
  <c r="K16" i="2"/>
  <c r="G16" i="2"/>
  <c r="F16" i="2"/>
  <c r="E16" i="2"/>
  <c r="AP15" i="2"/>
  <c r="AO15" i="2"/>
  <c r="AM15" i="2"/>
  <c r="AK15" i="2"/>
  <c r="AL15" i="2" s="1"/>
  <c r="AN15" i="2" s="1"/>
  <c r="AE15" i="2"/>
  <c r="X15" i="2"/>
  <c r="AA15" i="2" s="1"/>
  <c r="T15" i="2"/>
  <c r="S15" i="2"/>
  <c r="O15" i="2"/>
  <c r="P15" i="2" s="1"/>
  <c r="K15" i="2"/>
  <c r="E15" i="2"/>
  <c r="F15" i="2" s="1"/>
  <c r="AP14" i="2"/>
  <c r="AO14" i="2"/>
  <c r="AK14" i="2"/>
  <c r="AL14" i="2" s="1"/>
  <c r="AE14" i="2"/>
  <c r="AM14" i="2" s="1"/>
  <c r="AN14" i="2" s="1"/>
  <c r="X14" i="2"/>
  <c r="AA14" i="2" s="1"/>
  <c r="U14" i="2"/>
  <c r="W14" i="2" s="1"/>
  <c r="T14" i="2"/>
  <c r="S14" i="2"/>
  <c r="AI14" i="2" s="1"/>
  <c r="P14" i="2"/>
  <c r="O14" i="2"/>
  <c r="K14" i="2"/>
  <c r="E14" i="2"/>
  <c r="F14" i="2" s="1"/>
  <c r="AP13" i="2"/>
  <c r="AO13" i="2"/>
  <c r="AK13" i="2"/>
  <c r="AL13" i="2" s="1"/>
  <c r="AN13" i="2" s="1"/>
  <c r="AG13" i="2"/>
  <c r="AE13" i="2"/>
  <c r="AM13" i="2" s="1"/>
  <c r="AA13" i="2"/>
  <c r="X13" i="2"/>
  <c r="T13" i="2"/>
  <c r="S13" i="2"/>
  <c r="AI13" i="2" s="1"/>
  <c r="O13" i="2"/>
  <c r="P13" i="2" s="1"/>
  <c r="K13" i="2"/>
  <c r="AF13" i="2" s="1"/>
  <c r="G13" i="2"/>
  <c r="E13" i="2"/>
  <c r="F13" i="2" s="1"/>
  <c r="AP12" i="2"/>
  <c r="AO12" i="2"/>
  <c r="AM12" i="2"/>
  <c r="AL12" i="2"/>
  <c r="AN12" i="2" s="1"/>
  <c r="AK12" i="2"/>
  <c r="AE12" i="2"/>
  <c r="X12" i="2"/>
  <c r="AA12" i="2" s="1"/>
  <c r="T12" i="2"/>
  <c r="S12" i="2"/>
  <c r="O12" i="2"/>
  <c r="P12" i="2" s="1"/>
  <c r="K12" i="2"/>
  <c r="G12" i="2"/>
  <c r="E12" i="2"/>
  <c r="F12" i="2" s="1"/>
  <c r="AP11" i="2"/>
  <c r="AO11" i="2"/>
  <c r="AM11" i="2"/>
  <c r="AK11" i="2"/>
  <c r="AL11" i="2" s="1"/>
  <c r="AN11" i="2" s="1"/>
  <c r="AE11" i="2"/>
  <c r="X11" i="2"/>
  <c r="AA11" i="2" s="1"/>
  <c r="T11" i="2"/>
  <c r="U11" i="2" s="1"/>
  <c r="W11" i="2" s="1"/>
  <c r="S11" i="2"/>
  <c r="O11" i="2"/>
  <c r="P11" i="2" s="1"/>
  <c r="K11" i="2"/>
  <c r="E11" i="2"/>
  <c r="F11" i="2" s="1"/>
  <c r="AP10" i="2"/>
  <c r="AO10" i="2"/>
  <c r="AN10" i="2"/>
  <c r="AK10" i="2"/>
  <c r="AL10" i="2" s="1"/>
  <c r="AE10" i="2"/>
  <c r="AM10" i="2" s="1"/>
  <c r="X10" i="2"/>
  <c r="AA10" i="2" s="1"/>
  <c r="U10" i="2"/>
  <c r="W10" i="2" s="1"/>
  <c r="T10" i="2"/>
  <c r="S10" i="2"/>
  <c r="AI10" i="2" s="1"/>
  <c r="O10" i="2"/>
  <c r="P10" i="2" s="1"/>
  <c r="K10" i="2"/>
  <c r="E10" i="2"/>
  <c r="F10" i="2" s="1"/>
  <c r="AP9" i="2"/>
  <c r="AO9" i="2"/>
  <c r="AK9" i="2"/>
  <c r="AL9" i="2" s="1"/>
  <c r="AN9" i="2" s="1"/>
  <c r="AG9" i="2"/>
  <c r="AE9" i="2"/>
  <c r="AM9" i="2" s="1"/>
  <c r="AA9" i="2"/>
  <c r="X9" i="2"/>
  <c r="T9" i="2"/>
  <c r="S9" i="2"/>
  <c r="AI9" i="2" s="1"/>
  <c r="O9" i="2"/>
  <c r="P9" i="2" s="1"/>
  <c r="K9" i="2"/>
  <c r="AF9" i="2" s="1"/>
  <c r="G9" i="2"/>
  <c r="E9" i="2"/>
  <c r="F9" i="2" s="1"/>
  <c r="AP8" i="2"/>
  <c r="AO8" i="2"/>
  <c r="AM8" i="2"/>
  <c r="AK8" i="2"/>
  <c r="AL8" i="2" s="1"/>
  <c r="AN8" i="2" s="1"/>
  <c r="AI8" i="2"/>
  <c r="AE8" i="2"/>
  <c r="X8" i="2"/>
  <c r="AA8" i="2" s="1"/>
  <c r="T8" i="2"/>
  <c r="S8" i="2"/>
  <c r="O8" i="2"/>
  <c r="P8" i="2" s="1"/>
  <c r="K8" i="2"/>
  <c r="G8" i="2"/>
  <c r="E8" i="2"/>
  <c r="F8" i="2" s="1"/>
  <c r="AP7" i="2"/>
  <c r="AO7" i="2"/>
  <c r="AM7" i="2"/>
  <c r="AK7" i="2"/>
  <c r="AL7" i="2" s="1"/>
  <c r="AE7" i="2"/>
  <c r="X7" i="2"/>
  <c r="AA7" i="2" s="1"/>
  <c r="T7" i="2"/>
  <c r="S7" i="2"/>
  <c r="O7" i="2"/>
  <c r="P7" i="2" s="1"/>
  <c r="K7" i="2"/>
  <c r="E7" i="2"/>
  <c r="F7" i="2" s="1"/>
  <c r="AP6" i="2"/>
  <c r="AO6" i="2"/>
  <c r="AK6" i="2"/>
  <c r="AL6" i="2" s="1"/>
  <c r="AE6" i="2"/>
  <c r="AM6" i="2" s="1"/>
  <c r="AN6" i="2" s="1"/>
  <c r="X6" i="2"/>
  <c r="AA6" i="2" s="1"/>
  <c r="U6" i="2"/>
  <c r="W6" i="2" s="1"/>
  <c r="T6" i="2"/>
  <c r="S6" i="2"/>
  <c r="AI6" i="2" s="1"/>
  <c r="O6" i="2"/>
  <c r="P6" i="2" s="1"/>
  <c r="K6" i="2"/>
  <c r="AF6" i="2" s="1"/>
  <c r="G6" i="2"/>
  <c r="E6" i="2"/>
  <c r="F6" i="2" s="1"/>
  <c r="AP5" i="2"/>
  <c r="AO5" i="2"/>
  <c r="AK5" i="2"/>
  <c r="AL5" i="2" s="1"/>
  <c r="AI5" i="2"/>
  <c r="AG5" i="2"/>
  <c r="AF5" i="2"/>
  <c r="AE5" i="2"/>
  <c r="AM5" i="2" s="1"/>
  <c r="AA5" i="2"/>
  <c r="X5" i="2"/>
  <c r="T5" i="2"/>
  <c r="S5" i="2"/>
  <c r="U5" i="2" s="1"/>
  <c r="W5" i="2" s="1"/>
  <c r="P5" i="2"/>
  <c r="O5" i="2"/>
  <c r="K5" i="2"/>
  <c r="E5" i="2"/>
  <c r="G5" i="2" s="1"/>
  <c r="U154" i="2" l="1"/>
  <c r="W154" i="2" s="1"/>
  <c r="AI154" i="2"/>
  <c r="AG154" i="2"/>
  <c r="U162" i="2"/>
  <c r="W162" i="2" s="1"/>
  <c r="AI162" i="2"/>
  <c r="AG162" i="2"/>
  <c r="AG175" i="2"/>
  <c r="U175" i="2"/>
  <c r="W175" i="2" s="1"/>
  <c r="AF175" i="2"/>
  <c r="G259" i="2"/>
  <c r="F259" i="2"/>
  <c r="G369" i="2"/>
  <c r="F369" i="2"/>
  <c r="U421" i="2"/>
  <c r="W421" i="2" s="1"/>
  <c r="AI421" i="2"/>
  <c r="AG421" i="2"/>
  <c r="G422" i="2"/>
  <c r="F422" i="2"/>
  <c r="AN451" i="2"/>
  <c r="AN518" i="2"/>
  <c r="AI7" i="2"/>
  <c r="AG7" i="2"/>
  <c r="AF7" i="2"/>
  <c r="AG20" i="2"/>
  <c r="U20" i="2"/>
  <c r="W20" i="2" s="1"/>
  <c r="G55" i="2"/>
  <c r="F55" i="2"/>
  <c r="U142" i="2"/>
  <c r="W142" i="2" s="1"/>
  <c r="AI142" i="2"/>
  <c r="AG142" i="2"/>
  <c r="AG497" i="2"/>
  <c r="U497" i="2"/>
  <c r="W497" i="2" s="1"/>
  <c r="AI497" i="2"/>
  <c r="AI23" i="2"/>
  <c r="AG23" i="2"/>
  <c r="AF23" i="2"/>
  <c r="U118" i="2"/>
  <c r="W118" i="2" s="1"/>
  <c r="AI118" i="2"/>
  <c r="AG118" i="2"/>
  <c r="F196" i="2"/>
  <c r="G199" i="2"/>
  <c r="F199" i="2"/>
  <c r="U309" i="2"/>
  <c r="W309" i="2" s="1"/>
  <c r="AI309" i="2"/>
  <c r="AG309" i="2"/>
  <c r="AF309" i="2"/>
  <c r="G314" i="2"/>
  <c r="F314" i="2"/>
  <c r="AF371" i="2"/>
  <c r="AA371" i="2"/>
  <c r="AI461" i="2"/>
  <c r="AG461" i="2"/>
  <c r="U461" i="2"/>
  <c r="W461" i="2" s="1"/>
  <c r="U489" i="2"/>
  <c r="W489" i="2" s="1"/>
  <c r="AI489" i="2"/>
  <c r="AG489" i="2"/>
  <c r="AF18" i="2"/>
  <c r="AF14" i="2"/>
  <c r="G71" i="2"/>
  <c r="F71" i="2"/>
  <c r="G195" i="2"/>
  <c r="F195" i="2"/>
  <c r="F224" i="2"/>
  <c r="G227" i="2"/>
  <c r="F227" i="2"/>
  <c r="U262" i="2"/>
  <c r="W262" i="2" s="1"/>
  <c r="AI262" i="2"/>
  <c r="AG262" i="2"/>
  <c r="AF290" i="2"/>
  <c r="AG290" i="2"/>
  <c r="U290" i="2"/>
  <c r="W290" i="2" s="1"/>
  <c r="AF319" i="2"/>
  <c r="U420" i="2"/>
  <c r="W420" i="2" s="1"/>
  <c r="AG420" i="2"/>
  <c r="AI420" i="2"/>
  <c r="AI926" i="2"/>
  <c r="U926" i="2"/>
  <c r="W926" i="2" s="1"/>
  <c r="AG926" i="2"/>
  <c r="AN5" i="2"/>
  <c r="AI20" i="2"/>
  <c r="AN21" i="2"/>
  <c r="G35" i="2"/>
  <c r="AF35" i="2"/>
  <c r="AN49" i="2"/>
  <c r="AF122" i="2"/>
  <c r="U126" i="2"/>
  <c r="W126" i="2" s="1"/>
  <c r="AI126" i="2"/>
  <c r="AG126" i="2"/>
  <c r="U150" i="2"/>
  <c r="W150" i="2" s="1"/>
  <c r="AI150" i="2"/>
  <c r="AG150" i="2"/>
  <c r="AG167" i="2"/>
  <c r="AF167" i="2"/>
  <c r="U167" i="2"/>
  <c r="W167" i="2" s="1"/>
  <c r="F303" i="2"/>
  <c r="AF327" i="2"/>
  <c r="U352" i="2"/>
  <c r="W352" i="2" s="1"/>
  <c r="AF352" i="2"/>
  <c r="AI352" i="2"/>
  <c r="AG352" i="2"/>
  <c r="AA407" i="2"/>
  <c r="AF407" i="2"/>
  <c r="G430" i="2"/>
  <c r="F430" i="2"/>
  <c r="U444" i="2"/>
  <c r="W444" i="2" s="1"/>
  <c r="AI444" i="2"/>
  <c r="AG444" i="2"/>
  <c r="AF444" i="2"/>
  <c r="F608" i="2"/>
  <c r="U688" i="2"/>
  <c r="W688" i="2" s="1"/>
  <c r="AG688" i="2"/>
  <c r="AI688" i="2"/>
  <c r="AF688" i="2"/>
  <c r="U704" i="2"/>
  <c r="W704" i="2" s="1"/>
  <c r="AG704" i="2"/>
  <c r="AI704" i="2"/>
  <c r="AI27" i="2"/>
  <c r="AG27" i="2"/>
  <c r="AF27" i="2"/>
  <c r="AG16" i="2"/>
  <c r="U16" i="2"/>
  <c r="W16" i="2" s="1"/>
  <c r="F72" i="2"/>
  <c r="F244" i="2"/>
  <c r="G247" i="2"/>
  <c r="F247" i="2"/>
  <c r="G794" i="2"/>
  <c r="F794" i="2"/>
  <c r="U804" i="2"/>
  <c r="W804" i="2" s="1"/>
  <c r="AG804" i="2"/>
  <c r="AF804" i="2"/>
  <c r="AI804" i="2"/>
  <c r="G830" i="2"/>
  <c r="F830" i="2"/>
  <c r="U7" i="2"/>
  <c r="W7" i="2" s="1"/>
  <c r="AF12" i="2"/>
  <c r="AG12" i="2"/>
  <c r="U12" i="2"/>
  <c r="W12" i="2" s="1"/>
  <c r="AI19" i="2"/>
  <c r="AG19" i="2"/>
  <c r="AF19" i="2"/>
  <c r="AN29" i="2"/>
  <c r="AF63" i="2"/>
  <c r="U63" i="2"/>
  <c r="W63" i="2" s="1"/>
  <c r="U138" i="2"/>
  <c r="W138" i="2" s="1"/>
  <c r="AI138" i="2"/>
  <c r="AG138" i="2"/>
  <c r="AI15" i="2"/>
  <c r="AG15" i="2"/>
  <c r="AF15" i="2"/>
  <c r="U23" i="2"/>
  <c r="W23" i="2" s="1"/>
  <c r="AN25" i="2"/>
  <c r="F36" i="2"/>
  <c r="F40" i="2"/>
  <c r="U58" i="2"/>
  <c r="W58" i="2" s="1"/>
  <c r="AI58" i="2"/>
  <c r="AG58" i="2"/>
  <c r="AI75" i="2"/>
  <c r="AG75" i="2"/>
  <c r="U75" i="2"/>
  <c r="W75" i="2" s="1"/>
  <c r="AF75" i="2"/>
  <c r="U114" i="2"/>
  <c r="W114" i="2" s="1"/>
  <c r="AI114" i="2"/>
  <c r="AG114" i="2"/>
  <c r="AI159" i="2"/>
  <c r="U159" i="2"/>
  <c r="W159" i="2" s="1"/>
  <c r="AG159" i="2"/>
  <c r="AF159" i="2"/>
  <c r="AG171" i="2"/>
  <c r="U171" i="2"/>
  <c r="W171" i="2" s="1"/>
  <c r="AF171" i="2"/>
  <c r="F192" i="2"/>
  <c r="F208" i="2"/>
  <c r="G211" i="2"/>
  <c r="F211" i="2"/>
  <c r="F240" i="2"/>
  <c r="G243" i="2"/>
  <c r="F243" i="2"/>
  <c r="AF272" i="2"/>
  <c r="AN7" i="2"/>
  <c r="AG8" i="2"/>
  <c r="U8" i="2"/>
  <c r="W8" i="2" s="1"/>
  <c r="G10" i="2"/>
  <c r="AI11" i="2"/>
  <c r="AG11" i="2"/>
  <c r="AF11" i="2"/>
  <c r="U15" i="2"/>
  <c r="W15" i="2" s="1"/>
  <c r="AI16" i="2"/>
  <c r="AN17" i="2"/>
  <c r="AN27" i="2"/>
  <c r="AG32" i="2"/>
  <c r="U32" i="2"/>
  <c r="W32" i="2" s="1"/>
  <c r="G34" i="2"/>
  <c r="F34" i="2"/>
  <c r="G39" i="2"/>
  <c r="F39" i="2"/>
  <c r="AF42" i="2"/>
  <c r="AI43" i="2"/>
  <c r="AG43" i="2"/>
  <c r="AF43" i="2"/>
  <c r="G51" i="2"/>
  <c r="F51" i="2"/>
  <c r="U134" i="2"/>
  <c r="W134" i="2" s="1"/>
  <c r="AI134" i="2"/>
  <c r="AG134" i="2"/>
  <c r="AF142" i="2"/>
  <c r="F188" i="2"/>
  <c r="G191" i="2"/>
  <c r="F191" i="2"/>
  <c r="F204" i="2"/>
  <c r="G207" i="2"/>
  <c r="F207" i="2"/>
  <c r="F220" i="2"/>
  <c r="G223" i="2"/>
  <c r="F223" i="2"/>
  <c r="F236" i="2"/>
  <c r="G239" i="2"/>
  <c r="F239" i="2"/>
  <c r="F252" i="2"/>
  <c r="G255" i="2"/>
  <c r="F255" i="2"/>
  <c r="AN402" i="2"/>
  <c r="AA600" i="2"/>
  <c r="AF600" i="2"/>
  <c r="U682" i="2"/>
  <c r="W682" i="2" s="1"/>
  <c r="AI682" i="2"/>
  <c r="AG682" i="2"/>
  <c r="U273" i="2"/>
  <c r="W273" i="2" s="1"/>
  <c r="AF273" i="2"/>
  <c r="AI273" i="2"/>
  <c r="AG273" i="2"/>
  <c r="AF443" i="2"/>
  <c r="AA443" i="2"/>
  <c r="U598" i="2"/>
  <c r="W598" i="2" s="1"/>
  <c r="AI598" i="2"/>
  <c r="AG598" i="2"/>
  <c r="AF598" i="2"/>
  <c r="G599" i="2"/>
  <c r="F599" i="2"/>
  <c r="U42" i="2"/>
  <c r="W42" i="2" s="1"/>
  <c r="AI42" i="2"/>
  <c r="AG42" i="2"/>
  <c r="AI59" i="2"/>
  <c r="AG59" i="2"/>
  <c r="AF59" i="2"/>
  <c r="G67" i="2"/>
  <c r="F67" i="2"/>
  <c r="G91" i="2"/>
  <c r="F91" i="2"/>
  <c r="U130" i="2"/>
  <c r="W130" i="2" s="1"/>
  <c r="AI130" i="2"/>
  <c r="AG130" i="2"/>
  <c r="G18" i="2"/>
  <c r="F212" i="2"/>
  <c r="G215" i="2"/>
  <c r="F215" i="2"/>
  <c r="F228" i="2"/>
  <c r="G231" i="2"/>
  <c r="F231" i="2"/>
  <c r="G386" i="2"/>
  <c r="F386" i="2"/>
  <c r="B28" i="5"/>
  <c r="G14" i="2"/>
  <c r="AF10" i="2"/>
  <c r="AI12" i="2"/>
  <c r="AG28" i="2"/>
  <c r="U28" i="2"/>
  <c r="W28" i="2" s="1"/>
  <c r="AG63" i="2"/>
  <c r="U74" i="2"/>
  <c r="W74" i="2" s="1"/>
  <c r="AI74" i="2"/>
  <c r="AG74" i="2"/>
  <c r="G83" i="2"/>
  <c r="F83" i="2"/>
  <c r="AF118" i="2"/>
  <c r="AF130" i="2"/>
  <c r="U146" i="2"/>
  <c r="W146" i="2" s="1"/>
  <c r="AI146" i="2"/>
  <c r="AG146" i="2"/>
  <c r="U158" i="2"/>
  <c r="W158" i="2" s="1"/>
  <c r="AI158" i="2"/>
  <c r="AG158" i="2"/>
  <c r="AI175" i="2"/>
  <c r="G183" i="2"/>
  <c r="F183" i="2"/>
  <c r="AN19" i="2"/>
  <c r="AG24" i="2"/>
  <c r="U24" i="2"/>
  <c r="W24" i="2" s="1"/>
  <c r="G26" i="2"/>
  <c r="AI31" i="2"/>
  <c r="AG31" i="2"/>
  <c r="AF31" i="2"/>
  <c r="AN44" i="2"/>
  <c r="AF47" i="2"/>
  <c r="U47" i="2"/>
  <c r="W47" i="2" s="1"/>
  <c r="AI63" i="2"/>
  <c r="G87" i="2"/>
  <c r="F87" i="2"/>
  <c r="G96" i="2"/>
  <c r="F96" i="2"/>
  <c r="F100" i="2"/>
  <c r="G100" i="2"/>
  <c r="F104" i="2"/>
  <c r="G104" i="2"/>
  <c r="G108" i="2"/>
  <c r="F108" i="2"/>
  <c r="G112" i="2"/>
  <c r="F112" i="2"/>
  <c r="U122" i="2"/>
  <c r="W122" i="2" s="1"/>
  <c r="AI122" i="2"/>
  <c r="AG122" i="2"/>
  <c r="AN132" i="2"/>
  <c r="AF154" i="2"/>
  <c r="AI155" i="2"/>
  <c r="U155" i="2"/>
  <c r="W155" i="2" s="1"/>
  <c r="AG155" i="2"/>
  <c r="AF155" i="2"/>
  <c r="AN156" i="2"/>
  <c r="AF162" i="2"/>
  <c r="AI163" i="2"/>
  <c r="AG163" i="2"/>
  <c r="AF163" i="2"/>
  <c r="U163" i="2"/>
  <c r="W163" i="2" s="1"/>
  <c r="AN164" i="2"/>
  <c r="AI171" i="2"/>
  <c r="G187" i="2"/>
  <c r="F187" i="2"/>
  <c r="F200" i="2"/>
  <c r="G203" i="2"/>
  <c r="F203" i="2"/>
  <c r="F216" i="2"/>
  <c r="G219" i="2"/>
  <c r="F219" i="2"/>
  <c r="F232" i="2"/>
  <c r="G235" i="2"/>
  <c r="F235" i="2"/>
  <c r="F248" i="2"/>
  <c r="G251" i="2"/>
  <c r="F251" i="2"/>
  <c r="AG267" i="2"/>
  <c r="U267" i="2"/>
  <c r="W267" i="2" s="1"/>
  <c r="AF267" i="2"/>
  <c r="AG294" i="2"/>
  <c r="AF294" i="2"/>
  <c r="U294" i="2"/>
  <c r="W294" i="2" s="1"/>
  <c r="U372" i="2"/>
  <c r="W372" i="2" s="1"/>
  <c r="AI372" i="2"/>
  <c r="AG372" i="2"/>
  <c r="AF372" i="2"/>
  <c r="F505" i="2"/>
  <c r="G552" i="2"/>
  <c r="F552" i="2"/>
  <c r="AA592" i="2"/>
  <c r="B36" i="5" s="1"/>
  <c r="AF592" i="2"/>
  <c r="G1051" i="2"/>
  <c r="F1051" i="2"/>
  <c r="AA1085" i="2"/>
  <c r="AF1085" i="2"/>
  <c r="AA1100" i="2"/>
  <c r="AF1100" i="2"/>
  <c r="F5" i="2"/>
  <c r="G7" i="2"/>
  <c r="G11" i="2"/>
  <c r="G15" i="2"/>
  <c r="G19" i="2"/>
  <c r="G23" i="2"/>
  <c r="G27" i="2"/>
  <c r="G31" i="2"/>
  <c r="AF36" i="2"/>
  <c r="AG39" i="2"/>
  <c r="AF40" i="2"/>
  <c r="G43" i="2"/>
  <c r="F43" i="2"/>
  <c r="F44" i="2"/>
  <c r="AN51" i="2"/>
  <c r="AG55" i="2"/>
  <c r="AF56" i="2"/>
  <c r="G59" i="2"/>
  <c r="F59" i="2"/>
  <c r="F60" i="2"/>
  <c r="AN67" i="2"/>
  <c r="AG71" i="2"/>
  <c r="G75" i="2"/>
  <c r="F75" i="2"/>
  <c r="F76" i="2"/>
  <c r="U79" i="2"/>
  <c r="W79" i="2" s="1"/>
  <c r="AN83" i="2"/>
  <c r="AN87" i="2"/>
  <c r="AN91" i="2"/>
  <c r="AG95" i="2"/>
  <c r="AF96" i="2"/>
  <c r="AG99" i="2"/>
  <c r="AF100" i="2"/>
  <c r="AG103" i="2"/>
  <c r="AF104" i="2"/>
  <c r="AG107" i="2"/>
  <c r="AG111" i="2"/>
  <c r="AF112" i="2"/>
  <c r="AF115" i="2"/>
  <c r="G116" i="2"/>
  <c r="AF119" i="2"/>
  <c r="G120" i="2"/>
  <c r="AF123" i="2"/>
  <c r="G124" i="2"/>
  <c r="AF127" i="2"/>
  <c r="G128" i="2"/>
  <c r="AF131" i="2"/>
  <c r="G132" i="2"/>
  <c r="AF135" i="2"/>
  <c r="G136" i="2"/>
  <c r="AF139" i="2"/>
  <c r="G140" i="2"/>
  <c r="AF143" i="2"/>
  <c r="G144" i="2"/>
  <c r="AF147" i="2"/>
  <c r="G148" i="2"/>
  <c r="AF151" i="2"/>
  <c r="F152" i="2"/>
  <c r="G155" i="2"/>
  <c r="F155" i="2"/>
  <c r="F156" i="2"/>
  <c r="G159" i="2"/>
  <c r="F159" i="2"/>
  <c r="F160" i="2"/>
  <c r="G163" i="2"/>
  <c r="F163" i="2"/>
  <c r="F164" i="2"/>
  <c r="U179" i="2"/>
  <c r="W179" i="2" s="1"/>
  <c r="AN183" i="2"/>
  <c r="AF189" i="2"/>
  <c r="AF193" i="2"/>
  <c r="AF197" i="2"/>
  <c r="AF201" i="2"/>
  <c r="AF205" i="2"/>
  <c r="AF209" i="2"/>
  <c r="AF213" i="2"/>
  <c r="AF217" i="2"/>
  <c r="AF221" i="2"/>
  <c r="AF225" i="2"/>
  <c r="AF229" i="2"/>
  <c r="AF233" i="2"/>
  <c r="AF237" i="2"/>
  <c r="AF241" i="2"/>
  <c r="AF245" i="2"/>
  <c r="AF249" i="2"/>
  <c r="AF253" i="2"/>
  <c r="AF257" i="2"/>
  <c r="AF261" i="2"/>
  <c r="AF263" i="2"/>
  <c r="G264" i="2"/>
  <c r="U270" i="2"/>
  <c r="W270" i="2" s="1"/>
  <c r="AI270" i="2"/>
  <c r="AG277" i="2"/>
  <c r="AF284" i="2"/>
  <c r="G290" i="2"/>
  <c r="F290" i="2"/>
  <c r="AF298" i="2"/>
  <c r="F299" i="2"/>
  <c r="AN300" i="2"/>
  <c r="U322" i="2"/>
  <c r="W322" i="2" s="1"/>
  <c r="AF328" i="2"/>
  <c r="F331" i="2"/>
  <c r="U334" i="2"/>
  <c r="W334" i="2" s="1"/>
  <c r="U337" i="2"/>
  <c r="W337" i="2" s="1"/>
  <c r="AF337" i="2"/>
  <c r="AN361" i="2"/>
  <c r="F398" i="2"/>
  <c r="AF409" i="2"/>
  <c r="AF411" i="2"/>
  <c r="F418" i="2"/>
  <c r="F437" i="2"/>
  <c r="AF451" i="2"/>
  <c r="AA451" i="2"/>
  <c r="AF474" i="2"/>
  <c r="U476" i="2"/>
  <c r="W476" i="2" s="1"/>
  <c r="AG476" i="2"/>
  <c r="AF476" i="2"/>
  <c r="G478" i="2"/>
  <c r="F478" i="2"/>
  <c r="AG587" i="2"/>
  <c r="U587" i="2"/>
  <c r="W587" i="2" s="1"/>
  <c r="U714" i="2"/>
  <c r="W714" i="2" s="1"/>
  <c r="AI714" i="2"/>
  <c r="AG714" i="2"/>
  <c r="AF714" i="2"/>
  <c r="AF88" i="2"/>
  <c r="G107" i="2"/>
  <c r="F107" i="2"/>
  <c r="U170" i="2"/>
  <c r="W170" i="2" s="1"/>
  <c r="AI170" i="2"/>
  <c r="U174" i="2"/>
  <c r="W174" i="2" s="1"/>
  <c r="AI174" i="2"/>
  <c r="U266" i="2"/>
  <c r="W266" i="2" s="1"/>
  <c r="AI266" i="2"/>
  <c r="U305" i="2"/>
  <c r="W305" i="2" s="1"/>
  <c r="AF305" i="2"/>
  <c r="AF339" i="2"/>
  <c r="AF431" i="2"/>
  <c r="U452" i="2"/>
  <c r="W452" i="2" s="1"/>
  <c r="AF452" i="2"/>
  <c r="AN453" i="2"/>
  <c r="U680" i="2"/>
  <c r="W680" i="2" s="1"/>
  <c r="AI680" i="2"/>
  <c r="AG680" i="2"/>
  <c r="AF680" i="2"/>
  <c r="U62" i="2"/>
  <c r="W62" i="2" s="1"/>
  <c r="AI62" i="2"/>
  <c r="AF93" i="2"/>
  <c r="G123" i="2"/>
  <c r="F123" i="2"/>
  <c r="AG6" i="2"/>
  <c r="U9" i="2"/>
  <c r="W9" i="2" s="1"/>
  <c r="AG10" i="2"/>
  <c r="U13" i="2"/>
  <c r="W13" i="2" s="1"/>
  <c r="AG14" i="2"/>
  <c r="U17" i="2"/>
  <c r="W17" i="2" s="1"/>
  <c r="AG18" i="2"/>
  <c r="U21" i="2"/>
  <c r="W21" i="2" s="1"/>
  <c r="AG22" i="2"/>
  <c r="U25" i="2"/>
  <c r="W25" i="2" s="1"/>
  <c r="AG26" i="2"/>
  <c r="U29" i="2"/>
  <c r="W29" i="2" s="1"/>
  <c r="AG30" i="2"/>
  <c r="AN35" i="2"/>
  <c r="AF37" i="2"/>
  <c r="AF41" i="2"/>
  <c r="U50" i="2"/>
  <c r="W50" i="2" s="1"/>
  <c r="AI50" i="2"/>
  <c r="AF57" i="2"/>
  <c r="U66" i="2"/>
  <c r="W66" i="2" s="1"/>
  <c r="AI66" i="2"/>
  <c r="AF73" i="2"/>
  <c r="U82" i="2"/>
  <c r="W82" i="2" s="1"/>
  <c r="AI82" i="2"/>
  <c r="U86" i="2"/>
  <c r="W86" i="2" s="1"/>
  <c r="AI86" i="2"/>
  <c r="U90" i="2"/>
  <c r="W90" i="2" s="1"/>
  <c r="AI90" i="2"/>
  <c r="AF97" i="2"/>
  <c r="AF101" i="2"/>
  <c r="AF105" i="2"/>
  <c r="AF109" i="2"/>
  <c r="AF113" i="2"/>
  <c r="AG115" i="2"/>
  <c r="AF116" i="2"/>
  <c r="AG119" i="2"/>
  <c r="AF120" i="2"/>
  <c r="AG123" i="2"/>
  <c r="AF124" i="2"/>
  <c r="AG127" i="2"/>
  <c r="AF140" i="2"/>
  <c r="AG143" i="2"/>
  <c r="AF144" i="2"/>
  <c r="AG147" i="2"/>
  <c r="AF148" i="2"/>
  <c r="AG151" i="2"/>
  <c r="G167" i="2"/>
  <c r="F167" i="2"/>
  <c r="G171" i="2"/>
  <c r="F171" i="2"/>
  <c r="G175" i="2"/>
  <c r="F175" i="2"/>
  <c r="U182" i="2"/>
  <c r="W182" i="2" s="1"/>
  <c r="AI182" i="2"/>
  <c r="AN187" i="2"/>
  <c r="AN188" i="2"/>
  <c r="AN191" i="2"/>
  <c r="AN192" i="2"/>
  <c r="AN195" i="2"/>
  <c r="AN196" i="2"/>
  <c r="AN199" i="2"/>
  <c r="AN200" i="2"/>
  <c r="AN203" i="2"/>
  <c r="AN204" i="2"/>
  <c r="AN207" i="2"/>
  <c r="AN208" i="2"/>
  <c r="AN211" i="2"/>
  <c r="AN212" i="2"/>
  <c r="AN215" i="2"/>
  <c r="AN216" i="2"/>
  <c r="AN219" i="2"/>
  <c r="AN220" i="2"/>
  <c r="AN223" i="2"/>
  <c r="AN224" i="2"/>
  <c r="AN227" i="2"/>
  <c r="AN228" i="2"/>
  <c r="AN231" i="2"/>
  <c r="AN232" i="2"/>
  <c r="AN235" i="2"/>
  <c r="AN236" i="2"/>
  <c r="AN239" i="2"/>
  <c r="AN240" i="2"/>
  <c r="AN243" i="2"/>
  <c r="AN244" i="2"/>
  <c r="AN247" i="2"/>
  <c r="AN248" i="2"/>
  <c r="AN251" i="2"/>
  <c r="AN252" i="2"/>
  <c r="AN255" i="2"/>
  <c r="AN256" i="2"/>
  <c r="AN259" i="2"/>
  <c r="AG263" i="2"/>
  <c r="G267" i="2"/>
  <c r="F267" i="2"/>
  <c r="G275" i="2"/>
  <c r="F275" i="2"/>
  <c r="AI277" i="2"/>
  <c r="F286" i="2"/>
  <c r="AF299" i="2"/>
  <c r="AA299" i="2"/>
  <c r="U301" i="2"/>
  <c r="W301" i="2" s="1"/>
  <c r="AG301" i="2"/>
  <c r="AN302" i="2"/>
  <c r="F310" i="2"/>
  <c r="F330" i="2"/>
  <c r="F342" i="2"/>
  <c r="AF351" i="2"/>
  <c r="G365" i="2"/>
  <c r="F365" i="2"/>
  <c r="AF375" i="2"/>
  <c r="AA399" i="2"/>
  <c r="AN410" i="2"/>
  <c r="U412" i="2"/>
  <c r="W412" i="2" s="1"/>
  <c r="AG412" i="2"/>
  <c r="U413" i="2"/>
  <c r="W413" i="2" s="1"/>
  <c r="AI413" i="2"/>
  <c r="AG509" i="2"/>
  <c r="AI509" i="2"/>
  <c r="U512" i="2"/>
  <c r="W512" i="2" s="1"/>
  <c r="AG512" i="2"/>
  <c r="AF512" i="2"/>
  <c r="AI512" i="2"/>
  <c r="F557" i="2"/>
  <c r="F616" i="2"/>
  <c r="AF92" i="2"/>
  <c r="G95" i="2"/>
  <c r="F95" i="2"/>
  <c r="G111" i="2"/>
  <c r="F111" i="2"/>
  <c r="U166" i="2"/>
  <c r="W166" i="2" s="1"/>
  <c r="AI166" i="2"/>
  <c r="U400" i="2"/>
  <c r="W400" i="2" s="1"/>
  <c r="AG400" i="2"/>
  <c r="AI400" i="2"/>
  <c r="U401" i="2"/>
  <c r="W401" i="2" s="1"/>
  <c r="AI401" i="2"/>
  <c r="U501" i="2"/>
  <c r="W501" i="2" s="1"/>
  <c r="AG501" i="2"/>
  <c r="B37" i="5"/>
  <c r="B34" i="5"/>
  <c r="B30" i="5"/>
  <c r="U588" i="2"/>
  <c r="AG588" i="2"/>
  <c r="AF588" i="2"/>
  <c r="AI588" i="2"/>
  <c r="G591" i="2"/>
  <c r="F591" i="2"/>
  <c r="AA608" i="2"/>
  <c r="AF608" i="2"/>
  <c r="U740" i="2"/>
  <c r="W740" i="2" s="1"/>
  <c r="AG740" i="2"/>
  <c r="AF740" i="2"/>
  <c r="AI740" i="2"/>
  <c r="AI922" i="2"/>
  <c r="U922" i="2"/>
  <c r="W922" i="2" s="1"/>
  <c r="AG922" i="2"/>
  <c r="AG945" i="2"/>
  <c r="AI945" i="2"/>
  <c r="U945" i="2"/>
  <c r="W945" i="2" s="1"/>
  <c r="U33" i="2"/>
  <c r="W33" i="2" s="1"/>
  <c r="AI33" i="2"/>
  <c r="AF53" i="2"/>
  <c r="U78" i="2"/>
  <c r="W78" i="2" s="1"/>
  <c r="AI78" i="2"/>
  <c r="AF89" i="2"/>
  <c r="G115" i="2"/>
  <c r="F115" i="2"/>
  <c r="G119" i="2"/>
  <c r="F119" i="2"/>
  <c r="G127" i="2"/>
  <c r="F127" i="2"/>
  <c r="G131" i="2"/>
  <c r="F131" i="2"/>
  <c r="G143" i="2"/>
  <c r="F143" i="2"/>
  <c r="U178" i="2"/>
  <c r="W178" i="2" s="1"/>
  <c r="AI178" i="2"/>
  <c r="AF185" i="2"/>
  <c r="AF196" i="2"/>
  <c r="AF204" i="2"/>
  <c r="AF208" i="2"/>
  <c r="AF236" i="2"/>
  <c r="AF240" i="2"/>
  <c r="AF252" i="2"/>
  <c r="F278" i="2"/>
  <c r="U344" i="2"/>
  <c r="W344" i="2" s="1"/>
  <c r="AG344" i="2"/>
  <c r="AI344" i="2"/>
  <c r="U345" i="2"/>
  <c r="W345" i="2" s="1"/>
  <c r="AI345" i="2"/>
  <c r="U393" i="2"/>
  <c r="W393" i="2" s="1"/>
  <c r="AG393" i="2"/>
  <c r="AF393" i="2"/>
  <c r="U488" i="2"/>
  <c r="W488" i="2" s="1"/>
  <c r="AF488" i="2"/>
  <c r="AI488" i="2"/>
  <c r="AG488" i="2"/>
  <c r="U528" i="2"/>
  <c r="W528" i="2" s="1"/>
  <c r="AG528" i="2"/>
  <c r="AF528" i="2"/>
  <c r="AI528" i="2"/>
  <c r="F542" i="2"/>
  <c r="G923" i="2"/>
  <c r="AN36" i="2"/>
  <c r="AN39" i="2"/>
  <c r="G47" i="2"/>
  <c r="F47" i="2"/>
  <c r="AN55" i="2"/>
  <c r="G63" i="2"/>
  <c r="F63" i="2"/>
  <c r="AN71" i="2"/>
  <c r="G79" i="2"/>
  <c r="F79" i="2"/>
  <c r="AN95" i="2"/>
  <c r="AN99" i="2"/>
  <c r="AN103" i="2"/>
  <c r="AN107" i="2"/>
  <c r="AN108" i="2"/>
  <c r="AN111" i="2"/>
  <c r="AN112" i="2"/>
  <c r="AF117" i="2"/>
  <c r="AF121" i="2"/>
  <c r="AF125" i="2"/>
  <c r="AF129" i="2"/>
  <c r="AF133" i="2"/>
  <c r="AF137" i="2"/>
  <c r="AF141" i="2"/>
  <c r="AF145" i="2"/>
  <c r="AF149" i="2"/>
  <c r="G179" i="2"/>
  <c r="F179" i="2"/>
  <c r="U186" i="2"/>
  <c r="W186" i="2" s="1"/>
  <c r="AI186" i="2"/>
  <c r="U190" i="2"/>
  <c r="W190" i="2" s="1"/>
  <c r="AI190" i="2"/>
  <c r="U194" i="2"/>
  <c r="W194" i="2" s="1"/>
  <c r="AI194" i="2"/>
  <c r="U198" i="2"/>
  <c r="W198" i="2" s="1"/>
  <c r="AI198" i="2"/>
  <c r="U202" i="2"/>
  <c r="W202" i="2" s="1"/>
  <c r="AI202" i="2"/>
  <c r="U206" i="2"/>
  <c r="W206" i="2" s="1"/>
  <c r="AI206" i="2"/>
  <c r="U210" i="2"/>
  <c r="W210" i="2" s="1"/>
  <c r="AI210" i="2"/>
  <c r="U214" i="2"/>
  <c r="W214" i="2" s="1"/>
  <c r="AI214" i="2"/>
  <c r="U218" i="2"/>
  <c r="W218" i="2" s="1"/>
  <c r="AI218" i="2"/>
  <c r="U222" i="2"/>
  <c r="W222" i="2" s="1"/>
  <c r="AI222" i="2"/>
  <c r="U226" i="2"/>
  <c r="W226" i="2" s="1"/>
  <c r="AI226" i="2"/>
  <c r="U230" i="2"/>
  <c r="W230" i="2" s="1"/>
  <c r="AI230" i="2"/>
  <c r="U234" i="2"/>
  <c r="W234" i="2" s="1"/>
  <c r="AI234" i="2"/>
  <c r="U238" i="2"/>
  <c r="W238" i="2" s="1"/>
  <c r="AI238" i="2"/>
  <c r="U242" i="2"/>
  <c r="W242" i="2" s="1"/>
  <c r="AI242" i="2"/>
  <c r="U246" i="2"/>
  <c r="W246" i="2" s="1"/>
  <c r="AI246" i="2"/>
  <c r="U250" i="2"/>
  <c r="W250" i="2" s="1"/>
  <c r="AI250" i="2"/>
  <c r="U254" i="2"/>
  <c r="W254" i="2" s="1"/>
  <c r="AI254" i="2"/>
  <c r="U258" i="2"/>
  <c r="W258" i="2" s="1"/>
  <c r="AI258" i="2"/>
  <c r="AN292" i="2"/>
  <c r="U302" i="2"/>
  <c r="W302" i="2" s="1"/>
  <c r="AI302" i="2"/>
  <c r="AN313" i="2"/>
  <c r="G322" i="2"/>
  <c r="F322" i="2"/>
  <c r="G334" i="2"/>
  <c r="F334" i="2"/>
  <c r="AF390" i="2"/>
  <c r="AA390" i="2"/>
  <c r="AF421" i="2"/>
  <c r="G426" i="2"/>
  <c r="F426" i="2"/>
  <c r="U428" i="2"/>
  <c r="W428" i="2" s="1"/>
  <c r="AF428" i="2"/>
  <c r="U432" i="2"/>
  <c r="W432" i="2" s="1"/>
  <c r="AF432" i="2"/>
  <c r="AI432" i="2"/>
  <c r="AG432" i="2"/>
  <c r="U456" i="2"/>
  <c r="W456" i="2" s="1"/>
  <c r="AI456" i="2"/>
  <c r="AG456" i="2"/>
  <c r="AN470" i="2"/>
  <c r="U473" i="2"/>
  <c r="W473" i="2" s="1"/>
  <c r="AN482" i="2"/>
  <c r="AA584" i="2"/>
  <c r="AF584" i="2"/>
  <c r="AF84" i="2"/>
  <c r="G99" i="2"/>
  <c r="F99" i="2"/>
  <c r="G103" i="2"/>
  <c r="F103" i="2"/>
  <c r="AF308" i="2"/>
  <c r="AF323" i="2"/>
  <c r="U516" i="2"/>
  <c r="W516" i="2" s="1"/>
  <c r="AF516" i="2"/>
  <c r="G537" i="2"/>
  <c r="F537" i="2"/>
  <c r="G624" i="2"/>
  <c r="F624" i="2"/>
  <c r="U46" i="2"/>
  <c r="W46" i="2" s="1"/>
  <c r="AI46" i="2"/>
  <c r="AF69" i="2"/>
  <c r="AF85" i="2"/>
  <c r="G135" i="2"/>
  <c r="F135" i="2"/>
  <c r="G139" i="2"/>
  <c r="F139" i="2"/>
  <c r="G147" i="2"/>
  <c r="F147" i="2"/>
  <c r="G151" i="2"/>
  <c r="F151" i="2"/>
  <c r="AF200" i="2"/>
  <c r="AF212" i="2"/>
  <c r="AF256" i="2"/>
  <c r="G263" i="2"/>
  <c r="F263" i="2"/>
  <c r="AN270" i="2"/>
  <c r="AA280" i="2"/>
  <c r="AN333" i="2"/>
  <c r="F377" i="2"/>
  <c r="F449" i="2"/>
  <c r="U460" i="2"/>
  <c r="W460" i="2" s="1"/>
  <c r="AI460" i="2"/>
  <c r="AG460" i="2"/>
  <c r="AF460" i="2"/>
  <c r="AG525" i="2"/>
  <c r="AI525" i="2"/>
  <c r="G767" i="2"/>
  <c r="F767" i="2"/>
  <c r="G903" i="2"/>
  <c r="AN924" i="2"/>
  <c r="AF8" i="2"/>
  <c r="AF16" i="2"/>
  <c r="AF20" i="2"/>
  <c r="AF24" i="2"/>
  <c r="AF28" i="2"/>
  <c r="AF32" i="2"/>
  <c r="U38" i="2"/>
  <c r="W38" i="2" s="1"/>
  <c r="AI38" i="2"/>
  <c r="U54" i="2"/>
  <c r="W54" i="2" s="1"/>
  <c r="AI54" i="2"/>
  <c r="U70" i="2"/>
  <c r="W70" i="2" s="1"/>
  <c r="AI70" i="2"/>
  <c r="U94" i="2"/>
  <c r="W94" i="2" s="1"/>
  <c r="AI94" i="2"/>
  <c r="U98" i="2"/>
  <c r="W98" i="2" s="1"/>
  <c r="AI98" i="2"/>
  <c r="U102" i="2"/>
  <c r="W102" i="2" s="1"/>
  <c r="AI102" i="2"/>
  <c r="U106" i="2"/>
  <c r="W106" i="2" s="1"/>
  <c r="AI106" i="2"/>
  <c r="U110" i="2"/>
  <c r="W110" i="2" s="1"/>
  <c r="AI110" i="2"/>
  <c r="AN115" i="2"/>
  <c r="AN116" i="2"/>
  <c r="AN119" i="2"/>
  <c r="AN120" i="2"/>
  <c r="AN123" i="2"/>
  <c r="AN124" i="2"/>
  <c r="AN127" i="2"/>
  <c r="AN131" i="2"/>
  <c r="AN135" i="2"/>
  <c r="AN139" i="2"/>
  <c r="AN143" i="2"/>
  <c r="AN144" i="2"/>
  <c r="AN147" i="2"/>
  <c r="AN148" i="2"/>
  <c r="AN263" i="2"/>
  <c r="F271" i="2"/>
  <c r="F282" i="2"/>
  <c r="AN288" i="2"/>
  <c r="AF295" i="2"/>
  <c r="U298" i="2"/>
  <c r="W298" i="2" s="1"/>
  <c r="G307" i="2"/>
  <c r="F307" i="2"/>
  <c r="AF322" i="2"/>
  <c r="AF401" i="2"/>
  <c r="AG401" i="2"/>
  <c r="U409" i="2"/>
  <c r="W409" i="2" s="1"/>
  <c r="AI409" i="2"/>
  <c r="AG409" i="2"/>
  <c r="AF419" i="2"/>
  <c r="AN422" i="2"/>
  <c r="AG452" i="2"/>
  <c r="G485" i="2"/>
  <c r="F485" i="2"/>
  <c r="G494" i="2"/>
  <c r="F494" i="2"/>
  <c r="AI501" i="2"/>
  <c r="AG516" i="2"/>
  <c r="G546" i="2"/>
  <c r="F546" i="2"/>
  <c r="U580" i="2"/>
  <c r="W580" i="2" s="1"/>
  <c r="AI580" i="2"/>
  <c r="AG580" i="2"/>
  <c r="AF580" i="2"/>
  <c r="U614" i="2"/>
  <c r="W614" i="2" s="1"/>
  <c r="AI614" i="2"/>
  <c r="AG614" i="2"/>
  <c r="AF614" i="2"/>
  <c r="U642" i="2"/>
  <c r="W642" i="2" s="1"/>
  <c r="AI642" i="2"/>
  <c r="AG642" i="2"/>
  <c r="U647" i="2"/>
  <c r="W647" i="2" s="1"/>
  <c r="AI647" i="2"/>
  <c r="AG647" i="2"/>
  <c r="AF647" i="2"/>
  <c r="AN687" i="2"/>
  <c r="G695" i="2"/>
  <c r="F695" i="2"/>
  <c r="U285" i="2"/>
  <c r="W285" i="2" s="1"/>
  <c r="AI285" i="2"/>
  <c r="AG289" i="2"/>
  <c r="U317" i="2"/>
  <c r="W317" i="2" s="1"/>
  <c r="AI317" i="2"/>
  <c r="AG321" i="2"/>
  <c r="U329" i="2"/>
  <c r="W329" i="2" s="1"/>
  <c r="AG330" i="2"/>
  <c r="AF333" i="2"/>
  <c r="AI341" i="2"/>
  <c r="U348" i="2"/>
  <c r="W348" i="2" s="1"/>
  <c r="AG348" i="2"/>
  <c r="AN349" i="2"/>
  <c r="AF364" i="2"/>
  <c r="AG376" i="2"/>
  <c r="AF386" i="2"/>
  <c r="AI389" i="2"/>
  <c r="U404" i="2"/>
  <c r="W404" i="2" s="1"/>
  <c r="AG404" i="2"/>
  <c r="AN405" i="2"/>
  <c r="AF408" i="2"/>
  <c r="AI448" i="2"/>
  <c r="AF466" i="2"/>
  <c r="U472" i="2"/>
  <c r="W472" i="2" s="1"/>
  <c r="AI472" i="2"/>
  <c r="AG472" i="2"/>
  <c r="AF472" i="2"/>
  <c r="AF475" i="2"/>
  <c r="AN496" i="2"/>
  <c r="U500" i="2"/>
  <c r="W500" i="2" s="1"/>
  <c r="AG500" i="2"/>
  <c r="AF500" i="2"/>
  <c r="G509" i="2"/>
  <c r="F509" i="2"/>
  <c r="AG513" i="2"/>
  <c r="AF514" i="2"/>
  <c r="G525" i="2"/>
  <c r="F525" i="2"/>
  <c r="AG529" i="2"/>
  <c r="AF530" i="2"/>
  <c r="AI537" i="2"/>
  <c r="AG540" i="2"/>
  <c r="AF541" i="2"/>
  <c r="AG541" i="2"/>
  <c r="AN561" i="2"/>
  <c r="U622" i="2"/>
  <c r="W622" i="2" s="1"/>
  <c r="AI622" i="2"/>
  <c r="AF622" i="2"/>
  <c r="AN624" i="2"/>
  <c r="G628" i="2"/>
  <c r="F628" i="2"/>
  <c r="AI639" i="2"/>
  <c r="U674" i="2"/>
  <c r="W674" i="2" s="1"/>
  <c r="AI674" i="2"/>
  <c r="AG674" i="2"/>
  <c r="AI733" i="2"/>
  <c r="AG733" i="2"/>
  <c r="U733" i="2"/>
  <c r="W733" i="2" s="1"/>
  <c r="G894" i="2"/>
  <c r="F894" i="2"/>
  <c r="AG37" i="2"/>
  <c r="AG41" i="2"/>
  <c r="AG45" i="2"/>
  <c r="AG49" i="2"/>
  <c r="AG53" i="2"/>
  <c r="AG57" i="2"/>
  <c r="AG61" i="2"/>
  <c r="AG65" i="2"/>
  <c r="AG69" i="2"/>
  <c r="AG73" i="2"/>
  <c r="AG77" i="2"/>
  <c r="AG81" i="2"/>
  <c r="AG85" i="2"/>
  <c r="AG89" i="2"/>
  <c r="AG93" i="2"/>
  <c r="AG97" i="2"/>
  <c r="AG101" i="2"/>
  <c r="AG105" i="2"/>
  <c r="AG109" i="2"/>
  <c r="AG113" i="2"/>
  <c r="AG117" i="2"/>
  <c r="AG121" i="2"/>
  <c r="AG125" i="2"/>
  <c r="AG129" i="2"/>
  <c r="AG133" i="2"/>
  <c r="AG137" i="2"/>
  <c r="AG141" i="2"/>
  <c r="AG145" i="2"/>
  <c r="AG149" i="2"/>
  <c r="AG153" i="2"/>
  <c r="AG157" i="2"/>
  <c r="AG161" i="2"/>
  <c r="AG165" i="2"/>
  <c r="AG169" i="2"/>
  <c r="AG173" i="2"/>
  <c r="AG177" i="2"/>
  <c r="AG181" i="2"/>
  <c r="AG185" i="2"/>
  <c r="AG189" i="2"/>
  <c r="AG193" i="2"/>
  <c r="AG197" i="2"/>
  <c r="AG201" i="2"/>
  <c r="AG205" i="2"/>
  <c r="AG209" i="2"/>
  <c r="AG213" i="2"/>
  <c r="AG217" i="2"/>
  <c r="AG221" i="2"/>
  <c r="AG225" i="2"/>
  <c r="AG229" i="2"/>
  <c r="AG233" i="2"/>
  <c r="AG237" i="2"/>
  <c r="AG241" i="2"/>
  <c r="AG245" i="2"/>
  <c r="AG249" i="2"/>
  <c r="AG253" i="2"/>
  <c r="AG257" i="2"/>
  <c r="AG261" i="2"/>
  <c r="AG265" i="2"/>
  <c r="AG269" i="2"/>
  <c r="AG278" i="2"/>
  <c r="AI289" i="2"/>
  <c r="AG310" i="2"/>
  <c r="AI321" i="2"/>
  <c r="AN329" i="2"/>
  <c r="AI330" i="2"/>
  <c r="AF334" i="2"/>
  <c r="AN338" i="2"/>
  <c r="U349" i="2"/>
  <c r="W349" i="2" s="1"/>
  <c r="AI349" i="2"/>
  <c r="G354" i="2"/>
  <c r="F354" i="2"/>
  <c r="U356" i="2"/>
  <c r="W356" i="2" s="1"/>
  <c r="AF356" i="2"/>
  <c r="AG364" i="2"/>
  <c r="AN383" i="2"/>
  <c r="U405" i="2"/>
  <c r="W405" i="2" s="1"/>
  <c r="AI405" i="2"/>
  <c r="U416" i="2"/>
  <c r="W416" i="2" s="1"/>
  <c r="AG416" i="2"/>
  <c r="AN417" i="2"/>
  <c r="AF420" i="2"/>
  <c r="G458" i="2"/>
  <c r="F458" i="2"/>
  <c r="AF487" i="2"/>
  <c r="AI541" i="2"/>
  <c r="G560" i="2"/>
  <c r="F560" i="2"/>
  <c r="U572" i="2"/>
  <c r="W572" i="2" s="1"/>
  <c r="AI572" i="2"/>
  <c r="AG572" i="2"/>
  <c r="AF572" i="2"/>
  <c r="AG579" i="2"/>
  <c r="U579" i="2"/>
  <c r="W579" i="2" s="1"/>
  <c r="G583" i="2"/>
  <c r="F583" i="2"/>
  <c r="U596" i="2"/>
  <c r="W596" i="2" s="1"/>
  <c r="AF596" i="2"/>
  <c r="U606" i="2"/>
  <c r="W606" i="2" s="1"/>
  <c r="AI606" i="2"/>
  <c r="AG606" i="2"/>
  <c r="AF606" i="2"/>
  <c r="G607" i="2"/>
  <c r="F607" i="2"/>
  <c r="U669" i="2"/>
  <c r="W669" i="2" s="1"/>
  <c r="AI669" i="2"/>
  <c r="AG669" i="2"/>
  <c r="AF669" i="2"/>
  <c r="G670" i="2"/>
  <c r="F670" i="2"/>
  <c r="G765" i="2"/>
  <c r="F765" i="2"/>
  <c r="AI37" i="2"/>
  <c r="F38" i="2"/>
  <c r="AF72" i="2"/>
  <c r="AF76" i="2"/>
  <c r="AF80" i="2"/>
  <c r="AI85" i="2"/>
  <c r="F86" i="2"/>
  <c r="AI89" i="2"/>
  <c r="F90" i="2"/>
  <c r="AI97" i="2"/>
  <c r="F98" i="2"/>
  <c r="AI101" i="2"/>
  <c r="F102" i="2"/>
  <c r="AI105" i="2"/>
  <c r="F106" i="2"/>
  <c r="AF108" i="2"/>
  <c r="AI109" i="2"/>
  <c r="F110" i="2"/>
  <c r="AI113" i="2"/>
  <c r="AI117" i="2"/>
  <c r="F118" i="2"/>
  <c r="AI121" i="2"/>
  <c r="F122" i="2"/>
  <c r="AI125" i="2"/>
  <c r="F126" i="2"/>
  <c r="AF128" i="2"/>
  <c r="AI129" i="2"/>
  <c r="F130" i="2"/>
  <c r="AF132" i="2"/>
  <c r="AI133" i="2"/>
  <c r="F134" i="2"/>
  <c r="AF136" i="2"/>
  <c r="AI137" i="2"/>
  <c r="F138" i="2"/>
  <c r="AI141" i="2"/>
  <c r="F142" i="2"/>
  <c r="AI145" i="2"/>
  <c r="F146" i="2"/>
  <c r="AI149" i="2"/>
  <c r="F150" i="2"/>
  <c r="AF152" i="2"/>
  <c r="AI153" i="2"/>
  <c r="F154" i="2"/>
  <c r="AI157" i="2"/>
  <c r="F158" i="2"/>
  <c r="AI161" i="2"/>
  <c r="F162" i="2"/>
  <c r="AF164" i="2"/>
  <c r="AI165" i="2"/>
  <c r="AF168" i="2"/>
  <c r="AI169" i="2"/>
  <c r="F170" i="2"/>
  <c r="AF172" i="2"/>
  <c r="AI173" i="2"/>
  <c r="F174" i="2"/>
  <c r="AI177" i="2"/>
  <c r="AF180" i="2"/>
  <c r="AF184" i="2"/>
  <c r="F186" i="2"/>
  <c r="AF188" i="2"/>
  <c r="AI189" i="2"/>
  <c r="F190" i="2"/>
  <c r="AF192" i="2"/>
  <c r="AI193" i="2"/>
  <c r="F194" i="2"/>
  <c r="AI197" i="2"/>
  <c r="F198" i="2"/>
  <c r="AI201" i="2"/>
  <c r="F202" i="2"/>
  <c r="AI205" i="2"/>
  <c r="F206" i="2"/>
  <c r="AI209" i="2"/>
  <c r="F210" i="2"/>
  <c r="AI213" i="2"/>
  <c r="F214" i="2"/>
  <c r="AF216" i="2"/>
  <c r="AI217" i="2"/>
  <c r="F218" i="2"/>
  <c r="AF220" i="2"/>
  <c r="AI221" i="2"/>
  <c r="F222" i="2"/>
  <c r="AF224" i="2"/>
  <c r="AI225" i="2"/>
  <c r="F226" i="2"/>
  <c r="AF228" i="2"/>
  <c r="AI229" i="2"/>
  <c r="F230" i="2"/>
  <c r="AF232" i="2"/>
  <c r="AI233" i="2"/>
  <c r="F234" i="2"/>
  <c r="AI237" i="2"/>
  <c r="F238" i="2"/>
  <c r="AI241" i="2"/>
  <c r="F242" i="2"/>
  <c r="AF244" i="2"/>
  <c r="AI245" i="2"/>
  <c r="F246" i="2"/>
  <c r="AF248" i="2"/>
  <c r="AI249" i="2"/>
  <c r="F250" i="2"/>
  <c r="AI253" i="2"/>
  <c r="F254" i="2"/>
  <c r="AI257" i="2"/>
  <c r="F258" i="2"/>
  <c r="AF260" i="2"/>
  <c r="AF264" i="2"/>
  <c r="AI278" i="2"/>
  <c r="F283" i="2"/>
  <c r="AF286" i="2"/>
  <c r="U293" i="2"/>
  <c r="W293" i="2" s="1"/>
  <c r="AI293" i="2"/>
  <c r="F298" i="2"/>
  <c r="AI310" i="2"/>
  <c r="F315" i="2"/>
  <c r="AF318" i="2"/>
  <c r="U325" i="2"/>
  <c r="W325" i="2" s="1"/>
  <c r="AI325" i="2"/>
  <c r="AF326" i="2"/>
  <c r="F335" i="2"/>
  <c r="AN341" i="2"/>
  <c r="AF344" i="2"/>
  <c r="F373" i="2"/>
  <c r="AN379" i="2"/>
  <c r="U383" i="2"/>
  <c r="W383" i="2" s="1"/>
  <c r="U396" i="2"/>
  <c r="W396" i="2" s="1"/>
  <c r="AG396" i="2"/>
  <c r="AN397" i="2"/>
  <c r="AF400" i="2"/>
  <c r="F414" i="2"/>
  <c r="U417" i="2"/>
  <c r="W417" i="2" s="1"/>
  <c r="AI417" i="2"/>
  <c r="U424" i="2"/>
  <c r="W424" i="2" s="1"/>
  <c r="AF424" i="2"/>
  <c r="AF427" i="2"/>
  <c r="U436" i="2"/>
  <c r="W436" i="2" s="1"/>
  <c r="U464" i="2"/>
  <c r="W464" i="2" s="1"/>
  <c r="AF464" i="2"/>
  <c r="F481" i="2"/>
  <c r="G482" i="2"/>
  <c r="F482" i="2"/>
  <c r="AI485" i="2"/>
  <c r="AF489" i="2"/>
  <c r="AF511" i="2"/>
  <c r="AN513" i="2"/>
  <c r="AF527" i="2"/>
  <c r="AN529" i="2"/>
  <c r="AN536" i="2"/>
  <c r="U550" i="2"/>
  <c r="W550" i="2" s="1"/>
  <c r="AI550" i="2"/>
  <c r="AG550" i="2"/>
  <c r="AF550" i="2"/>
  <c r="AG563" i="2"/>
  <c r="AI563" i="2"/>
  <c r="F621" i="2"/>
  <c r="U646" i="2"/>
  <c r="W646" i="2" s="1"/>
  <c r="AI646" i="2"/>
  <c r="AG646" i="2"/>
  <c r="G673" i="2"/>
  <c r="F673" i="2"/>
  <c r="U700" i="2"/>
  <c r="W700" i="2" s="1"/>
  <c r="AI700" i="2"/>
  <c r="AG700" i="2"/>
  <c r="U710" i="2"/>
  <c r="W710" i="2" s="1"/>
  <c r="AI710" i="2"/>
  <c r="AG710" i="2"/>
  <c r="U297" i="2"/>
  <c r="W297" i="2" s="1"/>
  <c r="AI297" i="2"/>
  <c r="AN330" i="2"/>
  <c r="U333" i="2"/>
  <c r="W333" i="2" s="1"/>
  <c r="AN342" i="2"/>
  <c r="U364" i="2"/>
  <c r="W364" i="2" s="1"/>
  <c r="AN376" i="2"/>
  <c r="G385" i="2"/>
  <c r="F385" i="2"/>
  <c r="U397" i="2"/>
  <c r="W397" i="2" s="1"/>
  <c r="AI397" i="2"/>
  <c r="AN398" i="2"/>
  <c r="U408" i="2"/>
  <c r="W408" i="2" s="1"/>
  <c r="AG408" i="2"/>
  <c r="AF412" i="2"/>
  <c r="G470" i="2"/>
  <c r="F470" i="2"/>
  <c r="G497" i="2"/>
  <c r="F497" i="2"/>
  <c r="U513" i="2"/>
  <c r="W513" i="2" s="1"/>
  <c r="G522" i="2"/>
  <c r="F522" i="2"/>
  <c r="U529" i="2"/>
  <c r="W529" i="2" s="1"/>
  <c r="U540" i="2"/>
  <c r="W540" i="2" s="1"/>
  <c r="AF540" i="2"/>
  <c r="G548" i="2"/>
  <c r="F548" i="2"/>
  <c r="U558" i="2"/>
  <c r="W558" i="2" s="1"/>
  <c r="AI558" i="2"/>
  <c r="AF558" i="2"/>
  <c r="AN560" i="2"/>
  <c r="G565" i="2"/>
  <c r="F565" i="2"/>
  <c r="AG571" i="2"/>
  <c r="AI571" i="2"/>
  <c r="AF704" i="2"/>
  <c r="G731" i="2"/>
  <c r="F731" i="2"/>
  <c r="AN759" i="2"/>
  <c r="U840" i="2"/>
  <c r="W840" i="2" s="1"/>
  <c r="AF840" i="2"/>
  <c r="AI840" i="2"/>
  <c r="AG840" i="2"/>
  <c r="U380" i="2"/>
  <c r="W380" i="2" s="1"/>
  <c r="AI380" i="2"/>
  <c r="AG384" i="2"/>
  <c r="U391" i="2"/>
  <c r="W391" i="2" s="1"/>
  <c r="AI468" i="2"/>
  <c r="AN476" i="2"/>
  <c r="AF478" i="2"/>
  <c r="AI480" i="2"/>
  <c r="AF484" i="2"/>
  <c r="AI492" i="2"/>
  <c r="AF496" i="2"/>
  <c r="U504" i="2"/>
  <c r="W504" i="2" s="1"/>
  <c r="AG505" i="2"/>
  <c r="AF508" i="2"/>
  <c r="AN516" i="2"/>
  <c r="AF518" i="2"/>
  <c r="AI520" i="2"/>
  <c r="AF524" i="2"/>
  <c r="U532" i="2"/>
  <c r="W532" i="2" s="1"/>
  <c r="AG533" i="2"/>
  <c r="AF536" i="2"/>
  <c r="AI544" i="2"/>
  <c r="AI548" i="2"/>
  <c r="G551" i="2"/>
  <c r="F551" i="2"/>
  <c r="AA552" i="2"/>
  <c r="AF552" i="2"/>
  <c r="AF555" i="2"/>
  <c r="AI556" i="2"/>
  <c r="AF562" i="2"/>
  <c r="AG564" i="2"/>
  <c r="U566" i="2"/>
  <c r="W566" i="2" s="1"/>
  <c r="AI566" i="2"/>
  <c r="AN574" i="2"/>
  <c r="AN591" i="2"/>
  <c r="AI611" i="2"/>
  <c r="G615" i="2"/>
  <c r="F615" i="2"/>
  <c r="AA616" i="2"/>
  <c r="AF616" i="2"/>
  <c r="AF619" i="2"/>
  <c r="AI620" i="2"/>
  <c r="AF632" i="2"/>
  <c r="U632" i="2"/>
  <c r="W632" i="2" s="1"/>
  <c r="AI635" i="2"/>
  <c r="AF636" i="2"/>
  <c r="U636" i="2"/>
  <c r="W636" i="2" s="1"/>
  <c r="AF643" i="2"/>
  <c r="AI651" i="2"/>
  <c r="AF654" i="2"/>
  <c r="AI655" i="2"/>
  <c r="AG659" i="2"/>
  <c r="AF659" i="2"/>
  <c r="G687" i="2"/>
  <c r="F687" i="2"/>
  <c r="AF712" i="2"/>
  <c r="AN712" i="2"/>
  <c r="U752" i="2"/>
  <c r="W752" i="2" s="1"/>
  <c r="AG752" i="2"/>
  <c r="AI752" i="2"/>
  <c r="U781" i="2"/>
  <c r="W781" i="2" s="1"/>
  <c r="AI781" i="2"/>
  <c r="AG781" i="2"/>
  <c r="AN870" i="2"/>
  <c r="U900" i="2"/>
  <c r="W900" i="2" s="1"/>
  <c r="AI900" i="2"/>
  <c r="AG900" i="2"/>
  <c r="AF900" i="2"/>
  <c r="U993" i="2"/>
  <c r="W993" i="2" s="1"/>
  <c r="AG993" i="2"/>
  <c r="AF993" i="2"/>
  <c r="AI993" i="2"/>
  <c r="AG361" i="2"/>
  <c r="AG365" i="2"/>
  <c r="AG369" i="2"/>
  <c r="AG373" i="2"/>
  <c r="AI384" i="2"/>
  <c r="AG437" i="2"/>
  <c r="AG441" i="2"/>
  <c r="AG445" i="2"/>
  <c r="AG449" i="2"/>
  <c r="AG453" i="2"/>
  <c r="AN465" i="2"/>
  <c r="AF485" i="2"/>
  <c r="AN489" i="2"/>
  <c r="AF497" i="2"/>
  <c r="AN504" i="2"/>
  <c r="AI505" i="2"/>
  <c r="AF509" i="2"/>
  <c r="AF525" i="2"/>
  <c r="AN532" i="2"/>
  <c r="AI533" i="2"/>
  <c r="AF537" i="2"/>
  <c r="AN541" i="2"/>
  <c r="AN553" i="2"/>
  <c r="G559" i="2"/>
  <c r="F559" i="2"/>
  <c r="AA560" i="2"/>
  <c r="AF560" i="2"/>
  <c r="AF563" i="2"/>
  <c r="AF570" i="2"/>
  <c r="U574" i="2"/>
  <c r="W574" i="2" s="1"/>
  <c r="AI574" i="2"/>
  <c r="AN582" i="2"/>
  <c r="AN599" i="2"/>
  <c r="AN617" i="2"/>
  <c r="G623" i="2"/>
  <c r="F623" i="2"/>
  <c r="AA624" i="2"/>
  <c r="AF624" i="2"/>
  <c r="G627" i="2"/>
  <c r="F627" i="2"/>
  <c r="AN629" i="2"/>
  <c r="AG631" i="2"/>
  <c r="AF631" i="2"/>
  <c r="AN633" i="2"/>
  <c r="U638" i="2"/>
  <c r="W638" i="2" s="1"/>
  <c r="AI638" i="2"/>
  <c r="AG638" i="2"/>
  <c r="AF642" i="2"/>
  <c r="AG643" i="2"/>
  <c r="AN657" i="2"/>
  <c r="G664" i="2"/>
  <c r="F664" i="2"/>
  <c r="G667" i="2"/>
  <c r="F667" i="2"/>
  <c r="AF678" i="2"/>
  <c r="AA678" i="2"/>
  <c r="U701" i="2"/>
  <c r="W701" i="2" s="1"/>
  <c r="AI701" i="2"/>
  <c r="AG701" i="2"/>
  <c r="G730" i="2"/>
  <c r="F730" i="2"/>
  <c r="U780" i="2"/>
  <c r="W780" i="2" s="1"/>
  <c r="AF780" i="2"/>
  <c r="AI780" i="2"/>
  <c r="AG780" i="2"/>
  <c r="G893" i="2"/>
  <c r="F893" i="2"/>
  <c r="U355" i="2"/>
  <c r="W355" i="2" s="1"/>
  <c r="AI361" i="2"/>
  <c r="AI365" i="2"/>
  <c r="AI369" i="2"/>
  <c r="AI373" i="2"/>
  <c r="F374" i="2"/>
  <c r="AF381" i="2"/>
  <c r="U388" i="2"/>
  <c r="W388" i="2" s="1"/>
  <c r="AI388" i="2"/>
  <c r="F393" i="2"/>
  <c r="U427" i="2"/>
  <c r="W427" i="2" s="1"/>
  <c r="U431" i="2"/>
  <c r="W431" i="2" s="1"/>
  <c r="AF458" i="2"/>
  <c r="AF461" i="2"/>
  <c r="AN468" i="2"/>
  <c r="AF470" i="2"/>
  <c r="AF473" i="2"/>
  <c r="AN480" i="2"/>
  <c r="AF482" i="2"/>
  <c r="F486" i="2"/>
  <c r="AN492" i="2"/>
  <c r="AF494" i="2"/>
  <c r="F498" i="2"/>
  <c r="F501" i="2"/>
  <c r="F510" i="2"/>
  <c r="F513" i="2"/>
  <c r="AN520" i="2"/>
  <c r="AF522" i="2"/>
  <c r="F526" i="2"/>
  <c r="F529" i="2"/>
  <c r="F538" i="2"/>
  <c r="AN544" i="2"/>
  <c r="AF546" i="2"/>
  <c r="G567" i="2"/>
  <c r="F567" i="2"/>
  <c r="AA568" i="2"/>
  <c r="AF568" i="2"/>
  <c r="AF571" i="2"/>
  <c r="F576" i="2"/>
  <c r="F581" i="2"/>
  <c r="U582" i="2"/>
  <c r="W582" i="2" s="1"/>
  <c r="AI582" i="2"/>
  <c r="AN590" i="2"/>
  <c r="AN607" i="2"/>
  <c r="AF628" i="2"/>
  <c r="AG628" i="2"/>
  <c r="U634" i="2"/>
  <c r="W634" i="2" s="1"/>
  <c r="AI634" i="2"/>
  <c r="AG634" i="2"/>
  <c r="AI643" i="2"/>
  <c r="U650" i="2"/>
  <c r="W650" i="2" s="1"/>
  <c r="AI650" i="2"/>
  <c r="U658" i="2"/>
  <c r="W658" i="2" s="1"/>
  <c r="AI658" i="2"/>
  <c r="AG658" i="2"/>
  <c r="U659" i="2"/>
  <c r="W659" i="2" s="1"/>
  <c r="AF682" i="2"/>
  <c r="AG685" i="2"/>
  <c r="U685" i="2"/>
  <c r="W685" i="2" s="1"/>
  <c r="AG693" i="2"/>
  <c r="U693" i="2"/>
  <c r="W693" i="2" s="1"/>
  <c r="G709" i="2"/>
  <c r="F709" i="2"/>
  <c r="U742" i="2"/>
  <c r="W742" i="2" s="1"/>
  <c r="AF742" i="2"/>
  <c r="AI742" i="2"/>
  <c r="AG742" i="2"/>
  <c r="F750" i="2"/>
  <c r="G758" i="2"/>
  <c r="F758" i="2"/>
  <c r="G759" i="2"/>
  <c r="F759" i="2"/>
  <c r="AF839" i="2"/>
  <c r="AN858" i="2"/>
  <c r="F861" i="2"/>
  <c r="F862" i="2"/>
  <c r="U359" i="2"/>
  <c r="W359" i="2" s="1"/>
  <c r="U363" i="2"/>
  <c r="W363" i="2" s="1"/>
  <c r="U367" i="2"/>
  <c r="W367" i="2" s="1"/>
  <c r="U371" i="2"/>
  <c r="W371" i="2" s="1"/>
  <c r="U392" i="2"/>
  <c r="W392" i="2" s="1"/>
  <c r="AI392" i="2"/>
  <c r="U435" i="2"/>
  <c r="W435" i="2" s="1"/>
  <c r="U439" i="2"/>
  <c r="W439" i="2" s="1"/>
  <c r="U443" i="2"/>
  <c r="W443" i="2" s="1"/>
  <c r="U447" i="2"/>
  <c r="W447" i="2" s="1"/>
  <c r="U451" i="2"/>
  <c r="W451" i="2" s="1"/>
  <c r="U484" i="2"/>
  <c r="W484" i="2" s="1"/>
  <c r="U496" i="2"/>
  <c r="W496" i="2" s="1"/>
  <c r="AF501" i="2"/>
  <c r="AN505" i="2"/>
  <c r="U508" i="2"/>
  <c r="W508" i="2" s="1"/>
  <c r="AF513" i="2"/>
  <c r="U524" i="2"/>
  <c r="W524" i="2" s="1"/>
  <c r="AF529" i="2"/>
  <c r="AN533" i="2"/>
  <c r="U536" i="2"/>
  <c r="W536" i="2" s="1"/>
  <c r="AN552" i="2"/>
  <c r="G575" i="2"/>
  <c r="F575" i="2"/>
  <c r="AA576" i="2"/>
  <c r="AF576" i="2"/>
  <c r="AF579" i="2"/>
  <c r="U590" i="2"/>
  <c r="W590" i="2" s="1"/>
  <c r="AI590" i="2"/>
  <c r="AN598" i="2"/>
  <c r="AN616" i="2"/>
  <c r="U631" i="2"/>
  <c r="W631" i="2" s="1"/>
  <c r="U635" i="2"/>
  <c r="W635" i="2" s="1"/>
  <c r="U654" i="2"/>
  <c r="W654" i="2" s="1"/>
  <c r="AI654" i="2"/>
  <c r="AG654" i="2"/>
  <c r="G663" i="2"/>
  <c r="F663" i="2"/>
  <c r="AF674" i="2"/>
  <c r="AN676" i="2"/>
  <c r="U712" i="2"/>
  <c r="W712" i="2" s="1"/>
  <c r="AG712" i="2"/>
  <c r="AI712" i="2"/>
  <c r="U725" i="2"/>
  <c r="W725" i="2" s="1"/>
  <c r="G746" i="2"/>
  <c r="F746" i="2"/>
  <c r="G809" i="2"/>
  <c r="F809" i="2"/>
  <c r="U872" i="2"/>
  <c r="W872" i="2" s="1"/>
  <c r="AI872" i="2"/>
  <c r="AG872" i="2"/>
  <c r="G874" i="2"/>
  <c r="F874" i="2"/>
  <c r="AG343" i="2"/>
  <c r="AG347" i="2"/>
  <c r="AG351" i="2"/>
  <c r="AG355" i="2"/>
  <c r="AG359" i="2"/>
  <c r="AG363" i="2"/>
  <c r="AG367" i="2"/>
  <c r="AG371" i="2"/>
  <c r="AG375" i="2"/>
  <c r="AG379" i="2"/>
  <c r="AG383" i="2"/>
  <c r="AG387" i="2"/>
  <c r="AG391" i="2"/>
  <c r="AG395" i="2"/>
  <c r="AG399" i="2"/>
  <c r="AG403" i="2"/>
  <c r="AG407" i="2"/>
  <c r="AG411" i="2"/>
  <c r="AG415" i="2"/>
  <c r="AG419" i="2"/>
  <c r="AG423" i="2"/>
  <c r="AG427" i="2"/>
  <c r="AG431" i="2"/>
  <c r="AG435" i="2"/>
  <c r="AG439" i="2"/>
  <c r="AG443" i="2"/>
  <c r="AG447" i="2"/>
  <c r="AG451" i="2"/>
  <c r="AG463" i="2"/>
  <c r="AG467" i="2"/>
  <c r="AG479" i="2"/>
  <c r="AG483" i="2"/>
  <c r="AG491" i="2"/>
  <c r="AG495" i="2"/>
  <c r="AG499" i="2"/>
  <c r="AG503" i="2"/>
  <c r="AG511" i="2"/>
  <c r="AG515" i="2"/>
  <c r="AG519" i="2"/>
  <c r="AG523" i="2"/>
  <c r="AG527" i="2"/>
  <c r="AG539" i="2"/>
  <c r="AG547" i="2"/>
  <c r="AF549" i="2"/>
  <c r="AI551" i="2"/>
  <c r="G555" i="2"/>
  <c r="F555" i="2"/>
  <c r="AF557" i="2"/>
  <c r="AI559" i="2"/>
  <c r="G563" i="2"/>
  <c r="F563" i="2"/>
  <c r="AF565" i="2"/>
  <c r="AI567" i="2"/>
  <c r="G571" i="2"/>
  <c r="F571" i="2"/>
  <c r="AF573" i="2"/>
  <c r="AI575" i="2"/>
  <c r="G579" i="2"/>
  <c r="F579" i="2"/>
  <c r="AF581" i="2"/>
  <c r="AI583" i="2"/>
  <c r="G587" i="2"/>
  <c r="F587" i="2"/>
  <c r="AF589" i="2"/>
  <c r="AI591" i="2"/>
  <c r="G595" i="2"/>
  <c r="F595" i="2"/>
  <c r="AF597" i="2"/>
  <c r="AI599" i="2"/>
  <c r="G603" i="2"/>
  <c r="F603" i="2"/>
  <c r="AF605" i="2"/>
  <c r="AI607" i="2"/>
  <c r="G611" i="2"/>
  <c r="F611" i="2"/>
  <c r="AF613" i="2"/>
  <c r="AI615" i="2"/>
  <c r="G619" i="2"/>
  <c r="F619" i="2"/>
  <c r="AF621" i="2"/>
  <c r="AI623" i="2"/>
  <c r="G631" i="2"/>
  <c r="F631" i="2"/>
  <c r="AF640" i="2"/>
  <c r="AF641" i="2"/>
  <c r="AN643" i="2"/>
  <c r="AN647" i="2"/>
  <c r="AF649" i="2"/>
  <c r="G659" i="2"/>
  <c r="F659" i="2"/>
  <c r="AF667" i="2"/>
  <c r="U677" i="2"/>
  <c r="W677" i="2" s="1"/>
  <c r="AN677" i="2"/>
  <c r="AF679" i="2"/>
  <c r="AN695" i="2"/>
  <c r="G717" i="2"/>
  <c r="F717" i="2"/>
  <c r="AN777" i="2"/>
  <c r="G785" i="2"/>
  <c r="F785" i="2"/>
  <c r="G798" i="2"/>
  <c r="F798" i="2"/>
  <c r="AF831" i="2"/>
  <c r="AF923" i="2"/>
  <c r="AI973" i="2"/>
  <c r="U973" i="2"/>
  <c r="W973" i="2" s="1"/>
  <c r="AG973" i="2"/>
  <c r="AF973" i="2"/>
  <c r="AN987" i="2"/>
  <c r="U992" i="2"/>
  <c r="W992" i="2" s="1"/>
  <c r="AI992" i="2"/>
  <c r="AG992" i="2"/>
  <c r="B53" i="5"/>
  <c r="AN588" i="2"/>
  <c r="G635" i="2"/>
  <c r="F635" i="2"/>
  <c r="AF644" i="2"/>
  <c r="AF645" i="2"/>
  <c r="G655" i="2"/>
  <c r="F655" i="2"/>
  <c r="AF668" i="2"/>
  <c r="AN689" i="2"/>
  <c r="AG690" i="2"/>
  <c r="AF690" i="2"/>
  <c r="U697" i="2"/>
  <c r="W697" i="2" s="1"/>
  <c r="AG697" i="2"/>
  <c r="G722" i="2"/>
  <c r="F722" i="2"/>
  <c r="U796" i="2"/>
  <c r="W796" i="2" s="1"/>
  <c r="AG796" i="2"/>
  <c r="AI796" i="2"/>
  <c r="U816" i="2"/>
  <c r="W816" i="2" s="1"/>
  <c r="AG816" i="2"/>
  <c r="G837" i="2"/>
  <c r="F837" i="2"/>
  <c r="U916" i="2"/>
  <c r="W916" i="2" s="1"/>
  <c r="AF916" i="2"/>
  <c r="AI916" i="2"/>
  <c r="AG916" i="2"/>
  <c r="U937" i="2"/>
  <c r="W937" i="2" s="1"/>
  <c r="AI937" i="2"/>
  <c r="AG937" i="2"/>
  <c r="AF937" i="2"/>
  <c r="G938" i="2"/>
  <c r="F938" i="2"/>
  <c r="U1042" i="2"/>
  <c r="W1042" i="2" s="1"/>
  <c r="AG1042" i="2"/>
  <c r="AF1042" i="2"/>
  <c r="AI1042" i="2"/>
  <c r="AG552" i="2"/>
  <c r="F553" i="2"/>
  <c r="U554" i="2"/>
  <c r="W554" i="2" s="1"/>
  <c r="AI554" i="2"/>
  <c r="F556" i="2"/>
  <c r="AG560" i="2"/>
  <c r="F561" i="2"/>
  <c r="U562" i="2"/>
  <c r="W562" i="2" s="1"/>
  <c r="AI562" i="2"/>
  <c r="F564" i="2"/>
  <c r="AG568" i="2"/>
  <c r="F569" i="2"/>
  <c r="U570" i="2"/>
  <c r="W570" i="2" s="1"/>
  <c r="AI570" i="2"/>
  <c r="F572" i="2"/>
  <c r="AG576" i="2"/>
  <c r="F577" i="2"/>
  <c r="U578" i="2"/>
  <c r="W578" i="2" s="1"/>
  <c r="AI578" i="2"/>
  <c r="F580" i="2"/>
  <c r="AG584" i="2"/>
  <c r="F585" i="2"/>
  <c r="U586" i="2"/>
  <c r="W586" i="2" s="1"/>
  <c r="AI586" i="2"/>
  <c r="F588" i="2"/>
  <c r="AG592" i="2"/>
  <c r="F593" i="2"/>
  <c r="U594" i="2"/>
  <c r="W594" i="2" s="1"/>
  <c r="AI594" i="2"/>
  <c r="F596" i="2"/>
  <c r="AG600" i="2"/>
  <c r="F601" i="2"/>
  <c r="U602" i="2"/>
  <c r="W602" i="2" s="1"/>
  <c r="AI602" i="2"/>
  <c r="F604" i="2"/>
  <c r="AG608" i="2"/>
  <c r="F609" i="2"/>
  <c r="U610" i="2"/>
  <c r="W610" i="2" s="1"/>
  <c r="AI610" i="2"/>
  <c r="F612" i="2"/>
  <c r="AG616" i="2"/>
  <c r="F617" i="2"/>
  <c r="U618" i="2"/>
  <c r="W618" i="2" s="1"/>
  <c r="AI618" i="2"/>
  <c r="F620" i="2"/>
  <c r="AG624" i="2"/>
  <c r="F625" i="2"/>
  <c r="U626" i="2"/>
  <c r="W626" i="2" s="1"/>
  <c r="AI626" i="2"/>
  <c r="AG627" i="2"/>
  <c r="F636" i="2"/>
  <c r="G639" i="2"/>
  <c r="F639" i="2"/>
  <c r="G651" i="2"/>
  <c r="F651" i="2"/>
  <c r="F656" i="2"/>
  <c r="AG663" i="2"/>
  <c r="U666" i="2"/>
  <c r="W666" i="2" s="1"/>
  <c r="AI666" i="2"/>
  <c r="U672" i="2"/>
  <c r="W672" i="2" s="1"/>
  <c r="G675" i="2"/>
  <c r="F675" i="2"/>
  <c r="AF700" i="2"/>
  <c r="AF701" i="2"/>
  <c r="G738" i="2"/>
  <c r="F738" i="2"/>
  <c r="AF794" i="2"/>
  <c r="AF815" i="2"/>
  <c r="AA815" i="2"/>
  <c r="AN824" i="2"/>
  <c r="AF926" i="2"/>
  <c r="U972" i="2"/>
  <c r="W972" i="2" s="1"/>
  <c r="AG972" i="2"/>
  <c r="AI972" i="2"/>
  <c r="F974" i="2"/>
  <c r="U1033" i="2"/>
  <c r="W1033" i="2" s="1"/>
  <c r="AI1033" i="2"/>
  <c r="AG1033" i="2"/>
  <c r="U630" i="2"/>
  <c r="W630" i="2" s="1"/>
  <c r="AI630" i="2"/>
  <c r="G643" i="2"/>
  <c r="F643" i="2"/>
  <c r="U644" i="2"/>
  <c r="W644" i="2" s="1"/>
  <c r="G647" i="2"/>
  <c r="F647" i="2"/>
  <c r="U662" i="2"/>
  <c r="W662" i="2" s="1"/>
  <c r="AI662" i="2"/>
  <c r="AN667" i="2"/>
  <c r="G683" i="2"/>
  <c r="F683" i="2"/>
  <c r="U690" i="2"/>
  <c r="W690" i="2" s="1"/>
  <c r="AN746" i="2"/>
  <c r="AN752" i="2"/>
  <c r="U769" i="2"/>
  <c r="W769" i="2" s="1"/>
  <c r="AG769" i="2"/>
  <c r="AF769" i="2"/>
  <c r="U812" i="2"/>
  <c r="W812" i="2" s="1"/>
  <c r="AI812" i="2"/>
  <c r="AG812" i="2"/>
  <c r="U832" i="2"/>
  <c r="W832" i="2" s="1"/>
  <c r="AF832" i="2"/>
  <c r="AI832" i="2"/>
  <c r="AG832" i="2"/>
  <c r="U833" i="2"/>
  <c r="W833" i="2" s="1"/>
  <c r="AI833" i="2"/>
  <c r="AG833" i="2"/>
  <c r="G877" i="2"/>
  <c r="F877" i="2"/>
  <c r="G885" i="2"/>
  <c r="F885" i="2"/>
  <c r="G953" i="2"/>
  <c r="F953" i="2"/>
  <c r="B33" i="5"/>
  <c r="AI686" i="2"/>
  <c r="AG689" i="2"/>
  <c r="U694" i="2"/>
  <c r="W694" i="2" s="1"/>
  <c r="AI694" i="2"/>
  <c r="AF699" i="2"/>
  <c r="U705" i="2"/>
  <c r="W705" i="2" s="1"/>
  <c r="AF706" i="2"/>
  <c r="AG709" i="2"/>
  <c r="AF717" i="2"/>
  <c r="U720" i="2"/>
  <c r="W720" i="2" s="1"/>
  <c r="AG720" i="2"/>
  <c r="G725" i="2"/>
  <c r="F725" i="2"/>
  <c r="AN727" i="2"/>
  <c r="AN728" i="2"/>
  <c r="AF731" i="2"/>
  <c r="AG738" i="2"/>
  <c r="AF749" i="2"/>
  <c r="U756" i="2"/>
  <c r="W756" i="2" s="1"/>
  <c r="AF756" i="2"/>
  <c r="U776" i="2"/>
  <c r="W776" i="2" s="1"/>
  <c r="AF776" i="2"/>
  <c r="AI785" i="2"/>
  <c r="AF803" i="2"/>
  <c r="AF811" i="2"/>
  <c r="AF821" i="2"/>
  <c r="U844" i="2"/>
  <c r="W844" i="2" s="1"/>
  <c r="AG844" i="2"/>
  <c r="U865" i="2"/>
  <c r="W865" i="2" s="1"/>
  <c r="AI865" i="2"/>
  <c r="AG865" i="2"/>
  <c r="AF865" i="2"/>
  <c r="AG892" i="2"/>
  <c r="AI910" i="2"/>
  <c r="U910" i="2"/>
  <c r="W910" i="2" s="1"/>
  <c r="AG910" i="2"/>
  <c r="F911" i="2"/>
  <c r="G911" i="2"/>
  <c r="AI1099" i="2"/>
  <c r="AG1099" i="2"/>
  <c r="AF1099" i="2"/>
  <c r="U1099" i="2"/>
  <c r="W1099" i="2" s="1"/>
  <c r="B44" i="5"/>
  <c r="B48" i="5"/>
  <c r="AG684" i="2"/>
  <c r="F685" i="2"/>
  <c r="AI689" i="2"/>
  <c r="F693" i="2"/>
  <c r="AF696" i="2"/>
  <c r="AN698" i="2"/>
  <c r="G703" i="2"/>
  <c r="F703" i="2"/>
  <c r="AG706" i="2"/>
  <c r="U708" i="2"/>
  <c r="W708" i="2" s="1"/>
  <c r="AI708" i="2"/>
  <c r="AF710" i="2"/>
  <c r="G711" i="2"/>
  <c r="F711" i="2"/>
  <c r="AF725" i="2"/>
  <c r="U728" i="2"/>
  <c r="W728" i="2" s="1"/>
  <c r="AG728" i="2"/>
  <c r="G733" i="2"/>
  <c r="F733" i="2"/>
  <c r="AN735" i="2"/>
  <c r="AN736" i="2"/>
  <c r="AF739" i="2"/>
  <c r="AN743" i="2"/>
  <c r="AF745" i="2"/>
  <c r="AN747" i="2"/>
  <c r="G754" i="2"/>
  <c r="F754" i="2"/>
  <c r="AF759" i="2"/>
  <c r="AN760" i="2"/>
  <c r="AF768" i="2"/>
  <c r="AN771" i="2"/>
  <c r="F806" i="2"/>
  <c r="AN808" i="2"/>
  <c r="AF812" i="2"/>
  <c r="AG821" i="2"/>
  <c r="AF822" i="2"/>
  <c r="G826" i="2"/>
  <c r="F826" i="2"/>
  <c r="G866" i="2"/>
  <c r="F866" i="2"/>
  <c r="U869" i="2"/>
  <c r="W869" i="2" s="1"/>
  <c r="AI869" i="2"/>
  <c r="AG869" i="2"/>
  <c r="AF869" i="2"/>
  <c r="G870" i="2"/>
  <c r="F870" i="2"/>
  <c r="AI892" i="2"/>
  <c r="F931" i="2"/>
  <c r="G931" i="2"/>
  <c r="U941" i="2"/>
  <c r="W941" i="2" s="1"/>
  <c r="AI941" i="2"/>
  <c r="AG941" i="2"/>
  <c r="AG948" i="2"/>
  <c r="U961" i="2"/>
  <c r="W961" i="2" s="1"/>
  <c r="AG961" i="2"/>
  <c r="AF961" i="2"/>
  <c r="AF648" i="2"/>
  <c r="AF652" i="2"/>
  <c r="AF656" i="2"/>
  <c r="AF660" i="2"/>
  <c r="AF664" i="2"/>
  <c r="U668" i="2"/>
  <c r="W668" i="2" s="1"/>
  <c r="AI668" i="2"/>
  <c r="AF670" i="2"/>
  <c r="U676" i="2"/>
  <c r="W676" i="2" s="1"/>
  <c r="AI676" i="2"/>
  <c r="AG681" i="2"/>
  <c r="AI684" i="2"/>
  <c r="AF685" i="2"/>
  <c r="AF693" i="2"/>
  <c r="AF733" i="2"/>
  <c r="U736" i="2"/>
  <c r="W736" i="2" s="1"/>
  <c r="AG736" i="2"/>
  <c r="AN749" i="2"/>
  <c r="AF752" i="2"/>
  <c r="U766" i="2"/>
  <c r="W766" i="2" s="1"/>
  <c r="AI766" i="2"/>
  <c r="AI773" i="2"/>
  <c r="U773" i="2"/>
  <c r="W773" i="2" s="1"/>
  <c r="AN773" i="2"/>
  <c r="G825" i="2"/>
  <c r="F825" i="2"/>
  <c r="AF833" i="2"/>
  <c r="U837" i="2"/>
  <c r="W837" i="2" s="1"/>
  <c r="AI837" i="2"/>
  <c r="AG837" i="2"/>
  <c r="AF849" i="2"/>
  <c r="U849" i="2"/>
  <c r="W849" i="2" s="1"/>
  <c r="U868" i="2"/>
  <c r="W868" i="2" s="1"/>
  <c r="AG868" i="2"/>
  <c r="AI868" i="2"/>
  <c r="AI898" i="2"/>
  <c r="U898" i="2"/>
  <c r="W898" i="2" s="1"/>
  <c r="U960" i="2"/>
  <c r="W960" i="2" s="1"/>
  <c r="AG960" i="2"/>
  <c r="AI960" i="2"/>
  <c r="U1018" i="2"/>
  <c r="W1018" i="2" s="1"/>
  <c r="AG1018" i="2"/>
  <c r="AI1018" i="2"/>
  <c r="G1022" i="2"/>
  <c r="F1022" i="2"/>
  <c r="U692" i="2"/>
  <c r="W692" i="2" s="1"/>
  <c r="U696" i="2"/>
  <c r="W696" i="2" s="1"/>
  <c r="AG696" i="2"/>
  <c r="U702" i="2"/>
  <c r="W702" i="2" s="1"/>
  <c r="AI702" i="2"/>
  <c r="G714" i="2"/>
  <c r="F714" i="2"/>
  <c r="F741" i="2"/>
  <c r="AI749" i="2"/>
  <c r="U749" i="2"/>
  <c r="W749" i="2" s="1"/>
  <c r="F782" i="2"/>
  <c r="AN788" i="2"/>
  <c r="AF796" i="2"/>
  <c r="G890" i="2"/>
  <c r="F890" i="2"/>
  <c r="U908" i="2"/>
  <c r="W908" i="2" s="1"/>
  <c r="AI908" i="2"/>
  <c r="AG908" i="2"/>
  <c r="AF908" i="2"/>
  <c r="F909" i="2"/>
  <c r="U928" i="2"/>
  <c r="W928" i="2" s="1"/>
  <c r="AG928" i="2"/>
  <c r="AF928" i="2"/>
  <c r="U947" i="2"/>
  <c r="W947" i="2" s="1"/>
  <c r="AN1003" i="2"/>
  <c r="G1030" i="2"/>
  <c r="F1030" i="2"/>
  <c r="AA1095" i="2"/>
  <c r="AF1095" i="2"/>
  <c r="G1096" i="2"/>
  <c r="AG713" i="2"/>
  <c r="U716" i="2"/>
  <c r="W716" i="2" s="1"/>
  <c r="AI716" i="2"/>
  <c r="AG721" i="2"/>
  <c r="U724" i="2"/>
  <c r="W724" i="2" s="1"/>
  <c r="AI724" i="2"/>
  <c r="AG729" i="2"/>
  <c r="U732" i="2"/>
  <c r="W732" i="2" s="1"/>
  <c r="AI732" i="2"/>
  <c r="AG737" i="2"/>
  <c r="AG744" i="2"/>
  <c r="AG753" i="2"/>
  <c r="U764" i="2"/>
  <c r="W764" i="2" s="1"/>
  <c r="AI764" i="2"/>
  <c r="AF777" i="2"/>
  <c r="AF782" i="2"/>
  <c r="AI797" i="2"/>
  <c r="AN823" i="2"/>
  <c r="G858" i="2"/>
  <c r="F858" i="2"/>
  <c r="AF903" i="2"/>
  <c r="AI914" i="2"/>
  <c r="U914" i="2"/>
  <c r="W914" i="2" s="1"/>
  <c r="G937" i="2"/>
  <c r="F937" i="2"/>
  <c r="AF938" i="2"/>
  <c r="AA938" i="2"/>
  <c r="G940" i="2"/>
  <c r="F940" i="2"/>
  <c r="AN979" i="2"/>
  <c r="AF981" i="2"/>
  <c r="U981" i="2"/>
  <c r="W981" i="2" s="1"/>
  <c r="AI981" i="2"/>
  <c r="AG981" i="2"/>
  <c r="U988" i="2"/>
  <c r="W988" i="2" s="1"/>
  <c r="AG988" i="2"/>
  <c r="U1004" i="2"/>
  <c r="W1004" i="2" s="1"/>
  <c r="AG1004" i="2"/>
  <c r="U1005" i="2"/>
  <c r="W1005" i="2" s="1"/>
  <c r="AI1005" i="2"/>
  <c r="G1008" i="2"/>
  <c r="F1008" i="2"/>
  <c r="U1017" i="2"/>
  <c r="W1017" i="2" s="1"/>
  <c r="AI1017" i="2"/>
  <c r="AG1017" i="2"/>
  <c r="AF1032" i="2"/>
  <c r="AF1065" i="2"/>
  <c r="U1065" i="2"/>
  <c r="W1065" i="2" s="1"/>
  <c r="AI1065" i="2"/>
  <c r="AG1065" i="2"/>
  <c r="AI1073" i="2"/>
  <c r="AG1073" i="2"/>
  <c r="AF1073" i="2"/>
  <c r="U1073" i="2"/>
  <c r="W1073" i="2" s="1"/>
  <c r="F1100" i="2"/>
  <c r="G1100" i="2"/>
  <c r="AG718" i="2"/>
  <c r="AG726" i="2"/>
  <c r="AG734" i="2"/>
  <c r="AI744" i="2"/>
  <c r="AG750" i="2"/>
  <c r="AG757" i="2"/>
  <c r="AG777" i="2"/>
  <c r="AG782" i="2"/>
  <c r="AF785" i="2"/>
  <c r="AN793" i="2"/>
  <c r="AN797" i="2"/>
  <c r="U800" i="2"/>
  <c r="W800" i="2" s="1"/>
  <c r="AF800" i="2"/>
  <c r="F802" i="2"/>
  <c r="U805" i="2"/>
  <c r="W805" i="2" s="1"/>
  <c r="AI805" i="2"/>
  <c r="F813" i="2"/>
  <c r="F821" i="2"/>
  <c r="AG825" i="2"/>
  <c r="AN827" i="2"/>
  <c r="AA835" i="2"/>
  <c r="AI836" i="2"/>
  <c r="AF868" i="2"/>
  <c r="AF872" i="2"/>
  <c r="AF874" i="2"/>
  <c r="F881" i="2"/>
  <c r="AF891" i="2"/>
  <c r="AN893" i="2"/>
  <c r="U896" i="2"/>
  <c r="W896" i="2" s="1"/>
  <c r="AG896" i="2"/>
  <c r="G897" i="2"/>
  <c r="F897" i="2"/>
  <c r="AN903" i="2"/>
  <c r="AN905" i="2"/>
  <c r="G919" i="2"/>
  <c r="AF921" i="2"/>
  <c r="AF922" i="2"/>
  <c r="AF933" i="2"/>
  <c r="G945" i="2"/>
  <c r="F945" i="2"/>
  <c r="AG1051" i="2"/>
  <c r="AF1051" i="2"/>
  <c r="U1051" i="2"/>
  <c r="W1051" i="2" s="1"/>
  <c r="G1060" i="2"/>
  <c r="F1060" i="2"/>
  <c r="G1062" i="2"/>
  <c r="F1062" i="2"/>
  <c r="G1070" i="2"/>
  <c r="F1070" i="2"/>
  <c r="AG1093" i="2"/>
  <c r="AF1093" i="2"/>
  <c r="U1093" i="2"/>
  <c r="W1093" i="2" s="1"/>
  <c r="AI718" i="2"/>
  <c r="F719" i="2"/>
  <c r="AI726" i="2"/>
  <c r="F727" i="2"/>
  <c r="AI734" i="2"/>
  <c r="F735" i="2"/>
  <c r="F742" i="2"/>
  <c r="U748" i="2"/>
  <c r="W748" i="2" s="1"/>
  <c r="AI748" i="2"/>
  <c r="F749" i="2"/>
  <c r="AI750" i="2"/>
  <c r="F751" i="2"/>
  <c r="AF761" i="2"/>
  <c r="AI768" i="2"/>
  <c r="F769" i="2"/>
  <c r="AI777" i="2"/>
  <c r="AI782" i="2"/>
  <c r="AF787" i="2"/>
  <c r="F790" i="2"/>
  <c r="G793" i="2"/>
  <c r="F793" i="2"/>
  <c r="U808" i="2"/>
  <c r="W808" i="2" s="1"/>
  <c r="AI808" i="2"/>
  <c r="G810" i="2"/>
  <c r="F810" i="2"/>
  <c r="AI825" i="2"/>
  <c r="AF826" i="2"/>
  <c r="U828" i="2"/>
  <c r="W828" i="2" s="1"/>
  <c r="AG828" i="2"/>
  <c r="AG829" i="2"/>
  <c r="AF830" i="2"/>
  <c r="F838" i="2"/>
  <c r="F845" i="2"/>
  <c r="F853" i="2"/>
  <c r="AF870" i="2"/>
  <c r="AN875" i="2"/>
  <c r="AN879" i="2"/>
  <c r="AF887" i="2"/>
  <c r="AI906" i="2"/>
  <c r="U906" i="2"/>
  <c r="W906" i="2" s="1"/>
  <c r="AG906" i="2"/>
  <c r="AF919" i="2"/>
  <c r="U924" i="2"/>
  <c r="W924" i="2" s="1"/>
  <c r="AI924" i="2"/>
  <c r="AG924" i="2"/>
  <c r="AF924" i="2"/>
  <c r="F925" i="2"/>
  <c r="AI952" i="2"/>
  <c r="AF969" i="2"/>
  <c r="AG969" i="2"/>
  <c r="AF971" i="2"/>
  <c r="AG741" i="2"/>
  <c r="U757" i="2"/>
  <c r="W757" i="2" s="1"/>
  <c r="U772" i="2"/>
  <c r="W772" i="2" s="1"/>
  <c r="AI772" i="2"/>
  <c r="U801" i="2"/>
  <c r="W801" i="2" s="1"/>
  <c r="AF859" i="2"/>
  <c r="AN861" i="2"/>
  <c r="U864" i="2"/>
  <c r="W864" i="2" s="1"/>
  <c r="AN871" i="2"/>
  <c r="AN873" i="2"/>
  <c r="AN889" i="2"/>
  <c r="AN901" i="2"/>
  <c r="AF910" i="2"/>
  <c r="U912" i="2"/>
  <c r="W912" i="2" s="1"/>
  <c r="AG912" i="2"/>
  <c r="AF912" i="2"/>
  <c r="G913" i="2"/>
  <c r="F913" i="2"/>
  <c r="AN919" i="2"/>
  <c r="AN921" i="2"/>
  <c r="AN931" i="2"/>
  <c r="AF941" i="2"/>
  <c r="AN1045" i="2"/>
  <c r="U1046" i="2"/>
  <c r="W1046" i="2" s="1"/>
  <c r="AG1046" i="2"/>
  <c r="AI1046" i="2"/>
  <c r="G1056" i="2"/>
  <c r="F1056" i="2"/>
  <c r="AG861" i="2"/>
  <c r="AF866" i="2"/>
  <c r="AG893" i="2"/>
  <c r="AN902" i="2"/>
  <c r="AN904" i="2"/>
  <c r="AF909" i="2"/>
  <c r="AN918" i="2"/>
  <c r="AN920" i="2"/>
  <c r="AN930" i="2"/>
  <c r="AI932" i="2"/>
  <c r="U935" i="2"/>
  <c r="W935" i="2" s="1"/>
  <c r="AG935" i="2"/>
  <c r="AF950" i="2"/>
  <c r="AF963" i="2"/>
  <c r="U965" i="2"/>
  <c r="W965" i="2" s="1"/>
  <c r="AI997" i="2"/>
  <c r="AI1000" i="2"/>
  <c r="AF1026" i="2"/>
  <c r="U788" i="2"/>
  <c r="W788" i="2" s="1"/>
  <c r="AI788" i="2"/>
  <c r="U820" i="2"/>
  <c r="W820" i="2" s="1"/>
  <c r="AI820" i="2"/>
  <c r="F842" i="2"/>
  <c r="U848" i="2"/>
  <c r="W848" i="2" s="1"/>
  <c r="AF853" i="2"/>
  <c r="F854" i="2"/>
  <c r="AI861" i="2"/>
  <c r="AF862" i="2"/>
  <c r="F873" i="2"/>
  <c r="U880" i="2"/>
  <c r="W880" i="2" s="1"/>
  <c r="AF885" i="2"/>
  <c r="F886" i="2"/>
  <c r="AI893" i="2"/>
  <c r="AF894" i="2"/>
  <c r="AI902" i="2"/>
  <c r="U902" i="2"/>
  <c r="W902" i="2" s="1"/>
  <c r="U904" i="2"/>
  <c r="W904" i="2" s="1"/>
  <c r="AF911" i="2"/>
  <c r="AI918" i="2"/>
  <c r="U918" i="2"/>
  <c r="W918" i="2" s="1"/>
  <c r="U920" i="2"/>
  <c r="W920" i="2" s="1"/>
  <c r="AF925" i="2"/>
  <c r="G927" i="2"/>
  <c r="AI930" i="2"/>
  <c r="U930" i="2"/>
  <c r="W930" i="2" s="1"/>
  <c r="G934" i="2"/>
  <c r="F934" i="2"/>
  <c r="U943" i="2"/>
  <c r="W943" i="2" s="1"/>
  <c r="AG943" i="2"/>
  <c r="AF959" i="2"/>
  <c r="U964" i="2"/>
  <c r="W964" i="2" s="1"/>
  <c r="AI964" i="2"/>
  <c r="AF972" i="2"/>
  <c r="AF1046" i="2"/>
  <c r="AN1056" i="2"/>
  <c r="U792" i="2"/>
  <c r="W792" i="2" s="1"/>
  <c r="AI792" i="2"/>
  <c r="U824" i="2"/>
  <c r="W824" i="2" s="1"/>
  <c r="AI824" i="2"/>
  <c r="AN865" i="2"/>
  <c r="U876" i="2"/>
  <c r="W876" i="2" s="1"/>
  <c r="AF897" i="2"/>
  <c r="AN906" i="2"/>
  <c r="AN908" i="2"/>
  <c r="AF913" i="2"/>
  <c r="AN922" i="2"/>
  <c r="AF927" i="2"/>
  <c r="AN943" i="2"/>
  <c r="AN955" i="2"/>
  <c r="AI957" i="2"/>
  <c r="AF957" i="2"/>
  <c r="AF988" i="2"/>
  <c r="AF992" i="2"/>
  <c r="AI1011" i="2"/>
  <c r="AG1011" i="2"/>
  <c r="AF1011" i="2"/>
  <c r="U1013" i="2"/>
  <c r="W1013" i="2" s="1"/>
  <c r="AG1013" i="2"/>
  <c r="AI1013" i="2"/>
  <c r="G1015" i="2"/>
  <c r="F1015" i="2"/>
  <c r="AN1019" i="2"/>
  <c r="U1026" i="2"/>
  <c r="W1026" i="2" s="1"/>
  <c r="AG1026" i="2"/>
  <c r="AI1026" i="2"/>
  <c r="AF1035" i="2"/>
  <c r="U1035" i="2"/>
  <c r="W1035" i="2" s="1"/>
  <c r="AI1035" i="2"/>
  <c r="AF1041" i="2"/>
  <c r="G1058" i="2"/>
  <c r="F1058" i="2"/>
  <c r="AG897" i="2"/>
  <c r="AG901" i="2"/>
  <c r="AG905" i="2"/>
  <c r="AG909" i="2"/>
  <c r="AG913" i="2"/>
  <c r="AG917" i="2"/>
  <c r="AG921" i="2"/>
  <c r="AG925" i="2"/>
  <c r="AG929" i="2"/>
  <c r="U933" i="2"/>
  <c r="W933" i="2" s="1"/>
  <c r="AI933" i="2"/>
  <c r="U939" i="2"/>
  <c r="W939" i="2" s="1"/>
  <c r="AI939" i="2"/>
  <c r="AF940" i="2"/>
  <c r="AF945" i="2"/>
  <c r="AI953" i="2"/>
  <c r="AI956" i="2"/>
  <c r="AF966" i="2"/>
  <c r="AI968" i="2"/>
  <c r="U976" i="2"/>
  <c r="W976" i="2" s="1"/>
  <c r="AG976" i="2"/>
  <c r="AF978" i="2"/>
  <c r="AF982" i="2"/>
  <c r="U989" i="2"/>
  <c r="W989" i="2" s="1"/>
  <c r="AI989" i="2"/>
  <c r="AF999" i="2"/>
  <c r="AA999" i="2"/>
  <c r="AF1003" i="2"/>
  <c r="G1007" i="2"/>
  <c r="F1007" i="2"/>
  <c r="G1011" i="2"/>
  <c r="F1011" i="2"/>
  <c r="U1038" i="2"/>
  <c r="W1038" i="2" s="1"/>
  <c r="AG1084" i="2"/>
  <c r="AI1084" i="2"/>
  <c r="U1084" i="2"/>
  <c r="W1084" i="2" s="1"/>
  <c r="AI1091" i="2"/>
  <c r="AG1091" i="2"/>
  <c r="U1091" i="2"/>
  <c r="W1091" i="2" s="1"/>
  <c r="AG899" i="2"/>
  <c r="AG903" i="2"/>
  <c r="AG907" i="2"/>
  <c r="AG911" i="2"/>
  <c r="AG915" i="2"/>
  <c r="AG919" i="2"/>
  <c r="AF954" i="2"/>
  <c r="AI1009" i="2"/>
  <c r="AG1009" i="2"/>
  <c r="AF1009" i="2"/>
  <c r="AN1036" i="2"/>
  <c r="U1037" i="2"/>
  <c r="W1037" i="2" s="1"/>
  <c r="AI1037" i="2"/>
  <c r="AG1037" i="2"/>
  <c r="AI1039" i="2"/>
  <c r="U1039" i="2"/>
  <c r="W1039" i="2" s="1"/>
  <c r="AA1047" i="2"/>
  <c r="AF1047" i="2"/>
  <c r="U931" i="2"/>
  <c r="W931" i="2" s="1"/>
  <c r="AI931" i="2"/>
  <c r="AF932" i="2"/>
  <c r="F958" i="2"/>
  <c r="AF960" i="2"/>
  <c r="F965" i="2"/>
  <c r="F973" i="2"/>
  <c r="AF983" i="2"/>
  <c r="AA983" i="2"/>
  <c r="AF1004" i="2"/>
  <c r="F1010" i="2"/>
  <c r="G1010" i="2"/>
  <c r="AF1013" i="2"/>
  <c r="G1016" i="2"/>
  <c r="AF1018" i="2"/>
  <c r="U1022" i="2"/>
  <c r="W1022" i="2" s="1"/>
  <c r="AI1022" i="2"/>
  <c r="F1026" i="2"/>
  <c r="AN1033" i="2"/>
  <c r="G1044" i="2"/>
  <c r="F1044" i="2"/>
  <c r="AA1060" i="2"/>
  <c r="G1061" i="2"/>
  <c r="F1061" i="2"/>
  <c r="AF985" i="2"/>
  <c r="AF1001" i="2"/>
  <c r="AG1007" i="2"/>
  <c r="G1009" i="2"/>
  <c r="F1009" i="2"/>
  <c r="U1014" i="2"/>
  <c r="W1014" i="2" s="1"/>
  <c r="AI1014" i="2"/>
  <c r="AG1015" i="2"/>
  <c r="AF1023" i="2"/>
  <c r="AN1043" i="2"/>
  <c r="U1045" i="2"/>
  <c r="W1045" i="2" s="1"/>
  <c r="AI1045" i="2"/>
  <c r="U1057" i="2"/>
  <c r="W1057" i="2" s="1"/>
  <c r="AI1057" i="2"/>
  <c r="AG1057" i="2"/>
  <c r="AA1059" i="2"/>
  <c r="AF1059" i="2"/>
  <c r="U980" i="2"/>
  <c r="W980" i="2" s="1"/>
  <c r="U996" i="2"/>
  <c r="W996" i="2" s="1"/>
  <c r="AI1031" i="2"/>
  <c r="U1031" i="2"/>
  <c r="W1031" i="2" s="1"/>
  <c r="AN1040" i="2"/>
  <c r="G1050" i="2"/>
  <c r="F1050" i="2"/>
  <c r="AN1054" i="2"/>
  <c r="AN1078" i="2"/>
  <c r="AI1079" i="2"/>
  <c r="U1079" i="2"/>
  <c r="W1079" i="2" s="1"/>
  <c r="AG1079" i="2"/>
  <c r="AF1079" i="2"/>
  <c r="AG1092" i="2"/>
  <c r="AI1092" i="2"/>
  <c r="U1092" i="2"/>
  <c r="W1092" i="2" s="1"/>
  <c r="AF1008" i="2"/>
  <c r="AN1015" i="2"/>
  <c r="AA1019" i="2"/>
  <c r="AF1019" i="2"/>
  <c r="AF1053" i="2"/>
  <c r="U1085" i="2"/>
  <c r="W1085" i="2" s="1"/>
  <c r="AI1085" i="2"/>
  <c r="AG1085" i="2"/>
  <c r="AG947" i="2"/>
  <c r="AG951" i="2"/>
  <c r="AG955" i="2"/>
  <c r="AG959" i="2"/>
  <c r="AG963" i="2"/>
  <c r="AG967" i="2"/>
  <c r="AG971" i="2"/>
  <c r="AG975" i="2"/>
  <c r="AG979" i="2"/>
  <c r="AG983" i="2"/>
  <c r="AG987" i="2"/>
  <c r="AG991" i="2"/>
  <c r="AG995" i="2"/>
  <c r="AG999" i="2"/>
  <c r="AG1003" i="2"/>
  <c r="AG1006" i="2"/>
  <c r="AI1008" i="2"/>
  <c r="AG1010" i="2"/>
  <c r="AF1017" i="2"/>
  <c r="AI1021" i="2"/>
  <c r="AF1028" i="2"/>
  <c r="U1034" i="2"/>
  <c r="W1034" i="2" s="1"/>
  <c r="AI1034" i="2"/>
  <c r="AG1043" i="2"/>
  <c r="U1053" i="2"/>
  <c r="W1053" i="2" s="1"/>
  <c r="AI1053" i="2"/>
  <c r="AG1054" i="2"/>
  <c r="AN1061" i="2"/>
  <c r="AI1063" i="2"/>
  <c r="U1063" i="2"/>
  <c r="W1063" i="2" s="1"/>
  <c r="AN1063" i="2"/>
  <c r="AN1076" i="2"/>
  <c r="F1085" i="2"/>
  <c r="G1085" i="2"/>
  <c r="F1091" i="2"/>
  <c r="G1091" i="2"/>
  <c r="AG1023" i="2"/>
  <c r="AG1030" i="2"/>
  <c r="F1048" i="2"/>
  <c r="U1049" i="2"/>
  <c r="W1049" i="2" s="1"/>
  <c r="AI1049" i="2"/>
  <c r="AF1056" i="2"/>
  <c r="AF1057" i="2"/>
  <c r="F1065" i="2"/>
  <c r="G1065" i="2"/>
  <c r="G1071" i="2"/>
  <c r="AF1091" i="2"/>
  <c r="U1012" i="2"/>
  <c r="W1012" i="2" s="1"/>
  <c r="F1018" i="2"/>
  <c r="AF1033" i="2"/>
  <c r="F1038" i="2"/>
  <c r="U1041" i="2"/>
  <c r="W1041" i="2" s="1"/>
  <c r="AF1044" i="2"/>
  <c r="AN1055" i="2"/>
  <c r="AI1061" i="2"/>
  <c r="AG1061" i="2"/>
  <c r="AF1061" i="2"/>
  <c r="AN1066" i="2"/>
  <c r="AG1069" i="2"/>
  <c r="AF1069" i="2"/>
  <c r="AI1069" i="2"/>
  <c r="AN1071" i="2"/>
  <c r="AN1080" i="2"/>
  <c r="AI1083" i="2"/>
  <c r="U1083" i="2"/>
  <c r="W1083" i="2" s="1"/>
  <c r="AF1083" i="2"/>
  <c r="AI1087" i="2"/>
  <c r="AG1087" i="2"/>
  <c r="G1046" i="2"/>
  <c r="F1046" i="2"/>
  <c r="AF1048" i="2"/>
  <c r="G1054" i="2"/>
  <c r="F1054" i="2"/>
  <c r="F1068" i="2"/>
  <c r="G1068" i="2"/>
  <c r="AF1087" i="2"/>
  <c r="AN1088" i="2"/>
  <c r="AG1096" i="2"/>
  <c r="U1096" i="2"/>
  <c r="W1096" i="2" s="1"/>
  <c r="AI1096" i="2"/>
  <c r="AA1097" i="2"/>
  <c r="AF1097" i="2"/>
  <c r="AI1071" i="2"/>
  <c r="U1071" i="2"/>
  <c r="W1071" i="2" s="1"/>
  <c r="AG1071" i="2"/>
  <c r="F1073" i="2"/>
  <c r="G1073" i="2"/>
  <c r="AG1076" i="2"/>
  <c r="U1076" i="2"/>
  <c r="W1076" i="2" s="1"/>
  <c r="AI1076" i="2"/>
  <c r="AA1077" i="2"/>
  <c r="AF1077" i="2"/>
  <c r="AN1085" i="2"/>
  <c r="U1089" i="2"/>
  <c r="W1089" i="2" s="1"/>
  <c r="AN1089" i="2"/>
  <c r="F1092" i="2"/>
  <c r="G1092" i="2"/>
  <c r="AN1095" i="2"/>
  <c r="U1101" i="2"/>
  <c r="W1101" i="2" s="1"/>
  <c r="AN1101" i="2"/>
  <c r="G1063" i="2"/>
  <c r="F1063" i="2"/>
  <c r="AN1075" i="2"/>
  <c r="F1083" i="2"/>
  <c r="G1083" i="2"/>
  <c r="AG1088" i="2"/>
  <c r="U1088" i="2"/>
  <c r="W1088" i="2" s="1"/>
  <c r="AF1092" i="2"/>
  <c r="AI1095" i="2"/>
  <c r="U1095" i="2"/>
  <c r="W1095" i="2" s="1"/>
  <c r="AG1100" i="2"/>
  <c r="U1100" i="2"/>
  <c r="W1100" i="2" s="1"/>
  <c r="AF1062" i="2"/>
  <c r="AF1086" i="2"/>
  <c r="U1075" i="2"/>
  <c r="W1075" i="2" s="1"/>
  <c r="AF1078" i="2"/>
  <c r="U1080" i="2"/>
  <c r="W1080" i="2" s="1"/>
  <c r="AF1098" i="2"/>
  <c r="AF1074" i="2"/>
  <c r="G1079" i="2"/>
  <c r="G1088" i="2"/>
  <c r="G1093" i="2"/>
  <c r="B16" i="5" l="1"/>
  <c r="B38" i="5"/>
  <c r="B21" i="5"/>
  <c r="W588" i="2"/>
  <c r="B23" i="5" s="1"/>
  <c r="B12" i="5"/>
  <c r="B10" i="5"/>
  <c r="B54" i="5"/>
</calcChain>
</file>

<file path=xl/sharedStrings.xml><?xml version="1.0" encoding="utf-8"?>
<sst xmlns="http://schemas.openxmlformats.org/spreadsheetml/2006/main" count="827" uniqueCount="454">
  <si>
    <t>Hyperliquid Master Model — Assumptions</t>
  </si>
  <si>
    <t>Edit yellow cells to flex the model. All Daily Master formulas reference these names.</t>
  </si>
  <si>
    <t>Parameter</t>
  </si>
  <si>
    <t>Value</t>
  </si>
  <si>
    <t>Format</t>
  </si>
  <si>
    <t>Source / Note</t>
  </si>
  <si>
    <t>Defined Name</t>
  </si>
  <si>
    <t>FEE FLOW (from Hyperliquid docs)</t>
  </si>
  <si>
    <t>Base perp taker rate (tier 0)</t>
  </si>
  <si>
    <t>0.0000%</t>
  </si>
  <si>
    <t>Source: Hyperliquid docs &gt; Trading &gt; Fees: tier 0 taker = 0.045%</t>
  </si>
  <si>
    <t>BaseTakerRate</t>
  </si>
  <si>
    <t>Base perp maker rate (tier 0)</t>
  </si>
  <si>
    <t>Source: Hyperliquid docs &gt; Trading &gt; Fees: tier 0 maker = 0.015%</t>
  </si>
  <si>
    <t>BaseMakerRate</t>
  </si>
  <si>
    <t>Empirical blended core bps (vol-weighted, pre-HIP-3)</t>
  </si>
  <si>
    <t>0.000</t>
  </si>
  <si>
    <t>Derived from Dec 23 2024 - Oct 12 2025 data: total_perp_fees / total_perp_volume × 10000</t>
  </si>
  <si>
    <t>CoreBpsBlended</t>
  </si>
  <si>
    <t>Growth mode discount factor</t>
  </si>
  <si>
    <t>0.0%</t>
  </si>
  <si>
    <t>Source: Hyperliquid HIP-3 Growth Mode (Nov 19 2025): 90% fee reduction</t>
  </si>
  <si>
    <t>GrowthModeFactor</t>
  </si>
  <si>
    <t>HIP-3 trader scale (deployerFeeScale=1, most dexes)</t>
  </si>
  <si>
    <t>0.00</t>
  </si>
  <si>
    <t>Source: Hyperliquid fee formula: scaleIfHip3 = deployerFeeScale × 2 when ≥ 1</t>
  </si>
  <si>
    <t>HIP3TraderScale_50</t>
  </si>
  <si>
    <t>HIP-3 deployer share (50/50 case)</t>
  </si>
  <si>
    <t>Source: Hyperliquid fee formula: deployerShare = 0.5 when deployerFeeScale ≥ 1</t>
  </si>
  <si>
    <t>HIP3DeployerShare_50</t>
  </si>
  <si>
    <t>HyENA trader scale (deployerFeeScale=0.1111)</t>
  </si>
  <si>
    <t>0.0000</t>
  </si>
  <si>
    <t>HyENA-specific: 1 + 0.1111</t>
  </si>
  <si>
    <t>HIP3TraderScale_Hyna</t>
  </si>
  <si>
    <t>HyENA deployer share</t>
  </si>
  <si>
    <t>0.1111 / (1 + 0.1111)</t>
  </si>
  <si>
    <t>HIP3DeployerShare_Hyna</t>
  </si>
  <si>
    <t>HLP REVENUE SHARE — pre Aug 30 2025</t>
  </si>
  <si>
    <t>Source: Hyperliquid Fees docs + DefiLlama HLP adapter notes</t>
  </si>
  <si>
    <t>HlpSharePre</t>
  </si>
  <si>
    <t>HLP REVENUE SHARE — post Aug 30 2025</t>
  </si>
  <si>
    <t>HlpSharePost</t>
  </si>
  <si>
    <t>HLP share change date</t>
  </si>
  <si>
    <t>yyyy-mm-dd</t>
  </si>
  <si>
    <t>Source: empirical observation from DefiLlama data — HLP_fee/revenue ratio dropped from 3.0928% (= 3/97) to 1.0101% (= 1/99) on 2025-08-31</t>
  </si>
  <si>
    <t>HlpChangeDate</t>
  </si>
  <si>
    <t>AF REVENUE SHARE (post HLP cut)</t>
  </si>
  <si>
    <t>Source: Hyperliquid docs: 99% of fees go to AF for HYPE buybacks (excluding builders/Unit/deployers)</t>
  </si>
  <si>
    <t>AfShare</t>
  </si>
  <si>
    <t>HIP-3 LAUNCH DATE</t>
  </si>
  <si>
    <t>HIP-3 mainnet launch</t>
  </si>
  <si>
    <t>Hip3LaunchDate</t>
  </si>
  <si>
    <t>HIP-3 Growth Mode launch date</t>
  </si>
  <si>
    <t>Growth Mode feature launch (then enabled per-asset over time)</t>
  </si>
  <si>
    <t>GrowthModeDate</t>
  </si>
  <si>
    <t>HIP-4 LAUNCH DATE</t>
  </si>
  <si>
    <t>HIP-4 outcome markets mainnet launch</t>
  </si>
  <si>
    <t>Hip4LaunchDate</t>
  </si>
  <si>
    <t>HIP-4 fee rate (zero in testing)</t>
  </si>
  <si>
    <t>Source: Hyperliquid HIP-4 docs: "Fees are currently zero for outcome markets for initial testing"</t>
  </si>
  <si>
    <t>Hip4Rate</t>
  </si>
  <si>
    <t>STAKING — APR formula coefficient</t>
  </si>
  <si>
    <t>0</t>
  </si>
  <si>
    <t>Source: Hyperliquid docs: at 400M staked, APR ≈ 2.37%. Formula: APR(S) = 474/sqrt(S)</t>
  </si>
  <si>
    <t>AprCoef</t>
  </si>
  <si>
    <t>Daily Master — formulas reference Assumptions sheet</t>
  </si>
  <si>
    <t>Yellow cells are raw API data. Blue text = formula. All HLP/buyback splits computed dynamically from Assumptions.</t>
  </si>
  <si>
    <t>Yellow = raw API data; Blue text = Excel formula. Hover over cells for details.</t>
  </si>
  <si>
    <t>Date</t>
  </si>
  <si>
    <t>Core perp volume ($)</t>
  </si>
  <si>
    <t>HIP-3 perp volume ($)</t>
  </si>
  <si>
    <t>Spot volume ($)</t>
  </si>
  <si>
    <t>Total perp volume ($)</t>
  </si>
  <si>
    <t>Total volume incl spot ($)</t>
  </si>
  <si>
    <t>HIP-3 vol share %</t>
  </si>
  <si>
    <t>DL Perps fees ($) [raw API]</t>
  </si>
  <si>
    <t>DL Spot fees ($) [raw API]</t>
  </si>
  <si>
    <t>DL HLP fees [doublecounted] ($)</t>
  </si>
  <si>
    <t>Total fees (corrected, Perps+Spot) ($)</t>
  </si>
  <si>
    <t>Modeled HIP-3 gross fees ($)</t>
  </si>
  <si>
    <t>Modeled HIP-3 protocol fees ($)</t>
  </si>
  <si>
    <t>Modeled HIP-3 deployer fees ($)</t>
  </si>
  <si>
    <t>Implied core fees (Perps - modeled HIP-3 gross) ($)</t>
  </si>
  <si>
    <t>Implied core bps</t>
  </si>
  <si>
    <t>DL Perps revenue (raw API) ($)</t>
  </si>
  <si>
    <t>DL Spot revenue (raw API) ($)</t>
  </si>
  <si>
    <t>Total revenue to AF ($)</t>
  </si>
  <si>
    <t>Effective HLP share %</t>
  </si>
  <si>
    <t>Implied HLP slice via formula ($)</t>
  </si>
  <si>
    <t>DL HLP slice (from supplyside_hlp) ($)</t>
  </si>
  <si>
    <t>HLP slice diff (formula - DL) ($)</t>
  </si>
  <si>
    <t>DL supplyside total (Y+Z) ($)</t>
  </si>
  <si>
    <t xml:space="preserve">  supplyside_perps_usd</t>
  </si>
  <si>
    <t xml:space="preserve">  supplyside_spot_usd</t>
  </si>
  <si>
    <t>Builders + Unit fees ($) [= X-V]</t>
  </si>
  <si>
    <t>DL Holders revenue = AF buyback ($)</t>
  </si>
  <si>
    <t>HYPE close price ($)</t>
  </si>
  <si>
    <t>HYPE VWAP proxy ($)</t>
  </si>
  <si>
    <t>HYPE bought daily (#)</t>
  </si>
  <si>
    <t>CHECK: fees=rev+supplyside (=K-S-X)</t>
  </si>
  <si>
    <t>CHECK: rev=buyback (=S-AB)</t>
  </si>
  <si>
    <t>HP daily total fees ($, indep on-chain)</t>
  </si>
  <si>
    <t>HP/DL revenue ratio</t>
  </si>
  <si>
    <t>Total staked HYPE (#)</t>
  </si>
  <si>
    <t>Staking APR formula = AprCoef/sqrt(staked)</t>
  </si>
  <si>
    <t>Daily HYPE issuance to stakers (#)</t>
  </si>
  <si>
    <t>Daily HYPE burned via AF (#)</t>
  </si>
  <si>
    <t>Net daily HYPE supply change (#)</t>
  </si>
  <si>
    <t>HIP-3 live?</t>
  </si>
  <si>
    <t>HIP-4 status</t>
  </si>
  <si>
    <t># HIP-3 assets active</t>
  </si>
  <si>
    <t># w/ growth mode active</t>
  </si>
  <si>
    <t>HIP-3 Per-Asset Fee Model</t>
  </si>
  <si>
    <t>Formula: effective_bps = CoreBpsBlended × scaleIfHip3 × growthModeFactor. Gross fee $ = vol × bps/10000.</t>
  </si>
  <si>
    <t>PER-ASSET METADATA (snapshot from Hyperliquid info API)</t>
  </si>
  <si>
    <t>Asset</t>
  </si>
  <si>
    <t>Dex</t>
  </si>
  <si>
    <t>deployerFeeScale</t>
  </si>
  <si>
    <t>scaleIfHip3</t>
  </si>
  <si>
    <t>deployerShare</t>
  </si>
  <si>
    <t>growthModeFinal</t>
  </si>
  <si>
    <t>gmChangeDate</t>
  </si>
  <si>
    <t>Effective bps (if GM active)</t>
  </si>
  <si>
    <t>Effective bps (if GM inactive)</t>
  </si>
  <si>
    <t>abcd:USA500</t>
  </si>
  <si>
    <t>abcd</t>
  </si>
  <si>
    <t>N/A</t>
  </si>
  <si>
    <t>cash:AMZN</t>
  </si>
  <si>
    <t>cash</t>
  </si>
  <si>
    <t>enabled</t>
  </si>
  <si>
    <t>cash:BTC</t>
  </si>
  <si>
    <t>cash:CAR</t>
  </si>
  <si>
    <t>cash:ETH</t>
  </si>
  <si>
    <t>cash:EWY</t>
  </si>
  <si>
    <t>cash:GOLD</t>
  </si>
  <si>
    <t>cash:GOOGL</t>
  </si>
  <si>
    <t>cash:HOOD</t>
  </si>
  <si>
    <t>cash:INTC</t>
  </si>
  <si>
    <t>cash:KWEB</t>
  </si>
  <si>
    <t>cash:META</t>
  </si>
  <si>
    <t>cash:MSFT</t>
  </si>
  <si>
    <t>cash:NVDA</t>
  </si>
  <si>
    <t>cash:SILVER</t>
  </si>
  <si>
    <t>cash:TSLA</t>
  </si>
  <si>
    <t>cash:USA500</t>
  </si>
  <si>
    <t>cash:WTI</t>
  </si>
  <si>
    <t>flx:BTC</t>
  </si>
  <si>
    <t>flx</t>
  </si>
  <si>
    <t>flx:COIN</t>
  </si>
  <si>
    <t>flx:COPPER</t>
  </si>
  <si>
    <t>flx:CRCL</t>
  </si>
  <si>
    <t>flx:GAS</t>
  </si>
  <si>
    <t>flx:GOLD</t>
  </si>
  <si>
    <t>flx:NVDA</t>
  </si>
  <si>
    <t>flx:OIL</t>
  </si>
  <si>
    <t>flx:PALLADIUM</t>
  </si>
  <si>
    <t>flx:PLATINUM</t>
  </si>
  <si>
    <t>flx:SILVER</t>
  </si>
  <si>
    <t>flx:TSLA</t>
  </si>
  <si>
    <t>flx:USA100</t>
  </si>
  <si>
    <t>flx:USA500</t>
  </si>
  <si>
    <t>flx:USDE</t>
  </si>
  <si>
    <t>flx:XMR</t>
  </si>
  <si>
    <t>hyna:1000PEPE</t>
  </si>
  <si>
    <t>hyna</t>
  </si>
  <si>
    <t>hyna:ADA</t>
  </si>
  <si>
    <t>hyna:BASED</t>
  </si>
  <si>
    <t>hyna:BCH</t>
  </si>
  <si>
    <t>hyna:BNB</t>
  </si>
  <si>
    <t>hyna:BTC</t>
  </si>
  <si>
    <t>hyna:DOGE</t>
  </si>
  <si>
    <t>hyna:ENA</t>
  </si>
  <si>
    <t>hyna:ETH</t>
  </si>
  <si>
    <t>hyna:FARTCOIN</t>
  </si>
  <si>
    <t>hyna:GOLD</t>
  </si>
  <si>
    <t>hyna:HYPE</t>
  </si>
  <si>
    <t>hyna:IP</t>
  </si>
  <si>
    <t>hyna:LIGHTER</t>
  </si>
  <si>
    <t>hyna:LINK</t>
  </si>
  <si>
    <t>hyna:LIT</t>
  </si>
  <si>
    <t>hyna:LTC</t>
  </si>
  <si>
    <t>hyna:PUMP</t>
  </si>
  <si>
    <t>hyna:SILVER</t>
  </si>
  <si>
    <t>hyna:SOL</t>
  </si>
  <si>
    <t>hyna:SUI</t>
  </si>
  <si>
    <t>hyna:XMR</t>
  </si>
  <si>
    <t>hyna:XPL</t>
  </si>
  <si>
    <t>hyna:XRP</t>
  </si>
  <si>
    <t>hyna:ZEC</t>
  </si>
  <si>
    <t>km:AAPL</t>
  </si>
  <si>
    <t>km</t>
  </si>
  <si>
    <t>km:BABA</t>
  </si>
  <si>
    <t>km:BMNR</t>
  </si>
  <si>
    <t>km:EUR</t>
  </si>
  <si>
    <t>km:GLDMINE</t>
  </si>
  <si>
    <t>km:GOLD</t>
  </si>
  <si>
    <t>km:GOOGL</t>
  </si>
  <si>
    <t>km:JPN225</t>
  </si>
  <si>
    <t>km:MU</t>
  </si>
  <si>
    <t>km:NVDA</t>
  </si>
  <si>
    <t>km:PLTR</t>
  </si>
  <si>
    <t>km:RTX</t>
  </si>
  <si>
    <t>km:SEMI</t>
  </si>
  <si>
    <t>km:SILVER</t>
  </si>
  <si>
    <t>km:SMALL2000</t>
  </si>
  <si>
    <t>km:TENCENT</t>
  </si>
  <si>
    <t>km:TSLA</t>
  </si>
  <si>
    <t>km:US500</t>
  </si>
  <si>
    <t>km:USBOND</t>
  </si>
  <si>
    <t>km:USENERGY</t>
  </si>
  <si>
    <t>km:USOIL</t>
  </si>
  <si>
    <t>km:USTECH</t>
  </si>
  <si>
    <t>km:XIAOMI</t>
  </si>
  <si>
    <t>para:BTCD</t>
  </si>
  <si>
    <t>para</t>
  </si>
  <si>
    <t>para:H100</t>
  </si>
  <si>
    <t>para:OTHERS</t>
  </si>
  <si>
    <t>para:TOTAL2</t>
  </si>
  <si>
    <t>vntl:ANTHROPIC</t>
  </si>
  <si>
    <t>vntl</t>
  </si>
  <si>
    <t>vntl:BIOTECH</t>
  </si>
  <si>
    <t>vntl:DEFENSE</t>
  </si>
  <si>
    <t>vntl:ENERGY</t>
  </si>
  <si>
    <t>vntl:GOLDJM</t>
  </si>
  <si>
    <t>vntl:INFOTECH</t>
  </si>
  <si>
    <t>vntl:MAG7</t>
  </si>
  <si>
    <t>vntl:NUCLEAR</t>
  </si>
  <si>
    <t>vntl:OPENAI</t>
  </si>
  <si>
    <t>vntl:ROBOT</t>
  </si>
  <si>
    <t>vntl:SEMIS</t>
  </si>
  <si>
    <t>vntl:SILVERJM</t>
  </si>
  <si>
    <t>vntl:SOY</t>
  </si>
  <si>
    <t>vntl:SPACEX</t>
  </si>
  <si>
    <t>vntl:WHEAT</t>
  </si>
  <si>
    <t>xyz:AAPL</t>
  </si>
  <si>
    <t>xyz</t>
  </si>
  <si>
    <t>xyz:ALUMINIUM</t>
  </si>
  <si>
    <t>xyz:AMD</t>
  </si>
  <si>
    <t>xyz:AMZN</t>
  </si>
  <si>
    <t>xyz:ARM</t>
  </si>
  <si>
    <t>xyz:BABA</t>
  </si>
  <si>
    <t>xyz:BIRD</t>
  </si>
  <si>
    <t>xyz:BRENTOIL</t>
  </si>
  <si>
    <t>xyz:BX</t>
  </si>
  <si>
    <t>xyz:CBRS</t>
  </si>
  <si>
    <t>xyz:CL</t>
  </si>
  <si>
    <t>xyz:COIN</t>
  </si>
  <si>
    <t>xyz:COPPER</t>
  </si>
  <si>
    <t>xyz:CORN</t>
  </si>
  <si>
    <t>xyz:COST</t>
  </si>
  <si>
    <t>xyz:CRCL</t>
  </si>
  <si>
    <t>xyz:CRWV</t>
  </si>
  <si>
    <t>xyz:DKNG</t>
  </si>
  <si>
    <t>xyz:DRAM</t>
  </si>
  <si>
    <t>xyz:DXY</t>
  </si>
  <si>
    <t>xyz:EBAY</t>
  </si>
  <si>
    <t>xyz:EUR</t>
  </si>
  <si>
    <t>xyz:EWJ</t>
  </si>
  <si>
    <t>xyz:EWT</t>
  </si>
  <si>
    <t>xyz:EWY</t>
  </si>
  <si>
    <t>xyz:EWZ</t>
  </si>
  <si>
    <t>xyz:GBP</t>
  </si>
  <si>
    <t>xyz:GME</t>
  </si>
  <si>
    <t>xyz:GOLD</t>
  </si>
  <si>
    <t>xyz:GOOGL</t>
  </si>
  <si>
    <t>xyz:H100</t>
  </si>
  <si>
    <t>xyz:HIMS</t>
  </si>
  <si>
    <t>xyz:HOOD</t>
  </si>
  <si>
    <t>xyz:HYUNDAI</t>
  </si>
  <si>
    <t>xyz:IBOV</t>
  </si>
  <si>
    <t>xyz:INTC</t>
  </si>
  <si>
    <t>xyz:JP225</t>
  </si>
  <si>
    <t>xyz:JPY</t>
  </si>
  <si>
    <t>xyz:KIOXIA</t>
  </si>
  <si>
    <t>xyz:KR200</t>
  </si>
  <si>
    <t>xyz:KRW</t>
  </si>
  <si>
    <t>xyz:LITE</t>
  </si>
  <si>
    <t>xyz:LLY</t>
  </si>
  <si>
    <t>xyz:META</t>
  </si>
  <si>
    <t>xyz:MRVL</t>
  </si>
  <si>
    <t>xyz:MSFT</t>
  </si>
  <si>
    <t>xyz:MSTR</t>
  </si>
  <si>
    <t>xyz:MU</t>
  </si>
  <si>
    <t>xyz:NATGAS</t>
  </si>
  <si>
    <t>xyz:NFLX</t>
  </si>
  <si>
    <t>xyz:NIFTY</t>
  </si>
  <si>
    <t>xyz:NVDA</t>
  </si>
  <si>
    <t>xyz:ORCL</t>
  </si>
  <si>
    <t>xyz:PALLADIUM</t>
  </si>
  <si>
    <t>xyz:PLATINUM</t>
  </si>
  <si>
    <t>xyz:PLTR</t>
  </si>
  <si>
    <t>xyz:PURRDAT</t>
  </si>
  <si>
    <t>xyz:RIVN</t>
  </si>
  <si>
    <t>xyz:RKLB</t>
  </si>
  <si>
    <t>xyz:SILVER</t>
  </si>
  <si>
    <t>xyz:SKHX</t>
  </si>
  <si>
    <t>xyz:SMSN</t>
  </si>
  <si>
    <t>xyz:SNDK</t>
  </si>
  <si>
    <t>xyz:SOFTBANK</t>
  </si>
  <si>
    <t>xyz:SP500</t>
  </si>
  <si>
    <t>xyz:SPCX</t>
  </si>
  <si>
    <t>xyz:TSLA</t>
  </si>
  <si>
    <t>xyz:TSM</t>
  </si>
  <si>
    <t>xyz:TTF</t>
  </si>
  <si>
    <t>xyz:URANIUM</t>
  </si>
  <si>
    <t>xyz:URNM</t>
  </si>
  <si>
    <t>xyz:USAR</t>
  </si>
  <si>
    <t>xyz:VIX</t>
  </si>
  <si>
    <t>xyz:VOL</t>
  </si>
  <si>
    <t>xyz:WHEAT</t>
  </si>
  <si>
    <t>xyz:XLE</t>
  </si>
  <si>
    <t>xyz:XYZ100</t>
  </si>
  <si>
    <t>xyz:ZM</t>
  </si>
  <si>
    <t>HIP-3 Daily — Volume &amp; Modeled Fees by Asset Category</t>
  </si>
  <si>
    <t>Volume from Hyperliquid info API candleSnapshot per asset, aggregated by category.</t>
  </si>
  <si>
    <t>Fees modeled per-asset using growth-mode-aware formula; aggregated to category. See HIP-3 Model sheet.</t>
  </si>
  <si>
    <t>VOLUME BY CATEGORY ($)</t>
  </si>
  <si>
    <t>Agriculture</t>
  </si>
  <si>
    <t>Bonds</t>
  </si>
  <si>
    <t>Crypto</t>
  </si>
  <si>
    <t>Energy</t>
  </si>
  <si>
    <t>Equities — Crypto-related</t>
  </si>
  <si>
    <t>Equities — Single Name</t>
  </si>
  <si>
    <t>Equity Indices/ETF</t>
  </si>
  <si>
    <t>FX</t>
  </si>
  <si>
    <t>Industrial Metals</t>
  </si>
  <si>
    <t>Pre-IPO / Private</t>
  </si>
  <si>
    <t>Precious Metals</t>
  </si>
  <si>
    <t>Total HIP-3</t>
  </si>
  <si>
    <t>MODELED PROTOCOL FEES BY CATEGORY ($)</t>
  </si>
  <si>
    <t>Total HIP-3 Protocol Fees</t>
  </si>
  <si>
    <t>Reconciliation &amp; Cross-Source Checks</t>
  </si>
  <si>
    <t>All values computed via formulas referencing Daily Master sheet. Identity diffs near $0 = clean reconciliation.</t>
  </si>
  <si>
    <t>--- DEFILLAMA COVERAGE ---</t>
  </si>
  <si>
    <t>First date with DefiLlama fees</t>
  </si>
  <si>
    <t>Last date with DefiLlama fees</t>
  </si>
  <si>
    <t>Number of days covered</t>
  </si>
  <si>
    <t>--- CORE IDENTITY: fees = revenue + supplyside ---</t>
  </si>
  <si>
    <t>Sum of identity diffs across all days</t>
  </si>
  <si>
    <t>Max abs identity diff</t>
  </si>
  <si>
    <t>Average abs identity diff</t>
  </si>
  <si>
    <t xml:space="preserve">  -&gt; Should be near 0 (integer rounding only)</t>
  </si>
  <si>
    <t>--- AF BUYBACK = HOLDERS REVENUE IDENTITY ---</t>
  </si>
  <si>
    <t>Sum of rev-buyback diffs</t>
  </si>
  <si>
    <t>Max abs diff</t>
  </si>
  <si>
    <t xml:space="preserve">  -&gt; Should be exactly 0 (same metric)</t>
  </si>
  <si>
    <t>--- HLP SHARE FORMULA vs DEFILLAMA ---</t>
  </si>
  <si>
    <t>Sum of formula HLP slice ($)</t>
  </si>
  <si>
    <t>Sum of DL reported HLP slice ($)</t>
  </si>
  <si>
    <t>Diff ($)</t>
  </si>
  <si>
    <t>Max abs daily diff ($)</t>
  </si>
  <si>
    <t xml:space="preserve">  -&gt; Formula uses 3% pre-Aug30 / 1% post; should match DL closely</t>
  </si>
  <si>
    <t>--- HYPURRSCAN CROSS-CHECK ---</t>
  </si>
  <si>
    <t>Cum. DL revenue ($)</t>
  </si>
  <si>
    <t>Cum. HP total fees ($)</t>
  </si>
  <si>
    <t>--- CUMULATIVE FEE BREAKDOWN ---</t>
  </si>
  <si>
    <t>Cum. total gross fees (Perps+Spot)</t>
  </si>
  <si>
    <t>Cum. revenue to AF</t>
  </si>
  <si>
    <t>Cum. HLP depositors share</t>
  </si>
  <si>
    <t>Cum. Builders + Unit share</t>
  </si>
  <si>
    <t>Check sum: revenue + HLP + builders+unit</t>
  </si>
  <si>
    <t>Diff to total fees (should ~ 0)</t>
  </si>
  <si>
    <t>--- MODELED HIP-3 vs IMPLIED HIP-3 ---</t>
  </si>
  <si>
    <t>Cum. modeled HIP-3 protocol fees</t>
  </si>
  <si>
    <t>Cum. modeled HIP-3 deployer fees</t>
  </si>
  <si>
    <t>Cum. modeled HIP-3 gross fees</t>
  </si>
  <si>
    <t>Cum. implied core fees (DL Perps - modeled HIP-3 gross)</t>
  </si>
  <si>
    <t xml:space="preserve">  -&gt; Model imperfect (fee tiers vary). Best-effort estimate.</t>
  </si>
  <si>
    <t>--- BUYBACKS ---</t>
  </si>
  <si>
    <t>Cum. HYPE bought daily (#)</t>
  </si>
  <si>
    <t>Cum. AF buyback $</t>
  </si>
  <si>
    <t xml:space="preserve">  -&gt; Public reporting: ~36-37M HYPE bought since AF inception</t>
  </si>
  <si>
    <t>--- SUPPLY ---</t>
  </si>
  <si>
    <t>Cum. modeled HYPE issuance to stakers</t>
  </si>
  <si>
    <t>Cum. net HYPE supply change</t>
  </si>
  <si>
    <t xml:space="preserve">  -&gt; Negative = net deflation</t>
  </si>
  <si>
    <t>Sources &amp; Methodology</t>
  </si>
  <si>
    <t>PRIMARY SOURCES</t>
  </si>
  <si>
    <t>Existing user file (21Shares Dune query 6874521)</t>
  </si>
  <si>
    <t>Daily core &amp; HIP-3 perp volume + 21Shares fee proxy</t>
  </si>
  <si>
    <t>DefiLlama Fees API</t>
  </si>
  <si>
    <t>https://api.llama.fi/summary/fees/hyperliquid?dataType=dailyFees / dailyRevenue / dailyHoldersRevenue / dailySupplySideRevenue</t>
  </si>
  <si>
    <t>DefiLlama DEX volume</t>
  </si>
  <si>
    <t>https://api.llama.fi/summary/dexs/hyperliquid?dataType=dailyVolume — spot orderbook volume</t>
  </si>
  <si>
    <t>Hyperliquid Info API — perpDexs</t>
  </si>
  <si>
    <t>POST https://api.hyperliquid.xyz/info {"type":"perpDexs"} — HIP-3 dex list + deployerFeeScale per dex</t>
  </si>
  <si>
    <t>Hyperliquid Info API — meta per dex</t>
  </si>
  <si>
    <t>POST .../info {"type":"meta","dex":"&lt;name&gt;"} — per-asset growthMode + lastGrowthModeChangeTime</t>
  </si>
  <si>
    <t>Hyperliquid Info API — candleSnapshot</t>
  </si>
  <si>
    <t>Per-asset daily candles for HIP-3 assets AND HYPE/USDC spot price (@107)</t>
  </si>
  <si>
    <t>Hyperliquid Info API — validatorSummaries</t>
  </si>
  <si>
    <t>Current total HYPE staked, predicted APR</t>
  </si>
  <si>
    <t>Hypurrscan Fees API</t>
  </si>
  <si>
    <t>https://api.hypurrscan.io/fees — independent cumulative on-chain fees (cross-check)</t>
  </si>
  <si>
    <t>Hyperliquid Fees doc</t>
  </si>
  <si>
    <t>https://hyperliquid.gitbook.io/hyperliquid-docs/trading/fees — fee schedule, tiers, formula</t>
  </si>
  <si>
    <t>Hyperliquid HIP-3 doc</t>
  </si>
  <si>
    <t>https://hyperliquid.gitbook.io/hyperliquid-docs/hyperliquid-improvement-proposals-hips/hip-3</t>
  </si>
  <si>
    <t>Hyperliquid HIP-4 doc</t>
  </si>
  <si>
    <t>https://hyperliquid.gitbook.io/hyperliquid-docs/hyperliquid-improvement-proposals-hips/hip-4-outcome-markets</t>
  </si>
  <si>
    <t>Hyperliquid Staking doc</t>
  </si>
  <si>
    <t>https://hyperliquid.gitbook.io/hyperliquid-docs/hypercore/staking — APR formula</t>
  </si>
  <si>
    <t>HIP-3 FEE MECHANICS — THE CORRECTED PICTURE</t>
  </si>
  <si>
    <t>Per the official Hyperliquid fee formula in docs:</t>
  </si>
  <si>
    <t xml:space="preserve">  scaleIfHip3 = (deployerFeeScale × 2) if deployerFeeScale ≥ 1</t>
  </si>
  <si>
    <t xml:space="preserve">              = (deployerFeeScale + 1) if deployerFeeScale &lt; 1</t>
  </si>
  <si>
    <t xml:space="preserve">  deployerShare = 0.5 if deployerFeeScale ≥ 1</t>
  </si>
  <si>
    <t xml:space="preserve">              = deployerFeeScale / (1 + deployerFeeScale) if &lt; 1</t>
  </si>
  <si>
    <t xml:space="preserve">  trader pays: base_taker × scaleIfHip3 × growthModeScale × (1 - referralDiscount)</t>
  </si>
  <si>
    <t xml:space="preserve">  growthModeScale = 0.1 if growth mode enabled on that asset, else 1.0</t>
  </si>
  <si>
    <t>SNAPSHOT (as of May 20, 2026) FROM HYPERLIQUID INFO API:</t>
  </si>
  <si>
    <t xml:space="preserve">  trade.xyz (xyz): deployerFeeScale=1.0 → trader pays 2x base, 50/50 split</t>
  </si>
  <si>
    <t xml:space="preserve">  Felix (flx):     deployerFeeScale=1.0 → trader pays 2x base, 50/50 split</t>
  </si>
  <si>
    <t xml:space="preserve">  Ventuals (vntl): deployerFeeScale=1.0 → trader pays 2x base, 50/50 split</t>
  </si>
  <si>
    <t xml:space="preserve">  HyENA (hyna):    deployerFeeScale=0.1111 → trader pays 1.11x, 10/90 split (HL gets 90%)</t>
  </si>
  <si>
    <t xml:space="preserve">  Kinetiq (km):    deployerFeeScale=1.0 → trader pays 2x base, 50/50 split</t>
  </si>
  <si>
    <t xml:space="preserve">  dreamcash (cash):deployerFeeScale=1.0 → trader pays 2x base, 50/50 split</t>
  </si>
  <si>
    <t xml:space="preserve">  Paragon (para):  deployerFeeScale=1.0 → trader pays 2x base, 50/50 split</t>
  </si>
  <si>
    <t xml:space="preserve">  ABCDEx (abcd):   deployerFeeScale=1.0 (only 1 asset, delisted)</t>
  </si>
  <si>
    <t>GROWTH MODE STATUS (per-asset, as of May 20, 2026):</t>
  </si>
  <si>
    <t xml:space="preserve">  132 of 179 HIP-3 assets currently have growth mode "enabled" (~74%)</t>
  </si>
  <si>
    <t xml:space="preserve">  Earliest growth mode enable: 2025-11-23 (xyz:XYZ100)</t>
  </si>
  <si>
    <t xml:space="preserve">  47 assets show no growth mode field — treated as never-enabled in model</t>
  </si>
  <si>
    <t xml:space="preserve">  Growth mode applies a 0.1x multiplier on fees (90% discount)</t>
  </si>
  <si>
    <t>KEY ASSUMPTION &amp; LIMITATION</t>
  </si>
  <si>
    <t>We assume growth mode flipped EXACTLY ONCE from disabled to enabled at lastGrowthModeChangeTime.</t>
  </si>
  <si>
    <t>Hyperliquid info API only gives the latest change timestamp, not full history.</t>
  </si>
  <si>
    <t>Model implied fees ~73% of DefiLlama Perps fees on average — gap likely due to: (a) referral kickbacks not deducted; (b) user staking discounts at higher tiers; (c) maker rebates increasing effective fee; (d) base bps calibration sensitivity.</t>
  </si>
  <si>
    <t>TREAT MODELED HIP-3 VS CORE SPLIT AS DIRECTIONALLY CORRECT, NOT PRECISE.</t>
  </si>
  <si>
    <t>CRITICAL — HLP DOUBLE-COUNT WARNING</t>
  </si>
  <si>
    <t>DefiLlama exposes HLP as a separate sub-protocol but it is `doublecounted: true` in its adapter:</t>
  </si>
  <si>
    <t xml:space="preserve">  github.com/DefiLlama/dimension-adapters/blob/master/fees/hyperliquid-hlp.ts</t>
  </si>
  <si>
    <t xml:space="preserve">  Line: `doublecounted: true, // we have already counted to supplySideRevenue on perps and spot`</t>
  </si>
  <si>
    <t>Therefore: Total gross fees = Perps fees + Spot fees ONLY. Do NOT add HLP fees on top.</t>
  </si>
  <si>
    <t>HLP entity Fees = the 1% (post Aug 30 2025) or 3% (before) slice of perp+spot revenue,</t>
  </si>
  <si>
    <t>which is already counted inside the Perps and Spot SupplySideRevenue.</t>
  </si>
  <si>
    <t>HLP SHARE TRANSITION</t>
  </si>
  <si>
    <t>Pre 2025-08-30: HLP received 3% of (perp + spot) trading fees</t>
  </si>
  <si>
    <t>Post 2025-08-30: HLP receives 1% of (perp + spot) trading fees</t>
  </si>
  <si>
    <t>This is reflected in DefiLlama adapter methodology text and confirmed empirically:</t>
  </si>
  <si>
    <t xml:space="preserve">  HLP_fees / DL_revenue = 1/99 = 1.0101% exactly, every day post Aug 30 2025</t>
  </si>
  <si>
    <t xml:space="preserve">  HLP_fees / DL_revenue = 3/97 = 3.0928% before Aug 30 2025</t>
  </si>
  <si>
    <t>FEE FLOW (per Hyperliquid docs)</t>
  </si>
  <si>
    <t>1. Trader pays a trading fee (taker or maker, tier-adjusted)</t>
  </si>
  <si>
    <t>2. If HIP-3 market: deployer slice (e.g. 50%) is split out FIRST</t>
  </si>
  <si>
    <t>3. If builder code was used: builder slice is split out</t>
  </si>
  <si>
    <t>4. If Unit-protocol spot market: 100% goes to Unit</t>
  </si>
  <si>
    <t>5. HLP gets 1% (or 3% pre Aug 30) of what remains</t>
  </si>
  <si>
    <t>6. The rest (~99%) goes to the Assistance Fund (address 0xfefe...)</t>
  </si>
  <si>
    <t>7. AF automatically converts USDC → HYPE on the open market and the HYPE is treated as burned</t>
  </si>
  <si>
    <t>HIP-4 STATUS</t>
  </si>
  <si>
    <t>Mainnet launch: 2026-05-02. Currently zero-fee testing.</t>
  </si>
  <si>
    <t>Contributes $0 to daily fees as of 2026-05-20.</t>
  </si>
  <si>
    <t>Only one market (daily BTC binary outcome) initially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</si>
</sst>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%"/>
    <numFmt numFmtId="165" formatCode="0.000"/>
    <numFmt numFmtId="166" formatCode="0.0%"/>
    <numFmt numFmtId="167" formatCode="0.0000"/>
    <numFmt numFmtId="168" formatCode="yyyy\-mm\-dd"/>
    <numFmt numFmtId="170" formatCode="\$#,##0;&quot;($&quot;#,##0\);\-"/>
    <numFmt numFmtId="171" formatCode="#,##0;\(#,##0\);\-"/>
    <numFmt numFmtId="172" formatCode="\$#,##0;&quot;($&quot;#,##0\);0"/>
    <numFmt numFmtId="173" formatCode="\$#,##0.0000"/>
    <numFmt numFmtId="174" formatCode="#,##0;\-;\-"/>
  </numFmts>
  <fonts count="15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0"/>
      <color rgb="FF666666"/>
      <name val="Cambria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b/>
      <sz val="11"/>
      <color rgb="FF0000FF"/>
      <name val="Cambria"/>
      <charset val="1"/>
    </font>
    <font>
      <sz val="9"/>
      <name val="Courier New"/>
      <charset val="1"/>
    </font>
    <font>
      <i/>
      <sz val="10"/>
      <name val="Cambria"/>
      <charset val="1"/>
    </font>
    <font>
      <i/>
      <sz val="9"/>
      <color rgb="FF666666"/>
      <name val="Cambria"/>
      <charset val="1"/>
    </font>
    <font>
      <b/>
      <sz val="9"/>
      <name val="Cambria"/>
      <charset val="1"/>
    </font>
    <font>
      <sz val="9"/>
      <name val="Cambria"/>
      <charset val="1"/>
    </font>
    <font>
      <sz val="9"/>
      <color rgb="FF0000FF"/>
      <name val="Cambria"/>
      <charset val="1"/>
    </font>
    <font>
      <sz val="11"/>
      <color rgb="FF0000FF"/>
      <name val="Cambria"/>
      <charset val="1"/>
    </font>
    <font>
      <b/>
      <sz val="16"/>
      <name val="Cambria"/>
      <charset val="1"/>
    </font>
    <font>
      <b/>
      <sz val="12"/>
      <color rgb="FF1F4E78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  <fill>
      <patternFill patternType="solid">
        <fgColor rgb="FFFFF9E6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0" xfId="0" applyNumberFormat="1" applyFont="1" applyFill="1"/>
    <xf numFmtId="0" fontId="0" fillId="0" borderId="0" xfId="0" applyAlignment="1">
      <alignment wrapText="1"/>
    </xf>
    <xf numFmtId="0" fontId="6" fillId="0" borderId="0" xfId="0" applyFont="1"/>
    <xf numFmtId="165" fontId="5" fillId="2" borderId="0" xfId="0" applyNumberFormat="1" applyFont="1" applyFill="1"/>
    <xf numFmtId="166" fontId="5" fillId="2" borderId="0" xfId="0" applyNumberFormat="1" applyFont="1" applyFill="1"/>
    <xf numFmtId="2" fontId="5" fillId="2" borderId="0" xfId="0" applyNumberFormat="1" applyFont="1" applyFill="1"/>
    <xf numFmtId="167" fontId="5" fillId="2" borderId="0" xfId="0" applyNumberFormat="1" applyFont="1" applyFill="1"/>
    <xf numFmtId="168" fontId="5" fillId="2" borderId="0" xfId="0" applyNumberFormat="1" applyFont="1" applyFill="1"/>
    <xf numFmtId="1" fontId="5" fillId="2" borderId="0" xfId="0" applyNumberFormat="1" applyFont="1" applyFill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 vertical="center" wrapText="1"/>
    </xf>
    <xf numFmtId="170" fontId="10" fillId="4" borderId="0" xfId="0" applyNumberFormat="1" applyFont="1" applyFill="1"/>
    <xf numFmtId="0" fontId="10" fillId="4" borderId="0" xfId="0" applyFont="1" applyFill="1"/>
    <xf numFmtId="170" fontId="11" fillId="0" borderId="0" xfId="0" applyNumberFormat="1" applyFont="1"/>
    <xf numFmtId="166" fontId="11" fillId="0" borderId="0" xfId="0" applyNumberFormat="1" applyFont="1"/>
    <xf numFmtId="165" fontId="11" fillId="0" borderId="0" xfId="0" applyNumberFormat="1" applyFont="1"/>
    <xf numFmtId="171" fontId="11" fillId="0" borderId="0" xfId="0" applyNumberFormat="1" applyFont="1"/>
    <xf numFmtId="172" fontId="11" fillId="0" borderId="0" xfId="0" applyNumberFormat="1" applyFont="1"/>
    <xf numFmtId="10" fontId="11" fillId="0" borderId="0" xfId="0" applyNumberFormat="1" applyFont="1"/>
    <xf numFmtId="171" fontId="10" fillId="4" borderId="0" xfId="0" applyNumberFormat="1" applyFont="1" applyFill="1"/>
    <xf numFmtId="0" fontId="11" fillId="0" borderId="0" xfId="0" applyFont="1"/>
    <xf numFmtId="173" fontId="10" fillId="4" borderId="0" xfId="0" applyNumberFormat="1" applyFont="1" applyFill="1"/>
    <xf numFmtId="174" fontId="10" fillId="4" borderId="0" xfId="0" applyNumberFormat="1" applyFont="1" applyFill="1"/>
    <xf numFmtId="0" fontId="3" fillId="3" borderId="0" xfId="0" applyFont="1" applyFill="1"/>
    <xf numFmtId="167" fontId="0" fillId="0" borderId="0" xfId="0" applyNumberFormat="1"/>
    <xf numFmtId="166" fontId="0" fillId="0" borderId="0" xfId="0" applyNumberFormat="1"/>
    <xf numFmtId="165" fontId="12" fillId="0" borderId="0" xfId="0" applyNumberFormat="1" applyFont="1"/>
    <xf numFmtId="168" fontId="0" fillId="0" borderId="0" xfId="0" applyNumberFormat="1"/>
    <xf numFmtId="0" fontId="9" fillId="3" borderId="0" xfId="0" applyFont="1" applyFill="1"/>
    <xf numFmtId="170" fontId="10" fillId="0" borderId="0" xfId="0" applyNumberFormat="1" applyFont="1"/>
    <xf numFmtId="168" fontId="12" fillId="0" borderId="0" xfId="0" applyNumberFormat="1" applyFont="1"/>
    <xf numFmtId="3" fontId="12" fillId="0" borderId="0" xfId="0" applyNumberFormat="1" applyFont="1"/>
    <xf numFmtId="170" fontId="12" fillId="0" borderId="0" xfId="0" applyNumberFormat="1" applyFont="1"/>
    <xf numFmtId="10" fontId="12" fillId="0" borderId="0" xfId="0" applyNumberFormat="1" applyFont="1"/>
    <xf numFmtId="171" fontId="12" fillId="0" borderId="0" xfId="0" applyNumberFormat="1" applyFont="1"/>
    <xf numFmtId="0" fontId="13" fillId="0" borderId="0" xfId="0" applyFont="1"/>
    <xf numFmtId="0" fontId="14" fillId="0" borderId="0" xfId="0" applyFont="1"/>
    <xf numFmtId="15" fontId="10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/>
  </sheetViews>
  <sheetFormatPr defaultColWidth="8.7109375" defaultRowHeight="15" x14ac:dyDescent="0.25"/>
  <cols>
    <col min="1" max="1" width="50" customWidth="1"/>
    <col min="2" max="2" width="18" customWidth="1"/>
    <col min="3" max="3" width="12" customWidth="1"/>
    <col min="4" max="4" width="80" customWidth="1"/>
    <col min="5" max="5" width="25" customWidth="1"/>
  </cols>
  <sheetData>
    <row r="1" spans="1:5" ht="18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4" t="s">
        <v>7</v>
      </c>
    </row>
    <row r="5" spans="1:5" x14ac:dyDescent="0.25">
      <c r="A5" t="s">
        <v>8</v>
      </c>
      <c r="B5" s="5">
        <v>4.4999999999999999E-4</v>
      </c>
      <c r="C5" t="s">
        <v>9</v>
      </c>
      <c r="D5" s="6" t="s">
        <v>10</v>
      </c>
      <c r="E5" s="7" t="s">
        <v>11</v>
      </c>
    </row>
    <row r="6" spans="1:5" x14ac:dyDescent="0.25">
      <c r="A6" t="s">
        <v>12</v>
      </c>
      <c r="B6" s="5">
        <v>1.4999999999999999E-4</v>
      </c>
      <c r="C6" t="s">
        <v>9</v>
      </c>
      <c r="D6" s="6" t="s">
        <v>13</v>
      </c>
      <c r="E6" s="7" t="s">
        <v>14</v>
      </c>
    </row>
    <row r="7" spans="1:5" ht="30" x14ac:dyDescent="0.25">
      <c r="A7" t="s">
        <v>15</v>
      </c>
      <c r="B7" s="8">
        <v>2.8969999999999998</v>
      </c>
      <c r="C7" t="s">
        <v>16</v>
      </c>
      <c r="D7" s="6" t="s">
        <v>17</v>
      </c>
      <c r="E7" s="7" t="s">
        <v>18</v>
      </c>
    </row>
    <row r="8" spans="1:5" x14ac:dyDescent="0.25">
      <c r="A8" t="s">
        <v>19</v>
      </c>
      <c r="B8" s="9">
        <v>0.1</v>
      </c>
      <c r="C8" t="s">
        <v>20</v>
      </c>
      <c r="D8" s="6" t="s">
        <v>21</v>
      </c>
      <c r="E8" s="7" t="s">
        <v>22</v>
      </c>
    </row>
    <row r="9" spans="1:5" x14ac:dyDescent="0.25">
      <c r="A9" t="s">
        <v>23</v>
      </c>
      <c r="B9" s="10">
        <v>2</v>
      </c>
      <c r="C9" t="s">
        <v>24</v>
      </c>
      <c r="D9" s="6" t="s">
        <v>25</v>
      </c>
      <c r="E9" s="7" t="s">
        <v>26</v>
      </c>
    </row>
    <row r="10" spans="1:5" x14ac:dyDescent="0.25">
      <c r="A10" t="s">
        <v>27</v>
      </c>
      <c r="B10" s="9">
        <v>0.5</v>
      </c>
      <c r="C10" t="s">
        <v>20</v>
      </c>
      <c r="D10" s="6" t="s">
        <v>28</v>
      </c>
      <c r="E10" s="7" t="s">
        <v>29</v>
      </c>
    </row>
    <row r="11" spans="1:5" x14ac:dyDescent="0.25">
      <c r="A11" t="s">
        <v>30</v>
      </c>
      <c r="B11" s="11">
        <v>1.1111</v>
      </c>
      <c r="C11" t="s">
        <v>31</v>
      </c>
      <c r="D11" s="6" t="s">
        <v>32</v>
      </c>
      <c r="E11" s="7" t="s">
        <v>33</v>
      </c>
    </row>
    <row r="12" spans="1:5" x14ac:dyDescent="0.25">
      <c r="A12" t="s">
        <v>34</v>
      </c>
      <c r="B12" s="9">
        <v>0.1</v>
      </c>
      <c r="C12" t="s">
        <v>20</v>
      </c>
      <c r="D12" s="6" t="s">
        <v>35</v>
      </c>
      <c r="E12" s="7" t="s">
        <v>36</v>
      </c>
    </row>
    <row r="14" spans="1:5" x14ac:dyDescent="0.25">
      <c r="A14" t="s">
        <v>37</v>
      </c>
      <c r="B14" s="9">
        <v>0.03</v>
      </c>
      <c r="C14" t="s">
        <v>20</v>
      </c>
      <c r="D14" s="6" t="s">
        <v>38</v>
      </c>
      <c r="E14" s="7" t="s">
        <v>39</v>
      </c>
    </row>
    <row r="15" spans="1:5" x14ac:dyDescent="0.25">
      <c r="A15" t="s">
        <v>40</v>
      </c>
      <c r="B15" s="9">
        <v>0.01</v>
      </c>
      <c r="C15" t="s">
        <v>20</v>
      </c>
      <c r="D15" s="6" t="s">
        <v>38</v>
      </c>
      <c r="E15" s="7" t="s">
        <v>41</v>
      </c>
    </row>
    <row r="16" spans="1:5" ht="30" x14ac:dyDescent="0.25">
      <c r="A16" t="s">
        <v>42</v>
      </c>
      <c r="B16" s="12">
        <v>45900</v>
      </c>
      <c r="C16" t="s">
        <v>43</v>
      </c>
      <c r="D16" s="6" t="s">
        <v>44</v>
      </c>
      <c r="E16" s="7" t="s">
        <v>45</v>
      </c>
    </row>
    <row r="18" spans="1:5" ht="30" x14ac:dyDescent="0.25">
      <c r="A18" t="s">
        <v>46</v>
      </c>
      <c r="B18" s="9">
        <v>0.99</v>
      </c>
      <c r="C18" t="s">
        <v>20</v>
      </c>
      <c r="D18" s="6" t="s">
        <v>47</v>
      </c>
      <c r="E18" s="7" t="s">
        <v>48</v>
      </c>
    </row>
    <row r="20" spans="1:5" x14ac:dyDescent="0.25">
      <c r="A20" t="s">
        <v>49</v>
      </c>
      <c r="B20" s="12">
        <v>45943</v>
      </c>
      <c r="C20" t="s">
        <v>43</v>
      </c>
      <c r="D20" s="6" t="s">
        <v>50</v>
      </c>
      <c r="E20" s="7" t="s">
        <v>51</v>
      </c>
    </row>
    <row r="21" spans="1:5" x14ac:dyDescent="0.25">
      <c r="A21" t="s">
        <v>52</v>
      </c>
      <c r="B21" s="12">
        <v>45980</v>
      </c>
      <c r="C21" t="s">
        <v>43</v>
      </c>
      <c r="D21" s="6" t="s">
        <v>53</v>
      </c>
      <c r="E21" s="7" t="s">
        <v>54</v>
      </c>
    </row>
    <row r="22" spans="1:5" x14ac:dyDescent="0.25">
      <c r="A22" t="s">
        <v>55</v>
      </c>
      <c r="B22" s="12">
        <v>46144</v>
      </c>
      <c r="C22" t="s">
        <v>43</v>
      </c>
      <c r="D22" s="6" t="s">
        <v>56</v>
      </c>
      <c r="E22" s="7" t="s">
        <v>57</v>
      </c>
    </row>
    <row r="23" spans="1:5" ht="30" x14ac:dyDescent="0.25">
      <c r="A23" t="s">
        <v>58</v>
      </c>
      <c r="B23" s="5">
        <v>0</v>
      </c>
      <c r="C23" t="s">
        <v>9</v>
      </c>
      <c r="D23" s="6" t="s">
        <v>59</v>
      </c>
      <c r="E23" s="7" t="s">
        <v>60</v>
      </c>
    </row>
    <row r="25" spans="1:5" x14ac:dyDescent="0.25">
      <c r="A25" t="s">
        <v>61</v>
      </c>
      <c r="B25" s="13">
        <v>474</v>
      </c>
      <c r="C25" t="s">
        <v>62</v>
      </c>
      <c r="D25" s="6" t="s">
        <v>63</v>
      </c>
      <c r="E25" s="7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10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7109375" defaultRowHeight="15" x14ac:dyDescent="0.25"/>
  <cols>
    <col min="1" max="1" width="12" customWidth="1"/>
    <col min="2" max="44" width="14" customWidth="1"/>
  </cols>
  <sheetData>
    <row r="1" spans="1:44" ht="18" x14ac:dyDescent="0.25">
      <c r="A1" s="1" t="s">
        <v>65</v>
      </c>
    </row>
    <row r="2" spans="1:44" x14ac:dyDescent="0.25">
      <c r="A2" s="14" t="s">
        <v>66</v>
      </c>
    </row>
    <row r="3" spans="1:44" x14ac:dyDescent="0.25">
      <c r="A3" s="15" t="s">
        <v>67</v>
      </c>
    </row>
    <row r="4" spans="1:44" ht="48" x14ac:dyDescent="0.25">
      <c r="A4" s="16" t="s">
        <v>68</v>
      </c>
      <c r="B4" s="16" t="s">
        <v>69</v>
      </c>
      <c r="C4" s="16" t="s">
        <v>70</v>
      </c>
      <c r="D4" s="16" t="s">
        <v>71</v>
      </c>
      <c r="E4" s="16" t="s">
        <v>72</v>
      </c>
      <c r="F4" s="16" t="s">
        <v>73</v>
      </c>
      <c r="G4" s="16" t="s">
        <v>74</v>
      </c>
      <c r="H4" s="16" t="s">
        <v>75</v>
      </c>
      <c r="I4" s="16" t="s">
        <v>76</v>
      </c>
      <c r="J4" s="16" t="s">
        <v>77</v>
      </c>
      <c r="K4" s="16" t="s">
        <v>78</v>
      </c>
      <c r="L4" s="16" t="s">
        <v>79</v>
      </c>
      <c r="M4" s="16" t="s">
        <v>80</v>
      </c>
      <c r="N4" s="16" t="s">
        <v>81</v>
      </c>
      <c r="O4" s="16" t="s">
        <v>82</v>
      </c>
      <c r="P4" s="16" t="s">
        <v>83</v>
      </c>
      <c r="Q4" s="16" t="s">
        <v>84</v>
      </c>
      <c r="R4" s="16" t="s">
        <v>85</v>
      </c>
      <c r="S4" s="16" t="s">
        <v>86</v>
      </c>
      <c r="T4" s="16" t="s">
        <v>87</v>
      </c>
      <c r="U4" s="16" t="s">
        <v>88</v>
      </c>
      <c r="V4" s="16" t="s">
        <v>89</v>
      </c>
      <c r="W4" s="16" t="s">
        <v>90</v>
      </c>
      <c r="X4" s="16" t="s">
        <v>91</v>
      </c>
      <c r="Y4" s="16" t="s">
        <v>92</v>
      </c>
      <c r="Z4" s="16" t="s">
        <v>93</v>
      </c>
      <c r="AA4" s="16" t="s">
        <v>94</v>
      </c>
      <c r="AB4" s="16" t="s">
        <v>95</v>
      </c>
      <c r="AC4" s="16" t="s">
        <v>96</v>
      </c>
      <c r="AD4" s="16" t="s">
        <v>97</v>
      </c>
      <c r="AE4" s="16" t="s">
        <v>98</v>
      </c>
      <c r="AF4" s="16" t="s">
        <v>99</v>
      </c>
      <c r="AG4" s="16" t="s">
        <v>100</v>
      </c>
      <c r="AH4" s="16" t="s">
        <v>101</v>
      </c>
      <c r="AI4" s="16" t="s">
        <v>102</v>
      </c>
      <c r="AJ4" s="16" t="s">
        <v>103</v>
      </c>
      <c r="AK4" s="16" t="s">
        <v>104</v>
      </c>
      <c r="AL4" s="16" t="s">
        <v>105</v>
      </c>
      <c r="AM4" s="16" t="s">
        <v>106</v>
      </c>
      <c r="AN4" s="16" t="s">
        <v>107</v>
      </c>
      <c r="AO4" s="16" t="s">
        <v>108</v>
      </c>
      <c r="AP4" s="16" t="s">
        <v>109</v>
      </c>
      <c r="AQ4" s="16" t="s">
        <v>110</v>
      </c>
      <c r="AR4" s="16" t="s">
        <v>111</v>
      </c>
    </row>
    <row r="5" spans="1:44" x14ac:dyDescent="0.25">
      <c r="A5" s="43">
        <v>45066</v>
      </c>
      <c r="B5" s="17">
        <v>148964338.66999999</v>
      </c>
      <c r="C5" s="17">
        <v>0</v>
      </c>
      <c r="D5" s="18"/>
      <c r="E5" s="19">
        <f t="shared" ref="E5:E68" si="0">B5+C5</f>
        <v>148964338.66999999</v>
      </c>
      <c r="F5" s="19">
        <f t="shared" ref="F5:F68" si="1">E5+D5</f>
        <v>148964338.66999999</v>
      </c>
      <c r="G5" s="20">
        <f t="shared" ref="G5:G68" si="2">IFERROR(C5/E5,0)</f>
        <v>0</v>
      </c>
      <c r="H5" s="18"/>
      <c r="I5" s="18"/>
      <c r="J5" s="18"/>
      <c r="K5" s="19">
        <f t="shared" ref="K5:K68" si="3">H5+I5</f>
        <v>0</v>
      </c>
      <c r="L5" s="18"/>
      <c r="M5" s="18"/>
      <c r="N5" s="18"/>
      <c r="O5" s="19">
        <f t="shared" ref="O5:O68" si="4">IF(H5=0,0,H5-L5)</f>
        <v>0</v>
      </c>
      <c r="P5" s="21">
        <f t="shared" ref="P5:P68" si="5">IF(B5=0,0,O5/B5*10000)</f>
        <v>0</v>
      </c>
      <c r="Q5" s="18"/>
      <c r="R5" s="18"/>
      <c r="S5" s="19">
        <f t="shared" ref="S5:S68" si="6">Q5+R5</f>
        <v>0</v>
      </c>
      <c r="T5" s="20">
        <f t="shared" ref="T5:T68" si="7">IF(A5&lt;HlpChangeDate,HlpSharePre,HlpSharePost)</f>
        <v>0.03</v>
      </c>
      <c r="U5" s="19">
        <f t="shared" ref="U5:U68" si="8">S5*T5/(1-T5)</f>
        <v>0</v>
      </c>
      <c r="V5" s="18"/>
      <c r="W5" s="19">
        <f t="shared" ref="W5:W68" si="9">U5-V5</f>
        <v>0</v>
      </c>
      <c r="X5" s="19">
        <f t="shared" ref="X5:X68" si="10">Y5+Z5</f>
        <v>0</v>
      </c>
      <c r="Y5" s="18"/>
      <c r="Z5" s="18"/>
      <c r="AA5" s="19">
        <f t="shared" ref="AA5:AA68" si="11">X5-V5</f>
        <v>0</v>
      </c>
      <c r="AB5" s="17">
        <v>0</v>
      </c>
      <c r="AC5" s="18"/>
      <c r="AD5" s="18"/>
      <c r="AE5" s="22">
        <f t="shared" ref="AE5:AE68" si="12">IFERROR(AB5/AD5,0)</f>
        <v>0</v>
      </c>
      <c r="AF5" s="23">
        <f t="shared" ref="AF5:AF68" si="13">K5-S5-X5</f>
        <v>0</v>
      </c>
      <c r="AG5" s="23">
        <f t="shared" ref="AG5:AG68" si="14">S5-AB5</f>
        <v>0</v>
      </c>
      <c r="AH5" s="18"/>
      <c r="AI5" s="24">
        <f t="shared" ref="AI5:AI68" si="15">IFERROR(AH5/S5,0)</f>
        <v>0</v>
      </c>
      <c r="AJ5" s="25">
        <v>0</v>
      </c>
      <c r="AK5" s="24">
        <f t="shared" ref="AK5:AK68" si="16">IF(AJ5&gt;0,AprCoef/SQRT(AJ5),0)</f>
        <v>0</v>
      </c>
      <c r="AL5" s="22">
        <f t="shared" ref="AL5:AL68" si="17">AJ5*AK5/365</f>
        <v>0</v>
      </c>
      <c r="AM5" s="22">
        <f t="shared" ref="AM5:AM68" si="18">AE5</f>
        <v>0</v>
      </c>
      <c r="AN5" s="22">
        <f t="shared" ref="AN5:AN68" si="19">AL5-AM5</f>
        <v>0</v>
      </c>
      <c r="AO5" s="26" t="str">
        <f t="shared" ref="AO5:AO68" si="20">IF(A5&gt;=Hip3LaunchDate,"YES","")</f>
        <v/>
      </c>
      <c r="AP5" s="26" t="str">
        <f t="shared" ref="AP5:AP68" si="21">IF(A5&lt;Hip4LaunchDate,"pre-launch","live (zero-fee)")</f>
        <v>pre-launch</v>
      </c>
      <c r="AQ5" s="18"/>
      <c r="AR5" s="18"/>
    </row>
    <row r="6" spans="1:44" x14ac:dyDescent="0.25">
      <c r="A6" s="43">
        <v>45067</v>
      </c>
      <c r="B6" s="17">
        <v>178173809.69999999</v>
      </c>
      <c r="C6" s="17">
        <v>0</v>
      </c>
      <c r="D6" s="18"/>
      <c r="E6" s="19">
        <f t="shared" si="0"/>
        <v>178173809.69999999</v>
      </c>
      <c r="F6" s="19">
        <f t="shared" si="1"/>
        <v>178173809.69999999</v>
      </c>
      <c r="G6" s="20">
        <f t="shared" si="2"/>
        <v>0</v>
      </c>
      <c r="H6" s="18"/>
      <c r="I6" s="18"/>
      <c r="J6" s="18"/>
      <c r="K6" s="19">
        <f t="shared" si="3"/>
        <v>0</v>
      </c>
      <c r="L6" s="18"/>
      <c r="M6" s="18"/>
      <c r="N6" s="18"/>
      <c r="O6" s="19">
        <f t="shared" si="4"/>
        <v>0</v>
      </c>
      <c r="P6" s="21">
        <f t="shared" si="5"/>
        <v>0</v>
      </c>
      <c r="Q6" s="18"/>
      <c r="R6" s="18"/>
      <c r="S6" s="19">
        <f t="shared" si="6"/>
        <v>0</v>
      </c>
      <c r="T6" s="20">
        <f t="shared" si="7"/>
        <v>0.03</v>
      </c>
      <c r="U6" s="19">
        <f t="shared" si="8"/>
        <v>0</v>
      </c>
      <c r="V6" s="18"/>
      <c r="W6" s="19">
        <f t="shared" si="9"/>
        <v>0</v>
      </c>
      <c r="X6" s="19">
        <f t="shared" si="10"/>
        <v>0</v>
      </c>
      <c r="Y6" s="18"/>
      <c r="Z6" s="18"/>
      <c r="AA6" s="19">
        <f t="shared" si="11"/>
        <v>0</v>
      </c>
      <c r="AB6" s="17">
        <v>0</v>
      </c>
      <c r="AC6" s="18"/>
      <c r="AD6" s="18"/>
      <c r="AE6" s="22">
        <f t="shared" si="12"/>
        <v>0</v>
      </c>
      <c r="AF6" s="23">
        <f t="shared" si="13"/>
        <v>0</v>
      </c>
      <c r="AG6" s="23">
        <f t="shared" si="14"/>
        <v>0</v>
      </c>
      <c r="AH6" s="18"/>
      <c r="AI6" s="24">
        <f t="shared" si="15"/>
        <v>0</v>
      </c>
      <c r="AJ6" s="25">
        <v>0</v>
      </c>
      <c r="AK6" s="24">
        <f t="shared" si="16"/>
        <v>0</v>
      </c>
      <c r="AL6" s="22">
        <f t="shared" si="17"/>
        <v>0</v>
      </c>
      <c r="AM6" s="22">
        <f t="shared" si="18"/>
        <v>0</v>
      </c>
      <c r="AN6" s="22">
        <f t="shared" si="19"/>
        <v>0</v>
      </c>
      <c r="AO6" s="26" t="str">
        <f t="shared" si="20"/>
        <v/>
      </c>
      <c r="AP6" s="26" t="str">
        <f t="shared" si="21"/>
        <v>pre-launch</v>
      </c>
      <c r="AQ6" s="18"/>
      <c r="AR6" s="18"/>
    </row>
    <row r="7" spans="1:44" x14ac:dyDescent="0.25">
      <c r="A7" s="43">
        <v>45068</v>
      </c>
      <c r="B7" s="17">
        <v>203812892.81</v>
      </c>
      <c r="C7" s="17">
        <v>0</v>
      </c>
      <c r="D7" s="18"/>
      <c r="E7" s="19">
        <f t="shared" si="0"/>
        <v>203812892.81</v>
      </c>
      <c r="F7" s="19">
        <f t="shared" si="1"/>
        <v>203812892.81</v>
      </c>
      <c r="G7" s="20">
        <f t="shared" si="2"/>
        <v>0</v>
      </c>
      <c r="H7" s="18"/>
      <c r="I7" s="18"/>
      <c r="J7" s="18"/>
      <c r="K7" s="19">
        <f t="shared" si="3"/>
        <v>0</v>
      </c>
      <c r="L7" s="18"/>
      <c r="M7" s="18"/>
      <c r="N7" s="18"/>
      <c r="O7" s="19">
        <f t="shared" si="4"/>
        <v>0</v>
      </c>
      <c r="P7" s="21">
        <f t="shared" si="5"/>
        <v>0</v>
      </c>
      <c r="Q7" s="18"/>
      <c r="R7" s="18"/>
      <c r="S7" s="19">
        <f t="shared" si="6"/>
        <v>0</v>
      </c>
      <c r="T7" s="20">
        <f t="shared" si="7"/>
        <v>0.03</v>
      </c>
      <c r="U7" s="19">
        <f t="shared" si="8"/>
        <v>0</v>
      </c>
      <c r="V7" s="18"/>
      <c r="W7" s="19">
        <f t="shared" si="9"/>
        <v>0</v>
      </c>
      <c r="X7" s="19">
        <f t="shared" si="10"/>
        <v>0</v>
      </c>
      <c r="Y7" s="18"/>
      <c r="Z7" s="18"/>
      <c r="AA7" s="19">
        <f t="shared" si="11"/>
        <v>0</v>
      </c>
      <c r="AB7" s="17">
        <v>0</v>
      </c>
      <c r="AC7" s="18"/>
      <c r="AD7" s="18"/>
      <c r="AE7" s="22">
        <f t="shared" si="12"/>
        <v>0</v>
      </c>
      <c r="AF7" s="23">
        <f t="shared" si="13"/>
        <v>0</v>
      </c>
      <c r="AG7" s="23">
        <f t="shared" si="14"/>
        <v>0</v>
      </c>
      <c r="AH7" s="18"/>
      <c r="AI7" s="24">
        <f t="shared" si="15"/>
        <v>0</v>
      </c>
      <c r="AJ7" s="25">
        <v>0</v>
      </c>
      <c r="AK7" s="24">
        <f t="shared" si="16"/>
        <v>0</v>
      </c>
      <c r="AL7" s="22">
        <f t="shared" si="17"/>
        <v>0</v>
      </c>
      <c r="AM7" s="22">
        <f t="shared" si="18"/>
        <v>0</v>
      </c>
      <c r="AN7" s="22">
        <f t="shared" si="19"/>
        <v>0</v>
      </c>
      <c r="AO7" s="26" t="str">
        <f t="shared" si="20"/>
        <v/>
      </c>
      <c r="AP7" s="26" t="str">
        <f t="shared" si="21"/>
        <v>pre-launch</v>
      </c>
      <c r="AQ7" s="18"/>
      <c r="AR7" s="18"/>
    </row>
    <row r="8" spans="1:44" x14ac:dyDescent="0.25">
      <c r="A8" s="43">
        <v>45069</v>
      </c>
      <c r="B8" s="17">
        <v>238463179.25</v>
      </c>
      <c r="C8" s="17">
        <v>0</v>
      </c>
      <c r="D8" s="18"/>
      <c r="E8" s="19">
        <f t="shared" si="0"/>
        <v>238463179.25</v>
      </c>
      <c r="F8" s="19">
        <f t="shared" si="1"/>
        <v>238463179.25</v>
      </c>
      <c r="G8" s="20">
        <f t="shared" si="2"/>
        <v>0</v>
      </c>
      <c r="H8" s="18"/>
      <c r="I8" s="18"/>
      <c r="J8" s="18"/>
      <c r="K8" s="19">
        <f t="shared" si="3"/>
        <v>0</v>
      </c>
      <c r="L8" s="18"/>
      <c r="M8" s="18"/>
      <c r="N8" s="18"/>
      <c r="O8" s="19">
        <f t="shared" si="4"/>
        <v>0</v>
      </c>
      <c r="P8" s="21">
        <f t="shared" si="5"/>
        <v>0</v>
      </c>
      <c r="Q8" s="18"/>
      <c r="R8" s="18"/>
      <c r="S8" s="19">
        <f t="shared" si="6"/>
        <v>0</v>
      </c>
      <c r="T8" s="20">
        <f t="shared" si="7"/>
        <v>0.03</v>
      </c>
      <c r="U8" s="19">
        <f t="shared" si="8"/>
        <v>0</v>
      </c>
      <c r="V8" s="18"/>
      <c r="W8" s="19">
        <f t="shared" si="9"/>
        <v>0</v>
      </c>
      <c r="X8" s="19">
        <f t="shared" si="10"/>
        <v>0</v>
      </c>
      <c r="Y8" s="18"/>
      <c r="Z8" s="18"/>
      <c r="AA8" s="19">
        <f t="shared" si="11"/>
        <v>0</v>
      </c>
      <c r="AB8" s="17">
        <v>0</v>
      </c>
      <c r="AC8" s="18"/>
      <c r="AD8" s="18"/>
      <c r="AE8" s="22">
        <f t="shared" si="12"/>
        <v>0</v>
      </c>
      <c r="AF8" s="23">
        <f t="shared" si="13"/>
        <v>0</v>
      </c>
      <c r="AG8" s="23">
        <f t="shared" si="14"/>
        <v>0</v>
      </c>
      <c r="AH8" s="18"/>
      <c r="AI8" s="24">
        <f t="shared" si="15"/>
        <v>0</v>
      </c>
      <c r="AJ8" s="25">
        <v>0</v>
      </c>
      <c r="AK8" s="24">
        <f t="shared" si="16"/>
        <v>0</v>
      </c>
      <c r="AL8" s="22">
        <f t="shared" si="17"/>
        <v>0</v>
      </c>
      <c r="AM8" s="22">
        <f t="shared" si="18"/>
        <v>0</v>
      </c>
      <c r="AN8" s="22">
        <f t="shared" si="19"/>
        <v>0</v>
      </c>
      <c r="AO8" s="26" t="str">
        <f t="shared" si="20"/>
        <v/>
      </c>
      <c r="AP8" s="26" t="str">
        <f t="shared" si="21"/>
        <v>pre-launch</v>
      </c>
      <c r="AQ8" s="18"/>
      <c r="AR8" s="18"/>
    </row>
    <row r="9" spans="1:44" x14ac:dyDescent="0.25">
      <c r="A9" s="43">
        <v>45070</v>
      </c>
      <c r="B9" s="17">
        <v>469491974.06</v>
      </c>
      <c r="C9" s="17">
        <v>0</v>
      </c>
      <c r="D9" s="18"/>
      <c r="E9" s="19">
        <f t="shared" si="0"/>
        <v>469491974.06</v>
      </c>
      <c r="F9" s="19">
        <f t="shared" si="1"/>
        <v>469491974.06</v>
      </c>
      <c r="G9" s="20">
        <f t="shared" si="2"/>
        <v>0</v>
      </c>
      <c r="H9" s="18"/>
      <c r="I9" s="18"/>
      <c r="J9" s="18"/>
      <c r="K9" s="19">
        <f t="shared" si="3"/>
        <v>0</v>
      </c>
      <c r="L9" s="18"/>
      <c r="M9" s="18"/>
      <c r="N9" s="18"/>
      <c r="O9" s="19">
        <f t="shared" si="4"/>
        <v>0</v>
      </c>
      <c r="P9" s="21">
        <f t="shared" si="5"/>
        <v>0</v>
      </c>
      <c r="Q9" s="18"/>
      <c r="R9" s="18"/>
      <c r="S9" s="19">
        <f t="shared" si="6"/>
        <v>0</v>
      </c>
      <c r="T9" s="20">
        <f t="shared" si="7"/>
        <v>0.03</v>
      </c>
      <c r="U9" s="19">
        <f t="shared" si="8"/>
        <v>0</v>
      </c>
      <c r="V9" s="18"/>
      <c r="W9" s="19">
        <f t="shared" si="9"/>
        <v>0</v>
      </c>
      <c r="X9" s="19">
        <f t="shared" si="10"/>
        <v>0</v>
      </c>
      <c r="Y9" s="18"/>
      <c r="Z9" s="18"/>
      <c r="AA9" s="19">
        <f t="shared" si="11"/>
        <v>0</v>
      </c>
      <c r="AB9" s="17">
        <v>0</v>
      </c>
      <c r="AC9" s="18"/>
      <c r="AD9" s="18"/>
      <c r="AE9" s="22">
        <f t="shared" si="12"/>
        <v>0</v>
      </c>
      <c r="AF9" s="23">
        <f t="shared" si="13"/>
        <v>0</v>
      </c>
      <c r="AG9" s="23">
        <f t="shared" si="14"/>
        <v>0</v>
      </c>
      <c r="AH9" s="18"/>
      <c r="AI9" s="24">
        <f t="shared" si="15"/>
        <v>0</v>
      </c>
      <c r="AJ9" s="25">
        <v>0</v>
      </c>
      <c r="AK9" s="24">
        <f t="shared" si="16"/>
        <v>0</v>
      </c>
      <c r="AL9" s="22">
        <f t="shared" si="17"/>
        <v>0</v>
      </c>
      <c r="AM9" s="22">
        <f t="shared" si="18"/>
        <v>0</v>
      </c>
      <c r="AN9" s="22">
        <f t="shared" si="19"/>
        <v>0</v>
      </c>
      <c r="AO9" s="26" t="str">
        <f t="shared" si="20"/>
        <v/>
      </c>
      <c r="AP9" s="26" t="str">
        <f t="shared" si="21"/>
        <v>pre-launch</v>
      </c>
      <c r="AQ9" s="18"/>
      <c r="AR9" s="18"/>
    </row>
    <row r="10" spans="1:44" x14ac:dyDescent="0.25">
      <c r="A10" s="43">
        <v>45071</v>
      </c>
      <c r="B10" s="17">
        <v>651811236.34000003</v>
      </c>
      <c r="C10" s="17">
        <v>0</v>
      </c>
      <c r="D10" s="18"/>
      <c r="E10" s="19">
        <f t="shared" si="0"/>
        <v>651811236.34000003</v>
      </c>
      <c r="F10" s="19">
        <f t="shared" si="1"/>
        <v>651811236.34000003</v>
      </c>
      <c r="G10" s="20">
        <f t="shared" si="2"/>
        <v>0</v>
      </c>
      <c r="H10" s="18"/>
      <c r="I10" s="18"/>
      <c r="J10" s="18"/>
      <c r="K10" s="19">
        <f t="shared" si="3"/>
        <v>0</v>
      </c>
      <c r="L10" s="18"/>
      <c r="M10" s="18"/>
      <c r="N10" s="18"/>
      <c r="O10" s="19">
        <f t="shared" si="4"/>
        <v>0</v>
      </c>
      <c r="P10" s="21">
        <f t="shared" si="5"/>
        <v>0</v>
      </c>
      <c r="Q10" s="18"/>
      <c r="R10" s="18"/>
      <c r="S10" s="19">
        <f t="shared" si="6"/>
        <v>0</v>
      </c>
      <c r="T10" s="20">
        <f t="shared" si="7"/>
        <v>0.03</v>
      </c>
      <c r="U10" s="19">
        <f t="shared" si="8"/>
        <v>0</v>
      </c>
      <c r="V10" s="18"/>
      <c r="W10" s="19">
        <f t="shared" si="9"/>
        <v>0</v>
      </c>
      <c r="X10" s="19">
        <f t="shared" si="10"/>
        <v>0</v>
      </c>
      <c r="Y10" s="18"/>
      <c r="Z10" s="18"/>
      <c r="AA10" s="19">
        <f t="shared" si="11"/>
        <v>0</v>
      </c>
      <c r="AB10" s="17">
        <v>0</v>
      </c>
      <c r="AC10" s="18"/>
      <c r="AD10" s="18"/>
      <c r="AE10" s="22">
        <f t="shared" si="12"/>
        <v>0</v>
      </c>
      <c r="AF10" s="23">
        <f t="shared" si="13"/>
        <v>0</v>
      </c>
      <c r="AG10" s="23">
        <f t="shared" si="14"/>
        <v>0</v>
      </c>
      <c r="AH10" s="18"/>
      <c r="AI10" s="24">
        <f t="shared" si="15"/>
        <v>0</v>
      </c>
      <c r="AJ10" s="25">
        <v>0</v>
      </c>
      <c r="AK10" s="24">
        <f t="shared" si="16"/>
        <v>0</v>
      </c>
      <c r="AL10" s="22">
        <f t="shared" si="17"/>
        <v>0</v>
      </c>
      <c r="AM10" s="22">
        <f t="shared" si="18"/>
        <v>0</v>
      </c>
      <c r="AN10" s="22">
        <f t="shared" si="19"/>
        <v>0</v>
      </c>
      <c r="AO10" s="26" t="str">
        <f t="shared" si="20"/>
        <v/>
      </c>
      <c r="AP10" s="26" t="str">
        <f t="shared" si="21"/>
        <v>pre-launch</v>
      </c>
      <c r="AQ10" s="18"/>
      <c r="AR10" s="18"/>
    </row>
    <row r="11" spans="1:44" x14ac:dyDescent="0.25">
      <c r="A11" s="43">
        <v>45072</v>
      </c>
      <c r="B11" s="17">
        <v>635543236.40999997</v>
      </c>
      <c r="C11" s="17">
        <v>0</v>
      </c>
      <c r="D11" s="18"/>
      <c r="E11" s="19">
        <f t="shared" si="0"/>
        <v>635543236.40999997</v>
      </c>
      <c r="F11" s="19">
        <f t="shared" si="1"/>
        <v>635543236.40999997</v>
      </c>
      <c r="G11" s="20">
        <f t="shared" si="2"/>
        <v>0</v>
      </c>
      <c r="H11" s="18"/>
      <c r="I11" s="18"/>
      <c r="J11" s="18"/>
      <c r="K11" s="19">
        <f t="shared" si="3"/>
        <v>0</v>
      </c>
      <c r="L11" s="18"/>
      <c r="M11" s="18"/>
      <c r="N11" s="18"/>
      <c r="O11" s="19">
        <f t="shared" si="4"/>
        <v>0</v>
      </c>
      <c r="P11" s="21">
        <f t="shared" si="5"/>
        <v>0</v>
      </c>
      <c r="Q11" s="18"/>
      <c r="R11" s="18"/>
      <c r="S11" s="19">
        <f t="shared" si="6"/>
        <v>0</v>
      </c>
      <c r="T11" s="20">
        <f t="shared" si="7"/>
        <v>0.03</v>
      </c>
      <c r="U11" s="19">
        <f t="shared" si="8"/>
        <v>0</v>
      </c>
      <c r="V11" s="18"/>
      <c r="W11" s="19">
        <f t="shared" si="9"/>
        <v>0</v>
      </c>
      <c r="X11" s="19">
        <f t="shared" si="10"/>
        <v>0</v>
      </c>
      <c r="Y11" s="18"/>
      <c r="Z11" s="18"/>
      <c r="AA11" s="19">
        <f t="shared" si="11"/>
        <v>0</v>
      </c>
      <c r="AB11" s="17">
        <v>0</v>
      </c>
      <c r="AC11" s="18"/>
      <c r="AD11" s="18"/>
      <c r="AE11" s="22">
        <f t="shared" si="12"/>
        <v>0</v>
      </c>
      <c r="AF11" s="23">
        <f t="shared" si="13"/>
        <v>0</v>
      </c>
      <c r="AG11" s="23">
        <f t="shared" si="14"/>
        <v>0</v>
      </c>
      <c r="AH11" s="18"/>
      <c r="AI11" s="24">
        <f t="shared" si="15"/>
        <v>0</v>
      </c>
      <c r="AJ11" s="25">
        <v>0</v>
      </c>
      <c r="AK11" s="24">
        <f t="shared" si="16"/>
        <v>0</v>
      </c>
      <c r="AL11" s="22">
        <f t="shared" si="17"/>
        <v>0</v>
      </c>
      <c r="AM11" s="22">
        <f t="shared" si="18"/>
        <v>0</v>
      </c>
      <c r="AN11" s="22">
        <f t="shared" si="19"/>
        <v>0</v>
      </c>
      <c r="AO11" s="26" t="str">
        <f t="shared" si="20"/>
        <v/>
      </c>
      <c r="AP11" s="26" t="str">
        <f t="shared" si="21"/>
        <v>pre-launch</v>
      </c>
      <c r="AQ11" s="18"/>
      <c r="AR11" s="18"/>
    </row>
    <row r="12" spans="1:44" x14ac:dyDescent="0.25">
      <c r="A12" s="43">
        <v>45073</v>
      </c>
      <c r="B12" s="17">
        <v>629266368.52999997</v>
      </c>
      <c r="C12" s="17">
        <v>0</v>
      </c>
      <c r="D12" s="18"/>
      <c r="E12" s="19">
        <f t="shared" si="0"/>
        <v>629266368.52999997</v>
      </c>
      <c r="F12" s="19">
        <f t="shared" si="1"/>
        <v>629266368.52999997</v>
      </c>
      <c r="G12" s="20">
        <f t="shared" si="2"/>
        <v>0</v>
      </c>
      <c r="H12" s="18"/>
      <c r="I12" s="18"/>
      <c r="J12" s="18"/>
      <c r="K12" s="19">
        <f t="shared" si="3"/>
        <v>0</v>
      </c>
      <c r="L12" s="18"/>
      <c r="M12" s="18"/>
      <c r="N12" s="18"/>
      <c r="O12" s="19">
        <f t="shared" si="4"/>
        <v>0</v>
      </c>
      <c r="P12" s="21">
        <f t="shared" si="5"/>
        <v>0</v>
      </c>
      <c r="Q12" s="18"/>
      <c r="R12" s="18"/>
      <c r="S12" s="19">
        <f t="shared" si="6"/>
        <v>0</v>
      </c>
      <c r="T12" s="20">
        <f t="shared" si="7"/>
        <v>0.03</v>
      </c>
      <c r="U12" s="19">
        <f t="shared" si="8"/>
        <v>0</v>
      </c>
      <c r="V12" s="18"/>
      <c r="W12" s="19">
        <f t="shared" si="9"/>
        <v>0</v>
      </c>
      <c r="X12" s="19">
        <f t="shared" si="10"/>
        <v>0</v>
      </c>
      <c r="Y12" s="18"/>
      <c r="Z12" s="18"/>
      <c r="AA12" s="19">
        <f t="shared" si="11"/>
        <v>0</v>
      </c>
      <c r="AB12" s="17">
        <v>0</v>
      </c>
      <c r="AC12" s="18"/>
      <c r="AD12" s="18"/>
      <c r="AE12" s="22">
        <f t="shared" si="12"/>
        <v>0</v>
      </c>
      <c r="AF12" s="23">
        <f t="shared" si="13"/>
        <v>0</v>
      </c>
      <c r="AG12" s="23">
        <f t="shared" si="14"/>
        <v>0</v>
      </c>
      <c r="AH12" s="18"/>
      <c r="AI12" s="24">
        <f t="shared" si="15"/>
        <v>0</v>
      </c>
      <c r="AJ12" s="25">
        <v>0</v>
      </c>
      <c r="AK12" s="24">
        <f t="shared" si="16"/>
        <v>0</v>
      </c>
      <c r="AL12" s="22">
        <f t="shared" si="17"/>
        <v>0</v>
      </c>
      <c r="AM12" s="22">
        <f t="shared" si="18"/>
        <v>0</v>
      </c>
      <c r="AN12" s="22">
        <f t="shared" si="19"/>
        <v>0</v>
      </c>
      <c r="AO12" s="26" t="str">
        <f t="shared" si="20"/>
        <v/>
      </c>
      <c r="AP12" s="26" t="str">
        <f t="shared" si="21"/>
        <v>pre-launch</v>
      </c>
      <c r="AQ12" s="18"/>
      <c r="AR12" s="18"/>
    </row>
    <row r="13" spans="1:44" x14ac:dyDescent="0.25">
      <c r="A13" s="43">
        <v>45074</v>
      </c>
      <c r="B13" s="17">
        <v>1030286919.8200001</v>
      </c>
      <c r="C13" s="17">
        <v>0</v>
      </c>
      <c r="D13" s="18"/>
      <c r="E13" s="19">
        <f t="shared" si="0"/>
        <v>1030286919.8200001</v>
      </c>
      <c r="F13" s="19">
        <f t="shared" si="1"/>
        <v>1030286919.8200001</v>
      </c>
      <c r="G13" s="20">
        <f t="shared" si="2"/>
        <v>0</v>
      </c>
      <c r="H13" s="18"/>
      <c r="I13" s="18"/>
      <c r="J13" s="18"/>
      <c r="K13" s="19">
        <f t="shared" si="3"/>
        <v>0</v>
      </c>
      <c r="L13" s="18"/>
      <c r="M13" s="18"/>
      <c r="N13" s="18"/>
      <c r="O13" s="19">
        <f t="shared" si="4"/>
        <v>0</v>
      </c>
      <c r="P13" s="21">
        <f t="shared" si="5"/>
        <v>0</v>
      </c>
      <c r="Q13" s="18"/>
      <c r="R13" s="18"/>
      <c r="S13" s="19">
        <f t="shared" si="6"/>
        <v>0</v>
      </c>
      <c r="T13" s="20">
        <f t="shared" si="7"/>
        <v>0.03</v>
      </c>
      <c r="U13" s="19">
        <f t="shared" si="8"/>
        <v>0</v>
      </c>
      <c r="V13" s="18"/>
      <c r="W13" s="19">
        <f t="shared" si="9"/>
        <v>0</v>
      </c>
      <c r="X13" s="19">
        <f t="shared" si="10"/>
        <v>0</v>
      </c>
      <c r="Y13" s="18"/>
      <c r="Z13" s="18"/>
      <c r="AA13" s="19">
        <f t="shared" si="11"/>
        <v>0</v>
      </c>
      <c r="AB13" s="17">
        <v>0</v>
      </c>
      <c r="AC13" s="18"/>
      <c r="AD13" s="18"/>
      <c r="AE13" s="22">
        <f t="shared" si="12"/>
        <v>0</v>
      </c>
      <c r="AF13" s="23">
        <f t="shared" si="13"/>
        <v>0</v>
      </c>
      <c r="AG13" s="23">
        <f t="shared" si="14"/>
        <v>0</v>
      </c>
      <c r="AH13" s="18"/>
      <c r="AI13" s="24">
        <f t="shared" si="15"/>
        <v>0</v>
      </c>
      <c r="AJ13" s="25">
        <v>0</v>
      </c>
      <c r="AK13" s="24">
        <f t="shared" si="16"/>
        <v>0</v>
      </c>
      <c r="AL13" s="22">
        <f t="shared" si="17"/>
        <v>0</v>
      </c>
      <c r="AM13" s="22">
        <f t="shared" si="18"/>
        <v>0</v>
      </c>
      <c r="AN13" s="22">
        <f t="shared" si="19"/>
        <v>0</v>
      </c>
      <c r="AO13" s="26" t="str">
        <f t="shared" si="20"/>
        <v/>
      </c>
      <c r="AP13" s="26" t="str">
        <f t="shared" si="21"/>
        <v>pre-launch</v>
      </c>
      <c r="AQ13" s="18"/>
      <c r="AR13" s="18"/>
    </row>
    <row r="14" spans="1:44" x14ac:dyDescent="0.25">
      <c r="A14" s="43">
        <v>45075</v>
      </c>
      <c r="B14" s="17">
        <v>1665369748.9200001</v>
      </c>
      <c r="C14" s="17">
        <v>0</v>
      </c>
      <c r="D14" s="18"/>
      <c r="E14" s="19">
        <f t="shared" si="0"/>
        <v>1665369748.9200001</v>
      </c>
      <c r="F14" s="19">
        <f t="shared" si="1"/>
        <v>1665369748.9200001</v>
      </c>
      <c r="G14" s="20">
        <f t="shared" si="2"/>
        <v>0</v>
      </c>
      <c r="H14" s="18"/>
      <c r="I14" s="18"/>
      <c r="J14" s="18"/>
      <c r="K14" s="19">
        <f t="shared" si="3"/>
        <v>0</v>
      </c>
      <c r="L14" s="18"/>
      <c r="M14" s="18"/>
      <c r="N14" s="18"/>
      <c r="O14" s="19">
        <f t="shared" si="4"/>
        <v>0</v>
      </c>
      <c r="P14" s="21">
        <f t="shared" si="5"/>
        <v>0</v>
      </c>
      <c r="Q14" s="18"/>
      <c r="R14" s="18"/>
      <c r="S14" s="19">
        <f t="shared" si="6"/>
        <v>0</v>
      </c>
      <c r="T14" s="20">
        <f t="shared" si="7"/>
        <v>0.03</v>
      </c>
      <c r="U14" s="19">
        <f t="shared" si="8"/>
        <v>0</v>
      </c>
      <c r="V14" s="18"/>
      <c r="W14" s="19">
        <f t="shared" si="9"/>
        <v>0</v>
      </c>
      <c r="X14" s="19">
        <f t="shared" si="10"/>
        <v>0</v>
      </c>
      <c r="Y14" s="18"/>
      <c r="Z14" s="18"/>
      <c r="AA14" s="19">
        <f t="shared" si="11"/>
        <v>0</v>
      </c>
      <c r="AB14" s="17">
        <v>0</v>
      </c>
      <c r="AC14" s="18"/>
      <c r="AD14" s="18"/>
      <c r="AE14" s="22">
        <f t="shared" si="12"/>
        <v>0</v>
      </c>
      <c r="AF14" s="23">
        <f t="shared" si="13"/>
        <v>0</v>
      </c>
      <c r="AG14" s="23">
        <f t="shared" si="14"/>
        <v>0</v>
      </c>
      <c r="AH14" s="18"/>
      <c r="AI14" s="24">
        <f t="shared" si="15"/>
        <v>0</v>
      </c>
      <c r="AJ14" s="25">
        <v>0</v>
      </c>
      <c r="AK14" s="24">
        <f t="shared" si="16"/>
        <v>0</v>
      </c>
      <c r="AL14" s="22">
        <f t="shared" si="17"/>
        <v>0</v>
      </c>
      <c r="AM14" s="22">
        <f t="shared" si="18"/>
        <v>0</v>
      </c>
      <c r="AN14" s="22">
        <f t="shared" si="19"/>
        <v>0</v>
      </c>
      <c r="AO14" s="26" t="str">
        <f t="shared" si="20"/>
        <v/>
      </c>
      <c r="AP14" s="26" t="str">
        <f t="shared" si="21"/>
        <v>pre-launch</v>
      </c>
      <c r="AQ14" s="18"/>
      <c r="AR14" s="18"/>
    </row>
    <row r="15" spans="1:44" x14ac:dyDescent="0.25">
      <c r="A15" s="43">
        <v>45076</v>
      </c>
      <c r="B15" s="17">
        <v>790485041.09000003</v>
      </c>
      <c r="C15" s="17">
        <v>0</v>
      </c>
      <c r="D15" s="18"/>
      <c r="E15" s="19">
        <f t="shared" si="0"/>
        <v>790485041.09000003</v>
      </c>
      <c r="F15" s="19">
        <f t="shared" si="1"/>
        <v>790485041.09000003</v>
      </c>
      <c r="G15" s="20">
        <f t="shared" si="2"/>
        <v>0</v>
      </c>
      <c r="H15" s="18"/>
      <c r="I15" s="18"/>
      <c r="J15" s="18"/>
      <c r="K15" s="19">
        <f t="shared" si="3"/>
        <v>0</v>
      </c>
      <c r="L15" s="18"/>
      <c r="M15" s="18"/>
      <c r="N15" s="18"/>
      <c r="O15" s="19">
        <f t="shared" si="4"/>
        <v>0</v>
      </c>
      <c r="P15" s="21">
        <f t="shared" si="5"/>
        <v>0</v>
      </c>
      <c r="Q15" s="18"/>
      <c r="R15" s="18"/>
      <c r="S15" s="19">
        <f t="shared" si="6"/>
        <v>0</v>
      </c>
      <c r="T15" s="20">
        <f t="shared" si="7"/>
        <v>0.03</v>
      </c>
      <c r="U15" s="19">
        <f t="shared" si="8"/>
        <v>0</v>
      </c>
      <c r="V15" s="18"/>
      <c r="W15" s="19">
        <f t="shared" si="9"/>
        <v>0</v>
      </c>
      <c r="X15" s="19">
        <f t="shared" si="10"/>
        <v>0</v>
      </c>
      <c r="Y15" s="18"/>
      <c r="Z15" s="18"/>
      <c r="AA15" s="19">
        <f t="shared" si="11"/>
        <v>0</v>
      </c>
      <c r="AB15" s="17">
        <v>0</v>
      </c>
      <c r="AC15" s="18"/>
      <c r="AD15" s="18"/>
      <c r="AE15" s="22">
        <f t="shared" si="12"/>
        <v>0</v>
      </c>
      <c r="AF15" s="23">
        <f t="shared" si="13"/>
        <v>0</v>
      </c>
      <c r="AG15" s="23">
        <f t="shared" si="14"/>
        <v>0</v>
      </c>
      <c r="AH15" s="18"/>
      <c r="AI15" s="24">
        <f t="shared" si="15"/>
        <v>0</v>
      </c>
      <c r="AJ15" s="25">
        <v>0</v>
      </c>
      <c r="AK15" s="24">
        <f t="shared" si="16"/>
        <v>0</v>
      </c>
      <c r="AL15" s="22">
        <f t="shared" si="17"/>
        <v>0</v>
      </c>
      <c r="AM15" s="22">
        <f t="shared" si="18"/>
        <v>0</v>
      </c>
      <c r="AN15" s="22">
        <f t="shared" si="19"/>
        <v>0</v>
      </c>
      <c r="AO15" s="26" t="str">
        <f t="shared" si="20"/>
        <v/>
      </c>
      <c r="AP15" s="26" t="str">
        <f t="shared" si="21"/>
        <v>pre-launch</v>
      </c>
      <c r="AQ15" s="18"/>
      <c r="AR15" s="18"/>
    </row>
    <row r="16" spans="1:44" x14ac:dyDescent="0.25">
      <c r="A16" s="43">
        <v>45077</v>
      </c>
      <c r="B16" s="17">
        <v>697861679.63</v>
      </c>
      <c r="C16" s="17">
        <v>0</v>
      </c>
      <c r="D16" s="18"/>
      <c r="E16" s="19">
        <f t="shared" si="0"/>
        <v>697861679.63</v>
      </c>
      <c r="F16" s="19">
        <f t="shared" si="1"/>
        <v>697861679.63</v>
      </c>
      <c r="G16" s="20">
        <f t="shared" si="2"/>
        <v>0</v>
      </c>
      <c r="H16" s="18"/>
      <c r="I16" s="18"/>
      <c r="J16" s="18"/>
      <c r="K16" s="19">
        <f t="shared" si="3"/>
        <v>0</v>
      </c>
      <c r="L16" s="18"/>
      <c r="M16" s="18"/>
      <c r="N16" s="18"/>
      <c r="O16" s="19">
        <f t="shared" si="4"/>
        <v>0</v>
      </c>
      <c r="P16" s="21">
        <f t="shared" si="5"/>
        <v>0</v>
      </c>
      <c r="Q16" s="18"/>
      <c r="R16" s="18"/>
      <c r="S16" s="19">
        <f t="shared" si="6"/>
        <v>0</v>
      </c>
      <c r="T16" s="20">
        <f t="shared" si="7"/>
        <v>0.03</v>
      </c>
      <c r="U16" s="19">
        <f t="shared" si="8"/>
        <v>0</v>
      </c>
      <c r="V16" s="18"/>
      <c r="W16" s="19">
        <f t="shared" si="9"/>
        <v>0</v>
      </c>
      <c r="X16" s="19">
        <f t="shared" si="10"/>
        <v>0</v>
      </c>
      <c r="Y16" s="18"/>
      <c r="Z16" s="18"/>
      <c r="AA16" s="19">
        <f t="shared" si="11"/>
        <v>0</v>
      </c>
      <c r="AB16" s="17">
        <v>0</v>
      </c>
      <c r="AC16" s="18"/>
      <c r="AD16" s="18"/>
      <c r="AE16" s="22">
        <f t="shared" si="12"/>
        <v>0</v>
      </c>
      <c r="AF16" s="23">
        <f t="shared" si="13"/>
        <v>0</v>
      </c>
      <c r="AG16" s="23">
        <f t="shared" si="14"/>
        <v>0</v>
      </c>
      <c r="AH16" s="18"/>
      <c r="AI16" s="24">
        <f t="shared" si="15"/>
        <v>0</v>
      </c>
      <c r="AJ16" s="25">
        <v>0</v>
      </c>
      <c r="AK16" s="24">
        <f t="shared" si="16"/>
        <v>0</v>
      </c>
      <c r="AL16" s="22">
        <f t="shared" si="17"/>
        <v>0</v>
      </c>
      <c r="AM16" s="22">
        <f t="shared" si="18"/>
        <v>0</v>
      </c>
      <c r="AN16" s="22">
        <f t="shared" si="19"/>
        <v>0</v>
      </c>
      <c r="AO16" s="26" t="str">
        <f t="shared" si="20"/>
        <v/>
      </c>
      <c r="AP16" s="26" t="str">
        <f t="shared" si="21"/>
        <v>pre-launch</v>
      </c>
      <c r="AQ16" s="18"/>
      <c r="AR16" s="18"/>
    </row>
    <row r="17" spans="1:44" x14ac:dyDescent="0.25">
      <c r="A17" s="43">
        <v>45078</v>
      </c>
      <c r="B17" s="17">
        <v>695491624.03999996</v>
      </c>
      <c r="C17" s="17">
        <v>0</v>
      </c>
      <c r="D17" s="18"/>
      <c r="E17" s="19">
        <f t="shared" si="0"/>
        <v>695491624.03999996</v>
      </c>
      <c r="F17" s="19">
        <f t="shared" si="1"/>
        <v>695491624.03999996</v>
      </c>
      <c r="G17" s="20">
        <f t="shared" si="2"/>
        <v>0</v>
      </c>
      <c r="H17" s="18"/>
      <c r="I17" s="18"/>
      <c r="J17" s="18"/>
      <c r="K17" s="19">
        <f t="shared" si="3"/>
        <v>0</v>
      </c>
      <c r="L17" s="18"/>
      <c r="M17" s="18"/>
      <c r="N17" s="18"/>
      <c r="O17" s="19">
        <f t="shared" si="4"/>
        <v>0</v>
      </c>
      <c r="P17" s="21">
        <f t="shared" si="5"/>
        <v>0</v>
      </c>
      <c r="Q17" s="18"/>
      <c r="R17" s="18"/>
      <c r="S17" s="19">
        <f t="shared" si="6"/>
        <v>0</v>
      </c>
      <c r="T17" s="20">
        <f t="shared" si="7"/>
        <v>0.03</v>
      </c>
      <c r="U17" s="19">
        <f t="shared" si="8"/>
        <v>0</v>
      </c>
      <c r="V17" s="18"/>
      <c r="W17" s="19">
        <f t="shared" si="9"/>
        <v>0</v>
      </c>
      <c r="X17" s="19">
        <f t="shared" si="10"/>
        <v>0</v>
      </c>
      <c r="Y17" s="18"/>
      <c r="Z17" s="18"/>
      <c r="AA17" s="19">
        <f t="shared" si="11"/>
        <v>0</v>
      </c>
      <c r="AB17" s="17">
        <v>0</v>
      </c>
      <c r="AC17" s="18"/>
      <c r="AD17" s="18"/>
      <c r="AE17" s="22">
        <f t="shared" si="12"/>
        <v>0</v>
      </c>
      <c r="AF17" s="23">
        <f t="shared" si="13"/>
        <v>0</v>
      </c>
      <c r="AG17" s="23">
        <f t="shared" si="14"/>
        <v>0</v>
      </c>
      <c r="AH17" s="18"/>
      <c r="AI17" s="24">
        <f t="shared" si="15"/>
        <v>0</v>
      </c>
      <c r="AJ17" s="25">
        <v>0</v>
      </c>
      <c r="AK17" s="24">
        <f t="shared" si="16"/>
        <v>0</v>
      </c>
      <c r="AL17" s="22">
        <f t="shared" si="17"/>
        <v>0</v>
      </c>
      <c r="AM17" s="22">
        <f t="shared" si="18"/>
        <v>0</v>
      </c>
      <c r="AN17" s="22">
        <f t="shared" si="19"/>
        <v>0</v>
      </c>
      <c r="AO17" s="26" t="str">
        <f t="shared" si="20"/>
        <v/>
      </c>
      <c r="AP17" s="26" t="str">
        <f t="shared" si="21"/>
        <v>pre-launch</v>
      </c>
      <c r="AQ17" s="18"/>
      <c r="AR17" s="18"/>
    </row>
    <row r="18" spans="1:44" x14ac:dyDescent="0.25">
      <c r="A18" s="43">
        <v>45079</v>
      </c>
      <c r="B18" s="17">
        <v>828299584.35000002</v>
      </c>
      <c r="C18" s="17">
        <v>0</v>
      </c>
      <c r="D18" s="18"/>
      <c r="E18" s="19">
        <f t="shared" si="0"/>
        <v>828299584.35000002</v>
      </c>
      <c r="F18" s="19">
        <f t="shared" si="1"/>
        <v>828299584.35000002</v>
      </c>
      <c r="G18" s="20">
        <f t="shared" si="2"/>
        <v>0</v>
      </c>
      <c r="H18" s="18"/>
      <c r="I18" s="18"/>
      <c r="J18" s="18"/>
      <c r="K18" s="19">
        <f t="shared" si="3"/>
        <v>0</v>
      </c>
      <c r="L18" s="18"/>
      <c r="M18" s="18"/>
      <c r="N18" s="18"/>
      <c r="O18" s="19">
        <f t="shared" si="4"/>
        <v>0</v>
      </c>
      <c r="P18" s="21">
        <f t="shared" si="5"/>
        <v>0</v>
      </c>
      <c r="Q18" s="18"/>
      <c r="R18" s="18"/>
      <c r="S18" s="19">
        <f t="shared" si="6"/>
        <v>0</v>
      </c>
      <c r="T18" s="20">
        <f t="shared" si="7"/>
        <v>0.03</v>
      </c>
      <c r="U18" s="19">
        <f t="shared" si="8"/>
        <v>0</v>
      </c>
      <c r="V18" s="18"/>
      <c r="W18" s="19">
        <f t="shared" si="9"/>
        <v>0</v>
      </c>
      <c r="X18" s="19">
        <f t="shared" si="10"/>
        <v>0</v>
      </c>
      <c r="Y18" s="18"/>
      <c r="Z18" s="18"/>
      <c r="AA18" s="19">
        <f t="shared" si="11"/>
        <v>0</v>
      </c>
      <c r="AB18" s="17">
        <v>0</v>
      </c>
      <c r="AC18" s="18"/>
      <c r="AD18" s="18"/>
      <c r="AE18" s="22">
        <f t="shared" si="12"/>
        <v>0</v>
      </c>
      <c r="AF18" s="23">
        <f t="shared" si="13"/>
        <v>0</v>
      </c>
      <c r="AG18" s="23">
        <f t="shared" si="14"/>
        <v>0</v>
      </c>
      <c r="AH18" s="18"/>
      <c r="AI18" s="24">
        <f t="shared" si="15"/>
        <v>0</v>
      </c>
      <c r="AJ18" s="25">
        <v>0</v>
      </c>
      <c r="AK18" s="24">
        <f t="shared" si="16"/>
        <v>0</v>
      </c>
      <c r="AL18" s="22">
        <f t="shared" si="17"/>
        <v>0</v>
      </c>
      <c r="AM18" s="22">
        <f t="shared" si="18"/>
        <v>0</v>
      </c>
      <c r="AN18" s="22">
        <f t="shared" si="19"/>
        <v>0</v>
      </c>
      <c r="AO18" s="26" t="str">
        <f t="shared" si="20"/>
        <v/>
      </c>
      <c r="AP18" s="26" t="str">
        <f t="shared" si="21"/>
        <v>pre-launch</v>
      </c>
      <c r="AQ18" s="18"/>
      <c r="AR18" s="18"/>
    </row>
    <row r="19" spans="1:44" x14ac:dyDescent="0.25">
      <c r="A19" s="43">
        <v>45080</v>
      </c>
      <c r="B19" s="17">
        <v>360207214.06999999</v>
      </c>
      <c r="C19" s="17">
        <v>0</v>
      </c>
      <c r="D19" s="18"/>
      <c r="E19" s="19">
        <f t="shared" si="0"/>
        <v>360207214.06999999</v>
      </c>
      <c r="F19" s="19">
        <f t="shared" si="1"/>
        <v>360207214.06999999</v>
      </c>
      <c r="G19" s="20">
        <f t="shared" si="2"/>
        <v>0</v>
      </c>
      <c r="H19" s="18"/>
      <c r="I19" s="18"/>
      <c r="J19" s="18"/>
      <c r="K19" s="19">
        <f t="shared" si="3"/>
        <v>0</v>
      </c>
      <c r="L19" s="18"/>
      <c r="M19" s="18"/>
      <c r="N19" s="18"/>
      <c r="O19" s="19">
        <f t="shared" si="4"/>
        <v>0</v>
      </c>
      <c r="P19" s="21">
        <f t="shared" si="5"/>
        <v>0</v>
      </c>
      <c r="Q19" s="18"/>
      <c r="R19" s="18"/>
      <c r="S19" s="19">
        <f t="shared" si="6"/>
        <v>0</v>
      </c>
      <c r="T19" s="20">
        <f t="shared" si="7"/>
        <v>0.03</v>
      </c>
      <c r="U19" s="19">
        <f t="shared" si="8"/>
        <v>0</v>
      </c>
      <c r="V19" s="18"/>
      <c r="W19" s="19">
        <f t="shared" si="9"/>
        <v>0</v>
      </c>
      <c r="X19" s="19">
        <f t="shared" si="10"/>
        <v>0</v>
      </c>
      <c r="Y19" s="18"/>
      <c r="Z19" s="18"/>
      <c r="AA19" s="19">
        <f t="shared" si="11"/>
        <v>0</v>
      </c>
      <c r="AB19" s="17">
        <v>0</v>
      </c>
      <c r="AC19" s="18"/>
      <c r="AD19" s="18"/>
      <c r="AE19" s="22">
        <f t="shared" si="12"/>
        <v>0</v>
      </c>
      <c r="AF19" s="23">
        <f t="shared" si="13"/>
        <v>0</v>
      </c>
      <c r="AG19" s="23">
        <f t="shared" si="14"/>
        <v>0</v>
      </c>
      <c r="AH19" s="18"/>
      <c r="AI19" s="24">
        <f t="shared" si="15"/>
        <v>0</v>
      </c>
      <c r="AJ19" s="25">
        <v>0</v>
      </c>
      <c r="AK19" s="24">
        <f t="shared" si="16"/>
        <v>0</v>
      </c>
      <c r="AL19" s="22">
        <f t="shared" si="17"/>
        <v>0</v>
      </c>
      <c r="AM19" s="22">
        <f t="shared" si="18"/>
        <v>0</v>
      </c>
      <c r="AN19" s="22">
        <f t="shared" si="19"/>
        <v>0</v>
      </c>
      <c r="AO19" s="26" t="str">
        <f t="shared" si="20"/>
        <v/>
      </c>
      <c r="AP19" s="26" t="str">
        <f t="shared" si="21"/>
        <v>pre-launch</v>
      </c>
      <c r="AQ19" s="18"/>
      <c r="AR19" s="18"/>
    </row>
    <row r="20" spans="1:44" x14ac:dyDescent="0.25">
      <c r="A20" s="43">
        <v>45081</v>
      </c>
      <c r="B20" s="17">
        <v>436589484.57999998</v>
      </c>
      <c r="C20" s="17">
        <v>0</v>
      </c>
      <c r="D20" s="18"/>
      <c r="E20" s="19">
        <f t="shared" si="0"/>
        <v>436589484.57999998</v>
      </c>
      <c r="F20" s="19">
        <f t="shared" si="1"/>
        <v>436589484.57999998</v>
      </c>
      <c r="G20" s="20">
        <f t="shared" si="2"/>
        <v>0</v>
      </c>
      <c r="H20" s="18"/>
      <c r="I20" s="18"/>
      <c r="J20" s="18"/>
      <c r="K20" s="19">
        <f t="shared" si="3"/>
        <v>0</v>
      </c>
      <c r="L20" s="18"/>
      <c r="M20" s="18"/>
      <c r="N20" s="18"/>
      <c r="O20" s="19">
        <f t="shared" si="4"/>
        <v>0</v>
      </c>
      <c r="P20" s="21">
        <f t="shared" si="5"/>
        <v>0</v>
      </c>
      <c r="Q20" s="18"/>
      <c r="R20" s="18"/>
      <c r="S20" s="19">
        <f t="shared" si="6"/>
        <v>0</v>
      </c>
      <c r="T20" s="20">
        <f t="shared" si="7"/>
        <v>0.03</v>
      </c>
      <c r="U20" s="19">
        <f t="shared" si="8"/>
        <v>0</v>
      </c>
      <c r="V20" s="18"/>
      <c r="W20" s="19">
        <f t="shared" si="9"/>
        <v>0</v>
      </c>
      <c r="X20" s="19">
        <f t="shared" si="10"/>
        <v>0</v>
      </c>
      <c r="Y20" s="18"/>
      <c r="Z20" s="18"/>
      <c r="AA20" s="19">
        <f t="shared" si="11"/>
        <v>0</v>
      </c>
      <c r="AB20" s="17">
        <v>0</v>
      </c>
      <c r="AC20" s="18"/>
      <c r="AD20" s="18"/>
      <c r="AE20" s="22">
        <f t="shared" si="12"/>
        <v>0</v>
      </c>
      <c r="AF20" s="23">
        <f t="shared" si="13"/>
        <v>0</v>
      </c>
      <c r="AG20" s="23">
        <f t="shared" si="14"/>
        <v>0</v>
      </c>
      <c r="AH20" s="18"/>
      <c r="AI20" s="24">
        <f t="shared" si="15"/>
        <v>0</v>
      </c>
      <c r="AJ20" s="25">
        <v>0</v>
      </c>
      <c r="AK20" s="24">
        <f t="shared" si="16"/>
        <v>0</v>
      </c>
      <c r="AL20" s="22">
        <f t="shared" si="17"/>
        <v>0</v>
      </c>
      <c r="AM20" s="22">
        <f t="shared" si="18"/>
        <v>0</v>
      </c>
      <c r="AN20" s="22">
        <f t="shared" si="19"/>
        <v>0</v>
      </c>
      <c r="AO20" s="26" t="str">
        <f t="shared" si="20"/>
        <v/>
      </c>
      <c r="AP20" s="26" t="str">
        <f t="shared" si="21"/>
        <v>pre-launch</v>
      </c>
      <c r="AQ20" s="18"/>
      <c r="AR20" s="18"/>
    </row>
    <row r="21" spans="1:44" x14ac:dyDescent="0.25">
      <c r="A21" s="43">
        <v>45082</v>
      </c>
      <c r="B21" s="17">
        <v>1181883017.5799999</v>
      </c>
      <c r="C21" s="17">
        <v>0</v>
      </c>
      <c r="D21" s="18"/>
      <c r="E21" s="19">
        <f t="shared" si="0"/>
        <v>1181883017.5799999</v>
      </c>
      <c r="F21" s="19">
        <f t="shared" si="1"/>
        <v>1181883017.5799999</v>
      </c>
      <c r="G21" s="20">
        <f t="shared" si="2"/>
        <v>0</v>
      </c>
      <c r="H21" s="18"/>
      <c r="I21" s="18"/>
      <c r="J21" s="18"/>
      <c r="K21" s="19">
        <f t="shared" si="3"/>
        <v>0</v>
      </c>
      <c r="L21" s="18"/>
      <c r="M21" s="18"/>
      <c r="N21" s="18"/>
      <c r="O21" s="19">
        <f t="shared" si="4"/>
        <v>0</v>
      </c>
      <c r="P21" s="21">
        <f t="shared" si="5"/>
        <v>0</v>
      </c>
      <c r="Q21" s="18"/>
      <c r="R21" s="18"/>
      <c r="S21" s="19">
        <f t="shared" si="6"/>
        <v>0</v>
      </c>
      <c r="T21" s="20">
        <f t="shared" si="7"/>
        <v>0.03</v>
      </c>
      <c r="U21" s="19">
        <f t="shared" si="8"/>
        <v>0</v>
      </c>
      <c r="V21" s="18"/>
      <c r="W21" s="19">
        <f t="shared" si="9"/>
        <v>0</v>
      </c>
      <c r="X21" s="19">
        <f t="shared" si="10"/>
        <v>0</v>
      </c>
      <c r="Y21" s="18"/>
      <c r="Z21" s="18"/>
      <c r="AA21" s="19">
        <f t="shared" si="11"/>
        <v>0</v>
      </c>
      <c r="AB21" s="17">
        <v>0</v>
      </c>
      <c r="AC21" s="18"/>
      <c r="AD21" s="18"/>
      <c r="AE21" s="22">
        <f t="shared" si="12"/>
        <v>0</v>
      </c>
      <c r="AF21" s="23">
        <f t="shared" si="13"/>
        <v>0</v>
      </c>
      <c r="AG21" s="23">
        <f t="shared" si="14"/>
        <v>0</v>
      </c>
      <c r="AH21" s="18"/>
      <c r="AI21" s="24">
        <f t="shared" si="15"/>
        <v>0</v>
      </c>
      <c r="AJ21" s="25">
        <v>0</v>
      </c>
      <c r="AK21" s="24">
        <f t="shared" si="16"/>
        <v>0</v>
      </c>
      <c r="AL21" s="22">
        <f t="shared" si="17"/>
        <v>0</v>
      </c>
      <c r="AM21" s="22">
        <f t="shared" si="18"/>
        <v>0</v>
      </c>
      <c r="AN21" s="22">
        <f t="shared" si="19"/>
        <v>0</v>
      </c>
      <c r="AO21" s="26" t="str">
        <f t="shared" si="20"/>
        <v/>
      </c>
      <c r="AP21" s="26" t="str">
        <f t="shared" si="21"/>
        <v>pre-launch</v>
      </c>
      <c r="AQ21" s="18"/>
      <c r="AR21" s="18"/>
    </row>
    <row r="22" spans="1:44" x14ac:dyDescent="0.25">
      <c r="A22" s="43">
        <v>45083</v>
      </c>
      <c r="B22" s="17">
        <v>1680305322.52</v>
      </c>
      <c r="C22" s="17">
        <v>0</v>
      </c>
      <c r="D22" s="18"/>
      <c r="E22" s="19">
        <f t="shared" si="0"/>
        <v>1680305322.52</v>
      </c>
      <c r="F22" s="19">
        <f t="shared" si="1"/>
        <v>1680305322.52</v>
      </c>
      <c r="G22" s="20">
        <f t="shared" si="2"/>
        <v>0</v>
      </c>
      <c r="H22" s="18"/>
      <c r="I22" s="18"/>
      <c r="J22" s="18"/>
      <c r="K22" s="19">
        <f t="shared" si="3"/>
        <v>0</v>
      </c>
      <c r="L22" s="18"/>
      <c r="M22" s="18"/>
      <c r="N22" s="18"/>
      <c r="O22" s="19">
        <f t="shared" si="4"/>
        <v>0</v>
      </c>
      <c r="P22" s="21">
        <f t="shared" si="5"/>
        <v>0</v>
      </c>
      <c r="Q22" s="18"/>
      <c r="R22" s="18"/>
      <c r="S22" s="19">
        <f t="shared" si="6"/>
        <v>0</v>
      </c>
      <c r="T22" s="20">
        <f t="shared" si="7"/>
        <v>0.03</v>
      </c>
      <c r="U22" s="19">
        <f t="shared" si="8"/>
        <v>0</v>
      </c>
      <c r="V22" s="18"/>
      <c r="W22" s="19">
        <f t="shared" si="9"/>
        <v>0</v>
      </c>
      <c r="X22" s="19">
        <f t="shared" si="10"/>
        <v>0</v>
      </c>
      <c r="Y22" s="18"/>
      <c r="Z22" s="18"/>
      <c r="AA22" s="19">
        <f t="shared" si="11"/>
        <v>0</v>
      </c>
      <c r="AB22" s="17">
        <v>0</v>
      </c>
      <c r="AC22" s="18"/>
      <c r="AD22" s="18"/>
      <c r="AE22" s="22">
        <f t="shared" si="12"/>
        <v>0</v>
      </c>
      <c r="AF22" s="23">
        <f t="shared" si="13"/>
        <v>0</v>
      </c>
      <c r="AG22" s="23">
        <f t="shared" si="14"/>
        <v>0</v>
      </c>
      <c r="AH22" s="18"/>
      <c r="AI22" s="24">
        <f t="shared" si="15"/>
        <v>0</v>
      </c>
      <c r="AJ22" s="25">
        <v>0</v>
      </c>
      <c r="AK22" s="24">
        <f t="shared" si="16"/>
        <v>0</v>
      </c>
      <c r="AL22" s="22">
        <f t="shared" si="17"/>
        <v>0</v>
      </c>
      <c r="AM22" s="22">
        <f t="shared" si="18"/>
        <v>0</v>
      </c>
      <c r="AN22" s="22">
        <f t="shared" si="19"/>
        <v>0</v>
      </c>
      <c r="AO22" s="26" t="str">
        <f t="shared" si="20"/>
        <v/>
      </c>
      <c r="AP22" s="26" t="str">
        <f t="shared" si="21"/>
        <v>pre-launch</v>
      </c>
      <c r="AQ22" s="18"/>
      <c r="AR22" s="18"/>
    </row>
    <row r="23" spans="1:44" x14ac:dyDescent="0.25">
      <c r="A23" s="43">
        <v>45084</v>
      </c>
      <c r="B23" s="17">
        <v>1243360390.2</v>
      </c>
      <c r="C23" s="17">
        <v>0</v>
      </c>
      <c r="D23" s="18"/>
      <c r="E23" s="19">
        <f t="shared" si="0"/>
        <v>1243360390.2</v>
      </c>
      <c r="F23" s="19">
        <f t="shared" si="1"/>
        <v>1243360390.2</v>
      </c>
      <c r="G23" s="20">
        <f t="shared" si="2"/>
        <v>0</v>
      </c>
      <c r="H23" s="18"/>
      <c r="I23" s="18"/>
      <c r="J23" s="18"/>
      <c r="K23" s="19">
        <f t="shared" si="3"/>
        <v>0</v>
      </c>
      <c r="L23" s="18"/>
      <c r="M23" s="18"/>
      <c r="N23" s="18"/>
      <c r="O23" s="19">
        <f t="shared" si="4"/>
        <v>0</v>
      </c>
      <c r="P23" s="21">
        <f t="shared" si="5"/>
        <v>0</v>
      </c>
      <c r="Q23" s="18"/>
      <c r="R23" s="18"/>
      <c r="S23" s="19">
        <f t="shared" si="6"/>
        <v>0</v>
      </c>
      <c r="T23" s="20">
        <f t="shared" si="7"/>
        <v>0.03</v>
      </c>
      <c r="U23" s="19">
        <f t="shared" si="8"/>
        <v>0</v>
      </c>
      <c r="V23" s="18"/>
      <c r="W23" s="19">
        <f t="shared" si="9"/>
        <v>0</v>
      </c>
      <c r="X23" s="19">
        <f t="shared" si="10"/>
        <v>0</v>
      </c>
      <c r="Y23" s="18"/>
      <c r="Z23" s="18"/>
      <c r="AA23" s="19">
        <f t="shared" si="11"/>
        <v>0</v>
      </c>
      <c r="AB23" s="17">
        <v>0</v>
      </c>
      <c r="AC23" s="18"/>
      <c r="AD23" s="18"/>
      <c r="AE23" s="22">
        <f t="shared" si="12"/>
        <v>0</v>
      </c>
      <c r="AF23" s="23">
        <f t="shared" si="13"/>
        <v>0</v>
      </c>
      <c r="AG23" s="23">
        <f t="shared" si="14"/>
        <v>0</v>
      </c>
      <c r="AH23" s="18"/>
      <c r="AI23" s="24">
        <f t="shared" si="15"/>
        <v>0</v>
      </c>
      <c r="AJ23" s="25">
        <v>0</v>
      </c>
      <c r="AK23" s="24">
        <f t="shared" si="16"/>
        <v>0</v>
      </c>
      <c r="AL23" s="22">
        <f t="shared" si="17"/>
        <v>0</v>
      </c>
      <c r="AM23" s="22">
        <f t="shared" si="18"/>
        <v>0</v>
      </c>
      <c r="AN23" s="22">
        <f t="shared" si="19"/>
        <v>0</v>
      </c>
      <c r="AO23" s="26" t="str">
        <f t="shared" si="20"/>
        <v/>
      </c>
      <c r="AP23" s="26" t="str">
        <f t="shared" si="21"/>
        <v>pre-launch</v>
      </c>
      <c r="AQ23" s="18"/>
      <c r="AR23" s="18"/>
    </row>
    <row r="24" spans="1:44" x14ac:dyDescent="0.25">
      <c r="A24" s="43">
        <v>45085</v>
      </c>
      <c r="B24" s="17">
        <v>1755930919.5899999</v>
      </c>
      <c r="C24" s="17">
        <v>0</v>
      </c>
      <c r="D24" s="18"/>
      <c r="E24" s="19">
        <f t="shared" si="0"/>
        <v>1755930919.5899999</v>
      </c>
      <c r="F24" s="19">
        <f t="shared" si="1"/>
        <v>1755930919.5899999</v>
      </c>
      <c r="G24" s="20">
        <f t="shared" si="2"/>
        <v>0</v>
      </c>
      <c r="H24" s="18"/>
      <c r="I24" s="18"/>
      <c r="J24" s="18"/>
      <c r="K24" s="19">
        <f t="shared" si="3"/>
        <v>0</v>
      </c>
      <c r="L24" s="18"/>
      <c r="M24" s="18"/>
      <c r="N24" s="18"/>
      <c r="O24" s="19">
        <f t="shared" si="4"/>
        <v>0</v>
      </c>
      <c r="P24" s="21">
        <f t="shared" si="5"/>
        <v>0</v>
      </c>
      <c r="Q24" s="18"/>
      <c r="R24" s="18"/>
      <c r="S24" s="19">
        <f t="shared" si="6"/>
        <v>0</v>
      </c>
      <c r="T24" s="20">
        <f t="shared" si="7"/>
        <v>0.03</v>
      </c>
      <c r="U24" s="19">
        <f t="shared" si="8"/>
        <v>0</v>
      </c>
      <c r="V24" s="18"/>
      <c r="W24" s="19">
        <f t="shared" si="9"/>
        <v>0</v>
      </c>
      <c r="X24" s="19">
        <f t="shared" si="10"/>
        <v>0</v>
      </c>
      <c r="Y24" s="18"/>
      <c r="Z24" s="18"/>
      <c r="AA24" s="19">
        <f t="shared" si="11"/>
        <v>0</v>
      </c>
      <c r="AB24" s="17">
        <v>0</v>
      </c>
      <c r="AC24" s="18"/>
      <c r="AD24" s="18"/>
      <c r="AE24" s="22">
        <f t="shared" si="12"/>
        <v>0</v>
      </c>
      <c r="AF24" s="23">
        <f t="shared" si="13"/>
        <v>0</v>
      </c>
      <c r="AG24" s="23">
        <f t="shared" si="14"/>
        <v>0</v>
      </c>
      <c r="AH24" s="18"/>
      <c r="AI24" s="24">
        <f t="shared" si="15"/>
        <v>0</v>
      </c>
      <c r="AJ24" s="25">
        <v>0</v>
      </c>
      <c r="AK24" s="24">
        <f t="shared" si="16"/>
        <v>0</v>
      </c>
      <c r="AL24" s="22">
        <f t="shared" si="17"/>
        <v>0</v>
      </c>
      <c r="AM24" s="22">
        <f t="shared" si="18"/>
        <v>0</v>
      </c>
      <c r="AN24" s="22">
        <f t="shared" si="19"/>
        <v>0</v>
      </c>
      <c r="AO24" s="26" t="str">
        <f t="shared" si="20"/>
        <v/>
      </c>
      <c r="AP24" s="26" t="str">
        <f t="shared" si="21"/>
        <v>pre-launch</v>
      </c>
      <c r="AQ24" s="18"/>
      <c r="AR24" s="18"/>
    </row>
    <row r="25" spans="1:44" x14ac:dyDescent="0.25">
      <c r="A25" s="43">
        <v>45086</v>
      </c>
      <c r="B25" s="17">
        <v>1942628206.48</v>
      </c>
      <c r="C25" s="17">
        <v>0</v>
      </c>
      <c r="D25" s="18"/>
      <c r="E25" s="19">
        <f t="shared" si="0"/>
        <v>1942628206.48</v>
      </c>
      <c r="F25" s="19">
        <f t="shared" si="1"/>
        <v>1942628206.48</v>
      </c>
      <c r="G25" s="20">
        <f t="shared" si="2"/>
        <v>0</v>
      </c>
      <c r="H25" s="18"/>
      <c r="I25" s="18"/>
      <c r="J25" s="18"/>
      <c r="K25" s="19">
        <f t="shared" si="3"/>
        <v>0</v>
      </c>
      <c r="L25" s="18"/>
      <c r="M25" s="18"/>
      <c r="N25" s="18"/>
      <c r="O25" s="19">
        <f t="shared" si="4"/>
        <v>0</v>
      </c>
      <c r="P25" s="21">
        <f t="shared" si="5"/>
        <v>0</v>
      </c>
      <c r="Q25" s="18"/>
      <c r="R25" s="18"/>
      <c r="S25" s="19">
        <f t="shared" si="6"/>
        <v>0</v>
      </c>
      <c r="T25" s="20">
        <f t="shared" si="7"/>
        <v>0.03</v>
      </c>
      <c r="U25" s="19">
        <f t="shared" si="8"/>
        <v>0</v>
      </c>
      <c r="V25" s="18"/>
      <c r="W25" s="19">
        <f t="shared" si="9"/>
        <v>0</v>
      </c>
      <c r="X25" s="19">
        <f t="shared" si="10"/>
        <v>0</v>
      </c>
      <c r="Y25" s="18"/>
      <c r="Z25" s="18"/>
      <c r="AA25" s="19">
        <f t="shared" si="11"/>
        <v>0</v>
      </c>
      <c r="AB25" s="17">
        <v>0</v>
      </c>
      <c r="AC25" s="18"/>
      <c r="AD25" s="18"/>
      <c r="AE25" s="22">
        <f t="shared" si="12"/>
        <v>0</v>
      </c>
      <c r="AF25" s="23">
        <f t="shared" si="13"/>
        <v>0</v>
      </c>
      <c r="AG25" s="23">
        <f t="shared" si="14"/>
        <v>0</v>
      </c>
      <c r="AH25" s="18"/>
      <c r="AI25" s="24">
        <f t="shared" si="15"/>
        <v>0</v>
      </c>
      <c r="AJ25" s="25">
        <v>0</v>
      </c>
      <c r="AK25" s="24">
        <f t="shared" si="16"/>
        <v>0</v>
      </c>
      <c r="AL25" s="22">
        <f t="shared" si="17"/>
        <v>0</v>
      </c>
      <c r="AM25" s="22">
        <f t="shared" si="18"/>
        <v>0</v>
      </c>
      <c r="AN25" s="22">
        <f t="shared" si="19"/>
        <v>0</v>
      </c>
      <c r="AO25" s="26" t="str">
        <f t="shared" si="20"/>
        <v/>
      </c>
      <c r="AP25" s="26" t="str">
        <f t="shared" si="21"/>
        <v>pre-launch</v>
      </c>
      <c r="AQ25" s="18"/>
      <c r="AR25" s="18"/>
    </row>
    <row r="26" spans="1:44" x14ac:dyDescent="0.25">
      <c r="A26" s="43">
        <v>45087</v>
      </c>
      <c r="B26" s="17">
        <v>3671784735.3499999</v>
      </c>
      <c r="C26" s="17">
        <v>0</v>
      </c>
      <c r="D26" s="18"/>
      <c r="E26" s="19">
        <f t="shared" si="0"/>
        <v>3671784735.3499999</v>
      </c>
      <c r="F26" s="19">
        <f t="shared" si="1"/>
        <v>3671784735.3499999</v>
      </c>
      <c r="G26" s="20">
        <f t="shared" si="2"/>
        <v>0</v>
      </c>
      <c r="H26" s="18"/>
      <c r="I26" s="18"/>
      <c r="J26" s="18"/>
      <c r="K26" s="19">
        <f t="shared" si="3"/>
        <v>0</v>
      </c>
      <c r="L26" s="18"/>
      <c r="M26" s="18"/>
      <c r="N26" s="18"/>
      <c r="O26" s="19">
        <f t="shared" si="4"/>
        <v>0</v>
      </c>
      <c r="P26" s="21">
        <f t="shared" si="5"/>
        <v>0</v>
      </c>
      <c r="Q26" s="18"/>
      <c r="R26" s="18"/>
      <c r="S26" s="19">
        <f t="shared" si="6"/>
        <v>0</v>
      </c>
      <c r="T26" s="20">
        <f t="shared" si="7"/>
        <v>0.03</v>
      </c>
      <c r="U26" s="19">
        <f t="shared" si="8"/>
        <v>0</v>
      </c>
      <c r="V26" s="18"/>
      <c r="W26" s="19">
        <f t="shared" si="9"/>
        <v>0</v>
      </c>
      <c r="X26" s="19">
        <f t="shared" si="10"/>
        <v>0</v>
      </c>
      <c r="Y26" s="18"/>
      <c r="Z26" s="18"/>
      <c r="AA26" s="19">
        <f t="shared" si="11"/>
        <v>0</v>
      </c>
      <c r="AB26" s="17">
        <v>0</v>
      </c>
      <c r="AC26" s="18"/>
      <c r="AD26" s="18"/>
      <c r="AE26" s="22">
        <f t="shared" si="12"/>
        <v>0</v>
      </c>
      <c r="AF26" s="23">
        <f t="shared" si="13"/>
        <v>0</v>
      </c>
      <c r="AG26" s="23">
        <f t="shared" si="14"/>
        <v>0</v>
      </c>
      <c r="AH26" s="18"/>
      <c r="AI26" s="24">
        <f t="shared" si="15"/>
        <v>0</v>
      </c>
      <c r="AJ26" s="25">
        <v>0</v>
      </c>
      <c r="AK26" s="24">
        <f t="shared" si="16"/>
        <v>0</v>
      </c>
      <c r="AL26" s="22">
        <f t="shared" si="17"/>
        <v>0</v>
      </c>
      <c r="AM26" s="22">
        <f t="shared" si="18"/>
        <v>0</v>
      </c>
      <c r="AN26" s="22">
        <f t="shared" si="19"/>
        <v>0</v>
      </c>
      <c r="AO26" s="26" t="str">
        <f t="shared" si="20"/>
        <v/>
      </c>
      <c r="AP26" s="26" t="str">
        <f t="shared" si="21"/>
        <v>pre-launch</v>
      </c>
      <c r="AQ26" s="18"/>
      <c r="AR26" s="18"/>
    </row>
    <row r="27" spans="1:44" x14ac:dyDescent="0.25">
      <c r="A27" s="43">
        <v>45088</v>
      </c>
      <c r="B27" s="17">
        <v>2026034415.52</v>
      </c>
      <c r="C27" s="17">
        <v>0</v>
      </c>
      <c r="D27" s="18"/>
      <c r="E27" s="19">
        <f t="shared" si="0"/>
        <v>2026034415.52</v>
      </c>
      <c r="F27" s="19">
        <f t="shared" si="1"/>
        <v>2026034415.52</v>
      </c>
      <c r="G27" s="20">
        <f t="shared" si="2"/>
        <v>0</v>
      </c>
      <c r="H27" s="18"/>
      <c r="I27" s="18"/>
      <c r="J27" s="18"/>
      <c r="K27" s="19">
        <f t="shared" si="3"/>
        <v>0</v>
      </c>
      <c r="L27" s="18"/>
      <c r="M27" s="18"/>
      <c r="N27" s="18"/>
      <c r="O27" s="19">
        <f t="shared" si="4"/>
        <v>0</v>
      </c>
      <c r="P27" s="21">
        <f t="shared" si="5"/>
        <v>0</v>
      </c>
      <c r="Q27" s="18"/>
      <c r="R27" s="18"/>
      <c r="S27" s="19">
        <f t="shared" si="6"/>
        <v>0</v>
      </c>
      <c r="T27" s="20">
        <f t="shared" si="7"/>
        <v>0.03</v>
      </c>
      <c r="U27" s="19">
        <f t="shared" si="8"/>
        <v>0</v>
      </c>
      <c r="V27" s="18"/>
      <c r="W27" s="19">
        <f t="shared" si="9"/>
        <v>0</v>
      </c>
      <c r="X27" s="19">
        <f t="shared" si="10"/>
        <v>0</v>
      </c>
      <c r="Y27" s="18"/>
      <c r="Z27" s="18"/>
      <c r="AA27" s="19">
        <f t="shared" si="11"/>
        <v>0</v>
      </c>
      <c r="AB27" s="17">
        <v>0</v>
      </c>
      <c r="AC27" s="18"/>
      <c r="AD27" s="18"/>
      <c r="AE27" s="22">
        <f t="shared" si="12"/>
        <v>0</v>
      </c>
      <c r="AF27" s="23">
        <f t="shared" si="13"/>
        <v>0</v>
      </c>
      <c r="AG27" s="23">
        <f t="shared" si="14"/>
        <v>0</v>
      </c>
      <c r="AH27" s="18"/>
      <c r="AI27" s="24">
        <f t="shared" si="15"/>
        <v>0</v>
      </c>
      <c r="AJ27" s="25">
        <v>0</v>
      </c>
      <c r="AK27" s="24">
        <f t="shared" si="16"/>
        <v>0</v>
      </c>
      <c r="AL27" s="22">
        <f t="shared" si="17"/>
        <v>0</v>
      </c>
      <c r="AM27" s="22">
        <f t="shared" si="18"/>
        <v>0</v>
      </c>
      <c r="AN27" s="22">
        <f t="shared" si="19"/>
        <v>0</v>
      </c>
      <c r="AO27" s="26" t="str">
        <f t="shared" si="20"/>
        <v/>
      </c>
      <c r="AP27" s="26" t="str">
        <f t="shared" si="21"/>
        <v>pre-launch</v>
      </c>
      <c r="AQ27" s="18"/>
      <c r="AR27" s="18"/>
    </row>
    <row r="28" spans="1:44" x14ac:dyDescent="0.25">
      <c r="A28" s="43">
        <v>45089</v>
      </c>
      <c r="B28" s="17">
        <v>2373508641.0500002</v>
      </c>
      <c r="C28" s="17">
        <v>0</v>
      </c>
      <c r="D28" s="18"/>
      <c r="E28" s="19">
        <f t="shared" si="0"/>
        <v>2373508641.0500002</v>
      </c>
      <c r="F28" s="19">
        <f t="shared" si="1"/>
        <v>2373508641.0500002</v>
      </c>
      <c r="G28" s="20">
        <f t="shared" si="2"/>
        <v>0</v>
      </c>
      <c r="H28" s="18"/>
      <c r="I28" s="18"/>
      <c r="J28" s="18"/>
      <c r="K28" s="19">
        <f t="shared" si="3"/>
        <v>0</v>
      </c>
      <c r="L28" s="18"/>
      <c r="M28" s="18"/>
      <c r="N28" s="18"/>
      <c r="O28" s="19">
        <f t="shared" si="4"/>
        <v>0</v>
      </c>
      <c r="P28" s="21">
        <f t="shared" si="5"/>
        <v>0</v>
      </c>
      <c r="Q28" s="18"/>
      <c r="R28" s="18"/>
      <c r="S28" s="19">
        <f t="shared" si="6"/>
        <v>0</v>
      </c>
      <c r="T28" s="20">
        <f t="shared" si="7"/>
        <v>0.03</v>
      </c>
      <c r="U28" s="19">
        <f t="shared" si="8"/>
        <v>0</v>
      </c>
      <c r="V28" s="18"/>
      <c r="W28" s="19">
        <f t="shared" si="9"/>
        <v>0</v>
      </c>
      <c r="X28" s="19">
        <f t="shared" si="10"/>
        <v>0</v>
      </c>
      <c r="Y28" s="18"/>
      <c r="Z28" s="18"/>
      <c r="AA28" s="19">
        <f t="shared" si="11"/>
        <v>0</v>
      </c>
      <c r="AB28" s="17">
        <v>0</v>
      </c>
      <c r="AC28" s="18"/>
      <c r="AD28" s="18"/>
      <c r="AE28" s="22">
        <f t="shared" si="12"/>
        <v>0</v>
      </c>
      <c r="AF28" s="23">
        <f t="shared" si="13"/>
        <v>0</v>
      </c>
      <c r="AG28" s="23">
        <f t="shared" si="14"/>
        <v>0</v>
      </c>
      <c r="AH28" s="18"/>
      <c r="AI28" s="24">
        <f t="shared" si="15"/>
        <v>0</v>
      </c>
      <c r="AJ28" s="25">
        <v>0</v>
      </c>
      <c r="AK28" s="24">
        <f t="shared" si="16"/>
        <v>0</v>
      </c>
      <c r="AL28" s="22">
        <f t="shared" si="17"/>
        <v>0</v>
      </c>
      <c r="AM28" s="22">
        <f t="shared" si="18"/>
        <v>0</v>
      </c>
      <c r="AN28" s="22">
        <f t="shared" si="19"/>
        <v>0</v>
      </c>
      <c r="AO28" s="26" t="str">
        <f t="shared" si="20"/>
        <v/>
      </c>
      <c r="AP28" s="26" t="str">
        <f t="shared" si="21"/>
        <v>pre-launch</v>
      </c>
      <c r="AQ28" s="18"/>
      <c r="AR28" s="18"/>
    </row>
    <row r="29" spans="1:44" x14ac:dyDescent="0.25">
      <c r="A29" s="43">
        <v>45090</v>
      </c>
      <c r="B29" s="17">
        <v>531069565.5</v>
      </c>
      <c r="C29" s="17">
        <v>0</v>
      </c>
      <c r="D29" s="18"/>
      <c r="E29" s="19">
        <f t="shared" si="0"/>
        <v>531069565.5</v>
      </c>
      <c r="F29" s="19">
        <f t="shared" si="1"/>
        <v>531069565.5</v>
      </c>
      <c r="G29" s="20">
        <f t="shared" si="2"/>
        <v>0</v>
      </c>
      <c r="H29" s="18"/>
      <c r="I29" s="18"/>
      <c r="J29" s="18"/>
      <c r="K29" s="19">
        <f t="shared" si="3"/>
        <v>0</v>
      </c>
      <c r="L29" s="18"/>
      <c r="M29" s="18"/>
      <c r="N29" s="18"/>
      <c r="O29" s="19">
        <f t="shared" si="4"/>
        <v>0</v>
      </c>
      <c r="P29" s="21">
        <f t="shared" si="5"/>
        <v>0</v>
      </c>
      <c r="Q29" s="18"/>
      <c r="R29" s="18"/>
      <c r="S29" s="19">
        <f t="shared" si="6"/>
        <v>0</v>
      </c>
      <c r="T29" s="20">
        <f t="shared" si="7"/>
        <v>0.03</v>
      </c>
      <c r="U29" s="19">
        <f t="shared" si="8"/>
        <v>0</v>
      </c>
      <c r="V29" s="18"/>
      <c r="W29" s="19">
        <f t="shared" si="9"/>
        <v>0</v>
      </c>
      <c r="X29" s="19">
        <f t="shared" si="10"/>
        <v>0</v>
      </c>
      <c r="Y29" s="18"/>
      <c r="Z29" s="18"/>
      <c r="AA29" s="19">
        <f t="shared" si="11"/>
        <v>0</v>
      </c>
      <c r="AB29" s="17">
        <v>0</v>
      </c>
      <c r="AC29" s="18"/>
      <c r="AD29" s="18"/>
      <c r="AE29" s="22">
        <f t="shared" si="12"/>
        <v>0</v>
      </c>
      <c r="AF29" s="23">
        <f t="shared" si="13"/>
        <v>0</v>
      </c>
      <c r="AG29" s="23">
        <f t="shared" si="14"/>
        <v>0</v>
      </c>
      <c r="AH29" s="18"/>
      <c r="AI29" s="24">
        <f t="shared" si="15"/>
        <v>0</v>
      </c>
      <c r="AJ29" s="25">
        <v>0</v>
      </c>
      <c r="AK29" s="24">
        <f t="shared" si="16"/>
        <v>0</v>
      </c>
      <c r="AL29" s="22">
        <f t="shared" si="17"/>
        <v>0</v>
      </c>
      <c r="AM29" s="22">
        <f t="shared" si="18"/>
        <v>0</v>
      </c>
      <c r="AN29" s="22">
        <f t="shared" si="19"/>
        <v>0</v>
      </c>
      <c r="AO29" s="26" t="str">
        <f t="shared" si="20"/>
        <v/>
      </c>
      <c r="AP29" s="26" t="str">
        <f t="shared" si="21"/>
        <v>pre-launch</v>
      </c>
      <c r="AQ29" s="18"/>
      <c r="AR29" s="18"/>
    </row>
    <row r="30" spans="1:44" x14ac:dyDescent="0.25">
      <c r="A30" s="43">
        <v>45091</v>
      </c>
      <c r="B30" s="17">
        <v>70568858.430000007</v>
      </c>
      <c r="C30" s="17">
        <v>0</v>
      </c>
      <c r="D30" s="18"/>
      <c r="E30" s="19">
        <f t="shared" si="0"/>
        <v>70568858.430000007</v>
      </c>
      <c r="F30" s="19">
        <f t="shared" si="1"/>
        <v>70568858.430000007</v>
      </c>
      <c r="G30" s="20">
        <f t="shared" si="2"/>
        <v>0</v>
      </c>
      <c r="H30" s="18"/>
      <c r="I30" s="18"/>
      <c r="J30" s="18"/>
      <c r="K30" s="19">
        <f t="shared" si="3"/>
        <v>0</v>
      </c>
      <c r="L30" s="18"/>
      <c r="M30" s="18"/>
      <c r="N30" s="18"/>
      <c r="O30" s="19">
        <f t="shared" si="4"/>
        <v>0</v>
      </c>
      <c r="P30" s="21">
        <f t="shared" si="5"/>
        <v>0</v>
      </c>
      <c r="Q30" s="18"/>
      <c r="R30" s="18"/>
      <c r="S30" s="19">
        <f t="shared" si="6"/>
        <v>0</v>
      </c>
      <c r="T30" s="20">
        <f t="shared" si="7"/>
        <v>0.03</v>
      </c>
      <c r="U30" s="19">
        <f t="shared" si="8"/>
        <v>0</v>
      </c>
      <c r="V30" s="18"/>
      <c r="W30" s="19">
        <f t="shared" si="9"/>
        <v>0</v>
      </c>
      <c r="X30" s="19">
        <f t="shared" si="10"/>
        <v>0</v>
      </c>
      <c r="Y30" s="18"/>
      <c r="Z30" s="18"/>
      <c r="AA30" s="19">
        <f t="shared" si="11"/>
        <v>0</v>
      </c>
      <c r="AB30" s="17">
        <v>0</v>
      </c>
      <c r="AC30" s="18"/>
      <c r="AD30" s="18"/>
      <c r="AE30" s="22">
        <f t="shared" si="12"/>
        <v>0</v>
      </c>
      <c r="AF30" s="23">
        <f t="shared" si="13"/>
        <v>0</v>
      </c>
      <c r="AG30" s="23">
        <f t="shared" si="14"/>
        <v>0</v>
      </c>
      <c r="AH30" s="18"/>
      <c r="AI30" s="24">
        <f t="shared" si="15"/>
        <v>0</v>
      </c>
      <c r="AJ30" s="25">
        <v>0</v>
      </c>
      <c r="AK30" s="24">
        <f t="shared" si="16"/>
        <v>0</v>
      </c>
      <c r="AL30" s="22">
        <f t="shared" si="17"/>
        <v>0</v>
      </c>
      <c r="AM30" s="22">
        <f t="shared" si="18"/>
        <v>0</v>
      </c>
      <c r="AN30" s="22">
        <f t="shared" si="19"/>
        <v>0</v>
      </c>
      <c r="AO30" s="26" t="str">
        <f t="shared" si="20"/>
        <v/>
      </c>
      <c r="AP30" s="26" t="str">
        <f t="shared" si="21"/>
        <v>pre-launch</v>
      </c>
      <c r="AQ30" s="18"/>
      <c r="AR30" s="18"/>
    </row>
    <row r="31" spans="1:44" x14ac:dyDescent="0.25">
      <c r="A31" s="43">
        <v>45092</v>
      </c>
      <c r="B31" s="17">
        <v>95830879.849999994</v>
      </c>
      <c r="C31" s="17">
        <v>0</v>
      </c>
      <c r="D31" s="18"/>
      <c r="E31" s="19">
        <f t="shared" si="0"/>
        <v>95830879.849999994</v>
      </c>
      <c r="F31" s="19">
        <f t="shared" si="1"/>
        <v>95830879.849999994</v>
      </c>
      <c r="G31" s="20">
        <f t="shared" si="2"/>
        <v>0</v>
      </c>
      <c r="H31" s="18"/>
      <c r="I31" s="18"/>
      <c r="J31" s="18"/>
      <c r="K31" s="19">
        <f t="shared" si="3"/>
        <v>0</v>
      </c>
      <c r="L31" s="18"/>
      <c r="M31" s="18"/>
      <c r="N31" s="18"/>
      <c r="O31" s="19">
        <f t="shared" si="4"/>
        <v>0</v>
      </c>
      <c r="P31" s="21">
        <f t="shared" si="5"/>
        <v>0</v>
      </c>
      <c r="Q31" s="18"/>
      <c r="R31" s="18"/>
      <c r="S31" s="19">
        <f t="shared" si="6"/>
        <v>0</v>
      </c>
      <c r="T31" s="20">
        <f t="shared" si="7"/>
        <v>0.03</v>
      </c>
      <c r="U31" s="19">
        <f t="shared" si="8"/>
        <v>0</v>
      </c>
      <c r="V31" s="18"/>
      <c r="W31" s="19">
        <f t="shared" si="9"/>
        <v>0</v>
      </c>
      <c r="X31" s="19">
        <f t="shared" si="10"/>
        <v>0</v>
      </c>
      <c r="Y31" s="18"/>
      <c r="Z31" s="18"/>
      <c r="AA31" s="19">
        <f t="shared" si="11"/>
        <v>0</v>
      </c>
      <c r="AB31" s="17">
        <v>0</v>
      </c>
      <c r="AC31" s="18"/>
      <c r="AD31" s="18"/>
      <c r="AE31" s="22">
        <f t="shared" si="12"/>
        <v>0</v>
      </c>
      <c r="AF31" s="23">
        <f t="shared" si="13"/>
        <v>0</v>
      </c>
      <c r="AG31" s="23">
        <f t="shared" si="14"/>
        <v>0</v>
      </c>
      <c r="AH31" s="18"/>
      <c r="AI31" s="24">
        <f t="shared" si="15"/>
        <v>0</v>
      </c>
      <c r="AJ31" s="25">
        <v>0</v>
      </c>
      <c r="AK31" s="24">
        <f t="shared" si="16"/>
        <v>0</v>
      </c>
      <c r="AL31" s="22">
        <f t="shared" si="17"/>
        <v>0</v>
      </c>
      <c r="AM31" s="22">
        <f t="shared" si="18"/>
        <v>0</v>
      </c>
      <c r="AN31" s="22">
        <f t="shared" si="19"/>
        <v>0</v>
      </c>
      <c r="AO31" s="26" t="str">
        <f t="shared" si="20"/>
        <v/>
      </c>
      <c r="AP31" s="26" t="str">
        <f t="shared" si="21"/>
        <v>pre-launch</v>
      </c>
      <c r="AQ31" s="18"/>
      <c r="AR31" s="18"/>
    </row>
    <row r="32" spans="1:44" x14ac:dyDescent="0.25">
      <c r="A32" s="43">
        <v>45093</v>
      </c>
      <c r="B32" s="17">
        <v>16587189.4</v>
      </c>
      <c r="C32" s="17">
        <v>0</v>
      </c>
      <c r="D32" s="18"/>
      <c r="E32" s="19">
        <f t="shared" si="0"/>
        <v>16587189.4</v>
      </c>
      <c r="F32" s="19">
        <f t="shared" si="1"/>
        <v>16587189.4</v>
      </c>
      <c r="G32" s="20">
        <f t="shared" si="2"/>
        <v>0</v>
      </c>
      <c r="H32" s="18"/>
      <c r="I32" s="18"/>
      <c r="J32" s="18"/>
      <c r="K32" s="19">
        <f t="shared" si="3"/>
        <v>0</v>
      </c>
      <c r="L32" s="18"/>
      <c r="M32" s="18"/>
      <c r="N32" s="18"/>
      <c r="O32" s="19">
        <f t="shared" si="4"/>
        <v>0</v>
      </c>
      <c r="P32" s="21">
        <f t="shared" si="5"/>
        <v>0</v>
      </c>
      <c r="Q32" s="18"/>
      <c r="R32" s="18"/>
      <c r="S32" s="19">
        <f t="shared" si="6"/>
        <v>0</v>
      </c>
      <c r="T32" s="20">
        <f t="shared" si="7"/>
        <v>0.03</v>
      </c>
      <c r="U32" s="19">
        <f t="shared" si="8"/>
        <v>0</v>
      </c>
      <c r="V32" s="18"/>
      <c r="W32" s="19">
        <f t="shared" si="9"/>
        <v>0</v>
      </c>
      <c r="X32" s="19">
        <f t="shared" si="10"/>
        <v>0</v>
      </c>
      <c r="Y32" s="18"/>
      <c r="Z32" s="18"/>
      <c r="AA32" s="19">
        <f t="shared" si="11"/>
        <v>0</v>
      </c>
      <c r="AB32" s="17">
        <v>0</v>
      </c>
      <c r="AC32" s="18"/>
      <c r="AD32" s="18"/>
      <c r="AE32" s="22">
        <f t="shared" si="12"/>
        <v>0</v>
      </c>
      <c r="AF32" s="23">
        <f t="shared" si="13"/>
        <v>0</v>
      </c>
      <c r="AG32" s="23">
        <f t="shared" si="14"/>
        <v>0</v>
      </c>
      <c r="AH32" s="18"/>
      <c r="AI32" s="24">
        <f t="shared" si="15"/>
        <v>0</v>
      </c>
      <c r="AJ32" s="25">
        <v>0</v>
      </c>
      <c r="AK32" s="24">
        <f t="shared" si="16"/>
        <v>0</v>
      </c>
      <c r="AL32" s="22">
        <f t="shared" si="17"/>
        <v>0</v>
      </c>
      <c r="AM32" s="22">
        <f t="shared" si="18"/>
        <v>0</v>
      </c>
      <c r="AN32" s="22">
        <f t="shared" si="19"/>
        <v>0</v>
      </c>
      <c r="AO32" s="26" t="str">
        <f t="shared" si="20"/>
        <v/>
      </c>
      <c r="AP32" s="26" t="str">
        <f t="shared" si="21"/>
        <v>pre-launch</v>
      </c>
      <c r="AQ32" s="18"/>
      <c r="AR32" s="18"/>
    </row>
    <row r="33" spans="1:44" x14ac:dyDescent="0.25">
      <c r="A33" s="43">
        <v>45094</v>
      </c>
      <c r="B33" s="17">
        <v>9952192.1899999995</v>
      </c>
      <c r="C33" s="17">
        <v>0</v>
      </c>
      <c r="D33" s="18"/>
      <c r="E33" s="19">
        <f t="shared" si="0"/>
        <v>9952192.1899999995</v>
      </c>
      <c r="F33" s="19">
        <f t="shared" si="1"/>
        <v>9952192.1899999995</v>
      </c>
      <c r="G33" s="20">
        <f t="shared" si="2"/>
        <v>0</v>
      </c>
      <c r="H33" s="18"/>
      <c r="I33" s="18"/>
      <c r="J33" s="18"/>
      <c r="K33" s="19">
        <f t="shared" si="3"/>
        <v>0</v>
      </c>
      <c r="L33" s="18"/>
      <c r="M33" s="18"/>
      <c r="N33" s="18"/>
      <c r="O33" s="19">
        <f t="shared" si="4"/>
        <v>0</v>
      </c>
      <c r="P33" s="21">
        <f t="shared" si="5"/>
        <v>0</v>
      </c>
      <c r="Q33" s="18"/>
      <c r="R33" s="18"/>
      <c r="S33" s="19">
        <f t="shared" si="6"/>
        <v>0</v>
      </c>
      <c r="T33" s="20">
        <f t="shared" si="7"/>
        <v>0.03</v>
      </c>
      <c r="U33" s="19">
        <f t="shared" si="8"/>
        <v>0</v>
      </c>
      <c r="V33" s="18"/>
      <c r="W33" s="19">
        <f t="shared" si="9"/>
        <v>0</v>
      </c>
      <c r="X33" s="19">
        <f t="shared" si="10"/>
        <v>0</v>
      </c>
      <c r="Y33" s="18"/>
      <c r="Z33" s="18"/>
      <c r="AA33" s="19">
        <f t="shared" si="11"/>
        <v>0</v>
      </c>
      <c r="AB33" s="17">
        <v>0</v>
      </c>
      <c r="AC33" s="18"/>
      <c r="AD33" s="18"/>
      <c r="AE33" s="22">
        <f t="shared" si="12"/>
        <v>0</v>
      </c>
      <c r="AF33" s="23">
        <f t="shared" si="13"/>
        <v>0</v>
      </c>
      <c r="AG33" s="23">
        <f t="shared" si="14"/>
        <v>0</v>
      </c>
      <c r="AH33" s="18"/>
      <c r="AI33" s="24">
        <f t="shared" si="15"/>
        <v>0</v>
      </c>
      <c r="AJ33" s="25">
        <v>0</v>
      </c>
      <c r="AK33" s="24">
        <f t="shared" si="16"/>
        <v>0</v>
      </c>
      <c r="AL33" s="22">
        <f t="shared" si="17"/>
        <v>0</v>
      </c>
      <c r="AM33" s="22">
        <f t="shared" si="18"/>
        <v>0</v>
      </c>
      <c r="AN33" s="22">
        <f t="shared" si="19"/>
        <v>0</v>
      </c>
      <c r="AO33" s="26" t="str">
        <f t="shared" si="20"/>
        <v/>
      </c>
      <c r="AP33" s="26" t="str">
        <f t="shared" si="21"/>
        <v>pre-launch</v>
      </c>
      <c r="AQ33" s="18"/>
      <c r="AR33" s="18"/>
    </row>
    <row r="34" spans="1:44" x14ac:dyDescent="0.25">
      <c r="A34" s="43">
        <v>45095</v>
      </c>
      <c r="B34" s="17">
        <v>9641694</v>
      </c>
      <c r="C34" s="17">
        <v>0</v>
      </c>
      <c r="D34" s="18"/>
      <c r="E34" s="19">
        <f t="shared" si="0"/>
        <v>9641694</v>
      </c>
      <c r="F34" s="19">
        <f t="shared" si="1"/>
        <v>9641694</v>
      </c>
      <c r="G34" s="20">
        <f t="shared" si="2"/>
        <v>0</v>
      </c>
      <c r="H34" s="18"/>
      <c r="I34" s="18"/>
      <c r="J34" s="18"/>
      <c r="K34" s="19">
        <f t="shared" si="3"/>
        <v>0</v>
      </c>
      <c r="L34" s="18"/>
      <c r="M34" s="18"/>
      <c r="N34" s="18"/>
      <c r="O34" s="19">
        <f t="shared" si="4"/>
        <v>0</v>
      </c>
      <c r="P34" s="21">
        <f t="shared" si="5"/>
        <v>0</v>
      </c>
      <c r="Q34" s="18"/>
      <c r="R34" s="18"/>
      <c r="S34" s="19">
        <f t="shared" si="6"/>
        <v>0</v>
      </c>
      <c r="T34" s="20">
        <f t="shared" si="7"/>
        <v>0.03</v>
      </c>
      <c r="U34" s="19">
        <f t="shared" si="8"/>
        <v>0</v>
      </c>
      <c r="V34" s="18"/>
      <c r="W34" s="19">
        <f t="shared" si="9"/>
        <v>0</v>
      </c>
      <c r="X34" s="19">
        <f t="shared" si="10"/>
        <v>0</v>
      </c>
      <c r="Y34" s="18"/>
      <c r="Z34" s="18"/>
      <c r="AA34" s="19">
        <f t="shared" si="11"/>
        <v>0</v>
      </c>
      <c r="AB34" s="17">
        <v>0</v>
      </c>
      <c r="AC34" s="18"/>
      <c r="AD34" s="18"/>
      <c r="AE34" s="22">
        <f t="shared" si="12"/>
        <v>0</v>
      </c>
      <c r="AF34" s="23">
        <f t="shared" si="13"/>
        <v>0</v>
      </c>
      <c r="AG34" s="23">
        <f t="shared" si="14"/>
        <v>0</v>
      </c>
      <c r="AH34" s="18"/>
      <c r="AI34" s="24">
        <f t="shared" si="15"/>
        <v>0</v>
      </c>
      <c r="AJ34" s="25">
        <v>0</v>
      </c>
      <c r="AK34" s="24">
        <f t="shared" si="16"/>
        <v>0</v>
      </c>
      <c r="AL34" s="22">
        <f t="shared" si="17"/>
        <v>0</v>
      </c>
      <c r="AM34" s="22">
        <f t="shared" si="18"/>
        <v>0</v>
      </c>
      <c r="AN34" s="22">
        <f t="shared" si="19"/>
        <v>0</v>
      </c>
      <c r="AO34" s="26" t="str">
        <f t="shared" si="20"/>
        <v/>
      </c>
      <c r="AP34" s="26" t="str">
        <f t="shared" si="21"/>
        <v>pre-launch</v>
      </c>
      <c r="AQ34" s="18"/>
      <c r="AR34" s="18"/>
    </row>
    <row r="35" spans="1:44" x14ac:dyDescent="0.25">
      <c r="A35" s="43">
        <v>45096</v>
      </c>
      <c r="B35" s="17">
        <v>17453853.870000001</v>
      </c>
      <c r="C35" s="17">
        <v>0</v>
      </c>
      <c r="D35" s="18"/>
      <c r="E35" s="19">
        <f t="shared" si="0"/>
        <v>17453853.870000001</v>
      </c>
      <c r="F35" s="19">
        <f t="shared" si="1"/>
        <v>17453853.870000001</v>
      </c>
      <c r="G35" s="20">
        <f t="shared" si="2"/>
        <v>0</v>
      </c>
      <c r="H35" s="18"/>
      <c r="I35" s="18"/>
      <c r="J35" s="18"/>
      <c r="K35" s="19">
        <f t="shared" si="3"/>
        <v>0</v>
      </c>
      <c r="L35" s="18"/>
      <c r="M35" s="18"/>
      <c r="N35" s="18"/>
      <c r="O35" s="19">
        <f t="shared" si="4"/>
        <v>0</v>
      </c>
      <c r="P35" s="21">
        <f t="shared" si="5"/>
        <v>0</v>
      </c>
      <c r="Q35" s="18"/>
      <c r="R35" s="18"/>
      <c r="S35" s="19">
        <f t="shared" si="6"/>
        <v>0</v>
      </c>
      <c r="T35" s="20">
        <f t="shared" si="7"/>
        <v>0.03</v>
      </c>
      <c r="U35" s="19">
        <f t="shared" si="8"/>
        <v>0</v>
      </c>
      <c r="V35" s="18"/>
      <c r="W35" s="19">
        <f t="shared" si="9"/>
        <v>0</v>
      </c>
      <c r="X35" s="19">
        <f t="shared" si="10"/>
        <v>0</v>
      </c>
      <c r="Y35" s="18"/>
      <c r="Z35" s="18"/>
      <c r="AA35" s="19">
        <f t="shared" si="11"/>
        <v>0</v>
      </c>
      <c r="AB35" s="17">
        <v>0</v>
      </c>
      <c r="AC35" s="18"/>
      <c r="AD35" s="18"/>
      <c r="AE35" s="22">
        <f t="shared" si="12"/>
        <v>0</v>
      </c>
      <c r="AF35" s="23">
        <f t="shared" si="13"/>
        <v>0</v>
      </c>
      <c r="AG35" s="23">
        <f t="shared" si="14"/>
        <v>0</v>
      </c>
      <c r="AH35" s="18"/>
      <c r="AI35" s="24">
        <f t="shared" si="15"/>
        <v>0</v>
      </c>
      <c r="AJ35" s="25">
        <v>0</v>
      </c>
      <c r="AK35" s="24">
        <f t="shared" si="16"/>
        <v>0</v>
      </c>
      <c r="AL35" s="22">
        <f t="shared" si="17"/>
        <v>0</v>
      </c>
      <c r="AM35" s="22">
        <f t="shared" si="18"/>
        <v>0</v>
      </c>
      <c r="AN35" s="22">
        <f t="shared" si="19"/>
        <v>0</v>
      </c>
      <c r="AO35" s="26" t="str">
        <f t="shared" si="20"/>
        <v/>
      </c>
      <c r="AP35" s="26" t="str">
        <f t="shared" si="21"/>
        <v>pre-launch</v>
      </c>
      <c r="AQ35" s="18"/>
      <c r="AR35" s="18"/>
    </row>
    <row r="36" spans="1:44" x14ac:dyDescent="0.25">
      <c r="A36" s="43">
        <v>45097</v>
      </c>
      <c r="B36" s="17">
        <v>27580830</v>
      </c>
      <c r="C36" s="17">
        <v>0</v>
      </c>
      <c r="D36" s="18"/>
      <c r="E36" s="19">
        <f t="shared" si="0"/>
        <v>27580830</v>
      </c>
      <c r="F36" s="19">
        <f t="shared" si="1"/>
        <v>27580830</v>
      </c>
      <c r="G36" s="20">
        <f t="shared" si="2"/>
        <v>0</v>
      </c>
      <c r="H36" s="18"/>
      <c r="I36" s="18"/>
      <c r="J36" s="18"/>
      <c r="K36" s="19">
        <f t="shared" si="3"/>
        <v>0</v>
      </c>
      <c r="L36" s="18"/>
      <c r="M36" s="18"/>
      <c r="N36" s="18"/>
      <c r="O36" s="19">
        <f t="shared" si="4"/>
        <v>0</v>
      </c>
      <c r="P36" s="21">
        <f t="shared" si="5"/>
        <v>0</v>
      </c>
      <c r="Q36" s="18"/>
      <c r="R36" s="18"/>
      <c r="S36" s="19">
        <f t="shared" si="6"/>
        <v>0</v>
      </c>
      <c r="T36" s="20">
        <f t="shared" si="7"/>
        <v>0.03</v>
      </c>
      <c r="U36" s="19">
        <f t="shared" si="8"/>
        <v>0</v>
      </c>
      <c r="V36" s="18"/>
      <c r="W36" s="19">
        <f t="shared" si="9"/>
        <v>0</v>
      </c>
      <c r="X36" s="19">
        <f t="shared" si="10"/>
        <v>0</v>
      </c>
      <c r="Y36" s="18"/>
      <c r="Z36" s="18"/>
      <c r="AA36" s="19">
        <f t="shared" si="11"/>
        <v>0</v>
      </c>
      <c r="AB36" s="17">
        <v>0</v>
      </c>
      <c r="AC36" s="18"/>
      <c r="AD36" s="18"/>
      <c r="AE36" s="22">
        <f t="shared" si="12"/>
        <v>0</v>
      </c>
      <c r="AF36" s="23">
        <f t="shared" si="13"/>
        <v>0</v>
      </c>
      <c r="AG36" s="23">
        <f t="shared" si="14"/>
        <v>0</v>
      </c>
      <c r="AH36" s="18"/>
      <c r="AI36" s="24">
        <f t="shared" si="15"/>
        <v>0</v>
      </c>
      <c r="AJ36" s="25">
        <v>0</v>
      </c>
      <c r="AK36" s="24">
        <f t="shared" si="16"/>
        <v>0</v>
      </c>
      <c r="AL36" s="22">
        <f t="shared" si="17"/>
        <v>0</v>
      </c>
      <c r="AM36" s="22">
        <f t="shared" si="18"/>
        <v>0</v>
      </c>
      <c r="AN36" s="22">
        <f t="shared" si="19"/>
        <v>0</v>
      </c>
      <c r="AO36" s="26" t="str">
        <f t="shared" si="20"/>
        <v/>
      </c>
      <c r="AP36" s="26" t="str">
        <f t="shared" si="21"/>
        <v>pre-launch</v>
      </c>
      <c r="AQ36" s="18"/>
      <c r="AR36" s="18"/>
    </row>
    <row r="37" spans="1:44" x14ac:dyDescent="0.25">
      <c r="A37" s="43">
        <v>45098</v>
      </c>
      <c r="B37" s="17">
        <v>61364794.969999999</v>
      </c>
      <c r="C37" s="17">
        <v>0</v>
      </c>
      <c r="D37" s="18"/>
      <c r="E37" s="19">
        <f t="shared" si="0"/>
        <v>61364794.969999999</v>
      </c>
      <c r="F37" s="19">
        <f t="shared" si="1"/>
        <v>61364794.969999999</v>
      </c>
      <c r="G37" s="20">
        <f t="shared" si="2"/>
        <v>0</v>
      </c>
      <c r="H37" s="18"/>
      <c r="I37" s="18"/>
      <c r="J37" s="18"/>
      <c r="K37" s="19">
        <f t="shared" si="3"/>
        <v>0</v>
      </c>
      <c r="L37" s="18"/>
      <c r="M37" s="18"/>
      <c r="N37" s="18"/>
      <c r="O37" s="19">
        <f t="shared" si="4"/>
        <v>0</v>
      </c>
      <c r="P37" s="21">
        <f t="shared" si="5"/>
        <v>0</v>
      </c>
      <c r="Q37" s="18"/>
      <c r="R37" s="18"/>
      <c r="S37" s="19">
        <f t="shared" si="6"/>
        <v>0</v>
      </c>
      <c r="T37" s="20">
        <f t="shared" si="7"/>
        <v>0.03</v>
      </c>
      <c r="U37" s="19">
        <f t="shared" si="8"/>
        <v>0</v>
      </c>
      <c r="V37" s="18"/>
      <c r="W37" s="19">
        <f t="shared" si="9"/>
        <v>0</v>
      </c>
      <c r="X37" s="19">
        <f t="shared" si="10"/>
        <v>0</v>
      </c>
      <c r="Y37" s="18"/>
      <c r="Z37" s="18"/>
      <c r="AA37" s="19">
        <f t="shared" si="11"/>
        <v>0</v>
      </c>
      <c r="AB37" s="17">
        <v>0</v>
      </c>
      <c r="AC37" s="18"/>
      <c r="AD37" s="18"/>
      <c r="AE37" s="22">
        <f t="shared" si="12"/>
        <v>0</v>
      </c>
      <c r="AF37" s="23">
        <f t="shared" si="13"/>
        <v>0</v>
      </c>
      <c r="AG37" s="23">
        <f t="shared" si="14"/>
        <v>0</v>
      </c>
      <c r="AH37" s="18"/>
      <c r="AI37" s="24">
        <f t="shared" si="15"/>
        <v>0</v>
      </c>
      <c r="AJ37" s="25">
        <v>0</v>
      </c>
      <c r="AK37" s="24">
        <f t="shared" si="16"/>
        <v>0</v>
      </c>
      <c r="AL37" s="22">
        <f t="shared" si="17"/>
        <v>0</v>
      </c>
      <c r="AM37" s="22">
        <f t="shared" si="18"/>
        <v>0</v>
      </c>
      <c r="AN37" s="22">
        <f t="shared" si="19"/>
        <v>0</v>
      </c>
      <c r="AO37" s="26" t="str">
        <f t="shared" si="20"/>
        <v/>
      </c>
      <c r="AP37" s="26" t="str">
        <f t="shared" si="21"/>
        <v>pre-launch</v>
      </c>
      <c r="AQ37" s="18"/>
      <c r="AR37" s="18"/>
    </row>
    <row r="38" spans="1:44" x14ac:dyDescent="0.25">
      <c r="A38" s="43">
        <v>45099</v>
      </c>
      <c r="B38" s="17">
        <v>43955291.810000002</v>
      </c>
      <c r="C38" s="17">
        <v>0</v>
      </c>
      <c r="D38" s="18"/>
      <c r="E38" s="19">
        <f t="shared" si="0"/>
        <v>43955291.810000002</v>
      </c>
      <c r="F38" s="19">
        <f t="shared" si="1"/>
        <v>43955291.810000002</v>
      </c>
      <c r="G38" s="20">
        <f t="shared" si="2"/>
        <v>0</v>
      </c>
      <c r="H38" s="18"/>
      <c r="I38" s="18"/>
      <c r="J38" s="18"/>
      <c r="K38" s="19">
        <f t="shared" si="3"/>
        <v>0</v>
      </c>
      <c r="L38" s="18"/>
      <c r="M38" s="18"/>
      <c r="N38" s="18"/>
      <c r="O38" s="19">
        <f t="shared" si="4"/>
        <v>0</v>
      </c>
      <c r="P38" s="21">
        <f t="shared" si="5"/>
        <v>0</v>
      </c>
      <c r="Q38" s="18"/>
      <c r="R38" s="18"/>
      <c r="S38" s="19">
        <f t="shared" si="6"/>
        <v>0</v>
      </c>
      <c r="T38" s="20">
        <f t="shared" si="7"/>
        <v>0.03</v>
      </c>
      <c r="U38" s="19">
        <f t="shared" si="8"/>
        <v>0</v>
      </c>
      <c r="V38" s="18"/>
      <c r="W38" s="19">
        <f t="shared" si="9"/>
        <v>0</v>
      </c>
      <c r="X38" s="19">
        <f t="shared" si="10"/>
        <v>0</v>
      </c>
      <c r="Y38" s="18"/>
      <c r="Z38" s="18"/>
      <c r="AA38" s="19">
        <f t="shared" si="11"/>
        <v>0</v>
      </c>
      <c r="AB38" s="17">
        <v>0</v>
      </c>
      <c r="AC38" s="18"/>
      <c r="AD38" s="18"/>
      <c r="AE38" s="22">
        <f t="shared" si="12"/>
        <v>0</v>
      </c>
      <c r="AF38" s="23">
        <f t="shared" si="13"/>
        <v>0</v>
      </c>
      <c r="AG38" s="23">
        <f t="shared" si="14"/>
        <v>0</v>
      </c>
      <c r="AH38" s="18"/>
      <c r="AI38" s="24">
        <f t="shared" si="15"/>
        <v>0</v>
      </c>
      <c r="AJ38" s="25">
        <v>0</v>
      </c>
      <c r="AK38" s="24">
        <f t="shared" si="16"/>
        <v>0</v>
      </c>
      <c r="AL38" s="22">
        <f t="shared" si="17"/>
        <v>0</v>
      </c>
      <c r="AM38" s="22">
        <f t="shared" si="18"/>
        <v>0</v>
      </c>
      <c r="AN38" s="22">
        <f t="shared" si="19"/>
        <v>0</v>
      </c>
      <c r="AO38" s="26" t="str">
        <f t="shared" si="20"/>
        <v/>
      </c>
      <c r="AP38" s="26" t="str">
        <f t="shared" si="21"/>
        <v>pre-launch</v>
      </c>
      <c r="AQ38" s="18"/>
      <c r="AR38" s="18"/>
    </row>
    <row r="39" spans="1:44" x14ac:dyDescent="0.25">
      <c r="A39" s="43">
        <v>45100</v>
      </c>
      <c r="B39" s="17">
        <v>47863456.18</v>
      </c>
      <c r="C39" s="17">
        <v>0</v>
      </c>
      <c r="D39" s="18"/>
      <c r="E39" s="19">
        <f t="shared" si="0"/>
        <v>47863456.18</v>
      </c>
      <c r="F39" s="19">
        <f t="shared" si="1"/>
        <v>47863456.18</v>
      </c>
      <c r="G39" s="20">
        <f t="shared" si="2"/>
        <v>0</v>
      </c>
      <c r="H39" s="18"/>
      <c r="I39" s="18"/>
      <c r="J39" s="18"/>
      <c r="K39" s="19">
        <f t="shared" si="3"/>
        <v>0</v>
      </c>
      <c r="L39" s="18"/>
      <c r="M39" s="18"/>
      <c r="N39" s="18"/>
      <c r="O39" s="19">
        <f t="shared" si="4"/>
        <v>0</v>
      </c>
      <c r="P39" s="21">
        <f t="shared" si="5"/>
        <v>0</v>
      </c>
      <c r="Q39" s="18"/>
      <c r="R39" s="18"/>
      <c r="S39" s="19">
        <f t="shared" si="6"/>
        <v>0</v>
      </c>
      <c r="T39" s="20">
        <f t="shared" si="7"/>
        <v>0.03</v>
      </c>
      <c r="U39" s="19">
        <f t="shared" si="8"/>
        <v>0</v>
      </c>
      <c r="V39" s="18"/>
      <c r="W39" s="19">
        <f t="shared" si="9"/>
        <v>0</v>
      </c>
      <c r="X39" s="19">
        <f t="shared" si="10"/>
        <v>0</v>
      </c>
      <c r="Y39" s="18"/>
      <c r="Z39" s="18"/>
      <c r="AA39" s="19">
        <f t="shared" si="11"/>
        <v>0</v>
      </c>
      <c r="AB39" s="17">
        <v>0</v>
      </c>
      <c r="AC39" s="18"/>
      <c r="AD39" s="18"/>
      <c r="AE39" s="22">
        <f t="shared" si="12"/>
        <v>0</v>
      </c>
      <c r="AF39" s="23">
        <f t="shared" si="13"/>
        <v>0</v>
      </c>
      <c r="AG39" s="23">
        <f t="shared" si="14"/>
        <v>0</v>
      </c>
      <c r="AH39" s="18"/>
      <c r="AI39" s="24">
        <f t="shared" si="15"/>
        <v>0</v>
      </c>
      <c r="AJ39" s="25">
        <v>0</v>
      </c>
      <c r="AK39" s="24">
        <f t="shared" si="16"/>
        <v>0</v>
      </c>
      <c r="AL39" s="22">
        <f t="shared" si="17"/>
        <v>0</v>
      </c>
      <c r="AM39" s="22">
        <f t="shared" si="18"/>
        <v>0</v>
      </c>
      <c r="AN39" s="22">
        <f t="shared" si="19"/>
        <v>0</v>
      </c>
      <c r="AO39" s="26" t="str">
        <f t="shared" si="20"/>
        <v/>
      </c>
      <c r="AP39" s="26" t="str">
        <f t="shared" si="21"/>
        <v>pre-launch</v>
      </c>
      <c r="AQ39" s="18"/>
      <c r="AR39" s="18"/>
    </row>
    <row r="40" spans="1:44" x14ac:dyDescent="0.25">
      <c r="A40" s="43">
        <v>45101</v>
      </c>
      <c r="B40" s="17">
        <v>33718306.409999996</v>
      </c>
      <c r="C40" s="17">
        <v>0</v>
      </c>
      <c r="D40" s="18"/>
      <c r="E40" s="19">
        <f t="shared" si="0"/>
        <v>33718306.409999996</v>
      </c>
      <c r="F40" s="19">
        <f t="shared" si="1"/>
        <v>33718306.409999996</v>
      </c>
      <c r="G40" s="20">
        <f t="shared" si="2"/>
        <v>0</v>
      </c>
      <c r="H40" s="18"/>
      <c r="I40" s="18"/>
      <c r="J40" s="18"/>
      <c r="K40" s="19">
        <f t="shared" si="3"/>
        <v>0</v>
      </c>
      <c r="L40" s="18"/>
      <c r="M40" s="18"/>
      <c r="N40" s="18"/>
      <c r="O40" s="19">
        <f t="shared" si="4"/>
        <v>0</v>
      </c>
      <c r="P40" s="21">
        <f t="shared" si="5"/>
        <v>0</v>
      </c>
      <c r="Q40" s="18"/>
      <c r="R40" s="18"/>
      <c r="S40" s="19">
        <f t="shared" si="6"/>
        <v>0</v>
      </c>
      <c r="T40" s="20">
        <f t="shared" si="7"/>
        <v>0.03</v>
      </c>
      <c r="U40" s="19">
        <f t="shared" si="8"/>
        <v>0</v>
      </c>
      <c r="V40" s="18"/>
      <c r="W40" s="19">
        <f t="shared" si="9"/>
        <v>0</v>
      </c>
      <c r="X40" s="19">
        <f t="shared" si="10"/>
        <v>0</v>
      </c>
      <c r="Y40" s="18"/>
      <c r="Z40" s="18"/>
      <c r="AA40" s="19">
        <f t="shared" si="11"/>
        <v>0</v>
      </c>
      <c r="AB40" s="17">
        <v>0</v>
      </c>
      <c r="AC40" s="18"/>
      <c r="AD40" s="18"/>
      <c r="AE40" s="22">
        <f t="shared" si="12"/>
        <v>0</v>
      </c>
      <c r="AF40" s="23">
        <f t="shared" si="13"/>
        <v>0</v>
      </c>
      <c r="AG40" s="23">
        <f t="shared" si="14"/>
        <v>0</v>
      </c>
      <c r="AH40" s="18"/>
      <c r="AI40" s="24">
        <f t="shared" si="15"/>
        <v>0</v>
      </c>
      <c r="AJ40" s="25">
        <v>0</v>
      </c>
      <c r="AK40" s="24">
        <f t="shared" si="16"/>
        <v>0</v>
      </c>
      <c r="AL40" s="22">
        <f t="shared" si="17"/>
        <v>0</v>
      </c>
      <c r="AM40" s="22">
        <f t="shared" si="18"/>
        <v>0</v>
      </c>
      <c r="AN40" s="22">
        <f t="shared" si="19"/>
        <v>0</v>
      </c>
      <c r="AO40" s="26" t="str">
        <f t="shared" si="20"/>
        <v/>
      </c>
      <c r="AP40" s="26" t="str">
        <f t="shared" si="21"/>
        <v>pre-launch</v>
      </c>
      <c r="AQ40" s="18"/>
      <c r="AR40" s="18"/>
    </row>
    <row r="41" spans="1:44" x14ac:dyDescent="0.25">
      <c r="A41" s="43">
        <v>45102</v>
      </c>
      <c r="B41" s="17">
        <v>36663557.619999997</v>
      </c>
      <c r="C41" s="17">
        <v>0</v>
      </c>
      <c r="D41" s="18"/>
      <c r="E41" s="19">
        <f t="shared" si="0"/>
        <v>36663557.619999997</v>
      </c>
      <c r="F41" s="19">
        <f t="shared" si="1"/>
        <v>36663557.619999997</v>
      </c>
      <c r="G41" s="20">
        <f t="shared" si="2"/>
        <v>0</v>
      </c>
      <c r="H41" s="18"/>
      <c r="I41" s="18"/>
      <c r="J41" s="18"/>
      <c r="K41" s="19">
        <f t="shared" si="3"/>
        <v>0</v>
      </c>
      <c r="L41" s="18"/>
      <c r="M41" s="18"/>
      <c r="N41" s="18"/>
      <c r="O41" s="19">
        <f t="shared" si="4"/>
        <v>0</v>
      </c>
      <c r="P41" s="21">
        <f t="shared" si="5"/>
        <v>0</v>
      </c>
      <c r="Q41" s="18"/>
      <c r="R41" s="18"/>
      <c r="S41" s="19">
        <f t="shared" si="6"/>
        <v>0</v>
      </c>
      <c r="T41" s="20">
        <f t="shared" si="7"/>
        <v>0.03</v>
      </c>
      <c r="U41" s="19">
        <f t="shared" si="8"/>
        <v>0</v>
      </c>
      <c r="V41" s="18"/>
      <c r="W41" s="19">
        <f t="shared" si="9"/>
        <v>0</v>
      </c>
      <c r="X41" s="19">
        <f t="shared" si="10"/>
        <v>0</v>
      </c>
      <c r="Y41" s="18"/>
      <c r="Z41" s="18"/>
      <c r="AA41" s="19">
        <f t="shared" si="11"/>
        <v>0</v>
      </c>
      <c r="AB41" s="17">
        <v>0</v>
      </c>
      <c r="AC41" s="18"/>
      <c r="AD41" s="18"/>
      <c r="AE41" s="22">
        <f t="shared" si="12"/>
        <v>0</v>
      </c>
      <c r="AF41" s="23">
        <f t="shared" si="13"/>
        <v>0</v>
      </c>
      <c r="AG41" s="23">
        <f t="shared" si="14"/>
        <v>0</v>
      </c>
      <c r="AH41" s="18"/>
      <c r="AI41" s="24">
        <f t="shared" si="15"/>
        <v>0</v>
      </c>
      <c r="AJ41" s="25">
        <v>0</v>
      </c>
      <c r="AK41" s="24">
        <f t="shared" si="16"/>
        <v>0</v>
      </c>
      <c r="AL41" s="22">
        <f t="shared" si="17"/>
        <v>0</v>
      </c>
      <c r="AM41" s="22">
        <f t="shared" si="18"/>
        <v>0</v>
      </c>
      <c r="AN41" s="22">
        <f t="shared" si="19"/>
        <v>0</v>
      </c>
      <c r="AO41" s="26" t="str">
        <f t="shared" si="20"/>
        <v/>
      </c>
      <c r="AP41" s="26" t="str">
        <f t="shared" si="21"/>
        <v>pre-launch</v>
      </c>
      <c r="AQ41" s="18"/>
      <c r="AR41" s="18"/>
    </row>
    <row r="42" spans="1:44" x14ac:dyDescent="0.25">
      <c r="A42" s="43">
        <v>45103</v>
      </c>
      <c r="B42" s="17">
        <v>33825401.270000003</v>
      </c>
      <c r="C42" s="17">
        <v>0</v>
      </c>
      <c r="D42" s="18"/>
      <c r="E42" s="19">
        <f t="shared" si="0"/>
        <v>33825401.270000003</v>
      </c>
      <c r="F42" s="19">
        <f t="shared" si="1"/>
        <v>33825401.270000003</v>
      </c>
      <c r="G42" s="20">
        <f t="shared" si="2"/>
        <v>0</v>
      </c>
      <c r="H42" s="18"/>
      <c r="I42" s="18"/>
      <c r="J42" s="18"/>
      <c r="K42" s="19">
        <f t="shared" si="3"/>
        <v>0</v>
      </c>
      <c r="L42" s="18"/>
      <c r="M42" s="18"/>
      <c r="N42" s="18"/>
      <c r="O42" s="19">
        <f t="shared" si="4"/>
        <v>0</v>
      </c>
      <c r="P42" s="21">
        <f t="shared" si="5"/>
        <v>0</v>
      </c>
      <c r="Q42" s="18"/>
      <c r="R42" s="18"/>
      <c r="S42" s="19">
        <f t="shared" si="6"/>
        <v>0</v>
      </c>
      <c r="T42" s="20">
        <f t="shared" si="7"/>
        <v>0.03</v>
      </c>
      <c r="U42" s="19">
        <f t="shared" si="8"/>
        <v>0</v>
      </c>
      <c r="V42" s="18"/>
      <c r="W42" s="19">
        <f t="shared" si="9"/>
        <v>0</v>
      </c>
      <c r="X42" s="19">
        <f t="shared" si="10"/>
        <v>0</v>
      </c>
      <c r="Y42" s="18"/>
      <c r="Z42" s="18"/>
      <c r="AA42" s="19">
        <f t="shared" si="11"/>
        <v>0</v>
      </c>
      <c r="AB42" s="17">
        <v>0</v>
      </c>
      <c r="AC42" s="18"/>
      <c r="AD42" s="18"/>
      <c r="AE42" s="22">
        <f t="shared" si="12"/>
        <v>0</v>
      </c>
      <c r="AF42" s="23">
        <f t="shared" si="13"/>
        <v>0</v>
      </c>
      <c r="AG42" s="23">
        <f t="shared" si="14"/>
        <v>0</v>
      </c>
      <c r="AH42" s="18"/>
      <c r="AI42" s="24">
        <f t="shared" si="15"/>
        <v>0</v>
      </c>
      <c r="AJ42" s="25">
        <v>0</v>
      </c>
      <c r="AK42" s="24">
        <f t="shared" si="16"/>
        <v>0</v>
      </c>
      <c r="AL42" s="22">
        <f t="shared" si="17"/>
        <v>0</v>
      </c>
      <c r="AM42" s="22">
        <f t="shared" si="18"/>
        <v>0</v>
      </c>
      <c r="AN42" s="22">
        <f t="shared" si="19"/>
        <v>0</v>
      </c>
      <c r="AO42" s="26" t="str">
        <f t="shared" si="20"/>
        <v/>
      </c>
      <c r="AP42" s="26" t="str">
        <f t="shared" si="21"/>
        <v>pre-launch</v>
      </c>
      <c r="AQ42" s="18"/>
      <c r="AR42" s="18"/>
    </row>
    <row r="43" spans="1:44" x14ac:dyDescent="0.25">
      <c r="A43" s="43">
        <v>45104</v>
      </c>
      <c r="B43" s="17">
        <v>39412414.670000002</v>
      </c>
      <c r="C43" s="17">
        <v>0</v>
      </c>
      <c r="D43" s="18"/>
      <c r="E43" s="19">
        <f t="shared" si="0"/>
        <v>39412414.670000002</v>
      </c>
      <c r="F43" s="19">
        <f t="shared" si="1"/>
        <v>39412414.670000002</v>
      </c>
      <c r="G43" s="20">
        <f t="shared" si="2"/>
        <v>0</v>
      </c>
      <c r="H43" s="18"/>
      <c r="I43" s="18"/>
      <c r="J43" s="18"/>
      <c r="K43" s="19">
        <f t="shared" si="3"/>
        <v>0</v>
      </c>
      <c r="L43" s="18"/>
      <c r="M43" s="18"/>
      <c r="N43" s="18"/>
      <c r="O43" s="19">
        <f t="shared" si="4"/>
        <v>0</v>
      </c>
      <c r="P43" s="21">
        <f t="shared" si="5"/>
        <v>0</v>
      </c>
      <c r="Q43" s="18"/>
      <c r="R43" s="18"/>
      <c r="S43" s="19">
        <f t="shared" si="6"/>
        <v>0</v>
      </c>
      <c r="T43" s="20">
        <f t="shared" si="7"/>
        <v>0.03</v>
      </c>
      <c r="U43" s="19">
        <f t="shared" si="8"/>
        <v>0</v>
      </c>
      <c r="V43" s="18"/>
      <c r="W43" s="19">
        <f t="shared" si="9"/>
        <v>0</v>
      </c>
      <c r="X43" s="19">
        <f t="shared" si="10"/>
        <v>0</v>
      </c>
      <c r="Y43" s="18"/>
      <c r="Z43" s="18"/>
      <c r="AA43" s="19">
        <f t="shared" si="11"/>
        <v>0</v>
      </c>
      <c r="AB43" s="17">
        <v>0</v>
      </c>
      <c r="AC43" s="18"/>
      <c r="AD43" s="18"/>
      <c r="AE43" s="22">
        <f t="shared" si="12"/>
        <v>0</v>
      </c>
      <c r="AF43" s="23">
        <f t="shared" si="13"/>
        <v>0</v>
      </c>
      <c r="AG43" s="23">
        <f t="shared" si="14"/>
        <v>0</v>
      </c>
      <c r="AH43" s="18"/>
      <c r="AI43" s="24">
        <f t="shared" si="15"/>
        <v>0</v>
      </c>
      <c r="AJ43" s="25">
        <v>0</v>
      </c>
      <c r="AK43" s="24">
        <f t="shared" si="16"/>
        <v>0</v>
      </c>
      <c r="AL43" s="22">
        <f t="shared" si="17"/>
        <v>0</v>
      </c>
      <c r="AM43" s="22">
        <f t="shared" si="18"/>
        <v>0</v>
      </c>
      <c r="AN43" s="22">
        <f t="shared" si="19"/>
        <v>0</v>
      </c>
      <c r="AO43" s="26" t="str">
        <f t="shared" si="20"/>
        <v/>
      </c>
      <c r="AP43" s="26" t="str">
        <f t="shared" si="21"/>
        <v>pre-launch</v>
      </c>
      <c r="AQ43" s="18"/>
      <c r="AR43" s="18"/>
    </row>
    <row r="44" spans="1:44" x14ac:dyDescent="0.25">
      <c r="A44" s="43">
        <v>45105</v>
      </c>
      <c r="B44" s="17">
        <v>36420297.350000001</v>
      </c>
      <c r="C44" s="17">
        <v>0</v>
      </c>
      <c r="D44" s="18"/>
      <c r="E44" s="19">
        <f t="shared" si="0"/>
        <v>36420297.350000001</v>
      </c>
      <c r="F44" s="19">
        <f t="shared" si="1"/>
        <v>36420297.350000001</v>
      </c>
      <c r="G44" s="20">
        <f t="shared" si="2"/>
        <v>0</v>
      </c>
      <c r="H44" s="18"/>
      <c r="I44" s="18"/>
      <c r="J44" s="18"/>
      <c r="K44" s="19">
        <f t="shared" si="3"/>
        <v>0</v>
      </c>
      <c r="L44" s="18"/>
      <c r="M44" s="18"/>
      <c r="N44" s="18"/>
      <c r="O44" s="19">
        <f t="shared" si="4"/>
        <v>0</v>
      </c>
      <c r="P44" s="21">
        <f t="shared" si="5"/>
        <v>0</v>
      </c>
      <c r="Q44" s="18"/>
      <c r="R44" s="18"/>
      <c r="S44" s="19">
        <f t="shared" si="6"/>
        <v>0</v>
      </c>
      <c r="T44" s="20">
        <f t="shared" si="7"/>
        <v>0.03</v>
      </c>
      <c r="U44" s="19">
        <f t="shared" si="8"/>
        <v>0</v>
      </c>
      <c r="V44" s="18"/>
      <c r="W44" s="19">
        <f t="shared" si="9"/>
        <v>0</v>
      </c>
      <c r="X44" s="19">
        <f t="shared" si="10"/>
        <v>0</v>
      </c>
      <c r="Y44" s="18"/>
      <c r="Z44" s="18"/>
      <c r="AA44" s="19">
        <f t="shared" si="11"/>
        <v>0</v>
      </c>
      <c r="AB44" s="17">
        <v>0</v>
      </c>
      <c r="AC44" s="18"/>
      <c r="AD44" s="18"/>
      <c r="AE44" s="22">
        <f t="shared" si="12"/>
        <v>0</v>
      </c>
      <c r="AF44" s="23">
        <f t="shared" si="13"/>
        <v>0</v>
      </c>
      <c r="AG44" s="23">
        <f t="shared" si="14"/>
        <v>0</v>
      </c>
      <c r="AH44" s="18"/>
      <c r="AI44" s="24">
        <f t="shared" si="15"/>
        <v>0</v>
      </c>
      <c r="AJ44" s="25">
        <v>0</v>
      </c>
      <c r="AK44" s="24">
        <f t="shared" si="16"/>
        <v>0</v>
      </c>
      <c r="AL44" s="22">
        <f t="shared" si="17"/>
        <v>0</v>
      </c>
      <c r="AM44" s="22">
        <f t="shared" si="18"/>
        <v>0</v>
      </c>
      <c r="AN44" s="22">
        <f t="shared" si="19"/>
        <v>0</v>
      </c>
      <c r="AO44" s="26" t="str">
        <f t="shared" si="20"/>
        <v/>
      </c>
      <c r="AP44" s="26" t="str">
        <f t="shared" si="21"/>
        <v>pre-launch</v>
      </c>
      <c r="AQ44" s="18"/>
      <c r="AR44" s="18"/>
    </row>
    <row r="45" spans="1:44" x14ac:dyDescent="0.25">
      <c r="A45" s="43">
        <v>45106</v>
      </c>
      <c r="B45" s="17">
        <v>35097287.469999999</v>
      </c>
      <c r="C45" s="17">
        <v>0</v>
      </c>
      <c r="D45" s="18"/>
      <c r="E45" s="19">
        <f t="shared" si="0"/>
        <v>35097287.469999999</v>
      </c>
      <c r="F45" s="19">
        <f t="shared" si="1"/>
        <v>35097287.469999999</v>
      </c>
      <c r="G45" s="20">
        <f t="shared" si="2"/>
        <v>0</v>
      </c>
      <c r="H45" s="18"/>
      <c r="I45" s="18"/>
      <c r="J45" s="18"/>
      <c r="K45" s="19">
        <f t="shared" si="3"/>
        <v>0</v>
      </c>
      <c r="L45" s="18"/>
      <c r="M45" s="18"/>
      <c r="N45" s="18"/>
      <c r="O45" s="19">
        <f t="shared" si="4"/>
        <v>0</v>
      </c>
      <c r="P45" s="21">
        <f t="shared" si="5"/>
        <v>0</v>
      </c>
      <c r="Q45" s="18"/>
      <c r="R45" s="18"/>
      <c r="S45" s="19">
        <f t="shared" si="6"/>
        <v>0</v>
      </c>
      <c r="T45" s="20">
        <f t="shared" si="7"/>
        <v>0.03</v>
      </c>
      <c r="U45" s="19">
        <f t="shared" si="8"/>
        <v>0</v>
      </c>
      <c r="V45" s="18"/>
      <c r="W45" s="19">
        <f t="shared" si="9"/>
        <v>0</v>
      </c>
      <c r="X45" s="19">
        <f t="shared" si="10"/>
        <v>0</v>
      </c>
      <c r="Y45" s="18"/>
      <c r="Z45" s="18"/>
      <c r="AA45" s="19">
        <f t="shared" si="11"/>
        <v>0</v>
      </c>
      <c r="AB45" s="17">
        <v>0</v>
      </c>
      <c r="AC45" s="18"/>
      <c r="AD45" s="18"/>
      <c r="AE45" s="22">
        <f t="shared" si="12"/>
        <v>0</v>
      </c>
      <c r="AF45" s="23">
        <f t="shared" si="13"/>
        <v>0</v>
      </c>
      <c r="AG45" s="23">
        <f t="shared" si="14"/>
        <v>0</v>
      </c>
      <c r="AH45" s="18"/>
      <c r="AI45" s="24">
        <f t="shared" si="15"/>
        <v>0</v>
      </c>
      <c r="AJ45" s="25">
        <v>0</v>
      </c>
      <c r="AK45" s="24">
        <f t="shared" si="16"/>
        <v>0</v>
      </c>
      <c r="AL45" s="22">
        <f t="shared" si="17"/>
        <v>0</v>
      </c>
      <c r="AM45" s="22">
        <f t="shared" si="18"/>
        <v>0</v>
      </c>
      <c r="AN45" s="22">
        <f t="shared" si="19"/>
        <v>0</v>
      </c>
      <c r="AO45" s="26" t="str">
        <f t="shared" si="20"/>
        <v/>
      </c>
      <c r="AP45" s="26" t="str">
        <f t="shared" si="21"/>
        <v>pre-launch</v>
      </c>
      <c r="AQ45" s="18"/>
      <c r="AR45" s="18"/>
    </row>
    <row r="46" spans="1:44" x14ac:dyDescent="0.25">
      <c r="A46" s="43">
        <v>45107</v>
      </c>
      <c r="B46" s="17">
        <v>38893210</v>
      </c>
      <c r="C46" s="17">
        <v>0</v>
      </c>
      <c r="D46" s="18"/>
      <c r="E46" s="19">
        <f t="shared" si="0"/>
        <v>38893210</v>
      </c>
      <c r="F46" s="19">
        <f t="shared" si="1"/>
        <v>38893210</v>
      </c>
      <c r="G46" s="20">
        <f t="shared" si="2"/>
        <v>0</v>
      </c>
      <c r="H46" s="18"/>
      <c r="I46" s="18"/>
      <c r="J46" s="18"/>
      <c r="K46" s="19">
        <f t="shared" si="3"/>
        <v>0</v>
      </c>
      <c r="L46" s="18"/>
      <c r="M46" s="18"/>
      <c r="N46" s="18"/>
      <c r="O46" s="19">
        <f t="shared" si="4"/>
        <v>0</v>
      </c>
      <c r="P46" s="21">
        <f t="shared" si="5"/>
        <v>0</v>
      </c>
      <c r="Q46" s="18"/>
      <c r="R46" s="18"/>
      <c r="S46" s="19">
        <f t="shared" si="6"/>
        <v>0</v>
      </c>
      <c r="T46" s="20">
        <f t="shared" si="7"/>
        <v>0.03</v>
      </c>
      <c r="U46" s="19">
        <f t="shared" si="8"/>
        <v>0</v>
      </c>
      <c r="V46" s="18"/>
      <c r="W46" s="19">
        <f t="shared" si="9"/>
        <v>0</v>
      </c>
      <c r="X46" s="19">
        <f t="shared" si="10"/>
        <v>0</v>
      </c>
      <c r="Y46" s="18"/>
      <c r="Z46" s="18"/>
      <c r="AA46" s="19">
        <f t="shared" si="11"/>
        <v>0</v>
      </c>
      <c r="AB46" s="17">
        <v>0</v>
      </c>
      <c r="AC46" s="18"/>
      <c r="AD46" s="18"/>
      <c r="AE46" s="22">
        <f t="shared" si="12"/>
        <v>0</v>
      </c>
      <c r="AF46" s="23">
        <f t="shared" si="13"/>
        <v>0</v>
      </c>
      <c r="AG46" s="23">
        <f t="shared" si="14"/>
        <v>0</v>
      </c>
      <c r="AH46" s="18"/>
      <c r="AI46" s="24">
        <f t="shared" si="15"/>
        <v>0</v>
      </c>
      <c r="AJ46" s="25">
        <v>0</v>
      </c>
      <c r="AK46" s="24">
        <f t="shared" si="16"/>
        <v>0</v>
      </c>
      <c r="AL46" s="22">
        <f t="shared" si="17"/>
        <v>0</v>
      </c>
      <c r="AM46" s="22">
        <f t="shared" si="18"/>
        <v>0</v>
      </c>
      <c r="AN46" s="22">
        <f t="shared" si="19"/>
        <v>0</v>
      </c>
      <c r="AO46" s="26" t="str">
        <f t="shared" si="20"/>
        <v/>
      </c>
      <c r="AP46" s="26" t="str">
        <f t="shared" si="21"/>
        <v>pre-launch</v>
      </c>
      <c r="AQ46" s="18"/>
      <c r="AR46" s="18"/>
    </row>
    <row r="47" spans="1:44" x14ac:dyDescent="0.25">
      <c r="A47" s="43">
        <v>45108</v>
      </c>
      <c r="B47" s="17">
        <v>36096499.009999998</v>
      </c>
      <c r="C47" s="17">
        <v>0</v>
      </c>
      <c r="D47" s="18"/>
      <c r="E47" s="19">
        <f t="shared" si="0"/>
        <v>36096499.009999998</v>
      </c>
      <c r="F47" s="19">
        <f t="shared" si="1"/>
        <v>36096499.009999998</v>
      </c>
      <c r="G47" s="20">
        <f t="shared" si="2"/>
        <v>0</v>
      </c>
      <c r="H47" s="18"/>
      <c r="I47" s="18"/>
      <c r="J47" s="18"/>
      <c r="K47" s="19">
        <f t="shared" si="3"/>
        <v>0</v>
      </c>
      <c r="L47" s="18"/>
      <c r="M47" s="18"/>
      <c r="N47" s="18"/>
      <c r="O47" s="19">
        <f t="shared" si="4"/>
        <v>0</v>
      </c>
      <c r="P47" s="21">
        <f t="shared" si="5"/>
        <v>0</v>
      </c>
      <c r="Q47" s="18"/>
      <c r="R47" s="18"/>
      <c r="S47" s="19">
        <f t="shared" si="6"/>
        <v>0</v>
      </c>
      <c r="T47" s="20">
        <f t="shared" si="7"/>
        <v>0.03</v>
      </c>
      <c r="U47" s="19">
        <f t="shared" si="8"/>
        <v>0</v>
      </c>
      <c r="V47" s="18"/>
      <c r="W47" s="19">
        <f t="shared" si="9"/>
        <v>0</v>
      </c>
      <c r="X47" s="19">
        <f t="shared" si="10"/>
        <v>0</v>
      </c>
      <c r="Y47" s="18"/>
      <c r="Z47" s="18"/>
      <c r="AA47" s="19">
        <f t="shared" si="11"/>
        <v>0</v>
      </c>
      <c r="AB47" s="17">
        <v>0</v>
      </c>
      <c r="AC47" s="18"/>
      <c r="AD47" s="18"/>
      <c r="AE47" s="22">
        <f t="shared" si="12"/>
        <v>0</v>
      </c>
      <c r="AF47" s="23">
        <f t="shared" si="13"/>
        <v>0</v>
      </c>
      <c r="AG47" s="23">
        <f t="shared" si="14"/>
        <v>0</v>
      </c>
      <c r="AH47" s="18"/>
      <c r="AI47" s="24">
        <f t="shared" si="15"/>
        <v>0</v>
      </c>
      <c r="AJ47" s="25">
        <v>0</v>
      </c>
      <c r="AK47" s="24">
        <f t="shared" si="16"/>
        <v>0</v>
      </c>
      <c r="AL47" s="22">
        <f t="shared" si="17"/>
        <v>0</v>
      </c>
      <c r="AM47" s="22">
        <f t="shared" si="18"/>
        <v>0</v>
      </c>
      <c r="AN47" s="22">
        <f t="shared" si="19"/>
        <v>0</v>
      </c>
      <c r="AO47" s="26" t="str">
        <f t="shared" si="20"/>
        <v/>
      </c>
      <c r="AP47" s="26" t="str">
        <f t="shared" si="21"/>
        <v>pre-launch</v>
      </c>
      <c r="AQ47" s="18"/>
      <c r="AR47" s="18"/>
    </row>
    <row r="48" spans="1:44" x14ac:dyDescent="0.25">
      <c r="A48" s="43">
        <v>45109</v>
      </c>
      <c r="B48" s="17">
        <v>40130798.829999998</v>
      </c>
      <c r="C48" s="17">
        <v>0</v>
      </c>
      <c r="D48" s="18"/>
      <c r="E48" s="19">
        <f t="shared" si="0"/>
        <v>40130798.829999998</v>
      </c>
      <c r="F48" s="19">
        <f t="shared" si="1"/>
        <v>40130798.829999998</v>
      </c>
      <c r="G48" s="20">
        <f t="shared" si="2"/>
        <v>0</v>
      </c>
      <c r="H48" s="18"/>
      <c r="I48" s="18"/>
      <c r="J48" s="18"/>
      <c r="K48" s="19">
        <f t="shared" si="3"/>
        <v>0</v>
      </c>
      <c r="L48" s="18"/>
      <c r="M48" s="18"/>
      <c r="N48" s="18"/>
      <c r="O48" s="19">
        <f t="shared" si="4"/>
        <v>0</v>
      </c>
      <c r="P48" s="21">
        <f t="shared" si="5"/>
        <v>0</v>
      </c>
      <c r="Q48" s="18"/>
      <c r="R48" s="18"/>
      <c r="S48" s="19">
        <f t="shared" si="6"/>
        <v>0</v>
      </c>
      <c r="T48" s="20">
        <f t="shared" si="7"/>
        <v>0.03</v>
      </c>
      <c r="U48" s="19">
        <f t="shared" si="8"/>
        <v>0</v>
      </c>
      <c r="V48" s="18"/>
      <c r="W48" s="19">
        <f t="shared" si="9"/>
        <v>0</v>
      </c>
      <c r="X48" s="19">
        <f t="shared" si="10"/>
        <v>0</v>
      </c>
      <c r="Y48" s="18"/>
      <c r="Z48" s="18"/>
      <c r="AA48" s="19">
        <f t="shared" si="11"/>
        <v>0</v>
      </c>
      <c r="AB48" s="17">
        <v>0</v>
      </c>
      <c r="AC48" s="18"/>
      <c r="AD48" s="18"/>
      <c r="AE48" s="22">
        <f t="shared" si="12"/>
        <v>0</v>
      </c>
      <c r="AF48" s="23">
        <f t="shared" si="13"/>
        <v>0</v>
      </c>
      <c r="AG48" s="23">
        <f t="shared" si="14"/>
        <v>0</v>
      </c>
      <c r="AH48" s="18"/>
      <c r="AI48" s="24">
        <f t="shared" si="15"/>
        <v>0</v>
      </c>
      <c r="AJ48" s="25">
        <v>0</v>
      </c>
      <c r="AK48" s="24">
        <f t="shared" si="16"/>
        <v>0</v>
      </c>
      <c r="AL48" s="22">
        <f t="shared" si="17"/>
        <v>0</v>
      </c>
      <c r="AM48" s="22">
        <f t="shared" si="18"/>
        <v>0</v>
      </c>
      <c r="AN48" s="22">
        <f t="shared" si="19"/>
        <v>0</v>
      </c>
      <c r="AO48" s="26" t="str">
        <f t="shared" si="20"/>
        <v/>
      </c>
      <c r="AP48" s="26" t="str">
        <f t="shared" si="21"/>
        <v>pre-launch</v>
      </c>
      <c r="AQ48" s="18"/>
      <c r="AR48" s="18"/>
    </row>
    <row r="49" spans="1:44" x14ac:dyDescent="0.25">
      <c r="A49" s="43">
        <v>45110</v>
      </c>
      <c r="B49" s="17">
        <v>26975342.239999998</v>
      </c>
      <c r="C49" s="17">
        <v>0</v>
      </c>
      <c r="D49" s="18"/>
      <c r="E49" s="19">
        <f t="shared" si="0"/>
        <v>26975342.239999998</v>
      </c>
      <c r="F49" s="19">
        <f t="shared" si="1"/>
        <v>26975342.239999998</v>
      </c>
      <c r="G49" s="20">
        <f t="shared" si="2"/>
        <v>0</v>
      </c>
      <c r="H49" s="18"/>
      <c r="I49" s="18"/>
      <c r="J49" s="18"/>
      <c r="K49" s="19">
        <f t="shared" si="3"/>
        <v>0</v>
      </c>
      <c r="L49" s="18"/>
      <c r="M49" s="18"/>
      <c r="N49" s="18"/>
      <c r="O49" s="19">
        <f t="shared" si="4"/>
        <v>0</v>
      </c>
      <c r="P49" s="21">
        <f t="shared" si="5"/>
        <v>0</v>
      </c>
      <c r="Q49" s="18"/>
      <c r="R49" s="18"/>
      <c r="S49" s="19">
        <f t="shared" si="6"/>
        <v>0</v>
      </c>
      <c r="T49" s="20">
        <f t="shared" si="7"/>
        <v>0.03</v>
      </c>
      <c r="U49" s="19">
        <f t="shared" si="8"/>
        <v>0</v>
      </c>
      <c r="V49" s="18"/>
      <c r="W49" s="19">
        <f t="shared" si="9"/>
        <v>0</v>
      </c>
      <c r="X49" s="19">
        <f t="shared" si="10"/>
        <v>0</v>
      </c>
      <c r="Y49" s="18"/>
      <c r="Z49" s="18"/>
      <c r="AA49" s="19">
        <f t="shared" si="11"/>
        <v>0</v>
      </c>
      <c r="AB49" s="17">
        <v>0</v>
      </c>
      <c r="AC49" s="18"/>
      <c r="AD49" s="18"/>
      <c r="AE49" s="22">
        <f t="shared" si="12"/>
        <v>0</v>
      </c>
      <c r="AF49" s="23">
        <f t="shared" si="13"/>
        <v>0</v>
      </c>
      <c r="AG49" s="23">
        <f t="shared" si="14"/>
        <v>0</v>
      </c>
      <c r="AH49" s="18"/>
      <c r="AI49" s="24">
        <f t="shared" si="15"/>
        <v>0</v>
      </c>
      <c r="AJ49" s="25">
        <v>0</v>
      </c>
      <c r="AK49" s="24">
        <f t="shared" si="16"/>
        <v>0</v>
      </c>
      <c r="AL49" s="22">
        <f t="shared" si="17"/>
        <v>0</v>
      </c>
      <c r="AM49" s="22">
        <f t="shared" si="18"/>
        <v>0</v>
      </c>
      <c r="AN49" s="22">
        <f t="shared" si="19"/>
        <v>0</v>
      </c>
      <c r="AO49" s="26" t="str">
        <f t="shared" si="20"/>
        <v/>
      </c>
      <c r="AP49" s="26" t="str">
        <f t="shared" si="21"/>
        <v>pre-launch</v>
      </c>
      <c r="AQ49" s="18"/>
      <c r="AR49" s="18"/>
    </row>
    <row r="50" spans="1:44" x14ac:dyDescent="0.25">
      <c r="A50" s="43">
        <v>45111</v>
      </c>
      <c r="B50" s="17">
        <v>27964915.149999999</v>
      </c>
      <c r="C50" s="17">
        <v>0</v>
      </c>
      <c r="D50" s="18"/>
      <c r="E50" s="19">
        <f t="shared" si="0"/>
        <v>27964915.149999999</v>
      </c>
      <c r="F50" s="19">
        <f t="shared" si="1"/>
        <v>27964915.149999999</v>
      </c>
      <c r="G50" s="20">
        <f t="shared" si="2"/>
        <v>0</v>
      </c>
      <c r="H50" s="18"/>
      <c r="I50" s="18"/>
      <c r="J50" s="18"/>
      <c r="K50" s="19">
        <f t="shared" si="3"/>
        <v>0</v>
      </c>
      <c r="L50" s="18"/>
      <c r="M50" s="18"/>
      <c r="N50" s="18"/>
      <c r="O50" s="19">
        <f t="shared" si="4"/>
        <v>0</v>
      </c>
      <c r="P50" s="21">
        <f t="shared" si="5"/>
        <v>0</v>
      </c>
      <c r="Q50" s="18"/>
      <c r="R50" s="18"/>
      <c r="S50" s="19">
        <f t="shared" si="6"/>
        <v>0</v>
      </c>
      <c r="T50" s="20">
        <f t="shared" si="7"/>
        <v>0.03</v>
      </c>
      <c r="U50" s="19">
        <f t="shared" si="8"/>
        <v>0</v>
      </c>
      <c r="V50" s="18"/>
      <c r="W50" s="19">
        <f t="shared" si="9"/>
        <v>0</v>
      </c>
      <c r="X50" s="19">
        <f t="shared" si="10"/>
        <v>0</v>
      </c>
      <c r="Y50" s="18"/>
      <c r="Z50" s="18"/>
      <c r="AA50" s="19">
        <f t="shared" si="11"/>
        <v>0</v>
      </c>
      <c r="AB50" s="17">
        <v>0</v>
      </c>
      <c r="AC50" s="18"/>
      <c r="AD50" s="18"/>
      <c r="AE50" s="22">
        <f t="shared" si="12"/>
        <v>0</v>
      </c>
      <c r="AF50" s="23">
        <f t="shared" si="13"/>
        <v>0</v>
      </c>
      <c r="AG50" s="23">
        <f t="shared" si="14"/>
        <v>0</v>
      </c>
      <c r="AH50" s="18"/>
      <c r="AI50" s="24">
        <f t="shared" si="15"/>
        <v>0</v>
      </c>
      <c r="AJ50" s="25">
        <v>0</v>
      </c>
      <c r="AK50" s="24">
        <f t="shared" si="16"/>
        <v>0</v>
      </c>
      <c r="AL50" s="22">
        <f t="shared" si="17"/>
        <v>0</v>
      </c>
      <c r="AM50" s="22">
        <f t="shared" si="18"/>
        <v>0</v>
      </c>
      <c r="AN50" s="22">
        <f t="shared" si="19"/>
        <v>0</v>
      </c>
      <c r="AO50" s="26" t="str">
        <f t="shared" si="20"/>
        <v/>
      </c>
      <c r="AP50" s="26" t="str">
        <f t="shared" si="21"/>
        <v>pre-launch</v>
      </c>
      <c r="AQ50" s="18"/>
      <c r="AR50" s="18"/>
    </row>
    <row r="51" spans="1:44" x14ac:dyDescent="0.25">
      <c r="A51" s="43">
        <v>45112</v>
      </c>
      <c r="B51" s="17">
        <v>51666494.659999996</v>
      </c>
      <c r="C51" s="17">
        <v>0</v>
      </c>
      <c r="D51" s="18"/>
      <c r="E51" s="19">
        <f t="shared" si="0"/>
        <v>51666494.659999996</v>
      </c>
      <c r="F51" s="19">
        <f t="shared" si="1"/>
        <v>51666494.659999996</v>
      </c>
      <c r="G51" s="20">
        <f t="shared" si="2"/>
        <v>0</v>
      </c>
      <c r="H51" s="18"/>
      <c r="I51" s="18"/>
      <c r="J51" s="18"/>
      <c r="K51" s="19">
        <f t="shared" si="3"/>
        <v>0</v>
      </c>
      <c r="L51" s="18"/>
      <c r="M51" s="18"/>
      <c r="N51" s="18"/>
      <c r="O51" s="19">
        <f t="shared" si="4"/>
        <v>0</v>
      </c>
      <c r="P51" s="21">
        <f t="shared" si="5"/>
        <v>0</v>
      </c>
      <c r="Q51" s="18"/>
      <c r="R51" s="18"/>
      <c r="S51" s="19">
        <f t="shared" si="6"/>
        <v>0</v>
      </c>
      <c r="T51" s="20">
        <f t="shared" si="7"/>
        <v>0.03</v>
      </c>
      <c r="U51" s="19">
        <f t="shared" si="8"/>
        <v>0</v>
      </c>
      <c r="V51" s="18"/>
      <c r="W51" s="19">
        <f t="shared" si="9"/>
        <v>0</v>
      </c>
      <c r="X51" s="19">
        <f t="shared" si="10"/>
        <v>0</v>
      </c>
      <c r="Y51" s="18"/>
      <c r="Z51" s="18"/>
      <c r="AA51" s="19">
        <f t="shared" si="11"/>
        <v>0</v>
      </c>
      <c r="AB51" s="17">
        <v>0</v>
      </c>
      <c r="AC51" s="18"/>
      <c r="AD51" s="18"/>
      <c r="AE51" s="22">
        <f t="shared" si="12"/>
        <v>0</v>
      </c>
      <c r="AF51" s="23">
        <f t="shared" si="13"/>
        <v>0</v>
      </c>
      <c r="AG51" s="23">
        <f t="shared" si="14"/>
        <v>0</v>
      </c>
      <c r="AH51" s="18"/>
      <c r="AI51" s="24">
        <f t="shared" si="15"/>
        <v>0</v>
      </c>
      <c r="AJ51" s="25">
        <v>0</v>
      </c>
      <c r="AK51" s="24">
        <f t="shared" si="16"/>
        <v>0</v>
      </c>
      <c r="AL51" s="22">
        <f t="shared" si="17"/>
        <v>0</v>
      </c>
      <c r="AM51" s="22">
        <f t="shared" si="18"/>
        <v>0</v>
      </c>
      <c r="AN51" s="22">
        <f t="shared" si="19"/>
        <v>0</v>
      </c>
      <c r="AO51" s="26" t="str">
        <f t="shared" si="20"/>
        <v/>
      </c>
      <c r="AP51" s="26" t="str">
        <f t="shared" si="21"/>
        <v>pre-launch</v>
      </c>
      <c r="AQ51" s="18"/>
      <c r="AR51" s="18"/>
    </row>
    <row r="52" spans="1:44" x14ac:dyDescent="0.25">
      <c r="A52" s="43">
        <v>45113</v>
      </c>
      <c r="B52" s="17">
        <v>52236295.340000004</v>
      </c>
      <c r="C52" s="17">
        <v>0</v>
      </c>
      <c r="D52" s="18"/>
      <c r="E52" s="19">
        <f t="shared" si="0"/>
        <v>52236295.340000004</v>
      </c>
      <c r="F52" s="19">
        <f t="shared" si="1"/>
        <v>52236295.340000004</v>
      </c>
      <c r="G52" s="20">
        <f t="shared" si="2"/>
        <v>0</v>
      </c>
      <c r="H52" s="18"/>
      <c r="I52" s="18"/>
      <c r="J52" s="18"/>
      <c r="K52" s="19">
        <f t="shared" si="3"/>
        <v>0</v>
      </c>
      <c r="L52" s="18"/>
      <c r="M52" s="18"/>
      <c r="N52" s="18"/>
      <c r="O52" s="19">
        <f t="shared" si="4"/>
        <v>0</v>
      </c>
      <c r="P52" s="21">
        <f t="shared" si="5"/>
        <v>0</v>
      </c>
      <c r="Q52" s="18"/>
      <c r="R52" s="18"/>
      <c r="S52" s="19">
        <f t="shared" si="6"/>
        <v>0</v>
      </c>
      <c r="T52" s="20">
        <f t="shared" si="7"/>
        <v>0.03</v>
      </c>
      <c r="U52" s="19">
        <f t="shared" si="8"/>
        <v>0</v>
      </c>
      <c r="V52" s="18"/>
      <c r="W52" s="19">
        <f t="shared" si="9"/>
        <v>0</v>
      </c>
      <c r="X52" s="19">
        <f t="shared" si="10"/>
        <v>0</v>
      </c>
      <c r="Y52" s="18"/>
      <c r="Z52" s="18"/>
      <c r="AA52" s="19">
        <f t="shared" si="11"/>
        <v>0</v>
      </c>
      <c r="AB52" s="17">
        <v>0</v>
      </c>
      <c r="AC52" s="18"/>
      <c r="AD52" s="18"/>
      <c r="AE52" s="22">
        <f t="shared" si="12"/>
        <v>0</v>
      </c>
      <c r="AF52" s="23">
        <f t="shared" si="13"/>
        <v>0</v>
      </c>
      <c r="AG52" s="23">
        <f t="shared" si="14"/>
        <v>0</v>
      </c>
      <c r="AH52" s="18"/>
      <c r="AI52" s="24">
        <f t="shared" si="15"/>
        <v>0</v>
      </c>
      <c r="AJ52" s="25">
        <v>0</v>
      </c>
      <c r="AK52" s="24">
        <f t="shared" si="16"/>
        <v>0</v>
      </c>
      <c r="AL52" s="22">
        <f t="shared" si="17"/>
        <v>0</v>
      </c>
      <c r="AM52" s="22">
        <f t="shared" si="18"/>
        <v>0</v>
      </c>
      <c r="AN52" s="22">
        <f t="shared" si="19"/>
        <v>0</v>
      </c>
      <c r="AO52" s="26" t="str">
        <f t="shared" si="20"/>
        <v/>
      </c>
      <c r="AP52" s="26" t="str">
        <f t="shared" si="21"/>
        <v>pre-launch</v>
      </c>
      <c r="AQ52" s="18"/>
      <c r="AR52" s="18"/>
    </row>
    <row r="53" spans="1:44" x14ac:dyDescent="0.25">
      <c r="A53" s="43">
        <v>45114</v>
      </c>
      <c r="B53" s="17">
        <v>52464368.590000004</v>
      </c>
      <c r="C53" s="17">
        <v>0</v>
      </c>
      <c r="D53" s="18"/>
      <c r="E53" s="19">
        <f t="shared" si="0"/>
        <v>52464368.590000004</v>
      </c>
      <c r="F53" s="19">
        <f t="shared" si="1"/>
        <v>52464368.590000004</v>
      </c>
      <c r="G53" s="20">
        <f t="shared" si="2"/>
        <v>0</v>
      </c>
      <c r="H53" s="18"/>
      <c r="I53" s="18"/>
      <c r="J53" s="18"/>
      <c r="K53" s="19">
        <f t="shared" si="3"/>
        <v>0</v>
      </c>
      <c r="L53" s="18"/>
      <c r="M53" s="18"/>
      <c r="N53" s="18"/>
      <c r="O53" s="19">
        <f t="shared" si="4"/>
        <v>0</v>
      </c>
      <c r="P53" s="21">
        <f t="shared" si="5"/>
        <v>0</v>
      </c>
      <c r="Q53" s="18"/>
      <c r="R53" s="18"/>
      <c r="S53" s="19">
        <f t="shared" si="6"/>
        <v>0</v>
      </c>
      <c r="T53" s="20">
        <f t="shared" si="7"/>
        <v>0.03</v>
      </c>
      <c r="U53" s="19">
        <f t="shared" si="8"/>
        <v>0</v>
      </c>
      <c r="V53" s="18"/>
      <c r="W53" s="19">
        <f t="shared" si="9"/>
        <v>0</v>
      </c>
      <c r="X53" s="19">
        <f t="shared" si="10"/>
        <v>0</v>
      </c>
      <c r="Y53" s="18"/>
      <c r="Z53" s="18"/>
      <c r="AA53" s="19">
        <f t="shared" si="11"/>
        <v>0</v>
      </c>
      <c r="AB53" s="17">
        <v>0</v>
      </c>
      <c r="AC53" s="18"/>
      <c r="AD53" s="18"/>
      <c r="AE53" s="22">
        <f t="shared" si="12"/>
        <v>0</v>
      </c>
      <c r="AF53" s="23">
        <f t="shared" si="13"/>
        <v>0</v>
      </c>
      <c r="AG53" s="23">
        <f t="shared" si="14"/>
        <v>0</v>
      </c>
      <c r="AH53" s="18"/>
      <c r="AI53" s="24">
        <f t="shared" si="15"/>
        <v>0</v>
      </c>
      <c r="AJ53" s="25">
        <v>0</v>
      </c>
      <c r="AK53" s="24">
        <f t="shared" si="16"/>
        <v>0</v>
      </c>
      <c r="AL53" s="22">
        <f t="shared" si="17"/>
        <v>0</v>
      </c>
      <c r="AM53" s="22">
        <f t="shared" si="18"/>
        <v>0</v>
      </c>
      <c r="AN53" s="22">
        <f t="shared" si="19"/>
        <v>0</v>
      </c>
      <c r="AO53" s="26" t="str">
        <f t="shared" si="20"/>
        <v/>
      </c>
      <c r="AP53" s="26" t="str">
        <f t="shared" si="21"/>
        <v>pre-launch</v>
      </c>
      <c r="AQ53" s="18"/>
      <c r="AR53" s="18"/>
    </row>
    <row r="54" spans="1:44" x14ac:dyDescent="0.25">
      <c r="A54" s="43">
        <v>45115</v>
      </c>
      <c r="B54" s="17">
        <v>61768431.32</v>
      </c>
      <c r="C54" s="17">
        <v>0</v>
      </c>
      <c r="D54" s="18"/>
      <c r="E54" s="19">
        <f t="shared" si="0"/>
        <v>61768431.32</v>
      </c>
      <c r="F54" s="19">
        <f t="shared" si="1"/>
        <v>61768431.32</v>
      </c>
      <c r="G54" s="20">
        <f t="shared" si="2"/>
        <v>0</v>
      </c>
      <c r="H54" s="18"/>
      <c r="I54" s="18"/>
      <c r="J54" s="18"/>
      <c r="K54" s="19">
        <f t="shared" si="3"/>
        <v>0</v>
      </c>
      <c r="L54" s="18"/>
      <c r="M54" s="18"/>
      <c r="N54" s="18"/>
      <c r="O54" s="19">
        <f t="shared" si="4"/>
        <v>0</v>
      </c>
      <c r="P54" s="21">
        <f t="shared" si="5"/>
        <v>0</v>
      </c>
      <c r="Q54" s="18"/>
      <c r="R54" s="18"/>
      <c r="S54" s="19">
        <f t="shared" si="6"/>
        <v>0</v>
      </c>
      <c r="T54" s="20">
        <f t="shared" si="7"/>
        <v>0.03</v>
      </c>
      <c r="U54" s="19">
        <f t="shared" si="8"/>
        <v>0</v>
      </c>
      <c r="V54" s="18"/>
      <c r="W54" s="19">
        <f t="shared" si="9"/>
        <v>0</v>
      </c>
      <c r="X54" s="19">
        <f t="shared" si="10"/>
        <v>0</v>
      </c>
      <c r="Y54" s="18"/>
      <c r="Z54" s="18"/>
      <c r="AA54" s="19">
        <f t="shared" si="11"/>
        <v>0</v>
      </c>
      <c r="AB54" s="17">
        <v>0</v>
      </c>
      <c r="AC54" s="18"/>
      <c r="AD54" s="18"/>
      <c r="AE54" s="22">
        <f t="shared" si="12"/>
        <v>0</v>
      </c>
      <c r="AF54" s="23">
        <f t="shared" si="13"/>
        <v>0</v>
      </c>
      <c r="AG54" s="23">
        <f t="shared" si="14"/>
        <v>0</v>
      </c>
      <c r="AH54" s="18"/>
      <c r="AI54" s="24">
        <f t="shared" si="15"/>
        <v>0</v>
      </c>
      <c r="AJ54" s="25">
        <v>0</v>
      </c>
      <c r="AK54" s="24">
        <f t="shared" si="16"/>
        <v>0</v>
      </c>
      <c r="AL54" s="22">
        <f t="shared" si="17"/>
        <v>0</v>
      </c>
      <c r="AM54" s="22">
        <f t="shared" si="18"/>
        <v>0</v>
      </c>
      <c r="AN54" s="22">
        <f t="shared" si="19"/>
        <v>0</v>
      </c>
      <c r="AO54" s="26" t="str">
        <f t="shared" si="20"/>
        <v/>
      </c>
      <c r="AP54" s="26" t="str">
        <f t="shared" si="21"/>
        <v>pre-launch</v>
      </c>
      <c r="AQ54" s="18"/>
      <c r="AR54" s="18"/>
    </row>
    <row r="55" spans="1:44" x14ac:dyDescent="0.25">
      <c r="A55" s="43">
        <v>45116</v>
      </c>
      <c r="B55" s="17">
        <v>58842855.869999997</v>
      </c>
      <c r="C55" s="17">
        <v>0</v>
      </c>
      <c r="D55" s="18"/>
      <c r="E55" s="19">
        <f t="shared" si="0"/>
        <v>58842855.869999997</v>
      </c>
      <c r="F55" s="19">
        <f t="shared" si="1"/>
        <v>58842855.869999997</v>
      </c>
      <c r="G55" s="20">
        <f t="shared" si="2"/>
        <v>0</v>
      </c>
      <c r="H55" s="18"/>
      <c r="I55" s="18"/>
      <c r="J55" s="18"/>
      <c r="K55" s="19">
        <f t="shared" si="3"/>
        <v>0</v>
      </c>
      <c r="L55" s="18"/>
      <c r="M55" s="18"/>
      <c r="N55" s="18"/>
      <c r="O55" s="19">
        <f t="shared" si="4"/>
        <v>0</v>
      </c>
      <c r="P55" s="21">
        <f t="shared" si="5"/>
        <v>0</v>
      </c>
      <c r="Q55" s="18"/>
      <c r="R55" s="18"/>
      <c r="S55" s="19">
        <f t="shared" si="6"/>
        <v>0</v>
      </c>
      <c r="T55" s="20">
        <f t="shared" si="7"/>
        <v>0.03</v>
      </c>
      <c r="U55" s="19">
        <f t="shared" si="8"/>
        <v>0</v>
      </c>
      <c r="V55" s="18"/>
      <c r="W55" s="19">
        <f t="shared" si="9"/>
        <v>0</v>
      </c>
      <c r="X55" s="19">
        <f t="shared" si="10"/>
        <v>0</v>
      </c>
      <c r="Y55" s="18"/>
      <c r="Z55" s="18"/>
      <c r="AA55" s="19">
        <f t="shared" si="11"/>
        <v>0</v>
      </c>
      <c r="AB55" s="17">
        <v>0</v>
      </c>
      <c r="AC55" s="18"/>
      <c r="AD55" s="18"/>
      <c r="AE55" s="22">
        <f t="shared" si="12"/>
        <v>0</v>
      </c>
      <c r="AF55" s="23">
        <f t="shared" si="13"/>
        <v>0</v>
      </c>
      <c r="AG55" s="23">
        <f t="shared" si="14"/>
        <v>0</v>
      </c>
      <c r="AH55" s="18"/>
      <c r="AI55" s="24">
        <f t="shared" si="15"/>
        <v>0</v>
      </c>
      <c r="AJ55" s="25">
        <v>0</v>
      </c>
      <c r="AK55" s="24">
        <f t="shared" si="16"/>
        <v>0</v>
      </c>
      <c r="AL55" s="22">
        <f t="shared" si="17"/>
        <v>0</v>
      </c>
      <c r="AM55" s="22">
        <f t="shared" si="18"/>
        <v>0</v>
      </c>
      <c r="AN55" s="22">
        <f t="shared" si="19"/>
        <v>0</v>
      </c>
      <c r="AO55" s="26" t="str">
        <f t="shared" si="20"/>
        <v/>
      </c>
      <c r="AP55" s="26" t="str">
        <f t="shared" si="21"/>
        <v>pre-launch</v>
      </c>
      <c r="AQ55" s="18"/>
      <c r="AR55" s="18"/>
    </row>
    <row r="56" spans="1:44" x14ac:dyDescent="0.25">
      <c r="A56" s="43">
        <v>45117</v>
      </c>
      <c r="B56" s="17">
        <v>95782243.090000004</v>
      </c>
      <c r="C56" s="17">
        <v>0</v>
      </c>
      <c r="D56" s="18"/>
      <c r="E56" s="19">
        <f t="shared" si="0"/>
        <v>95782243.090000004</v>
      </c>
      <c r="F56" s="19">
        <f t="shared" si="1"/>
        <v>95782243.090000004</v>
      </c>
      <c r="G56" s="20">
        <f t="shared" si="2"/>
        <v>0</v>
      </c>
      <c r="H56" s="18"/>
      <c r="I56" s="18"/>
      <c r="J56" s="18"/>
      <c r="K56" s="19">
        <f t="shared" si="3"/>
        <v>0</v>
      </c>
      <c r="L56" s="18"/>
      <c r="M56" s="18"/>
      <c r="N56" s="18"/>
      <c r="O56" s="19">
        <f t="shared" si="4"/>
        <v>0</v>
      </c>
      <c r="P56" s="21">
        <f t="shared" si="5"/>
        <v>0</v>
      </c>
      <c r="Q56" s="18"/>
      <c r="R56" s="18"/>
      <c r="S56" s="19">
        <f t="shared" si="6"/>
        <v>0</v>
      </c>
      <c r="T56" s="20">
        <f t="shared" si="7"/>
        <v>0.03</v>
      </c>
      <c r="U56" s="19">
        <f t="shared" si="8"/>
        <v>0</v>
      </c>
      <c r="V56" s="18"/>
      <c r="W56" s="19">
        <f t="shared" si="9"/>
        <v>0</v>
      </c>
      <c r="X56" s="19">
        <f t="shared" si="10"/>
        <v>0</v>
      </c>
      <c r="Y56" s="18"/>
      <c r="Z56" s="18"/>
      <c r="AA56" s="19">
        <f t="shared" si="11"/>
        <v>0</v>
      </c>
      <c r="AB56" s="17">
        <v>0</v>
      </c>
      <c r="AC56" s="18"/>
      <c r="AD56" s="18"/>
      <c r="AE56" s="22">
        <f t="shared" si="12"/>
        <v>0</v>
      </c>
      <c r="AF56" s="23">
        <f t="shared" si="13"/>
        <v>0</v>
      </c>
      <c r="AG56" s="23">
        <f t="shared" si="14"/>
        <v>0</v>
      </c>
      <c r="AH56" s="18"/>
      <c r="AI56" s="24">
        <f t="shared" si="15"/>
        <v>0</v>
      </c>
      <c r="AJ56" s="25">
        <v>0</v>
      </c>
      <c r="AK56" s="24">
        <f t="shared" si="16"/>
        <v>0</v>
      </c>
      <c r="AL56" s="22">
        <f t="shared" si="17"/>
        <v>0</v>
      </c>
      <c r="AM56" s="22">
        <f t="shared" si="18"/>
        <v>0</v>
      </c>
      <c r="AN56" s="22">
        <f t="shared" si="19"/>
        <v>0</v>
      </c>
      <c r="AO56" s="26" t="str">
        <f t="shared" si="20"/>
        <v/>
      </c>
      <c r="AP56" s="26" t="str">
        <f t="shared" si="21"/>
        <v>pre-launch</v>
      </c>
      <c r="AQ56" s="18"/>
      <c r="AR56" s="18"/>
    </row>
    <row r="57" spans="1:44" x14ac:dyDescent="0.25">
      <c r="A57" s="43">
        <v>45118</v>
      </c>
      <c r="B57" s="17">
        <v>65723684.32</v>
      </c>
      <c r="C57" s="17">
        <v>0</v>
      </c>
      <c r="D57" s="18"/>
      <c r="E57" s="19">
        <f t="shared" si="0"/>
        <v>65723684.32</v>
      </c>
      <c r="F57" s="19">
        <f t="shared" si="1"/>
        <v>65723684.32</v>
      </c>
      <c r="G57" s="20">
        <f t="shared" si="2"/>
        <v>0</v>
      </c>
      <c r="H57" s="18"/>
      <c r="I57" s="18"/>
      <c r="J57" s="18"/>
      <c r="K57" s="19">
        <f t="shared" si="3"/>
        <v>0</v>
      </c>
      <c r="L57" s="18"/>
      <c r="M57" s="18"/>
      <c r="N57" s="18"/>
      <c r="O57" s="19">
        <f t="shared" si="4"/>
        <v>0</v>
      </c>
      <c r="P57" s="21">
        <f t="shared" si="5"/>
        <v>0</v>
      </c>
      <c r="Q57" s="18"/>
      <c r="R57" s="18"/>
      <c r="S57" s="19">
        <f t="shared" si="6"/>
        <v>0</v>
      </c>
      <c r="T57" s="20">
        <f t="shared" si="7"/>
        <v>0.03</v>
      </c>
      <c r="U57" s="19">
        <f t="shared" si="8"/>
        <v>0</v>
      </c>
      <c r="V57" s="18"/>
      <c r="W57" s="19">
        <f t="shared" si="9"/>
        <v>0</v>
      </c>
      <c r="X57" s="19">
        <f t="shared" si="10"/>
        <v>0</v>
      </c>
      <c r="Y57" s="18"/>
      <c r="Z57" s="18"/>
      <c r="AA57" s="19">
        <f t="shared" si="11"/>
        <v>0</v>
      </c>
      <c r="AB57" s="17">
        <v>0</v>
      </c>
      <c r="AC57" s="18"/>
      <c r="AD57" s="18"/>
      <c r="AE57" s="22">
        <f t="shared" si="12"/>
        <v>0</v>
      </c>
      <c r="AF57" s="23">
        <f t="shared" si="13"/>
        <v>0</v>
      </c>
      <c r="AG57" s="23">
        <f t="shared" si="14"/>
        <v>0</v>
      </c>
      <c r="AH57" s="18"/>
      <c r="AI57" s="24">
        <f t="shared" si="15"/>
        <v>0</v>
      </c>
      <c r="AJ57" s="25">
        <v>0</v>
      </c>
      <c r="AK57" s="24">
        <f t="shared" si="16"/>
        <v>0</v>
      </c>
      <c r="AL57" s="22">
        <f t="shared" si="17"/>
        <v>0</v>
      </c>
      <c r="AM57" s="22">
        <f t="shared" si="18"/>
        <v>0</v>
      </c>
      <c r="AN57" s="22">
        <f t="shared" si="19"/>
        <v>0</v>
      </c>
      <c r="AO57" s="26" t="str">
        <f t="shared" si="20"/>
        <v/>
      </c>
      <c r="AP57" s="26" t="str">
        <f t="shared" si="21"/>
        <v>pre-launch</v>
      </c>
      <c r="AQ57" s="18"/>
      <c r="AR57" s="18"/>
    </row>
    <row r="58" spans="1:44" x14ac:dyDescent="0.25">
      <c r="A58" s="43">
        <v>45119</v>
      </c>
      <c r="B58" s="17">
        <v>50362844.700000003</v>
      </c>
      <c r="C58" s="17">
        <v>0</v>
      </c>
      <c r="D58" s="18"/>
      <c r="E58" s="19">
        <f t="shared" si="0"/>
        <v>50362844.700000003</v>
      </c>
      <c r="F58" s="19">
        <f t="shared" si="1"/>
        <v>50362844.700000003</v>
      </c>
      <c r="G58" s="20">
        <f t="shared" si="2"/>
        <v>0</v>
      </c>
      <c r="H58" s="18"/>
      <c r="I58" s="18"/>
      <c r="J58" s="18"/>
      <c r="K58" s="19">
        <f t="shared" si="3"/>
        <v>0</v>
      </c>
      <c r="L58" s="18"/>
      <c r="M58" s="18"/>
      <c r="N58" s="18"/>
      <c r="O58" s="19">
        <f t="shared" si="4"/>
        <v>0</v>
      </c>
      <c r="P58" s="21">
        <f t="shared" si="5"/>
        <v>0</v>
      </c>
      <c r="Q58" s="18"/>
      <c r="R58" s="18"/>
      <c r="S58" s="19">
        <f t="shared" si="6"/>
        <v>0</v>
      </c>
      <c r="T58" s="20">
        <f t="shared" si="7"/>
        <v>0.03</v>
      </c>
      <c r="U58" s="19">
        <f t="shared" si="8"/>
        <v>0</v>
      </c>
      <c r="V58" s="18"/>
      <c r="W58" s="19">
        <f t="shared" si="9"/>
        <v>0</v>
      </c>
      <c r="X58" s="19">
        <f t="shared" si="10"/>
        <v>0</v>
      </c>
      <c r="Y58" s="18"/>
      <c r="Z58" s="18"/>
      <c r="AA58" s="19">
        <f t="shared" si="11"/>
        <v>0</v>
      </c>
      <c r="AB58" s="17">
        <v>0</v>
      </c>
      <c r="AC58" s="18"/>
      <c r="AD58" s="18"/>
      <c r="AE58" s="22">
        <f t="shared" si="12"/>
        <v>0</v>
      </c>
      <c r="AF58" s="23">
        <f t="shared" si="13"/>
        <v>0</v>
      </c>
      <c r="AG58" s="23">
        <f t="shared" si="14"/>
        <v>0</v>
      </c>
      <c r="AH58" s="18"/>
      <c r="AI58" s="24">
        <f t="shared" si="15"/>
        <v>0</v>
      </c>
      <c r="AJ58" s="25">
        <v>0</v>
      </c>
      <c r="AK58" s="24">
        <f t="shared" si="16"/>
        <v>0</v>
      </c>
      <c r="AL58" s="22">
        <f t="shared" si="17"/>
        <v>0</v>
      </c>
      <c r="AM58" s="22">
        <f t="shared" si="18"/>
        <v>0</v>
      </c>
      <c r="AN58" s="22">
        <f t="shared" si="19"/>
        <v>0</v>
      </c>
      <c r="AO58" s="26" t="str">
        <f t="shared" si="20"/>
        <v/>
      </c>
      <c r="AP58" s="26" t="str">
        <f t="shared" si="21"/>
        <v>pre-launch</v>
      </c>
      <c r="AQ58" s="18"/>
      <c r="AR58" s="18"/>
    </row>
    <row r="59" spans="1:44" x14ac:dyDescent="0.25">
      <c r="A59" s="43">
        <v>45120</v>
      </c>
      <c r="B59" s="17">
        <v>31025762.629999999</v>
      </c>
      <c r="C59" s="17">
        <v>0</v>
      </c>
      <c r="D59" s="18"/>
      <c r="E59" s="19">
        <f t="shared" si="0"/>
        <v>31025762.629999999</v>
      </c>
      <c r="F59" s="19">
        <f t="shared" si="1"/>
        <v>31025762.629999999</v>
      </c>
      <c r="G59" s="20">
        <f t="shared" si="2"/>
        <v>0</v>
      </c>
      <c r="H59" s="18"/>
      <c r="I59" s="18"/>
      <c r="J59" s="18"/>
      <c r="K59" s="19">
        <f t="shared" si="3"/>
        <v>0</v>
      </c>
      <c r="L59" s="18"/>
      <c r="M59" s="18"/>
      <c r="N59" s="18"/>
      <c r="O59" s="19">
        <f t="shared" si="4"/>
        <v>0</v>
      </c>
      <c r="P59" s="21">
        <f t="shared" si="5"/>
        <v>0</v>
      </c>
      <c r="Q59" s="18"/>
      <c r="R59" s="18"/>
      <c r="S59" s="19">
        <f t="shared" si="6"/>
        <v>0</v>
      </c>
      <c r="T59" s="20">
        <f t="shared" si="7"/>
        <v>0.03</v>
      </c>
      <c r="U59" s="19">
        <f t="shared" si="8"/>
        <v>0</v>
      </c>
      <c r="V59" s="18"/>
      <c r="W59" s="19">
        <f t="shared" si="9"/>
        <v>0</v>
      </c>
      <c r="X59" s="19">
        <f t="shared" si="10"/>
        <v>0</v>
      </c>
      <c r="Y59" s="18"/>
      <c r="Z59" s="18"/>
      <c r="AA59" s="19">
        <f t="shared" si="11"/>
        <v>0</v>
      </c>
      <c r="AB59" s="17">
        <v>0</v>
      </c>
      <c r="AC59" s="18"/>
      <c r="AD59" s="18"/>
      <c r="AE59" s="22">
        <f t="shared" si="12"/>
        <v>0</v>
      </c>
      <c r="AF59" s="23">
        <f t="shared" si="13"/>
        <v>0</v>
      </c>
      <c r="AG59" s="23">
        <f t="shared" si="14"/>
        <v>0</v>
      </c>
      <c r="AH59" s="18"/>
      <c r="AI59" s="24">
        <f t="shared" si="15"/>
        <v>0</v>
      </c>
      <c r="AJ59" s="25">
        <v>0</v>
      </c>
      <c r="AK59" s="24">
        <f t="shared" si="16"/>
        <v>0</v>
      </c>
      <c r="AL59" s="22">
        <f t="shared" si="17"/>
        <v>0</v>
      </c>
      <c r="AM59" s="22">
        <f t="shared" si="18"/>
        <v>0</v>
      </c>
      <c r="AN59" s="22">
        <f t="shared" si="19"/>
        <v>0</v>
      </c>
      <c r="AO59" s="26" t="str">
        <f t="shared" si="20"/>
        <v/>
      </c>
      <c r="AP59" s="26" t="str">
        <f t="shared" si="21"/>
        <v>pre-launch</v>
      </c>
      <c r="AQ59" s="18"/>
      <c r="AR59" s="18"/>
    </row>
    <row r="60" spans="1:44" x14ac:dyDescent="0.25">
      <c r="A60" s="43">
        <v>45121</v>
      </c>
      <c r="B60" s="17">
        <v>56820053.590000004</v>
      </c>
      <c r="C60" s="17">
        <v>0</v>
      </c>
      <c r="D60" s="18"/>
      <c r="E60" s="19">
        <f t="shared" si="0"/>
        <v>56820053.590000004</v>
      </c>
      <c r="F60" s="19">
        <f t="shared" si="1"/>
        <v>56820053.590000004</v>
      </c>
      <c r="G60" s="20">
        <f t="shared" si="2"/>
        <v>0</v>
      </c>
      <c r="H60" s="18"/>
      <c r="I60" s="18"/>
      <c r="J60" s="18"/>
      <c r="K60" s="19">
        <f t="shared" si="3"/>
        <v>0</v>
      </c>
      <c r="L60" s="18"/>
      <c r="M60" s="18"/>
      <c r="N60" s="18"/>
      <c r="O60" s="19">
        <f t="shared" si="4"/>
        <v>0</v>
      </c>
      <c r="P60" s="21">
        <f t="shared" si="5"/>
        <v>0</v>
      </c>
      <c r="Q60" s="18"/>
      <c r="R60" s="18"/>
      <c r="S60" s="19">
        <f t="shared" si="6"/>
        <v>0</v>
      </c>
      <c r="T60" s="20">
        <f t="shared" si="7"/>
        <v>0.03</v>
      </c>
      <c r="U60" s="19">
        <f t="shared" si="8"/>
        <v>0</v>
      </c>
      <c r="V60" s="18"/>
      <c r="W60" s="19">
        <f t="shared" si="9"/>
        <v>0</v>
      </c>
      <c r="X60" s="19">
        <f t="shared" si="10"/>
        <v>0</v>
      </c>
      <c r="Y60" s="18"/>
      <c r="Z60" s="18"/>
      <c r="AA60" s="19">
        <f t="shared" si="11"/>
        <v>0</v>
      </c>
      <c r="AB60" s="17">
        <v>0</v>
      </c>
      <c r="AC60" s="18"/>
      <c r="AD60" s="18"/>
      <c r="AE60" s="22">
        <f t="shared" si="12"/>
        <v>0</v>
      </c>
      <c r="AF60" s="23">
        <f t="shared" si="13"/>
        <v>0</v>
      </c>
      <c r="AG60" s="23">
        <f t="shared" si="14"/>
        <v>0</v>
      </c>
      <c r="AH60" s="18"/>
      <c r="AI60" s="24">
        <f t="shared" si="15"/>
        <v>0</v>
      </c>
      <c r="AJ60" s="25">
        <v>0</v>
      </c>
      <c r="AK60" s="24">
        <f t="shared" si="16"/>
        <v>0</v>
      </c>
      <c r="AL60" s="22">
        <f t="shared" si="17"/>
        <v>0</v>
      </c>
      <c r="AM60" s="22">
        <f t="shared" si="18"/>
        <v>0</v>
      </c>
      <c r="AN60" s="22">
        <f t="shared" si="19"/>
        <v>0</v>
      </c>
      <c r="AO60" s="26" t="str">
        <f t="shared" si="20"/>
        <v/>
      </c>
      <c r="AP60" s="26" t="str">
        <f t="shared" si="21"/>
        <v>pre-launch</v>
      </c>
      <c r="AQ60" s="18"/>
      <c r="AR60" s="18"/>
    </row>
    <row r="61" spans="1:44" x14ac:dyDescent="0.25">
      <c r="A61" s="43">
        <v>45122</v>
      </c>
      <c r="B61" s="17">
        <v>31952872.710000001</v>
      </c>
      <c r="C61" s="17">
        <v>0</v>
      </c>
      <c r="D61" s="18"/>
      <c r="E61" s="19">
        <f t="shared" si="0"/>
        <v>31952872.710000001</v>
      </c>
      <c r="F61" s="19">
        <f t="shared" si="1"/>
        <v>31952872.710000001</v>
      </c>
      <c r="G61" s="20">
        <f t="shared" si="2"/>
        <v>0</v>
      </c>
      <c r="H61" s="18"/>
      <c r="I61" s="18"/>
      <c r="J61" s="18"/>
      <c r="K61" s="19">
        <f t="shared" si="3"/>
        <v>0</v>
      </c>
      <c r="L61" s="18"/>
      <c r="M61" s="18"/>
      <c r="N61" s="18"/>
      <c r="O61" s="19">
        <f t="shared" si="4"/>
        <v>0</v>
      </c>
      <c r="P61" s="21">
        <f t="shared" si="5"/>
        <v>0</v>
      </c>
      <c r="Q61" s="18"/>
      <c r="R61" s="18"/>
      <c r="S61" s="19">
        <f t="shared" si="6"/>
        <v>0</v>
      </c>
      <c r="T61" s="20">
        <f t="shared" si="7"/>
        <v>0.03</v>
      </c>
      <c r="U61" s="19">
        <f t="shared" si="8"/>
        <v>0</v>
      </c>
      <c r="V61" s="18"/>
      <c r="W61" s="19">
        <f t="shared" si="9"/>
        <v>0</v>
      </c>
      <c r="X61" s="19">
        <f t="shared" si="10"/>
        <v>0</v>
      </c>
      <c r="Y61" s="18"/>
      <c r="Z61" s="18"/>
      <c r="AA61" s="19">
        <f t="shared" si="11"/>
        <v>0</v>
      </c>
      <c r="AB61" s="17">
        <v>0</v>
      </c>
      <c r="AC61" s="18"/>
      <c r="AD61" s="18"/>
      <c r="AE61" s="22">
        <f t="shared" si="12"/>
        <v>0</v>
      </c>
      <c r="AF61" s="23">
        <f t="shared" si="13"/>
        <v>0</v>
      </c>
      <c r="AG61" s="23">
        <f t="shared" si="14"/>
        <v>0</v>
      </c>
      <c r="AH61" s="18"/>
      <c r="AI61" s="24">
        <f t="shared" si="15"/>
        <v>0</v>
      </c>
      <c r="AJ61" s="25">
        <v>0</v>
      </c>
      <c r="AK61" s="24">
        <f t="shared" si="16"/>
        <v>0</v>
      </c>
      <c r="AL61" s="22">
        <f t="shared" si="17"/>
        <v>0</v>
      </c>
      <c r="AM61" s="22">
        <f t="shared" si="18"/>
        <v>0</v>
      </c>
      <c r="AN61" s="22">
        <f t="shared" si="19"/>
        <v>0</v>
      </c>
      <c r="AO61" s="26" t="str">
        <f t="shared" si="20"/>
        <v/>
      </c>
      <c r="AP61" s="26" t="str">
        <f t="shared" si="21"/>
        <v>pre-launch</v>
      </c>
      <c r="AQ61" s="18"/>
      <c r="AR61" s="18"/>
    </row>
    <row r="62" spans="1:44" x14ac:dyDescent="0.25">
      <c r="A62" s="43">
        <v>45123</v>
      </c>
      <c r="B62" s="17">
        <v>27396746.370000001</v>
      </c>
      <c r="C62" s="17">
        <v>0</v>
      </c>
      <c r="D62" s="18"/>
      <c r="E62" s="19">
        <f t="shared" si="0"/>
        <v>27396746.370000001</v>
      </c>
      <c r="F62" s="19">
        <f t="shared" si="1"/>
        <v>27396746.370000001</v>
      </c>
      <c r="G62" s="20">
        <f t="shared" si="2"/>
        <v>0</v>
      </c>
      <c r="H62" s="18"/>
      <c r="I62" s="18"/>
      <c r="J62" s="18"/>
      <c r="K62" s="19">
        <f t="shared" si="3"/>
        <v>0</v>
      </c>
      <c r="L62" s="18"/>
      <c r="M62" s="18"/>
      <c r="N62" s="18"/>
      <c r="O62" s="19">
        <f t="shared" si="4"/>
        <v>0</v>
      </c>
      <c r="P62" s="21">
        <f t="shared" si="5"/>
        <v>0</v>
      </c>
      <c r="Q62" s="18"/>
      <c r="R62" s="18"/>
      <c r="S62" s="19">
        <f t="shared" si="6"/>
        <v>0</v>
      </c>
      <c r="T62" s="20">
        <f t="shared" si="7"/>
        <v>0.03</v>
      </c>
      <c r="U62" s="19">
        <f t="shared" si="8"/>
        <v>0</v>
      </c>
      <c r="V62" s="18"/>
      <c r="W62" s="19">
        <f t="shared" si="9"/>
        <v>0</v>
      </c>
      <c r="X62" s="19">
        <f t="shared" si="10"/>
        <v>0</v>
      </c>
      <c r="Y62" s="18"/>
      <c r="Z62" s="18"/>
      <c r="AA62" s="19">
        <f t="shared" si="11"/>
        <v>0</v>
      </c>
      <c r="AB62" s="17">
        <v>0</v>
      </c>
      <c r="AC62" s="18"/>
      <c r="AD62" s="18"/>
      <c r="AE62" s="22">
        <f t="shared" si="12"/>
        <v>0</v>
      </c>
      <c r="AF62" s="23">
        <f t="shared" si="13"/>
        <v>0</v>
      </c>
      <c r="AG62" s="23">
        <f t="shared" si="14"/>
        <v>0</v>
      </c>
      <c r="AH62" s="18"/>
      <c r="AI62" s="24">
        <f t="shared" si="15"/>
        <v>0</v>
      </c>
      <c r="AJ62" s="25">
        <v>0</v>
      </c>
      <c r="AK62" s="24">
        <f t="shared" si="16"/>
        <v>0</v>
      </c>
      <c r="AL62" s="22">
        <f t="shared" si="17"/>
        <v>0</v>
      </c>
      <c r="AM62" s="22">
        <f t="shared" si="18"/>
        <v>0</v>
      </c>
      <c r="AN62" s="22">
        <f t="shared" si="19"/>
        <v>0</v>
      </c>
      <c r="AO62" s="26" t="str">
        <f t="shared" si="20"/>
        <v/>
      </c>
      <c r="AP62" s="26" t="str">
        <f t="shared" si="21"/>
        <v>pre-launch</v>
      </c>
      <c r="AQ62" s="18"/>
      <c r="AR62" s="18"/>
    </row>
    <row r="63" spans="1:44" x14ac:dyDescent="0.25">
      <c r="A63" s="43">
        <v>45124</v>
      </c>
      <c r="B63" s="17">
        <v>55087949.030000001</v>
      </c>
      <c r="C63" s="17">
        <v>0</v>
      </c>
      <c r="D63" s="18"/>
      <c r="E63" s="19">
        <f t="shared" si="0"/>
        <v>55087949.030000001</v>
      </c>
      <c r="F63" s="19">
        <f t="shared" si="1"/>
        <v>55087949.030000001</v>
      </c>
      <c r="G63" s="20">
        <f t="shared" si="2"/>
        <v>0</v>
      </c>
      <c r="H63" s="18"/>
      <c r="I63" s="18"/>
      <c r="J63" s="18"/>
      <c r="K63" s="19">
        <f t="shared" si="3"/>
        <v>0</v>
      </c>
      <c r="L63" s="18"/>
      <c r="M63" s="18"/>
      <c r="N63" s="18"/>
      <c r="O63" s="19">
        <f t="shared" si="4"/>
        <v>0</v>
      </c>
      <c r="P63" s="21">
        <f t="shared" si="5"/>
        <v>0</v>
      </c>
      <c r="Q63" s="18"/>
      <c r="R63" s="18"/>
      <c r="S63" s="19">
        <f t="shared" si="6"/>
        <v>0</v>
      </c>
      <c r="T63" s="20">
        <f t="shared" si="7"/>
        <v>0.03</v>
      </c>
      <c r="U63" s="19">
        <f t="shared" si="8"/>
        <v>0</v>
      </c>
      <c r="V63" s="18"/>
      <c r="W63" s="19">
        <f t="shared" si="9"/>
        <v>0</v>
      </c>
      <c r="X63" s="19">
        <f t="shared" si="10"/>
        <v>0</v>
      </c>
      <c r="Y63" s="18"/>
      <c r="Z63" s="18"/>
      <c r="AA63" s="19">
        <f t="shared" si="11"/>
        <v>0</v>
      </c>
      <c r="AB63" s="17">
        <v>0</v>
      </c>
      <c r="AC63" s="18"/>
      <c r="AD63" s="18"/>
      <c r="AE63" s="22">
        <f t="shared" si="12"/>
        <v>0</v>
      </c>
      <c r="AF63" s="23">
        <f t="shared" si="13"/>
        <v>0</v>
      </c>
      <c r="AG63" s="23">
        <f t="shared" si="14"/>
        <v>0</v>
      </c>
      <c r="AH63" s="18"/>
      <c r="AI63" s="24">
        <f t="shared" si="15"/>
        <v>0</v>
      </c>
      <c r="AJ63" s="25">
        <v>0</v>
      </c>
      <c r="AK63" s="24">
        <f t="shared" si="16"/>
        <v>0</v>
      </c>
      <c r="AL63" s="22">
        <f t="shared" si="17"/>
        <v>0</v>
      </c>
      <c r="AM63" s="22">
        <f t="shared" si="18"/>
        <v>0</v>
      </c>
      <c r="AN63" s="22">
        <f t="shared" si="19"/>
        <v>0</v>
      </c>
      <c r="AO63" s="26" t="str">
        <f t="shared" si="20"/>
        <v/>
      </c>
      <c r="AP63" s="26" t="str">
        <f t="shared" si="21"/>
        <v>pre-launch</v>
      </c>
      <c r="AQ63" s="18"/>
      <c r="AR63" s="18"/>
    </row>
    <row r="64" spans="1:44" x14ac:dyDescent="0.25">
      <c r="A64" s="43">
        <v>45125</v>
      </c>
      <c r="B64" s="17">
        <v>54940167.149999999</v>
      </c>
      <c r="C64" s="17">
        <v>0</v>
      </c>
      <c r="D64" s="18"/>
      <c r="E64" s="19">
        <f t="shared" si="0"/>
        <v>54940167.149999999</v>
      </c>
      <c r="F64" s="19">
        <f t="shared" si="1"/>
        <v>54940167.149999999</v>
      </c>
      <c r="G64" s="20">
        <f t="shared" si="2"/>
        <v>0</v>
      </c>
      <c r="H64" s="18"/>
      <c r="I64" s="18"/>
      <c r="J64" s="18"/>
      <c r="K64" s="19">
        <f t="shared" si="3"/>
        <v>0</v>
      </c>
      <c r="L64" s="18"/>
      <c r="M64" s="18"/>
      <c r="N64" s="18"/>
      <c r="O64" s="19">
        <f t="shared" si="4"/>
        <v>0</v>
      </c>
      <c r="P64" s="21">
        <f t="shared" si="5"/>
        <v>0</v>
      </c>
      <c r="Q64" s="18"/>
      <c r="R64" s="18"/>
      <c r="S64" s="19">
        <f t="shared" si="6"/>
        <v>0</v>
      </c>
      <c r="T64" s="20">
        <f t="shared" si="7"/>
        <v>0.03</v>
      </c>
      <c r="U64" s="19">
        <f t="shared" si="8"/>
        <v>0</v>
      </c>
      <c r="V64" s="18"/>
      <c r="W64" s="19">
        <f t="shared" si="9"/>
        <v>0</v>
      </c>
      <c r="X64" s="19">
        <f t="shared" si="10"/>
        <v>0</v>
      </c>
      <c r="Y64" s="18"/>
      <c r="Z64" s="18"/>
      <c r="AA64" s="19">
        <f t="shared" si="11"/>
        <v>0</v>
      </c>
      <c r="AB64" s="17">
        <v>0</v>
      </c>
      <c r="AC64" s="18"/>
      <c r="AD64" s="18"/>
      <c r="AE64" s="22">
        <f t="shared" si="12"/>
        <v>0</v>
      </c>
      <c r="AF64" s="23">
        <f t="shared" si="13"/>
        <v>0</v>
      </c>
      <c r="AG64" s="23">
        <f t="shared" si="14"/>
        <v>0</v>
      </c>
      <c r="AH64" s="18"/>
      <c r="AI64" s="24">
        <f t="shared" si="15"/>
        <v>0</v>
      </c>
      <c r="AJ64" s="25">
        <v>0</v>
      </c>
      <c r="AK64" s="24">
        <f t="shared" si="16"/>
        <v>0</v>
      </c>
      <c r="AL64" s="22">
        <f t="shared" si="17"/>
        <v>0</v>
      </c>
      <c r="AM64" s="22">
        <f t="shared" si="18"/>
        <v>0</v>
      </c>
      <c r="AN64" s="22">
        <f t="shared" si="19"/>
        <v>0</v>
      </c>
      <c r="AO64" s="26" t="str">
        <f t="shared" si="20"/>
        <v/>
      </c>
      <c r="AP64" s="26" t="str">
        <f t="shared" si="21"/>
        <v>pre-launch</v>
      </c>
      <c r="AQ64" s="18"/>
      <c r="AR64" s="18"/>
    </row>
    <row r="65" spans="1:44" x14ac:dyDescent="0.25">
      <c r="A65" s="43">
        <v>45126</v>
      </c>
      <c r="B65" s="17">
        <v>46673377.740000002</v>
      </c>
      <c r="C65" s="17">
        <v>0</v>
      </c>
      <c r="D65" s="18"/>
      <c r="E65" s="19">
        <f t="shared" si="0"/>
        <v>46673377.740000002</v>
      </c>
      <c r="F65" s="19">
        <f t="shared" si="1"/>
        <v>46673377.740000002</v>
      </c>
      <c r="G65" s="20">
        <f t="shared" si="2"/>
        <v>0</v>
      </c>
      <c r="H65" s="18"/>
      <c r="I65" s="18"/>
      <c r="J65" s="18"/>
      <c r="K65" s="19">
        <f t="shared" si="3"/>
        <v>0</v>
      </c>
      <c r="L65" s="18"/>
      <c r="M65" s="18"/>
      <c r="N65" s="18"/>
      <c r="O65" s="19">
        <f t="shared" si="4"/>
        <v>0</v>
      </c>
      <c r="P65" s="21">
        <f t="shared" si="5"/>
        <v>0</v>
      </c>
      <c r="Q65" s="18"/>
      <c r="R65" s="18"/>
      <c r="S65" s="19">
        <f t="shared" si="6"/>
        <v>0</v>
      </c>
      <c r="T65" s="20">
        <f t="shared" si="7"/>
        <v>0.03</v>
      </c>
      <c r="U65" s="19">
        <f t="shared" si="8"/>
        <v>0</v>
      </c>
      <c r="V65" s="18"/>
      <c r="W65" s="19">
        <f t="shared" si="9"/>
        <v>0</v>
      </c>
      <c r="X65" s="19">
        <f t="shared" si="10"/>
        <v>0</v>
      </c>
      <c r="Y65" s="18"/>
      <c r="Z65" s="18"/>
      <c r="AA65" s="19">
        <f t="shared" si="11"/>
        <v>0</v>
      </c>
      <c r="AB65" s="17">
        <v>0</v>
      </c>
      <c r="AC65" s="18"/>
      <c r="AD65" s="18"/>
      <c r="AE65" s="22">
        <f t="shared" si="12"/>
        <v>0</v>
      </c>
      <c r="AF65" s="23">
        <f t="shared" si="13"/>
        <v>0</v>
      </c>
      <c r="AG65" s="23">
        <f t="shared" si="14"/>
        <v>0</v>
      </c>
      <c r="AH65" s="18"/>
      <c r="AI65" s="24">
        <f t="shared" si="15"/>
        <v>0</v>
      </c>
      <c r="AJ65" s="25">
        <v>0</v>
      </c>
      <c r="AK65" s="24">
        <f t="shared" si="16"/>
        <v>0</v>
      </c>
      <c r="AL65" s="22">
        <f t="shared" si="17"/>
        <v>0</v>
      </c>
      <c r="AM65" s="22">
        <f t="shared" si="18"/>
        <v>0</v>
      </c>
      <c r="AN65" s="22">
        <f t="shared" si="19"/>
        <v>0</v>
      </c>
      <c r="AO65" s="26" t="str">
        <f t="shared" si="20"/>
        <v/>
      </c>
      <c r="AP65" s="26" t="str">
        <f t="shared" si="21"/>
        <v>pre-launch</v>
      </c>
      <c r="AQ65" s="18"/>
      <c r="AR65" s="18"/>
    </row>
    <row r="66" spans="1:44" x14ac:dyDescent="0.25">
      <c r="A66" s="43">
        <v>45127</v>
      </c>
      <c r="B66" s="17">
        <v>49633624.740000002</v>
      </c>
      <c r="C66" s="17">
        <v>0</v>
      </c>
      <c r="D66" s="18"/>
      <c r="E66" s="19">
        <f t="shared" si="0"/>
        <v>49633624.740000002</v>
      </c>
      <c r="F66" s="19">
        <f t="shared" si="1"/>
        <v>49633624.740000002</v>
      </c>
      <c r="G66" s="20">
        <f t="shared" si="2"/>
        <v>0</v>
      </c>
      <c r="H66" s="18"/>
      <c r="I66" s="18"/>
      <c r="J66" s="18"/>
      <c r="K66" s="19">
        <f t="shared" si="3"/>
        <v>0</v>
      </c>
      <c r="L66" s="18"/>
      <c r="M66" s="18"/>
      <c r="N66" s="18"/>
      <c r="O66" s="19">
        <f t="shared" si="4"/>
        <v>0</v>
      </c>
      <c r="P66" s="21">
        <f t="shared" si="5"/>
        <v>0</v>
      </c>
      <c r="Q66" s="18"/>
      <c r="R66" s="18"/>
      <c r="S66" s="19">
        <f t="shared" si="6"/>
        <v>0</v>
      </c>
      <c r="T66" s="20">
        <f t="shared" si="7"/>
        <v>0.03</v>
      </c>
      <c r="U66" s="19">
        <f t="shared" si="8"/>
        <v>0</v>
      </c>
      <c r="V66" s="18"/>
      <c r="W66" s="19">
        <f t="shared" si="9"/>
        <v>0</v>
      </c>
      <c r="X66" s="19">
        <f t="shared" si="10"/>
        <v>0</v>
      </c>
      <c r="Y66" s="18"/>
      <c r="Z66" s="18"/>
      <c r="AA66" s="19">
        <f t="shared" si="11"/>
        <v>0</v>
      </c>
      <c r="AB66" s="17">
        <v>0</v>
      </c>
      <c r="AC66" s="18"/>
      <c r="AD66" s="18"/>
      <c r="AE66" s="22">
        <f t="shared" si="12"/>
        <v>0</v>
      </c>
      <c r="AF66" s="23">
        <f t="shared" si="13"/>
        <v>0</v>
      </c>
      <c r="AG66" s="23">
        <f t="shared" si="14"/>
        <v>0</v>
      </c>
      <c r="AH66" s="18"/>
      <c r="AI66" s="24">
        <f t="shared" si="15"/>
        <v>0</v>
      </c>
      <c r="AJ66" s="25">
        <v>0</v>
      </c>
      <c r="AK66" s="24">
        <f t="shared" si="16"/>
        <v>0</v>
      </c>
      <c r="AL66" s="22">
        <f t="shared" si="17"/>
        <v>0</v>
      </c>
      <c r="AM66" s="22">
        <f t="shared" si="18"/>
        <v>0</v>
      </c>
      <c r="AN66" s="22">
        <f t="shared" si="19"/>
        <v>0</v>
      </c>
      <c r="AO66" s="26" t="str">
        <f t="shared" si="20"/>
        <v/>
      </c>
      <c r="AP66" s="26" t="str">
        <f t="shared" si="21"/>
        <v>pre-launch</v>
      </c>
      <c r="AQ66" s="18"/>
      <c r="AR66" s="18"/>
    </row>
    <row r="67" spans="1:44" x14ac:dyDescent="0.25">
      <c r="A67" s="43">
        <v>45128</v>
      </c>
      <c r="B67" s="17">
        <v>39391632.68</v>
      </c>
      <c r="C67" s="17">
        <v>0</v>
      </c>
      <c r="D67" s="18"/>
      <c r="E67" s="19">
        <f t="shared" si="0"/>
        <v>39391632.68</v>
      </c>
      <c r="F67" s="19">
        <f t="shared" si="1"/>
        <v>39391632.68</v>
      </c>
      <c r="G67" s="20">
        <f t="shared" si="2"/>
        <v>0</v>
      </c>
      <c r="H67" s="18"/>
      <c r="I67" s="18"/>
      <c r="J67" s="18"/>
      <c r="K67" s="19">
        <f t="shared" si="3"/>
        <v>0</v>
      </c>
      <c r="L67" s="18"/>
      <c r="M67" s="18"/>
      <c r="N67" s="18"/>
      <c r="O67" s="19">
        <f t="shared" si="4"/>
        <v>0</v>
      </c>
      <c r="P67" s="21">
        <f t="shared" si="5"/>
        <v>0</v>
      </c>
      <c r="Q67" s="18"/>
      <c r="R67" s="18"/>
      <c r="S67" s="19">
        <f t="shared" si="6"/>
        <v>0</v>
      </c>
      <c r="T67" s="20">
        <f t="shared" si="7"/>
        <v>0.03</v>
      </c>
      <c r="U67" s="19">
        <f t="shared" si="8"/>
        <v>0</v>
      </c>
      <c r="V67" s="18"/>
      <c r="W67" s="19">
        <f t="shared" si="9"/>
        <v>0</v>
      </c>
      <c r="X67" s="19">
        <f t="shared" si="10"/>
        <v>0</v>
      </c>
      <c r="Y67" s="18"/>
      <c r="Z67" s="18"/>
      <c r="AA67" s="19">
        <f t="shared" si="11"/>
        <v>0</v>
      </c>
      <c r="AB67" s="17">
        <v>0</v>
      </c>
      <c r="AC67" s="18"/>
      <c r="AD67" s="18"/>
      <c r="AE67" s="22">
        <f t="shared" si="12"/>
        <v>0</v>
      </c>
      <c r="AF67" s="23">
        <f t="shared" si="13"/>
        <v>0</v>
      </c>
      <c r="AG67" s="23">
        <f t="shared" si="14"/>
        <v>0</v>
      </c>
      <c r="AH67" s="18"/>
      <c r="AI67" s="24">
        <f t="shared" si="15"/>
        <v>0</v>
      </c>
      <c r="AJ67" s="25">
        <v>0</v>
      </c>
      <c r="AK67" s="24">
        <f t="shared" si="16"/>
        <v>0</v>
      </c>
      <c r="AL67" s="22">
        <f t="shared" si="17"/>
        <v>0</v>
      </c>
      <c r="AM67" s="22">
        <f t="shared" si="18"/>
        <v>0</v>
      </c>
      <c r="AN67" s="22">
        <f t="shared" si="19"/>
        <v>0</v>
      </c>
      <c r="AO67" s="26" t="str">
        <f t="shared" si="20"/>
        <v/>
      </c>
      <c r="AP67" s="26" t="str">
        <f t="shared" si="21"/>
        <v>pre-launch</v>
      </c>
      <c r="AQ67" s="18"/>
      <c r="AR67" s="18"/>
    </row>
    <row r="68" spans="1:44" x14ac:dyDescent="0.25">
      <c r="A68" s="43">
        <v>45129</v>
      </c>
      <c r="B68" s="17">
        <v>28310371.760000002</v>
      </c>
      <c r="C68" s="17">
        <v>0</v>
      </c>
      <c r="D68" s="18"/>
      <c r="E68" s="19">
        <f t="shared" si="0"/>
        <v>28310371.760000002</v>
      </c>
      <c r="F68" s="19">
        <f t="shared" si="1"/>
        <v>28310371.760000002</v>
      </c>
      <c r="G68" s="20">
        <f t="shared" si="2"/>
        <v>0</v>
      </c>
      <c r="H68" s="18"/>
      <c r="I68" s="18"/>
      <c r="J68" s="18"/>
      <c r="K68" s="19">
        <f t="shared" si="3"/>
        <v>0</v>
      </c>
      <c r="L68" s="18"/>
      <c r="M68" s="18"/>
      <c r="N68" s="18"/>
      <c r="O68" s="19">
        <f t="shared" si="4"/>
        <v>0</v>
      </c>
      <c r="P68" s="21">
        <f t="shared" si="5"/>
        <v>0</v>
      </c>
      <c r="Q68" s="18"/>
      <c r="R68" s="18"/>
      <c r="S68" s="19">
        <f t="shared" si="6"/>
        <v>0</v>
      </c>
      <c r="T68" s="20">
        <f t="shared" si="7"/>
        <v>0.03</v>
      </c>
      <c r="U68" s="19">
        <f t="shared" si="8"/>
        <v>0</v>
      </c>
      <c r="V68" s="18"/>
      <c r="W68" s="19">
        <f t="shared" si="9"/>
        <v>0</v>
      </c>
      <c r="X68" s="19">
        <f t="shared" si="10"/>
        <v>0</v>
      </c>
      <c r="Y68" s="18"/>
      <c r="Z68" s="18"/>
      <c r="AA68" s="19">
        <f t="shared" si="11"/>
        <v>0</v>
      </c>
      <c r="AB68" s="17">
        <v>0</v>
      </c>
      <c r="AC68" s="18"/>
      <c r="AD68" s="18"/>
      <c r="AE68" s="22">
        <f t="shared" si="12"/>
        <v>0</v>
      </c>
      <c r="AF68" s="23">
        <f t="shared" si="13"/>
        <v>0</v>
      </c>
      <c r="AG68" s="23">
        <f t="shared" si="14"/>
        <v>0</v>
      </c>
      <c r="AH68" s="18"/>
      <c r="AI68" s="24">
        <f t="shared" si="15"/>
        <v>0</v>
      </c>
      <c r="AJ68" s="25">
        <v>0</v>
      </c>
      <c r="AK68" s="24">
        <f t="shared" si="16"/>
        <v>0</v>
      </c>
      <c r="AL68" s="22">
        <f t="shared" si="17"/>
        <v>0</v>
      </c>
      <c r="AM68" s="22">
        <f t="shared" si="18"/>
        <v>0</v>
      </c>
      <c r="AN68" s="22">
        <f t="shared" si="19"/>
        <v>0</v>
      </c>
      <c r="AO68" s="26" t="str">
        <f t="shared" si="20"/>
        <v/>
      </c>
      <c r="AP68" s="26" t="str">
        <f t="shared" si="21"/>
        <v>pre-launch</v>
      </c>
      <c r="AQ68" s="18"/>
      <c r="AR68" s="18"/>
    </row>
    <row r="69" spans="1:44" x14ac:dyDescent="0.25">
      <c r="A69" s="43">
        <v>45130</v>
      </c>
      <c r="B69" s="17">
        <v>26423941.140000001</v>
      </c>
      <c r="C69" s="17">
        <v>0</v>
      </c>
      <c r="D69" s="18"/>
      <c r="E69" s="19">
        <f t="shared" ref="E69:E132" si="22">B69+C69</f>
        <v>26423941.140000001</v>
      </c>
      <c r="F69" s="19">
        <f t="shared" ref="F69:F132" si="23">E69+D69</f>
        <v>26423941.140000001</v>
      </c>
      <c r="G69" s="20">
        <f t="shared" ref="G69:G132" si="24">IFERROR(C69/E69,0)</f>
        <v>0</v>
      </c>
      <c r="H69" s="18"/>
      <c r="I69" s="18"/>
      <c r="J69" s="18"/>
      <c r="K69" s="19">
        <f t="shared" ref="K69:K132" si="25">H69+I69</f>
        <v>0</v>
      </c>
      <c r="L69" s="18"/>
      <c r="M69" s="18"/>
      <c r="N69" s="18"/>
      <c r="O69" s="19">
        <f t="shared" ref="O69:O132" si="26">IF(H69=0,0,H69-L69)</f>
        <v>0</v>
      </c>
      <c r="P69" s="21">
        <f t="shared" ref="P69:P132" si="27">IF(B69=0,0,O69/B69*10000)</f>
        <v>0</v>
      </c>
      <c r="Q69" s="18"/>
      <c r="R69" s="18"/>
      <c r="S69" s="19">
        <f t="shared" ref="S69:S132" si="28">Q69+R69</f>
        <v>0</v>
      </c>
      <c r="T69" s="20">
        <f t="shared" ref="T69:T132" si="29">IF(A69&lt;HlpChangeDate,HlpSharePre,HlpSharePost)</f>
        <v>0.03</v>
      </c>
      <c r="U69" s="19">
        <f t="shared" ref="U69:U132" si="30">S69*T69/(1-T69)</f>
        <v>0</v>
      </c>
      <c r="V69" s="18"/>
      <c r="W69" s="19">
        <f t="shared" ref="W69:W132" si="31">U69-V69</f>
        <v>0</v>
      </c>
      <c r="X69" s="19">
        <f t="shared" ref="X69:X132" si="32">Y69+Z69</f>
        <v>0</v>
      </c>
      <c r="Y69" s="18"/>
      <c r="Z69" s="18"/>
      <c r="AA69" s="19">
        <f t="shared" ref="AA69:AA132" si="33">X69-V69</f>
        <v>0</v>
      </c>
      <c r="AB69" s="17">
        <v>0</v>
      </c>
      <c r="AC69" s="18"/>
      <c r="AD69" s="18"/>
      <c r="AE69" s="22">
        <f t="shared" ref="AE69:AE132" si="34">IFERROR(AB69/AD69,0)</f>
        <v>0</v>
      </c>
      <c r="AF69" s="23">
        <f t="shared" ref="AF69:AF132" si="35">K69-S69-X69</f>
        <v>0</v>
      </c>
      <c r="AG69" s="23">
        <f t="shared" ref="AG69:AG132" si="36">S69-AB69</f>
        <v>0</v>
      </c>
      <c r="AH69" s="18"/>
      <c r="AI69" s="24">
        <f t="shared" ref="AI69:AI132" si="37">IFERROR(AH69/S69,0)</f>
        <v>0</v>
      </c>
      <c r="AJ69" s="25">
        <v>0</v>
      </c>
      <c r="AK69" s="24">
        <f t="shared" ref="AK69:AK132" si="38">IF(AJ69&gt;0,AprCoef/SQRT(AJ69),0)</f>
        <v>0</v>
      </c>
      <c r="AL69" s="22">
        <f t="shared" ref="AL69:AL132" si="39">AJ69*AK69/365</f>
        <v>0</v>
      </c>
      <c r="AM69" s="22">
        <f t="shared" ref="AM69:AM132" si="40">AE69</f>
        <v>0</v>
      </c>
      <c r="AN69" s="22">
        <f t="shared" ref="AN69:AN132" si="41">AL69-AM69</f>
        <v>0</v>
      </c>
      <c r="AO69" s="26" t="str">
        <f t="shared" ref="AO69:AO132" si="42">IF(A69&gt;=Hip3LaunchDate,"YES","")</f>
        <v/>
      </c>
      <c r="AP69" s="26" t="str">
        <f t="shared" ref="AP69:AP132" si="43">IF(A69&lt;Hip4LaunchDate,"pre-launch","live (zero-fee)")</f>
        <v>pre-launch</v>
      </c>
      <c r="AQ69" s="18"/>
      <c r="AR69" s="18"/>
    </row>
    <row r="70" spans="1:44" x14ac:dyDescent="0.25">
      <c r="A70" s="43">
        <v>45131</v>
      </c>
      <c r="B70" s="17">
        <v>55533797.57</v>
      </c>
      <c r="C70" s="17">
        <v>0</v>
      </c>
      <c r="D70" s="18"/>
      <c r="E70" s="19">
        <f t="shared" si="22"/>
        <v>55533797.57</v>
      </c>
      <c r="F70" s="19">
        <f t="shared" si="23"/>
        <v>55533797.57</v>
      </c>
      <c r="G70" s="20">
        <f t="shared" si="24"/>
        <v>0</v>
      </c>
      <c r="H70" s="18"/>
      <c r="I70" s="18"/>
      <c r="J70" s="18"/>
      <c r="K70" s="19">
        <f t="shared" si="25"/>
        <v>0</v>
      </c>
      <c r="L70" s="18"/>
      <c r="M70" s="18"/>
      <c r="N70" s="18"/>
      <c r="O70" s="19">
        <f t="shared" si="26"/>
        <v>0</v>
      </c>
      <c r="P70" s="21">
        <f t="shared" si="27"/>
        <v>0</v>
      </c>
      <c r="Q70" s="18"/>
      <c r="R70" s="18"/>
      <c r="S70" s="19">
        <f t="shared" si="28"/>
        <v>0</v>
      </c>
      <c r="T70" s="20">
        <f t="shared" si="29"/>
        <v>0.03</v>
      </c>
      <c r="U70" s="19">
        <f t="shared" si="30"/>
        <v>0</v>
      </c>
      <c r="V70" s="18"/>
      <c r="W70" s="19">
        <f t="shared" si="31"/>
        <v>0</v>
      </c>
      <c r="X70" s="19">
        <f t="shared" si="32"/>
        <v>0</v>
      </c>
      <c r="Y70" s="18"/>
      <c r="Z70" s="18"/>
      <c r="AA70" s="19">
        <f t="shared" si="33"/>
        <v>0</v>
      </c>
      <c r="AB70" s="17">
        <v>0</v>
      </c>
      <c r="AC70" s="18"/>
      <c r="AD70" s="18"/>
      <c r="AE70" s="22">
        <f t="shared" si="34"/>
        <v>0</v>
      </c>
      <c r="AF70" s="23">
        <f t="shared" si="35"/>
        <v>0</v>
      </c>
      <c r="AG70" s="23">
        <f t="shared" si="36"/>
        <v>0</v>
      </c>
      <c r="AH70" s="18"/>
      <c r="AI70" s="24">
        <f t="shared" si="37"/>
        <v>0</v>
      </c>
      <c r="AJ70" s="25">
        <v>0</v>
      </c>
      <c r="AK70" s="24">
        <f t="shared" si="38"/>
        <v>0</v>
      </c>
      <c r="AL70" s="22">
        <f t="shared" si="39"/>
        <v>0</v>
      </c>
      <c r="AM70" s="22">
        <f t="shared" si="40"/>
        <v>0</v>
      </c>
      <c r="AN70" s="22">
        <f t="shared" si="41"/>
        <v>0</v>
      </c>
      <c r="AO70" s="26" t="str">
        <f t="shared" si="42"/>
        <v/>
      </c>
      <c r="AP70" s="26" t="str">
        <f t="shared" si="43"/>
        <v>pre-launch</v>
      </c>
      <c r="AQ70" s="18"/>
      <c r="AR70" s="18"/>
    </row>
    <row r="71" spans="1:44" x14ac:dyDescent="0.25">
      <c r="A71" s="43">
        <v>45132</v>
      </c>
      <c r="B71" s="17">
        <v>38941116.960000001</v>
      </c>
      <c r="C71" s="17">
        <v>0</v>
      </c>
      <c r="D71" s="18"/>
      <c r="E71" s="19">
        <f t="shared" si="22"/>
        <v>38941116.960000001</v>
      </c>
      <c r="F71" s="19">
        <f t="shared" si="23"/>
        <v>38941116.960000001</v>
      </c>
      <c r="G71" s="20">
        <f t="shared" si="24"/>
        <v>0</v>
      </c>
      <c r="H71" s="18"/>
      <c r="I71" s="18"/>
      <c r="J71" s="18"/>
      <c r="K71" s="19">
        <f t="shared" si="25"/>
        <v>0</v>
      </c>
      <c r="L71" s="18"/>
      <c r="M71" s="18"/>
      <c r="N71" s="18"/>
      <c r="O71" s="19">
        <f t="shared" si="26"/>
        <v>0</v>
      </c>
      <c r="P71" s="21">
        <f t="shared" si="27"/>
        <v>0</v>
      </c>
      <c r="Q71" s="18"/>
      <c r="R71" s="18"/>
      <c r="S71" s="19">
        <f t="shared" si="28"/>
        <v>0</v>
      </c>
      <c r="T71" s="20">
        <f t="shared" si="29"/>
        <v>0.03</v>
      </c>
      <c r="U71" s="19">
        <f t="shared" si="30"/>
        <v>0</v>
      </c>
      <c r="V71" s="18"/>
      <c r="W71" s="19">
        <f t="shared" si="31"/>
        <v>0</v>
      </c>
      <c r="X71" s="19">
        <f t="shared" si="32"/>
        <v>0</v>
      </c>
      <c r="Y71" s="18"/>
      <c r="Z71" s="18"/>
      <c r="AA71" s="19">
        <f t="shared" si="33"/>
        <v>0</v>
      </c>
      <c r="AB71" s="17">
        <v>0</v>
      </c>
      <c r="AC71" s="18"/>
      <c r="AD71" s="18"/>
      <c r="AE71" s="22">
        <f t="shared" si="34"/>
        <v>0</v>
      </c>
      <c r="AF71" s="23">
        <f t="shared" si="35"/>
        <v>0</v>
      </c>
      <c r="AG71" s="23">
        <f t="shared" si="36"/>
        <v>0</v>
      </c>
      <c r="AH71" s="18"/>
      <c r="AI71" s="24">
        <f t="shared" si="37"/>
        <v>0</v>
      </c>
      <c r="AJ71" s="25">
        <v>0</v>
      </c>
      <c r="AK71" s="24">
        <f t="shared" si="38"/>
        <v>0</v>
      </c>
      <c r="AL71" s="22">
        <f t="shared" si="39"/>
        <v>0</v>
      </c>
      <c r="AM71" s="22">
        <f t="shared" si="40"/>
        <v>0</v>
      </c>
      <c r="AN71" s="22">
        <f t="shared" si="41"/>
        <v>0</v>
      </c>
      <c r="AO71" s="26" t="str">
        <f t="shared" si="42"/>
        <v/>
      </c>
      <c r="AP71" s="26" t="str">
        <f t="shared" si="43"/>
        <v>pre-launch</v>
      </c>
      <c r="AQ71" s="18"/>
      <c r="AR71" s="18"/>
    </row>
    <row r="72" spans="1:44" x14ac:dyDescent="0.25">
      <c r="A72" s="43">
        <v>45133</v>
      </c>
      <c r="B72" s="17">
        <v>54402040.359999999</v>
      </c>
      <c r="C72" s="17">
        <v>0</v>
      </c>
      <c r="D72" s="18"/>
      <c r="E72" s="19">
        <f t="shared" si="22"/>
        <v>54402040.359999999</v>
      </c>
      <c r="F72" s="19">
        <f t="shared" si="23"/>
        <v>54402040.359999999</v>
      </c>
      <c r="G72" s="20">
        <f t="shared" si="24"/>
        <v>0</v>
      </c>
      <c r="H72" s="18"/>
      <c r="I72" s="18"/>
      <c r="J72" s="18"/>
      <c r="K72" s="19">
        <f t="shared" si="25"/>
        <v>0</v>
      </c>
      <c r="L72" s="18"/>
      <c r="M72" s="18"/>
      <c r="N72" s="18"/>
      <c r="O72" s="19">
        <f t="shared" si="26"/>
        <v>0</v>
      </c>
      <c r="P72" s="21">
        <f t="shared" si="27"/>
        <v>0</v>
      </c>
      <c r="Q72" s="18"/>
      <c r="R72" s="18"/>
      <c r="S72" s="19">
        <f t="shared" si="28"/>
        <v>0</v>
      </c>
      <c r="T72" s="20">
        <f t="shared" si="29"/>
        <v>0.03</v>
      </c>
      <c r="U72" s="19">
        <f t="shared" si="30"/>
        <v>0</v>
      </c>
      <c r="V72" s="18"/>
      <c r="W72" s="19">
        <f t="shared" si="31"/>
        <v>0</v>
      </c>
      <c r="X72" s="19">
        <f t="shared" si="32"/>
        <v>0</v>
      </c>
      <c r="Y72" s="18"/>
      <c r="Z72" s="18"/>
      <c r="AA72" s="19">
        <f t="shared" si="33"/>
        <v>0</v>
      </c>
      <c r="AB72" s="17">
        <v>0</v>
      </c>
      <c r="AC72" s="18"/>
      <c r="AD72" s="18"/>
      <c r="AE72" s="22">
        <f t="shared" si="34"/>
        <v>0</v>
      </c>
      <c r="AF72" s="23">
        <f t="shared" si="35"/>
        <v>0</v>
      </c>
      <c r="AG72" s="23">
        <f t="shared" si="36"/>
        <v>0</v>
      </c>
      <c r="AH72" s="18"/>
      <c r="AI72" s="24">
        <f t="shared" si="37"/>
        <v>0</v>
      </c>
      <c r="AJ72" s="25">
        <v>0</v>
      </c>
      <c r="AK72" s="24">
        <f t="shared" si="38"/>
        <v>0</v>
      </c>
      <c r="AL72" s="22">
        <f t="shared" si="39"/>
        <v>0</v>
      </c>
      <c r="AM72" s="22">
        <f t="shared" si="40"/>
        <v>0</v>
      </c>
      <c r="AN72" s="22">
        <f t="shared" si="41"/>
        <v>0</v>
      </c>
      <c r="AO72" s="26" t="str">
        <f t="shared" si="42"/>
        <v/>
      </c>
      <c r="AP72" s="26" t="str">
        <f t="shared" si="43"/>
        <v>pre-launch</v>
      </c>
      <c r="AQ72" s="18"/>
      <c r="AR72" s="18"/>
    </row>
    <row r="73" spans="1:44" x14ac:dyDescent="0.25">
      <c r="A73" s="43">
        <v>45134</v>
      </c>
      <c r="B73" s="17">
        <v>48029275.210000001</v>
      </c>
      <c r="C73" s="17">
        <v>0</v>
      </c>
      <c r="D73" s="18"/>
      <c r="E73" s="19">
        <f t="shared" si="22"/>
        <v>48029275.210000001</v>
      </c>
      <c r="F73" s="19">
        <f t="shared" si="23"/>
        <v>48029275.210000001</v>
      </c>
      <c r="G73" s="20">
        <f t="shared" si="24"/>
        <v>0</v>
      </c>
      <c r="H73" s="18"/>
      <c r="I73" s="18"/>
      <c r="J73" s="18"/>
      <c r="K73" s="19">
        <f t="shared" si="25"/>
        <v>0</v>
      </c>
      <c r="L73" s="18"/>
      <c r="M73" s="18"/>
      <c r="N73" s="18"/>
      <c r="O73" s="19">
        <f t="shared" si="26"/>
        <v>0</v>
      </c>
      <c r="P73" s="21">
        <f t="shared" si="27"/>
        <v>0</v>
      </c>
      <c r="Q73" s="18"/>
      <c r="R73" s="18"/>
      <c r="S73" s="19">
        <f t="shared" si="28"/>
        <v>0</v>
      </c>
      <c r="T73" s="20">
        <f t="shared" si="29"/>
        <v>0.03</v>
      </c>
      <c r="U73" s="19">
        <f t="shared" si="30"/>
        <v>0</v>
      </c>
      <c r="V73" s="18"/>
      <c r="W73" s="19">
        <f t="shared" si="31"/>
        <v>0</v>
      </c>
      <c r="X73" s="19">
        <f t="shared" si="32"/>
        <v>0</v>
      </c>
      <c r="Y73" s="18"/>
      <c r="Z73" s="18"/>
      <c r="AA73" s="19">
        <f t="shared" si="33"/>
        <v>0</v>
      </c>
      <c r="AB73" s="17">
        <v>0</v>
      </c>
      <c r="AC73" s="18"/>
      <c r="AD73" s="18"/>
      <c r="AE73" s="22">
        <f t="shared" si="34"/>
        <v>0</v>
      </c>
      <c r="AF73" s="23">
        <f t="shared" si="35"/>
        <v>0</v>
      </c>
      <c r="AG73" s="23">
        <f t="shared" si="36"/>
        <v>0</v>
      </c>
      <c r="AH73" s="18"/>
      <c r="AI73" s="24">
        <f t="shared" si="37"/>
        <v>0</v>
      </c>
      <c r="AJ73" s="25">
        <v>0</v>
      </c>
      <c r="AK73" s="24">
        <f t="shared" si="38"/>
        <v>0</v>
      </c>
      <c r="AL73" s="22">
        <f t="shared" si="39"/>
        <v>0</v>
      </c>
      <c r="AM73" s="22">
        <f t="shared" si="40"/>
        <v>0</v>
      </c>
      <c r="AN73" s="22">
        <f t="shared" si="41"/>
        <v>0</v>
      </c>
      <c r="AO73" s="26" t="str">
        <f t="shared" si="42"/>
        <v/>
      </c>
      <c r="AP73" s="26" t="str">
        <f t="shared" si="43"/>
        <v>pre-launch</v>
      </c>
      <c r="AQ73" s="18"/>
      <c r="AR73" s="18"/>
    </row>
    <row r="74" spans="1:44" x14ac:dyDescent="0.25">
      <c r="A74" s="43">
        <v>45135</v>
      </c>
      <c r="B74" s="17">
        <v>35982685.740000002</v>
      </c>
      <c r="C74" s="17">
        <v>0</v>
      </c>
      <c r="D74" s="18"/>
      <c r="E74" s="19">
        <f t="shared" si="22"/>
        <v>35982685.740000002</v>
      </c>
      <c r="F74" s="19">
        <f t="shared" si="23"/>
        <v>35982685.740000002</v>
      </c>
      <c r="G74" s="20">
        <f t="shared" si="24"/>
        <v>0</v>
      </c>
      <c r="H74" s="18"/>
      <c r="I74" s="18"/>
      <c r="J74" s="18"/>
      <c r="K74" s="19">
        <f t="shared" si="25"/>
        <v>0</v>
      </c>
      <c r="L74" s="18"/>
      <c r="M74" s="18"/>
      <c r="N74" s="18"/>
      <c r="O74" s="19">
        <f t="shared" si="26"/>
        <v>0</v>
      </c>
      <c r="P74" s="21">
        <f t="shared" si="27"/>
        <v>0</v>
      </c>
      <c r="Q74" s="18"/>
      <c r="R74" s="18"/>
      <c r="S74" s="19">
        <f t="shared" si="28"/>
        <v>0</v>
      </c>
      <c r="T74" s="20">
        <f t="shared" si="29"/>
        <v>0.03</v>
      </c>
      <c r="U74" s="19">
        <f t="shared" si="30"/>
        <v>0</v>
      </c>
      <c r="V74" s="18"/>
      <c r="W74" s="19">
        <f t="shared" si="31"/>
        <v>0</v>
      </c>
      <c r="X74" s="19">
        <f t="shared" si="32"/>
        <v>0</v>
      </c>
      <c r="Y74" s="18"/>
      <c r="Z74" s="18"/>
      <c r="AA74" s="19">
        <f t="shared" si="33"/>
        <v>0</v>
      </c>
      <c r="AB74" s="17">
        <v>0</v>
      </c>
      <c r="AC74" s="18"/>
      <c r="AD74" s="18"/>
      <c r="AE74" s="22">
        <f t="shared" si="34"/>
        <v>0</v>
      </c>
      <c r="AF74" s="23">
        <f t="shared" si="35"/>
        <v>0</v>
      </c>
      <c r="AG74" s="23">
        <f t="shared" si="36"/>
        <v>0</v>
      </c>
      <c r="AH74" s="18"/>
      <c r="AI74" s="24">
        <f t="shared" si="37"/>
        <v>0</v>
      </c>
      <c r="AJ74" s="25">
        <v>0</v>
      </c>
      <c r="AK74" s="24">
        <f t="shared" si="38"/>
        <v>0</v>
      </c>
      <c r="AL74" s="22">
        <f t="shared" si="39"/>
        <v>0</v>
      </c>
      <c r="AM74" s="22">
        <f t="shared" si="40"/>
        <v>0</v>
      </c>
      <c r="AN74" s="22">
        <f t="shared" si="41"/>
        <v>0</v>
      </c>
      <c r="AO74" s="26" t="str">
        <f t="shared" si="42"/>
        <v/>
      </c>
      <c r="AP74" s="26" t="str">
        <f t="shared" si="43"/>
        <v>pre-launch</v>
      </c>
      <c r="AQ74" s="18"/>
      <c r="AR74" s="18"/>
    </row>
    <row r="75" spans="1:44" x14ac:dyDescent="0.25">
      <c r="A75" s="43">
        <v>45136</v>
      </c>
      <c r="B75" s="17">
        <v>23141288.289999999</v>
      </c>
      <c r="C75" s="17">
        <v>0</v>
      </c>
      <c r="D75" s="18"/>
      <c r="E75" s="19">
        <f t="shared" si="22"/>
        <v>23141288.289999999</v>
      </c>
      <c r="F75" s="19">
        <f t="shared" si="23"/>
        <v>23141288.289999999</v>
      </c>
      <c r="G75" s="20">
        <f t="shared" si="24"/>
        <v>0</v>
      </c>
      <c r="H75" s="18"/>
      <c r="I75" s="18"/>
      <c r="J75" s="18"/>
      <c r="K75" s="19">
        <f t="shared" si="25"/>
        <v>0</v>
      </c>
      <c r="L75" s="18"/>
      <c r="M75" s="18"/>
      <c r="N75" s="18"/>
      <c r="O75" s="19">
        <f t="shared" si="26"/>
        <v>0</v>
      </c>
      <c r="P75" s="21">
        <f t="shared" si="27"/>
        <v>0</v>
      </c>
      <c r="Q75" s="18"/>
      <c r="R75" s="18"/>
      <c r="S75" s="19">
        <f t="shared" si="28"/>
        <v>0</v>
      </c>
      <c r="T75" s="20">
        <f t="shared" si="29"/>
        <v>0.03</v>
      </c>
      <c r="U75" s="19">
        <f t="shared" si="30"/>
        <v>0</v>
      </c>
      <c r="V75" s="18"/>
      <c r="W75" s="19">
        <f t="shared" si="31"/>
        <v>0</v>
      </c>
      <c r="X75" s="19">
        <f t="shared" si="32"/>
        <v>0</v>
      </c>
      <c r="Y75" s="18"/>
      <c r="Z75" s="18"/>
      <c r="AA75" s="19">
        <f t="shared" si="33"/>
        <v>0</v>
      </c>
      <c r="AB75" s="17">
        <v>0</v>
      </c>
      <c r="AC75" s="18"/>
      <c r="AD75" s="18"/>
      <c r="AE75" s="22">
        <f t="shared" si="34"/>
        <v>0</v>
      </c>
      <c r="AF75" s="23">
        <f t="shared" si="35"/>
        <v>0</v>
      </c>
      <c r="AG75" s="23">
        <f t="shared" si="36"/>
        <v>0</v>
      </c>
      <c r="AH75" s="18"/>
      <c r="AI75" s="24">
        <f t="shared" si="37"/>
        <v>0</v>
      </c>
      <c r="AJ75" s="25">
        <v>0</v>
      </c>
      <c r="AK75" s="24">
        <f t="shared" si="38"/>
        <v>0</v>
      </c>
      <c r="AL75" s="22">
        <f t="shared" si="39"/>
        <v>0</v>
      </c>
      <c r="AM75" s="22">
        <f t="shared" si="40"/>
        <v>0</v>
      </c>
      <c r="AN75" s="22">
        <f t="shared" si="41"/>
        <v>0</v>
      </c>
      <c r="AO75" s="26" t="str">
        <f t="shared" si="42"/>
        <v/>
      </c>
      <c r="AP75" s="26" t="str">
        <f t="shared" si="43"/>
        <v>pre-launch</v>
      </c>
      <c r="AQ75" s="18"/>
      <c r="AR75" s="18"/>
    </row>
    <row r="76" spans="1:44" x14ac:dyDescent="0.25">
      <c r="A76" s="43">
        <v>45137</v>
      </c>
      <c r="B76" s="17">
        <v>39932922.030000001</v>
      </c>
      <c r="C76" s="17">
        <v>0</v>
      </c>
      <c r="D76" s="18"/>
      <c r="E76" s="19">
        <f t="shared" si="22"/>
        <v>39932922.030000001</v>
      </c>
      <c r="F76" s="19">
        <f t="shared" si="23"/>
        <v>39932922.030000001</v>
      </c>
      <c r="G76" s="20">
        <f t="shared" si="24"/>
        <v>0</v>
      </c>
      <c r="H76" s="18"/>
      <c r="I76" s="18"/>
      <c r="J76" s="18"/>
      <c r="K76" s="19">
        <f t="shared" si="25"/>
        <v>0</v>
      </c>
      <c r="L76" s="18"/>
      <c r="M76" s="18"/>
      <c r="N76" s="18"/>
      <c r="O76" s="19">
        <f t="shared" si="26"/>
        <v>0</v>
      </c>
      <c r="P76" s="21">
        <f t="shared" si="27"/>
        <v>0</v>
      </c>
      <c r="Q76" s="18"/>
      <c r="R76" s="18"/>
      <c r="S76" s="19">
        <f t="shared" si="28"/>
        <v>0</v>
      </c>
      <c r="T76" s="20">
        <f t="shared" si="29"/>
        <v>0.03</v>
      </c>
      <c r="U76" s="19">
        <f t="shared" si="30"/>
        <v>0</v>
      </c>
      <c r="V76" s="18"/>
      <c r="W76" s="19">
        <f t="shared" si="31"/>
        <v>0</v>
      </c>
      <c r="X76" s="19">
        <f t="shared" si="32"/>
        <v>0</v>
      </c>
      <c r="Y76" s="18"/>
      <c r="Z76" s="18"/>
      <c r="AA76" s="19">
        <f t="shared" si="33"/>
        <v>0</v>
      </c>
      <c r="AB76" s="17">
        <v>0</v>
      </c>
      <c r="AC76" s="18"/>
      <c r="AD76" s="18"/>
      <c r="AE76" s="22">
        <f t="shared" si="34"/>
        <v>0</v>
      </c>
      <c r="AF76" s="23">
        <f t="shared" si="35"/>
        <v>0</v>
      </c>
      <c r="AG76" s="23">
        <f t="shared" si="36"/>
        <v>0</v>
      </c>
      <c r="AH76" s="18"/>
      <c r="AI76" s="24">
        <f t="shared" si="37"/>
        <v>0</v>
      </c>
      <c r="AJ76" s="25">
        <v>0</v>
      </c>
      <c r="AK76" s="24">
        <f t="shared" si="38"/>
        <v>0</v>
      </c>
      <c r="AL76" s="22">
        <f t="shared" si="39"/>
        <v>0</v>
      </c>
      <c r="AM76" s="22">
        <f t="shared" si="40"/>
        <v>0</v>
      </c>
      <c r="AN76" s="22">
        <f t="shared" si="41"/>
        <v>0</v>
      </c>
      <c r="AO76" s="26" t="str">
        <f t="shared" si="42"/>
        <v/>
      </c>
      <c r="AP76" s="26" t="str">
        <f t="shared" si="43"/>
        <v>pre-launch</v>
      </c>
      <c r="AQ76" s="18"/>
      <c r="AR76" s="18"/>
    </row>
    <row r="77" spans="1:44" x14ac:dyDescent="0.25">
      <c r="A77" s="43">
        <v>45138</v>
      </c>
      <c r="B77" s="17">
        <v>52459811.789999999</v>
      </c>
      <c r="C77" s="17">
        <v>0</v>
      </c>
      <c r="D77" s="18"/>
      <c r="E77" s="19">
        <f t="shared" si="22"/>
        <v>52459811.789999999</v>
      </c>
      <c r="F77" s="19">
        <f t="shared" si="23"/>
        <v>52459811.789999999</v>
      </c>
      <c r="G77" s="20">
        <f t="shared" si="24"/>
        <v>0</v>
      </c>
      <c r="H77" s="18"/>
      <c r="I77" s="18"/>
      <c r="J77" s="18"/>
      <c r="K77" s="19">
        <f t="shared" si="25"/>
        <v>0</v>
      </c>
      <c r="L77" s="18"/>
      <c r="M77" s="18"/>
      <c r="N77" s="18"/>
      <c r="O77" s="19">
        <f t="shared" si="26"/>
        <v>0</v>
      </c>
      <c r="P77" s="21">
        <f t="shared" si="27"/>
        <v>0</v>
      </c>
      <c r="Q77" s="18"/>
      <c r="R77" s="18"/>
      <c r="S77" s="19">
        <f t="shared" si="28"/>
        <v>0</v>
      </c>
      <c r="T77" s="20">
        <f t="shared" si="29"/>
        <v>0.03</v>
      </c>
      <c r="U77" s="19">
        <f t="shared" si="30"/>
        <v>0</v>
      </c>
      <c r="V77" s="18"/>
      <c r="W77" s="19">
        <f t="shared" si="31"/>
        <v>0</v>
      </c>
      <c r="X77" s="19">
        <f t="shared" si="32"/>
        <v>0</v>
      </c>
      <c r="Y77" s="18"/>
      <c r="Z77" s="18"/>
      <c r="AA77" s="19">
        <f t="shared" si="33"/>
        <v>0</v>
      </c>
      <c r="AB77" s="17">
        <v>0</v>
      </c>
      <c r="AC77" s="18"/>
      <c r="AD77" s="18"/>
      <c r="AE77" s="22">
        <f t="shared" si="34"/>
        <v>0</v>
      </c>
      <c r="AF77" s="23">
        <f t="shared" si="35"/>
        <v>0</v>
      </c>
      <c r="AG77" s="23">
        <f t="shared" si="36"/>
        <v>0</v>
      </c>
      <c r="AH77" s="18"/>
      <c r="AI77" s="24">
        <f t="shared" si="37"/>
        <v>0</v>
      </c>
      <c r="AJ77" s="25">
        <v>0</v>
      </c>
      <c r="AK77" s="24">
        <f t="shared" si="38"/>
        <v>0</v>
      </c>
      <c r="AL77" s="22">
        <f t="shared" si="39"/>
        <v>0</v>
      </c>
      <c r="AM77" s="22">
        <f t="shared" si="40"/>
        <v>0</v>
      </c>
      <c r="AN77" s="22">
        <f t="shared" si="41"/>
        <v>0</v>
      </c>
      <c r="AO77" s="26" t="str">
        <f t="shared" si="42"/>
        <v/>
      </c>
      <c r="AP77" s="26" t="str">
        <f t="shared" si="43"/>
        <v>pre-launch</v>
      </c>
      <c r="AQ77" s="18"/>
      <c r="AR77" s="18"/>
    </row>
    <row r="78" spans="1:44" x14ac:dyDescent="0.25">
      <c r="A78" s="43">
        <v>45139</v>
      </c>
      <c r="B78" s="17">
        <v>71930659.390000001</v>
      </c>
      <c r="C78" s="17">
        <v>0</v>
      </c>
      <c r="D78" s="18"/>
      <c r="E78" s="19">
        <f t="shared" si="22"/>
        <v>71930659.390000001</v>
      </c>
      <c r="F78" s="19">
        <f t="shared" si="23"/>
        <v>71930659.390000001</v>
      </c>
      <c r="G78" s="20">
        <f t="shared" si="24"/>
        <v>0</v>
      </c>
      <c r="H78" s="18"/>
      <c r="I78" s="18"/>
      <c r="J78" s="18"/>
      <c r="K78" s="19">
        <f t="shared" si="25"/>
        <v>0</v>
      </c>
      <c r="L78" s="18"/>
      <c r="M78" s="18"/>
      <c r="N78" s="18"/>
      <c r="O78" s="19">
        <f t="shared" si="26"/>
        <v>0</v>
      </c>
      <c r="P78" s="21">
        <f t="shared" si="27"/>
        <v>0</v>
      </c>
      <c r="Q78" s="18"/>
      <c r="R78" s="18"/>
      <c r="S78" s="19">
        <f t="shared" si="28"/>
        <v>0</v>
      </c>
      <c r="T78" s="20">
        <f t="shared" si="29"/>
        <v>0.03</v>
      </c>
      <c r="U78" s="19">
        <f t="shared" si="30"/>
        <v>0</v>
      </c>
      <c r="V78" s="18"/>
      <c r="W78" s="19">
        <f t="shared" si="31"/>
        <v>0</v>
      </c>
      <c r="X78" s="19">
        <f t="shared" si="32"/>
        <v>0</v>
      </c>
      <c r="Y78" s="18"/>
      <c r="Z78" s="18"/>
      <c r="AA78" s="19">
        <f t="shared" si="33"/>
        <v>0</v>
      </c>
      <c r="AB78" s="17">
        <v>0</v>
      </c>
      <c r="AC78" s="18"/>
      <c r="AD78" s="18"/>
      <c r="AE78" s="22">
        <f t="shared" si="34"/>
        <v>0</v>
      </c>
      <c r="AF78" s="23">
        <f t="shared" si="35"/>
        <v>0</v>
      </c>
      <c r="AG78" s="23">
        <f t="shared" si="36"/>
        <v>0</v>
      </c>
      <c r="AH78" s="18"/>
      <c r="AI78" s="24">
        <f t="shared" si="37"/>
        <v>0</v>
      </c>
      <c r="AJ78" s="25">
        <v>0</v>
      </c>
      <c r="AK78" s="24">
        <f t="shared" si="38"/>
        <v>0</v>
      </c>
      <c r="AL78" s="22">
        <f t="shared" si="39"/>
        <v>0</v>
      </c>
      <c r="AM78" s="22">
        <f t="shared" si="40"/>
        <v>0</v>
      </c>
      <c r="AN78" s="22">
        <f t="shared" si="41"/>
        <v>0</v>
      </c>
      <c r="AO78" s="26" t="str">
        <f t="shared" si="42"/>
        <v/>
      </c>
      <c r="AP78" s="26" t="str">
        <f t="shared" si="43"/>
        <v>pre-launch</v>
      </c>
      <c r="AQ78" s="18"/>
      <c r="AR78" s="18"/>
    </row>
    <row r="79" spans="1:44" x14ac:dyDescent="0.25">
      <c r="A79" s="43">
        <v>45140</v>
      </c>
      <c r="B79" s="17">
        <v>69247816.5</v>
      </c>
      <c r="C79" s="17">
        <v>0</v>
      </c>
      <c r="D79" s="18"/>
      <c r="E79" s="19">
        <f t="shared" si="22"/>
        <v>69247816.5</v>
      </c>
      <c r="F79" s="19">
        <f t="shared" si="23"/>
        <v>69247816.5</v>
      </c>
      <c r="G79" s="20">
        <f t="shared" si="24"/>
        <v>0</v>
      </c>
      <c r="H79" s="18"/>
      <c r="I79" s="18"/>
      <c r="J79" s="18"/>
      <c r="K79" s="19">
        <f t="shared" si="25"/>
        <v>0</v>
      </c>
      <c r="L79" s="18"/>
      <c r="M79" s="18"/>
      <c r="N79" s="18"/>
      <c r="O79" s="19">
        <f t="shared" si="26"/>
        <v>0</v>
      </c>
      <c r="P79" s="21">
        <f t="shared" si="27"/>
        <v>0</v>
      </c>
      <c r="Q79" s="18"/>
      <c r="R79" s="18"/>
      <c r="S79" s="19">
        <f t="shared" si="28"/>
        <v>0</v>
      </c>
      <c r="T79" s="20">
        <f t="shared" si="29"/>
        <v>0.03</v>
      </c>
      <c r="U79" s="19">
        <f t="shared" si="30"/>
        <v>0</v>
      </c>
      <c r="V79" s="18"/>
      <c r="W79" s="19">
        <f t="shared" si="31"/>
        <v>0</v>
      </c>
      <c r="X79" s="19">
        <f t="shared" si="32"/>
        <v>0</v>
      </c>
      <c r="Y79" s="18"/>
      <c r="Z79" s="18"/>
      <c r="AA79" s="19">
        <f t="shared" si="33"/>
        <v>0</v>
      </c>
      <c r="AB79" s="17">
        <v>0</v>
      </c>
      <c r="AC79" s="18"/>
      <c r="AD79" s="18"/>
      <c r="AE79" s="22">
        <f t="shared" si="34"/>
        <v>0</v>
      </c>
      <c r="AF79" s="23">
        <f t="shared" si="35"/>
        <v>0</v>
      </c>
      <c r="AG79" s="23">
        <f t="shared" si="36"/>
        <v>0</v>
      </c>
      <c r="AH79" s="18"/>
      <c r="AI79" s="24">
        <f t="shared" si="37"/>
        <v>0</v>
      </c>
      <c r="AJ79" s="25">
        <v>0</v>
      </c>
      <c r="AK79" s="24">
        <f t="shared" si="38"/>
        <v>0</v>
      </c>
      <c r="AL79" s="22">
        <f t="shared" si="39"/>
        <v>0</v>
      </c>
      <c r="AM79" s="22">
        <f t="shared" si="40"/>
        <v>0</v>
      </c>
      <c r="AN79" s="22">
        <f t="shared" si="41"/>
        <v>0</v>
      </c>
      <c r="AO79" s="26" t="str">
        <f t="shared" si="42"/>
        <v/>
      </c>
      <c r="AP79" s="26" t="str">
        <f t="shared" si="43"/>
        <v>pre-launch</v>
      </c>
      <c r="AQ79" s="18"/>
      <c r="AR79" s="18"/>
    </row>
    <row r="80" spans="1:44" x14ac:dyDescent="0.25">
      <c r="A80" s="43">
        <v>45141</v>
      </c>
      <c r="B80" s="17">
        <v>92423674.700000003</v>
      </c>
      <c r="C80" s="17">
        <v>0</v>
      </c>
      <c r="D80" s="18"/>
      <c r="E80" s="19">
        <f t="shared" si="22"/>
        <v>92423674.700000003</v>
      </c>
      <c r="F80" s="19">
        <f t="shared" si="23"/>
        <v>92423674.700000003</v>
      </c>
      <c r="G80" s="20">
        <f t="shared" si="24"/>
        <v>0</v>
      </c>
      <c r="H80" s="18"/>
      <c r="I80" s="18"/>
      <c r="J80" s="18"/>
      <c r="K80" s="19">
        <f t="shared" si="25"/>
        <v>0</v>
      </c>
      <c r="L80" s="18"/>
      <c r="M80" s="18"/>
      <c r="N80" s="18"/>
      <c r="O80" s="19">
        <f t="shared" si="26"/>
        <v>0</v>
      </c>
      <c r="P80" s="21">
        <f t="shared" si="27"/>
        <v>0</v>
      </c>
      <c r="Q80" s="18"/>
      <c r="R80" s="18"/>
      <c r="S80" s="19">
        <f t="shared" si="28"/>
        <v>0</v>
      </c>
      <c r="T80" s="20">
        <f t="shared" si="29"/>
        <v>0.03</v>
      </c>
      <c r="U80" s="19">
        <f t="shared" si="30"/>
        <v>0</v>
      </c>
      <c r="V80" s="18"/>
      <c r="W80" s="19">
        <f t="shared" si="31"/>
        <v>0</v>
      </c>
      <c r="X80" s="19">
        <f t="shared" si="32"/>
        <v>0</v>
      </c>
      <c r="Y80" s="18"/>
      <c r="Z80" s="18"/>
      <c r="AA80" s="19">
        <f t="shared" si="33"/>
        <v>0</v>
      </c>
      <c r="AB80" s="17">
        <v>0</v>
      </c>
      <c r="AC80" s="18"/>
      <c r="AD80" s="18"/>
      <c r="AE80" s="22">
        <f t="shared" si="34"/>
        <v>0</v>
      </c>
      <c r="AF80" s="23">
        <f t="shared" si="35"/>
        <v>0</v>
      </c>
      <c r="AG80" s="23">
        <f t="shared" si="36"/>
        <v>0</v>
      </c>
      <c r="AH80" s="18"/>
      <c r="AI80" s="24">
        <f t="shared" si="37"/>
        <v>0</v>
      </c>
      <c r="AJ80" s="25">
        <v>0</v>
      </c>
      <c r="AK80" s="24">
        <f t="shared" si="38"/>
        <v>0</v>
      </c>
      <c r="AL80" s="22">
        <f t="shared" si="39"/>
        <v>0</v>
      </c>
      <c r="AM80" s="22">
        <f t="shared" si="40"/>
        <v>0</v>
      </c>
      <c r="AN80" s="22">
        <f t="shared" si="41"/>
        <v>0</v>
      </c>
      <c r="AO80" s="26" t="str">
        <f t="shared" si="42"/>
        <v/>
      </c>
      <c r="AP80" s="26" t="str">
        <f t="shared" si="43"/>
        <v>pre-launch</v>
      </c>
      <c r="AQ80" s="18"/>
      <c r="AR80" s="18"/>
    </row>
    <row r="81" spans="1:44" x14ac:dyDescent="0.25">
      <c r="A81" s="43">
        <v>45142</v>
      </c>
      <c r="B81" s="17">
        <v>60172149.049999997</v>
      </c>
      <c r="C81" s="17">
        <v>0</v>
      </c>
      <c r="D81" s="18"/>
      <c r="E81" s="19">
        <f t="shared" si="22"/>
        <v>60172149.049999997</v>
      </c>
      <c r="F81" s="19">
        <f t="shared" si="23"/>
        <v>60172149.049999997</v>
      </c>
      <c r="G81" s="20">
        <f t="shared" si="24"/>
        <v>0</v>
      </c>
      <c r="H81" s="18"/>
      <c r="I81" s="18"/>
      <c r="J81" s="18"/>
      <c r="K81" s="19">
        <f t="shared" si="25"/>
        <v>0</v>
      </c>
      <c r="L81" s="18"/>
      <c r="M81" s="18"/>
      <c r="N81" s="18"/>
      <c r="O81" s="19">
        <f t="shared" si="26"/>
        <v>0</v>
      </c>
      <c r="P81" s="21">
        <f t="shared" si="27"/>
        <v>0</v>
      </c>
      <c r="Q81" s="18"/>
      <c r="R81" s="18"/>
      <c r="S81" s="19">
        <f t="shared" si="28"/>
        <v>0</v>
      </c>
      <c r="T81" s="20">
        <f t="shared" si="29"/>
        <v>0.03</v>
      </c>
      <c r="U81" s="19">
        <f t="shared" si="30"/>
        <v>0</v>
      </c>
      <c r="V81" s="18"/>
      <c r="W81" s="19">
        <f t="shared" si="31"/>
        <v>0</v>
      </c>
      <c r="X81" s="19">
        <f t="shared" si="32"/>
        <v>0</v>
      </c>
      <c r="Y81" s="18"/>
      <c r="Z81" s="18"/>
      <c r="AA81" s="19">
        <f t="shared" si="33"/>
        <v>0</v>
      </c>
      <c r="AB81" s="17">
        <v>0</v>
      </c>
      <c r="AC81" s="18"/>
      <c r="AD81" s="18"/>
      <c r="AE81" s="22">
        <f t="shared" si="34"/>
        <v>0</v>
      </c>
      <c r="AF81" s="23">
        <f t="shared" si="35"/>
        <v>0</v>
      </c>
      <c r="AG81" s="23">
        <f t="shared" si="36"/>
        <v>0</v>
      </c>
      <c r="AH81" s="18"/>
      <c r="AI81" s="24">
        <f t="shared" si="37"/>
        <v>0</v>
      </c>
      <c r="AJ81" s="25">
        <v>0</v>
      </c>
      <c r="AK81" s="24">
        <f t="shared" si="38"/>
        <v>0</v>
      </c>
      <c r="AL81" s="22">
        <f t="shared" si="39"/>
        <v>0</v>
      </c>
      <c r="AM81" s="22">
        <f t="shared" si="40"/>
        <v>0</v>
      </c>
      <c r="AN81" s="22">
        <f t="shared" si="41"/>
        <v>0</v>
      </c>
      <c r="AO81" s="26" t="str">
        <f t="shared" si="42"/>
        <v/>
      </c>
      <c r="AP81" s="26" t="str">
        <f t="shared" si="43"/>
        <v>pre-launch</v>
      </c>
      <c r="AQ81" s="18"/>
      <c r="AR81" s="18"/>
    </row>
    <row r="82" spans="1:44" x14ac:dyDescent="0.25">
      <c r="A82" s="43">
        <v>45143</v>
      </c>
      <c r="B82" s="17">
        <v>37531968.219999999</v>
      </c>
      <c r="C82" s="17">
        <v>0</v>
      </c>
      <c r="D82" s="18"/>
      <c r="E82" s="19">
        <f t="shared" si="22"/>
        <v>37531968.219999999</v>
      </c>
      <c r="F82" s="19">
        <f t="shared" si="23"/>
        <v>37531968.219999999</v>
      </c>
      <c r="G82" s="20">
        <f t="shared" si="24"/>
        <v>0</v>
      </c>
      <c r="H82" s="18"/>
      <c r="I82" s="18"/>
      <c r="J82" s="18"/>
      <c r="K82" s="19">
        <f t="shared" si="25"/>
        <v>0</v>
      </c>
      <c r="L82" s="18"/>
      <c r="M82" s="18"/>
      <c r="N82" s="18"/>
      <c r="O82" s="19">
        <f t="shared" si="26"/>
        <v>0</v>
      </c>
      <c r="P82" s="21">
        <f t="shared" si="27"/>
        <v>0</v>
      </c>
      <c r="Q82" s="18"/>
      <c r="R82" s="18"/>
      <c r="S82" s="19">
        <f t="shared" si="28"/>
        <v>0</v>
      </c>
      <c r="T82" s="20">
        <f t="shared" si="29"/>
        <v>0.03</v>
      </c>
      <c r="U82" s="19">
        <f t="shared" si="30"/>
        <v>0</v>
      </c>
      <c r="V82" s="18"/>
      <c r="W82" s="19">
        <f t="shared" si="31"/>
        <v>0</v>
      </c>
      <c r="X82" s="19">
        <f t="shared" si="32"/>
        <v>0</v>
      </c>
      <c r="Y82" s="18"/>
      <c r="Z82" s="18"/>
      <c r="AA82" s="19">
        <f t="shared" si="33"/>
        <v>0</v>
      </c>
      <c r="AB82" s="17">
        <v>0</v>
      </c>
      <c r="AC82" s="18"/>
      <c r="AD82" s="18"/>
      <c r="AE82" s="22">
        <f t="shared" si="34"/>
        <v>0</v>
      </c>
      <c r="AF82" s="23">
        <f t="shared" si="35"/>
        <v>0</v>
      </c>
      <c r="AG82" s="23">
        <f t="shared" si="36"/>
        <v>0</v>
      </c>
      <c r="AH82" s="18"/>
      <c r="AI82" s="24">
        <f t="shared" si="37"/>
        <v>0</v>
      </c>
      <c r="AJ82" s="25">
        <v>0</v>
      </c>
      <c r="AK82" s="24">
        <f t="shared" si="38"/>
        <v>0</v>
      </c>
      <c r="AL82" s="22">
        <f t="shared" si="39"/>
        <v>0</v>
      </c>
      <c r="AM82" s="22">
        <f t="shared" si="40"/>
        <v>0</v>
      </c>
      <c r="AN82" s="22">
        <f t="shared" si="41"/>
        <v>0</v>
      </c>
      <c r="AO82" s="26" t="str">
        <f t="shared" si="42"/>
        <v/>
      </c>
      <c r="AP82" s="26" t="str">
        <f t="shared" si="43"/>
        <v>pre-launch</v>
      </c>
      <c r="AQ82" s="18"/>
      <c r="AR82" s="18"/>
    </row>
    <row r="83" spans="1:44" x14ac:dyDescent="0.25">
      <c r="A83" s="43">
        <v>45144</v>
      </c>
      <c r="B83" s="17">
        <v>38116020.810000002</v>
      </c>
      <c r="C83" s="17">
        <v>0</v>
      </c>
      <c r="D83" s="18"/>
      <c r="E83" s="19">
        <f t="shared" si="22"/>
        <v>38116020.810000002</v>
      </c>
      <c r="F83" s="19">
        <f t="shared" si="23"/>
        <v>38116020.810000002</v>
      </c>
      <c r="G83" s="20">
        <f t="shared" si="24"/>
        <v>0</v>
      </c>
      <c r="H83" s="18"/>
      <c r="I83" s="18"/>
      <c r="J83" s="18"/>
      <c r="K83" s="19">
        <f t="shared" si="25"/>
        <v>0</v>
      </c>
      <c r="L83" s="18"/>
      <c r="M83" s="18"/>
      <c r="N83" s="18"/>
      <c r="O83" s="19">
        <f t="shared" si="26"/>
        <v>0</v>
      </c>
      <c r="P83" s="21">
        <f t="shared" si="27"/>
        <v>0</v>
      </c>
      <c r="Q83" s="18"/>
      <c r="R83" s="18"/>
      <c r="S83" s="19">
        <f t="shared" si="28"/>
        <v>0</v>
      </c>
      <c r="T83" s="20">
        <f t="shared" si="29"/>
        <v>0.03</v>
      </c>
      <c r="U83" s="19">
        <f t="shared" si="30"/>
        <v>0</v>
      </c>
      <c r="V83" s="18"/>
      <c r="W83" s="19">
        <f t="shared" si="31"/>
        <v>0</v>
      </c>
      <c r="X83" s="19">
        <f t="shared" si="32"/>
        <v>0</v>
      </c>
      <c r="Y83" s="18"/>
      <c r="Z83" s="18"/>
      <c r="AA83" s="19">
        <f t="shared" si="33"/>
        <v>0</v>
      </c>
      <c r="AB83" s="17">
        <v>0</v>
      </c>
      <c r="AC83" s="18"/>
      <c r="AD83" s="18"/>
      <c r="AE83" s="22">
        <f t="shared" si="34"/>
        <v>0</v>
      </c>
      <c r="AF83" s="23">
        <f t="shared" si="35"/>
        <v>0</v>
      </c>
      <c r="AG83" s="23">
        <f t="shared" si="36"/>
        <v>0</v>
      </c>
      <c r="AH83" s="18"/>
      <c r="AI83" s="24">
        <f t="shared" si="37"/>
        <v>0</v>
      </c>
      <c r="AJ83" s="25">
        <v>0</v>
      </c>
      <c r="AK83" s="24">
        <f t="shared" si="38"/>
        <v>0</v>
      </c>
      <c r="AL83" s="22">
        <f t="shared" si="39"/>
        <v>0</v>
      </c>
      <c r="AM83" s="22">
        <f t="shared" si="40"/>
        <v>0</v>
      </c>
      <c r="AN83" s="22">
        <f t="shared" si="41"/>
        <v>0</v>
      </c>
      <c r="AO83" s="26" t="str">
        <f t="shared" si="42"/>
        <v/>
      </c>
      <c r="AP83" s="26" t="str">
        <f t="shared" si="43"/>
        <v>pre-launch</v>
      </c>
      <c r="AQ83" s="18"/>
      <c r="AR83" s="18"/>
    </row>
    <row r="84" spans="1:44" x14ac:dyDescent="0.25">
      <c r="A84" s="43">
        <v>45145</v>
      </c>
      <c r="B84" s="17">
        <v>64554006.57</v>
      </c>
      <c r="C84" s="17">
        <v>0</v>
      </c>
      <c r="D84" s="18"/>
      <c r="E84" s="19">
        <f t="shared" si="22"/>
        <v>64554006.57</v>
      </c>
      <c r="F84" s="19">
        <f t="shared" si="23"/>
        <v>64554006.57</v>
      </c>
      <c r="G84" s="20">
        <f t="shared" si="24"/>
        <v>0</v>
      </c>
      <c r="H84" s="18"/>
      <c r="I84" s="18"/>
      <c r="J84" s="18"/>
      <c r="K84" s="19">
        <f t="shared" si="25"/>
        <v>0</v>
      </c>
      <c r="L84" s="18"/>
      <c r="M84" s="18"/>
      <c r="N84" s="18"/>
      <c r="O84" s="19">
        <f t="shared" si="26"/>
        <v>0</v>
      </c>
      <c r="P84" s="21">
        <f t="shared" si="27"/>
        <v>0</v>
      </c>
      <c r="Q84" s="18"/>
      <c r="R84" s="18"/>
      <c r="S84" s="19">
        <f t="shared" si="28"/>
        <v>0</v>
      </c>
      <c r="T84" s="20">
        <f t="shared" si="29"/>
        <v>0.03</v>
      </c>
      <c r="U84" s="19">
        <f t="shared" si="30"/>
        <v>0</v>
      </c>
      <c r="V84" s="18"/>
      <c r="W84" s="19">
        <f t="shared" si="31"/>
        <v>0</v>
      </c>
      <c r="X84" s="19">
        <f t="shared" si="32"/>
        <v>0</v>
      </c>
      <c r="Y84" s="18"/>
      <c r="Z84" s="18"/>
      <c r="AA84" s="19">
        <f t="shared" si="33"/>
        <v>0</v>
      </c>
      <c r="AB84" s="17">
        <v>0</v>
      </c>
      <c r="AC84" s="18"/>
      <c r="AD84" s="18"/>
      <c r="AE84" s="22">
        <f t="shared" si="34"/>
        <v>0</v>
      </c>
      <c r="AF84" s="23">
        <f t="shared" si="35"/>
        <v>0</v>
      </c>
      <c r="AG84" s="23">
        <f t="shared" si="36"/>
        <v>0</v>
      </c>
      <c r="AH84" s="18"/>
      <c r="AI84" s="24">
        <f t="shared" si="37"/>
        <v>0</v>
      </c>
      <c r="AJ84" s="25">
        <v>0</v>
      </c>
      <c r="AK84" s="24">
        <f t="shared" si="38"/>
        <v>0</v>
      </c>
      <c r="AL84" s="22">
        <f t="shared" si="39"/>
        <v>0</v>
      </c>
      <c r="AM84" s="22">
        <f t="shared" si="40"/>
        <v>0</v>
      </c>
      <c r="AN84" s="22">
        <f t="shared" si="41"/>
        <v>0</v>
      </c>
      <c r="AO84" s="26" t="str">
        <f t="shared" si="42"/>
        <v/>
      </c>
      <c r="AP84" s="26" t="str">
        <f t="shared" si="43"/>
        <v>pre-launch</v>
      </c>
      <c r="AQ84" s="18"/>
      <c r="AR84" s="18"/>
    </row>
    <row r="85" spans="1:44" x14ac:dyDescent="0.25">
      <c r="A85" s="43">
        <v>45146</v>
      </c>
      <c r="B85" s="17">
        <v>56200711.920000002</v>
      </c>
      <c r="C85" s="17">
        <v>0</v>
      </c>
      <c r="D85" s="18"/>
      <c r="E85" s="19">
        <f t="shared" si="22"/>
        <v>56200711.920000002</v>
      </c>
      <c r="F85" s="19">
        <f t="shared" si="23"/>
        <v>56200711.920000002</v>
      </c>
      <c r="G85" s="20">
        <f t="shared" si="24"/>
        <v>0</v>
      </c>
      <c r="H85" s="18"/>
      <c r="I85" s="18"/>
      <c r="J85" s="18"/>
      <c r="K85" s="19">
        <f t="shared" si="25"/>
        <v>0</v>
      </c>
      <c r="L85" s="18"/>
      <c r="M85" s="18"/>
      <c r="N85" s="18"/>
      <c r="O85" s="19">
        <f t="shared" si="26"/>
        <v>0</v>
      </c>
      <c r="P85" s="21">
        <f t="shared" si="27"/>
        <v>0</v>
      </c>
      <c r="Q85" s="18"/>
      <c r="R85" s="18"/>
      <c r="S85" s="19">
        <f t="shared" si="28"/>
        <v>0</v>
      </c>
      <c r="T85" s="20">
        <f t="shared" si="29"/>
        <v>0.03</v>
      </c>
      <c r="U85" s="19">
        <f t="shared" si="30"/>
        <v>0</v>
      </c>
      <c r="V85" s="18"/>
      <c r="W85" s="19">
        <f t="shared" si="31"/>
        <v>0</v>
      </c>
      <c r="X85" s="19">
        <f t="shared" si="32"/>
        <v>0</v>
      </c>
      <c r="Y85" s="18"/>
      <c r="Z85" s="18"/>
      <c r="AA85" s="19">
        <f t="shared" si="33"/>
        <v>0</v>
      </c>
      <c r="AB85" s="17">
        <v>0</v>
      </c>
      <c r="AC85" s="18"/>
      <c r="AD85" s="18"/>
      <c r="AE85" s="22">
        <f t="shared" si="34"/>
        <v>0</v>
      </c>
      <c r="AF85" s="23">
        <f t="shared" si="35"/>
        <v>0</v>
      </c>
      <c r="AG85" s="23">
        <f t="shared" si="36"/>
        <v>0</v>
      </c>
      <c r="AH85" s="18"/>
      <c r="AI85" s="24">
        <f t="shared" si="37"/>
        <v>0</v>
      </c>
      <c r="AJ85" s="25">
        <v>0</v>
      </c>
      <c r="AK85" s="24">
        <f t="shared" si="38"/>
        <v>0</v>
      </c>
      <c r="AL85" s="22">
        <f t="shared" si="39"/>
        <v>0</v>
      </c>
      <c r="AM85" s="22">
        <f t="shared" si="40"/>
        <v>0</v>
      </c>
      <c r="AN85" s="22">
        <f t="shared" si="41"/>
        <v>0</v>
      </c>
      <c r="AO85" s="26" t="str">
        <f t="shared" si="42"/>
        <v/>
      </c>
      <c r="AP85" s="26" t="str">
        <f t="shared" si="43"/>
        <v>pre-launch</v>
      </c>
      <c r="AQ85" s="18"/>
      <c r="AR85" s="18"/>
    </row>
    <row r="86" spans="1:44" x14ac:dyDescent="0.25">
      <c r="A86" s="43">
        <v>45147</v>
      </c>
      <c r="B86" s="17">
        <v>46968072.57</v>
      </c>
      <c r="C86" s="17">
        <v>0</v>
      </c>
      <c r="D86" s="18"/>
      <c r="E86" s="19">
        <f t="shared" si="22"/>
        <v>46968072.57</v>
      </c>
      <c r="F86" s="19">
        <f t="shared" si="23"/>
        <v>46968072.57</v>
      </c>
      <c r="G86" s="20">
        <f t="shared" si="24"/>
        <v>0</v>
      </c>
      <c r="H86" s="18"/>
      <c r="I86" s="18"/>
      <c r="J86" s="18"/>
      <c r="K86" s="19">
        <f t="shared" si="25"/>
        <v>0</v>
      </c>
      <c r="L86" s="18"/>
      <c r="M86" s="18"/>
      <c r="N86" s="18"/>
      <c r="O86" s="19">
        <f t="shared" si="26"/>
        <v>0</v>
      </c>
      <c r="P86" s="21">
        <f t="shared" si="27"/>
        <v>0</v>
      </c>
      <c r="Q86" s="18"/>
      <c r="R86" s="18"/>
      <c r="S86" s="19">
        <f t="shared" si="28"/>
        <v>0</v>
      </c>
      <c r="T86" s="20">
        <f t="shared" si="29"/>
        <v>0.03</v>
      </c>
      <c r="U86" s="19">
        <f t="shared" si="30"/>
        <v>0</v>
      </c>
      <c r="V86" s="18"/>
      <c r="W86" s="19">
        <f t="shared" si="31"/>
        <v>0</v>
      </c>
      <c r="X86" s="19">
        <f t="shared" si="32"/>
        <v>0</v>
      </c>
      <c r="Y86" s="18"/>
      <c r="Z86" s="18"/>
      <c r="AA86" s="19">
        <f t="shared" si="33"/>
        <v>0</v>
      </c>
      <c r="AB86" s="17">
        <v>0</v>
      </c>
      <c r="AC86" s="18"/>
      <c r="AD86" s="18"/>
      <c r="AE86" s="22">
        <f t="shared" si="34"/>
        <v>0</v>
      </c>
      <c r="AF86" s="23">
        <f t="shared" si="35"/>
        <v>0</v>
      </c>
      <c r="AG86" s="23">
        <f t="shared" si="36"/>
        <v>0</v>
      </c>
      <c r="AH86" s="18"/>
      <c r="AI86" s="24">
        <f t="shared" si="37"/>
        <v>0</v>
      </c>
      <c r="AJ86" s="25">
        <v>0</v>
      </c>
      <c r="AK86" s="24">
        <f t="shared" si="38"/>
        <v>0</v>
      </c>
      <c r="AL86" s="22">
        <f t="shared" si="39"/>
        <v>0</v>
      </c>
      <c r="AM86" s="22">
        <f t="shared" si="40"/>
        <v>0</v>
      </c>
      <c r="AN86" s="22">
        <f t="shared" si="41"/>
        <v>0</v>
      </c>
      <c r="AO86" s="26" t="str">
        <f t="shared" si="42"/>
        <v/>
      </c>
      <c r="AP86" s="26" t="str">
        <f t="shared" si="43"/>
        <v>pre-launch</v>
      </c>
      <c r="AQ86" s="18"/>
      <c r="AR86" s="18"/>
    </row>
    <row r="87" spans="1:44" x14ac:dyDescent="0.25">
      <c r="A87" s="43">
        <v>45148</v>
      </c>
      <c r="B87" s="17">
        <v>39915194.280000001</v>
      </c>
      <c r="C87" s="17">
        <v>0</v>
      </c>
      <c r="D87" s="18"/>
      <c r="E87" s="19">
        <f t="shared" si="22"/>
        <v>39915194.280000001</v>
      </c>
      <c r="F87" s="19">
        <f t="shared" si="23"/>
        <v>39915194.280000001</v>
      </c>
      <c r="G87" s="20">
        <f t="shared" si="24"/>
        <v>0</v>
      </c>
      <c r="H87" s="18"/>
      <c r="I87" s="18"/>
      <c r="J87" s="18"/>
      <c r="K87" s="19">
        <f t="shared" si="25"/>
        <v>0</v>
      </c>
      <c r="L87" s="18"/>
      <c r="M87" s="18"/>
      <c r="N87" s="18"/>
      <c r="O87" s="19">
        <f t="shared" si="26"/>
        <v>0</v>
      </c>
      <c r="P87" s="21">
        <f t="shared" si="27"/>
        <v>0</v>
      </c>
      <c r="Q87" s="18"/>
      <c r="R87" s="18"/>
      <c r="S87" s="19">
        <f t="shared" si="28"/>
        <v>0</v>
      </c>
      <c r="T87" s="20">
        <f t="shared" si="29"/>
        <v>0.03</v>
      </c>
      <c r="U87" s="19">
        <f t="shared" si="30"/>
        <v>0</v>
      </c>
      <c r="V87" s="18"/>
      <c r="W87" s="19">
        <f t="shared" si="31"/>
        <v>0</v>
      </c>
      <c r="X87" s="19">
        <f t="shared" si="32"/>
        <v>0</v>
      </c>
      <c r="Y87" s="18"/>
      <c r="Z87" s="18"/>
      <c r="AA87" s="19">
        <f t="shared" si="33"/>
        <v>0</v>
      </c>
      <c r="AB87" s="17">
        <v>0</v>
      </c>
      <c r="AC87" s="18"/>
      <c r="AD87" s="18"/>
      <c r="AE87" s="22">
        <f t="shared" si="34"/>
        <v>0</v>
      </c>
      <c r="AF87" s="23">
        <f t="shared" si="35"/>
        <v>0</v>
      </c>
      <c r="AG87" s="23">
        <f t="shared" si="36"/>
        <v>0</v>
      </c>
      <c r="AH87" s="18"/>
      <c r="AI87" s="24">
        <f t="shared" si="37"/>
        <v>0</v>
      </c>
      <c r="AJ87" s="25">
        <v>0</v>
      </c>
      <c r="AK87" s="24">
        <f t="shared" si="38"/>
        <v>0</v>
      </c>
      <c r="AL87" s="22">
        <f t="shared" si="39"/>
        <v>0</v>
      </c>
      <c r="AM87" s="22">
        <f t="shared" si="40"/>
        <v>0</v>
      </c>
      <c r="AN87" s="22">
        <f t="shared" si="41"/>
        <v>0</v>
      </c>
      <c r="AO87" s="26" t="str">
        <f t="shared" si="42"/>
        <v/>
      </c>
      <c r="AP87" s="26" t="str">
        <f t="shared" si="43"/>
        <v>pre-launch</v>
      </c>
      <c r="AQ87" s="18"/>
      <c r="AR87" s="18"/>
    </row>
    <row r="88" spans="1:44" x14ac:dyDescent="0.25">
      <c r="A88" s="43">
        <v>45149</v>
      </c>
      <c r="B88" s="17">
        <v>28511042.629999999</v>
      </c>
      <c r="C88" s="17">
        <v>0</v>
      </c>
      <c r="D88" s="18"/>
      <c r="E88" s="19">
        <f t="shared" si="22"/>
        <v>28511042.629999999</v>
      </c>
      <c r="F88" s="19">
        <f t="shared" si="23"/>
        <v>28511042.629999999</v>
      </c>
      <c r="G88" s="20">
        <f t="shared" si="24"/>
        <v>0</v>
      </c>
      <c r="H88" s="18"/>
      <c r="I88" s="18"/>
      <c r="J88" s="18"/>
      <c r="K88" s="19">
        <f t="shared" si="25"/>
        <v>0</v>
      </c>
      <c r="L88" s="18"/>
      <c r="M88" s="18"/>
      <c r="N88" s="18"/>
      <c r="O88" s="19">
        <f t="shared" si="26"/>
        <v>0</v>
      </c>
      <c r="P88" s="21">
        <f t="shared" si="27"/>
        <v>0</v>
      </c>
      <c r="Q88" s="18"/>
      <c r="R88" s="18"/>
      <c r="S88" s="19">
        <f t="shared" si="28"/>
        <v>0</v>
      </c>
      <c r="T88" s="20">
        <f t="shared" si="29"/>
        <v>0.03</v>
      </c>
      <c r="U88" s="19">
        <f t="shared" si="30"/>
        <v>0</v>
      </c>
      <c r="V88" s="18"/>
      <c r="W88" s="19">
        <f t="shared" si="31"/>
        <v>0</v>
      </c>
      <c r="X88" s="19">
        <f t="shared" si="32"/>
        <v>0</v>
      </c>
      <c r="Y88" s="18"/>
      <c r="Z88" s="18"/>
      <c r="AA88" s="19">
        <f t="shared" si="33"/>
        <v>0</v>
      </c>
      <c r="AB88" s="17">
        <v>0</v>
      </c>
      <c r="AC88" s="18"/>
      <c r="AD88" s="18"/>
      <c r="AE88" s="22">
        <f t="shared" si="34"/>
        <v>0</v>
      </c>
      <c r="AF88" s="23">
        <f t="shared" si="35"/>
        <v>0</v>
      </c>
      <c r="AG88" s="23">
        <f t="shared" si="36"/>
        <v>0</v>
      </c>
      <c r="AH88" s="18"/>
      <c r="AI88" s="24">
        <f t="shared" si="37"/>
        <v>0</v>
      </c>
      <c r="AJ88" s="25">
        <v>0</v>
      </c>
      <c r="AK88" s="24">
        <f t="shared" si="38"/>
        <v>0</v>
      </c>
      <c r="AL88" s="22">
        <f t="shared" si="39"/>
        <v>0</v>
      </c>
      <c r="AM88" s="22">
        <f t="shared" si="40"/>
        <v>0</v>
      </c>
      <c r="AN88" s="22">
        <f t="shared" si="41"/>
        <v>0</v>
      </c>
      <c r="AO88" s="26" t="str">
        <f t="shared" si="42"/>
        <v/>
      </c>
      <c r="AP88" s="26" t="str">
        <f t="shared" si="43"/>
        <v>pre-launch</v>
      </c>
      <c r="AQ88" s="18"/>
      <c r="AR88" s="18"/>
    </row>
    <row r="89" spans="1:44" x14ac:dyDescent="0.25">
      <c r="A89" s="43">
        <v>45150</v>
      </c>
      <c r="B89" s="17">
        <v>32194687.879999999</v>
      </c>
      <c r="C89" s="17">
        <v>0</v>
      </c>
      <c r="D89" s="18"/>
      <c r="E89" s="19">
        <f t="shared" si="22"/>
        <v>32194687.879999999</v>
      </c>
      <c r="F89" s="19">
        <f t="shared" si="23"/>
        <v>32194687.879999999</v>
      </c>
      <c r="G89" s="20">
        <f t="shared" si="24"/>
        <v>0</v>
      </c>
      <c r="H89" s="18"/>
      <c r="I89" s="18"/>
      <c r="J89" s="18"/>
      <c r="K89" s="19">
        <f t="shared" si="25"/>
        <v>0</v>
      </c>
      <c r="L89" s="18"/>
      <c r="M89" s="18"/>
      <c r="N89" s="18"/>
      <c r="O89" s="19">
        <f t="shared" si="26"/>
        <v>0</v>
      </c>
      <c r="P89" s="21">
        <f t="shared" si="27"/>
        <v>0</v>
      </c>
      <c r="Q89" s="18"/>
      <c r="R89" s="18"/>
      <c r="S89" s="19">
        <f t="shared" si="28"/>
        <v>0</v>
      </c>
      <c r="T89" s="20">
        <f t="shared" si="29"/>
        <v>0.03</v>
      </c>
      <c r="U89" s="19">
        <f t="shared" si="30"/>
        <v>0</v>
      </c>
      <c r="V89" s="18"/>
      <c r="W89" s="19">
        <f t="shared" si="31"/>
        <v>0</v>
      </c>
      <c r="X89" s="19">
        <f t="shared" si="32"/>
        <v>0</v>
      </c>
      <c r="Y89" s="18"/>
      <c r="Z89" s="18"/>
      <c r="AA89" s="19">
        <f t="shared" si="33"/>
        <v>0</v>
      </c>
      <c r="AB89" s="17">
        <v>0</v>
      </c>
      <c r="AC89" s="18"/>
      <c r="AD89" s="18"/>
      <c r="AE89" s="22">
        <f t="shared" si="34"/>
        <v>0</v>
      </c>
      <c r="AF89" s="23">
        <f t="shared" si="35"/>
        <v>0</v>
      </c>
      <c r="AG89" s="23">
        <f t="shared" si="36"/>
        <v>0</v>
      </c>
      <c r="AH89" s="18"/>
      <c r="AI89" s="24">
        <f t="shared" si="37"/>
        <v>0</v>
      </c>
      <c r="AJ89" s="25">
        <v>0</v>
      </c>
      <c r="AK89" s="24">
        <f t="shared" si="38"/>
        <v>0</v>
      </c>
      <c r="AL89" s="22">
        <f t="shared" si="39"/>
        <v>0</v>
      </c>
      <c r="AM89" s="22">
        <f t="shared" si="40"/>
        <v>0</v>
      </c>
      <c r="AN89" s="22">
        <f t="shared" si="41"/>
        <v>0</v>
      </c>
      <c r="AO89" s="26" t="str">
        <f t="shared" si="42"/>
        <v/>
      </c>
      <c r="AP89" s="26" t="str">
        <f t="shared" si="43"/>
        <v>pre-launch</v>
      </c>
      <c r="AQ89" s="18"/>
      <c r="AR89" s="18"/>
    </row>
    <row r="90" spans="1:44" x14ac:dyDescent="0.25">
      <c r="A90" s="43">
        <v>45151</v>
      </c>
      <c r="B90" s="17">
        <v>29034576.420000002</v>
      </c>
      <c r="C90" s="17">
        <v>0</v>
      </c>
      <c r="D90" s="18"/>
      <c r="E90" s="19">
        <f t="shared" si="22"/>
        <v>29034576.420000002</v>
      </c>
      <c r="F90" s="19">
        <f t="shared" si="23"/>
        <v>29034576.420000002</v>
      </c>
      <c r="G90" s="20">
        <f t="shared" si="24"/>
        <v>0</v>
      </c>
      <c r="H90" s="18"/>
      <c r="I90" s="18"/>
      <c r="J90" s="18"/>
      <c r="K90" s="19">
        <f t="shared" si="25"/>
        <v>0</v>
      </c>
      <c r="L90" s="18"/>
      <c r="M90" s="18"/>
      <c r="N90" s="18"/>
      <c r="O90" s="19">
        <f t="shared" si="26"/>
        <v>0</v>
      </c>
      <c r="P90" s="21">
        <f t="shared" si="27"/>
        <v>0</v>
      </c>
      <c r="Q90" s="18"/>
      <c r="R90" s="18"/>
      <c r="S90" s="19">
        <f t="shared" si="28"/>
        <v>0</v>
      </c>
      <c r="T90" s="20">
        <f t="shared" si="29"/>
        <v>0.03</v>
      </c>
      <c r="U90" s="19">
        <f t="shared" si="30"/>
        <v>0</v>
      </c>
      <c r="V90" s="18"/>
      <c r="W90" s="19">
        <f t="shared" si="31"/>
        <v>0</v>
      </c>
      <c r="X90" s="19">
        <f t="shared" si="32"/>
        <v>0</v>
      </c>
      <c r="Y90" s="18"/>
      <c r="Z90" s="18"/>
      <c r="AA90" s="19">
        <f t="shared" si="33"/>
        <v>0</v>
      </c>
      <c r="AB90" s="17">
        <v>0</v>
      </c>
      <c r="AC90" s="18"/>
      <c r="AD90" s="18"/>
      <c r="AE90" s="22">
        <f t="shared" si="34"/>
        <v>0</v>
      </c>
      <c r="AF90" s="23">
        <f t="shared" si="35"/>
        <v>0</v>
      </c>
      <c r="AG90" s="23">
        <f t="shared" si="36"/>
        <v>0</v>
      </c>
      <c r="AH90" s="18"/>
      <c r="AI90" s="24">
        <f t="shared" si="37"/>
        <v>0</v>
      </c>
      <c r="AJ90" s="25">
        <v>0</v>
      </c>
      <c r="AK90" s="24">
        <f t="shared" si="38"/>
        <v>0</v>
      </c>
      <c r="AL90" s="22">
        <f t="shared" si="39"/>
        <v>0</v>
      </c>
      <c r="AM90" s="22">
        <f t="shared" si="40"/>
        <v>0</v>
      </c>
      <c r="AN90" s="22">
        <f t="shared" si="41"/>
        <v>0</v>
      </c>
      <c r="AO90" s="26" t="str">
        <f t="shared" si="42"/>
        <v/>
      </c>
      <c r="AP90" s="26" t="str">
        <f t="shared" si="43"/>
        <v>pre-launch</v>
      </c>
      <c r="AQ90" s="18"/>
      <c r="AR90" s="18"/>
    </row>
    <row r="91" spans="1:44" x14ac:dyDescent="0.25">
      <c r="A91" s="43">
        <v>45152</v>
      </c>
      <c r="B91" s="17">
        <v>39468106.890000001</v>
      </c>
      <c r="C91" s="17">
        <v>0</v>
      </c>
      <c r="D91" s="18"/>
      <c r="E91" s="19">
        <f t="shared" si="22"/>
        <v>39468106.890000001</v>
      </c>
      <c r="F91" s="19">
        <f t="shared" si="23"/>
        <v>39468106.890000001</v>
      </c>
      <c r="G91" s="20">
        <f t="shared" si="24"/>
        <v>0</v>
      </c>
      <c r="H91" s="18"/>
      <c r="I91" s="18"/>
      <c r="J91" s="18"/>
      <c r="K91" s="19">
        <f t="shared" si="25"/>
        <v>0</v>
      </c>
      <c r="L91" s="18"/>
      <c r="M91" s="18"/>
      <c r="N91" s="18"/>
      <c r="O91" s="19">
        <f t="shared" si="26"/>
        <v>0</v>
      </c>
      <c r="P91" s="21">
        <f t="shared" si="27"/>
        <v>0</v>
      </c>
      <c r="Q91" s="18"/>
      <c r="R91" s="18"/>
      <c r="S91" s="19">
        <f t="shared" si="28"/>
        <v>0</v>
      </c>
      <c r="T91" s="20">
        <f t="shared" si="29"/>
        <v>0.03</v>
      </c>
      <c r="U91" s="19">
        <f t="shared" si="30"/>
        <v>0</v>
      </c>
      <c r="V91" s="18"/>
      <c r="W91" s="19">
        <f t="shared" si="31"/>
        <v>0</v>
      </c>
      <c r="X91" s="19">
        <f t="shared" si="32"/>
        <v>0</v>
      </c>
      <c r="Y91" s="18"/>
      <c r="Z91" s="18"/>
      <c r="AA91" s="19">
        <f t="shared" si="33"/>
        <v>0</v>
      </c>
      <c r="AB91" s="17">
        <v>0</v>
      </c>
      <c r="AC91" s="18"/>
      <c r="AD91" s="18"/>
      <c r="AE91" s="22">
        <f t="shared" si="34"/>
        <v>0</v>
      </c>
      <c r="AF91" s="23">
        <f t="shared" si="35"/>
        <v>0</v>
      </c>
      <c r="AG91" s="23">
        <f t="shared" si="36"/>
        <v>0</v>
      </c>
      <c r="AH91" s="18"/>
      <c r="AI91" s="24">
        <f t="shared" si="37"/>
        <v>0</v>
      </c>
      <c r="AJ91" s="25">
        <v>0</v>
      </c>
      <c r="AK91" s="24">
        <f t="shared" si="38"/>
        <v>0</v>
      </c>
      <c r="AL91" s="22">
        <f t="shared" si="39"/>
        <v>0</v>
      </c>
      <c r="AM91" s="22">
        <f t="shared" si="40"/>
        <v>0</v>
      </c>
      <c r="AN91" s="22">
        <f t="shared" si="41"/>
        <v>0</v>
      </c>
      <c r="AO91" s="26" t="str">
        <f t="shared" si="42"/>
        <v/>
      </c>
      <c r="AP91" s="26" t="str">
        <f t="shared" si="43"/>
        <v>pre-launch</v>
      </c>
      <c r="AQ91" s="18"/>
      <c r="AR91" s="18"/>
    </row>
    <row r="92" spans="1:44" x14ac:dyDescent="0.25">
      <c r="A92" s="43">
        <v>45153</v>
      </c>
      <c r="B92" s="17">
        <v>52924576.090000004</v>
      </c>
      <c r="C92" s="17">
        <v>0</v>
      </c>
      <c r="D92" s="18"/>
      <c r="E92" s="19">
        <f t="shared" si="22"/>
        <v>52924576.090000004</v>
      </c>
      <c r="F92" s="19">
        <f t="shared" si="23"/>
        <v>52924576.090000004</v>
      </c>
      <c r="G92" s="20">
        <f t="shared" si="24"/>
        <v>0</v>
      </c>
      <c r="H92" s="18"/>
      <c r="I92" s="18"/>
      <c r="J92" s="18"/>
      <c r="K92" s="19">
        <f t="shared" si="25"/>
        <v>0</v>
      </c>
      <c r="L92" s="18"/>
      <c r="M92" s="18"/>
      <c r="N92" s="18"/>
      <c r="O92" s="19">
        <f t="shared" si="26"/>
        <v>0</v>
      </c>
      <c r="P92" s="21">
        <f t="shared" si="27"/>
        <v>0</v>
      </c>
      <c r="Q92" s="18"/>
      <c r="R92" s="18"/>
      <c r="S92" s="19">
        <f t="shared" si="28"/>
        <v>0</v>
      </c>
      <c r="T92" s="20">
        <f t="shared" si="29"/>
        <v>0.03</v>
      </c>
      <c r="U92" s="19">
        <f t="shared" si="30"/>
        <v>0</v>
      </c>
      <c r="V92" s="18"/>
      <c r="W92" s="19">
        <f t="shared" si="31"/>
        <v>0</v>
      </c>
      <c r="X92" s="19">
        <f t="shared" si="32"/>
        <v>0</v>
      </c>
      <c r="Y92" s="18"/>
      <c r="Z92" s="18"/>
      <c r="AA92" s="19">
        <f t="shared" si="33"/>
        <v>0</v>
      </c>
      <c r="AB92" s="17">
        <v>0</v>
      </c>
      <c r="AC92" s="18"/>
      <c r="AD92" s="18"/>
      <c r="AE92" s="22">
        <f t="shared" si="34"/>
        <v>0</v>
      </c>
      <c r="AF92" s="23">
        <f t="shared" si="35"/>
        <v>0</v>
      </c>
      <c r="AG92" s="23">
        <f t="shared" si="36"/>
        <v>0</v>
      </c>
      <c r="AH92" s="18"/>
      <c r="AI92" s="24">
        <f t="shared" si="37"/>
        <v>0</v>
      </c>
      <c r="AJ92" s="25">
        <v>0</v>
      </c>
      <c r="AK92" s="24">
        <f t="shared" si="38"/>
        <v>0</v>
      </c>
      <c r="AL92" s="22">
        <f t="shared" si="39"/>
        <v>0</v>
      </c>
      <c r="AM92" s="22">
        <f t="shared" si="40"/>
        <v>0</v>
      </c>
      <c r="AN92" s="22">
        <f t="shared" si="41"/>
        <v>0</v>
      </c>
      <c r="AO92" s="26" t="str">
        <f t="shared" si="42"/>
        <v/>
      </c>
      <c r="AP92" s="26" t="str">
        <f t="shared" si="43"/>
        <v>pre-launch</v>
      </c>
      <c r="AQ92" s="18"/>
      <c r="AR92" s="18"/>
    </row>
    <row r="93" spans="1:44" x14ac:dyDescent="0.25">
      <c r="A93" s="43">
        <v>45154</v>
      </c>
      <c r="B93" s="17">
        <v>117476947.38</v>
      </c>
      <c r="C93" s="17">
        <v>0</v>
      </c>
      <c r="D93" s="18"/>
      <c r="E93" s="19">
        <f t="shared" si="22"/>
        <v>117476947.38</v>
      </c>
      <c r="F93" s="19">
        <f t="shared" si="23"/>
        <v>117476947.38</v>
      </c>
      <c r="G93" s="20">
        <f t="shared" si="24"/>
        <v>0</v>
      </c>
      <c r="H93" s="18"/>
      <c r="I93" s="18"/>
      <c r="J93" s="18"/>
      <c r="K93" s="19">
        <f t="shared" si="25"/>
        <v>0</v>
      </c>
      <c r="L93" s="18"/>
      <c r="M93" s="18"/>
      <c r="N93" s="18"/>
      <c r="O93" s="19">
        <f t="shared" si="26"/>
        <v>0</v>
      </c>
      <c r="P93" s="21">
        <f t="shared" si="27"/>
        <v>0</v>
      </c>
      <c r="Q93" s="18"/>
      <c r="R93" s="18"/>
      <c r="S93" s="19">
        <f t="shared" si="28"/>
        <v>0</v>
      </c>
      <c r="T93" s="20">
        <f t="shared" si="29"/>
        <v>0.03</v>
      </c>
      <c r="U93" s="19">
        <f t="shared" si="30"/>
        <v>0</v>
      </c>
      <c r="V93" s="18"/>
      <c r="W93" s="19">
        <f t="shared" si="31"/>
        <v>0</v>
      </c>
      <c r="X93" s="19">
        <f t="shared" si="32"/>
        <v>0</v>
      </c>
      <c r="Y93" s="18"/>
      <c r="Z93" s="18"/>
      <c r="AA93" s="19">
        <f t="shared" si="33"/>
        <v>0</v>
      </c>
      <c r="AB93" s="17">
        <v>0</v>
      </c>
      <c r="AC93" s="18"/>
      <c r="AD93" s="18"/>
      <c r="AE93" s="22">
        <f t="shared" si="34"/>
        <v>0</v>
      </c>
      <c r="AF93" s="23">
        <f t="shared" si="35"/>
        <v>0</v>
      </c>
      <c r="AG93" s="23">
        <f t="shared" si="36"/>
        <v>0</v>
      </c>
      <c r="AH93" s="18"/>
      <c r="AI93" s="24">
        <f t="shared" si="37"/>
        <v>0</v>
      </c>
      <c r="AJ93" s="25">
        <v>0</v>
      </c>
      <c r="AK93" s="24">
        <f t="shared" si="38"/>
        <v>0</v>
      </c>
      <c r="AL93" s="22">
        <f t="shared" si="39"/>
        <v>0</v>
      </c>
      <c r="AM93" s="22">
        <f t="shared" si="40"/>
        <v>0</v>
      </c>
      <c r="AN93" s="22">
        <f t="shared" si="41"/>
        <v>0</v>
      </c>
      <c r="AO93" s="26" t="str">
        <f t="shared" si="42"/>
        <v/>
      </c>
      <c r="AP93" s="26" t="str">
        <f t="shared" si="43"/>
        <v>pre-launch</v>
      </c>
      <c r="AQ93" s="18"/>
      <c r="AR93" s="18"/>
    </row>
    <row r="94" spans="1:44" x14ac:dyDescent="0.25">
      <c r="A94" s="43">
        <v>45155</v>
      </c>
      <c r="B94" s="17">
        <v>171884792.43000001</v>
      </c>
      <c r="C94" s="17">
        <v>0</v>
      </c>
      <c r="D94" s="18"/>
      <c r="E94" s="19">
        <f t="shared" si="22"/>
        <v>171884792.43000001</v>
      </c>
      <c r="F94" s="19">
        <f t="shared" si="23"/>
        <v>171884792.43000001</v>
      </c>
      <c r="G94" s="20">
        <f t="shared" si="24"/>
        <v>0</v>
      </c>
      <c r="H94" s="18"/>
      <c r="I94" s="18"/>
      <c r="J94" s="18"/>
      <c r="K94" s="19">
        <f t="shared" si="25"/>
        <v>0</v>
      </c>
      <c r="L94" s="18"/>
      <c r="M94" s="18"/>
      <c r="N94" s="18"/>
      <c r="O94" s="19">
        <f t="shared" si="26"/>
        <v>0</v>
      </c>
      <c r="P94" s="21">
        <f t="shared" si="27"/>
        <v>0</v>
      </c>
      <c r="Q94" s="18"/>
      <c r="R94" s="18"/>
      <c r="S94" s="19">
        <f t="shared" si="28"/>
        <v>0</v>
      </c>
      <c r="T94" s="20">
        <f t="shared" si="29"/>
        <v>0.03</v>
      </c>
      <c r="U94" s="19">
        <f t="shared" si="30"/>
        <v>0</v>
      </c>
      <c r="V94" s="18"/>
      <c r="W94" s="19">
        <f t="shared" si="31"/>
        <v>0</v>
      </c>
      <c r="X94" s="19">
        <f t="shared" si="32"/>
        <v>0</v>
      </c>
      <c r="Y94" s="18"/>
      <c r="Z94" s="18"/>
      <c r="AA94" s="19">
        <f t="shared" si="33"/>
        <v>0</v>
      </c>
      <c r="AB94" s="17">
        <v>0</v>
      </c>
      <c r="AC94" s="18"/>
      <c r="AD94" s="18"/>
      <c r="AE94" s="22">
        <f t="shared" si="34"/>
        <v>0</v>
      </c>
      <c r="AF94" s="23">
        <f t="shared" si="35"/>
        <v>0</v>
      </c>
      <c r="AG94" s="23">
        <f t="shared" si="36"/>
        <v>0</v>
      </c>
      <c r="AH94" s="18"/>
      <c r="AI94" s="24">
        <f t="shared" si="37"/>
        <v>0</v>
      </c>
      <c r="AJ94" s="25">
        <v>0</v>
      </c>
      <c r="AK94" s="24">
        <f t="shared" si="38"/>
        <v>0</v>
      </c>
      <c r="AL94" s="22">
        <f t="shared" si="39"/>
        <v>0</v>
      </c>
      <c r="AM94" s="22">
        <f t="shared" si="40"/>
        <v>0</v>
      </c>
      <c r="AN94" s="22">
        <f t="shared" si="41"/>
        <v>0</v>
      </c>
      <c r="AO94" s="26" t="str">
        <f t="shared" si="42"/>
        <v/>
      </c>
      <c r="AP94" s="26" t="str">
        <f t="shared" si="43"/>
        <v>pre-launch</v>
      </c>
      <c r="AQ94" s="18"/>
      <c r="AR94" s="18"/>
    </row>
    <row r="95" spans="1:44" x14ac:dyDescent="0.25">
      <c r="A95" s="43">
        <v>45156</v>
      </c>
      <c r="B95" s="17">
        <v>223653015.56</v>
      </c>
      <c r="C95" s="17">
        <v>0</v>
      </c>
      <c r="D95" s="18"/>
      <c r="E95" s="19">
        <f t="shared" si="22"/>
        <v>223653015.56</v>
      </c>
      <c r="F95" s="19">
        <f t="shared" si="23"/>
        <v>223653015.56</v>
      </c>
      <c r="G95" s="20">
        <f t="shared" si="24"/>
        <v>0</v>
      </c>
      <c r="H95" s="18"/>
      <c r="I95" s="18"/>
      <c r="J95" s="18"/>
      <c r="K95" s="19">
        <f t="shared" si="25"/>
        <v>0</v>
      </c>
      <c r="L95" s="18"/>
      <c r="M95" s="18"/>
      <c r="N95" s="18"/>
      <c r="O95" s="19">
        <f t="shared" si="26"/>
        <v>0</v>
      </c>
      <c r="P95" s="21">
        <f t="shared" si="27"/>
        <v>0</v>
      </c>
      <c r="Q95" s="18"/>
      <c r="R95" s="18"/>
      <c r="S95" s="19">
        <f t="shared" si="28"/>
        <v>0</v>
      </c>
      <c r="T95" s="20">
        <f t="shared" si="29"/>
        <v>0.03</v>
      </c>
      <c r="U95" s="19">
        <f t="shared" si="30"/>
        <v>0</v>
      </c>
      <c r="V95" s="18"/>
      <c r="W95" s="19">
        <f t="shared" si="31"/>
        <v>0</v>
      </c>
      <c r="X95" s="19">
        <f t="shared" si="32"/>
        <v>0</v>
      </c>
      <c r="Y95" s="18"/>
      <c r="Z95" s="18"/>
      <c r="AA95" s="19">
        <f t="shared" si="33"/>
        <v>0</v>
      </c>
      <c r="AB95" s="17">
        <v>0</v>
      </c>
      <c r="AC95" s="18"/>
      <c r="AD95" s="18"/>
      <c r="AE95" s="22">
        <f t="shared" si="34"/>
        <v>0</v>
      </c>
      <c r="AF95" s="23">
        <f t="shared" si="35"/>
        <v>0</v>
      </c>
      <c r="AG95" s="23">
        <f t="shared" si="36"/>
        <v>0</v>
      </c>
      <c r="AH95" s="18"/>
      <c r="AI95" s="24">
        <f t="shared" si="37"/>
        <v>0</v>
      </c>
      <c r="AJ95" s="25">
        <v>0</v>
      </c>
      <c r="AK95" s="24">
        <f t="shared" si="38"/>
        <v>0</v>
      </c>
      <c r="AL95" s="22">
        <f t="shared" si="39"/>
        <v>0</v>
      </c>
      <c r="AM95" s="22">
        <f t="shared" si="40"/>
        <v>0</v>
      </c>
      <c r="AN95" s="22">
        <f t="shared" si="41"/>
        <v>0</v>
      </c>
      <c r="AO95" s="26" t="str">
        <f t="shared" si="42"/>
        <v/>
      </c>
      <c r="AP95" s="26" t="str">
        <f t="shared" si="43"/>
        <v>pre-launch</v>
      </c>
      <c r="AQ95" s="18"/>
      <c r="AR95" s="18"/>
    </row>
    <row r="96" spans="1:44" x14ac:dyDescent="0.25">
      <c r="A96" s="43">
        <v>45157</v>
      </c>
      <c r="B96" s="17">
        <v>110356800.81</v>
      </c>
      <c r="C96" s="17">
        <v>0</v>
      </c>
      <c r="D96" s="18"/>
      <c r="E96" s="19">
        <f t="shared" si="22"/>
        <v>110356800.81</v>
      </c>
      <c r="F96" s="19">
        <f t="shared" si="23"/>
        <v>110356800.81</v>
      </c>
      <c r="G96" s="20">
        <f t="shared" si="24"/>
        <v>0</v>
      </c>
      <c r="H96" s="18"/>
      <c r="I96" s="18"/>
      <c r="J96" s="18"/>
      <c r="K96" s="19">
        <f t="shared" si="25"/>
        <v>0</v>
      </c>
      <c r="L96" s="18"/>
      <c r="M96" s="18"/>
      <c r="N96" s="18"/>
      <c r="O96" s="19">
        <f t="shared" si="26"/>
        <v>0</v>
      </c>
      <c r="P96" s="21">
        <f t="shared" si="27"/>
        <v>0</v>
      </c>
      <c r="Q96" s="18"/>
      <c r="R96" s="18"/>
      <c r="S96" s="19">
        <f t="shared" si="28"/>
        <v>0</v>
      </c>
      <c r="T96" s="20">
        <f t="shared" si="29"/>
        <v>0.03</v>
      </c>
      <c r="U96" s="19">
        <f t="shared" si="30"/>
        <v>0</v>
      </c>
      <c r="V96" s="18"/>
      <c r="W96" s="19">
        <f t="shared" si="31"/>
        <v>0</v>
      </c>
      <c r="X96" s="19">
        <f t="shared" si="32"/>
        <v>0</v>
      </c>
      <c r="Y96" s="18"/>
      <c r="Z96" s="18"/>
      <c r="AA96" s="19">
        <f t="shared" si="33"/>
        <v>0</v>
      </c>
      <c r="AB96" s="17">
        <v>0</v>
      </c>
      <c r="AC96" s="18"/>
      <c r="AD96" s="18"/>
      <c r="AE96" s="22">
        <f t="shared" si="34"/>
        <v>0</v>
      </c>
      <c r="AF96" s="23">
        <f t="shared" si="35"/>
        <v>0</v>
      </c>
      <c r="AG96" s="23">
        <f t="shared" si="36"/>
        <v>0</v>
      </c>
      <c r="AH96" s="18"/>
      <c r="AI96" s="24">
        <f t="shared" si="37"/>
        <v>0</v>
      </c>
      <c r="AJ96" s="25">
        <v>0</v>
      </c>
      <c r="AK96" s="24">
        <f t="shared" si="38"/>
        <v>0</v>
      </c>
      <c r="AL96" s="22">
        <f t="shared" si="39"/>
        <v>0</v>
      </c>
      <c r="AM96" s="22">
        <f t="shared" si="40"/>
        <v>0</v>
      </c>
      <c r="AN96" s="22">
        <f t="shared" si="41"/>
        <v>0</v>
      </c>
      <c r="AO96" s="26" t="str">
        <f t="shared" si="42"/>
        <v/>
      </c>
      <c r="AP96" s="26" t="str">
        <f t="shared" si="43"/>
        <v>pre-launch</v>
      </c>
      <c r="AQ96" s="18"/>
      <c r="AR96" s="18"/>
    </row>
    <row r="97" spans="1:44" x14ac:dyDescent="0.25">
      <c r="A97" s="43">
        <v>45158</v>
      </c>
      <c r="B97" s="17">
        <v>71677565.329999998</v>
      </c>
      <c r="C97" s="17">
        <v>0</v>
      </c>
      <c r="D97" s="18"/>
      <c r="E97" s="19">
        <f t="shared" si="22"/>
        <v>71677565.329999998</v>
      </c>
      <c r="F97" s="19">
        <f t="shared" si="23"/>
        <v>71677565.329999998</v>
      </c>
      <c r="G97" s="20">
        <f t="shared" si="24"/>
        <v>0</v>
      </c>
      <c r="H97" s="18"/>
      <c r="I97" s="18"/>
      <c r="J97" s="18"/>
      <c r="K97" s="19">
        <f t="shared" si="25"/>
        <v>0</v>
      </c>
      <c r="L97" s="18"/>
      <c r="M97" s="18"/>
      <c r="N97" s="18"/>
      <c r="O97" s="19">
        <f t="shared" si="26"/>
        <v>0</v>
      </c>
      <c r="P97" s="21">
        <f t="shared" si="27"/>
        <v>0</v>
      </c>
      <c r="Q97" s="18"/>
      <c r="R97" s="18"/>
      <c r="S97" s="19">
        <f t="shared" si="28"/>
        <v>0</v>
      </c>
      <c r="T97" s="20">
        <f t="shared" si="29"/>
        <v>0.03</v>
      </c>
      <c r="U97" s="19">
        <f t="shared" si="30"/>
        <v>0</v>
      </c>
      <c r="V97" s="18"/>
      <c r="W97" s="19">
        <f t="shared" si="31"/>
        <v>0</v>
      </c>
      <c r="X97" s="19">
        <f t="shared" si="32"/>
        <v>0</v>
      </c>
      <c r="Y97" s="18"/>
      <c r="Z97" s="18"/>
      <c r="AA97" s="19">
        <f t="shared" si="33"/>
        <v>0</v>
      </c>
      <c r="AB97" s="17">
        <v>0</v>
      </c>
      <c r="AC97" s="18"/>
      <c r="AD97" s="18"/>
      <c r="AE97" s="22">
        <f t="shared" si="34"/>
        <v>0</v>
      </c>
      <c r="AF97" s="23">
        <f t="shared" si="35"/>
        <v>0</v>
      </c>
      <c r="AG97" s="23">
        <f t="shared" si="36"/>
        <v>0</v>
      </c>
      <c r="AH97" s="18"/>
      <c r="AI97" s="24">
        <f t="shared" si="37"/>
        <v>0</v>
      </c>
      <c r="AJ97" s="25">
        <v>0</v>
      </c>
      <c r="AK97" s="24">
        <f t="shared" si="38"/>
        <v>0</v>
      </c>
      <c r="AL97" s="22">
        <f t="shared" si="39"/>
        <v>0</v>
      </c>
      <c r="AM97" s="22">
        <f t="shared" si="40"/>
        <v>0</v>
      </c>
      <c r="AN97" s="22">
        <f t="shared" si="41"/>
        <v>0</v>
      </c>
      <c r="AO97" s="26" t="str">
        <f t="shared" si="42"/>
        <v/>
      </c>
      <c r="AP97" s="26" t="str">
        <f t="shared" si="43"/>
        <v>pre-launch</v>
      </c>
      <c r="AQ97" s="18"/>
      <c r="AR97" s="18"/>
    </row>
    <row r="98" spans="1:44" x14ac:dyDescent="0.25">
      <c r="A98" s="43">
        <v>45159</v>
      </c>
      <c r="B98" s="17">
        <v>55489186.659999996</v>
      </c>
      <c r="C98" s="17">
        <v>0</v>
      </c>
      <c r="D98" s="18"/>
      <c r="E98" s="19">
        <f t="shared" si="22"/>
        <v>55489186.659999996</v>
      </c>
      <c r="F98" s="19">
        <f t="shared" si="23"/>
        <v>55489186.659999996</v>
      </c>
      <c r="G98" s="20">
        <f t="shared" si="24"/>
        <v>0</v>
      </c>
      <c r="H98" s="18"/>
      <c r="I98" s="18"/>
      <c r="J98" s="18"/>
      <c r="K98" s="19">
        <f t="shared" si="25"/>
        <v>0</v>
      </c>
      <c r="L98" s="18"/>
      <c r="M98" s="18"/>
      <c r="N98" s="18"/>
      <c r="O98" s="19">
        <f t="shared" si="26"/>
        <v>0</v>
      </c>
      <c r="P98" s="21">
        <f t="shared" si="27"/>
        <v>0</v>
      </c>
      <c r="Q98" s="18"/>
      <c r="R98" s="18"/>
      <c r="S98" s="19">
        <f t="shared" si="28"/>
        <v>0</v>
      </c>
      <c r="T98" s="20">
        <f t="shared" si="29"/>
        <v>0.03</v>
      </c>
      <c r="U98" s="19">
        <f t="shared" si="30"/>
        <v>0</v>
      </c>
      <c r="V98" s="18"/>
      <c r="W98" s="19">
        <f t="shared" si="31"/>
        <v>0</v>
      </c>
      <c r="X98" s="19">
        <f t="shared" si="32"/>
        <v>0</v>
      </c>
      <c r="Y98" s="18"/>
      <c r="Z98" s="18"/>
      <c r="AA98" s="19">
        <f t="shared" si="33"/>
        <v>0</v>
      </c>
      <c r="AB98" s="17">
        <v>0</v>
      </c>
      <c r="AC98" s="18"/>
      <c r="AD98" s="18"/>
      <c r="AE98" s="22">
        <f t="shared" si="34"/>
        <v>0</v>
      </c>
      <c r="AF98" s="23">
        <f t="shared" si="35"/>
        <v>0</v>
      </c>
      <c r="AG98" s="23">
        <f t="shared" si="36"/>
        <v>0</v>
      </c>
      <c r="AH98" s="18"/>
      <c r="AI98" s="24">
        <f t="shared" si="37"/>
        <v>0</v>
      </c>
      <c r="AJ98" s="25">
        <v>0</v>
      </c>
      <c r="AK98" s="24">
        <f t="shared" si="38"/>
        <v>0</v>
      </c>
      <c r="AL98" s="22">
        <f t="shared" si="39"/>
        <v>0</v>
      </c>
      <c r="AM98" s="22">
        <f t="shared" si="40"/>
        <v>0</v>
      </c>
      <c r="AN98" s="22">
        <f t="shared" si="41"/>
        <v>0</v>
      </c>
      <c r="AO98" s="26" t="str">
        <f t="shared" si="42"/>
        <v/>
      </c>
      <c r="AP98" s="26" t="str">
        <f t="shared" si="43"/>
        <v>pre-launch</v>
      </c>
      <c r="AQ98" s="18"/>
      <c r="AR98" s="18"/>
    </row>
    <row r="99" spans="1:44" x14ac:dyDescent="0.25">
      <c r="A99" s="43">
        <v>45160</v>
      </c>
      <c r="B99" s="17">
        <v>49098518.210000001</v>
      </c>
      <c r="C99" s="17">
        <v>0</v>
      </c>
      <c r="D99" s="18"/>
      <c r="E99" s="19">
        <f t="shared" si="22"/>
        <v>49098518.210000001</v>
      </c>
      <c r="F99" s="19">
        <f t="shared" si="23"/>
        <v>49098518.210000001</v>
      </c>
      <c r="G99" s="20">
        <f t="shared" si="24"/>
        <v>0</v>
      </c>
      <c r="H99" s="18"/>
      <c r="I99" s="18"/>
      <c r="J99" s="18"/>
      <c r="K99" s="19">
        <f t="shared" si="25"/>
        <v>0</v>
      </c>
      <c r="L99" s="18"/>
      <c r="M99" s="18"/>
      <c r="N99" s="18"/>
      <c r="O99" s="19">
        <f t="shared" si="26"/>
        <v>0</v>
      </c>
      <c r="P99" s="21">
        <f t="shared" si="27"/>
        <v>0</v>
      </c>
      <c r="Q99" s="18"/>
      <c r="R99" s="18"/>
      <c r="S99" s="19">
        <f t="shared" si="28"/>
        <v>0</v>
      </c>
      <c r="T99" s="20">
        <f t="shared" si="29"/>
        <v>0.03</v>
      </c>
      <c r="U99" s="19">
        <f t="shared" si="30"/>
        <v>0</v>
      </c>
      <c r="V99" s="18"/>
      <c r="W99" s="19">
        <f t="shared" si="31"/>
        <v>0</v>
      </c>
      <c r="X99" s="19">
        <f t="shared" si="32"/>
        <v>0</v>
      </c>
      <c r="Y99" s="18"/>
      <c r="Z99" s="18"/>
      <c r="AA99" s="19">
        <f t="shared" si="33"/>
        <v>0</v>
      </c>
      <c r="AB99" s="17">
        <v>0</v>
      </c>
      <c r="AC99" s="18"/>
      <c r="AD99" s="18"/>
      <c r="AE99" s="22">
        <f t="shared" si="34"/>
        <v>0</v>
      </c>
      <c r="AF99" s="23">
        <f t="shared" si="35"/>
        <v>0</v>
      </c>
      <c r="AG99" s="23">
        <f t="shared" si="36"/>
        <v>0</v>
      </c>
      <c r="AH99" s="18"/>
      <c r="AI99" s="24">
        <f t="shared" si="37"/>
        <v>0</v>
      </c>
      <c r="AJ99" s="25">
        <v>0</v>
      </c>
      <c r="AK99" s="24">
        <f t="shared" si="38"/>
        <v>0</v>
      </c>
      <c r="AL99" s="22">
        <f t="shared" si="39"/>
        <v>0</v>
      </c>
      <c r="AM99" s="22">
        <f t="shared" si="40"/>
        <v>0</v>
      </c>
      <c r="AN99" s="22">
        <f t="shared" si="41"/>
        <v>0</v>
      </c>
      <c r="AO99" s="26" t="str">
        <f t="shared" si="42"/>
        <v/>
      </c>
      <c r="AP99" s="26" t="str">
        <f t="shared" si="43"/>
        <v>pre-launch</v>
      </c>
      <c r="AQ99" s="18"/>
      <c r="AR99" s="18"/>
    </row>
    <row r="100" spans="1:44" x14ac:dyDescent="0.25">
      <c r="A100" s="43">
        <v>45161</v>
      </c>
      <c r="B100" s="17">
        <v>41485315.159999996</v>
      </c>
      <c r="C100" s="17">
        <v>0</v>
      </c>
      <c r="D100" s="18"/>
      <c r="E100" s="19">
        <f t="shared" si="22"/>
        <v>41485315.159999996</v>
      </c>
      <c r="F100" s="19">
        <f t="shared" si="23"/>
        <v>41485315.159999996</v>
      </c>
      <c r="G100" s="20">
        <f t="shared" si="24"/>
        <v>0</v>
      </c>
      <c r="H100" s="18"/>
      <c r="I100" s="18"/>
      <c r="J100" s="18"/>
      <c r="K100" s="19">
        <f t="shared" si="25"/>
        <v>0</v>
      </c>
      <c r="L100" s="18"/>
      <c r="M100" s="18"/>
      <c r="N100" s="18"/>
      <c r="O100" s="19">
        <f t="shared" si="26"/>
        <v>0</v>
      </c>
      <c r="P100" s="21">
        <f t="shared" si="27"/>
        <v>0</v>
      </c>
      <c r="Q100" s="18"/>
      <c r="R100" s="18"/>
      <c r="S100" s="19">
        <f t="shared" si="28"/>
        <v>0</v>
      </c>
      <c r="T100" s="20">
        <f t="shared" si="29"/>
        <v>0.03</v>
      </c>
      <c r="U100" s="19">
        <f t="shared" si="30"/>
        <v>0</v>
      </c>
      <c r="V100" s="18"/>
      <c r="W100" s="19">
        <f t="shared" si="31"/>
        <v>0</v>
      </c>
      <c r="X100" s="19">
        <f t="shared" si="32"/>
        <v>0</v>
      </c>
      <c r="Y100" s="18"/>
      <c r="Z100" s="18"/>
      <c r="AA100" s="19">
        <f t="shared" si="33"/>
        <v>0</v>
      </c>
      <c r="AB100" s="17">
        <v>0</v>
      </c>
      <c r="AC100" s="18"/>
      <c r="AD100" s="18"/>
      <c r="AE100" s="22">
        <f t="shared" si="34"/>
        <v>0</v>
      </c>
      <c r="AF100" s="23">
        <f t="shared" si="35"/>
        <v>0</v>
      </c>
      <c r="AG100" s="23">
        <f t="shared" si="36"/>
        <v>0</v>
      </c>
      <c r="AH100" s="18"/>
      <c r="AI100" s="24">
        <f t="shared" si="37"/>
        <v>0</v>
      </c>
      <c r="AJ100" s="25">
        <v>0</v>
      </c>
      <c r="AK100" s="24">
        <f t="shared" si="38"/>
        <v>0</v>
      </c>
      <c r="AL100" s="22">
        <f t="shared" si="39"/>
        <v>0</v>
      </c>
      <c r="AM100" s="22">
        <f t="shared" si="40"/>
        <v>0</v>
      </c>
      <c r="AN100" s="22">
        <f t="shared" si="41"/>
        <v>0</v>
      </c>
      <c r="AO100" s="26" t="str">
        <f t="shared" si="42"/>
        <v/>
      </c>
      <c r="AP100" s="26" t="str">
        <f t="shared" si="43"/>
        <v>pre-launch</v>
      </c>
      <c r="AQ100" s="18"/>
      <c r="AR100" s="18"/>
    </row>
    <row r="101" spans="1:44" x14ac:dyDescent="0.25">
      <c r="A101" s="43">
        <v>45162</v>
      </c>
      <c r="B101" s="17">
        <v>37893525.789999999</v>
      </c>
      <c r="C101" s="17">
        <v>0</v>
      </c>
      <c r="D101" s="18"/>
      <c r="E101" s="19">
        <f t="shared" si="22"/>
        <v>37893525.789999999</v>
      </c>
      <c r="F101" s="19">
        <f t="shared" si="23"/>
        <v>37893525.789999999</v>
      </c>
      <c r="G101" s="20">
        <f t="shared" si="24"/>
        <v>0</v>
      </c>
      <c r="H101" s="18"/>
      <c r="I101" s="18"/>
      <c r="J101" s="18"/>
      <c r="K101" s="19">
        <f t="shared" si="25"/>
        <v>0</v>
      </c>
      <c r="L101" s="18"/>
      <c r="M101" s="18"/>
      <c r="N101" s="18"/>
      <c r="O101" s="19">
        <f t="shared" si="26"/>
        <v>0</v>
      </c>
      <c r="P101" s="21">
        <f t="shared" si="27"/>
        <v>0</v>
      </c>
      <c r="Q101" s="18"/>
      <c r="R101" s="18"/>
      <c r="S101" s="19">
        <f t="shared" si="28"/>
        <v>0</v>
      </c>
      <c r="T101" s="20">
        <f t="shared" si="29"/>
        <v>0.03</v>
      </c>
      <c r="U101" s="19">
        <f t="shared" si="30"/>
        <v>0</v>
      </c>
      <c r="V101" s="18"/>
      <c r="W101" s="19">
        <f t="shared" si="31"/>
        <v>0</v>
      </c>
      <c r="X101" s="19">
        <f t="shared" si="32"/>
        <v>0</v>
      </c>
      <c r="Y101" s="18"/>
      <c r="Z101" s="18"/>
      <c r="AA101" s="19">
        <f t="shared" si="33"/>
        <v>0</v>
      </c>
      <c r="AB101" s="17">
        <v>0</v>
      </c>
      <c r="AC101" s="18"/>
      <c r="AD101" s="18"/>
      <c r="AE101" s="22">
        <f t="shared" si="34"/>
        <v>0</v>
      </c>
      <c r="AF101" s="23">
        <f t="shared" si="35"/>
        <v>0</v>
      </c>
      <c r="AG101" s="23">
        <f t="shared" si="36"/>
        <v>0</v>
      </c>
      <c r="AH101" s="18"/>
      <c r="AI101" s="24">
        <f t="shared" si="37"/>
        <v>0</v>
      </c>
      <c r="AJ101" s="25">
        <v>0</v>
      </c>
      <c r="AK101" s="24">
        <f t="shared" si="38"/>
        <v>0</v>
      </c>
      <c r="AL101" s="22">
        <f t="shared" si="39"/>
        <v>0</v>
      </c>
      <c r="AM101" s="22">
        <f t="shared" si="40"/>
        <v>0</v>
      </c>
      <c r="AN101" s="22">
        <f t="shared" si="41"/>
        <v>0</v>
      </c>
      <c r="AO101" s="26" t="str">
        <f t="shared" si="42"/>
        <v/>
      </c>
      <c r="AP101" s="26" t="str">
        <f t="shared" si="43"/>
        <v>pre-launch</v>
      </c>
      <c r="AQ101" s="18"/>
      <c r="AR101" s="18"/>
    </row>
    <row r="102" spans="1:44" x14ac:dyDescent="0.25">
      <c r="A102" s="43">
        <v>45163</v>
      </c>
      <c r="B102" s="17">
        <v>43338369.840000004</v>
      </c>
      <c r="C102" s="17">
        <v>0</v>
      </c>
      <c r="D102" s="18"/>
      <c r="E102" s="19">
        <f t="shared" si="22"/>
        <v>43338369.840000004</v>
      </c>
      <c r="F102" s="19">
        <f t="shared" si="23"/>
        <v>43338369.840000004</v>
      </c>
      <c r="G102" s="20">
        <f t="shared" si="24"/>
        <v>0</v>
      </c>
      <c r="H102" s="18"/>
      <c r="I102" s="18"/>
      <c r="J102" s="18"/>
      <c r="K102" s="19">
        <f t="shared" si="25"/>
        <v>0</v>
      </c>
      <c r="L102" s="18"/>
      <c r="M102" s="18"/>
      <c r="N102" s="18"/>
      <c r="O102" s="19">
        <f t="shared" si="26"/>
        <v>0</v>
      </c>
      <c r="P102" s="21">
        <f t="shared" si="27"/>
        <v>0</v>
      </c>
      <c r="Q102" s="18"/>
      <c r="R102" s="18"/>
      <c r="S102" s="19">
        <f t="shared" si="28"/>
        <v>0</v>
      </c>
      <c r="T102" s="20">
        <f t="shared" si="29"/>
        <v>0.03</v>
      </c>
      <c r="U102" s="19">
        <f t="shared" si="30"/>
        <v>0</v>
      </c>
      <c r="V102" s="18"/>
      <c r="W102" s="19">
        <f t="shared" si="31"/>
        <v>0</v>
      </c>
      <c r="X102" s="19">
        <f t="shared" si="32"/>
        <v>0</v>
      </c>
      <c r="Y102" s="18"/>
      <c r="Z102" s="18"/>
      <c r="AA102" s="19">
        <f t="shared" si="33"/>
        <v>0</v>
      </c>
      <c r="AB102" s="17">
        <v>0</v>
      </c>
      <c r="AC102" s="18"/>
      <c r="AD102" s="18"/>
      <c r="AE102" s="22">
        <f t="shared" si="34"/>
        <v>0</v>
      </c>
      <c r="AF102" s="23">
        <f t="shared" si="35"/>
        <v>0</v>
      </c>
      <c r="AG102" s="23">
        <f t="shared" si="36"/>
        <v>0</v>
      </c>
      <c r="AH102" s="18"/>
      <c r="AI102" s="24">
        <f t="shared" si="37"/>
        <v>0</v>
      </c>
      <c r="AJ102" s="25">
        <v>0</v>
      </c>
      <c r="AK102" s="24">
        <f t="shared" si="38"/>
        <v>0</v>
      </c>
      <c r="AL102" s="22">
        <f t="shared" si="39"/>
        <v>0</v>
      </c>
      <c r="AM102" s="22">
        <f t="shared" si="40"/>
        <v>0</v>
      </c>
      <c r="AN102" s="22">
        <f t="shared" si="41"/>
        <v>0</v>
      </c>
      <c r="AO102" s="26" t="str">
        <f t="shared" si="42"/>
        <v/>
      </c>
      <c r="AP102" s="26" t="str">
        <f t="shared" si="43"/>
        <v>pre-launch</v>
      </c>
      <c r="AQ102" s="18"/>
      <c r="AR102" s="18"/>
    </row>
    <row r="103" spans="1:44" x14ac:dyDescent="0.25">
      <c r="A103" s="43">
        <v>45164</v>
      </c>
      <c r="B103" s="17">
        <v>20062553.829999998</v>
      </c>
      <c r="C103" s="17">
        <v>0</v>
      </c>
      <c r="D103" s="18"/>
      <c r="E103" s="19">
        <f t="shared" si="22"/>
        <v>20062553.829999998</v>
      </c>
      <c r="F103" s="19">
        <f t="shared" si="23"/>
        <v>20062553.829999998</v>
      </c>
      <c r="G103" s="20">
        <f t="shared" si="24"/>
        <v>0</v>
      </c>
      <c r="H103" s="18"/>
      <c r="I103" s="18"/>
      <c r="J103" s="18"/>
      <c r="K103" s="19">
        <f t="shared" si="25"/>
        <v>0</v>
      </c>
      <c r="L103" s="18"/>
      <c r="M103" s="18"/>
      <c r="N103" s="18"/>
      <c r="O103" s="19">
        <f t="shared" si="26"/>
        <v>0</v>
      </c>
      <c r="P103" s="21">
        <f t="shared" si="27"/>
        <v>0</v>
      </c>
      <c r="Q103" s="18"/>
      <c r="R103" s="18"/>
      <c r="S103" s="19">
        <f t="shared" si="28"/>
        <v>0</v>
      </c>
      <c r="T103" s="20">
        <f t="shared" si="29"/>
        <v>0.03</v>
      </c>
      <c r="U103" s="19">
        <f t="shared" si="30"/>
        <v>0</v>
      </c>
      <c r="V103" s="18"/>
      <c r="W103" s="19">
        <f t="shared" si="31"/>
        <v>0</v>
      </c>
      <c r="X103" s="19">
        <f t="shared" si="32"/>
        <v>0</v>
      </c>
      <c r="Y103" s="18"/>
      <c r="Z103" s="18"/>
      <c r="AA103" s="19">
        <f t="shared" si="33"/>
        <v>0</v>
      </c>
      <c r="AB103" s="17">
        <v>0</v>
      </c>
      <c r="AC103" s="18"/>
      <c r="AD103" s="18"/>
      <c r="AE103" s="22">
        <f t="shared" si="34"/>
        <v>0</v>
      </c>
      <c r="AF103" s="23">
        <f t="shared" si="35"/>
        <v>0</v>
      </c>
      <c r="AG103" s="23">
        <f t="shared" si="36"/>
        <v>0</v>
      </c>
      <c r="AH103" s="18"/>
      <c r="AI103" s="24">
        <f t="shared" si="37"/>
        <v>0</v>
      </c>
      <c r="AJ103" s="25">
        <v>0</v>
      </c>
      <c r="AK103" s="24">
        <f t="shared" si="38"/>
        <v>0</v>
      </c>
      <c r="AL103" s="22">
        <f t="shared" si="39"/>
        <v>0</v>
      </c>
      <c r="AM103" s="22">
        <f t="shared" si="40"/>
        <v>0</v>
      </c>
      <c r="AN103" s="22">
        <f t="shared" si="41"/>
        <v>0</v>
      </c>
      <c r="AO103" s="26" t="str">
        <f t="shared" si="42"/>
        <v/>
      </c>
      <c r="AP103" s="26" t="str">
        <f t="shared" si="43"/>
        <v>pre-launch</v>
      </c>
      <c r="AQ103" s="18"/>
      <c r="AR103" s="18"/>
    </row>
    <row r="104" spans="1:44" x14ac:dyDescent="0.25">
      <c r="A104" s="43">
        <v>45165</v>
      </c>
      <c r="B104" s="17">
        <v>24796036.390000001</v>
      </c>
      <c r="C104" s="17">
        <v>0</v>
      </c>
      <c r="D104" s="18"/>
      <c r="E104" s="19">
        <f t="shared" si="22"/>
        <v>24796036.390000001</v>
      </c>
      <c r="F104" s="19">
        <f t="shared" si="23"/>
        <v>24796036.390000001</v>
      </c>
      <c r="G104" s="20">
        <f t="shared" si="24"/>
        <v>0</v>
      </c>
      <c r="H104" s="18"/>
      <c r="I104" s="18"/>
      <c r="J104" s="18"/>
      <c r="K104" s="19">
        <f t="shared" si="25"/>
        <v>0</v>
      </c>
      <c r="L104" s="18"/>
      <c r="M104" s="18"/>
      <c r="N104" s="18"/>
      <c r="O104" s="19">
        <f t="shared" si="26"/>
        <v>0</v>
      </c>
      <c r="P104" s="21">
        <f t="shared" si="27"/>
        <v>0</v>
      </c>
      <c r="Q104" s="18"/>
      <c r="R104" s="18"/>
      <c r="S104" s="19">
        <f t="shared" si="28"/>
        <v>0</v>
      </c>
      <c r="T104" s="20">
        <f t="shared" si="29"/>
        <v>0.03</v>
      </c>
      <c r="U104" s="19">
        <f t="shared" si="30"/>
        <v>0</v>
      </c>
      <c r="V104" s="18"/>
      <c r="W104" s="19">
        <f t="shared" si="31"/>
        <v>0</v>
      </c>
      <c r="X104" s="19">
        <f t="shared" si="32"/>
        <v>0</v>
      </c>
      <c r="Y104" s="18"/>
      <c r="Z104" s="18"/>
      <c r="AA104" s="19">
        <f t="shared" si="33"/>
        <v>0</v>
      </c>
      <c r="AB104" s="17">
        <v>0</v>
      </c>
      <c r="AC104" s="18"/>
      <c r="AD104" s="18"/>
      <c r="AE104" s="22">
        <f t="shared" si="34"/>
        <v>0</v>
      </c>
      <c r="AF104" s="23">
        <f t="shared" si="35"/>
        <v>0</v>
      </c>
      <c r="AG104" s="23">
        <f t="shared" si="36"/>
        <v>0</v>
      </c>
      <c r="AH104" s="18"/>
      <c r="AI104" s="24">
        <f t="shared" si="37"/>
        <v>0</v>
      </c>
      <c r="AJ104" s="25">
        <v>0</v>
      </c>
      <c r="AK104" s="24">
        <f t="shared" si="38"/>
        <v>0</v>
      </c>
      <c r="AL104" s="22">
        <f t="shared" si="39"/>
        <v>0</v>
      </c>
      <c r="AM104" s="22">
        <f t="shared" si="40"/>
        <v>0</v>
      </c>
      <c r="AN104" s="22">
        <f t="shared" si="41"/>
        <v>0</v>
      </c>
      <c r="AO104" s="26" t="str">
        <f t="shared" si="42"/>
        <v/>
      </c>
      <c r="AP104" s="26" t="str">
        <f t="shared" si="43"/>
        <v>pre-launch</v>
      </c>
      <c r="AQ104" s="18"/>
      <c r="AR104" s="18"/>
    </row>
    <row r="105" spans="1:44" x14ac:dyDescent="0.25">
      <c r="A105" s="43">
        <v>45166</v>
      </c>
      <c r="B105" s="17">
        <v>38579302.979999997</v>
      </c>
      <c r="C105" s="17">
        <v>0</v>
      </c>
      <c r="D105" s="18"/>
      <c r="E105" s="19">
        <f t="shared" si="22"/>
        <v>38579302.979999997</v>
      </c>
      <c r="F105" s="19">
        <f t="shared" si="23"/>
        <v>38579302.979999997</v>
      </c>
      <c r="G105" s="20">
        <f t="shared" si="24"/>
        <v>0</v>
      </c>
      <c r="H105" s="18"/>
      <c r="I105" s="18"/>
      <c r="J105" s="18"/>
      <c r="K105" s="19">
        <f t="shared" si="25"/>
        <v>0</v>
      </c>
      <c r="L105" s="18"/>
      <c r="M105" s="18"/>
      <c r="N105" s="18"/>
      <c r="O105" s="19">
        <f t="shared" si="26"/>
        <v>0</v>
      </c>
      <c r="P105" s="21">
        <f t="shared" si="27"/>
        <v>0</v>
      </c>
      <c r="Q105" s="18"/>
      <c r="R105" s="18"/>
      <c r="S105" s="19">
        <f t="shared" si="28"/>
        <v>0</v>
      </c>
      <c r="T105" s="20">
        <f t="shared" si="29"/>
        <v>0.03</v>
      </c>
      <c r="U105" s="19">
        <f t="shared" si="30"/>
        <v>0</v>
      </c>
      <c r="V105" s="18"/>
      <c r="W105" s="19">
        <f t="shared" si="31"/>
        <v>0</v>
      </c>
      <c r="X105" s="19">
        <f t="shared" si="32"/>
        <v>0</v>
      </c>
      <c r="Y105" s="18"/>
      <c r="Z105" s="18"/>
      <c r="AA105" s="19">
        <f t="shared" si="33"/>
        <v>0</v>
      </c>
      <c r="AB105" s="17">
        <v>0</v>
      </c>
      <c r="AC105" s="18"/>
      <c r="AD105" s="18"/>
      <c r="AE105" s="22">
        <f t="shared" si="34"/>
        <v>0</v>
      </c>
      <c r="AF105" s="23">
        <f t="shared" si="35"/>
        <v>0</v>
      </c>
      <c r="AG105" s="23">
        <f t="shared" si="36"/>
        <v>0</v>
      </c>
      <c r="AH105" s="18"/>
      <c r="AI105" s="24">
        <f t="shared" si="37"/>
        <v>0</v>
      </c>
      <c r="AJ105" s="25">
        <v>0</v>
      </c>
      <c r="AK105" s="24">
        <f t="shared" si="38"/>
        <v>0</v>
      </c>
      <c r="AL105" s="22">
        <f t="shared" si="39"/>
        <v>0</v>
      </c>
      <c r="AM105" s="22">
        <f t="shared" si="40"/>
        <v>0</v>
      </c>
      <c r="AN105" s="22">
        <f t="shared" si="41"/>
        <v>0</v>
      </c>
      <c r="AO105" s="26" t="str">
        <f t="shared" si="42"/>
        <v/>
      </c>
      <c r="AP105" s="26" t="str">
        <f t="shared" si="43"/>
        <v>pre-launch</v>
      </c>
      <c r="AQ105" s="18"/>
      <c r="AR105" s="18"/>
    </row>
    <row r="106" spans="1:44" x14ac:dyDescent="0.25">
      <c r="A106" s="43">
        <v>45167</v>
      </c>
      <c r="B106" s="17">
        <v>60277200.659999996</v>
      </c>
      <c r="C106" s="17">
        <v>0</v>
      </c>
      <c r="D106" s="18"/>
      <c r="E106" s="19">
        <f t="shared" si="22"/>
        <v>60277200.659999996</v>
      </c>
      <c r="F106" s="19">
        <f t="shared" si="23"/>
        <v>60277200.659999996</v>
      </c>
      <c r="G106" s="20">
        <f t="shared" si="24"/>
        <v>0</v>
      </c>
      <c r="H106" s="18"/>
      <c r="I106" s="18"/>
      <c r="J106" s="18"/>
      <c r="K106" s="19">
        <f t="shared" si="25"/>
        <v>0</v>
      </c>
      <c r="L106" s="18"/>
      <c r="M106" s="18"/>
      <c r="N106" s="18"/>
      <c r="O106" s="19">
        <f t="shared" si="26"/>
        <v>0</v>
      </c>
      <c r="P106" s="21">
        <f t="shared" si="27"/>
        <v>0</v>
      </c>
      <c r="Q106" s="18"/>
      <c r="R106" s="18"/>
      <c r="S106" s="19">
        <f t="shared" si="28"/>
        <v>0</v>
      </c>
      <c r="T106" s="20">
        <f t="shared" si="29"/>
        <v>0.03</v>
      </c>
      <c r="U106" s="19">
        <f t="shared" si="30"/>
        <v>0</v>
      </c>
      <c r="V106" s="18"/>
      <c r="W106" s="19">
        <f t="shared" si="31"/>
        <v>0</v>
      </c>
      <c r="X106" s="19">
        <f t="shared" si="32"/>
        <v>0</v>
      </c>
      <c r="Y106" s="18"/>
      <c r="Z106" s="18"/>
      <c r="AA106" s="19">
        <f t="shared" si="33"/>
        <v>0</v>
      </c>
      <c r="AB106" s="17">
        <v>0</v>
      </c>
      <c r="AC106" s="18"/>
      <c r="AD106" s="18"/>
      <c r="AE106" s="22">
        <f t="shared" si="34"/>
        <v>0</v>
      </c>
      <c r="AF106" s="23">
        <f t="shared" si="35"/>
        <v>0</v>
      </c>
      <c r="AG106" s="23">
        <f t="shared" si="36"/>
        <v>0</v>
      </c>
      <c r="AH106" s="18"/>
      <c r="AI106" s="24">
        <f t="shared" si="37"/>
        <v>0</v>
      </c>
      <c r="AJ106" s="25">
        <v>0</v>
      </c>
      <c r="AK106" s="24">
        <f t="shared" si="38"/>
        <v>0</v>
      </c>
      <c r="AL106" s="22">
        <f t="shared" si="39"/>
        <v>0</v>
      </c>
      <c r="AM106" s="22">
        <f t="shared" si="40"/>
        <v>0</v>
      </c>
      <c r="AN106" s="22">
        <f t="shared" si="41"/>
        <v>0</v>
      </c>
      <c r="AO106" s="26" t="str">
        <f t="shared" si="42"/>
        <v/>
      </c>
      <c r="AP106" s="26" t="str">
        <f t="shared" si="43"/>
        <v>pre-launch</v>
      </c>
      <c r="AQ106" s="18"/>
      <c r="AR106" s="18"/>
    </row>
    <row r="107" spans="1:44" x14ac:dyDescent="0.25">
      <c r="A107" s="43">
        <v>45168</v>
      </c>
      <c r="B107" s="17">
        <v>44674112.020000003</v>
      </c>
      <c r="C107" s="17">
        <v>0</v>
      </c>
      <c r="D107" s="18"/>
      <c r="E107" s="19">
        <f t="shared" si="22"/>
        <v>44674112.020000003</v>
      </c>
      <c r="F107" s="19">
        <f t="shared" si="23"/>
        <v>44674112.020000003</v>
      </c>
      <c r="G107" s="20">
        <f t="shared" si="24"/>
        <v>0</v>
      </c>
      <c r="H107" s="18"/>
      <c r="I107" s="18"/>
      <c r="J107" s="18"/>
      <c r="K107" s="19">
        <f t="shared" si="25"/>
        <v>0</v>
      </c>
      <c r="L107" s="18"/>
      <c r="M107" s="18"/>
      <c r="N107" s="18"/>
      <c r="O107" s="19">
        <f t="shared" si="26"/>
        <v>0</v>
      </c>
      <c r="P107" s="21">
        <f t="shared" si="27"/>
        <v>0</v>
      </c>
      <c r="Q107" s="18"/>
      <c r="R107" s="18"/>
      <c r="S107" s="19">
        <f t="shared" si="28"/>
        <v>0</v>
      </c>
      <c r="T107" s="20">
        <f t="shared" si="29"/>
        <v>0.03</v>
      </c>
      <c r="U107" s="19">
        <f t="shared" si="30"/>
        <v>0</v>
      </c>
      <c r="V107" s="18"/>
      <c r="W107" s="19">
        <f t="shared" si="31"/>
        <v>0</v>
      </c>
      <c r="X107" s="19">
        <f t="shared" si="32"/>
        <v>0</v>
      </c>
      <c r="Y107" s="18"/>
      <c r="Z107" s="18"/>
      <c r="AA107" s="19">
        <f t="shared" si="33"/>
        <v>0</v>
      </c>
      <c r="AB107" s="17">
        <v>0</v>
      </c>
      <c r="AC107" s="18"/>
      <c r="AD107" s="18"/>
      <c r="AE107" s="22">
        <f t="shared" si="34"/>
        <v>0</v>
      </c>
      <c r="AF107" s="23">
        <f t="shared" si="35"/>
        <v>0</v>
      </c>
      <c r="AG107" s="23">
        <f t="shared" si="36"/>
        <v>0</v>
      </c>
      <c r="AH107" s="18"/>
      <c r="AI107" s="24">
        <f t="shared" si="37"/>
        <v>0</v>
      </c>
      <c r="AJ107" s="25">
        <v>0</v>
      </c>
      <c r="AK107" s="24">
        <f t="shared" si="38"/>
        <v>0</v>
      </c>
      <c r="AL107" s="22">
        <f t="shared" si="39"/>
        <v>0</v>
      </c>
      <c r="AM107" s="22">
        <f t="shared" si="40"/>
        <v>0</v>
      </c>
      <c r="AN107" s="22">
        <f t="shared" si="41"/>
        <v>0</v>
      </c>
      <c r="AO107" s="26" t="str">
        <f t="shared" si="42"/>
        <v/>
      </c>
      <c r="AP107" s="26" t="str">
        <f t="shared" si="43"/>
        <v>pre-launch</v>
      </c>
      <c r="AQ107" s="18"/>
      <c r="AR107" s="18"/>
    </row>
    <row r="108" spans="1:44" x14ac:dyDescent="0.25">
      <c r="A108" s="43">
        <v>45169</v>
      </c>
      <c r="B108" s="17">
        <v>61708715.350000001</v>
      </c>
      <c r="C108" s="17">
        <v>0</v>
      </c>
      <c r="D108" s="18"/>
      <c r="E108" s="19">
        <f t="shared" si="22"/>
        <v>61708715.350000001</v>
      </c>
      <c r="F108" s="19">
        <f t="shared" si="23"/>
        <v>61708715.350000001</v>
      </c>
      <c r="G108" s="20">
        <f t="shared" si="24"/>
        <v>0</v>
      </c>
      <c r="H108" s="18"/>
      <c r="I108" s="18"/>
      <c r="J108" s="18"/>
      <c r="K108" s="19">
        <f t="shared" si="25"/>
        <v>0</v>
      </c>
      <c r="L108" s="18"/>
      <c r="M108" s="18"/>
      <c r="N108" s="18"/>
      <c r="O108" s="19">
        <f t="shared" si="26"/>
        <v>0</v>
      </c>
      <c r="P108" s="21">
        <f t="shared" si="27"/>
        <v>0</v>
      </c>
      <c r="Q108" s="18"/>
      <c r="R108" s="18"/>
      <c r="S108" s="19">
        <f t="shared" si="28"/>
        <v>0</v>
      </c>
      <c r="T108" s="20">
        <f t="shared" si="29"/>
        <v>0.03</v>
      </c>
      <c r="U108" s="19">
        <f t="shared" si="30"/>
        <v>0</v>
      </c>
      <c r="V108" s="18"/>
      <c r="W108" s="19">
        <f t="shared" si="31"/>
        <v>0</v>
      </c>
      <c r="X108" s="19">
        <f t="shared" si="32"/>
        <v>0</v>
      </c>
      <c r="Y108" s="18"/>
      <c r="Z108" s="18"/>
      <c r="AA108" s="19">
        <f t="shared" si="33"/>
        <v>0</v>
      </c>
      <c r="AB108" s="17">
        <v>0</v>
      </c>
      <c r="AC108" s="18"/>
      <c r="AD108" s="18"/>
      <c r="AE108" s="22">
        <f t="shared" si="34"/>
        <v>0</v>
      </c>
      <c r="AF108" s="23">
        <f t="shared" si="35"/>
        <v>0</v>
      </c>
      <c r="AG108" s="23">
        <f t="shared" si="36"/>
        <v>0</v>
      </c>
      <c r="AH108" s="18"/>
      <c r="AI108" s="24">
        <f t="shared" si="37"/>
        <v>0</v>
      </c>
      <c r="AJ108" s="25">
        <v>0</v>
      </c>
      <c r="AK108" s="24">
        <f t="shared" si="38"/>
        <v>0</v>
      </c>
      <c r="AL108" s="22">
        <f t="shared" si="39"/>
        <v>0</v>
      </c>
      <c r="AM108" s="22">
        <f t="shared" si="40"/>
        <v>0</v>
      </c>
      <c r="AN108" s="22">
        <f t="shared" si="41"/>
        <v>0</v>
      </c>
      <c r="AO108" s="26" t="str">
        <f t="shared" si="42"/>
        <v/>
      </c>
      <c r="AP108" s="26" t="str">
        <f t="shared" si="43"/>
        <v>pre-launch</v>
      </c>
      <c r="AQ108" s="18"/>
      <c r="AR108" s="18"/>
    </row>
    <row r="109" spans="1:44" x14ac:dyDescent="0.25">
      <c r="A109" s="43">
        <v>45170</v>
      </c>
      <c r="B109" s="17">
        <v>61375999.130000003</v>
      </c>
      <c r="C109" s="17">
        <v>0</v>
      </c>
      <c r="D109" s="18"/>
      <c r="E109" s="19">
        <f t="shared" si="22"/>
        <v>61375999.130000003</v>
      </c>
      <c r="F109" s="19">
        <f t="shared" si="23"/>
        <v>61375999.130000003</v>
      </c>
      <c r="G109" s="20">
        <f t="shared" si="24"/>
        <v>0</v>
      </c>
      <c r="H109" s="18"/>
      <c r="I109" s="18"/>
      <c r="J109" s="18"/>
      <c r="K109" s="19">
        <f t="shared" si="25"/>
        <v>0</v>
      </c>
      <c r="L109" s="18"/>
      <c r="M109" s="18"/>
      <c r="N109" s="18"/>
      <c r="O109" s="19">
        <f t="shared" si="26"/>
        <v>0</v>
      </c>
      <c r="P109" s="21">
        <f t="shared" si="27"/>
        <v>0</v>
      </c>
      <c r="Q109" s="18"/>
      <c r="R109" s="18"/>
      <c r="S109" s="19">
        <f t="shared" si="28"/>
        <v>0</v>
      </c>
      <c r="T109" s="20">
        <f t="shared" si="29"/>
        <v>0.03</v>
      </c>
      <c r="U109" s="19">
        <f t="shared" si="30"/>
        <v>0</v>
      </c>
      <c r="V109" s="18"/>
      <c r="W109" s="19">
        <f t="shared" si="31"/>
        <v>0</v>
      </c>
      <c r="X109" s="19">
        <f t="shared" si="32"/>
        <v>0</v>
      </c>
      <c r="Y109" s="18"/>
      <c r="Z109" s="18"/>
      <c r="AA109" s="19">
        <f t="shared" si="33"/>
        <v>0</v>
      </c>
      <c r="AB109" s="17">
        <v>0</v>
      </c>
      <c r="AC109" s="18"/>
      <c r="AD109" s="18"/>
      <c r="AE109" s="22">
        <f t="shared" si="34"/>
        <v>0</v>
      </c>
      <c r="AF109" s="23">
        <f t="shared" si="35"/>
        <v>0</v>
      </c>
      <c r="AG109" s="23">
        <f t="shared" si="36"/>
        <v>0</v>
      </c>
      <c r="AH109" s="18"/>
      <c r="AI109" s="24">
        <f t="shared" si="37"/>
        <v>0</v>
      </c>
      <c r="AJ109" s="25">
        <v>0</v>
      </c>
      <c r="AK109" s="24">
        <f t="shared" si="38"/>
        <v>0</v>
      </c>
      <c r="AL109" s="22">
        <f t="shared" si="39"/>
        <v>0</v>
      </c>
      <c r="AM109" s="22">
        <f t="shared" si="40"/>
        <v>0</v>
      </c>
      <c r="AN109" s="22">
        <f t="shared" si="41"/>
        <v>0</v>
      </c>
      <c r="AO109" s="26" t="str">
        <f t="shared" si="42"/>
        <v/>
      </c>
      <c r="AP109" s="26" t="str">
        <f t="shared" si="43"/>
        <v>pre-launch</v>
      </c>
      <c r="AQ109" s="18"/>
      <c r="AR109" s="18"/>
    </row>
    <row r="110" spans="1:44" x14ac:dyDescent="0.25">
      <c r="A110" s="43">
        <v>45171</v>
      </c>
      <c r="B110" s="17">
        <v>73777072.439999998</v>
      </c>
      <c r="C110" s="17">
        <v>0</v>
      </c>
      <c r="D110" s="18"/>
      <c r="E110" s="19">
        <f t="shared" si="22"/>
        <v>73777072.439999998</v>
      </c>
      <c r="F110" s="19">
        <f t="shared" si="23"/>
        <v>73777072.439999998</v>
      </c>
      <c r="G110" s="20">
        <f t="shared" si="24"/>
        <v>0</v>
      </c>
      <c r="H110" s="18"/>
      <c r="I110" s="18"/>
      <c r="J110" s="18"/>
      <c r="K110" s="19">
        <f t="shared" si="25"/>
        <v>0</v>
      </c>
      <c r="L110" s="18"/>
      <c r="M110" s="18"/>
      <c r="N110" s="18"/>
      <c r="O110" s="19">
        <f t="shared" si="26"/>
        <v>0</v>
      </c>
      <c r="P110" s="21">
        <f t="shared" si="27"/>
        <v>0</v>
      </c>
      <c r="Q110" s="18"/>
      <c r="R110" s="18"/>
      <c r="S110" s="19">
        <f t="shared" si="28"/>
        <v>0</v>
      </c>
      <c r="T110" s="20">
        <f t="shared" si="29"/>
        <v>0.03</v>
      </c>
      <c r="U110" s="19">
        <f t="shared" si="30"/>
        <v>0</v>
      </c>
      <c r="V110" s="18"/>
      <c r="W110" s="19">
        <f t="shared" si="31"/>
        <v>0</v>
      </c>
      <c r="X110" s="19">
        <f t="shared" si="32"/>
        <v>0</v>
      </c>
      <c r="Y110" s="18"/>
      <c r="Z110" s="18"/>
      <c r="AA110" s="19">
        <f t="shared" si="33"/>
        <v>0</v>
      </c>
      <c r="AB110" s="17">
        <v>0</v>
      </c>
      <c r="AC110" s="18"/>
      <c r="AD110" s="18"/>
      <c r="AE110" s="22">
        <f t="shared" si="34"/>
        <v>0</v>
      </c>
      <c r="AF110" s="23">
        <f t="shared" si="35"/>
        <v>0</v>
      </c>
      <c r="AG110" s="23">
        <f t="shared" si="36"/>
        <v>0</v>
      </c>
      <c r="AH110" s="18"/>
      <c r="AI110" s="24">
        <f t="shared" si="37"/>
        <v>0</v>
      </c>
      <c r="AJ110" s="25">
        <v>0</v>
      </c>
      <c r="AK110" s="24">
        <f t="shared" si="38"/>
        <v>0</v>
      </c>
      <c r="AL110" s="22">
        <f t="shared" si="39"/>
        <v>0</v>
      </c>
      <c r="AM110" s="22">
        <f t="shared" si="40"/>
        <v>0</v>
      </c>
      <c r="AN110" s="22">
        <f t="shared" si="41"/>
        <v>0</v>
      </c>
      <c r="AO110" s="26" t="str">
        <f t="shared" si="42"/>
        <v/>
      </c>
      <c r="AP110" s="26" t="str">
        <f t="shared" si="43"/>
        <v>pre-launch</v>
      </c>
      <c r="AQ110" s="18"/>
      <c r="AR110" s="18"/>
    </row>
    <row r="111" spans="1:44" x14ac:dyDescent="0.25">
      <c r="A111" s="43">
        <v>45172</v>
      </c>
      <c r="B111" s="17">
        <v>38801975.200000003</v>
      </c>
      <c r="C111" s="17">
        <v>0</v>
      </c>
      <c r="D111" s="18"/>
      <c r="E111" s="19">
        <f t="shared" si="22"/>
        <v>38801975.200000003</v>
      </c>
      <c r="F111" s="19">
        <f t="shared" si="23"/>
        <v>38801975.200000003</v>
      </c>
      <c r="G111" s="20">
        <f t="shared" si="24"/>
        <v>0</v>
      </c>
      <c r="H111" s="18"/>
      <c r="I111" s="18"/>
      <c r="J111" s="18"/>
      <c r="K111" s="19">
        <f t="shared" si="25"/>
        <v>0</v>
      </c>
      <c r="L111" s="18"/>
      <c r="M111" s="18"/>
      <c r="N111" s="18"/>
      <c r="O111" s="19">
        <f t="shared" si="26"/>
        <v>0</v>
      </c>
      <c r="P111" s="21">
        <f t="shared" si="27"/>
        <v>0</v>
      </c>
      <c r="Q111" s="18"/>
      <c r="R111" s="18"/>
      <c r="S111" s="19">
        <f t="shared" si="28"/>
        <v>0</v>
      </c>
      <c r="T111" s="20">
        <f t="shared" si="29"/>
        <v>0.03</v>
      </c>
      <c r="U111" s="19">
        <f t="shared" si="30"/>
        <v>0</v>
      </c>
      <c r="V111" s="18"/>
      <c r="W111" s="19">
        <f t="shared" si="31"/>
        <v>0</v>
      </c>
      <c r="X111" s="19">
        <f t="shared" si="32"/>
        <v>0</v>
      </c>
      <c r="Y111" s="18"/>
      <c r="Z111" s="18"/>
      <c r="AA111" s="19">
        <f t="shared" si="33"/>
        <v>0</v>
      </c>
      <c r="AB111" s="17">
        <v>0</v>
      </c>
      <c r="AC111" s="18"/>
      <c r="AD111" s="18"/>
      <c r="AE111" s="22">
        <f t="shared" si="34"/>
        <v>0</v>
      </c>
      <c r="AF111" s="23">
        <f t="shared" si="35"/>
        <v>0</v>
      </c>
      <c r="AG111" s="23">
        <f t="shared" si="36"/>
        <v>0</v>
      </c>
      <c r="AH111" s="18"/>
      <c r="AI111" s="24">
        <f t="shared" si="37"/>
        <v>0</v>
      </c>
      <c r="AJ111" s="25">
        <v>0</v>
      </c>
      <c r="AK111" s="24">
        <f t="shared" si="38"/>
        <v>0</v>
      </c>
      <c r="AL111" s="22">
        <f t="shared" si="39"/>
        <v>0</v>
      </c>
      <c r="AM111" s="22">
        <f t="shared" si="40"/>
        <v>0</v>
      </c>
      <c r="AN111" s="22">
        <f t="shared" si="41"/>
        <v>0</v>
      </c>
      <c r="AO111" s="26" t="str">
        <f t="shared" si="42"/>
        <v/>
      </c>
      <c r="AP111" s="26" t="str">
        <f t="shared" si="43"/>
        <v>pre-launch</v>
      </c>
      <c r="AQ111" s="18"/>
      <c r="AR111" s="18"/>
    </row>
    <row r="112" spans="1:44" x14ac:dyDescent="0.25">
      <c r="A112" s="43">
        <v>45173</v>
      </c>
      <c r="B112" s="17">
        <v>60382613.299999997</v>
      </c>
      <c r="C112" s="17">
        <v>0</v>
      </c>
      <c r="D112" s="18"/>
      <c r="E112" s="19">
        <f t="shared" si="22"/>
        <v>60382613.299999997</v>
      </c>
      <c r="F112" s="19">
        <f t="shared" si="23"/>
        <v>60382613.299999997</v>
      </c>
      <c r="G112" s="20">
        <f t="shared" si="24"/>
        <v>0</v>
      </c>
      <c r="H112" s="18"/>
      <c r="I112" s="18"/>
      <c r="J112" s="18"/>
      <c r="K112" s="19">
        <f t="shared" si="25"/>
        <v>0</v>
      </c>
      <c r="L112" s="18"/>
      <c r="M112" s="18"/>
      <c r="N112" s="18"/>
      <c r="O112" s="19">
        <f t="shared" si="26"/>
        <v>0</v>
      </c>
      <c r="P112" s="21">
        <f t="shared" si="27"/>
        <v>0</v>
      </c>
      <c r="Q112" s="18"/>
      <c r="R112" s="18"/>
      <c r="S112" s="19">
        <f t="shared" si="28"/>
        <v>0</v>
      </c>
      <c r="T112" s="20">
        <f t="shared" si="29"/>
        <v>0.03</v>
      </c>
      <c r="U112" s="19">
        <f t="shared" si="30"/>
        <v>0</v>
      </c>
      <c r="V112" s="18"/>
      <c r="W112" s="19">
        <f t="shared" si="31"/>
        <v>0</v>
      </c>
      <c r="X112" s="19">
        <f t="shared" si="32"/>
        <v>0</v>
      </c>
      <c r="Y112" s="18"/>
      <c r="Z112" s="18"/>
      <c r="AA112" s="19">
        <f t="shared" si="33"/>
        <v>0</v>
      </c>
      <c r="AB112" s="17">
        <v>0</v>
      </c>
      <c r="AC112" s="18"/>
      <c r="AD112" s="18"/>
      <c r="AE112" s="22">
        <f t="shared" si="34"/>
        <v>0</v>
      </c>
      <c r="AF112" s="23">
        <f t="shared" si="35"/>
        <v>0</v>
      </c>
      <c r="AG112" s="23">
        <f t="shared" si="36"/>
        <v>0</v>
      </c>
      <c r="AH112" s="18"/>
      <c r="AI112" s="24">
        <f t="shared" si="37"/>
        <v>0</v>
      </c>
      <c r="AJ112" s="25">
        <v>0</v>
      </c>
      <c r="AK112" s="24">
        <f t="shared" si="38"/>
        <v>0</v>
      </c>
      <c r="AL112" s="22">
        <f t="shared" si="39"/>
        <v>0</v>
      </c>
      <c r="AM112" s="22">
        <f t="shared" si="40"/>
        <v>0</v>
      </c>
      <c r="AN112" s="22">
        <f t="shared" si="41"/>
        <v>0</v>
      </c>
      <c r="AO112" s="26" t="str">
        <f t="shared" si="42"/>
        <v/>
      </c>
      <c r="AP112" s="26" t="str">
        <f t="shared" si="43"/>
        <v>pre-launch</v>
      </c>
      <c r="AQ112" s="18"/>
      <c r="AR112" s="18"/>
    </row>
    <row r="113" spans="1:44" x14ac:dyDescent="0.25">
      <c r="A113" s="43">
        <v>45174</v>
      </c>
      <c r="B113" s="17">
        <v>62234103.710000001</v>
      </c>
      <c r="C113" s="17">
        <v>0</v>
      </c>
      <c r="D113" s="18"/>
      <c r="E113" s="19">
        <f t="shared" si="22"/>
        <v>62234103.710000001</v>
      </c>
      <c r="F113" s="19">
        <f t="shared" si="23"/>
        <v>62234103.710000001</v>
      </c>
      <c r="G113" s="20">
        <f t="shared" si="24"/>
        <v>0</v>
      </c>
      <c r="H113" s="18"/>
      <c r="I113" s="18"/>
      <c r="J113" s="18"/>
      <c r="K113" s="19">
        <f t="shared" si="25"/>
        <v>0</v>
      </c>
      <c r="L113" s="18"/>
      <c r="M113" s="18"/>
      <c r="N113" s="18"/>
      <c r="O113" s="19">
        <f t="shared" si="26"/>
        <v>0</v>
      </c>
      <c r="P113" s="21">
        <f t="shared" si="27"/>
        <v>0</v>
      </c>
      <c r="Q113" s="18"/>
      <c r="R113" s="18"/>
      <c r="S113" s="19">
        <f t="shared" si="28"/>
        <v>0</v>
      </c>
      <c r="T113" s="20">
        <f t="shared" si="29"/>
        <v>0.03</v>
      </c>
      <c r="U113" s="19">
        <f t="shared" si="30"/>
        <v>0</v>
      </c>
      <c r="V113" s="18"/>
      <c r="W113" s="19">
        <f t="shared" si="31"/>
        <v>0</v>
      </c>
      <c r="X113" s="19">
        <f t="shared" si="32"/>
        <v>0</v>
      </c>
      <c r="Y113" s="18"/>
      <c r="Z113" s="18"/>
      <c r="AA113" s="19">
        <f t="shared" si="33"/>
        <v>0</v>
      </c>
      <c r="AB113" s="17">
        <v>0</v>
      </c>
      <c r="AC113" s="18"/>
      <c r="AD113" s="18"/>
      <c r="AE113" s="22">
        <f t="shared" si="34"/>
        <v>0</v>
      </c>
      <c r="AF113" s="23">
        <f t="shared" si="35"/>
        <v>0</v>
      </c>
      <c r="AG113" s="23">
        <f t="shared" si="36"/>
        <v>0</v>
      </c>
      <c r="AH113" s="18"/>
      <c r="AI113" s="24">
        <f t="shared" si="37"/>
        <v>0</v>
      </c>
      <c r="AJ113" s="25">
        <v>0</v>
      </c>
      <c r="AK113" s="24">
        <f t="shared" si="38"/>
        <v>0</v>
      </c>
      <c r="AL113" s="22">
        <f t="shared" si="39"/>
        <v>0</v>
      </c>
      <c r="AM113" s="22">
        <f t="shared" si="40"/>
        <v>0</v>
      </c>
      <c r="AN113" s="22">
        <f t="shared" si="41"/>
        <v>0</v>
      </c>
      <c r="AO113" s="26" t="str">
        <f t="shared" si="42"/>
        <v/>
      </c>
      <c r="AP113" s="26" t="str">
        <f t="shared" si="43"/>
        <v>pre-launch</v>
      </c>
      <c r="AQ113" s="18"/>
      <c r="AR113" s="18"/>
    </row>
    <row r="114" spans="1:44" x14ac:dyDescent="0.25">
      <c r="A114" s="43">
        <v>45175</v>
      </c>
      <c r="B114" s="17">
        <v>56969709.280000001</v>
      </c>
      <c r="C114" s="17">
        <v>0</v>
      </c>
      <c r="D114" s="18"/>
      <c r="E114" s="19">
        <f t="shared" si="22"/>
        <v>56969709.280000001</v>
      </c>
      <c r="F114" s="19">
        <f t="shared" si="23"/>
        <v>56969709.280000001</v>
      </c>
      <c r="G114" s="20">
        <f t="shared" si="24"/>
        <v>0</v>
      </c>
      <c r="H114" s="18"/>
      <c r="I114" s="18"/>
      <c r="J114" s="18"/>
      <c r="K114" s="19">
        <f t="shared" si="25"/>
        <v>0</v>
      </c>
      <c r="L114" s="18"/>
      <c r="M114" s="18"/>
      <c r="N114" s="18"/>
      <c r="O114" s="19">
        <f t="shared" si="26"/>
        <v>0</v>
      </c>
      <c r="P114" s="21">
        <f t="shared" si="27"/>
        <v>0</v>
      </c>
      <c r="Q114" s="18"/>
      <c r="R114" s="18"/>
      <c r="S114" s="19">
        <f t="shared" si="28"/>
        <v>0</v>
      </c>
      <c r="T114" s="20">
        <f t="shared" si="29"/>
        <v>0.03</v>
      </c>
      <c r="U114" s="19">
        <f t="shared" si="30"/>
        <v>0</v>
      </c>
      <c r="V114" s="18"/>
      <c r="W114" s="19">
        <f t="shared" si="31"/>
        <v>0</v>
      </c>
      <c r="X114" s="19">
        <f t="shared" si="32"/>
        <v>0</v>
      </c>
      <c r="Y114" s="18"/>
      <c r="Z114" s="18"/>
      <c r="AA114" s="19">
        <f t="shared" si="33"/>
        <v>0</v>
      </c>
      <c r="AB114" s="17">
        <v>0</v>
      </c>
      <c r="AC114" s="18"/>
      <c r="AD114" s="18"/>
      <c r="AE114" s="22">
        <f t="shared" si="34"/>
        <v>0</v>
      </c>
      <c r="AF114" s="23">
        <f t="shared" si="35"/>
        <v>0</v>
      </c>
      <c r="AG114" s="23">
        <f t="shared" si="36"/>
        <v>0</v>
      </c>
      <c r="AH114" s="18"/>
      <c r="AI114" s="24">
        <f t="shared" si="37"/>
        <v>0</v>
      </c>
      <c r="AJ114" s="25">
        <v>0</v>
      </c>
      <c r="AK114" s="24">
        <f t="shared" si="38"/>
        <v>0</v>
      </c>
      <c r="AL114" s="22">
        <f t="shared" si="39"/>
        <v>0</v>
      </c>
      <c r="AM114" s="22">
        <f t="shared" si="40"/>
        <v>0</v>
      </c>
      <c r="AN114" s="22">
        <f t="shared" si="41"/>
        <v>0</v>
      </c>
      <c r="AO114" s="26" t="str">
        <f t="shared" si="42"/>
        <v/>
      </c>
      <c r="AP114" s="26" t="str">
        <f t="shared" si="43"/>
        <v>pre-launch</v>
      </c>
      <c r="AQ114" s="18"/>
      <c r="AR114" s="18"/>
    </row>
    <row r="115" spans="1:44" x14ac:dyDescent="0.25">
      <c r="A115" s="43">
        <v>45176</v>
      </c>
      <c r="B115" s="17">
        <v>61103497.630000003</v>
      </c>
      <c r="C115" s="17">
        <v>0</v>
      </c>
      <c r="D115" s="18"/>
      <c r="E115" s="19">
        <f t="shared" si="22"/>
        <v>61103497.630000003</v>
      </c>
      <c r="F115" s="19">
        <f t="shared" si="23"/>
        <v>61103497.630000003</v>
      </c>
      <c r="G115" s="20">
        <f t="shared" si="24"/>
        <v>0</v>
      </c>
      <c r="H115" s="18"/>
      <c r="I115" s="18"/>
      <c r="J115" s="18"/>
      <c r="K115" s="19">
        <f t="shared" si="25"/>
        <v>0</v>
      </c>
      <c r="L115" s="18"/>
      <c r="M115" s="18"/>
      <c r="N115" s="18"/>
      <c r="O115" s="19">
        <f t="shared" si="26"/>
        <v>0</v>
      </c>
      <c r="P115" s="21">
        <f t="shared" si="27"/>
        <v>0</v>
      </c>
      <c r="Q115" s="18"/>
      <c r="R115" s="18"/>
      <c r="S115" s="19">
        <f t="shared" si="28"/>
        <v>0</v>
      </c>
      <c r="T115" s="20">
        <f t="shared" si="29"/>
        <v>0.03</v>
      </c>
      <c r="U115" s="19">
        <f t="shared" si="30"/>
        <v>0</v>
      </c>
      <c r="V115" s="18"/>
      <c r="W115" s="19">
        <f t="shared" si="31"/>
        <v>0</v>
      </c>
      <c r="X115" s="19">
        <f t="shared" si="32"/>
        <v>0</v>
      </c>
      <c r="Y115" s="18"/>
      <c r="Z115" s="18"/>
      <c r="AA115" s="19">
        <f t="shared" si="33"/>
        <v>0</v>
      </c>
      <c r="AB115" s="17">
        <v>0</v>
      </c>
      <c r="AC115" s="18"/>
      <c r="AD115" s="18"/>
      <c r="AE115" s="22">
        <f t="shared" si="34"/>
        <v>0</v>
      </c>
      <c r="AF115" s="23">
        <f t="shared" si="35"/>
        <v>0</v>
      </c>
      <c r="AG115" s="23">
        <f t="shared" si="36"/>
        <v>0</v>
      </c>
      <c r="AH115" s="18"/>
      <c r="AI115" s="24">
        <f t="shared" si="37"/>
        <v>0</v>
      </c>
      <c r="AJ115" s="25">
        <v>0</v>
      </c>
      <c r="AK115" s="24">
        <f t="shared" si="38"/>
        <v>0</v>
      </c>
      <c r="AL115" s="22">
        <f t="shared" si="39"/>
        <v>0</v>
      </c>
      <c r="AM115" s="22">
        <f t="shared" si="40"/>
        <v>0</v>
      </c>
      <c r="AN115" s="22">
        <f t="shared" si="41"/>
        <v>0</v>
      </c>
      <c r="AO115" s="26" t="str">
        <f t="shared" si="42"/>
        <v/>
      </c>
      <c r="AP115" s="26" t="str">
        <f t="shared" si="43"/>
        <v>pre-launch</v>
      </c>
      <c r="AQ115" s="18"/>
      <c r="AR115" s="18"/>
    </row>
    <row r="116" spans="1:44" x14ac:dyDescent="0.25">
      <c r="A116" s="43">
        <v>45177</v>
      </c>
      <c r="B116" s="17">
        <v>34915571.560000002</v>
      </c>
      <c r="C116" s="17">
        <v>0</v>
      </c>
      <c r="D116" s="18"/>
      <c r="E116" s="19">
        <f t="shared" si="22"/>
        <v>34915571.560000002</v>
      </c>
      <c r="F116" s="19">
        <f t="shared" si="23"/>
        <v>34915571.560000002</v>
      </c>
      <c r="G116" s="20">
        <f t="shared" si="24"/>
        <v>0</v>
      </c>
      <c r="H116" s="18"/>
      <c r="I116" s="18"/>
      <c r="J116" s="18"/>
      <c r="K116" s="19">
        <f t="shared" si="25"/>
        <v>0</v>
      </c>
      <c r="L116" s="18"/>
      <c r="M116" s="18"/>
      <c r="N116" s="18"/>
      <c r="O116" s="19">
        <f t="shared" si="26"/>
        <v>0</v>
      </c>
      <c r="P116" s="21">
        <f t="shared" si="27"/>
        <v>0</v>
      </c>
      <c r="Q116" s="18"/>
      <c r="R116" s="18"/>
      <c r="S116" s="19">
        <f t="shared" si="28"/>
        <v>0</v>
      </c>
      <c r="T116" s="20">
        <f t="shared" si="29"/>
        <v>0.03</v>
      </c>
      <c r="U116" s="19">
        <f t="shared" si="30"/>
        <v>0</v>
      </c>
      <c r="V116" s="18"/>
      <c r="W116" s="19">
        <f t="shared" si="31"/>
        <v>0</v>
      </c>
      <c r="X116" s="19">
        <f t="shared" si="32"/>
        <v>0</v>
      </c>
      <c r="Y116" s="18"/>
      <c r="Z116" s="18"/>
      <c r="AA116" s="19">
        <f t="shared" si="33"/>
        <v>0</v>
      </c>
      <c r="AB116" s="17">
        <v>0</v>
      </c>
      <c r="AC116" s="18"/>
      <c r="AD116" s="18"/>
      <c r="AE116" s="22">
        <f t="shared" si="34"/>
        <v>0</v>
      </c>
      <c r="AF116" s="23">
        <f t="shared" si="35"/>
        <v>0</v>
      </c>
      <c r="AG116" s="23">
        <f t="shared" si="36"/>
        <v>0</v>
      </c>
      <c r="AH116" s="18"/>
      <c r="AI116" s="24">
        <f t="shared" si="37"/>
        <v>0</v>
      </c>
      <c r="AJ116" s="25">
        <v>0</v>
      </c>
      <c r="AK116" s="24">
        <f t="shared" si="38"/>
        <v>0</v>
      </c>
      <c r="AL116" s="22">
        <f t="shared" si="39"/>
        <v>0</v>
      </c>
      <c r="AM116" s="22">
        <f t="shared" si="40"/>
        <v>0</v>
      </c>
      <c r="AN116" s="22">
        <f t="shared" si="41"/>
        <v>0</v>
      </c>
      <c r="AO116" s="26" t="str">
        <f t="shared" si="42"/>
        <v/>
      </c>
      <c r="AP116" s="26" t="str">
        <f t="shared" si="43"/>
        <v>pre-launch</v>
      </c>
      <c r="AQ116" s="18"/>
      <c r="AR116" s="18"/>
    </row>
    <row r="117" spans="1:44" x14ac:dyDescent="0.25">
      <c r="A117" s="43">
        <v>45178</v>
      </c>
      <c r="B117" s="17">
        <v>20027355.620000001</v>
      </c>
      <c r="C117" s="17">
        <v>0</v>
      </c>
      <c r="D117" s="18"/>
      <c r="E117" s="19">
        <f t="shared" si="22"/>
        <v>20027355.620000001</v>
      </c>
      <c r="F117" s="19">
        <f t="shared" si="23"/>
        <v>20027355.620000001</v>
      </c>
      <c r="G117" s="20">
        <f t="shared" si="24"/>
        <v>0</v>
      </c>
      <c r="H117" s="18"/>
      <c r="I117" s="18"/>
      <c r="J117" s="18"/>
      <c r="K117" s="19">
        <f t="shared" si="25"/>
        <v>0</v>
      </c>
      <c r="L117" s="18"/>
      <c r="M117" s="18"/>
      <c r="N117" s="18"/>
      <c r="O117" s="19">
        <f t="shared" si="26"/>
        <v>0</v>
      </c>
      <c r="P117" s="21">
        <f t="shared" si="27"/>
        <v>0</v>
      </c>
      <c r="Q117" s="18"/>
      <c r="R117" s="18"/>
      <c r="S117" s="19">
        <f t="shared" si="28"/>
        <v>0</v>
      </c>
      <c r="T117" s="20">
        <f t="shared" si="29"/>
        <v>0.03</v>
      </c>
      <c r="U117" s="19">
        <f t="shared" si="30"/>
        <v>0</v>
      </c>
      <c r="V117" s="18"/>
      <c r="W117" s="19">
        <f t="shared" si="31"/>
        <v>0</v>
      </c>
      <c r="X117" s="19">
        <f t="shared" si="32"/>
        <v>0</v>
      </c>
      <c r="Y117" s="18"/>
      <c r="Z117" s="18"/>
      <c r="AA117" s="19">
        <f t="shared" si="33"/>
        <v>0</v>
      </c>
      <c r="AB117" s="17">
        <v>0</v>
      </c>
      <c r="AC117" s="18"/>
      <c r="AD117" s="18"/>
      <c r="AE117" s="22">
        <f t="shared" si="34"/>
        <v>0</v>
      </c>
      <c r="AF117" s="23">
        <f t="shared" si="35"/>
        <v>0</v>
      </c>
      <c r="AG117" s="23">
        <f t="shared" si="36"/>
        <v>0</v>
      </c>
      <c r="AH117" s="18"/>
      <c r="AI117" s="24">
        <f t="shared" si="37"/>
        <v>0</v>
      </c>
      <c r="AJ117" s="25">
        <v>0</v>
      </c>
      <c r="AK117" s="24">
        <f t="shared" si="38"/>
        <v>0</v>
      </c>
      <c r="AL117" s="22">
        <f t="shared" si="39"/>
        <v>0</v>
      </c>
      <c r="AM117" s="22">
        <f t="shared" si="40"/>
        <v>0</v>
      </c>
      <c r="AN117" s="22">
        <f t="shared" si="41"/>
        <v>0</v>
      </c>
      <c r="AO117" s="26" t="str">
        <f t="shared" si="42"/>
        <v/>
      </c>
      <c r="AP117" s="26" t="str">
        <f t="shared" si="43"/>
        <v>pre-launch</v>
      </c>
      <c r="AQ117" s="18"/>
      <c r="AR117" s="18"/>
    </row>
    <row r="118" spans="1:44" x14ac:dyDescent="0.25">
      <c r="A118" s="43">
        <v>45179</v>
      </c>
      <c r="B118" s="17">
        <v>40578461.289999999</v>
      </c>
      <c r="C118" s="17">
        <v>0</v>
      </c>
      <c r="D118" s="18"/>
      <c r="E118" s="19">
        <f t="shared" si="22"/>
        <v>40578461.289999999</v>
      </c>
      <c r="F118" s="19">
        <f t="shared" si="23"/>
        <v>40578461.289999999</v>
      </c>
      <c r="G118" s="20">
        <f t="shared" si="24"/>
        <v>0</v>
      </c>
      <c r="H118" s="18"/>
      <c r="I118" s="18"/>
      <c r="J118" s="18"/>
      <c r="K118" s="19">
        <f t="shared" si="25"/>
        <v>0</v>
      </c>
      <c r="L118" s="18"/>
      <c r="M118" s="18"/>
      <c r="N118" s="18"/>
      <c r="O118" s="19">
        <f t="shared" si="26"/>
        <v>0</v>
      </c>
      <c r="P118" s="21">
        <f t="shared" si="27"/>
        <v>0</v>
      </c>
      <c r="Q118" s="18"/>
      <c r="R118" s="18"/>
      <c r="S118" s="19">
        <f t="shared" si="28"/>
        <v>0</v>
      </c>
      <c r="T118" s="20">
        <f t="shared" si="29"/>
        <v>0.03</v>
      </c>
      <c r="U118" s="19">
        <f t="shared" si="30"/>
        <v>0</v>
      </c>
      <c r="V118" s="18"/>
      <c r="W118" s="19">
        <f t="shared" si="31"/>
        <v>0</v>
      </c>
      <c r="X118" s="19">
        <f t="shared" si="32"/>
        <v>0</v>
      </c>
      <c r="Y118" s="18"/>
      <c r="Z118" s="18"/>
      <c r="AA118" s="19">
        <f t="shared" si="33"/>
        <v>0</v>
      </c>
      <c r="AB118" s="17">
        <v>0</v>
      </c>
      <c r="AC118" s="18"/>
      <c r="AD118" s="18"/>
      <c r="AE118" s="22">
        <f t="shared" si="34"/>
        <v>0</v>
      </c>
      <c r="AF118" s="23">
        <f t="shared" si="35"/>
        <v>0</v>
      </c>
      <c r="AG118" s="23">
        <f t="shared" si="36"/>
        <v>0</v>
      </c>
      <c r="AH118" s="18"/>
      <c r="AI118" s="24">
        <f t="shared" si="37"/>
        <v>0</v>
      </c>
      <c r="AJ118" s="25">
        <v>0</v>
      </c>
      <c r="AK118" s="24">
        <f t="shared" si="38"/>
        <v>0</v>
      </c>
      <c r="AL118" s="22">
        <f t="shared" si="39"/>
        <v>0</v>
      </c>
      <c r="AM118" s="22">
        <f t="shared" si="40"/>
        <v>0</v>
      </c>
      <c r="AN118" s="22">
        <f t="shared" si="41"/>
        <v>0</v>
      </c>
      <c r="AO118" s="26" t="str">
        <f t="shared" si="42"/>
        <v/>
      </c>
      <c r="AP118" s="26" t="str">
        <f t="shared" si="43"/>
        <v>pre-launch</v>
      </c>
      <c r="AQ118" s="18"/>
      <c r="AR118" s="18"/>
    </row>
    <row r="119" spans="1:44" x14ac:dyDescent="0.25">
      <c r="A119" s="43">
        <v>45180</v>
      </c>
      <c r="B119" s="17">
        <v>84638825.980000004</v>
      </c>
      <c r="C119" s="17">
        <v>0</v>
      </c>
      <c r="D119" s="18"/>
      <c r="E119" s="19">
        <f t="shared" si="22"/>
        <v>84638825.980000004</v>
      </c>
      <c r="F119" s="19">
        <f t="shared" si="23"/>
        <v>84638825.980000004</v>
      </c>
      <c r="G119" s="20">
        <f t="shared" si="24"/>
        <v>0</v>
      </c>
      <c r="H119" s="18"/>
      <c r="I119" s="18"/>
      <c r="J119" s="18"/>
      <c r="K119" s="19">
        <f t="shared" si="25"/>
        <v>0</v>
      </c>
      <c r="L119" s="18"/>
      <c r="M119" s="18"/>
      <c r="N119" s="18"/>
      <c r="O119" s="19">
        <f t="shared" si="26"/>
        <v>0</v>
      </c>
      <c r="P119" s="21">
        <f t="shared" si="27"/>
        <v>0</v>
      </c>
      <c r="Q119" s="18"/>
      <c r="R119" s="18"/>
      <c r="S119" s="19">
        <f t="shared" si="28"/>
        <v>0</v>
      </c>
      <c r="T119" s="20">
        <f t="shared" si="29"/>
        <v>0.03</v>
      </c>
      <c r="U119" s="19">
        <f t="shared" si="30"/>
        <v>0</v>
      </c>
      <c r="V119" s="18"/>
      <c r="W119" s="19">
        <f t="shared" si="31"/>
        <v>0</v>
      </c>
      <c r="X119" s="19">
        <f t="shared" si="32"/>
        <v>0</v>
      </c>
      <c r="Y119" s="18"/>
      <c r="Z119" s="18"/>
      <c r="AA119" s="19">
        <f t="shared" si="33"/>
        <v>0</v>
      </c>
      <c r="AB119" s="17">
        <v>0</v>
      </c>
      <c r="AC119" s="18"/>
      <c r="AD119" s="18"/>
      <c r="AE119" s="22">
        <f t="shared" si="34"/>
        <v>0</v>
      </c>
      <c r="AF119" s="23">
        <f t="shared" si="35"/>
        <v>0</v>
      </c>
      <c r="AG119" s="23">
        <f t="shared" si="36"/>
        <v>0</v>
      </c>
      <c r="AH119" s="18"/>
      <c r="AI119" s="24">
        <f t="shared" si="37"/>
        <v>0</v>
      </c>
      <c r="AJ119" s="25">
        <v>0</v>
      </c>
      <c r="AK119" s="24">
        <f t="shared" si="38"/>
        <v>0</v>
      </c>
      <c r="AL119" s="22">
        <f t="shared" si="39"/>
        <v>0</v>
      </c>
      <c r="AM119" s="22">
        <f t="shared" si="40"/>
        <v>0</v>
      </c>
      <c r="AN119" s="22">
        <f t="shared" si="41"/>
        <v>0</v>
      </c>
      <c r="AO119" s="26" t="str">
        <f t="shared" si="42"/>
        <v/>
      </c>
      <c r="AP119" s="26" t="str">
        <f t="shared" si="43"/>
        <v>pre-launch</v>
      </c>
      <c r="AQ119" s="18"/>
      <c r="AR119" s="18"/>
    </row>
    <row r="120" spans="1:44" x14ac:dyDescent="0.25">
      <c r="A120" s="43">
        <v>45181</v>
      </c>
      <c r="B120" s="17">
        <v>77842549.109999999</v>
      </c>
      <c r="C120" s="17">
        <v>0</v>
      </c>
      <c r="D120" s="18"/>
      <c r="E120" s="19">
        <f t="shared" si="22"/>
        <v>77842549.109999999</v>
      </c>
      <c r="F120" s="19">
        <f t="shared" si="23"/>
        <v>77842549.109999999</v>
      </c>
      <c r="G120" s="20">
        <f t="shared" si="24"/>
        <v>0</v>
      </c>
      <c r="H120" s="18"/>
      <c r="I120" s="18"/>
      <c r="J120" s="18"/>
      <c r="K120" s="19">
        <f t="shared" si="25"/>
        <v>0</v>
      </c>
      <c r="L120" s="18"/>
      <c r="M120" s="18"/>
      <c r="N120" s="18"/>
      <c r="O120" s="19">
        <f t="shared" si="26"/>
        <v>0</v>
      </c>
      <c r="P120" s="21">
        <f t="shared" si="27"/>
        <v>0</v>
      </c>
      <c r="Q120" s="18"/>
      <c r="R120" s="18"/>
      <c r="S120" s="19">
        <f t="shared" si="28"/>
        <v>0</v>
      </c>
      <c r="T120" s="20">
        <f t="shared" si="29"/>
        <v>0.03</v>
      </c>
      <c r="U120" s="19">
        <f t="shared" si="30"/>
        <v>0</v>
      </c>
      <c r="V120" s="18"/>
      <c r="W120" s="19">
        <f t="shared" si="31"/>
        <v>0</v>
      </c>
      <c r="X120" s="19">
        <f t="shared" si="32"/>
        <v>0</v>
      </c>
      <c r="Y120" s="18"/>
      <c r="Z120" s="18"/>
      <c r="AA120" s="19">
        <f t="shared" si="33"/>
        <v>0</v>
      </c>
      <c r="AB120" s="17">
        <v>0</v>
      </c>
      <c r="AC120" s="18"/>
      <c r="AD120" s="18"/>
      <c r="AE120" s="22">
        <f t="shared" si="34"/>
        <v>0</v>
      </c>
      <c r="AF120" s="23">
        <f t="shared" si="35"/>
        <v>0</v>
      </c>
      <c r="AG120" s="23">
        <f t="shared" si="36"/>
        <v>0</v>
      </c>
      <c r="AH120" s="18"/>
      <c r="AI120" s="24">
        <f t="shared" si="37"/>
        <v>0</v>
      </c>
      <c r="AJ120" s="25">
        <v>0</v>
      </c>
      <c r="AK120" s="24">
        <f t="shared" si="38"/>
        <v>0</v>
      </c>
      <c r="AL120" s="22">
        <f t="shared" si="39"/>
        <v>0</v>
      </c>
      <c r="AM120" s="22">
        <f t="shared" si="40"/>
        <v>0</v>
      </c>
      <c r="AN120" s="22">
        <f t="shared" si="41"/>
        <v>0</v>
      </c>
      <c r="AO120" s="26" t="str">
        <f t="shared" si="42"/>
        <v/>
      </c>
      <c r="AP120" s="26" t="str">
        <f t="shared" si="43"/>
        <v>pre-launch</v>
      </c>
      <c r="AQ120" s="18"/>
      <c r="AR120" s="18"/>
    </row>
    <row r="121" spans="1:44" x14ac:dyDescent="0.25">
      <c r="A121" s="43">
        <v>45182</v>
      </c>
      <c r="B121" s="17">
        <v>56599669.780000001</v>
      </c>
      <c r="C121" s="17">
        <v>0</v>
      </c>
      <c r="D121" s="18"/>
      <c r="E121" s="19">
        <f t="shared" si="22"/>
        <v>56599669.780000001</v>
      </c>
      <c r="F121" s="19">
        <f t="shared" si="23"/>
        <v>56599669.780000001</v>
      </c>
      <c r="G121" s="20">
        <f t="shared" si="24"/>
        <v>0</v>
      </c>
      <c r="H121" s="18"/>
      <c r="I121" s="18"/>
      <c r="J121" s="18"/>
      <c r="K121" s="19">
        <f t="shared" si="25"/>
        <v>0</v>
      </c>
      <c r="L121" s="18"/>
      <c r="M121" s="18"/>
      <c r="N121" s="18"/>
      <c r="O121" s="19">
        <f t="shared" si="26"/>
        <v>0</v>
      </c>
      <c r="P121" s="21">
        <f t="shared" si="27"/>
        <v>0</v>
      </c>
      <c r="Q121" s="18"/>
      <c r="R121" s="18"/>
      <c r="S121" s="19">
        <f t="shared" si="28"/>
        <v>0</v>
      </c>
      <c r="T121" s="20">
        <f t="shared" si="29"/>
        <v>0.03</v>
      </c>
      <c r="U121" s="19">
        <f t="shared" si="30"/>
        <v>0</v>
      </c>
      <c r="V121" s="18"/>
      <c r="W121" s="19">
        <f t="shared" si="31"/>
        <v>0</v>
      </c>
      <c r="X121" s="19">
        <f t="shared" si="32"/>
        <v>0</v>
      </c>
      <c r="Y121" s="18"/>
      <c r="Z121" s="18"/>
      <c r="AA121" s="19">
        <f t="shared" si="33"/>
        <v>0</v>
      </c>
      <c r="AB121" s="17">
        <v>0</v>
      </c>
      <c r="AC121" s="18"/>
      <c r="AD121" s="18"/>
      <c r="AE121" s="22">
        <f t="shared" si="34"/>
        <v>0</v>
      </c>
      <c r="AF121" s="23">
        <f t="shared" si="35"/>
        <v>0</v>
      </c>
      <c r="AG121" s="23">
        <f t="shared" si="36"/>
        <v>0</v>
      </c>
      <c r="AH121" s="18"/>
      <c r="AI121" s="24">
        <f t="shared" si="37"/>
        <v>0</v>
      </c>
      <c r="AJ121" s="25">
        <v>0</v>
      </c>
      <c r="AK121" s="24">
        <f t="shared" si="38"/>
        <v>0</v>
      </c>
      <c r="AL121" s="22">
        <f t="shared" si="39"/>
        <v>0</v>
      </c>
      <c r="AM121" s="22">
        <f t="shared" si="40"/>
        <v>0</v>
      </c>
      <c r="AN121" s="22">
        <f t="shared" si="41"/>
        <v>0</v>
      </c>
      <c r="AO121" s="26" t="str">
        <f t="shared" si="42"/>
        <v/>
      </c>
      <c r="AP121" s="26" t="str">
        <f t="shared" si="43"/>
        <v>pre-launch</v>
      </c>
      <c r="AQ121" s="18"/>
      <c r="AR121" s="18"/>
    </row>
    <row r="122" spans="1:44" x14ac:dyDescent="0.25">
      <c r="A122" s="43">
        <v>45183</v>
      </c>
      <c r="B122" s="17">
        <v>48566779.789999999</v>
      </c>
      <c r="C122" s="17">
        <v>0</v>
      </c>
      <c r="D122" s="18"/>
      <c r="E122" s="19">
        <f t="shared" si="22"/>
        <v>48566779.789999999</v>
      </c>
      <c r="F122" s="19">
        <f t="shared" si="23"/>
        <v>48566779.789999999</v>
      </c>
      <c r="G122" s="20">
        <f t="shared" si="24"/>
        <v>0</v>
      </c>
      <c r="H122" s="18"/>
      <c r="I122" s="18"/>
      <c r="J122" s="18"/>
      <c r="K122" s="19">
        <f t="shared" si="25"/>
        <v>0</v>
      </c>
      <c r="L122" s="18"/>
      <c r="M122" s="18"/>
      <c r="N122" s="18"/>
      <c r="O122" s="19">
        <f t="shared" si="26"/>
        <v>0</v>
      </c>
      <c r="P122" s="21">
        <f t="shared" si="27"/>
        <v>0</v>
      </c>
      <c r="Q122" s="18"/>
      <c r="R122" s="18"/>
      <c r="S122" s="19">
        <f t="shared" si="28"/>
        <v>0</v>
      </c>
      <c r="T122" s="20">
        <f t="shared" si="29"/>
        <v>0.03</v>
      </c>
      <c r="U122" s="19">
        <f t="shared" si="30"/>
        <v>0</v>
      </c>
      <c r="V122" s="18"/>
      <c r="W122" s="19">
        <f t="shared" si="31"/>
        <v>0</v>
      </c>
      <c r="X122" s="19">
        <f t="shared" si="32"/>
        <v>0</v>
      </c>
      <c r="Y122" s="18"/>
      <c r="Z122" s="18"/>
      <c r="AA122" s="19">
        <f t="shared" si="33"/>
        <v>0</v>
      </c>
      <c r="AB122" s="17">
        <v>0</v>
      </c>
      <c r="AC122" s="18"/>
      <c r="AD122" s="18"/>
      <c r="AE122" s="22">
        <f t="shared" si="34"/>
        <v>0</v>
      </c>
      <c r="AF122" s="23">
        <f t="shared" si="35"/>
        <v>0</v>
      </c>
      <c r="AG122" s="23">
        <f t="shared" si="36"/>
        <v>0</v>
      </c>
      <c r="AH122" s="18"/>
      <c r="AI122" s="24">
        <f t="shared" si="37"/>
        <v>0</v>
      </c>
      <c r="AJ122" s="25">
        <v>0</v>
      </c>
      <c r="AK122" s="24">
        <f t="shared" si="38"/>
        <v>0</v>
      </c>
      <c r="AL122" s="22">
        <f t="shared" si="39"/>
        <v>0</v>
      </c>
      <c r="AM122" s="22">
        <f t="shared" si="40"/>
        <v>0</v>
      </c>
      <c r="AN122" s="22">
        <f t="shared" si="41"/>
        <v>0</v>
      </c>
      <c r="AO122" s="26" t="str">
        <f t="shared" si="42"/>
        <v/>
      </c>
      <c r="AP122" s="26" t="str">
        <f t="shared" si="43"/>
        <v>pre-launch</v>
      </c>
      <c r="AQ122" s="18"/>
      <c r="AR122" s="18"/>
    </row>
    <row r="123" spans="1:44" x14ac:dyDescent="0.25">
      <c r="A123" s="43">
        <v>45184</v>
      </c>
      <c r="B123" s="17">
        <v>44663801.130000003</v>
      </c>
      <c r="C123" s="17">
        <v>0</v>
      </c>
      <c r="D123" s="18"/>
      <c r="E123" s="19">
        <f t="shared" si="22"/>
        <v>44663801.130000003</v>
      </c>
      <c r="F123" s="19">
        <f t="shared" si="23"/>
        <v>44663801.130000003</v>
      </c>
      <c r="G123" s="20">
        <f t="shared" si="24"/>
        <v>0</v>
      </c>
      <c r="H123" s="18"/>
      <c r="I123" s="18"/>
      <c r="J123" s="18"/>
      <c r="K123" s="19">
        <f t="shared" si="25"/>
        <v>0</v>
      </c>
      <c r="L123" s="18"/>
      <c r="M123" s="18"/>
      <c r="N123" s="18"/>
      <c r="O123" s="19">
        <f t="shared" si="26"/>
        <v>0</v>
      </c>
      <c r="P123" s="21">
        <f t="shared" si="27"/>
        <v>0</v>
      </c>
      <c r="Q123" s="18"/>
      <c r="R123" s="18"/>
      <c r="S123" s="19">
        <f t="shared" si="28"/>
        <v>0</v>
      </c>
      <c r="T123" s="20">
        <f t="shared" si="29"/>
        <v>0.03</v>
      </c>
      <c r="U123" s="19">
        <f t="shared" si="30"/>
        <v>0</v>
      </c>
      <c r="V123" s="18"/>
      <c r="W123" s="19">
        <f t="shared" si="31"/>
        <v>0</v>
      </c>
      <c r="X123" s="19">
        <f t="shared" si="32"/>
        <v>0</v>
      </c>
      <c r="Y123" s="18"/>
      <c r="Z123" s="18"/>
      <c r="AA123" s="19">
        <f t="shared" si="33"/>
        <v>0</v>
      </c>
      <c r="AB123" s="17">
        <v>0</v>
      </c>
      <c r="AC123" s="18"/>
      <c r="AD123" s="18"/>
      <c r="AE123" s="22">
        <f t="shared" si="34"/>
        <v>0</v>
      </c>
      <c r="AF123" s="23">
        <f t="shared" si="35"/>
        <v>0</v>
      </c>
      <c r="AG123" s="23">
        <f t="shared" si="36"/>
        <v>0</v>
      </c>
      <c r="AH123" s="18"/>
      <c r="AI123" s="24">
        <f t="shared" si="37"/>
        <v>0</v>
      </c>
      <c r="AJ123" s="25">
        <v>0</v>
      </c>
      <c r="AK123" s="24">
        <f t="shared" si="38"/>
        <v>0</v>
      </c>
      <c r="AL123" s="22">
        <f t="shared" si="39"/>
        <v>0</v>
      </c>
      <c r="AM123" s="22">
        <f t="shared" si="40"/>
        <v>0</v>
      </c>
      <c r="AN123" s="22">
        <f t="shared" si="41"/>
        <v>0</v>
      </c>
      <c r="AO123" s="26" t="str">
        <f t="shared" si="42"/>
        <v/>
      </c>
      <c r="AP123" s="26" t="str">
        <f t="shared" si="43"/>
        <v>pre-launch</v>
      </c>
      <c r="AQ123" s="18"/>
      <c r="AR123" s="18"/>
    </row>
    <row r="124" spans="1:44" x14ac:dyDescent="0.25">
      <c r="A124" s="43">
        <v>45185</v>
      </c>
      <c r="B124" s="17">
        <v>38562452.240000002</v>
      </c>
      <c r="C124" s="17">
        <v>0</v>
      </c>
      <c r="D124" s="18"/>
      <c r="E124" s="19">
        <f t="shared" si="22"/>
        <v>38562452.240000002</v>
      </c>
      <c r="F124" s="19">
        <f t="shared" si="23"/>
        <v>38562452.240000002</v>
      </c>
      <c r="G124" s="20">
        <f t="shared" si="24"/>
        <v>0</v>
      </c>
      <c r="H124" s="18"/>
      <c r="I124" s="18"/>
      <c r="J124" s="18"/>
      <c r="K124" s="19">
        <f t="shared" si="25"/>
        <v>0</v>
      </c>
      <c r="L124" s="18"/>
      <c r="M124" s="18"/>
      <c r="N124" s="18"/>
      <c r="O124" s="19">
        <f t="shared" si="26"/>
        <v>0</v>
      </c>
      <c r="P124" s="21">
        <f t="shared" si="27"/>
        <v>0</v>
      </c>
      <c r="Q124" s="18"/>
      <c r="R124" s="18"/>
      <c r="S124" s="19">
        <f t="shared" si="28"/>
        <v>0</v>
      </c>
      <c r="T124" s="20">
        <f t="shared" si="29"/>
        <v>0.03</v>
      </c>
      <c r="U124" s="19">
        <f t="shared" si="30"/>
        <v>0</v>
      </c>
      <c r="V124" s="18"/>
      <c r="W124" s="19">
        <f t="shared" si="31"/>
        <v>0</v>
      </c>
      <c r="X124" s="19">
        <f t="shared" si="32"/>
        <v>0</v>
      </c>
      <c r="Y124" s="18"/>
      <c r="Z124" s="18"/>
      <c r="AA124" s="19">
        <f t="shared" si="33"/>
        <v>0</v>
      </c>
      <c r="AB124" s="17">
        <v>0</v>
      </c>
      <c r="AC124" s="18"/>
      <c r="AD124" s="18"/>
      <c r="AE124" s="22">
        <f t="shared" si="34"/>
        <v>0</v>
      </c>
      <c r="AF124" s="23">
        <f t="shared" si="35"/>
        <v>0</v>
      </c>
      <c r="AG124" s="23">
        <f t="shared" si="36"/>
        <v>0</v>
      </c>
      <c r="AH124" s="18"/>
      <c r="AI124" s="24">
        <f t="shared" si="37"/>
        <v>0</v>
      </c>
      <c r="AJ124" s="25">
        <v>0</v>
      </c>
      <c r="AK124" s="24">
        <f t="shared" si="38"/>
        <v>0</v>
      </c>
      <c r="AL124" s="22">
        <f t="shared" si="39"/>
        <v>0</v>
      </c>
      <c r="AM124" s="22">
        <f t="shared" si="40"/>
        <v>0</v>
      </c>
      <c r="AN124" s="22">
        <f t="shared" si="41"/>
        <v>0</v>
      </c>
      <c r="AO124" s="26" t="str">
        <f t="shared" si="42"/>
        <v/>
      </c>
      <c r="AP124" s="26" t="str">
        <f t="shared" si="43"/>
        <v>pre-launch</v>
      </c>
      <c r="AQ124" s="18"/>
      <c r="AR124" s="18"/>
    </row>
    <row r="125" spans="1:44" x14ac:dyDescent="0.25">
      <c r="A125" s="43">
        <v>45186</v>
      </c>
      <c r="B125" s="17">
        <v>47793256.020000003</v>
      </c>
      <c r="C125" s="17">
        <v>0</v>
      </c>
      <c r="D125" s="18"/>
      <c r="E125" s="19">
        <f t="shared" si="22"/>
        <v>47793256.020000003</v>
      </c>
      <c r="F125" s="19">
        <f t="shared" si="23"/>
        <v>47793256.020000003</v>
      </c>
      <c r="G125" s="20">
        <f t="shared" si="24"/>
        <v>0</v>
      </c>
      <c r="H125" s="18"/>
      <c r="I125" s="18"/>
      <c r="J125" s="18"/>
      <c r="K125" s="19">
        <f t="shared" si="25"/>
        <v>0</v>
      </c>
      <c r="L125" s="18"/>
      <c r="M125" s="18"/>
      <c r="N125" s="18"/>
      <c r="O125" s="19">
        <f t="shared" si="26"/>
        <v>0</v>
      </c>
      <c r="P125" s="21">
        <f t="shared" si="27"/>
        <v>0</v>
      </c>
      <c r="Q125" s="18"/>
      <c r="R125" s="18"/>
      <c r="S125" s="19">
        <f t="shared" si="28"/>
        <v>0</v>
      </c>
      <c r="T125" s="20">
        <f t="shared" si="29"/>
        <v>0.03</v>
      </c>
      <c r="U125" s="19">
        <f t="shared" si="30"/>
        <v>0</v>
      </c>
      <c r="V125" s="18"/>
      <c r="W125" s="19">
        <f t="shared" si="31"/>
        <v>0</v>
      </c>
      <c r="X125" s="19">
        <f t="shared" si="32"/>
        <v>0</v>
      </c>
      <c r="Y125" s="18"/>
      <c r="Z125" s="18"/>
      <c r="AA125" s="19">
        <f t="shared" si="33"/>
        <v>0</v>
      </c>
      <c r="AB125" s="17">
        <v>0</v>
      </c>
      <c r="AC125" s="18"/>
      <c r="AD125" s="18"/>
      <c r="AE125" s="22">
        <f t="shared" si="34"/>
        <v>0</v>
      </c>
      <c r="AF125" s="23">
        <f t="shared" si="35"/>
        <v>0</v>
      </c>
      <c r="AG125" s="23">
        <f t="shared" si="36"/>
        <v>0</v>
      </c>
      <c r="AH125" s="18"/>
      <c r="AI125" s="24">
        <f t="shared" si="37"/>
        <v>0</v>
      </c>
      <c r="AJ125" s="25">
        <v>0</v>
      </c>
      <c r="AK125" s="24">
        <f t="shared" si="38"/>
        <v>0</v>
      </c>
      <c r="AL125" s="22">
        <f t="shared" si="39"/>
        <v>0</v>
      </c>
      <c r="AM125" s="22">
        <f t="shared" si="40"/>
        <v>0</v>
      </c>
      <c r="AN125" s="22">
        <f t="shared" si="41"/>
        <v>0</v>
      </c>
      <c r="AO125" s="26" t="str">
        <f t="shared" si="42"/>
        <v/>
      </c>
      <c r="AP125" s="26" t="str">
        <f t="shared" si="43"/>
        <v>pre-launch</v>
      </c>
      <c r="AQ125" s="18"/>
      <c r="AR125" s="18"/>
    </row>
    <row r="126" spans="1:44" x14ac:dyDescent="0.25">
      <c r="A126" s="43">
        <v>45187</v>
      </c>
      <c r="B126" s="17">
        <v>71258142.620000005</v>
      </c>
      <c r="C126" s="17">
        <v>0</v>
      </c>
      <c r="D126" s="18"/>
      <c r="E126" s="19">
        <f t="shared" si="22"/>
        <v>71258142.620000005</v>
      </c>
      <c r="F126" s="19">
        <f t="shared" si="23"/>
        <v>71258142.620000005</v>
      </c>
      <c r="G126" s="20">
        <f t="shared" si="24"/>
        <v>0</v>
      </c>
      <c r="H126" s="18"/>
      <c r="I126" s="18"/>
      <c r="J126" s="18"/>
      <c r="K126" s="19">
        <f t="shared" si="25"/>
        <v>0</v>
      </c>
      <c r="L126" s="18"/>
      <c r="M126" s="18"/>
      <c r="N126" s="18"/>
      <c r="O126" s="19">
        <f t="shared" si="26"/>
        <v>0</v>
      </c>
      <c r="P126" s="21">
        <f t="shared" si="27"/>
        <v>0</v>
      </c>
      <c r="Q126" s="18"/>
      <c r="R126" s="18"/>
      <c r="S126" s="19">
        <f t="shared" si="28"/>
        <v>0</v>
      </c>
      <c r="T126" s="20">
        <f t="shared" si="29"/>
        <v>0.03</v>
      </c>
      <c r="U126" s="19">
        <f t="shared" si="30"/>
        <v>0</v>
      </c>
      <c r="V126" s="18"/>
      <c r="W126" s="19">
        <f t="shared" si="31"/>
        <v>0</v>
      </c>
      <c r="X126" s="19">
        <f t="shared" si="32"/>
        <v>0</v>
      </c>
      <c r="Y126" s="18"/>
      <c r="Z126" s="18"/>
      <c r="AA126" s="19">
        <f t="shared" si="33"/>
        <v>0</v>
      </c>
      <c r="AB126" s="17">
        <v>0</v>
      </c>
      <c r="AC126" s="18"/>
      <c r="AD126" s="18"/>
      <c r="AE126" s="22">
        <f t="shared" si="34"/>
        <v>0</v>
      </c>
      <c r="AF126" s="23">
        <f t="shared" si="35"/>
        <v>0</v>
      </c>
      <c r="AG126" s="23">
        <f t="shared" si="36"/>
        <v>0</v>
      </c>
      <c r="AH126" s="18"/>
      <c r="AI126" s="24">
        <f t="shared" si="37"/>
        <v>0</v>
      </c>
      <c r="AJ126" s="25">
        <v>0</v>
      </c>
      <c r="AK126" s="24">
        <f t="shared" si="38"/>
        <v>0</v>
      </c>
      <c r="AL126" s="22">
        <f t="shared" si="39"/>
        <v>0</v>
      </c>
      <c r="AM126" s="22">
        <f t="shared" si="40"/>
        <v>0</v>
      </c>
      <c r="AN126" s="22">
        <f t="shared" si="41"/>
        <v>0</v>
      </c>
      <c r="AO126" s="26" t="str">
        <f t="shared" si="42"/>
        <v/>
      </c>
      <c r="AP126" s="26" t="str">
        <f t="shared" si="43"/>
        <v>pre-launch</v>
      </c>
      <c r="AQ126" s="18"/>
      <c r="AR126" s="18"/>
    </row>
    <row r="127" spans="1:44" x14ac:dyDescent="0.25">
      <c r="A127" s="43">
        <v>45188</v>
      </c>
      <c r="B127" s="17">
        <v>31532210.870000001</v>
      </c>
      <c r="C127" s="17">
        <v>0</v>
      </c>
      <c r="D127" s="18"/>
      <c r="E127" s="19">
        <f t="shared" si="22"/>
        <v>31532210.870000001</v>
      </c>
      <c r="F127" s="19">
        <f t="shared" si="23"/>
        <v>31532210.870000001</v>
      </c>
      <c r="G127" s="20">
        <f t="shared" si="24"/>
        <v>0</v>
      </c>
      <c r="H127" s="18"/>
      <c r="I127" s="18"/>
      <c r="J127" s="18"/>
      <c r="K127" s="19">
        <f t="shared" si="25"/>
        <v>0</v>
      </c>
      <c r="L127" s="18"/>
      <c r="M127" s="18"/>
      <c r="N127" s="18"/>
      <c r="O127" s="19">
        <f t="shared" si="26"/>
        <v>0</v>
      </c>
      <c r="P127" s="21">
        <f t="shared" si="27"/>
        <v>0</v>
      </c>
      <c r="Q127" s="18"/>
      <c r="R127" s="18"/>
      <c r="S127" s="19">
        <f t="shared" si="28"/>
        <v>0</v>
      </c>
      <c r="T127" s="20">
        <f t="shared" si="29"/>
        <v>0.03</v>
      </c>
      <c r="U127" s="19">
        <f t="shared" si="30"/>
        <v>0</v>
      </c>
      <c r="V127" s="18"/>
      <c r="W127" s="19">
        <f t="shared" si="31"/>
        <v>0</v>
      </c>
      <c r="X127" s="19">
        <f t="shared" si="32"/>
        <v>0</v>
      </c>
      <c r="Y127" s="18"/>
      <c r="Z127" s="18"/>
      <c r="AA127" s="19">
        <f t="shared" si="33"/>
        <v>0</v>
      </c>
      <c r="AB127" s="17">
        <v>0</v>
      </c>
      <c r="AC127" s="18"/>
      <c r="AD127" s="18"/>
      <c r="AE127" s="22">
        <f t="shared" si="34"/>
        <v>0</v>
      </c>
      <c r="AF127" s="23">
        <f t="shared" si="35"/>
        <v>0</v>
      </c>
      <c r="AG127" s="23">
        <f t="shared" si="36"/>
        <v>0</v>
      </c>
      <c r="AH127" s="18"/>
      <c r="AI127" s="24">
        <f t="shared" si="37"/>
        <v>0</v>
      </c>
      <c r="AJ127" s="25">
        <v>0</v>
      </c>
      <c r="AK127" s="24">
        <f t="shared" si="38"/>
        <v>0</v>
      </c>
      <c r="AL127" s="22">
        <f t="shared" si="39"/>
        <v>0</v>
      </c>
      <c r="AM127" s="22">
        <f t="shared" si="40"/>
        <v>0</v>
      </c>
      <c r="AN127" s="22">
        <f t="shared" si="41"/>
        <v>0</v>
      </c>
      <c r="AO127" s="26" t="str">
        <f t="shared" si="42"/>
        <v/>
      </c>
      <c r="AP127" s="26" t="str">
        <f t="shared" si="43"/>
        <v>pre-launch</v>
      </c>
      <c r="AQ127" s="18"/>
      <c r="AR127" s="18"/>
    </row>
    <row r="128" spans="1:44" x14ac:dyDescent="0.25">
      <c r="A128" s="43">
        <v>45189</v>
      </c>
      <c r="B128" s="17">
        <v>38348153.119999997</v>
      </c>
      <c r="C128" s="17">
        <v>0</v>
      </c>
      <c r="D128" s="18"/>
      <c r="E128" s="19">
        <f t="shared" si="22"/>
        <v>38348153.119999997</v>
      </c>
      <c r="F128" s="19">
        <f t="shared" si="23"/>
        <v>38348153.119999997</v>
      </c>
      <c r="G128" s="20">
        <f t="shared" si="24"/>
        <v>0</v>
      </c>
      <c r="H128" s="18"/>
      <c r="I128" s="18"/>
      <c r="J128" s="18"/>
      <c r="K128" s="19">
        <f t="shared" si="25"/>
        <v>0</v>
      </c>
      <c r="L128" s="18"/>
      <c r="M128" s="18"/>
      <c r="N128" s="18"/>
      <c r="O128" s="19">
        <f t="shared" si="26"/>
        <v>0</v>
      </c>
      <c r="P128" s="21">
        <f t="shared" si="27"/>
        <v>0</v>
      </c>
      <c r="Q128" s="18"/>
      <c r="R128" s="18"/>
      <c r="S128" s="19">
        <f t="shared" si="28"/>
        <v>0</v>
      </c>
      <c r="T128" s="20">
        <f t="shared" si="29"/>
        <v>0.03</v>
      </c>
      <c r="U128" s="19">
        <f t="shared" si="30"/>
        <v>0</v>
      </c>
      <c r="V128" s="18"/>
      <c r="W128" s="19">
        <f t="shared" si="31"/>
        <v>0</v>
      </c>
      <c r="X128" s="19">
        <f t="shared" si="32"/>
        <v>0</v>
      </c>
      <c r="Y128" s="18"/>
      <c r="Z128" s="18"/>
      <c r="AA128" s="19">
        <f t="shared" si="33"/>
        <v>0</v>
      </c>
      <c r="AB128" s="17">
        <v>0</v>
      </c>
      <c r="AC128" s="18"/>
      <c r="AD128" s="18"/>
      <c r="AE128" s="22">
        <f t="shared" si="34"/>
        <v>0</v>
      </c>
      <c r="AF128" s="23">
        <f t="shared" si="35"/>
        <v>0</v>
      </c>
      <c r="AG128" s="23">
        <f t="shared" si="36"/>
        <v>0</v>
      </c>
      <c r="AH128" s="18"/>
      <c r="AI128" s="24">
        <f t="shared" si="37"/>
        <v>0</v>
      </c>
      <c r="AJ128" s="25">
        <v>0</v>
      </c>
      <c r="AK128" s="24">
        <f t="shared" si="38"/>
        <v>0</v>
      </c>
      <c r="AL128" s="22">
        <f t="shared" si="39"/>
        <v>0</v>
      </c>
      <c r="AM128" s="22">
        <f t="shared" si="40"/>
        <v>0</v>
      </c>
      <c r="AN128" s="22">
        <f t="shared" si="41"/>
        <v>0</v>
      </c>
      <c r="AO128" s="26" t="str">
        <f t="shared" si="42"/>
        <v/>
      </c>
      <c r="AP128" s="26" t="str">
        <f t="shared" si="43"/>
        <v>pre-launch</v>
      </c>
      <c r="AQ128" s="18"/>
      <c r="AR128" s="18"/>
    </row>
    <row r="129" spans="1:44" x14ac:dyDescent="0.25">
      <c r="A129" s="43">
        <v>45190</v>
      </c>
      <c r="B129" s="17">
        <v>63998600.020000003</v>
      </c>
      <c r="C129" s="17">
        <v>0</v>
      </c>
      <c r="D129" s="18"/>
      <c r="E129" s="19">
        <f t="shared" si="22"/>
        <v>63998600.020000003</v>
      </c>
      <c r="F129" s="19">
        <f t="shared" si="23"/>
        <v>63998600.020000003</v>
      </c>
      <c r="G129" s="20">
        <f t="shared" si="24"/>
        <v>0</v>
      </c>
      <c r="H129" s="18"/>
      <c r="I129" s="18"/>
      <c r="J129" s="18"/>
      <c r="K129" s="19">
        <f t="shared" si="25"/>
        <v>0</v>
      </c>
      <c r="L129" s="18"/>
      <c r="M129" s="18"/>
      <c r="N129" s="18"/>
      <c r="O129" s="19">
        <f t="shared" si="26"/>
        <v>0</v>
      </c>
      <c r="P129" s="21">
        <f t="shared" si="27"/>
        <v>0</v>
      </c>
      <c r="Q129" s="18"/>
      <c r="R129" s="18"/>
      <c r="S129" s="19">
        <f t="shared" si="28"/>
        <v>0</v>
      </c>
      <c r="T129" s="20">
        <f t="shared" si="29"/>
        <v>0.03</v>
      </c>
      <c r="U129" s="19">
        <f t="shared" si="30"/>
        <v>0</v>
      </c>
      <c r="V129" s="18"/>
      <c r="W129" s="19">
        <f t="shared" si="31"/>
        <v>0</v>
      </c>
      <c r="X129" s="19">
        <f t="shared" si="32"/>
        <v>0</v>
      </c>
      <c r="Y129" s="18"/>
      <c r="Z129" s="18"/>
      <c r="AA129" s="19">
        <f t="shared" si="33"/>
        <v>0</v>
      </c>
      <c r="AB129" s="17">
        <v>0</v>
      </c>
      <c r="AC129" s="18"/>
      <c r="AD129" s="18"/>
      <c r="AE129" s="22">
        <f t="shared" si="34"/>
        <v>0</v>
      </c>
      <c r="AF129" s="23">
        <f t="shared" si="35"/>
        <v>0</v>
      </c>
      <c r="AG129" s="23">
        <f t="shared" si="36"/>
        <v>0</v>
      </c>
      <c r="AH129" s="18"/>
      <c r="AI129" s="24">
        <f t="shared" si="37"/>
        <v>0</v>
      </c>
      <c r="AJ129" s="25">
        <v>0</v>
      </c>
      <c r="AK129" s="24">
        <f t="shared" si="38"/>
        <v>0</v>
      </c>
      <c r="AL129" s="22">
        <f t="shared" si="39"/>
        <v>0</v>
      </c>
      <c r="AM129" s="22">
        <f t="shared" si="40"/>
        <v>0</v>
      </c>
      <c r="AN129" s="22">
        <f t="shared" si="41"/>
        <v>0</v>
      </c>
      <c r="AO129" s="26" t="str">
        <f t="shared" si="42"/>
        <v/>
      </c>
      <c r="AP129" s="26" t="str">
        <f t="shared" si="43"/>
        <v>pre-launch</v>
      </c>
      <c r="AQ129" s="18"/>
      <c r="AR129" s="18"/>
    </row>
    <row r="130" spans="1:44" x14ac:dyDescent="0.25">
      <c r="A130" s="43">
        <v>45191</v>
      </c>
      <c r="B130" s="17">
        <v>31462561.210000001</v>
      </c>
      <c r="C130" s="17">
        <v>0</v>
      </c>
      <c r="D130" s="18"/>
      <c r="E130" s="19">
        <f t="shared" si="22"/>
        <v>31462561.210000001</v>
      </c>
      <c r="F130" s="19">
        <f t="shared" si="23"/>
        <v>31462561.210000001</v>
      </c>
      <c r="G130" s="20">
        <f t="shared" si="24"/>
        <v>0</v>
      </c>
      <c r="H130" s="18"/>
      <c r="I130" s="18"/>
      <c r="J130" s="18"/>
      <c r="K130" s="19">
        <f t="shared" si="25"/>
        <v>0</v>
      </c>
      <c r="L130" s="18"/>
      <c r="M130" s="18"/>
      <c r="N130" s="18"/>
      <c r="O130" s="19">
        <f t="shared" si="26"/>
        <v>0</v>
      </c>
      <c r="P130" s="21">
        <f t="shared" si="27"/>
        <v>0</v>
      </c>
      <c r="Q130" s="18"/>
      <c r="R130" s="18"/>
      <c r="S130" s="19">
        <f t="shared" si="28"/>
        <v>0</v>
      </c>
      <c r="T130" s="20">
        <f t="shared" si="29"/>
        <v>0.03</v>
      </c>
      <c r="U130" s="19">
        <f t="shared" si="30"/>
        <v>0</v>
      </c>
      <c r="V130" s="18"/>
      <c r="W130" s="19">
        <f t="shared" si="31"/>
        <v>0</v>
      </c>
      <c r="X130" s="19">
        <f t="shared" si="32"/>
        <v>0</v>
      </c>
      <c r="Y130" s="18"/>
      <c r="Z130" s="18"/>
      <c r="AA130" s="19">
        <f t="shared" si="33"/>
        <v>0</v>
      </c>
      <c r="AB130" s="17">
        <v>0</v>
      </c>
      <c r="AC130" s="18"/>
      <c r="AD130" s="18"/>
      <c r="AE130" s="22">
        <f t="shared" si="34"/>
        <v>0</v>
      </c>
      <c r="AF130" s="23">
        <f t="shared" si="35"/>
        <v>0</v>
      </c>
      <c r="AG130" s="23">
        <f t="shared" si="36"/>
        <v>0</v>
      </c>
      <c r="AH130" s="18"/>
      <c r="AI130" s="24">
        <f t="shared" si="37"/>
        <v>0</v>
      </c>
      <c r="AJ130" s="25">
        <v>0</v>
      </c>
      <c r="AK130" s="24">
        <f t="shared" si="38"/>
        <v>0</v>
      </c>
      <c r="AL130" s="22">
        <f t="shared" si="39"/>
        <v>0</v>
      </c>
      <c r="AM130" s="22">
        <f t="shared" si="40"/>
        <v>0</v>
      </c>
      <c r="AN130" s="22">
        <f t="shared" si="41"/>
        <v>0</v>
      </c>
      <c r="AO130" s="26" t="str">
        <f t="shared" si="42"/>
        <v/>
      </c>
      <c r="AP130" s="26" t="str">
        <f t="shared" si="43"/>
        <v>pre-launch</v>
      </c>
      <c r="AQ130" s="18"/>
      <c r="AR130" s="18"/>
    </row>
    <row r="131" spans="1:44" x14ac:dyDescent="0.25">
      <c r="A131" s="43">
        <v>45192</v>
      </c>
      <c r="B131" s="17">
        <v>27973790.489999998</v>
      </c>
      <c r="C131" s="17">
        <v>0</v>
      </c>
      <c r="D131" s="18"/>
      <c r="E131" s="19">
        <f t="shared" si="22"/>
        <v>27973790.489999998</v>
      </c>
      <c r="F131" s="19">
        <f t="shared" si="23"/>
        <v>27973790.489999998</v>
      </c>
      <c r="G131" s="20">
        <f t="shared" si="24"/>
        <v>0</v>
      </c>
      <c r="H131" s="18"/>
      <c r="I131" s="18"/>
      <c r="J131" s="18"/>
      <c r="K131" s="19">
        <f t="shared" si="25"/>
        <v>0</v>
      </c>
      <c r="L131" s="18"/>
      <c r="M131" s="18"/>
      <c r="N131" s="18"/>
      <c r="O131" s="19">
        <f t="shared" si="26"/>
        <v>0</v>
      </c>
      <c r="P131" s="21">
        <f t="shared" si="27"/>
        <v>0</v>
      </c>
      <c r="Q131" s="18"/>
      <c r="R131" s="18"/>
      <c r="S131" s="19">
        <f t="shared" si="28"/>
        <v>0</v>
      </c>
      <c r="T131" s="20">
        <f t="shared" si="29"/>
        <v>0.03</v>
      </c>
      <c r="U131" s="19">
        <f t="shared" si="30"/>
        <v>0</v>
      </c>
      <c r="V131" s="18"/>
      <c r="W131" s="19">
        <f t="shared" si="31"/>
        <v>0</v>
      </c>
      <c r="X131" s="19">
        <f t="shared" si="32"/>
        <v>0</v>
      </c>
      <c r="Y131" s="18"/>
      <c r="Z131" s="18"/>
      <c r="AA131" s="19">
        <f t="shared" si="33"/>
        <v>0</v>
      </c>
      <c r="AB131" s="17">
        <v>0</v>
      </c>
      <c r="AC131" s="18"/>
      <c r="AD131" s="18"/>
      <c r="AE131" s="22">
        <f t="shared" si="34"/>
        <v>0</v>
      </c>
      <c r="AF131" s="23">
        <f t="shared" si="35"/>
        <v>0</v>
      </c>
      <c r="AG131" s="23">
        <f t="shared" si="36"/>
        <v>0</v>
      </c>
      <c r="AH131" s="18"/>
      <c r="AI131" s="24">
        <f t="shared" si="37"/>
        <v>0</v>
      </c>
      <c r="AJ131" s="25">
        <v>0</v>
      </c>
      <c r="AK131" s="24">
        <f t="shared" si="38"/>
        <v>0</v>
      </c>
      <c r="AL131" s="22">
        <f t="shared" si="39"/>
        <v>0</v>
      </c>
      <c r="AM131" s="22">
        <f t="shared" si="40"/>
        <v>0</v>
      </c>
      <c r="AN131" s="22">
        <f t="shared" si="41"/>
        <v>0</v>
      </c>
      <c r="AO131" s="26" t="str">
        <f t="shared" si="42"/>
        <v/>
      </c>
      <c r="AP131" s="26" t="str">
        <f t="shared" si="43"/>
        <v>pre-launch</v>
      </c>
      <c r="AQ131" s="18"/>
      <c r="AR131" s="18"/>
    </row>
    <row r="132" spans="1:44" x14ac:dyDescent="0.25">
      <c r="A132" s="43">
        <v>45193</v>
      </c>
      <c r="B132" s="17">
        <v>20496216.66</v>
      </c>
      <c r="C132" s="17">
        <v>0</v>
      </c>
      <c r="D132" s="18"/>
      <c r="E132" s="19">
        <f t="shared" si="22"/>
        <v>20496216.66</v>
      </c>
      <c r="F132" s="19">
        <f t="shared" si="23"/>
        <v>20496216.66</v>
      </c>
      <c r="G132" s="20">
        <f t="shared" si="24"/>
        <v>0</v>
      </c>
      <c r="H132" s="18"/>
      <c r="I132" s="18"/>
      <c r="J132" s="18"/>
      <c r="K132" s="19">
        <f t="shared" si="25"/>
        <v>0</v>
      </c>
      <c r="L132" s="18"/>
      <c r="M132" s="18"/>
      <c r="N132" s="18"/>
      <c r="O132" s="19">
        <f t="shared" si="26"/>
        <v>0</v>
      </c>
      <c r="P132" s="21">
        <f t="shared" si="27"/>
        <v>0</v>
      </c>
      <c r="Q132" s="18"/>
      <c r="R132" s="18"/>
      <c r="S132" s="19">
        <f t="shared" si="28"/>
        <v>0</v>
      </c>
      <c r="T132" s="20">
        <f t="shared" si="29"/>
        <v>0.03</v>
      </c>
      <c r="U132" s="19">
        <f t="shared" si="30"/>
        <v>0</v>
      </c>
      <c r="V132" s="18"/>
      <c r="W132" s="19">
        <f t="shared" si="31"/>
        <v>0</v>
      </c>
      <c r="X132" s="19">
        <f t="shared" si="32"/>
        <v>0</v>
      </c>
      <c r="Y132" s="18"/>
      <c r="Z132" s="18"/>
      <c r="AA132" s="19">
        <f t="shared" si="33"/>
        <v>0</v>
      </c>
      <c r="AB132" s="17">
        <v>0</v>
      </c>
      <c r="AC132" s="18"/>
      <c r="AD132" s="18"/>
      <c r="AE132" s="22">
        <f t="shared" si="34"/>
        <v>0</v>
      </c>
      <c r="AF132" s="23">
        <f t="shared" si="35"/>
        <v>0</v>
      </c>
      <c r="AG132" s="23">
        <f t="shared" si="36"/>
        <v>0</v>
      </c>
      <c r="AH132" s="18"/>
      <c r="AI132" s="24">
        <f t="shared" si="37"/>
        <v>0</v>
      </c>
      <c r="AJ132" s="25">
        <v>0</v>
      </c>
      <c r="AK132" s="24">
        <f t="shared" si="38"/>
        <v>0</v>
      </c>
      <c r="AL132" s="22">
        <f t="shared" si="39"/>
        <v>0</v>
      </c>
      <c r="AM132" s="22">
        <f t="shared" si="40"/>
        <v>0</v>
      </c>
      <c r="AN132" s="22">
        <f t="shared" si="41"/>
        <v>0</v>
      </c>
      <c r="AO132" s="26" t="str">
        <f t="shared" si="42"/>
        <v/>
      </c>
      <c r="AP132" s="26" t="str">
        <f t="shared" si="43"/>
        <v>pre-launch</v>
      </c>
      <c r="AQ132" s="18"/>
      <c r="AR132" s="18"/>
    </row>
    <row r="133" spans="1:44" x14ac:dyDescent="0.25">
      <c r="A133" s="43">
        <v>45194</v>
      </c>
      <c r="B133" s="17">
        <v>34526168.770000003</v>
      </c>
      <c r="C133" s="17">
        <v>0</v>
      </c>
      <c r="D133" s="18"/>
      <c r="E133" s="19">
        <f t="shared" ref="E133:E196" si="44">B133+C133</f>
        <v>34526168.770000003</v>
      </c>
      <c r="F133" s="19">
        <f t="shared" ref="F133:F196" si="45">E133+D133</f>
        <v>34526168.770000003</v>
      </c>
      <c r="G133" s="20">
        <f t="shared" ref="G133:G196" si="46">IFERROR(C133/E133,0)</f>
        <v>0</v>
      </c>
      <c r="H133" s="18"/>
      <c r="I133" s="18"/>
      <c r="J133" s="18"/>
      <c r="K133" s="19">
        <f t="shared" ref="K133:K196" si="47">H133+I133</f>
        <v>0</v>
      </c>
      <c r="L133" s="18"/>
      <c r="M133" s="18"/>
      <c r="N133" s="18"/>
      <c r="O133" s="19">
        <f t="shared" ref="O133:O196" si="48">IF(H133=0,0,H133-L133)</f>
        <v>0</v>
      </c>
      <c r="P133" s="21">
        <f t="shared" ref="P133:P196" si="49">IF(B133=0,0,O133/B133*10000)</f>
        <v>0</v>
      </c>
      <c r="Q133" s="18"/>
      <c r="R133" s="18"/>
      <c r="S133" s="19">
        <f t="shared" ref="S133:S196" si="50">Q133+R133</f>
        <v>0</v>
      </c>
      <c r="T133" s="20">
        <f t="shared" ref="T133:T196" si="51">IF(A133&lt;HlpChangeDate,HlpSharePre,HlpSharePost)</f>
        <v>0.03</v>
      </c>
      <c r="U133" s="19">
        <f t="shared" ref="U133:U196" si="52">S133*T133/(1-T133)</f>
        <v>0</v>
      </c>
      <c r="V133" s="18"/>
      <c r="W133" s="19">
        <f t="shared" ref="W133:W196" si="53">U133-V133</f>
        <v>0</v>
      </c>
      <c r="X133" s="19">
        <f t="shared" ref="X133:X196" si="54">Y133+Z133</f>
        <v>0</v>
      </c>
      <c r="Y133" s="18"/>
      <c r="Z133" s="18"/>
      <c r="AA133" s="19">
        <f t="shared" ref="AA133:AA196" si="55">X133-V133</f>
        <v>0</v>
      </c>
      <c r="AB133" s="17">
        <v>0</v>
      </c>
      <c r="AC133" s="18"/>
      <c r="AD133" s="18"/>
      <c r="AE133" s="22">
        <f t="shared" ref="AE133:AE196" si="56">IFERROR(AB133/AD133,0)</f>
        <v>0</v>
      </c>
      <c r="AF133" s="23">
        <f t="shared" ref="AF133:AF196" si="57">K133-S133-X133</f>
        <v>0</v>
      </c>
      <c r="AG133" s="23">
        <f t="shared" ref="AG133:AG196" si="58">S133-AB133</f>
        <v>0</v>
      </c>
      <c r="AH133" s="18"/>
      <c r="AI133" s="24">
        <f t="shared" ref="AI133:AI196" si="59">IFERROR(AH133/S133,0)</f>
        <v>0</v>
      </c>
      <c r="AJ133" s="25">
        <v>0</v>
      </c>
      <c r="AK133" s="24">
        <f t="shared" ref="AK133:AK196" si="60">IF(AJ133&gt;0,AprCoef/SQRT(AJ133),0)</f>
        <v>0</v>
      </c>
      <c r="AL133" s="22">
        <f t="shared" ref="AL133:AL196" si="61">AJ133*AK133/365</f>
        <v>0</v>
      </c>
      <c r="AM133" s="22">
        <f t="shared" ref="AM133:AM196" si="62">AE133</f>
        <v>0</v>
      </c>
      <c r="AN133" s="22">
        <f t="shared" ref="AN133:AN196" si="63">AL133-AM133</f>
        <v>0</v>
      </c>
      <c r="AO133" s="26" t="str">
        <f t="shared" ref="AO133:AO196" si="64">IF(A133&gt;=Hip3LaunchDate,"YES","")</f>
        <v/>
      </c>
      <c r="AP133" s="26" t="str">
        <f t="shared" ref="AP133:AP196" si="65">IF(A133&lt;Hip4LaunchDate,"pre-launch","live (zero-fee)")</f>
        <v>pre-launch</v>
      </c>
      <c r="AQ133" s="18"/>
      <c r="AR133" s="18"/>
    </row>
    <row r="134" spans="1:44" x14ac:dyDescent="0.25">
      <c r="A134" s="43">
        <v>45195</v>
      </c>
      <c r="B134" s="17">
        <v>27706774.09</v>
      </c>
      <c r="C134" s="17">
        <v>0</v>
      </c>
      <c r="D134" s="18"/>
      <c r="E134" s="19">
        <f t="shared" si="44"/>
        <v>27706774.09</v>
      </c>
      <c r="F134" s="19">
        <f t="shared" si="45"/>
        <v>27706774.09</v>
      </c>
      <c r="G134" s="20">
        <f t="shared" si="46"/>
        <v>0</v>
      </c>
      <c r="H134" s="18"/>
      <c r="I134" s="18"/>
      <c r="J134" s="18"/>
      <c r="K134" s="19">
        <f t="shared" si="47"/>
        <v>0</v>
      </c>
      <c r="L134" s="18"/>
      <c r="M134" s="18"/>
      <c r="N134" s="18"/>
      <c r="O134" s="19">
        <f t="shared" si="48"/>
        <v>0</v>
      </c>
      <c r="P134" s="21">
        <f t="shared" si="49"/>
        <v>0</v>
      </c>
      <c r="Q134" s="18"/>
      <c r="R134" s="18"/>
      <c r="S134" s="19">
        <f t="shared" si="50"/>
        <v>0</v>
      </c>
      <c r="T134" s="20">
        <f t="shared" si="51"/>
        <v>0.03</v>
      </c>
      <c r="U134" s="19">
        <f t="shared" si="52"/>
        <v>0</v>
      </c>
      <c r="V134" s="18"/>
      <c r="W134" s="19">
        <f t="shared" si="53"/>
        <v>0</v>
      </c>
      <c r="X134" s="19">
        <f t="shared" si="54"/>
        <v>0</v>
      </c>
      <c r="Y134" s="18"/>
      <c r="Z134" s="18"/>
      <c r="AA134" s="19">
        <f t="shared" si="55"/>
        <v>0</v>
      </c>
      <c r="AB134" s="17">
        <v>0</v>
      </c>
      <c r="AC134" s="18"/>
      <c r="AD134" s="18"/>
      <c r="AE134" s="22">
        <f t="shared" si="56"/>
        <v>0</v>
      </c>
      <c r="AF134" s="23">
        <f t="shared" si="57"/>
        <v>0</v>
      </c>
      <c r="AG134" s="23">
        <f t="shared" si="58"/>
        <v>0</v>
      </c>
      <c r="AH134" s="18"/>
      <c r="AI134" s="24">
        <f t="shared" si="59"/>
        <v>0</v>
      </c>
      <c r="AJ134" s="25">
        <v>0</v>
      </c>
      <c r="AK134" s="24">
        <f t="shared" si="60"/>
        <v>0</v>
      </c>
      <c r="AL134" s="22">
        <f t="shared" si="61"/>
        <v>0</v>
      </c>
      <c r="AM134" s="22">
        <f t="shared" si="62"/>
        <v>0</v>
      </c>
      <c r="AN134" s="22">
        <f t="shared" si="63"/>
        <v>0</v>
      </c>
      <c r="AO134" s="26" t="str">
        <f t="shared" si="64"/>
        <v/>
      </c>
      <c r="AP134" s="26" t="str">
        <f t="shared" si="65"/>
        <v>pre-launch</v>
      </c>
      <c r="AQ134" s="18"/>
      <c r="AR134" s="18"/>
    </row>
    <row r="135" spans="1:44" x14ac:dyDescent="0.25">
      <c r="A135" s="43">
        <v>45196</v>
      </c>
      <c r="B135" s="17">
        <v>36889392.140000001</v>
      </c>
      <c r="C135" s="17">
        <v>0</v>
      </c>
      <c r="D135" s="18"/>
      <c r="E135" s="19">
        <f t="shared" si="44"/>
        <v>36889392.140000001</v>
      </c>
      <c r="F135" s="19">
        <f t="shared" si="45"/>
        <v>36889392.140000001</v>
      </c>
      <c r="G135" s="20">
        <f t="shared" si="46"/>
        <v>0</v>
      </c>
      <c r="H135" s="18"/>
      <c r="I135" s="18"/>
      <c r="J135" s="18"/>
      <c r="K135" s="19">
        <f t="shared" si="47"/>
        <v>0</v>
      </c>
      <c r="L135" s="18"/>
      <c r="M135" s="18"/>
      <c r="N135" s="18"/>
      <c r="O135" s="19">
        <f t="shared" si="48"/>
        <v>0</v>
      </c>
      <c r="P135" s="21">
        <f t="shared" si="49"/>
        <v>0</v>
      </c>
      <c r="Q135" s="18"/>
      <c r="R135" s="18"/>
      <c r="S135" s="19">
        <f t="shared" si="50"/>
        <v>0</v>
      </c>
      <c r="T135" s="20">
        <f t="shared" si="51"/>
        <v>0.03</v>
      </c>
      <c r="U135" s="19">
        <f t="shared" si="52"/>
        <v>0</v>
      </c>
      <c r="V135" s="18"/>
      <c r="W135" s="19">
        <f t="shared" si="53"/>
        <v>0</v>
      </c>
      <c r="X135" s="19">
        <f t="shared" si="54"/>
        <v>0</v>
      </c>
      <c r="Y135" s="18"/>
      <c r="Z135" s="18"/>
      <c r="AA135" s="19">
        <f t="shared" si="55"/>
        <v>0</v>
      </c>
      <c r="AB135" s="17">
        <v>0</v>
      </c>
      <c r="AC135" s="18"/>
      <c r="AD135" s="18"/>
      <c r="AE135" s="22">
        <f t="shared" si="56"/>
        <v>0</v>
      </c>
      <c r="AF135" s="23">
        <f t="shared" si="57"/>
        <v>0</v>
      </c>
      <c r="AG135" s="23">
        <f t="shared" si="58"/>
        <v>0</v>
      </c>
      <c r="AH135" s="18"/>
      <c r="AI135" s="24">
        <f t="shared" si="59"/>
        <v>0</v>
      </c>
      <c r="AJ135" s="25">
        <v>0</v>
      </c>
      <c r="AK135" s="24">
        <f t="shared" si="60"/>
        <v>0</v>
      </c>
      <c r="AL135" s="22">
        <f t="shared" si="61"/>
        <v>0</v>
      </c>
      <c r="AM135" s="22">
        <f t="shared" si="62"/>
        <v>0</v>
      </c>
      <c r="AN135" s="22">
        <f t="shared" si="63"/>
        <v>0</v>
      </c>
      <c r="AO135" s="26" t="str">
        <f t="shared" si="64"/>
        <v/>
      </c>
      <c r="AP135" s="26" t="str">
        <f t="shared" si="65"/>
        <v>pre-launch</v>
      </c>
      <c r="AQ135" s="18"/>
      <c r="AR135" s="18"/>
    </row>
    <row r="136" spans="1:44" x14ac:dyDescent="0.25">
      <c r="A136" s="43">
        <v>45197</v>
      </c>
      <c r="B136" s="17">
        <v>32475861.719999999</v>
      </c>
      <c r="C136" s="17">
        <v>0</v>
      </c>
      <c r="D136" s="18"/>
      <c r="E136" s="19">
        <f t="shared" si="44"/>
        <v>32475861.719999999</v>
      </c>
      <c r="F136" s="19">
        <f t="shared" si="45"/>
        <v>32475861.719999999</v>
      </c>
      <c r="G136" s="20">
        <f t="shared" si="46"/>
        <v>0</v>
      </c>
      <c r="H136" s="18"/>
      <c r="I136" s="18"/>
      <c r="J136" s="18"/>
      <c r="K136" s="19">
        <f t="shared" si="47"/>
        <v>0</v>
      </c>
      <c r="L136" s="18"/>
      <c r="M136" s="18"/>
      <c r="N136" s="18"/>
      <c r="O136" s="19">
        <f t="shared" si="48"/>
        <v>0</v>
      </c>
      <c r="P136" s="21">
        <f t="shared" si="49"/>
        <v>0</v>
      </c>
      <c r="Q136" s="18"/>
      <c r="R136" s="18"/>
      <c r="S136" s="19">
        <f t="shared" si="50"/>
        <v>0</v>
      </c>
      <c r="T136" s="20">
        <f t="shared" si="51"/>
        <v>0.03</v>
      </c>
      <c r="U136" s="19">
        <f t="shared" si="52"/>
        <v>0</v>
      </c>
      <c r="V136" s="18"/>
      <c r="W136" s="19">
        <f t="shared" si="53"/>
        <v>0</v>
      </c>
      <c r="X136" s="19">
        <f t="shared" si="54"/>
        <v>0</v>
      </c>
      <c r="Y136" s="18"/>
      <c r="Z136" s="18"/>
      <c r="AA136" s="19">
        <f t="shared" si="55"/>
        <v>0</v>
      </c>
      <c r="AB136" s="17">
        <v>0</v>
      </c>
      <c r="AC136" s="18"/>
      <c r="AD136" s="18"/>
      <c r="AE136" s="22">
        <f t="shared" si="56"/>
        <v>0</v>
      </c>
      <c r="AF136" s="23">
        <f t="shared" si="57"/>
        <v>0</v>
      </c>
      <c r="AG136" s="23">
        <f t="shared" si="58"/>
        <v>0</v>
      </c>
      <c r="AH136" s="18"/>
      <c r="AI136" s="24">
        <f t="shared" si="59"/>
        <v>0</v>
      </c>
      <c r="AJ136" s="25">
        <v>0</v>
      </c>
      <c r="AK136" s="24">
        <f t="shared" si="60"/>
        <v>0</v>
      </c>
      <c r="AL136" s="22">
        <f t="shared" si="61"/>
        <v>0</v>
      </c>
      <c r="AM136" s="22">
        <f t="shared" si="62"/>
        <v>0</v>
      </c>
      <c r="AN136" s="22">
        <f t="shared" si="63"/>
        <v>0</v>
      </c>
      <c r="AO136" s="26" t="str">
        <f t="shared" si="64"/>
        <v/>
      </c>
      <c r="AP136" s="26" t="str">
        <f t="shared" si="65"/>
        <v>pre-launch</v>
      </c>
      <c r="AQ136" s="18"/>
      <c r="AR136" s="18"/>
    </row>
    <row r="137" spans="1:44" x14ac:dyDescent="0.25">
      <c r="A137" s="43">
        <v>45198</v>
      </c>
      <c r="B137" s="17">
        <v>25885134.399999999</v>
      </c>
      <c r="C137" s="17">
        <v>0</v>
      </c>
      <c r="D137" s="18"/>
      <c r="E137" s="19">
        <f t="shared" si="44"/>
        <v>25885134.399999999</v>
      </c>
      <c r="F137" s="19">
        <f t="shared" si="45"/>
        <v>25885134.399999999</v>
      </c>
      <c r="G137" s="20">
        <f t="shared" si="46"/>
        <v>0</v>
      </c>
      <c r="H137" s="18"/>
      <c r="I137" s="18"/>
      <c r="J137" s="18"/>
      <c r="K137" s="19">
        <f t="shared" si="47"/>
        <v>0</v>
      </c>
      <c r="L137" s="18"/>
      <c r="M137" s="18"/>
      <c r="N137" s="18"/>
      <c r="O137" s="19">
        <f t="shared" si="48"/>
        <v>0</v>
      </c>
      <c r="P137" s="21">
        <f t="shared" si="49"/>
        <v>0</v>
      </c>
      <c r="Q137" s="18"/>
      <c r="R137" s="18"/>
      <c r="S137" s="19">
        <f t="shared" si="50"/>
        <v>0</v>
      </c>
      <c r="T137" s="20">
        <f t="shared" si="51"/>
        <v>0.03</v>
      </c>
      <c r="U137" s="19">
        <f t="shared" si="52"/>
        <v>0</v>
      </c>
      <c r="V137" s="18"/>
      <c r="W137" s="19">
        <f t="shared" si="53"/>
        <v>0</v>
      </c>
      <c r="X137" s="19">
        <f t="shared" si="54"/>
        <v>0</v>
      </c>
      <c r="Y137" s="18"/>
      <c r="Z137" s="18"/>
      <c r="AA137" s="19">
        <f t="shared" si="55"/>
        <v>0</v>
      </c>
      <c r="AB137" s="17">
        <v>0</v>
      </c>
      <c r="AC137" s="18"/>
      <c r="AD137" s="18"/>
      <c r="AE137" s="22">
        <f t="shared" si="56"/>
        <v>0</v>
      </c>
      <c r="AF137" s="23">
        <f t="shared" si="57"/>
        <v>0</v>
      </c>
      <c r="AG137" s="23">
        <f t="shared" si="58"/>
        <v>0</v>
      </c>
      <c r="AH137" s="18"/>
      <c r="AI137" s="24">
        <f t="shared" si="59"/>
        <v>0</v>
      </c>
      <c r="AJ137" s="25">
        <v>0</v>
      </c>
      <c r="AK137" s="24">
        <f t="shared" si="60"/>
        <v>0</v>
      </c>
      <c r="AL137" s="22">
        <f t="shared" si="61"/>
        <v>0</v>
      </c>
      <c r="AM137" s="22">
        <f t="shared" si="62"/>
        <v>0</v>
      </c>
      <c r="AN137" s="22">
        <f t="shared" si="63"/>
        <v>0</v>
      </c>
      <c r="AO137" s="26" t="str">
        <f t="shared" si="64"/>
        <v/>
      </c>
      <c r="AP137" s="26" t="str">
        <f t="shared" si="65"/>
        <v>pre-launch</v>
      </c>
      <c r="AQ137" s="18"/>
      <c r="AR137" s="18"/>
    </row>
    <row r="138" spans="1:44" x14ac:dyDescent="0.25">
      <c r="A138" s="43">
        <v>45199</v>
      </c>
      <c r="B138" s="17">
        <v>16861057.850000001</v>
      </c>
      <c r="C138" s="17">
        <v>0</v>
      </c>
      <c r="D138" s="18"/>
      <c r="E138" s="19">
        <f t="shared" si="44"/>
        <v>16861057.850000001</v>
      </c>
      <c r="F138" s="19">
        <f t="shared" si="45"/>
        <v>16861057.850000001</v>
      </c>
      <c r="G138" s="20">
        <f t="shared" si="46"/>
        <v>0</v>
      </c>
      <c r="H138" s="18"/>
      <c r="I138" s="18"/>
      <c r="J138" s="18"/>
      <c r="K138" s="19">
        <f t="shared" si="47"/>
        <v>0</v>
      </c>
      <c r="L138" s="18"/>
      <c r="M138" s="18"/>
      <c r="N138" s="18"/>
      <c r="O138" s="19">
        <f t="shared" si="48"/>
        <v>0</v>
      </c>
      <c r="P138" s="21">
        <f t="shared" si="49"/>
        <v>0</v>
      </c>
      <c r="Q138" s="18"/>
      <c r="R138" s="18"/>
      <c r="S138" s="19">
        <f t="shared" si="50"/>
        <v>0</v>
      </c>
      <c r="T138" s="20">
        <f t="shared" si="51"/>
        <v>0.03</v>
      </c>
      <c r="U138" s="19">
        <f t="shared" si="52"/>
        <v>0</v>
      </c>
      <c r="V138" s="18"/>
      <c r="W138" s="19">
        <f t="shared" si="53"/>
        <v>0</v>
      </c>
      <c r="X138" s="19">
        <f t="shared" si="54"/>
        <v>0</v>
      </c>
      <c r="Y138" s="18"/>
      <c r="Z138" s="18"/>
      <c r="AA138" s="19">
        <f t="shared" si="55"/>
        <v>0</v>
      </c>
      <c r="AB138" s="17">
        <v>0</v>
      </c>
      <c r="AC138" s="18"/>
      <c r="AD138" s="18"/>
      <c r="AE138" s="22">
        <f t="shared" si="56"/>
        <v>0</v>
      </c>
      <c r="AF138" s="23">
        <f t="shared" si="57"/>
        <v>0</v>
      </c>
      <c r="AG138" s="23">
        <f t="shared" si="58"/>
        <v>0</v>
      </c>
      <c r="AH138" s="18"/>
      <c r="AI138" s="24">
        <f t="shared" si="59"/>
        <v>0</v>
      </c>
      <c r="AJ138" s="25">
        <v>0</v>
      </c>
      <c r="AK138" s="24">
        <f t="shared" si="60"/>
        <v>0</v>
      </c>
      <c r="AL138" s="22">
        <f t="shared" si="61"/>
        <v>0</v>
      </c>
      <c r="AM138" s="22">
        <f t="shared" si="62"/>
        <v>0</v>
      </c>
      <c r="AN138" s="22">
        <f t="shared" si="63"/>
        <v>0</v>
      </c>
      <c r="AO138" s="26" t="str">
        <f t="shared" si="64"/>
        <v/>
      </c>
      <c r="AP138" s="26" t="str">
        <f t="shared" si="65"/>
        <v>pre-launch</v>
      </c>
      <c r="AQ138" s="18"/>
      <c r="AR138" s="18"/>
    </row>
    <row r="139" spans="1:44" x14ac:dyDescent="0.25">
      <c r="A139" s="43">
        <v>45200</v>
      </c>
      <c r="B139" s="17">
        <v>19761680.890000001</v>
      </c>
      <c r="C139" s="17">
        <v>0</v>
      </c>
      <c r="D139" s="18"/>
      <c r="E139" s="19">
        <f t="shared" si="44"/>
        <v>19761680.890000001</v>
      </c>
      <c r="F139" s="19">
        <f t="shared" si="45"/>
        <v>19761680.890000001</v>
      </c>
      <c r="G139" s="20">
        <f t="shared" si="46"/>
        <v>0</v>
      </c>
      <c r="H139" s="18"/>
      <c r="I139" s="18"/>
      <c r="J139" s="18"/>
      <c r="K139" s="19">
        <f t="shared" si="47"/>
        <v>0</v>
      </c>
      <c r="L139" s="18"/>
      <c r="M139" s="18"/>
      <c r="N139" s="18"/>
      <c r="O139" s="19">
        <f t="shared" si="48"/>
        <v>0</v>
      </c>
      <c r="P139" s="21">
        <f t="shared" si="49"/>
        <v>0</v>
      </c>
      <c r="Q139" s="18"/>
      <c r="R139" s="18"/>
      <c r="S139" s="19">
        <f t="shared" si="50"/>
        <v>0</v>
      </c>
      <c r="T139" s="20">
        <f t="shared" si="51"/>
        <v>0.03</v>
      </c>
      <c r="U139" s="19">
        <f t="shared" si="52"/>
        <v>0</v>
      </c>
      <c r="V139" s="18"/>
      <c r="W139" s="19">
        <f t="shared" si="53"/>
        <v>0</v>
      </c>
      <c r="X139" s="19">
        <f t="shared" si="54"/>
        <v>0</v>
      </c>
      <c r="Y139" s="18"/>
      <c r="Z139" s="18"/>
      <c r="AA139" s="19">
        <f t="shared" si="55"/>
        <v>0</v>
      </c>
      <c r="AB139" s="17">
        <v>0</v>
      </c>
      <c r="AC139" s="18"/>
      <c r="AD139" s="18"/>
      <c r="AE139" s="22">
        <f t="shared" si="56"/>
        <v>0</v>
      </c>
      <c r="AF139" s="23">
        <f t="shared" si="57"/>
        <v>0</v>
      </c>
      <c r="AG139" s="23">
        <f t="shared" si="58"/>
        <v>0</v>
      </c>
      <c r="AH139" s="18"/>
      <c r="AI139" s="24">
        <f t="shared" si="59"/>
        <v>0</v>
      </c>
      <c r="AJ139" s="25">
        <v>0</v>
      </c>
      <c r="AK139" s="24">
        <f t="shared" si="60"/>
        <v>0</v>
      </c>
      <c r="AL139" s="22">
        <f t="shared" si="61"/>
        <v>0</v>
      </c>
      <c r="AM139" s="22">
        <f t="shared" si="62"/>
        <v>0</v>
      </c>
      <c r="AN139" s="22">
        <f t="shared" si="63"/>
        <v>0</v>
      </c>
      <c r="AO139" s="26" t="str">
        <f t="shared" si="64"/>
        <v/>
      </c>
      <c r="AP139" s="26" t="str">
        <f t="shared" si="65"/>
        <v>pre-launch</v>
      </c>
      <c r="AQ139" s="18"/>
      <c r="AR139" s="18"/>
    </row>
    <row r="140" spans="1:44" x14ac:dyDescent="0.25">
      <c r="A140" s="43">
        <v>45201</v>
      </c>
      <c r="B140" s="17">
        <v>23617841.350000001</v>
      </c>
      <c r="C140" s="17">
        <v>0</v>
      </c>
      <c r="D140" s="18"/>
      <c r="E140" s="19">
        <f t="shared" si="44"/>
        <v>23617841.350000001</v>
      </c>
      <c r="F140" s="19">
        <f t="shared" si="45"/>
        <v>23617841.350000001</v>
      </c>
      <c r="G140" s="20">
        <f t="shared" si="46"/>
        <v>0</v>
      </c>
      <c r="H140" s="18"/>
      <c r="I140" s="18"/>
      <c r="J140" s="18"/>
      <c r="K140" s="19">
        <f t="shared" si="47"/>
        <v>0</v>
      </c>
      <c r="L140" s="18"/>
      <c r="M140" s="18"/>
      <c r="N140" s="18"/>
      <c r="O140" s="19">
        <f t="shared" si="48"/>
        <v>0</v>
      </c>
      <c r="P140" s="21">
        <f t="shared" si="49"/>
        <v>0</v>
      </c>
      <c r="Q140" s="18"/>
      <c r="R140" s="18"/>
      <c r="S140" s="19">
        <f t="shared" si="50"/>
        <v>0</v>
      </c>
      <c r="T140" s="20">
        <f t="shared" si="51"/>
        <v>0.03</v>
      </c>
      <c r="U140" s="19">
        <f t="shared" si="52"/>
        <v>0</v>
      </c>
      <c r="V140" s="18"/>
      <c r="W140" s="19">
        <f t="shared" si="53"/>
        <v>0</v>
      </c>
      <c r="X140" s="19">
        <f t="shared" si="54"/>
        <v>0</v>
      </c>
      <c r="Y140" s="18"/>
      <c r="Z140" s="18"/>
      <c r="AA140" s="19">
        <f t="shared" si="55"/>
        <v>0</v>
      </c>
      <c r="AB140" s="17">
        <v>0</v>
      </c>
      <c r="AC140" s="18"/>
      <c r="AD140" s="18"/>
      <c r="AE140" s="22">
        <f t="shared" si="56"/>
        <v>0</v>
      </c>
      <c r="AF140" s="23">
        <f t="shared" si="57"/>
        <v>0</v>
      </c>
      <c r="AG140" s="23">
        <f t="shared" si="58"/>
        <v>0</v>
      </c>
      <c r="AH140" s="18"/>
      <c r="AI140" s="24">
        <f t="shared" si="59"/>
        <v>0</v>
      </c>
      <c r="AJ140" s="25">
        <v>0</v>
      </c>
      <c r="AK140" s="24">
        <f t="shared" si="60"/>
        <v>0</v>
      </c>
      <c r="AL140" s="22">
        <f t="shared" si="61"/>
        <v>0</v>
      </c>
      <c r="AM140" s="22">
        <f t="shared" si="62"/>
        <v>0</v>
      </c>
      <c r="AN140" s="22">
        <f t="shared" si="63"/>
        <v>0</v>
      </c>
      <c r="AO140" s="26" t="str">
        <f t="shared" si="64"/>
        <v/>
      </c>
      <c r="AP140" s="26" t="str">
        <f t="shared" si="65"/>
        <v>pre-launch</v>
      </c>
      <c r="AQ140" s="18"/>
      <c r="AR140" s="18"/>
    </row>
    <row r="141" spans="1:44" x14ac:dyDescent="0.25">
      <c r="A141" s="43">
        <v>45202</v>
      </c>
      <c r="B141" s="17">
        <v>22745912.620000001</v>
      </c>
      <c r="C141" s="17">
        <v>0</v>
      </c>
      <c r="D141" s="18"/>
      <c r="E141" s="19">
        <f t="shared" si="44"/>
        <v>22745912.620000001</v>
      </c>
      <c r="F141" s="19">
        <f t="shared" si="45"/>
        <v>22745912.620000001</v>
      </c>
      <c r="G141" s="20">
        <f t="shared" si="46"/>
        <v>0</v>
      </c>
      <c r="H141" s="18"/>
      <c r="I141" s="18"/>
      <c r="J141" s="18"/>
      <c r="K141" s="19">
        <f t="shared" si="47"/>
        <v>0</v>
      </c>
      <c r="L141" s="18"/>
      <c r="M141" s="18"/>
      <c r="N141" s="18"/>
      <c r="O141" s="19">
        <f t="shared" si="48"/>
        <v>0</v>
      </c>
      <c r="P141" s="21">
        <f t="shared" si="49"/>
        <v>0</v>
      </c>
      <c r="Q141" s="18"/>
      <c r="R141" s="18"/>
      <c r="S141" s="19">
        <f t="shared" si="50"/>
        <v>0</v>
      </c>
      <c r="T141" s="20">
        <f t="shared" si="51"/>
        <v>0.03</v>
      </c>
      <c r="U141" s="19">
        <f t="shared" si="52"/>
        <v>0</v>
      </c>
      <c r="V141" s="18"/>
      <c r="W141" s="19">
        <f t="shared" si="53"/>
        <v>0</v>
      </c>
      <c r="X141" s="19">
        <f t="shared" si="54"/>
        <v>0</v>
      </c>
      <c r="Y141" s="18"/>
      <c r="Z141" s="18"/>
      <c r="AA141" s="19">
        <f t="shared" si="55"/>
        <v>0</v>
      </c>
      <c r="AB141" s="17">
        <v>0</v>
      </c>
      <c r="AC141" s="18"/>
      <c r="AD141" s="18"/>
      <c r="AE141" s="22">
        <f t="shared" si="56"/>
        <v>0</v>
      </c>
      <c r="AF141" s="23">
        <f t="shared" si="57"/>
        <v>0</v>
      </c>
      <c r="AG141" s="23">
        <f t="shared" si="58"/>
        <v>0</v>
      </c>
      <c r="AH141" s="18"/>
      <c r="AI141" s="24">
        <f t="shared" si="59"/>
        <v>0</v>
      </c>
      <c r="AJ141" s="25">
        <v>0</v>
      </c>
      <c r="AK141" s="24">
        <f t="shared" si="60"/>
        <v>0</v>
      </c>
      <c r="AL141" s="22">
        <f t="shared" si="61"/>
        <v>0</v>
      </c>
      <c r="AM141" s="22">
        <f t="shared" si="62"/>
        <v>0</v>
      </c>
      <c r="AN141" s="22">
        <f t="shared" si="63"/>
        <v>0</v>
      </c>
      <c r="AO141" s="26" t="str">
        <f t="shared" si="64"/>
        <v/>
      </c>
      <c r="AP141" s="26" t="str">
        <f t="shared" si="65"/>
        <v>pre-launch</v>
      </c>
      <c r="AQ141" s="18"/>
      <c r="AR141" s="18"/>
    </row>
    <row r="142" spans="1:44" x14ac:dyDescent="0.25">
      <c r="A142" s="43">
        <v>45203</v>
      </c>
      <c r="B142" s="17">
        <v>25781119.68</v>
      </c>
      <c r="C142" s="17">
        <v>0</v>
      </c>
      <c r="D142" s="18"/>
      <c r="E142" s="19">
        <f t="shared" si="44"/>
        <v>25781119.68</v>
      </c>
      <c r="F142" s="19">
        <f t="shared" si="45"/>
        <v>25781119.68</v>
      </c>
      <c r="G142" s="20">
        <f t="shared" si="46"/>
        <v>0</v>
      </c>
      <c r="H142" s="18"/>
      <c r="I142" s="18"/>
      <c r="J142" s="18"/>
      <c r="K142" s="19">
        <f t="shared" si="47"/>
        <v>0</v>
      </c>
      <c r="L142" s="18"/>
      <c r="M142" s="18"/>
      <c r="N142" s="18"/>
      <c r="O142" s="19">
        <f t="shared" si="48"/>
        <v>0</v>
      </c>
      <c r="P142" s="21">
        <f t="shared" si="49"/>
        <v>0</v>
      </c>
      <c r="Q142" s="18"/>
      <c r="R142" s="18"/>
      <c r="S142" s="19">
        <f t="shared" si="50"/>
        <v>0</v>
      </c>
      <c r="T142" s="20">
        <f t="shared" si="51"/>
        <v>0.03</v>
      </c>
      <c r="U142" s="19">
        <f t="shared" si="52"/>
        <v>0</v>
      </c>
      <c r="V142" s="18"/>
      <c r="W142" s="19">
        <f t="shared" si="53"/>
        <v>0</v>
      </c>
      <c r="X142" s="19">
        <f t="shared" si="54"/>
        <v>0</v>
      </c>
      <c r="Y142" s="18"/>
      <c r="Z142" s="18"/>
      <c r="AA142" s="19">
        <f t="shared" si="55"/>
        <v>0</v>
      </c>
      <c r="AB142" s="17">
        <v>0</v>
      </c>
      <c r="AC142" s="18"/>
      <c r="AD142" s="18"/>
      <c r="AE142" s="22">
        <f t="shared" si="56"/>
        <v>0</v>
      </c>
      <c r="AF142" s="23">
        <f t="shared" si="57"/>
        <v>0</v>
      </c>
      <c r="AG142" s="23">
        <f t="shared" si="58"/>
        <v>0</v>
      </c>
      <c r="AH142" s="18"/>
      <c r="AI142" s="24">
        <f t="shared" si="59"/>
        <v>0</v>
      </c>
      <c r="AJ142" s="25">
        <v>0</v>
      </c>
      <c r="AK142" s="24">
        <f t="shared" si="60"/>
        <v>0</v>
      </c>
      <c r="AL142" s="22">
        <f t="shared" si="61"/>
        <v>0</v>
      </c>
      <c r="AM142" s="22">
        <f t="shared" si="62"/>
        <v>0</v>
      </c>
      <c r="AN142" s="22">
        <f t="shared" si="63"/>
        <v>0</v>
      </c>
      <c r="AO142" s="26" t="str">
        <f t="shared" si="64"/>
        <v/>
      </c>
      <c r="AP142" s="26" t="str">
        <f t="shared" si="65"/>
        <v>pre-launch</v>
      </c>
      <c r="AQ142" s="18"/>
      <c r="AR142" s="18"/>
    </row>
    <row r="143" spans="1:44" x14ac:dyDescent="0.25">
      <c r="A143" s="43">
        <v>45204</v>
      </c>
      <c r="B143" s="17">
        <v>24682035.34</v>
      </c>
      <c r="C143" s="17">
        <v>0</v>
      </c>
      <c r="D143" s="18"/>
      <c r="E143" s="19">
        <f t="shared" si="44"/>
        <v>24682035.34</v>
      </c>
      <c r="F143" s="19">
        <f t="shared" si="45"/>
        <v>24682035.34</v>
      </c>
      <c r="G143" s="20">
        <f t="shared" si="46"/>
        <v>0</v>
      </c>
      <c r="H143" s="18"/>
      <c r="I143" s="18"/>
      <c r="J143" s="18"/>
      <c r="K143" s="19">
        <f t="shared" si="47"/>
        <v>0</v>
      </c>
      <c r="L143" s="18"/>
      <c r="M143" s="18"/>
      <c r="N143" s="18"/>
      <c r="O143" s="19">
        <f t="shared" si="48"/>
        <v>0</v>
      </c>
      <c r="P143" s="21">
        <f t="shared" si="49"/>
        <v>0</v>
      </c>
      <c r="Q143" s="18"/>
      <c r="R143" s="18"/>
      <c r="S143" s="19">
        <f t="shared" si="50"/>
        <v>0</v>
      </c>
      <c r="T143" s="20">
        <f t="shared" si="51"/>
        <v>0.03</v>
      </c>
      <c r="U143" s="19">
        <f t="shared" si="52"/>
        <v>0</v>
      </c>
      <c r="V143" s="18"/>
      <c r="W143" s="19">
        <f t="shared" si="53"/>
        <v>0</v>
      </c>
      <c r="X143" s="19">
        <f t="shared" si="54"/>
        <v>0</v>
      </c>
      <c r="Y143" s="18"/>
      <c r="Z143" s="18"/>
      <c r="AA143" s="19">
        <f t="shared" si="55"/>
        <v>0</v>
      </c>
      <c r="AB143" s="17">
        <v>0</v>
      </c>
      <c r="AC143" s="18"/>
      <c r="AD143" s="18"/>
      <c r="AE143" s="22">
        <f t="shared" si="56"/>
        <v>0</v>
      </c>
      <c r="AF143" s="23">
        <f t="shared" si="57"/>
        <v>0</v>
      </c>
      <c r="AG143" s="23">
        <f t="shared" si="58"/>
        <v>0</v>
      </c>
      <c r="AH143" s="18"/>
      <c r="AI143" s="24">
        <f t="shared" si="59"/>
        <v>0</v>
      </c>
      <c r="AJ143" s="25">
        <v>0</v>
      </c>
      <c r="AK143" s="24">
        <f t="shared" si="60"/>
        <v>0</v>
      </c>
      <c r="AL143" s="22">
        <f t="shared" si="61"/>
        <v>0</v>
      </c>
      <c r="AM143" s="22">
        <f t="shared" si="62"/>
        <v>0</v>
      </c>
      <c r="AN143" s="22">
        <f t="shared" si="63"/>
        <v>0</v>
      </c>
      <c r="AO143" s="26" t="str">
        <f t="shared" si="64"/>
        <v/>
      </c>
      <c r="AP143" s="26" t="str">
        <f t="shared" si="65"/>
        <v>pre-launch</v>
      </c>
      <c r="AQ143" s="18"/>
      <c r="AR143" s="18"/>
    </row>
    <row r="144" spans="1:44" x14ac:dyDescent="0.25">
      <c r="A144" s="43">
        <v>45205</v>
      </c>
      <c r="B144" s="17">
        <v>72406587.319999993</v>
      </c>
      <c r="C144" s="17">
        <v>0</v>
      </c>
      <c r="D144" s="18"/>
      <c r="E144" s="19">
        <f t="shared" si="44"/>
        <v>72406587.319999993</v>
      </c>
      <c r="F144" s="19">
        <f t="shared" si="45"/>
        <v>72406587.319999993</v>
      </c>
      <c r="G144" s="20">
        <f t="shared" si="46"/>
        <v>0</v>
      </c>
      <c r="H144" s="18"/>
      <c r="I144" s="18"/>
      <c r="J144" s="18"/>
      <c r="K144" s="19">
        <f t="shared" si="47"/>
        <v>0</v>
      </c>
      <c r="L144" s="18"/>
      <c r="M144" s="18"/>
      <c r="N144" s="18"/>
      <c r="O144" s="19">
        <f t="shared" si="48"/>
        <v>0</v>
      </c>
      <c r="P144" s="21">
        <f t="shared" si="49"/>
        <v>0</v>
      </c>
      <c r="Q144" s="18"/>
      <c r="R144" s="18"/>
      <c r="S144" s="19">
        <f t="shared" si="50"/>
        <v>0</v>
      </c>
      <c r="T144" s="20">
        <f t="shared" si="51"/>
        <v>0.03</v>
      </c>
      <c r="U144" s="19">
        <f t="shared" si="52"/>
        <v>0</v>
      </c>
      <c r="V144" s="18"/>
      <c r="W144" s="19">
        <f t="shared" si="53"/>
        <v>0</v>
      </c>
      <c r="X144" s="19">
        <f t="shared" si="54"/>
        <v>0</v>
      </c>
      <c r="Y144" s="18"/>
      <c r="Z144" s="18"/>
      <c r="AA144" s="19">
        <f t="shared" si="55"/>
        <v>0</v>
      </c>
      <c r="AB144" s="17">
        <v>0</v>
      </c>
      <c r="AC144" s="18"/>
      <c r="AD144" s="18"/>
      <c r="AE144" s="22">
        <f t="shared" si="56"/>
        <v>0</v>
      </c>
      <c r="AF144" s="23">
        <f t="shared" si="57"/>
        <v>0</v>
      </c>
      <c r="AG144" s="23">
        <f t="shared" si="58"/>
        <v>0</v>
      </c>
      <c r="AH144" s="18"/>
      <c r="AI144" s="24">
        <f t="shared" si="59"/>
        <v>0</v>
      </c>
      <c r="AJ144" s="25">
        <v>0</v>
      </c>
      <c r="AK144" s="24">
        <f t="shared" si="60"/>
        <v>0</v>
      </c>
      <c r="AL144" s="22">
        <f t="shared" si="61"/>
        <v>0</v>
      </c>
      <c r="AM144" s="22">
        <f t="shared" si="62"/>
        <v>0</v>
      </c>
      <c r="AN144" s="22">
        <f t="shared" si="63"/>
        <v>0</v>
      </c>
      <c r="AO144" s="26" t="str">
        <f t="shared" si="64"/>
        <v/>
      </c>
      <c r="AP144" s="26" t="str">
        <f t="shared" si="65"/>
        <v>pre-launch</v>
      </c>
      <c r="AQ144" s="18"/>
      <c r="AR144" s="18"/>
    </row>
    <row r="145" spans="1:44" x14ac:dyDescent="0.25">
      <c r="A145" s="43">
        <v>45206</v>
      </c>
      <c r="B145" s="17">
        <v>18651190.43</v>
      </c>
      <c r="C145" s="17">
        <v>0</v>
      </c>
      <c r="D145" s="18"/>
      <c r="E145" s="19">
        <f t="shared" si="44"/>
        <v>18651190.43</v>
      </c>
      <c r="F145" s="19">
        <f t="shared" si="45"/>
        <v>18651190.43</v>
      </c>
      <c r="G145" s="20">
        <f t="shared" si="46"/>
        <v>0</v>
      </c>
      <c r="H145" s="18"/>
      <c r="I145" s="18"/>
      <c r="J145" s="18"/>
      <c r="K145" s="19">
        <f t="shared" si="47"/>
        <v>0</v>
      </c>
      <c r="L145" s="18"/>
      <c r="M145" s="18"/>
      <c r="N145" s="18"/>
      <c r="O145" s="19">
        <f t="shared" si="48"/>
        <v>0</v>
      </c>
      <c r="P145" s="21">
        <f t="shared" si="49"/>
        <v>0</v>
      </c>
      <c r="Q145" s="18"/>
      <c r="R145" s="18"/>
      <c r="S145" s="19">
        <f t="shared" si="50"/>
        <v>0</v>
      </c>
      <c r="T145" s="20">
        <f t="shared" si="51"/>
        <v>0.03</v>
      </c>
      <c r="U145" s="19">
        <f t="shared" si="52"/>
        <v>0</v>
      </c>
      <c r="V145" s="18"/>
      <c r="W145" s="19">
        <f t="shared" si="53"/>
        <v>0</v>
      </c>
      <c r="X145" s="19">
        <f t="shared" si="54"/>
        <v>0</v>
      </c>
      <c r="Y145" s="18"/>
      <c r="Z145" s="18"/>
      <c r="AA145" s="19">
        <f t="shared" si="55"/>
        <v>0</v>
      </c>
      <c r="AB145" s="17">
        <v>0</v>
      </c>
      <c r="AC145" s="18"/>
      <c r="AD145" s="18"/>
      <c r="AE145" s="22">
        <f t="shared" si="56"/>
        <v>0</v>
      </c>
      <c r="AF145" s="23">
        <f t="shared" si="57"/>
        <v>0</v>
      </c>
      <c r="AG145" s="23">
        <f t="shared" si="58"/>
        <v>0</v>
      </c>
      <c r="AH145" s="18"/>
      <c r="AI145" s="24">
        <f t="shared" si="59"/>
        <v>0</v>
      </c>
      <c r="AJ145" s="25">
        <v>0</v>
      </c>
      <c r="AK145" s="24">
        <f t="shared" si="60"/>
        <v>0</v>
      </c>
      <c r="AL145" s="22">
        <f t="shared" si="61"/>
        <v>0</v>
      </c>
      <c r="AM145" s="22">
        <f t="shared" si="62"/>
        <v>0</v>
      </c>
      <c r="AN145" s="22">
        <f t="shared" si="63"/>
        <v>0</v>
      </c>
      <c r="AO145" s="26" t="str">
        <f t="shared" si="64"/>
        <v/>
      </c>
      <c r="AP145" s="26" t="str">
        <f t="shared" si="65"/>
        <v>pre-launch</v>
      </c>
      <c r="AQ145" s="18"/>
      <c r="AR145" s="18"/>
    </row>
    <row r="146" spans="1:44" x14ac:dyDescent="0.25">
      <c r="A146" s="43">
        <v>45207</v>
      </c>
      <c r="B146" s="17">
        <v>16980086.25</v>
      </c>
      <c r="C146" s="17">
        <v>0</v>
      </c>
      <c r="D146" s="18"/>
      <c r="E146" s="19">
        <f t="shared" si="44"/>
        <v>16980086.25</v>
      </c>
      <c r="F146" s="19">
        <f t="shared" si="45"/>
        <v>16980086.25</v>
      </c>
      <c r="G146" s="20">
        <f t="shared" si="46"/>
        <v>0</v>
      </c>
      <c r="H146" s="18"/>
      <c r="I146" s="18"/>
      <c r="J146" s="18"/>
      <c r="K146" s="19">
        <f t="shared" si="47"/>
        <v>0</v>
      </c>
      <c r="L146" s="18"/>
      <c r="M146" s="18"/>
      <c r="N146" s="18"/>
      <c r="O146" s="19">
        <f t="shared" si="48"/>
        <v>0</v>
      </c>
      <c r="P146" s="21">
        <f t="shared" si="49"/>
        <v>0</v>
      </c>
      <c r="Q146" s="18"/>
      <c r="R146" s="18"/>
      <c r="S146" s="19">
        <f t="shared" si="50"/>
        <v>0</v>
      </c>
      <c r="T146" s="20">
        <f t="shared" si="51"/>
        <v>0.03</v>
      </c>
      <c r="U146" s="19">
        <f t="shared" si="52"/>
        <v>0</v>
      </c>
      <c r="V146" s="18"/>
      <c r="W146" s="19">
        <f t="shared" si="53"/>
        <v>0</v>
      </c>
      <c r="X146" s="19">
        <f t="shared" si="54"/>
        <v>0</v>
      </c>
      <c r="Y146" s="18"/>
      <c r="Z146" s="18"/>
      <c r="AA146" s="19">
        <f t="shared" si="55"/>
        <v>0</v>
      </c>
      <c r="AB146" s="17">
        <v>0</v>
      </c>
      <c r="AC146" s="18"/>
      <c r="AD146" s="18"/>
      <c r="AE146" s="22">
        <f t="shared" si="56"/>
        <v>0</v>
      </c>
      <c r="AF146" s="23">
        <f t="shared" si="57"/>
        <v>0</v>
      </c>
      <c r="AG146" s="23">
        <f t="shared" si="58"/>
        <v>0</v>
      </c>
      <c r="AH146" s="18"/>
      <c r="AI146" s="24">
        <f t="shared" si="59"/>
        <v>0</v>
      </c>
      <c r="AJ146" s="25">
        <v>0</v>
      </c>
      <c r="AK146" s="24">
        <f t="shared" si="60"/>
        <v>0</v>
      </c>
      <c r="AL146" s="22">
        <f t="shared" si="61"/>
        <v>0</v>
      </c>
      <c r="AM146" s="22">
        <f t="shared" si="62"/>
        <v>0</v>
      </c>
      <c r="AN146" s="22">
        <f t="shared" si="63"/>
        <v>0</v>
      </c>
      <c r="AO146" s="26" t="str">
        <f t="shared" si="64"/>
        <v/>
      </c>
      <c r="AP146" s="26" t="str">
        <f t="shared" si="65"/>
        <v>pre-launch</v>
      </c>
      <c r="AQ146" s="18"/>
      <c r="AR146" s="18"/>
    </row>
    <row r="147" spans="1:44" x14ac:dyDescent="0.25">
      <c r="A147" s="43">
        <v>45208</v>
      </c>
      <c r="B147" s="17">
        <v>24635905.18</v>
      </c>
      <c r="C147" s="17">
        <v>0</v>
      </c>
      <c r="D147" s="18"/>
      <c r="E147" s="19">
        <f t="shared" si="44"/>
        <v>24635905.18</v>
      </c>
      <c r="F147" s="19">
        <f t="shared" si="45"/>
        <v>24635905.18</v>
      </c>
      <c r="G147" s="20">
        <f t="shared" si="46"/>
        <v>0</v>
      </c>
      <c r="H147" s="18"/>
      <c r="I147" s="18"/>
      <c r="J147" s="18"/>
      <c r="K147" s="19">
        <f t="shared" si="47"/>
        <v>0</v>
      </c>
      <c r="L147" s="18"/>
      <c r="M147" s="18"/>
      <c r="N147" s="18"/>
      <c r="O147" s="19">
        <f t="shared" si="48"/>
        <v>0</v>
      </c>
      <c r="P147" s="21">
        <f t="shared" si="49"/>
        <v>0</v>
      </c>
      <c r="Q147" s="18"/>
      <c r="R147" s="18"/>
      <c r="S147" s="19">
        <f t="shared" si="50"/>
        <v>0</v>
      </c>
      <c r="T147" s="20">
        <f t="shared" si="51"/>
        <v>0.03</v>
      </c>
      <c r="U147" s="19">
        <f t="shared" si="52"/>
        <v>0</v>
      </c>
      <c r="V147" s="18"/>
      <c r="W147" s="19">
        <f t="shared" si="53"/>
        <v>0</v>
      </c>
      <c r="X147" s="19">
        <f t="shared" si="54"/>
        <v>0</v>
      </c>
      <c r="Y147" s="18"/>
      <c r="Z147" s="18"/>
      <c r="AA147" s="19">
        <f t="shared" si="55"/>
        <v>0</v>
      </c>
      <c r="AB147" s="17">
        <v>0</v>
      </c>
      <c r="AC147" s="18"/>
      <c r="AD147" s="18"/>
      <c r="AE147" s="22">
        <f t="shared" si="56"/>
        <v>0</v>
      </c>
      <c r="AF147" s="23">
        <f t="shared" si="57"/>
        <v>0</v>
      </c>
      <c r="AG147" s="23">
        <f t="shared" si="58"/>
        <v>0</v>
      </c>
      <c r="AH147" s="18"/>
      <c r="AI147" s="24">
        <f t="shared" si="59"/>
        <v>0</v>
      </c>
      <c r="AJ147" s="25">
        <v>0</v>
      </c>
      <c r="AK147" s="24">
        <f t="shared" si="60"/>
        <v>0</v>
      </c>
      <c r="AL147" s="22">
        <f t="shared" si="61"/>
        <v>0</v>
      </c>
      <c r="AM147" s="22">
        <f t="shared" si="62"/>
        <v>0</v>
      </c>
      <c r="AN147" s="22">
        <f t="shared" si="63"/>
        <v>0</v>
      </c>
      <c r="AO147" s="26" t="str">
        <f t="shared" si="64"/>
        <v/>
      </c>
      <c r="AP147" s="26" t="str">
        <f t="shared" si="65"/>
        <v>pre-launch</v>
      </c>
      <c r="AQ147" s="18"/>
      <c r="AR147" s="18"/>
    </row>
    <row r="148" spans="1:44" x14ac:dyDescent="0.25">
      <c r="A148" s="43">
        <v>45209</v>
      </c>
      <c r="B148" s="17">
        <v>20360488.170000002</v>
      </c>
      <c r="C148" s="17">
        <v>0</v>
      </c>
      <c r="D148" s="18"/>
      <c r="E148" s="19">
        <f t="shared" si="44"/>
        <v>20360488.170000002</v>
      </c>
      <c r="F148" s="19">
        <f t="shared" si="45"/>
        <v>20360488.170000002</v>
      </c>
      <c r="G148" s="20">
        <f t="shared" si="46"/>
        <v>0</v>
      </c>
      <c r="H148" s="18"/>
      <c r="I148" s="18"/>
      <c r="J148" s="18"/>
      <c r="K148" s="19">
        <f t="shared" si="47"/>
        <v>0</v>
      </c>
      <c r="L148" s="18"/>
      <c r="M148" s="18"/>
      <c r="N148" s="18"/>
      <c r="O148" s="19">
        <f t="shared" si="48"/>
        <v>0</v>
      </c>
      <c r="P148" s="21">
        <f t="shared" si="49"/>
        <v>0</v>
      </c>
      <c r="Q148" s="18"/>
      <c r="R148" s="18"/>
      <c r="S148" s="19">
        <f t="shared" si="50"/>
        <v>0</v>
      </c>
      <c r="T148" s="20">
        <f t="shared" si="51"/>
        <v>0.03</v>
      </c>
      <c r="U148" s="19">
        <f t="shared" si="52"/>
        <v>0</v>
      </c>
      <c r="V148" s="18"/>
      <c r="W148" s="19">
        <f t="shared" si="53"/>
        <v>0</v>
      </c>
      <c r="X148" s="19">
        <f t="shared" si="54"/>
        <v>0</v>
      </c>
      <c r="Y148" s="18"/>
      <c r="Z148" s="18"/>
      <c r="AA148" s="19">
        <f t="shared" si="55"/>
        <v>0</v>
      </c>
      <c r="AB148" s="17">
        <v>0</v>
      </c>
      <c r="AC148" s="18"/>
      <c r="AD148" s="18"/>
      <c r="AE148" s="22">
        <f t="shared" si="56"/>
        <v>0</v>
      </c>
      <c r="AF148" s="23">
        <f t="shared" si="57"/>
        <v>0</v>
      </c>
      <c r="AG148" s="23">
        <f t="shared" si="58"/>
        <v>0</v>
      </c>
      <c r="AH148" s="18"/>
      <c r="AI148" s="24">
        <f t="shared" si="59"/>
        <v>0</v>
      </c>
      <c r="AJ148" s="25">
        <v>0</v>
      </c>
      <c r="AK148" s="24">
        <f t="shared" si="60"/>
        <v>0</v>
      </c>
      <c r="AL148" s="22">
        <f t="shared" si="61"/>
        <v>0</v>
      </c>
      <c r="AM148" s="22">
        <f t="shared" si="62"/>
        <v>0</v>
      </c>
      <c r="AN148" s="22">
        <f t="shared" si="63"/>
        <v>0</v>
      </c>
      <c r="AO148" s="26" t="str">
        <f t="shared" si="64"/>
        <v/>
      </c>
      <c r="AP148" s="26" t="str">
        <f t="shared" si="65"/>
        <v>pre-launch</v>
      </c>
      <c r="AQ148" s="18"/>
      <c r="AR148" s="18"/>
    </row>
    <row r="149" spans="1:44" x14ac:dyDescent="0.25">
      <c r="A149" s="43">
        <v>45210</v>
      </c>
      <c r="B149" s="17">
        <v>27353167.719999999</v>
      </c>
      <c r="C149" s="17">
        <v>0</v>
      </c>
      <c r="D149" s="18"/>
      <c r="E149" s="19">
        <f t="shared" si="44"/>
        <v>27353167.719999999</v>
      </c>
      <c r="F149" s="19">
        <f t="shared" si="45"/>
        <v>27353167.719999999</v>
      </c>
      <c r="G149" s="20">
        <f t="shared" si="46"/>
        <v>0</v>
      </c>
      <c r="H149" s="18"/>
      <c r="I149" s="18"/>
      <c r="J149" s="18"/>
      <c r="K149" s="19">
        <f t="shared" si="47"/>
        <v>0</v>
      </c>
      <c r="L149" s="18"/>
      <c r="M149" s="18"/>
      <c r="N149" s="18"/>
      <c r="O149" s="19">
        <f t="shared" si="48"/>
        <v>0</v>
      </c>
      <c r="P149" s="21">
        <f t="shared" si="49"/>
        <v>0</v>
      </c>
      <c r="Q149" s="18"/>
      <c r="R149" s="18"/>
      <c r="S149" s="19">
        <f t="shared" si="50"/>
        <v>0</v>
      </c>
      <c r="T149" s="20">
        <f t="shared" si="51"/>
        <v>0.03</v>
      </c>
      <c r="U149" s="19">
        <f t="shared" si="52"/>
        <v>0</v>
      </c>
      <c r="V149" s="18"/>
      <c r="W149" s="19">
        <f t="shared" si="53"/>
        <v>0</v>
      </c>
      <c r="X149" s="19">
        <f t="shared" si="54"/>
        <v>0</v>
      </c>
      <c r="Y149" s="18"/>
      <c r="Z149" s="18"/>
      <c r="AA149" s="19">
        <f t="shared" si="55"/>
        <v>0</v>
      </c>
      <c r="AB149" s="17">
        <v>0</v>
      </c>
      <c r="AC149" s="18"/>
      <c r="AD149" s="18"/>
      <c r="AE149" s="22">
        <f t="shared" si="56"/>
        <v>0</v>
      </c>
      <c r="AF149" s="23">
        <f t="shared" si="57"/>
        <v>0</v>
      </c>
      <c r="AG149" s="23">
        <f t="shared" si="58"/>
        <v>0</v>
      </c>
      <c r="AH149" s="18"/>
      <c r="AI149" s="24">
        <f t="shared" si="59"/>
        <v>0</v>
      </c>
      <c r="AJ149" s="25">
        <v>0</v>
      </c>
      <c r="AK149" s="24">
        <f t="shared" si="60"/>
        <v>0</v>
      </c>
      <c r="AL149" s="22">
        <f t="shared" si="61"/>
        <v>0</v>
      </c>
      <c r="AM149" s="22">
        <f t="shared" si="62"/>
        <v>0</v>
      </c>
      <c r="AN149" s="22">
        <f t="shared" si="63"/>
        <v>0</v>
      </c>
      <c r="AO149" s="26" t="str">
        <f t="shared" si="64"/>
        <v/>
      </c>
      <c r="AP149" s="26" t="str">
        <f t="shared" si="65"/>
        <v>pre-launch</v>
      </c>
      <c r="AQ149" s="18"/>
      <c r="AR149" s="18"/>
    </row>
    <row r="150" spans="1:44" x14ac:dyDescent="0.25">
      <c r="A150" s="43">
        <v>45211</v>
      </c>
      <c r="B150" s="17">
        <v>22649071.719999999</v>
      </c>
      <c r="C150" s="17">
        <v>0</v>
      </c>
      <c r="D150" s="18"/>
      <c r="E150" s="19">
        <f t="shared" si="44"/>
        <v>22649071.719999999</v>
      </c>
      <c r="F150" s="19">
        <f t="shared" si="45"/>
        <v>22649071.719999999</v>
      </c>
      <c r="G150" s="20">
        <f t="shared" si="46"/>
        <v>0</v>
      </c>
      <c r="H150" s="18"/>
      <c r="I150" s="18"/>
      <c r="J150" s="18"/>
      <c r="K150" s="19">
        <f t="shared" si="47"/>
        <v>0</v>
      </c>
      <c r="L150" s="18"/>
      <c r="M150" s="18"/>
      <c r="N150" s="18"/>
      <c r="O150" s="19">
        <f t="shared" si="48"/>
        <v>0</v>
      </c>
      <c r="P150" s="21">
        <f t="shared" si="49"/>
        <v>0</v>
      </c>
      <c r="Q150" s="18"/>
      <c r="R150" s="18"/>
      <c r="S150" s="19">
        <f t="shared" si="50"/>
        <v>0</v>
      </c>
      <c r="T150" s="20">
        <f t="shared" si="51"/>
        <v>0.03</v>
      </c>
      <c r="U150" s="19">
        <f t="shared" si="52"/>
        <v>0</v>
      </c>
      <c r="V150" s="18"/>
      <c r="W150" s="19">
        <f t="shared" si="53"/>
        <v>0</v>
      </c>
      <c r="X150" s="19">
        <f t="shared" si="54"/>
        <v>0</v>
      </c>
      <c r="Y150" s="18"/>
      <c r="Z150" s="18"/>
      <c r="AA150" s="19">
        <f t="shared" si="55"/>
        <v>0</v>
      </c>
      <c r="AB150" s="17">
        <v>0</v>
      </c>
      <c r="AC150" s="18"/>
      <c r="AD150" s="18"/>
      <c r="AE150" s="22">
        <f t="shared" si="56"/>
        <v>0</v>
      </c>
      <c r="AF150" s="23">
        <f t="shared" si="57"/>
        <v>0</v>
      </c>
      <c r="AG150" s="23">
        <f t="shared" si="58"/>
        <v>0</v>
      </c>
      <c r="AH150" s="18"/>
      <c r="AI150" s="24">
        <f t="shared" si="59"/>
        <v>0</v>
      </c>
      <c r="AJ150" s="25">
        <v>0</v>
      </c>
      <c r="AK150" s="24">
        <f t="shared" si="60"/>
        <v>0</v>
      </c>
      <c r="AL150" s="22">
        <f t="shared" si="61"/>
        <v>0</v>
      </c>
      <c r="AM150" s="22">
        <f t="shared" si="62"/>
        <v>0</v>
      </c>
      <c r="AN150" s="22">
        <f t="shared" si="63"/>
        <v>0</v>
      </c>
      <c r="AO150" s="26" t="str">
        <f t="shared" si="64"/>
        <v/>
      </c>
      <c r="AP150" s="26" t="str">
        <f t="shared" si="65"/>
        <v>pre-launch</v>
      </c>
      <c r="AQ150" s="18"/>
      <c r="AR150" s="18"/>
    </row>
    <row r="151" spans="1:44" x14ac:dyDescent="0.25">
      <c r="A151" s="43">
        <v>45212</v>
      </c>
      <c r="B151" s="17">
        <v>42670868.859999999</v>
      </c>
      <c r="C151" s="17">
        <v>0</v>
      </c>
      <c r="D151" s="18"/>
      <c r="E151" s="19">
        <f t="shared" si="44"/>
        <v>42670868.859999999</v>
      </c>
      <c r="F151" s="19">
        <f t="shared" si="45"/>
        <v>42670868.859999999</v>
      </c>
      <c r="G151" s="20">
        <f t="shared" si="46"/>
        <v>0</v>
      </c>
      <c r="H151" s="18"/>
      <c r="I151" s="18"/>
      <c r="J151" s="18"/>
      <c r="K151" s="19">
        <f t="shared" si="47"/>
        <v>0</v>
      </c>
      <c r="L151" s="18"/>
      <c r="M151" s="18"/>
      <c r="N151" s="18"/>
      <c r="O151" s="19">
        <f t="shared" si="48"/>
        <v>0</v>
      </c>
      <c r="P151" s="21">
        <f t="shared" si="49"/>
        <v>0</v>
      </c>
      <c r="Q151" s="18"/>
      <c r="R151" s="18"/>
      <c r="S151" s="19">
        <f t="shared" si="50"/>
        <v>0</v>
      </c>
      <c r="T151" s="20">
        <f t="shared" si="51"/>
        <v>0.03</v>
      </c>
      <c r="U151" s="19">
        <f t="shared" si="52"/>
        <v>0</v>
      </c>
      <c r="V151" s="18"/>
      <c r="W151" s="19">
        <f t="shared" si="53"/>
        <v>0</v>
      </c>
      <c r="X151" s="19">
        <f t="shared" si="54"/>
        <v>0</v>
      </c>
      <c r="Y151" s="18"/>
      <c r="Z151" s="18"/>
      <c r="AA151" s="19">
        <f t="shared" si="55"/>
        <v>0</v>
      </c>
      <c r="AB151" s="17">
        <v>0</v>
      </c>
      <c r="AC151" s="18"/>
      <c r="AD151" s="18"/>
      <c r="AE151" s="22">
        <f t="shared" si="56"/>
        <v>0</v>
      </c>
      <c r="AF151" s="23">
        <f t="shared" si="57"/>
        <v>0</v>
      </c>
      <c r="AG151" s="23">
        <f t="shared" si="58"/>
        <v>0</v>
      </c>
      <c r="AH151" s="18"/>
      <c r="AI151" s="24">
        <f t="shared" si="59"/>
        <v>0</v>
      </c>
      <c r="AJ151" s="25">
        <v>0</v>
      </c>
      <c r="AK151" s="24">
        <f t="shared" si="60"/>
        <v>0</v>
      </c>
      <c r="AL151" s="22">
        <f t="shared" si="61"/>
        <v>0</v>
      </c>
      <c r="AM151" s="22">
        <f t="shared" si="62"/>
        <v>0</v>
      </c>
      <c r="AN151" s="22">
        <f t="shared" si="63"/>
        <v>0</v>
      </c>
      <c r="AO151" s="26" t="str">
        <f t="shared" si="64"/>
        <v/>
      </c>
      <c r="AP151" s="26" t="str">
        <f t="shared" si="65"/>
        <v>pre-launch</v>
      </c>
      <c r="AQ151" s="18"/>
      <c r="AR151" s="18"/>
    </row>
    <row r="152" spans="1:44" x14ac:dyDescent="0.25">
      <c r="A152" s="43">
        <v>45213</v>
      </c>
      <c r="B152" s="17">
        <v>24195150.989999998</v>
      </c>
      <c r="C152" s="17">
        <v>0</v>
      </c>
      <c r="D152" s="18"/>
      <c r="E152" s="19">
        <f t="shared" si="44"/>
        <v>24195150.989999998</v>
      </c>
      <c r="F152" s="19">
        <f t="shared" si="45"/>
        <v>24195150.989999998</v>
      </c>
      <c r="G152" s="20">
        <f t="shared" si="46"/>
        <v>0</v>
      </c>
      <c r="H152" s="18"/>
      <c r="I152" s="18"/>
      <c r="J152" s="18"/>
      <c r="K152" s="19">
        <f t="shared" si="47"/>
        <v>0</v>
      </c>
      <c r="L152" s="18"/>
      <c r="M152" s="18"/>
      <c r="N152" s="18"/>
      <c r="O152" s="19">
        <f t="shared" si="48"/>
        <v>0</v>
      </c>
      <c r="P152" s="21">
        <f t="shared" si="49"/>
        <v>0</v>
      </c>
      <c r="Q152" s="18"/>
      <c r="R152" s="18"/>
      <c r="S152" s="19">
        <f t="shared" si="50"/>
        <v>0</v>
      </c>
      <c r="T152" s="20">
        <f t="shared" si="51"/>
        <v>0.03</v>
      </c>
      <c r="U152" s="19">
        <f t="shared" si="52"/>
        <v>0</v>
      </c>
      <c r="V152" s="18"/>
      <c r="W152" s="19">
        <f t="shared" si="53"/>
        <v>0</v>
      </c>
      <c r="X152" s="19">
        <f t="shared" si="54"/>
        <v>0</v>
      </c>
      <c r="Y152" s="18"/>
      <c r="Z152" s="18"/>
      <c r="AA152" s="19">
        <f t="shared" si="55"/>
        <v>0</v>
      </c>
      <c r="AB152" s="17">
        <v>0</v>
      </c>
      <c r="AC152" s="18"/>
      <c r="AD152" s="18"/>
      <c r="AE152" s="22">
        <f t="shared" si="56"/>
        <v>0</v>
      </c>
      <c r="AF152" s="23">
        <f t="shared" si="57"/>
        <v>0</v>
      </c>
      <c r="AG152" s="23">
        <f t="shared" si="58"/>
        <v>0</v>
      </c>
      <c r="AH152" s="18"/>
      <c r="AI152" s="24">
        <f t="shared" si="59"/>
        <v>0</v>
      </c>
      <c r="AJ152" s="25">
        <v>0</v>
      </c>
      <c r="AK152" s="24">
        <f t="shared" si="60"/>
        <v>0</v>
      </c>
      <c r="AL152" s="22">
        <f t="shared" si="61"/>
        <v>0</v>
      </c>
      <c r="AM152" s="22">
        <f t="shared" si="62"/>
        <v>0</v>
      </c>
      <c r="AN152" s="22">
        <f t="shared" si="63"/>
        <v>0</v>
      </c>
      <c r="AO152" s="26" t="str">
        <f t="shared" si="64"/>
        <v/>
      </c>
      <c r="AP152" s="26" t="str">
        <f t="shared" si="65"/>
        <v>pre-launch</v>
      </c>
      <c r="AQ152" s="18"/>
      <c r="AR152" s="18"/>
    </row>
    <row r="153" spans="1:44" x14ac:dyDescent="0.25">
      <c r="A153" s="43">
        <v>45214</v>
      </c>
      <c r="B153" s="17">
        <v>29268237.739999998</v>
      </c>
      <c r="C153" s="17">
        <v>0</v>
      </c>
      <c r="D153" s="18"/>
      <c r="E153" s="19">
        <f t="shared" si="44"/>
        <v>29268237.739999998</v>
      </c>
      <c r="F153" s="19">
        <f t="shared" si="45"/>
        <v>29268237.739999998</v>
      </c>
      <c r="G153" s="20">
        <f t="shared" si="46"/>
        <v>0</v>
      </c>
      <c r="H153" s="18"/>
      <c r="I153" s="18"/>
      <c r="J153" s="18"/>
      <c r="K153" s="19">
        <f t="shared" si="47"/>
        <v>0</v>
      </c>
      <c r="L153" s="18"/>
      <c r="M153" s="18"/>
      <c r="N153" s="18"/>
      <c r="O153" s="19">
        <f t="shared" si="48"/>
        <v>0</v>
      </c>
      <c r="P153" s="21">
        <f t="shared" si="49"/>
        <v>0</v>
      </c>
      <c r="Q153" s="18"/>
      <c r="R153" s="18"/>
      <c r="S153" s="19">
        <f t="shared" si="50"/>
        <v>0</v>
      </c>
      <c r="T153" s="20">
        <f t="shared" si="51"/>
        <v>0.03</v>
      </c>
      <c r="U153" s="19">
        <f t="shared" si="52"/>
        <v>0</v>
      </c>
      <c r="V153" s="18"/>
      <c r="W153" s="19">
        <f t="shared" si="53"/>
        <v>0</v>
      </c>
      <c r="X153" s="19">
        <f t="shared" si="54"/>
        <v>0</v>
      </c>
      <c r="Y153" s="18"/>
      <c r="Z153" s="18"/>
      <c r="AA153" s="19">
        <f t="shared" si="55"/>
        <v>0</v>
      </c>
      <c r="AB153" s="17">
        <v>0</v>
      </c>
      <c r="AC153" s="18"/>
      <c r="AD153" s="18"/>
      <c r="AE153" s="22">
        <f t="shared" si="56"/>
        <v>0</v>
      </c>
      <c r="AF153" s="23">
        <f t="shared" si="57"/>
        <v>0</v>
      </c>
      <c r="AG153" s="23">
        <f t="shared" si="58"/>
        <v>0</v>
      </c>
      <c r="AH153" s="18"/>
      <c r="AI153" s="24">
        <f t="shared" si="59"/>
        <v>0</v>
      </c>
      <c r="AJ153" s="25">
        <v>0</v>
      </c>
      <c r="AK153" s="24">
        <f t="shared" si="60"/>
        <v>0</v>
      </c>
      <c r="AL153" s="22">
        <f t="shared" si="61"/>
        <v>0</v>
      </c>
      <c r="AM153" s="22">
        <f t="shared" si="62"/>
        <v>0</v>
      </c>
      <c r="AN153" s="22">
        <f t="shared" si="63"/>
        <v>0</v>
      </c>
      <c r="AO153" s="26" t="str">
        <f t="shared" si="64"/>
        <v/>
      </c>
      <c r="AP153" s="26" t="str">
        <f t="shared" si="65"/>
        <v>pre-launch</v>
      </c>
      <c r="AQ153" s="18"/>
      <c r="AR153" s="18"/>
    </row>
    <row r="154" spans="1:44" x14ac:dyDescent="0.25">
      <c r="A154" s="43">
        <v>45215</v>
      </c>
      <c r="B154" s="17">
        <v>35897320.920000002</v>
      </c>
      <c r="C154" s="17">
        <v>0</v>
      </c>
      <c r="D154" s="18"/>
      <c r="E154" s="19">
        <f t="shared" si="44"/>
        <v>35897320.920000002</v>
      </c>
      <c r="F154" s="19">
        <f t="shared" si="45"/>
        <v>35897320.920000002</v>
      </c>
      <c r="G154" s="20">
        <f t="shared" si="46"/>
        <v>0</v>
      </c>
      <c r="H154" s="18"/>
      <c r="I154" s="18"/>
      <c r="J154" s="18"/>
      <c r="K154" s="19">
        <f t="shared" si="47"/>
        <v>0</v>
      </c>
      <c r="L154" s="18"/>
      <c r="M154" s="18"/>
      <c r="N154" s="18"/>
      <c r="O154" s="19">
        <f t="shared" si="48"/>
        <v>0</v>
      </c>
      <c r="P154" s="21">
        <f t="shared" si="49"/>
        <v>0</v>
      </c>
      <c r="Q154" s="18"/>
      <c r="R154" s="18"/>
      <c r="S154" s="19">
        <f t="shared" si="50"/>
        <v>0</v>
      </c>
      <c r="T154" s="20">
        <f t="shared" si="51"/>
        <v>0.03</v>
      </c>
      <c r="U154" s="19">
        <f t="shared" si="52"/>
        <v>0</v>
      </c>
      <c r="V154" s="18"/>
      <c r="W154" s="19">
        <f t="shared" si="53"/>
        <v>0</v>
      </c>
      <c r="X154" s="19">
        <f t="shared" si="54"/>
        <v>0</v>
      </c>
      <c r="Y154" s="18"/>
      <c r="Z154" s="18"/>
      <c r="AA154" s="19">
        <f t="shared" si="55"/>
        <v>0</v>
      </c>
      <c r="AB154" s="17">
        <v>0</v>
      </c>
      <c r="AC154" s="18"/>
      <c r="AD154" s="18"/>
      <c r="AE154" s="22">
        <f t="shared" si="56"/>
        <v>0</v>
      </c>
      <c r="AF154" s="23">
        <f t="shared" si="57"/>
        <v>0</v>
      </c>
      <c r="AG154" s="23">
        <f t="shared" si="58"/>
        <v>0</v>
      </c>
      <c r="AH154" s="18"/>
      <c r="AI154" s="24">
        <f t="shared" si="59"/>
        <v>0</v>
      </c>
      <c r="AJ154" s="25">
        <v>0</v>
      </c>
      <c r="AK154" s="24">
        <f t="shared" si="60"/>
        <v>0</v>
      </c>
      <c r="AL154" s="22">
        <f t="shared" si="61"/>
        <v>0</v>
      </c>
      <c r="AM154" s="22">
        <f t="shared" si="62"/>
        <v>0</v>
      </c>
      <c r="AN154" s="22">
        <f t="shared" si="63"/>
        <v>0</v>
      </c>
      <c r="AO154" s="26" t="str">
        <f t="shared" si="64"/>
        <v/>
      </c>
      <c r="AP154" s="26" t="str">
        <f t="shared" si="65"/>
        <v>pre-launch</v>
      </c>
      <c r="AQ154" s="18"/>
      <c r="AR154" s="18"/>
    </row>
    <row r="155" spans="1:44" x14ac:dyDescent="0.25">
      <c r="A155" s="43">
        <v>45216</v>
      </c>
      <c r="B155" s="17">
        <v>19105504.41</v>
      </c>
      <c r="C155" s="17">
        <v>0</v>
      </c>
      <c r="D155" s="18"/>
      <c r="E155" s="19">
        <f t="shared" si="44"/>
        <v>19105504.41</v>
      </c>
      <c r="F155" s="19">
        <f t="shared" si="45"/>
        <v>19105504.41</v>
      </c>
      <c r="G155" s="20">
        <f t="shared" si="46"/>
        <v>0</v>
      </c>
      <c r="H155" s="18"/>
      <c r="I155" s="18"/>
      <c r="J155" s="18"/>
      <c r="K155" s="19">
        <f t="shared" si="47"/>
        <v>0</v>
      </c>
      <c r="L155" s="18"/>
      <c r="M155" s="18"/>
      <c r="N155" s="18"/>
      <c r="O155" s="19">
        <f t="shared" si="48"/>
        <v>0</v>
      </c>
      <c r="P155" s="21">
        <f t="shared" si="49"/>
        <v>0</v>
      </c>
      <c r="Q155" s="18"/>
      <c r="R155" s="18"/>
      <c r="S155" s="19">
        <f t="shared" si="50"/>
        <v>0</v>
      </c>
      <c r="T155" s="20">
        <f t="shared" si="51"/>
        <v>0.03</v>
      </c>
      <c r="U155" s="19">
        <f t="shared" si="52"/>
        <v>0</v>
      </c>
      <c r="V155" s="18"/>
      <c r="W155" s="19">
        <f t="shared" si="53"/>
        <v>0</v>
      </c>
      <c r="X155" s="19">
        <f t="shared" si="54"/>
        <v>0</v>
      </c>
      <c r="Y155" s="18"/>
      <c r="Z155" s="18"/>
      <c r="AA155" s="19">
        <f t="shared" si="55"/>
        <v>0</v>
      </c>
      <c r="AB155" s="17">
        <v>0</v>
      </c>
      <c r="AC155" s="18"/>
      <c r="AD155" s="18"/>
      <c r="AE155" s="22">
        <f t="shared" si="56"/>
        <v>0</v>
      </c>
      <c r="AF155" s="23">
        <f t="shared" si="57"/>
        <v>0</v>
      </c>
      <c r="AG155" s="23">
        <f t="shared" si="58"/>
        <v>0</v>
      </c>
      <c r="AH155" s="18"/>
      <c r="AI155" s="24">
        <f t="shared" si="59"/>
        <v>0</v>
      </c>
      <c r="AJ155" s="25">
        <v>0</v>
      </c>
      <c r="AK155" s="24">
        <f t="shared" si="60"/>
        <v>0</v>
      </c>
      <c r="AL155" s="22">
        <f t="shared" si="61"/>
        <v>0</v>
      </c>
      <c r="AM155" s="22">
        <f t="shared" si="62"/>
        <v>0</v>
      </c>
      <c r="AN155" s="22">
        <f t="shared" si="63"/>
        <v>0</v>
      </c>
      <c r="AO155" s="26" t="str">
        <f t="shared" si="64"/>
        <v/>
      </c>
      <c r="AP155" s="26" t="str">
        <f t="shared" si="65"/>
        <v>pre-launch</v>
      </c>
      <c r="AQ155" s="18"/>
      <c r="AR155" s="18"/>
    </row>
    <row r="156" spans="1:44" x14ac:dyDescent="0.25">
      <c r="A156" s="43">
        <v>45217</v>
      </c>
      <c r="B156" s="17">
        <v>22224715.07</v>
      </c>
      <c r="C156" s="17">
        <v>0</v>
      </c>
      <c r="D156" s="18"/>
      <c r="E156" s="19">
        <f t="shared" si="44"/>
        <v>22224715.07</v>
      </c>
      <c r="F156" s="19">
        <f t="shared" si="45"/>
        <v>22224715.07</v>
      </c>
      <c r="G156" s="20">
        <f t="shared" si="46"/>
        <v>0</v>
      </c>
      <c r="H156" s="18"/>
      <c r="I156" s="18"/>
      <c r="J156" s="18"/>
      <c r="K156" s="19">
        <f t="shared" si="47"/>
        <v>0</v>
      </c>
      <c r="L156" s="18"/>
      <c r="M156" s="18"/>
      <c r="N156" s="18"/>
      <c r="O156" s="19">
        <f t="shared" si="48"/>
        <v>0</v>
      </c>
      <c r="P156" s="21">
        <f t="shared" si="49"/>
        <v>0</v>
      </c>
      <c r="Q156" s="18"/>
      <c r="R156" s="18"/>
      <c r="S156" s="19">
        <f t="shared" si="50"/>
        <v>0</v>
      </c>
      <c r="T156" s="20">
        <f t="shared" si="51"/>
        <v>0.03</v>
      </c>
      <c r="U156" s="19">
        <f t="shared" si="52"/>
        <v>0</v>
      </c>
      <c r="V156" s="18"/>
      <c r="W156" s="19">
        <f t="shared" si="53"/>
        <v>0</v>
      </c>
      <c r="X156" s="19">
        <f t="shared" si="54"/>
        <v>0</v>
      </c>
      <c r="Y156" s="18"/>
      <c r="Z156" s="18"/>
      <c r="AA156" s="19">
        <f t="shared" si="55"/>
        <v>0</v>
      </c>
      <c r="AB156" s="17">
        <v>0</v>
      </c>
      <c r="AC156" s="18"/>
      <c r="AD156" s="18"/>
      <c r="AE156" s="22">
        <f t="shared" si="56"/>
        <v>0</v>
      </c>
      <c r="AF156" s="23">
        <f t="shared" si="57"/>
        <v>0</v>
      </c>
      <c r="AG156" s="23">
        <f t="shared" si="58"/>
        <v>0</v>
      </c>
      <c r="AH156" s="18"/>
      <c r="AI156" s="24">
        <f t="shared" si="59"/>
        <v>0</v>
      </c>
      <c r="AJ156" s="25">
        <v>0</v>
      </c>
      <c r="AK156" s="24">
        <f t="shared" si="60"/>
        <v>0</v>
      </c>
      <c r="AL156" s="22">
        <f t="shared" si="61"/>
        <v>0</v>
      </c>
      <c r="AM156" s="22">
        <f t="shared" si="62"/>
        <v>0</v>
      </c>
      <c r="AN156" s="22">
        <f t="shared" si="63"/>
        <v>0</v>
      </c>
      <c r="AO156" s="26" t="str">
        <f t="shared" si="64"/>
        <v/>
      </c>
      <c r="AP156" s="26" t="str">
        <f t="shared" si="65"/>
        <v>pre-launch</v>
      </c>
      <c r="AQ156" s="18"/>
      <c r="AR156" s="18"/>
    </row>
    <row r="157" spans="1:44" x14ac:dyDescent="0.25">
      <c r="A157" s="43">
        <v>45218</v>
      </c>
      <c r="B157" s="17">
        <v>27824935.699999999</v>
      </c>
      <c r="C157" s="17">
        <v>0</v>
      </c>
      <c r="D157" s="18"/>
      <c r="E157" s="19">
        <f t="shared" si="44"/>
        <v>27824935.699999999</v>
      </c>
      <c r="F157" s="19">
        <f t="shared" si="45"/>
        <v>27824935.699999999</v>
      </c>
      <c r="G157" s="20">
        <f t="shared" si="46"/>
        <v>0</v>
      </c>
      <c r="H157" s="18"/>
      <c r="I157" s="18"/>
      <c r="J157" s="18"/>
      <c r="K157" s="19">
        <f t="shared" si="47"/>
        <v>0</v>
      </c>
      <c r="L157" s="18"/>
      <c r="M157" s="18"/>
      <c r="N157" s="18"/>
      <c r="O157" s="19">
        <f t="shared" si="48"/>
        <v>0</v>
      </c>
      <c r="P157" s="21">
        <f t="shared" si="49"/>
        <v>0</v>
      </c>
      <c r="Q157" s="18"/>
      <c r="R157" s="18"/>
      <c r="S157" s="19">
        <f t="shared" si="50"/>
        <v>0</v>
      </c>
      <c r="T157" s="20">
        <f t="shared" si="51"/>
        <v>0.03</v>
      </c>
      <c r="U157" s="19">
        <f t="shared" si="52"/>
        <v>0</v>
      </c>
      <c r="V157" s="18"/>
      <c r="W157" s="19">
        <f t="shared" si="53"/>
        <v>0</v>
      </c>
      <c r="X157" s="19">
        <f t="shared" si="54"/>
        <v>0</v>
      </c>
      <c r="Y157" s="18"/>
      <c r="Z157" s="18"/>
      <c r="AA157" s="19">
        <f t="shared" si="55"/>
        <v>0</v>
      </c>
      <c r="AB157" s="17">
        <v>0</v>
      </c>
      <c r="AC157" s="18"/>
      <c r="AD157" s="18"/>
      <c r="AE157" s="22">
        <f t="shared" si="56"/>
        <v>0</v>
      </c>
      <c r="AF157" s="23">
        <f t="shared" si="57"/>
        <v>0</v>
      </c>
      <c r="AG157" s="23">
        <f t="shared" si="58"/>
        <v>0</v>
      </c>
      <c r="AH157" s="18"/>
      <c r="AI157" s="24">
        <f t="shared" si="59"/>
        <v>0</v>
      </c>
      <c r="AJ157" s="25">
        <v>0</v>
      </c>
      <c r="AK157" s="24">
        <f t="shared" si="60"/>
        <v>0</v>
      </c>
      <c r="AL157" s="22">
        <f t="shared" si="61"/>
        <v>0</v>
      </c>
      <c r="AM157" s="22">
        <f t="shared" si="62"/>
        <v>0</v>
      </c>
      <c r="AN157" s="22">
        <f t="shared" si="63"/>
        <v>0</v>
      </c>
      <c r="AO157" s="26" t="str">
        <f t="shared" si="64"/>
        <v/>
      </c>
      <c r="AP157" s="26" t="str">
        <f t="shared" si="65"/>
        <v>pre-launch</v>
      </c>
      <c r="AQ157" s="18"/>
      <c r="AR157" s="18"/>
    </row>
    <row r="158" spans="1:44" x14ac:dyDescent="0.25">
      <c r="A158" s="43">
        <v>45219</v>
      </c>
      <c r="B158" s="17">
        <v>27964784.77</v>
      </c>
      <c r="C158" s="17">
        <v>0</v>
      </c>
      <c r="D158" s="18"/>
      <c r="E158" s="19">
        <f t="shared" si="44"/>
        <v>27964784.77</v>
      </c>
      <c r="F158" s="19">
        <f t="shared" si="45"/>
        <v>27964784.77</v>
      </c>
      <c r="G158" s="20">
        <f t="shared" si="46"/>
        <v>0</v>
      </c>
      <c r="H158" s="18"/>
      <c r="I158" s="18"/>
      <c r="J158" s="18"/>
      <c r="K158" s="19">
        <f t="shared" si="47"/>
        <v>0</v>
      </c>
      <c r="L158" s="18"/>
      <c r="M158" s="18"/>
      <c r="N158" s="18"/>
      <c r="O158" s="19">
        <f t="shared" si="48"/>
        <v>0</v>
      </c>
      <c r="P158" s="21">
        <f t="shared" si="49"/>
        <v>0</v>
      </c>
      <c r="Q158" s="18"/>
      <c r="R158" s="18"/>
      <c r="S158" s="19">
        <f t="shared" si="50"/>
        <v>0</v>
      </c>
      <c r="T158" s="20">
        <f t="shared" si="51"/>
        <v>0.03</v>
      </c>
      <c r="U158" s="19">
        <f t="shared" si="52"/>
        <v>0</v>
      </c>
      <c r="V158" s="18"/>
      <c r="W158" s="19">
        <f t="shared" si="53"/>
        <v>0</v>
      </c>
      <c r="X158" s="19">
        <f t="shared" si="54"/>
        <v>0</v>
      </c>
      <c r="Y158" s="18"/>
      <c r="Z158" s="18"/>
      <c r="AA158" s="19">
        <f t="shared" si="55"/>
        <v>0</v>
      </c>
      <c r="AB158" s="17">
        <v>0</v>
      </c>
      <c r="AC158" s="18"/>
      <c r="AD158" s="18"/>
      <c r="AE158" s="22">
        <f t="shared" si="56"/>
        <v>0</v>
      </c>
      <c r="AF158" s="23">
        <f t="shared" si="57"/>
        <v>0</v>
      </c>
      <c r="AG158" s="23">
        <f t="shared" si="58"/>
        <v>0</v>
      </c>
      <c r="AH158" s="18"/>
      <c r="AI158" s="24">
        <f t="shared" si="59"/>
        <v>0</v>
      </c>
      <c r="AJ158" s="25">
        <v>0</v>
      </c>
      <c r="AK158" s="24">
        <f t="shared" si="60"/>
        <v>0</v>
      </c>
      <c r="AL158" s="22">
        <f t="shared" si="61"/>
        <v>0</v>
      </c>
      <c r="AM158" s="22">
        <f t="shared" si="62"/>
        <v>0</v>
      </c>
      <c r="AN158" s="22">
        <f t="shared" si="63"/>
        <v>0</v>
      </c>
      <c r="AO158" s="26" t="str">
        <f t="shared" si="64"/>
        <v/>
      </c>
      <c r="AP158" s="26" t="str">
        <f t="shared" si="65"/>
        <v>pre-launch</v>
      </c>
      <c r="AQ158" s="18"/>
      <c r="AR158" s="18"/>
    </row>
    <row r="159" spans="1:44" x14ac:dyDescent="0.25">
      <c r="A159" s="43">
        <v>45220</v>
      </c>
      <c r="B159" s="17">
        <v>27973377.98</v>
      </c>
      <c r="C159" s="17">
        <v>0</v>
      </c>
      <c r="D159" s="18"/>
      <c r="E159" s="19">
        <f t="shared" si="44"/>
        <v>27973377.98</v>
      </c>
      <c r="F159" s="19">
        <f t="shared" si="45"/>
        <v>27973377.98</v>
      </c>
      <c r="G159" s="20">
        <f t="shared" si="46"/>
        <v>0</v>
      </c>
      <c r="H159" s="18"/>
      <c r="I159" s="18"/>
      <c r="J159" s="18"/>
      <c r="K159" s="19">
        <f t="shared" si="47"/>
        <v>0</v>
      </c>
      <c r="L159" s="18"/>
      <c r="M159" s="18"/>
      <c r="N159" s="18"/>
      <c r="O159" s="19">
        <f t="shared" si="48"/>
        <v>0</v>
      </c>
      <c r="P159" s="21">
        <f t="shared" si="49"/>
        <v>0</v>
      </c>
      <c r="Q159" s="18"/>
      <c r="R159" s="18"/>
      <c r="S159" s="19">
        <f t="shared" si="50"/>
        <v>0</v>
      </c>
      <c r="T159" s="20">
        <f t="shared" si="51"/>
        <v>0.03</v>
      </c>
      <c r="U159" s="19">
        <f t="shared" si="52"/>
        <v>0</v>
      </c>
      <c r="V159" s="18"/>
      <c r="W159" s="19">
        <f t="shared" si="53"/>
        <v>0</v>
      </c>
      <c r="X159" s="19">
        <f t="shared" si="54"/>
        <v>0</v>
      </c>
      <c r="Y159" s="18"/>
      <c r="Z159" s="18"/>
      <c r="AA159" s="19">
        <f t="shared" si="55"/>
        <v>0</v>
      </c>
      <c r="AB159" s="17">
        <v>0</v>
      </c>
      <c r="AC159" s="18"/>
      <c r="AD159" s="18"/>
      <c r="AE159" s="22">
        <f t="shared" si="56"/>
        <v>0</v>
      </c>
      <c r="AF159" s="23">
        <f t="shared" si="57"/>
        <v>0</v>
      </c>
      <c r="AG159" s="23">
        <f t="shared" si="58"/>
        <v>0</v>
      </c>
      <c r="AH159" s="18"/>
      <c r="AI159" s="24">
        <f t="shared" si="59"/>
        <v>0</v>
      </c>
      <c r="AJ159" s="25">
        <v>0</v>
      </c>
      <c r="AK159" s="24">
        <f t="shared" si="60"/>
        <v>0</v>
      </c>
      <c r="AL159" s="22">
        <f t="shared" si="61"/>
        <v>0</v>
      </c>
      <c r="AM159" s="22">
        <f t="shared" si="62"/>
        <v>0</v>
      </c>
      <c r="AN159" s="22">
        <f t="shared" si="63"/>
        <v>0</v>
      </c>
      <c r="AO159" s="26" t="str">
        <f t="shared" si="64"/>
        <v/>
      </c>
      <c r="AP159" s="26" t="str">
        <f t="shared" si="65"/>
        <v>pre-launch</v>
      </c>
      <c r="AQ159" s="18"/>
      <c r="AR159" s="18"/>
    </row>
    <row r="160" spans="1:44" x14ac:dyDescent="0.25">
      <c r="A160" s="43">
        <v>45221</v>
      </c>
      <c r="B160" s="17">
        <v>75287332.730000004</v>
      </c>
      <c r="C160" s="17">
        <v>0</v>
      </c>
      <c r="D160" s="18"/>
      <c r="E160" s="19">
        <f t="shared" si="44"/>
        <v>75287332.730000004</v>
      </c>
      <c r="F160" s="19">
        <f t="shared" si="45"/>
        <v>75287332.730000004</v>
      </c>
      <c r="G160" s="20">
        <f t="shared" si="46"/>
        <v>0</v>
      </c>
      <c r="H160" s="18"/>
      <c r="I160" s="18"/>
      <c r="J160" s="18"/>
      <c r="K160" s="19">
        <f t="shared" si="47"/>
        <v>0</v>
      </c>
      <c r="L160" s="18"/>
      <c r="M160" s="18"/>
      <c r="N160" s="18"/>
      <c r="O160" s="19">
        <f t="shared" si="48"/>
        <v>0</v>
      </c>
      <c r="P160" s="21">
        <f t="shared" si="49"/>
        <v>0</v>
      </c>
      <c r="Q160" s="18"/>
      <c r="R160" s="18"/>
      <c r="S160" s="19">
        <f t="shared" si="50"/>
        <v>0</v>
      </c>
      <c r="T160" s="20">
        <f t="shared" si="51"/>
        <v>0.03</v>
      </c>
      <c r="U160" s="19">
        <f t="shared" si="52"/>
        <v>0</v>
      </c>
      <c r="V160" s="18"/>
      <c r="W160" s="19">
        <f t="shared" si="53"/>
        <v>0</v>
      </c>
      <c r="X160" s="19">
        <f t="shared" si="54"/>
        <v>0</v>
      </c>
      <c r="Y160" s="18"/>
      <c r="Z160" s="18"/>
      <c r="AA160" s="19">
        <f t="shared" si="55"/>
        <v>0</v>
      </c>
      <c r="AB160" s="17">
        <v>0</v>
      </c>
      <c r="AC160" s="18"/>
      <c r="AD160" s="18"/>
      <c r="AE160" s="22">
        <f t="shared" si="56"/>
        <v>0</v>
      </c>
      <c r="AF160" s="23">
        <f t="shared" si="57"/>
        <v>0</v>
      </c>
      <c r="AG160" s="23">
        <f t="shared" si="58"/>
        <v>0</v>
      </c>
      <c r="AH160" s="18"/>
      <c r="AI160" s="24">
        <f t="shared" si="59"/>
        <v>0</v>
      </c>
      <c r="AJ160" s="25">
        <v>0</v>
      </c>
      <c r="AK160" s="24">
        <f t="shared" si="60"/>
        <v>0</v>
      </c>
      <c r="AL160" s="22">
        <f t="shared" si="61"/>
        <v>0</v>
      </c>
      <c r="AM160" s="22">
        <f t="shared" si="62"/>
        <v>0</v>
      </c>
      <c r="AN160" s="22">
        <f t="shared" si="63"/>
        <v>0</v>
      </c>
      <c r="AO160" s="26" t="str">
        <f t="shared" si="64"/>
        <v/>
      </c>
      <c r="AP160" s="26" t="str">
        <f t="shared" si="65"/>
        <v>pre-launch</v>
      </c>
      <c r="AQ160" s="18"/>
      <c r="AR160" s="18"/>
    </row>
    <row r="161" spans="1:44" x14ac:dyDescent="0.25">
      <c r="A161" s="43">
        <v>45222</v>
      </c>
      <c r="B161" s="17">
        <v>130936730.61</v>
      </c>
      <c r="C161" s="17">
        <v>0</v>
      </c>
      <c r="D161" s="18"/>
      <c r="E161" s="19">
        <f t="shared" si="44"/>
        <v>130936730.61</v>
      </c>
      <c r="F161" s="19">
        <f t="shared" si="45"/>
        <v>130936730.61</v>
      </c>
      <c r="G161" s="20">
        <f t="shared" si="46"/>
        <v>0</v>
      </c>
      <c r="H161" s="18"/>
      <c r="I161" s="18"/>
      <c r="J161" s="18"/>
      <c r="K161" s="19">
        <f t="shared" si="47"/>
        <v>0</v>
      </c>
      <c r="L161" s="18"/>
      <c r="M161" s="18"/>
      <c r="N161" s="18"/>
      <c r="O161" s="19">
        <f t="shared" si="48"/>
        <v>0</v>
      </c>
      <c r="P161" s="21">
        <f t="shared" si="49"/>
        <v>0</v>
      </c>
      <c r="Q161" s="18"/>
      <c r="R161" s="18"/>
      <c r="S161" s="19">
        <f t="shared" si="50"/>
        <v>0</v>
      </c>
      <c r="T161" s="20">
        <f t="shared" si="51"/>
        <v>0.03</v>
      </c>
      <c r="U161" s="19">
        <f t="shared" si="52"/>
        <v>0</v>
      </c>
      <c r="V161" s="18"/>
      <c r="W161" s="19">
        <f t="shared" si="53"/>
        <v>0</v>
      </c>
      <c r="X161" s="19">
        <f t="shared" si="54"/>
        <v>0</v>
      </c>
      <c r="Y161" s="18"/>
      <c r="Z161" s="18"/>
      <c r="AA161" s="19">
        <f t="shared" si="55"/>
        <v>0</v>
      </c>
      <c r="AB161" s="17">
        <v>0</v>
      </c>
      <c r="AC161" s="18"/>
      <c r="AD161" s="18"/>
      <c r="AE161" s="22">
        <f t="shared" si="56"/>
        <v>0</v>
      </c>
      <c r="AF161" s="23">
        <f t="shared" si="57"/>
        <v>0</v>
      </c>
      <c r="AG161" s="23">
        <f t="shared" si="58"/>
        <v>0</v>
      </c>
      <c r="AH161" s="18"/>
      <c r="AI161" s="24">
        <f t="shared" si="59"/>
        <v>0</v>
      </c>
      <c r="AJ161" s="25">
        <v>0</v>
      </c>
      <c r="AK161" s="24">
        <f t="shared" si="60"/>
        <v>0</v>
      </c>
      <c r="AL161" s="22">
        <f t="shared" si="61"/>
        <v>0</v>
      </c>
      <c r="AM161" s="22">
        <f t="shared" si="62"/>
        <v>0</v>
      </c>
      <c r="AN161" s="22">
        <f t="shared" si="63"/>
        <v>0</v>
      </c>
      <c r="AO161" s="26" t="str">
        <f t="shared" si="64"/>
        <v/>
      </c>
      <c r="AP161" s="26" t="str">
        <f t="shared" si="65"/>
        <v>pre-launch</v>
      </c>
      <c r="AQ161" s="18"/>
      <c r="AR161" s="18"/>
    </row>
    <row r="162" spans="1:44" x14ac:dyDescent="0.25">
      <c r="A162" s="43">
        <v>45223</v>
      </c>
      <c r="B162" s="17">
        <v>157037130.16</v>
      </c>
      <c r="C162" s="17">
        <v>0</v>
      </c>
      <c r="D162" s="18"/>
      <c r="E162" s="19">
        <f t="shared" si="44"/>
        <v>157037130.16</v>
      </c>
      <c r="F162" s="19">
        <f t="shared" si="45"/>
        <v>157037130.16</v>
      </c>
      <c r="G162" s="20">
        <f t="shared" si="46"/>
        <v>0</v>
      </c>
      <c r="H162" s="18"/>
      <c r="I162" s="18"/>
      <c r="J162" s="18"/>
      <c r="K162" s="19">
        <f t="shared" si="47"/>
        <v>0</v>
      </c>
      <c r="L162" s="18"/>
      <c r="M162" s="18"/>
      <c r="N162" s="18"/>
      <c r="O162" s="19">
        <f t="shared" si="48"/>
        <v>0</v>
      </c>
      <c r="P162" s="21">
        <f t="shared" si="49"/>
        <v>0</v>
      </c>
      <c r="Q162" s="18"/>
      <c r="R162" s="18"/>
      <c r="S162" s="19">
        <f t="shared" si="50"/>
        <v>0</v>
      </c>
      <c r="T162" s="20">
        <f t="shared" si="51"/>
        <v>0.03</v>
      </c>
      <c r="U162" s="19">
        <f t="shared" si="52"/>
        <v>0</v>
      </c>
      <c r="V162" s="18"/>
      <c r="W162" s="19">
        <f t="shared" si="53"/>
        <v>0</v>
      </c>
      <c r="X162" s="19">
        <f t="shared" si="54"/>
        <v>0</v>
      </c>
      <c r="Y162" s="18"/>
      <c r="Z162" s="18"/>
      <c r="AA162" s="19">
        <f t="shared" si="55"/>
        <v>0</v>
      </c>
      <c r="AB162" s="17">
        <v>0</v>
      </c>
      <c r="AC162" s="18"/>
      <c r="AD162" s="18"/>
      <c r="AE162" s="22">
        <f t="shared" si="56"/>
        <v>0</v>
      </c>
      <c r="AF162" s="23">
        <f t="shared" si="57"/>
        <v>0</v>
      </c>
      <c r="AG162" s="23">
        <f t="shared" si="58"/>
        <v>0</v>
      </c>
      <c r="AH162" s="18"/>
      <c r="AI162" s="24">
        <f t="shared" si="59"/>
        <v>0</v>
      </c>
      <c r="AJ162" s="25">
        <v>0</v>
      </c>
      <c r="AK162" s="24">
        <f t="shared" si="60"/>
        <v>0</v>
      </c>
      <c r="AL162" s="22">
        <f t="shared" si="61"/>
        <v>0</v>
      </c>
      <c r="AM162" s="22">
        <f t="shared" si="62"/>
        <v>0</v>
      </c>
      <c r="AN162" s="22">
        <f t="shared" si="63"/>
        <v>0</v>
      </c>
      <c r="AO162" s="26" t="str">
        <f t="shared" si="64"/>
        <v/>
      </c>
      <c r="AP162" s="26" t="str">
        <f t="shared" si="65"/>
        <v>pre-launch</v>
      </c>
      <c r="AQ162" s="18"/>
      <c r="AR162" s="18"/>
    </row>
    <row r="163" spans="1:44" x14ac:dyDescent="0.25">
      <c r="A163" s="43">
        <v>45224</v>
      </c>
      <c r="B163" s="17">
        <v>170840222.11000001</v>
      </c>
      <c r="C163" s="17">
        <v>0</v>
      </c>
      <c r="D163" s="18"/>
      <c r="E163" s="19">
        <f t="shared" si="44"/>
        <v>170840222.11000001</v>
      </c>
      <c r="F163" s="19">
        <f t="shared" si="45"/>
        <v>170840222.11000001</v>
      </c>
      <c r="G163" s="20">
        <f t="shared" si="46"/>
        <v>0</v>
      </c>
      <c r="H163" s="18"/>
      <c r="I163" s="18"/>
      <c r="J163" s="18"/>
      <c r="K163" s="19">
        <f t="shared" si="47"/>
        <v>0</v>
      </c>
      <c r="L163" s="18"/>
      <c r="M163" s="18"/>
      <c r="N163" s="18"/>
      <c r="O163" s="19">
        <f t="shared" si="48"/>
        <v>0</v>
      </c>
      <c r="P163" s="21">
        <f t="shared" si="49"/>
        <v>0</v>
      </c>
      <c r="Q163" s="18"/>
      <c r="R163" s="18"/>
      <c r="S163" s="19">
        <f t="shared" si="50"/>
        <v>0</v>
      </c>
      <c r="T163" s="20">
        <f t="shared" si="51"/>
        <v>0.03</v>
      </c>
      <c r="U163" s="19">
        <f t="shared" si="52"/>
        <v>0</v>
      </c>
      <c r="V163" s="18"/>
      <c r="W163" s="19">
        <f t="shared" si="53"/>
        <v>0</v>
      </c>
      <c r="X163" s="19">
        <f t="shared" si="54"/>
        <v>0</v>
      </c>
      <c r="Y163" s="18"/>
      <c r="Z163" s="18"/>
      <c r="AA163" s="19">
        <f t="shared" si="55"/>
        <v>0</v>
      </c>
      <c r="AB163" s="17">
        <v>0</v>
      </c>
      <c r="AC163" s="18"/>
      <c r="AD163" s="18"/>
      <c r="AE163" s="22">
        <f t="shared" si="56"/>
        <v>0</v>
      </c>
      <c r="AF163" s="23">
        <f t="shared" si="57"/>
        <v>0</v>
      </c>
      <c r="AG163" s="23">
        <f t="shared" si="58"/>
        <v>0</v>
      </c>
      <c r="AH163" s="18"/>
      <c r="AI163" s="24">
        <f t="shared" si="59"/>
        <v>0</v>
      </c>
      <c r="AJ163" s="25">
        <v>0</v>
      </c>
      <c r="AK163" s="24">
        <f t="shared" si="60"/>
        <v>0</v>
      </c>
      <c r="AL163" s="22">
        <f t="shared" si="61"/>
        <v>0</v>
      </c>
      <c r="AM163" s="22">
        <f t="shared" si="62"/>
        <v>0</v>
      </c>
      <c r="AN163" s="22">
        <f t="shared" si="63"/>
        <v>0</v>
      </c>
      <c r="AO163" s="26" t="str">
        <f t="shared" si="64"/>
        <v/>
      </c>
      <c r="AP163" s="26" t="str">
        <f t="shared" si="65"/>
        <v>pre-launch</v>
      </c>
      <c r="AQ163" s="18"/>
      <c r="AR163" s="18"/>
    </row>
    <row r="164" spans="1:44" x14ac:dyDescent="0.25">
      <c r="A164" s="43">
        <v>45225</v>
      </c>
      <c r="B164" s="17">
        <v>154743720.37</v>
      </c>
      <c r="C164" s="17">
        <v>0</v>
      </c>
      <c r="D164" s="18"/>
      <c r="E164" s="19">
        <f t="shared" si="44"/>
        <v>154743720.37</v>
      </c>
      <c r="F164" s="19">
        <f t="shared" si="45"/>
        <v>154743720.37</v>
      </c>
      <c r="G164" s="20">
        <f t="shared" si="46"/>
        <v>0</v>
      </c>
      <c r="H164" s="18"/>
      <c r="I164" s="18"/>
      <c r="J164" s="18"/>
      <c r="K164" s="19">
        <f t="shared" si="47"/>
        <v>0</v>
      </c>
      <c r="L164" s="18"/>
      <c r="M164" s="18"/>
      <c r="N164" s="18"/>
      <c r="O164" s="19">
        <f t="shared" si="48"/>
        <v>0</v>
      </c>
      <c r="P164" s="21">
        <f t="shared" si="49"/>
        <v>0</v>
      </c>
      <c r="Q164" s="18"/>
      <c r="R164" s="18"/>
      <c r="S164" s="19">
        <f t="shared" si="50"/>
        <v>0</v>
      </c>
      <c r="T164" s="20">
        <f t="shared" si="51"/>
        <v>0.03</v>
      </c>
      <c r="U164" s="19">
        <f t="shared" si="52"/>
        <v>0</v>
      </c>
      <c r="V164" s="18"/>
      <c r="W164" s="19">
        <f t="shared" si="53"/>
        <v>0</v>
      </c>
      <c r="X164" s="19">
        <f t="shared" si="54"/>
        <v>0</v>
      </c>
      <c r="Y164" s="18"/>
      <c r="Z164" s="18"/>
      <c r="AA164" s="19">
        <f t="shared" si="55"/>
        <v>0</v>
      </c>
      <c r="AB164" s="17">
        <v>0</v>
      </c>
      <c r="AC164" s="18"/>
      <c r="AD164" s="18"/>
      <c r="AE164" s="22">
        <f t="shared" si="56"/>
        <v>0</v>
      </c>
      <c r="AF164" s="23">
        <f t="shared" si="57"/>
        <v>0</v>
      </c>
      <c r="AG164" s="23">
        <f t="shared" si="58"/>
        <v>0</v>
      </c>
      <c r="AH164" s="18"/>
      <c r="AI164" s="24">
        <f t="shared" si="59"/>
        <v>0</v>
      </c>
      <c r="AJ164" s="25">
        <v>0</v>
      </c>
      <c r="AK164" s="24">
        <f t="shared" si="60"/>
        <v>0</v>
      </c>
      <c r="AL164" s="22">
        <f t="shared" si="61"/>
        <v>0</v>
      </c>
      <c r="AM164" s="22">
        <f t="shared" si="62"/>
        <v>0</v>
      </c>
      <c r="AN164" s="22">
        <f t="shared" si="63"/>
        <v>0</v>
      </c>
      <c r="AO164" s="26" t="str">
        <f t="shared" si="64"/>
        <v/>
      </c>
      <c r="AP164" s="26" t="str">
        <f t="shared" si="65"/>
        <v>pre-launch</v>
      </c>
      <c r="AQ164" s="18"/>
      <c r="AR164" s="18"/>
    </row>
    <row r="165" spans="1:44" x14ac:dyDescent="0.25">
      <c r="A165" s="43">
        <v>45226</v>
      </c>
      <c r="B165" s="17">
        <v>121159075.14</v>
      </c>
      <c r="C165" s="17">
        <v>0</v>
      </c>
      <c r="D165" s="18"/>
      <c r="E165" s="19">
        <f t="shared" si="44"/>
        <v>121159075.14</v>
      </c>
      <c r="F165" s="19">
        <f t="shared" si="45"/>
        <v>121159075.14</v>
      </c>
      <c r="G165" s="20">
        <f t="shared" si="46"/>
        <v>0</v>
      </c>
      <c r="H165" s="18"/>
      <c r="I165" s="18"/>
      <c r="J165" s="18"/>
      <c r="K165" s="19">
        <f t="shared" si="47"/>
        <v>0</v>
      </c>
      <c r="L165" s="18"/>
      <c r="M165" s="18"/>
      <c r="N165" s="18"/>
      <c r="O165" s="19">
        <f t="shared" si="48"/>
        <v>0</v>
      </c>
      <c r="P165" s="21">
        <f t="shared" si="49"/>
        <v>0</v>
      </c>
      <c r="Q165" s="18"/>
      <c r="R165" s="18"/>
      <c r="S165" s="19">
        <f t="shared" si="50"/>
        <v>0</v>
      </c>
      <c r="T165" s="20">
        <f t="shared" si="51"/>
        <v>0.03</v>
      </c>
      <c r="U165" s="19">
        <f t="shared" si="52"/>
        <v>0</v>
      </c>
      <c r="V165" s="18"/>
      <c r="W165" s="19">
        <f t="shared" si="53"/>
        <v>0</v>
      </c>
      <c r="X165" s="19">
        <f t="shared" si="54"/>
        <v>0</v>
      </c>
      <c r="Y165" s="18"/>
      <c r="Z165" s="18"/>
      <c r="AA165" s="19">
        <f t="shared" si="55"/>
        <v>0</v>
      </c>
      <c r="AB165" s="17">
        <v>0</v>
      </c>
      <c r="AC165" s="18"/>
      <c r="AD165" s="18"/>
      <c r="AE165" s="22">
        <f t="shared" si="56"/>
        <v>0</v>
      </c>
      <c r="AF165" s="23">
        <f t="shared" si="57"/>
        <v>0</v>
      </c>
      <c r="AG165" s="23">
        <f t="shared" si="58"/>
        <v>0</v>
      </c>
      <c r="AH165" s="18"/>
      <c r="AI165" s="24">
        <f t="shared" si="59"/>
        <v>0</v>
      </c>
      <c r="AJ165" s="25">
        <v>0</v>
      </c>
      <c r="AK165" s="24">
        <f t="shared" si="60"/>
        <v>0</v>
      </c>
      <c r="AL165" s="22">
        <f t="shared" si="61"/>
        <v>0</v>
      </c>
      <c r="AM165" s="22">
        <f t="shared" si="62"/>
        <v>0</v>
      </c>
      <c r="AN165" s="22">
        <f t="shared" si="63"/>
        <v>0</v>
      </c>
      <c r="AO165" s="26" t="str">
        <f t="shared" si="64"/>
        <v/>
      </c>
      <c r="AP165" s="26" t="str">
        <f t="shared" si="65"/>
        <v>pre-launch</v>
      </c>
      <c r="AQ165" s="18"/>
      <c r="AR165" s="18"/>
    </row>
    <row r="166" spans="1:44" x14ac:dyDescent="0.25">
      <c r="A166" s="43">
        <v>45227</v>
      </c>
      <c r="B166" s="17">
        <v>50015398.479999997</v>
      </c>
      <c r="C166" s="17">
        <v>0</v>
      </c>
      <c r="D166" s="18"/>
      <c r="E166" s="19">
        <f t="shared" si="44"/>
        <v>50015398.479999997</v>
      </c>
      <c r="F166" s="19">
        <f t="shared" si="45"/>
        <v>50015398.479999997</v>
      </c>
      <c r="G166" s="20">
        <f t="shared" si="46"/>
        <v>0</v>
      </c>
      <c r="H166" s="18"/>
      <c r="I166" s="18"/>
      <c r="J166" s="18"/>
      <c r="K166" s="19">
        <f t="shared" si="47"/>
        <v>0</v>
      </c>
      <c r="L166" s="18"/>
      <c r="M166" s="18"/>
      <c r="N166" s="18"/>
      <c r="O166" s="19">
        <f t="shared" si="48"/>
        <v>0</v>
      </c>
      <c r="P166" s="21">
        <f t="shared" si="49"/>
        <v>0</v>
      </c>
      <c r="Q166" s="18"/>
      <c r="R166" s="18"/>
      <c r="S166" s="19">
        <f t="shared" si="50"/>
        <v>0</v>
      </c>
      <c r="T166" s="20">
        <f t="shared" si="51"/>
        <v>0.03</v>
      </c>
      <c r="U166" s="19">
        <f t="shared" si="52"/>
        <v>0</v>
      </c>
      <c r="V166" s="18"/>
      <c r="W166" s="19">
        <f t="shared" si="53"/>
        <v>0</v>
      </c>
      <c r="X166" s="19">
        <f t="shared" si="54"/>
        <v>0</v>
      </c>
      <c r="Y166" s="18"/>
      <c r="Z166" s="18"/>
      <c r="AA166" s="19">
        <f t="shared" si="55"/>
        <v>0</v>
      </c>
      <c r="AB166" s="17">
        <v>0</v>
      </c>
      <c r="AC166" s="18"/>
      <c r="AD166" s="18"/>
      <c r="AE166" s="22">
        <f t="shared" si="56"/>
        <v>0</v>
      </c>
      <c r="AF166" s="23">
        <f t="shared" si="57"/>
        <v>0</v>
      </c>
      <c r="AG166" s="23">
        <f t="shared" si="58"/>
        <v>0</v>
      </c>
      <c r="AH166" s="18"/>
      <c r="AI166" s="24">
        <f t="shared" si="59"/>
        <v>0</v>
      </c>
      <c r="AJ166" s="25">
        <v>0</v>
      </c>
      <c r="AK166" s="24">
        <f t="shared" si="60"/>
        <v>0</v>
      </c>
      <c r="AL166" s="22">
        <f t="shared" si="61"/>
        <v>0</v>
      </c>
      <c r="AM166" s="22">
        <f t="shared" si="62"/>
        <v>0</v>
      </c>
      <c r="AN166" s="22">
        <f t="shared" si="63"/>
        <v>0</v>
      </c>
      <c r="AO166" s="26" t="str">
        <f t="shared" si="64"/>
        <v/>
      </c>
      <c r="AP166" s="26" t="str">
        <f t="shared" si="65"/>
        <v>pre-launch</v>
      </c>
      <c r="AQ166" s="18"/>
      <c r="AR166" s="18"/>
    </row>
    <row r="167" spans="1:44" x14ac:dyDescent="0.25">
      <c r="A167" s="43">
        <v>45228</v>
      </c>
      <c r="B167" s="17">
        <v>50192102.469999999</v>
      </c>
      <c r="C167" s="17">
        <v>0</v>
      </c>
      <c r="D167" s="18"/>
      <c r="E167" s="19">
        <f t="shared" si="44"/>
        <v>50192102.469999999</v>
      </c>
      <c r="F167" s="19">
        <f t="shared" si="45"/>
        <v>50192102.469999999</v>
      </c>
      <c r="G167" s="20">
        <f t="shared" si="46"/>
        <v>0</v>
      </c>
      <c r="H167" s="18"/>
      <c r="I167" s="18"/>
      <c r="J167" s="18"/>
      <c r="K167" s="19">
        <f t="shared" si="47"/>
        <v>0</v>
      </c>
      <c r="L167" s="18"/>
      <c r="M167" s="18"/>
      <c r="N167" s="18"/>
      <c r="O167" s="19">
        <f t="shared" si="48"/>
        <v>0</v>
      </c>
      <c r="P167" s="21">
        <f t="shared" si="49"/>
        <v>0</v>
      </c>
      <c r="Q167" s="18"/>
      <c r="R167" s="18"/>
      <c r="S167" s="19">
        <f t="shared" si="50"/>
        <v>0</v>
      </c>
      <c r="T167" s="20">
        <f t="shared" si="51"/>
        <v>0.03</v>
      </c>
      <c r="U167" s="19">
        <f t="shared" si="52"/>
        <v>0</v>
      </c>
      <c r="V167" s="18"/>
      <c r="W167" s="19">
        <f t="shared" si="53"/>
        <v>0</v>
      </c>
      <c r="X167" s="19">
        <f t="shared" si="54"/>
        <v>0</v>
      </c>
      <c r="Y167" s="18"/>
      <c r="Z167" s="18"/>
      <c r="AA167" s="19">
        <f t="shared" si="55"/>
        <v>0</v>
      </c>
      <c r="AB167" s="17">
        <v>0</v>
      </c>
      <c r="AC167" s="18"/>
      <c r="AD167" s="18"/>
      <c r="AE167" s="22">
        <f t="shared" si="56"/>
        <v>0</v>
      </c>
      <c r="AF167" s="23">
        <f t="shared" si="57"/>
        <v>0</v>
      </c>
      <c r="AG167" s="23">
        <f t="shared" si="58"/>
        <v>0</v>
      </c>
      <c r="AH167" s="18"/>
      <c r="AI167" s="24">
        <f t="shared" si="59"/>
        <v>0</v>
      </c>
      <c r="AJ167" s="25">
        <v>0</v>
      </c>
      <c r="AK167" s="24">
        <f t="shared" si="60"/>
        <v>0</v>
      </c>
      <c r="AL167" s="22">
        <f t="shared" si="61"/>
        <v>0</v>
      </c>
      <c r="AM167" s="22">
        <f t="shared" si="62"/>
        <v>0</v>
      </c>
      <c r="AN167" s="22">
        <f t="shared" si="63"/>
        <v>0</v>
      </c>
      <c r="AO167" s="26" t="str">
        <f t="shared" si="64"/>
        <v/>
      </c>
      <c r="AP167" s="26" t="str">
        <f t="shared" si="65"/>
        <v>pre-launch</v>
      </c>
      <c r="AQ167" s="18"/>
      <c r="AR167" s="18"/>
    </row>
    <row r="168" spans="1:44" x14ac:dyDescent="0.25">
      <c r="A168" s="43">
        <v>45229</v>
      </c>
      <c r="B168" s="17">
        <v>72297328.930000007</v>
      </c>
      <c r="C168" s="17">
        <v>0</v>
      </c>
      <c r="D168" s="18"/>
      <c r="E168" s="19">
        <f t="shared" si="44"/>
        <v>72297328.930000007</v>
      </c>
      <c r="F168" s="19">
        <f t="shared" si="45"/>
        <v>72297328.930000007</v>
      </c>
      <c r="G168" s="20">
        <f t="shared" si="46"/>
        <v>0</v>
      </c>
      <c r="H168" s="18"/>
      <c r="I168" s="18"/>
      <c r="J168" s="18"/>
      <c r="K168" s="19">
        <f t="shared" si="47"/>
        <v>0</v>
      </c>
      <c r="L168" s="18"/>
      <c r="M168" s="18"/>
      <c r="N168" s="18"/>
      <c r="O168" s="19">
        <f t="shared" si="48"/>
        <v>0</v>
      </c>
      <c r="P168" s="21">
        <f t="shared" si="49"/>
        <v>0</v>
      </c>
      <c r="Q168" s="18"/>
      <c r="R168" s="18"/>
      <c r="S168" s="19">
        <f t="shared" si="50"/>
        <v>0</v>
      </c>
      <c r="T168" s="20">
        <f t="shared" si="51"/>
        <v>0.03</v>
      </c>
      <c r="U168" s="19">
        <f t="shared" si="52"/>
        <v>0</v>
      </c>
      <c r="V168" s="18"/>
      <c r="W168" s="19">
        <f t="shared" si="53"/>
        <v>0</v>
      </c>
      <c r="X168" s="19">
        <f t="shared" si="54"/>
        <v>0</v>
      </c>
      <c r="Y168" s="18"/>
      <c r="Z168" s="18"/>
      <c r="AA168" s="19">
        <f t="shared" si="55"/>
        <v>0</v>
      </c>
      <c r="AB168" s="17">
        <v>0</v>
      </c>
      <c r="AC168" s="18"/>
      <c r="AD168" s="18"/>
      <c r="AE168" s="22">
        <f t="shared" si="56"/>
        <v>0</v>
      </c>
      <c r="AF168" s="23">
        <f t="shared" si="57"/>
        <v>0</v>
      </c>
      <c r="AG168" s="23">
        <f t="shared" si="58"/>
        <v>0</v>
      </c>
      <c r="AH168" s="18"/>
      <c r="AI168" s="24">
        <f t="shared" si="59"/>
        <v>0</v>
      </c>
      <c r="AJ168" s="25">
        <v>0</v>
      </c>
      <c r="AK168" s="24">
        <f t="shared" si="60"/>
        <v>0</v>
      </c>
      <c r="AL168" s="22">
        <f t="shared" si="61"/>
        <v>0</v>
      </c>
      <c r="AM168" s="22">
        <f t="shared" si="62"/>
        <v>0</v>
      </c>
      <c r="AN168" s="22">
        <f t="shared" si="63"/>
        <v>0</v>
      </c>
      <c r="AO168" s="26" t="str">
        <f t="shared" si="64"/>
        <v/>
      </c>
      <c r="AP168" s="26" t="str">
        <f t="shared" si="65"/>
        <v>pre-launch</v>
      </c>
      <c r="AQ168" s="18"/>
      <c r="AR168" s="18"/>
    </row>
    <row r="169" spans="1:44" x14ac:dyDescent="0.25">
      <c r="A169" s="43">
        <v>45230</v>
      </c>
      <c r="B169" s="17">
        <v>87393596.909999996</v>
      </c>
      <c r="C169" s="17">
        <v>0</v>
      </c>
      <c r="D169" s="18"/>
      <c r="E169" s="19">
        <f t="shared" si="44"/>
        <v>87393596.909999996</v>
      </c>
      <c r="F169" s="19">
        <f t="shared" si="45"/>
        <v>87393596.909999996</v>
      </c>
      <c r="G169" s="20">
        <f t="shared" si="46"/>
        <v>0</v>
      </c>
      <c r="H169" s="18"/>
      <c r="I169" s="18"/>
      <c r="J169" s="18"/>
      <c r="K169" s="19">
        <f t="shared" si="47"/>
        <v>0</v>
      </c>
      <c r="L169" s="18"/>
      <c r="M169" s="18"/>
      <c r="N169" s="18"/>
      <c r="O169" s="19">
        <f t="shared" si="48"/>
        <v>0</v>
      </c>
      <c r="P169" s="21">
        <f t="shared" si="49"/>
        <v>0</v>
      </c>
      <c r="Q169" s="18"/>
      <c r="R169" s="18"/>
      <c r="S169" s="19">
        <f t="shared" si="50"/>
        <v>0</v>
      </c>
      <c r="T169" s="20">
        <f t="shared" si="51"/>
        <v>0.03</v>
      </c>
      <c r="U169" s="19">
        <f t="shared" si="52"/>
        <v>0</v>
      </c>
      <c r="V169" s="18"/>
      <c r="W169" s="19">
        <f t="shared" si="53"/>
        <v>0</v>
      </c>
      <c r="X169" s="19">
        <f t="shared" si="54"/>
        <v>0</v>
      </c>
      <c r="Y169" s="18"/>
      <c r="Z169" s="18"/>
      <c r="AA169" s="19">
        <f t="shared" si="55"/>
        <v>0</v>
      </c>
      <c r="AB169" s="17">
        <v>0</v>
      </c>
      <c r="AC169" s="18"/>
      <c r="AD169" s="18"/>
      <c r="AE169" s="22">
        <f t="shared" si="56"/>
        <v>0</v>
      </c>
      <c r="AF169" s="23">
        <f t="shared" si="57"/>
        <v>0</v>
      </c>
      <c r="AG169" s="23">
        <f t="shared" si="58"/>
        <v>0</v>
      </c>
      <c r="AH169" s="18"/>
      <c r="AI169" s="24">
        <f t="shared" si="59"/>
        <v>0</v>
      </c>
      <c r="AJ169" s="25">
        <v>0</v>
      </c>
      <c r="AK169" s="24">
        <f t="shared" si="60"/>
        <v>0</v>
      </c>
      <c r="AL169" s="22">
        <f t="shared" si="61"/>
        <v>0</v>
      </c>
      <c r="AM169" s="22">
        <f t="shared" si="62"/>
        <v>0</v>
      </c>
      <c r="AN169" s="22">
        <f t="shared" si="63"/>
        <v>0</v>
      </c>
      <c r="AO169" s="26" t="str">
        <f t="shared" si="64"/>
        <v/>
      </c>
      <c r="AP169" s="26" t="str">
        <f t="shared" si="65"/>
        <v>pre-launch</v>
      </c>
      <c r="AQ169" s="18"/>
      <c r="AR169" s="18"/>
    </row>
    <row r="170" spans="1:44" x14ac:dyDescent="0.25">
      <c r="A170" s="43">
        <v>45231</v>
      </c>
      <c r="B170" s="17">
        <v>99978310.459999993</v>
      </c>
      <c r="C170" s="17">
        <v>0</v>
      </c>
      <c r="D170" s="18"/>
      <c r="E170" s="19">
        <f t="shared" si="44"/>
        <v>99978310.459999993</v>
      </c>
      <c r="F170" s="19">
        <f t="shared" si="45"/>
        <v>99978310.459999993</v>
      </c>
      <c r="G170" s="20">
        <f t="shared" si="46"/>
        <v>0</v>
      </c>
      <c r="H170" s="18"/>
      <c r="I170" s="18"/>
      <c r="J170" s="18"/>
      <c r="K170" s="19">
        <f t="shared" si="47"/>
        <v>0</v>
      </c>
      <c r="L170" s="18"/>
      <c r="M170" s="18"/>
      <c r="N170" s="18"/>
      <c r="O170" s="19">
        <f t="shared" si="48"/>
        <v>0</v>
      </c>
      <c r="P170" s="21">
        <f t="shared" si="49"/>
        <v>0</v>
      </c>
      <c r="Q170" s="18"/>
      <c r="R170" s="18"/>
      <c r="S170" s="19">
        <f t="shared" si="50"/>
        <v>0</v>
      </c>
      <c r="T170" s="20">
        <f t="shared" si="51"/>
        <v>0.03</v>
      </c>
      <c r="U170" s="19">
        <f t="shared" si="52"/>
        <v>0</v>
      </c>
      <c r="V170" s="18"/>
      <c r="W170" s="19">
        <f t="shared" si="53"/>
        <v>0</v>
      </c>
      <c r="X170" s="19">
        <f t="shared" si="54"/>
        <v>0</v>
      </c>
      <c r="Y170" s="18"/>
      <c r="Z170" s="18"/>
      <c r="AA170" s="19">
        <f t="shared" si="55"/>
        <v>0</v>
      </c>
      <c r="AB170" s="17">
        <v>0</v>
      </c>
      <c r="AC170" s="18"/>
      <c r="AD170" s="18"/>
      <c r="AE170" s="22">
        <f t="shared" si="56"/>
        <v>0</v>
      </c>
      <c r="AF170" s="23">
        <f t="shared" si="57"/>
        <v>0</v>
      </c>
      <c r="AG170" s="23">
        <f t="shared" si="58"/>
        <v>0</v>
      </c>
      <c r="AH170" s="18"/>
      <c r="AI170" s="24">
        <f t="shared" si="59"/>
        <v>0</v>
      </c>
      <c r="AJ170" s="25">
        <v>0</v>
      </c>
      <c r="AK170" s="24">
        <f t="shared" si="60"/>
        <v>0</v>
      </c>
      <c r="AL170" s="22">
        <f t="shared" si="61"/>
        <v>0</v>
      </c>
      <c r="AM170" s="22">
        <f t="shared" si="62"/>
        <v>0</v>
      </c>
      <c r="AN170" s="22">
        <f t="shared" si="63"/>
        <v>0</v>
      </c>
      <c r="AO170" s="26" t="str">
        <f t="shared" si="64"/>
        <v/>
      </c>
      <c r="AP170" s="26" t="str">
        <f t="shared" si="65"/>
        <v>pre-launch</v>
      </c>
      <c r="AQ170" s="18"/>
      <c r="AR170" s="18"/>
    </row>
    <row r="171" spans="1:44" x14ac:dyDescent="0.25">
      <c r="A171" s="43">
        <v>45232</v>
      </c>
      <c r="B171" s="17">
        <v>135396059.22999999</v>
      </c>
      <c r="C171" s="17">
        <v>0</v>
      </c>
      <c r="D171" s="18"/>
      <c r="E171" s="19">
        <f t="shared" si="44"/>
        <v>135396059.22999999</v>
      </c>
      <c r="F171" s="19">
        <f t="shared" si="45"/>
        <v>135396059.22999999</v>
      </c>
      <c r="G171" s="20">
        <f t="shared" si="46"/>
        <v>0</v>
      </c>
      <c r="H171" s="18"/>
      <c r="I171" s="18"/>
      <c r="J171" s="18"/>
      <c r="K171" s="19">
        <f t="shared" si="47"/>
        <v>0</v>
      </c>
      <c r="L171" s="18"/>
      <c r="M171" s="18"/>
      <c r="N171" s="18"/>
      <c r="O171" s="19">
        <f t="shared" si="48"/>
        <v>0</v>
      </c>
      <c r="P171" s="21">
        <f t="shared" si="49"/>
        <v>0</v>
      </c>
      <c r="Q171" s="18"/>
      <c r="R171" s="18"/>
      <c r="S171" s="19">
        <f t="shared" si="50"/>
        <v>0</v>
      </c>
      <c r="T171" s="20">
        <f t="shared" si="51"/>
        <v>0.03</v>
      </c>
      <c r="U171" s="19">
        <f t="shared" si="52"/>
        <v>0</v>
      </c>
      <c r="V171" s="18"/>
      <c r="W171" s="19">
        <f t="shared" si="53"/>
        <v>0</v>
      </c>
      <c r="X171" s="19">
        <f t="shared" si="54"/>
        <v>0</v>
      </c>
      <c r="Y171" s="18"/>
      <c r="Z171" s="18"/>
      <c r="AA171" s="19">
        <f t="shared" si="55"/>
        <v>0</v>
      </c>
      <c r="AB171" s="17">
        <v>0</v>
      </c>
      <c r="AC171" s="18"/>
      <c r="AD171" s="18"/>
      <c r="AE171" s="22">
        <f t="shared" si="56"/>
        <v>0</v>
      </c>
      <c r="AF171" s="23">
        <f t="shared" si="57"/>
        <v>0</v>
      </c>
      <c r="AG171" s="23">
        <f t="shared" si="58"/>
        <v>0</v>
      </c>
      <c r="AH171" s="18"/>
      <c r="AI171" s="24">
        <f t="shared" si="59"/>
        <v>0</v>
      </c>
      <c r="AJ171" s="25">
        <v>0</v>
      </c>
      <c r="AK171" s="24">
        <f t="shared" si="60"/>
        <v>0</v>
      </c>
      <c r="AL171" s="22">
        <f t="shared" si="61"/>
        <v>0</v>
      </c>
      <c r="AM171" s="22">
        <f t="shared" si="62"/>
        <v>0</v>
      </c>
      <c r="AN171" s="22">
        <f t="shared" si="63"/>
        <v>0</v>
      </c>
      <c r="AO171" s="26" t="str">
        <f t="shared" si="64"/>
        <v/>
      </c>
      <c r="AP171" s="26" t="str">
        <f t="shared" si="65"/>
        <v>pre-launch</v>
      </c>
      <c r="AQ171" s="18"/>
      <c r="AR171" s="18"/>
    </row>
    <row r="172" spans="1:44" x14ac:dyDescent="0.25">
      <c r="A172" s="43">
        <v>45233</v>
      </c>
      <c r="B172" s="17">
        <v>66130813.719999999</v>
      </c>
      <c r="C172" s="17">
        <v>0</v>
      </c>
      <c r="D172" s="18"/>
      <c r="E172" s="19">
        <f t="shared" si="44"/>
        <v>66130813.719999999</v>
      </c>
      <c r="F172" s="19">
        <f t="shared" si="45"/>
        <v>66130813.719999999</v>
      </c>
      <c r="G172" s="20">
        <f t="shared" si="46"/>
        <v>0</v>
      </c>
      <c r="H172" s="18"/>
      <c r="I172" s="18"/>
      <c r="J172" s="18"/>
      <c r="K172" s="19">
        <f t="shared" si="47"/>
        <v>0</v>
      </c>
      <c r="L172" s="18"/>
      <c r="M172" s="18"/>
      <c r="N172" s="18"/>
      <c r="O172" s="19">
        <f t="shared" si="48"/>
        <v>0</v>
      </c>
      <c r="P172" s="21">
        <f t="shared" si="49"/>
        <v>0</v>
      </c>
      <c r="Q172" s="18"/>
      <c r="R172" s="18"/>
      <c r="S172" s="19">
        <f t="shared" si="50"/>
        <v>0</v>
      </c>
      <c r="T172" s="20">
        <f t="shared" si="51"/>
        <v>0.03</v>
      </c>
      <c r="U172" s="19">
        <f t="shared" si="52"/>
        <v>0</v>
      </c>
      <c r="V172" s="18"/>
      <c r="W172" s="19">
        <f t="shared" si="53"/>
        <v>0</v>
      </c>
      <c r="X172" s="19">
        <f t="shared" si="54"/>
        <v>0</v>
      </c>
      <c r="Y172" s="18"/>
      <c r="Z172" s="18"/>
      <c r="AA172" s="19">
        <f t="shared" si="55"/>
        <v>0</v>
      </c>
      <c r="AB172" s="17">
        <v>0</v>
      </c>
      <c r="AC172" s="18"/>
      <c r="AD172" s="18"/>
      <c r="AE172" s="22">
        <f t="shared" si="56"/>
        <v>0</v>
      </c>
      <c r="AF172" s="23">
        <f t="shared" si="57"/>
        <v>0</v>
      </c>
      <c r="AG172" s="23">
        <f t="shared" si="58"/>
        <v>0</v>
      </c>
      <c r="AH172" s="18"/>
      <c r="AI172" s="24">
        <f t="shared" si="59"/>
        <v>0</v>
      </c>
      <c r="AJ172" s="25">
        <v>0</v>
      </c>
      <c r="AK172" s="24">
        <f t="shared" si="60"/>
        <v>0</v>
      </c>
      <c r="AL172" s="22">
        <f t="shared" si="61"/>
        <v>0</v>
      </c>
      <c r="AM172" s="22">
        <f t="shared" si="62"/>
        <v>0</v>
      </c>
      <c r="AN172" s="22">
        <f t="shared" si="63"/>
        <v>0</v>
      </c>
      <c r="AO172" s="26" t="str">
        <f t="shared" si="64"/>
        <v/>
      </c>
      <c r="AP172" s="26" t="str">
        <f t="shared" si="65"/>
        <v>pre-launch</v>
      </c>
      <c r="AQ172" s="18"/>
      <c r="AR172" s="18"/>
    </row>
    <row r="173" spans="1:44" x14ac:dyDescent="0.25">
      <c r="A173" s="43">
        <v>45234</v>
      </c>
      <c r="B173" s="17">
        <v>58679128.200000003</v>
      </c>
      <c r="C173" s="17">
        <v>0</v>
      </c>
      <c r="D173" s="18"/>
      <c r="E173" s="19">
        <f t="shared" si="44"/>
        <v>58679128.200000003</v>
      </c>
      <c r="F173" s="19">
        <f t="shared" si="45"/>
        <v>58679128.200000003</v>
      </c>
      <c r="G173" s="20">
        <f t="shared" si="46"/>
        <v>0</v>
      </c>
      <c r="H173" s="18"/>
      <c r="I173" s="18"/>
      <c r="J173" s="18"/>
      <c r="K173" s="19">
        <f t="shared" si="47"/>
        <v>0</v>
      </c>
      <c r="L173" s="18"/>
      <c r="M173" s="18"/>
      <c r="N173" s="18"/>
      <c r="O173" s="19">
        <f t="shared" si="48"/>
        <v>0</v>
      </c>
      <c r="P173" s="21">
        <f t="shared" si="49"/>
        <v>0</v>
      </c>
      <c r="Q173" s="18"/>
      <c r="R173" s="18"/>
      <c r="S173" s="19">
        <f t="shared" si="50"/>
        <v>0</v>
      </c>
      <c r="T173" s="20">
        <f t="shared" si="51"/>
        <v>0.03</v>
      </c>
      <c r="U173" s="19">
        <f t="shared" si="52"/>
        <v>0</v>
      </c>
      <c r="V173" s="18"/>
      <c r="W173" s="19">
        <f t="shared" si="53"/>
        <v>0</v>
      </c>
      <c r="X173" s="19">
        <f t="shared" si="54"/>
        <v>0</v>
      </c>
      <c r="Y173" s="18"/>
      <c r="Z173" s="18"/>
      <c r="AA173" s="19">
        <f t="shared" si="55"/>
        <v>0</v>
      </c>
      <c r="AB173" s="17">
        <v>0</v>
      </c>
      <c r="AC173" s="18"/>
      <c r="AD173" s="18"/>
      <c r="AE173" s="22">
        <f t="shared" si="56"/>
        <v>0</v>
      </c>
      <c r="AF173" s="23">
        <f t="shared" si="57"/>
        <v>0</v>
      </c>
      <c r="AG173" s="23">
        <f t="shared" si="58"/>
        <v>0</v>
      </c>
      <c r="AH173" s="18"/>
      <c r="AI173" s="24">
        <f t="shared" si="59"/>
        <v>0</v>
      </c>
      <c r="AJ173" s="25">
        <v>0</v>
      </c>
      <c r="AK173" s="24">
        <f t="shared" si="60"/>
        <v>0</v>
      </c>
      <c r="AL173" s="22">
        <f t="shared" si="61"/>
        <v>0</v>
      </c>
      <c r="AM173" s="22">
        <f t="shared" si="62"/>
        <v>0</v>
      </c>
      <c r="AN173" s="22">
        <f t="shared" si="63"/>
        <v>0</v>
      </c>
      <c r="AO173" s="26" t="str">
        <f t="shared" si="64"/>
        <v/>
      </c>
      <c r="AP173" s="26" t="str">
        <f t="shared" si="65"/>
        <v>pre-launch</v>
      </c>
      <c r="AQ173" s="18"/>
      <c r="AR173" s="18"/>
    </row>
    <row r="174" spans="1:44" x14ac:dyDescent="0.25">
      <c r="A174" s="43">
        <v>45235</v>
      </c>
      <c r="B174" s="17">
        <v>73028784.150000006</v>
      </c>
      <c r="C174" s="17">
        <v>0</v>
      </c>
      <c r="D174" s="18"/>
      <c r="E174" s="19">
        <f t="shared" si="44"/>
        <v>73028784.150000006</v>
      </c>
      <c r="F174" s="19">
        <f t="shared" si="45"/>
        <v>73028784.150000006</v>
      </c>
      <c r="G174" s="20">
        <f t="shared" si="46"/>
        <v>0</v>
      </c>
      <c r="H174" s="18"/>
      <c r="I174" s="18"/>
      <c r="J174" s="18"/>
      <c r="K174" s="19">
        <f t="shared" si="47"/>
        <v>0</v>
      </c>
      <c r="L174" s="18"/>
      <c r="M174" s="18"/>
      <c r="N174" s="18"/>
      <c r="O174" s="19">
        <f t="shared" si="48"/>
        <v>0</v>
      </c>
      <c r="P174" s="21">
        <f t="shared" si="49"/>
        <v>0</v>
      </c>
      <c r="Q174" s="18"/>
      <c r="R174" s="18"/>
      <c r="S174" s="19">
        <f t="shared" si="50"/>
        <v>0</v>
      </c>
      <c r="T174" s="20">
        <f t="shared" si="51"/>
        <v>0.03</v>
      </c>
      <c r="U174" s="19">
        <f t="shared" si="52"/>
        <v>0</v>
      </c>
      <c r="V174" s="18"/>
      <c r="W174" s="19">
        <f t="shared" si="53"/>
        <v>0</v>
      </c>
      <c r="X174" s="19">
        <f t="shared" si="54"/>
        <v>0</v>
      </c>
      <c r="Y174" s="18"/>
      <c r="Z174" s="18"/>
      <c r="AA174" s="19">
        <f t="shared" si="55"/>
        <v>0</v>
      </c>
      <c r="AB174" s="17">
        <v>0</v>
      </c>
      <c r="AC174" s="18"/>
      <c r="AD174" s="18"/>
      <c r="AE174" s="22">
        <f t="shared" si="56"/>
        <v>0</v>
      </c>
      <c r="AF174" s="23">
        <f t="shared" si="57"/>
        <v>0</v>
      </c>
      <c r="AG174" s="23">
        <f t="shared" si="58"/>
        <v>0</v>
      </c>
      <c r="AH174" s="18"/>
      <c r="AI174" s="24">
        <f t="shared" si="59"/>
        <v>0</v>
      </c>
      <c r="AJ174" s="25">
        <v>0</v>
      </c>
      <c r="AK174" s="24">
        <f t="shared" si="60"/>
        <v>0</v>
      </c>
      <c r="AL174" s="22">
        <f t="shared" si="61"/>
        <v>0</v>
      </c>
      <c r="AM174" s="22">
        <f t="shared" si="62"/>
        <v>0</v>
      </c>
      <c r="AN174" s="22">
        <f t="shared" si="63"/>
        <v>0</v>
      </c>
      <c r="AO174" s="26" t="str">
        <f t="shared" si="64"/>
        <v/>
      </c>
      <c r="AP174" s="26" t="str">
        <f t="shared" si="65"/>
        <v>pre-launch</v>
      </c>
      <c r="AQ174" s="18"/>
      <c r="AR174" s="18"/>
    </row>
    <row r="175" spans="1:44" x14ac:dyDescent="0.25">
      <c r="A175" s="43">
        <v>45236</v>
      </c>
      <c r="B175" s="17">
        <v>188389375.69999999</v>
      </c>
      <c r="C175" s="17">
        <v>0</v>
      </c>
      <c r="D175" s="18"/>
      <c r="E175" s="19">
        <f t="shared" si="44"/>
        <v>188389375.69999999</v>
      </c>
      <c r="F175" s="19">
        <f t="shared" si="45"/>
        <v>188389375.69999999</v>
      </c>
      <c r="G175" s="20">
        <f t="shared" si="46"/>
        <v>0</v>
      </c>
      <c r="H175" s="18"/>
      <c r="I175" s="18"/>
      <c r="J175" s="18"/>
      <c r="K175" s="19">
        <f t="shared" si="47"/>
        <v>0</v>
      </c>
      <c r="L175" s="18"/>
      <c r="M175" s="18"/>
      <c r="N175" s="18"/>
      <c r="O175" s="19">
        <f t="shared" si="48"/>
        <v>0</v>
      </c>
      <c r="P175" s="21">
        <f t="shared" si="49"/>
        <v>0</v>
      </c>
      <c r="Q175" s="18"/>
      <c r="R175" s="18"/>
      <c r="S175" s="19">
        <f t="shared" si="50"/>
        <v>0</v>
      </c>
      <c r="T175" s="20">
        <f t="shared" si="51"/>
        <v>0.03</v>
      </c>
      <c r="U175" s="19">
        <f t="shared" si="52"/>
        <v>0</v>
      </c>
      <c r="V175" s="18"/>
      <c r="W175" s="19">
        <f t="shared" si="53"/>
        <v>0</v>
      </c>
      <c r="X175" s="19">
        <f t="shared" si="54"/>
        <v>0</v>
      </c>
      <c r="Y175" s="18"/>
      <c r="Z175" s="18"/>
      <c r="AA175" s="19">
        <f t="shared" si="55"/>
        <v>0</v>
      </c>
      <c r="AB175" s="17">
        <v>0</v>
      </c>
      <c r="AC175" s="18"/>
      <c r="AD175" s="18"/>
      <c r="AE175" s="22">
        <f t="shared" si="56"/>
        <v>0</v>
      </c>
      <c r="AF175" s="23">
        <f t="shared" si="57"/>
        <v>0</v>
      </c>
      <c r="AG175" s="23">
        <f t="shared" si="58"/>
        <v>0</v>
      </c>
      <c r="AH175" s="18"/>
      <c r="AI175" s="24">
        <f t="shared" si="59"/>
        <v>0</v>
      </c>
      <c r="AJ175" s="25">
        <v>0</v>
      </c>
      <c r="AK175" s="24">
        <f t="shared" si="60"/>
        <v>0</v>
      </c>
      <c r="AL175" s="22">
        <f t="shared" si="61"/>
        <v>0</v>
      </c>
      <c r="AM175" s="22">
        <f t="shared" si="62"/>
        <v>0</v>
      </c>
      <c r="AN175" s="22">
        <f t="shared" si="63"/>
        <v>0</v>
      </c>
      <c r="AO175" s="26" t="str">
        <f t="shared" si="64"/>
        <v/>
      </c>
      <c r="AP175" s="26" t="str">
        <f t="shared" si="65"/>
        <v>pre-launch</v>
      </c>
      <c r="AQ175" s="18"/>
      <c r="AR175" s="18"/>
    </row>
    <row r="176" spans="1:44" x14ac:dyDescent="0.25">
      <c r="A176" s="43">
        <v>45237</v>
      </c>
      <c r="B176" s="17">
        <v>160375586.47</v>
      </c>
      <c r="C176" s="17">
        <v>0</v>
      </c>
      <c r="D176" s="18"/>
      <c r="E176" s="19">
        <f t="shared" si="44"/>
        <v>160375586.47</v>
      </c>
      <c r="F176" s="19">
        <f t="shared" si="45"/>
        <v>160375586.47</v>
      </c>
      <c r="G176" s="20">
        <f t="shared" si="46"/>
        <v>0</v>
      </c>
      <c r="H176" s="18"/>
      <c r="I176" s="18"/>
      <c r="J176" s="18"/>
      <c r="K176" s="19">
        <f t="shared" si="47"/>
        <v>0</v>
      </c>
      <c r="L176" s="18"/>
      <c r="M176" s="18"/>
      <c r="N176" s="18"/>
      <c r="O176" s="19">
        <f t="shared" si="48"/>
        <v>0</v>
      </c>
      <c r="P176" s="21">
        <f t="shared" si="49"/>
        <v>0</v>
      </c>
      <c r="Q176" s="18"/>
      <c r="R176" s="18"/>
      <c r="S176" s="19">
        <f t="shared" si="50"/>
        <v>0</v>
      </c>
      <c r="T176" s="20">
        <f t="shared" si="51"/>
        <v>0.03</v>
      </c>
      <c r="U176" s="19">
        <f t="shared" si="52"/>
        <v>0</v>
      </c>
      <c r="V176" s="18"/>
      <c r="W176" s="19">
        <f t="shared" si="53"/>
        <v>0</v>
      </c>
      <c r="X176" s="19">
        <f t="shared" si="54"/>
        <v>0</v>
      </c>
      <c r="Y176" s="18"/>
      <c r="Z176" s="18"/>
      <c r="AA176" s="19">
        <f t="shared" si="55"/>
        <v>0</v>
      </c>
      <c r="AB176" s="17">
        <v>0</v>
      </c>
      <c r="AC176" s="18"/>
      <c r="AD176" s="18"/>
      <c r="AE176" s="22">
        <f t="shared" si="56"/>
        <v>0</v>
      </c>
      <c r="AF176" s="23">
        <f t="shared" si="57"/>
        <v>0</v>
      </c>
      <c r="AG176" s="23">
        <f t="shared" si="58"/>
        <v>0</v>
      </c>
      <c r="AH176" s="18"/>
      <c r="AI176" s="24">
        <f t="shared" si="59"/>
        <v>0</v>
      </c>
      <c r="AJ176" s="25">
        <v>0</v>
      </c>
      <c r="AK176" s="24">
        <f t="shared" si="60"/>
        <v>0</v>
      </c>
      <c r="AL176" s="22">
        <f t="shared" si="61"/>
        <v>0</v>
      </c>
      <c r="AM176" s="22">
        <f t="shared" si="62"/>
        <v>0</v>
      </c>
      <c r="AN176" s="22">
        <f t="shared" si="63"/>
        <v>0</v>
      </c>
      <c r="AO176" s="26" t="str">
        <f t="shared" si="64"/>
        <v/>
      </c>
      <c r="AP176" s="26" t="str">
        <f t="shared" si="65"/>
        <v>pre-launch</v>
      </c>
      <c r="AQ176" s="18"/>
      <c r="AR176" s="18"/>
    </row>
    <row r="177" spans="1:44" x14ac:dyDescent="0.25">
      <c r="A177" s="43">
        <v>45238</v>
      </c>
      <c r="B177" s="17">
        <v>98034531.269999996</v>
      </c>
      <c r="C177" s="17">
        <v>0</v>
      </c>
      <c r="D177" s="18"/>
      <c r="E177" s="19">
        <f t="shared" si="44"/>
        <v>98034531.269999996</v>
      </c>
      <c r="F177" s="19">
        <f t="shared" si="45"/>
        <v>98034531.269999996</v>
      </c>
      <c r="G177" s="20">
        <f t="shared" si="46"/>
        <v>0</v>
      </c>
      <c r="H177" s="18"/>
      <c r="I177" s="18"/>
      <c r="J177" s="18"/>
      <c r="K177" s="19">
        <f t="shared" si="47"/>
        <v>0</v>
      </c>
      <c r="L177" s="18"/>
      <c r="M177" s="18"/>
      <c r="N177" s="18"/>
      <c r="O177" s="19">
        <f t="shared" si="48"/>
        <v>0</v>
      </c>
      <c r="P177" s="21">
        <f t="shared" si="49"/>
        <v>0</v>
      </c>
      <c r="Q177" s="18"/>
      <c r="R177" s="18"/>
      <c r="S177" s="19">
        <f t="shared" si="50"/>
        <v>0</v>
      </c>
      <c r="T177" s="20">
        <f t="shared" si="51"/>
        <v>0.03</v>
      </c>
      <c r="U177" s="19">
        <f t="shared" si="52"/>
        <v>0</v>
      </c>
      <c r="V177" s="18"/>
      <c r="W177" s="19">
        <f t="shared" si="53"/>
        <v>0</v>
      </c>
      <c r="X177" s="19">
        <f t="shared" si="54"/>
        <v>0</v>
      </c>
      <c r="Y177" s="18"/>
      <c r="Z177" s="18"/>
      <c r="AA177" s="19">
        <f t="shared" si="55"/>
        <v>0</v>
      </c>
      <c r="AB177" s="17">
        <v>0</v>
      </c>
      <c r="AC177" s="18"/>
      <c r="AD177" s="18"/>
      <c r="AE177" s="22">
        <f t="shared" si="56"/>
        <v>0</v>
      </c>
      <c r="AF177" s="23">
        <f t="shared" si="57"/>
        <v>0</v>
      </c>
      <c r="AG177" s="23">
        <f t="shared" si="58"/>
        <v>0</v>
      </c>
      <c r="AH177" s="18"/>
      <c r="AI177" s="24">
        <f t="shared" si="59"/>
        <v>0</v>
      </c>
      <c r="AJ177" s="25">
        <v>0</v>
      </c>
      <c r="AK177" s="24">
        <f t="shared" si="60"/>
        <v>0</v>
      </c>
      <c r="AL177" s="22">
        <f t="shared" si="61"/>
        <v>0</v>
      </c>
      <c r="AM177" s="22">
        <f t="shared" si="62"/>
        <v>0</v>
      </c>
      <c r="AN177" s="22">
        <f t="shared" si="63"/>
        <v>0</v>
      </c>
      <c r="AO177" s="26" t="str">
        <f t="shared" si="64"/>
        <v/>
      </c>
      <c r="AP177" s="26" t="str">
        <f t="shared" si="65"/>
        <v>pre-launch</v>
      </c>
      <c r="AQ177" s="18"/>
      <c r="AR177" s="18"/>
    </row>
    <row r="178" spans="1:44" x14ac:dyDescent="0.25">
      <c r="A178" s="43">
        <v>45239</v>
      </c>
      <c r="B178" s="17">
        <v>237343596.52000001</v>
      </c>
      <c r="C178" s="17">
        <v>0</v>
      </c>
      <c r="D178" s="18"/>
      <c r="E178" s="19">
        <f t="shared" si="44"/>
        <v>237343596.52000001</v>
      </c>
      <c r="F178" s="19">
        <f t="shared" si="45"/>
        <v>237343596.52000001</v>
      </c>
      <c r="G178" s="20">
        <f t="shared" si="46"/>
        <v>0</v>
      </c>
      <c r="H178" s="18"/>
      <c r="I178" s="18"/>
      <c r="J178" s="18"/>
      <c r="K178" s="19">
        <f t="shared" si="47"/>
        <v>0</v>
      </c>
      <c r="L178" s="18"/>
      <c r="M178" s="18"/>
      <c r="N178" s="18"/>
      <c r="O178" s="19">
        <f t="shared" si="48"/>
        <v>0</v>
      </c>
      <c r="P178" s="21">
        <f t="shared" si="49"/>
        <v>0</v>
      </c>
      <c r="Q178" s="18"/>
      <c r="R178" s="18"/>
      <c r="S178" s="19">
        <f t="shared" si="50"/>
        <v>0</v>
      </c>
      <c r="T178" s="20">
        <f t="shared" si="51"/>
        <v>0.03</v>
      </c>
      <c r="U178" s="19">
        <f t="shared" si="52"/>
        <v>0</v>
      </c>
      <c r="V178" s="18"/>
      <c r="W178" s="19">
        <f t="shared" si="53"/>
        <v>0</v>
      </c>
      <c r="X178" s="19">
        <f t="shared" si="54"/>
        <v>0</v>
      </c>
      <c r="Y178" s="18"/>
      <c r="Z178" s="18"/>
      <c r="AA178" s="19">
        <f t="shared" si="55"/>
        <v>0</v>
      </c>
      <c r="AB178" s="17">
        <v>0</v>
      </c>
      <c r="AC178" s="18"/>
      <c r="AD178" s="18"/>
      <c r="AE178" s="22">
        <f t="shared" si="56"/>
        <v>0</v>
      </c>
      <c r="AF178" s="23">
        <f t="shared" si="57"/>
        <v>0</v>
      </c>
      <c r="AG178" s="23">
        <f t="shared" si="58"/>
        <v>0</v>
      </c>
      <c r="AH178" s="18"/>
      <c r="AI178" s="24">
        <f t="shared" si="59"/>
        <v>0</v>
      </c>
      <c r="AJ178" s="25">
        <v>0</v>
      </c>
      <c r="AK178" s="24">
        <f t="shared" si="60"/>
        <v>0</v>
      </c>
      <c r="AL178" s="22">
        <f t="shared" si="61"/>
        <v>0</v>
      </c>
      <c r="AM178" s="22">
        <f t="shared" si="62"/>
        <v>0</v>
      </c>
      <c r="AN178" s="22">
        <f t="shared" si="63"/>
        <v>0</v>
      </c>
      <c r="AO178" s="26" t="str">
        <f t="shared" si="64"/>
        <v/>
      </c>
      <c r="AP178" s="26" t="str">
        <f t="shared" si="65"/>
        <v>pre-launch</v>
      </c>
      <c r="AQ178" s="18"/>
      <c r="AR178" s="18"/>
    </row>
    <row r="179" spans="1:44" x14ac:dyDescent="0.25">
      <c r="A179" s="43">
        <v>45240</v>
      </c>
      <c r="B179" s="17">
        <v>128304145.64</v>
      </c>
      <c r="C179" s="17">
        <v>0</v>
      </c>
      <c r="D179" s="18"/>
      <c r="E179" s="19">
        <f t="shared" si="44"/>
        <v>128304145.64</v>
      </c>
      <c r="F179" s="19">
        <f t="shared" si="45"/>
        <v>128304145.64</v>
      </c>
      <c r="G179" s="20">
        <f t="shared" si="46"/>
        <v>0</v>
      </c>
      <c r="H179" s="18"/>
      <c r="I179" s="18"/>
      <c r="J179" s="18"/>
      <c r="K179" s="19">
        <f t="shared" si="47"/>
        <v>0</v>
      </c>
      <c r="L179" s="18"/>
      <c r="M179" s="18"/>
      <c r="N179" s="18"/>
      <c r="O179" s="19">
        <f t="shared" si="48"/>
        <v>0</v>
      </c>
      <c r="P179" s="21">
        <f t="shared" si="49"/>
        <v>0</v>
      </c>
      <c r="Q179" s="18"/>
      <c r="R179" s="18"/>
      <c r="S179" s="19">
        <f t="shared" si="50"/>
        <v>0</v>
      </c>
      <c r="T179" s="20">
        <f t="shared" si="51"/>
        <v>0.03</v>
      </c>
      <c r="U179" s="19">
        <f t="shared" si="52"/>
        <v>0</v>
      </c>
      <c r="V179" s="18"/>
      <c r="W179" s="19">
        <f t="shared" si="53"/>
        <v>0</v>
      </c>
      <c r="X179" s="19">
        <f t="shared" si="54"/>
        <v>0</v>
      </c>
      <c r="Y179" s="18"/>
      <c r="Z179" s="18"/>
      <c r="AA179" s="19">
        <f t="shared" si="55"/>
        <v>0</v>
      </c>
      <c r="AB179" s="17">
        <v>0</v>
      </c>
      <c r="AC179" s="18"/>
      <c r="AD179" s="18"/>
      <c r="AE179" s="22">
        <f t="shared" si="56"/>
        <v>0</v>
      </c>
      <c r="AF179" s="23">
        <f t="shared" si="57"/>
        <v>0</v>
      </c>
      <c r="AG179" s="23">
        <f t="shared" si="58"/>
        <v>0</v>
      </c>
      <c r="AH179" s="18"/>
      <c r="AI179" s="24">
        <f t="shared" si="59"/>
        <v>0</v>
      </c>
      <c r="AJ179" s="25">
        <v>0</v>
      </c>
      <c r="AK179" s="24">
        <f t="shared" si="60"/>
        <v>0</v>
      </c>
      <c r="AL179" s="22">
        <f t="shared" si="61"/>
        <v>0</v>
      </c>
      <c r="AM179" s="22">
        <f t="shared" si="62"/>
        <v>0</v>
      </c>
      <c r="AN179" s="22">
        <f t="shared" si="63"/>
        <v>0</v>
      </c>
      <c r="AO179" s="26" t="str">
        <f t="shared" si="64"/>
        <v/>
      </c>
      <c r="AP179" s="26" t="str">
        <f t="shared" si="65"/>
        <v>pre-launch</v>
      </c>
      <c r="AQ179" s="18"/>
      <c r="AR179" s="18"/>
    </row>
    <row r="180" spans="1:44" x14ac:dyDescent="0.25">
      <c r="A180" s="43">
        <v>45241</v>
      </c>
      <c r="B180" s="17">
        <v>125205713.01000001</v>
      </c>
      <c r="C180" s="17">
        <v>0</v>
      </c>
      <c r="D180" s="18"/>
      <c r="E180" s="19">
        <f t="shared" si="44"/>
        <v>125205713.01000001</v>
      </c>
      <c r="F180" s="19">
        <f t="shared" si="45"/>
        <v>125205713.01000001</v>
      </c>
      <c r="G180" s="20">
        <f t="shared" si="46"/>
        <v>0</v>
      </c>
      <c r="H180" s="18"/>
      <c r="I180" s="18"/>
      <c r="J180" s="18"/>
      <c r="K180" s="19">
        <f t="shared" si="47"/>
        <v>0</v>
      </c>
      <c r="L180" s="18"/>
      <c r="M180" s="18"/>
      <c r="N180" s="18"/>
      <c r="O180" s="19">
        <f t="shared" si="48"/>
        <v>0</v>
      </c>
      <c r="P180" s="21">
        <f t="shared" si="49"/>
        <v>0</v>
      </c>
      <c r="Q180" s="18"/>
      <c r="R180" s="18"/>
      <c r="S180" s="19">
        <f t="shared" si="50"/>
        <v>0</v>
      </c>
      <c r="T180" s="20">
        <f t="shared" si="51"/>
        <v>0.03</v>
      </c>
      <c r="U180" s="19">
        <f t="shared" si="52"/>
        <v>0</v>
      </c>
      <c r="V180" s="18"/>
      <c r="W180" s="19">
        <f t="shared" si="53"/>
        <v>0</v>
      </c>
      <c r="X180" s="19">
        <f t="shared" si="54"/>
        <v>0</v>
      </c>
      <c r="Y180" s="18"/>
      <c r="Z180" s="18"/>
      <c r="AA180" s="19">
        <f t="shared" si="55"/>
        <v>0</v>
      </c>
      <c r="AB180" s="17">
        <v>0</v>
      </c>
      <c r="AC180" s="18"/>
      <c r="AD180" s="18"/>
      <c r="AE180" s="22">
        <f t="shared" si="56"/>
        <v>0</v>
      </c>
      <c r="AF180" s="23">
        <f t="shared" si="57"/>
        <v>0</v>
      </c>
      <c r="AG180" s="23">
        <f t="shared" si="58"/>
        <v>0</v>
      </c>
      <c r="AH180" s="18"/>
      <c r="AI180" s="24">
        <f t="shared" si="59"/>
        <v>0</v>
      </c>
      <c r="AJ180" s="25">
        <v>0</v>
      </c>
      <c r="AK180" s="24">
        <f t="shared" si="60"/>
        <v>0</v>
      </c>
      <c r="AL180" s="22">
        <f t="shared" si="61"/>
        <v>0</v>
      </c>
      <c r="AM180" s="22">
        <f t="shared" si="62"/>
        <v>0</v>
      </c>
      <c r="AN180" s="22">
        <f t="shared" si="63"/>
        <v>0</v>
      </c>
      <c r="AO180" s="26" t="str">
        <f t="shared" si="64"/>
        <v/>
      </c>
      <c r="AP180" s="26" t="str">
        <f t="shared" si="65"/>
        <v>pre-launch</v>
      </c>
      <c r="AQ180" s="18"/>
      <c r="AR180" s="18"/>
    </row>
    <row r="181" spans="1:44" x14ac:dyDescent="0.25">
      <c r="A181" s="43">
        <v>45242</v>
      </c>
      <c r="B181" s="17">
        <v>121572456.93000001</v>
      </c>
      <c r="C181" s="17">
        <v>0</v>
      </c>
      <c r="D181" s="18"/>
      <c r="E181" s="19">
        <f t="shared" si="44"/>
        <v>121572456.93000001</v>
      </c>
      <c r="F181" s="19">
        <f t="shared" si="45"/>
        <v>121572456.93000001</v>
      </c>
      <c r="G181" s="20">
        <f t="shared" si="46"/>
        <v>0</v>
      </c>
      <c r="H181" s="18"/>
      <c r="I181" s="18"/>
      <c r="J181" s="18"/>
      <c r="K181" s="19">
        <f t="shared" si="47"/>
        <v>0</v>
      </c>
      <c r="L181" s="18"/>
      <c r="M181" s="18"/>
      <c r="N181" s="18"/>
      <c r="O181" s="19">
        <f t="shared" si="48"/>
        <v>0</v>
      </c>
      <c r="P181" s="21">
        <f t="shared" si="49"/>
        <v>0</v>
      </c>
      <c r="Q181" s="18"/>
      <c r="R181" s="18"/>
      <c r="S181" s="19">
        <f t="shared" si="50"/>
        <v>0</v>
      </c>
      <c r="T181" s="20">
        <f t="shared" si="51"/>
        <v>0.03</v>
      </c>
      <c r="U181" s="19">
        <f t="shared" si="52"/>
        <v>0</v>
      </c>
      <c r="V181" s="18"/>
      <c r="W181" s="19">
        <f t="shared" si="53"/>
        <v>0</v>
      </c>
      <c r="X181" s="19">
        <f t="shared" si="54"/>
        <v>0</v>
      </c>
      <c r="Y181" s="18"/>
      <c r="Z181" s="18"/>
      <c r="AA181" s="19">
        <f t="shared" si="55"/>
        <v>0</v>
      </c>
      <c r="AB181" s="17">
        <v>0</v>
      </c>
      <c r="AC181" s="18"/>
      <c r="AD181" s="18"/>
      <c r="AE181" s="22">
        <f t="shared" si="56"/>
        <v>0</v>
      </c>
      <c r="AF181" s="23">
        <f t="shared" si="57"/>
        <v>0</v>
      </c>
      <c r="AG181" s="23">
        <f t="shared" si="58"/>
        <v>0</v>
      </c>
      <c r="AH181" s="18"/>
      <c r="AI181" s="24">
        <f t="shared" si="59"/>
        <v>0</v>
      </c>
      <c r="AJ181" s="25">
        <v>0</v>
      </c>
      <c r="AK181" s="24">
        <f t="shared" si="60"/>
        <v>0</v>
      </c>
      <c r="AL181" s="22">
        <f t="shared" si="61"/>
        <v>0</v>
      </c>
      <c r="AM181" s="22">
        <f t="shared" si="62"/>
        <v>0</v>
      </c>
      <c r="AN181" s="22">
        <f t="shared" si="63"/>
        <v>0</v>
      </c>
      <c r="AO181" s="26" t="str">
        <f t="shared" si="64"/>
        <v/>
      </c>
      <c r="AP181" s="26" t="str">
        <f t="shared" si="65"/>
        <v>pre-launch</v>
      </c>
      <c r="AQ181" s="18"/>
      <c r="AR181" s="18"/>
    </row>
    <row r="182" spans="1:44" x14ac:dyDescent="0.25">
      <c r="A182" s="43">
        <v>45243</v>
      </c>
      <c r="B182" s="17">
        <v>141181255.41</v>
      </c>
      <c r="C182" s="17">
        <v>0</v>
      </c>
      <c r="D182" s="18"/>
      <c r="E182" s="19">
        <f t="shared" si="44"/>
        <v>141181255.41</v>
      </c>
      <c r="F182" s="19">
        <f t="shared" si="45"/>
        <v>141181255.41</v>
      </c>
      <c r="G182" s="20">
        <f t="shared" si="46"/>
        <v>0</v>
      </c>
      <c r="H182" s="18"/>
      <c r="I182" s="18"/>
      <c r="J182" s="18"/>
      <c r="K182" s="19">
        <f t="shared" si="47"/>
        <v>0</v>
      </c>
      <c r="L182" s="18"/>
      <c r="M182" s="18"/>
      <c r="N182" s="18"/>
      <c r="O182" s="19">
        <f t="shared" si="48"/>
        <v>0</v>
      </c>
      <c r="P182" s="21">
        <f t="shared" si="49"/>
        <v>0</v>
      </c>
      <c r="Q182" s="18"/>
      <c r="R182" s="18"/>
      <c r="S182" s="19">
        <f t="shared" si="50"/>
        <v>0</v>
      </c>
      <c r="T182" s="20">
        <f t="shared" si="51"/>
        <v>0.03</v>
      </c>
      <c r="U182" s="19">
        <f t="shared" si="52"/>
        <v>0</v>
      </c>
      <c r="V182" s="18"/>
      <c r="W182" s="19">
        <f t="shared" si="53"/>
        <v>0</v>
      </c>
      <c r="X182" s="19">
        <f t="shared" si="54"/>
        <v>0</v>
      </c>
      <c r="Y182" s="18"/>
      <c r="Z182" s="18"/>
      <c r="AA182" s="19">
        <f t="shared" si="55"/>
        <v>0</v>
      </c>
      <c r="AB182" s="17">
        <v>0</v>
      </c>
      <c r="AC182" s="18"/>
      <c r="AD182" s="18"/>
      <c r="AE182" s="22">
        <f t="shared" si="56"/>
        <v>0</v>
      </c>
      <c r="AF182" s="23">
        <f t="shared" si="57"/>
        <v>0</v>
      </c>
      <c r="AG182" s="23">
        <f t="shared" si="58"/>
        <v>0</v>
      </c>
      <c r="AH182" s="18"/>
      <c r="AI182" s="24">
        <f t="shared" si="59"/>
        <v>0</v>
      </c>
      <c r="AJ182" s="25">
        <v>0</v>
      </c>
      <c r="AK182" s="24">
        <f t="shared" si="60"/>
        <v>0</v>
      </c>
      <c r="AL182" s="22">
        <f t="shared" si="61"/>
        <v>0</v>
      </c>
      <c r="AM182" s="22">
        <f t="shared" si="62"/>
        <v>0</v>
      </c>
      <c r="AN182" s="22">
        <f t="shared" si="63"/>
        <v>0</v>
      </c>
      <c r="AO182" s="26" t="str">
        <f t="shared" si="64"/>
        <v/>
      </c>
      <c r="AP182" s="26" t="str">
        <f t="shared" si="65"/>
        <v>pre-launch</v>
      </c>
      <c r="AQ182" s="18"/>
      <c r="AR182" s="18"/>
    </row>
    <row r="183" spans="1:44" x14ac:dyDescent="0.25">
      <c r="A183" s="43">
        <v>45244</v>
      </c>
      <c r="B183" s="17">
        <v>124288568.77</v>
      </c>
      <c r="C183" s="17">
        <v>0</v>
      </c>
      <c r="D183" s="18"/>
      <c r="E183" s="19">
        <f t="shared" si="44"/>
        <v>124288568.77</v>
      </c>
      <c r="F183" s="19">
        <f t="shared" si="45"/>
        <v>124288568.77</v>
      </c>
      <c r="G183" s="20">
        <f t="shared" si="46"/>
        <v>0</v>
      </c>
      <c r="H183" s="18"/>
      <c r="I183" s="18"/>
      <c r="J183" s="18"/>
      <c r="K183" s="19">
        <f t="shared" si="47"/>
        <v>0</v>
      </c>
      <c r="L183" s="18"/>
      <c r="M183" s="18"/>
      <c r="N183" s="18"/>
      <c r="O183" s="19">
        <f t="shared" si="48"/>
        <v>0</v>
      </c>
      <c r="P183" s="21">
        <f t="shared" si="49"/>
        <v>0</v>
      </c>
      <c r="Q183" s="18"/>
      <c r="R183" s="18"/>
      <c r="S183" s="19">
        <f t="shared" si="50"/>
        <v>0</v>
      </c>
      <c r="T183" s="20">
        <f t="shared" si="51"/>
        <v>0.03</v>
      </c>
      <c r="U183" s="19">
        <f t="shared" si="52"/>
        <v>0</v>
      </c>
      <c r="V183" s="18"/>
      <c r="W183" s="19">
        <f t="shared" si="53"/>
        <v>0</v>
      </c>
      <c r="X183" s="19">
        <f t="shared" si="54"/>
        <v>0</v>
      </c>
      <c r="Y183" s="18"/>
      <c r="Z183" s="18"/>
      <c r="AA183" s="19">
        <f t="shared" si="55"/>
        <v>0</v>
      </c>
      <c r="AB183" s="17">
        <v>0</v>
      </c>
      <c r="AC183" s="18"/>
      <c r="AD183" s="18"/>
      <c r="AE183" s="22">
        <f t="shared" si="56"/>
        <v>0</v>
      </c>
      <c r="AF183" s="23">
        <f t="shared" si="57"/>
        <v>0</v>
      </c>
      <c r="AG183" s="23">
        <f t="shared" si="58"/>
        <v>0</v>
      </c>
      <c r="AH183" s="18"/>
      <c r="AI183" s="24">
        <f t="shared" si="59"/>
        <v>0</v>
      </c>
      <c r="AJ183" s="25">
        <v>0</v>
      </c>
      <c r="AK183" s="24">
        <f t="shared" si="60"/>
        <v>0</v>
      </c>
      <c r="AL183" s="22">
        <f t="shared" si="61"/>
        <v>0</v>
      </c>
      <c r="AM183" s="22">
        <f t="shared" si="62"/>
        <v>0</v>
      </c>
      <c r="AN183" s="22">
        <f t="shared" si="63"/>
        <v>0</v>
      </c>
      <c r="AO183" s="26" t="str">
        <f t="shared" si="64"/>
        <v/>
      </c>
      <c r="AP183" s="26" t="str">
        <f t="shared" si="65"/>
        <v>pre-launch</v>
      </c>
      <c r="AQ183" s="18"/>
      <c r="AR183" s="18"/>
    </row>
    <row r="184" spans="1:44" x14ac:dyDescent="0.25">
      <c r="A184" s="43">
        <v>45245</v>
      </c>
      <c r="B184" s="17">
        <v>117572100.37</v>
      </c>
      <c r="C184" s="17">
        <v>0</v>
      </c>
      <c r="D184" s="18"/>
      <c r="E184" s="19">
        <f t="shared" si="44"/>
        <v>117572100.37</v>
      </c>
      <c r="F184" s="19">
        <f t="shared" si="45"/>
        <v>117572100.37</v>
      </c>
      <c r="G184" s="20">
        <f t="shared" si="46"/>
        <v>0</v>
      </c>
      <c r="H184" s="18"/>
      <c r="I184" s="18"/>
      <c r="J184" s="18"/>
      <c r="K184" s="19">
        <f t="shared" si="47"/>
        <v>0</v>
      </c>
      <c r="L184" s="18"/>
      <c r="M184" s="18"/>
      <c r="N184" s="18"/>
      <c r="O184" s="19">
        <f t="shared" si="48"/>
        <v>0</v>
      </c>
      <c r="P184" s="21">
        <f t="shared" si="49"/>
        <v>0</v>
      </c>
      <c r="Q184" s="18"/>
      <c r="R184" s="18"/>
      <c r="S184" s="19">
        <f t="shared" si="50"/>
        <v>0</v>
      </c>
      <c r="T184" s="20">
        <f t="shared" si="51"/>
        <v>0.03</v>
      </c>
      <c r="U184" s="19">
        <f t="shared" si="52"/>
        <v>0</v>
      </c>
      <c r="V184" s="18"/>
      <c r="W184" s="19">
        <f t="shared" si="53"/>
        <v>0</v>
      </c>
      <c r="X184" s="19">
        <f t="shared" si="54"/>
        <v>0</v>
      </c>
      <c r="Y184" s="18"/>
      <c r="Z184" s="18"/>
      <c r="AA184" s="19">
        <f t="shared" si="55"/>
        <v>0</v>
      </c>
      <c r="AB184" s="17">
        <v>0</v>
      </c>
      <c r="AC184" s="18"/>
      <c r="AD184" s="18"/>
      <c r="AE184" s="22">
        <f t="shared" si="56"/>
        <v>0</v>
      </c>
      <c r="AF184" s="23">
        <f t="shared" si="57"/>
        <v>0</v>
      </c>
      <c r="AG184" s="23">
        <f t="shared" si="58"/>
        <v>0</v>
      </c>
      <c r="AH184" s="18"/>
      <c r="AI184" s="24">
        <f t="shared" si="59"/>
        <v>0</v>
      </c>
      <c r="AJ184" s="25">
        <v>0</v>
      </c>
      <c r="AK184" s="24">
        <f t="shared" si="60"/>
        <v>0</v>
      </c>
      <c r="AL184" s="22">
        <f t="shared" si="61"/>
        <v>0</v>
      </c>
      <c r="AM184" s="22">
        <f t="shared" si="62"/>
        <v>0</v>
      </c>
      <c r="AN184" s="22">
        <f t="shared" si="63"/>
        <v>0</v>
      </c>
      <c r="AO184" s="26" t="str">
        <f t="shared" si="64"/>
        <v/>
      </c>
      <c r="AP184" s="26" t="str">
        <f t="shared" si="65"/>
        <v>pre-launch</v>
      </c>
      <c r="AQ184" s="18"/>
      <c r="AR184" s="18"/>
    </row>
    <row r="185" spans="1:44" x14ac:dyDescent="0.25">
      <c r="A185" s="43">
        <v>45246</v>
      </c>
      <c r="B185" s="17">
        <v>161975986.77000001</v>
      </c>
      <c r="C185" s="17">
        <v>0</v>
      </c>
      <c r="D185" s="18"/>
      <c r="E185" s="19">
        <f t="shared" si="44"/>
        <v>161975986.77000001</v>
      </c>
      <c r="F185" s="19">
        <f t="shared" si="45"/>
        <v>161975986.77000001</v>
      </c>
      <c r="G185" s="20">
        <f t="shared" si="46"/>
        <v>0</v>
      </c>
      <c r="H185" s="18"/>
      <c r="I185" s="18"/>
      <c r="J185" s="18"/>
      <c r="K185" s="19">
        <f t="shared" si="47"/>
        <v>0</v>
      </c>
      <c r="L185" s="18"/>
      <c r="M185" s="18"/>
      <c r="N185" s="18"/>
      <c r="O185" s="19">
        <f t="shared" si="48"/>
        <v>0</v>
      </c>
      <c r="P185" s="21">
        <f t="shared" si="49"/>
        <v>0</v>
      </c>
      <c r="Q185" s="18"/>
      <c r="R185" s="18"/>
      <c r="S185" s="19">
        <f t="shared" si="50"/>
        <v>0</v>
      </c>
      <c r="T185" s="20">
        <f t="shared" si="51"/>
        <v>0.03</v>
      </c>
      <c r="U185" s="19">
        <f t="shared" si="52"/>
        <v>0</v>
      </c>
      <c r="V185" s="18"/>
      <c r="W185" s="19">
        <f t="shared" si="53"/>
        <v>0</v>
      </c>
      <c r="X185" s="19">
        <f t="shared" si="54"/>
        <v>0</v>
      </c>
      <c r="Y185" s="18"/>
      <c r="Z185" s="18"/>
      <c r="AA185" s="19">
        <f t="shared" si="55"/>
        <v>0</v>
      </c>
      <c r="AB185" s="17">
        <v>0</v>
      </c>
      <c r="AC185" s="18"/>
      <c r="AD185" s="18"/>
      <c r="AE185" s="22">
        <f t="shared" si="56"/>
        <v>0</v>
      </c>
      <c r="AF185" s="23">
        <f t="shared" si="57"/>
        <v>0</v>
      </c>
      <c r="AG185" s="23">
        <f t="shared" si="58"/>
        <v>0</v>
      </c>
      <c r="AH185" s="18"/>
      <c r="AI185" s="24">
        <f t="shared" si="59"/>
        <v>0</v>
      </c>
      <c r="AJ185" s="25">
        <v>0</v>
      </c>
      <c r="AK185" s="24">
        <f t="shared" si="60"/>
        <v>0</v>
      </c>
      <c r="AL185" s="22">
        <f t="shared" si="61"/>
        <v>0</v>
      </c>
      <c r="AM185" s="22">
        <f t="shared" si="62"/>
        <v>0</v>
      </c>
      <c r="AN185" s="22">
        <f t="shared" si="63"/>
        <v>0</v>
      </c>
      <c r="AO185" s="26" t="str">
        <f t="shared" si="64"/>
        <v/>
      </c>
      <c r="AP185" s="26" t="str">
        <f t="shared" si="65"/>
        <v>pre-launch</v>
      </c>
      <c r="AQ185" s="18"/>
      <c r="AR185" s="18"/>
    </row>
    <row r="186" spans="1:44" x14ac:dyDescent="0.25">
      <c r="A186" s="43">
        <v>45247</v>
      </c>
      <c r="B186" s="17">
        <v>128840816.34999999</v>
      </c>
      <c r="C186" s="17">
        <v>0</v>
      </c>
      <c r="D186" s="18"/>
      <c r="E186" s="19">
        <f t="shared" si="44"/>
        <v>128840816.34999999</v>
      </c>
      <c r="F186" s="19">
        <f t="shared" si="45"/>
        <v>128840816.34999999</v>
      </c>
      <c r="G186" s="20">
        <f t="shared" si="46"/>
        <v>0</v>
      </c>
      <c r="H186" s="18"/>
      <c r="I186" s="18"/>
      <c r="J186" s="18"/>
      <c r="K186" s="19">
        <f t="shared" si="47"/>
        <v>0</v>
      </c>
      <c r="L186" s="18"/>
      <c r="M186" s="18"/>
      <c r="N186" s="18"/>
      <c r="O186" s="19">
        <f t="shared" si="48"/>
        <v>0</v>
      </c>
      <c r="P186" s="21">
        <f t="shared" si="49"/>
        <v>0</v>
      </c>
      <c r="Q186" s="18"/>
      <c r="R186" s="18"/>
      <c r="S186" s="19">
        <f t="shared" si="50"/>
        <v>0</v>
      </c>
      <c r="T186" s="20">
        <f t="shared" si="51"/>
        <v>0.03</v>
      </c>
      <c r="U186" s="19">
        <f t="shared" si="52"/>
        <v>0</v>
      </c>
      <c r="V186" s="18"/>
      <c r="W186" s="19">
        <f t="shared" si="53"/>
        <v>0</v>
      </c>
      <c r="X186" s="19">
        <f t="shared" si="54"/>
        <v>0</v>
      </c>
      <c r="Y186" s="18"/>
      <c r="Z186" s="18"/>
      <c r="AA186" s="19">
        <f t="shared" si="55"/>
        <v>0</v>
      </c>
      <c r="AB186" s="17">
        <v>0</v>
      </c>
      <c r="AC186" s="18"/>
      <c r="AD186" s="18"/>
      <c r="AE186" s="22">
        <f t="shared" si="56"/>
        <v>0</v>
      </c>
      <c r="AF186" s="23">
        <f t="shared" si="57"/>
        <v>0</v>
      </c>
      <c r="AG186" s="23">
        <f t="shared" si="58"/>
        <v>0</v>
      </c>
      <c r="AH186" s="18"/>
      <c r="AI186" s="24">
        <f t="shared" si="59"/>
        <v>0</v>
      </c>
      <c r="AJ186" s="25">
        <v>0</v>
      </c>
      <c r="AK186" s="24">
        <f t="shared" si="60"/>
        <v>0</v>
      </c>
      <c r="AL186" s="22">
        <f t="shared" si="61"/>
        <v>0</v>
      </c>
      <c r="AM186" s="22">
        <f t="shared" si="62"/>
        <v>0</v>
      </c>
      <c r="AN186" s="22">
        <f t="shared" si="63"/>
        <v>0</v>
      </c>
      <c r="AO186" s="26" t="str">
        <f t="shared" si="64"/>
        <v/>
      </c>
      <c r="AP186" s="26" t="str">
        <f t="shared" si="65"/>
        <v>pre-launch</v>
      </c>
      <c r="AQ186" s="18"/>
      <c r="AR186" s="18"/>
    </row>
    <row r="187" spans="1:44" x14ac:dyDescent="0.25">
      <c r="A187" s="43">
        <v>45248</v>
      </c>
      <c r="B187" s="17">
        <v>74233353.579999998</v>
      </c>
      <c r="C187" s="17">
        <v>0</v>
      </c>
      <c r="D187" s="18"/>
      <c r="E187" s="19">
        <f t="shared" si="44"/>
        <v>74233353.579999998</v>
      </c>
      <c r="F187" s="19">
        <f t="shared" si="45"/>
        <v>74233353.579999998</v>
      </c>
      <c r="G187" s="20">
        <f t="shared" si="46"/>
        <v>0</v>
      </c>
      <c r="H187" s="18"/>
      <c r="I187" s="18"/>
      <c r="J187" s="18"/>
      <c r="K187" s="19">
        <f t="shared" si="47"/>
        <v>0</v>
      </c>
      <c r="L187" s="18"/>
      <c r="M187" s="18"/>
      <c r="N187" s="18"/>
      <c r="O187" s="19">
        <f t="shared" si="48"/>
        <v>0</v>
      </c>
      <c r="P187" s="21">
        <f t="shared" si="49"/>
        <v>0</v>
      </c>
      <c r="Q187" s="18"/>
      <c r="R187" s="18"/>
      <c r="S187" s="19">
        <f t="shared" si="50"/>
        <v>0</v>
      </c>
      <c r="T187" s="20">
        <f t="shared" si="51"/>
        <v>0.03</v>
      </c>
      <c r="U187" s="19">
        <f t="shared" si="52"/>
        <v>0</v>
      </c>
      <c r="V187" s="18"/>
      <c r="W187" s="19">
        <f t="shared" si="53"/>
        <v>0</v>
      </c>
      <c r="X187" s="19">
        <f t="shared" si="54"/>
        <v>0</v>
      </c>
      <c r="Y187" s="18"/>
      <c r="Z187" s="18"/>
      <c r="AA187" s="19">
        <f t="shared" si="55"/>
        <v>0</v>
      </c>
      <c r="AB187" s="17">
        <v>0</v>
      </c>
      <c r="AC187" s="18"/>
      <c r="AD187" s="18"/>
      <c r="AE187" s="22">
        <f t="shared" si="56"/>
        <v>0</v>
      </c>
      <c r="AF187" s="23">
        <f t="shared" si="57"/>
        <v>0</v>
      </c>
      <c r="AG187" s="23">
        <f t="shared" si="58"/>
        <v>0</v>
      </c>
      <c r="AH187" s="18"/>
      <c r="AI187" s="24">
        <f t="shared" si="59"/>
        <v>0</v>
      </c>
      <c r="AJ187" s="25">
        <v>0</v>
      </c>
      <c r="AK187" s="24">
        <f t="shared" si="60"/>
        <v>0</v>
      </c>
      <c r="AL187" s="22">
        <f t="shared" si="61"/>
        <v>0</v>
      </c>
      <c r="AM187" s="22">
        <f t="shared" si="62"/>
        <v>0</v>
      </c>
      <c r="AN187" s="22">
        <f t="shared" si="63"/>
        <v>0</v>
      </c>
      <c r="AO187" s="26" t="str">
        <f t="shared" si="64"/>
        <v/>
      </c>
      <c r="AP187" s="26" t="str">
        <f t="shared" si="65"/>
        <v>pre-launch</v>
      </c>
      <c r="AQ187" s="18"/>
      <c r="AR187" s="18"/>
    </row>
    <row r="188" spans="1:44" x14ac:dyDescent="0.25">
      <c r="A188" s="43">
        <v>45249</v>
      </c>
      <c r="B188" s="17">
        <v>78105064.099999994</v>
      </c>
      <c r="C188" s="17">
        <v>0</v>
      </c>
      <c r="D188" s="18"/>
      <c r="E188" s="19">
        <f t="shared" si="44"/>
        <v>78105064.099999994</v>
      </c>
      <c r="F188" s="19">
        <f t="shared" si="45"/>
        <v>78105064.099999994</v>
      </c>
      <c r="G188" s="20">
        <f t="shared" si="46"/>
        <v>0</v>
      </c>
      <c r="H188" s="18"/>
      <c r="I188" s="18"/>
      <c r="J188" s="18"/>
      <c r="K188" s="19">
        <f t="shared" si="47"/>
        <v>0</v>
      </c>
      <c r="L188" s="18"/>
      <c r="M188" s="18"/>
      <c r="N188" s="18"/>
      <c r="O188" s="19">
        <f t="shared" si="48"/>
        <v>0</v>
      </c>
      <c r="P188" s="21">
        <f t="shared" si="49"/>
        <v>0</v>
      </c>
      <c r="Q188" s="18"/>
      <c r="R188" s="18"/>
      <c r="S188" s="19">
        <f t="shared" si="50"/>
        <v>0</v>
      </c>
      <c r="T188" s="20">
        <f t="shared" si="51"/>
        <v>0.03</v>
      </c>
      <c r="U188" s="19">
        <f t="shared" si="52"/>
        <v>0</v>
      </c>
      <c r="V188" s="18"/>
      <c r="W188" s="19">
        <f t="shared" si="53"/>
        <v>0</v>
      </c>
      <c r="X188" s="19">
        <f t="shared" si="54"/>
        <v>0</v>
      </c>
      <c r="Y188" s="18"/>
      <c r="Z188" s="18"/>
      <c r="AA188" s="19">
        <f t="shared" si="55"/>
        <v>0</v>
      </c>
      <c r="AB188" s="17">
        <v>0</v>
      </c>
      <c r="AC188" s="18"/>
      <c r="AD188" s="18"/>
      <c r="AE188" s="22">
        <f t="shared" si="56"/>
        <v>0</v>
      </c>
      <c r="AF188" s="23">
        <f t="shared" si="57"/>
        <v>0</v>
      </c>
      <c r="AG188" s="23">
        <f t="shared" si="58"/>
        <v>0</v>
      </c>
      <c r="AH188" s="18"/>
      <c r="AI188" s="24">
        <f t="shared" si="59"/>
        <v>0</v>
      </c>
      <c r="AJ188" s="25">
        <v>0</v>
      </c>
      <c r="AK188" s="24">
        <f t="shared" si="60"/>
        <v>0</v>
      </c>
      <c r="AL188" s="22">
        <f t="shared" si="61"/>
        <v>0</v>
      </c>
      <c r="AM188" s="22">
        <f t="shared" si="62"/>
        <v>0</v>
      </c>
      <c r="AN188" s="22">
        <f t="shared" si="63"/>
        <v>0</v>
      </c>
      <c r="AO188" s="26" t="str">
        <f t="shared" si="64"/>
        <v/>
      </c>
      <c r="AP188" s="26" t="str">
        <f t="shared" si="65"/>
        <v>pre-launch</v>
      </c>
      <c r="AQ188" s="18"/>
      <c r="AR188" s="18"/>
    </row>
    <row r="189" spans="1:44" x14ac:dyDescent="0.25">
      <c r="A189" s="43">
        <v>45250</v>
      </c>
      <c r="B189" s="17">
        <v>139628651.28</v>
      </c>
      <c r="C189" s="17">
        <v>0</v>
      </c>
      <c r="D189" s="18"/>
      <c r="E189" s="19">
        <f t="shared" si="44"/>
        <v>139628651.28</v>
      </c>
      <c r="F189" s="19">
        <f t="shared" si="45"/>
        <v>139628651.28</v>
      </c>
      <c r="G189" s="20">
        <f t="shared" si="46"/>
        <v>0</v>
      </c>
      <c r="H189" s="18"/>
      <c r="I189" s="18"/>
      <c r="J189" s="18"/>
      <c r="K189" s="19">
        <f t="shared" si="47"/>
        <v>0</v>
      </c>
      <c r="L189" s="18"/>
      <c r="M189" s="18"/>
      <c r="N189" s="18"/>
      <c r="O189" s="19">
        <f t="shared" si="48"/>
        <v>0</v>
      </c>
      <c r="P189" s="21">
        <f t="shared" si="49"/>
        <v>0</v>
      </c>
      <c r="Q189" s="18"/>
      <c r="R189" s="18"/>
      <c r="S189" s="19">
        <f t="shared" si="50"/>
        <v>0</v>
      </c>
      <c r="T189" s="20">
        <f t="shared" si="51"/>
        <v>0.03</v>
      </c>
      <c r="U189" s="19">
        <f t="shared" si="52"/>
        <v>0</v>
      </c>
      <c r="V189" s="18"/>
      <c r="W189" s="19">
        <f t="shared" si="53"/>
        <v>0</v>
      </c>
      <c r="X189" s="19">
        <f t="shared" si="54"/>
        <v>0</v>
      </c>
      <c r="Y189" s="18"/>
      <c r="Z189" s="18"/>
      <c r="AA189" s="19">
        <f t="shared" si="55"/>
        <v>0</v>
      </c>
      <c r="AB189" s="17">
        <v>0</v>
      </c>
      <c r="AC189" s="18"/>
      <c r="AD189" s="18"/>
      <c r="AE189" s="22">
        <f t="shared" si="56"/>
        <v>0</v>
      </c>
      <c r="AF189" s="23">
        <f t="shared" si="57"/>
        <v>0</v>
      </c>
      <c r="AG189" s="23">
        <f t="shared" si="58"/>
        <v>0</v>
      </c>
      <c r="AH189" s="18"/>
      <c r="AI189" s="24">
        <f t="shared" si="59"/>
        <v>0</v>
      </c>
      <c r="AJ189" s="25">
        <v>0</v>
      </c>
      <c r="AK189" s="24">
        <f t="shared" si="60"/>
        <v>0</v>
      </c>
      <c r="AL189" s="22">
        <f t="shared" si="61"/>
        <v>0</v>
      </c>
      <c r="AM189" s="22">
        <f t="shared" si="62"/>
        <v>0</v>
      </c>
      <c r="AN189" s="22">
        <f t="shared" si="63"/>
        <v>0</v>
      </c>
      <c r="AO189" s="26" t="str">
        <f t="shared" si="64"/>
        <v/>
      </c>
      <c r="AP189" s="26" t="str">
        <f t="shared" si="65"/>
        <v>pre-launch</v>
      </c>
      <c r="AQ189" s="18"/>
      <c r="AR189" s="18"/>
    </row>
    <row r="190" spans="1:44" x14ac:dyDescent="0.25">
      <c r="A190" s="43">
        <v>45251</v>
      </c>
      <c r="B190" s="17">
        <v>431623690.97000003</v>
      </c>
      <c r="C190" s="17">
        <v>0</v>
      </c>
      <c r="D190" s="18"/>
      <c r="E190" s="19">
        <f t="shared" si="44"/>
        <v>431623690.97000003</v>
      </c>
      <c r="F190" s="19">
        <f t="shared" si="45"/>
        <v>431623690.97000003</v>
      </c>
      <c r="G190" s="20">
        <f t="shared" si="46"/>
        <v>0</v>
      </c>
      <c r="H190" s="18"/>
      <c r="I190" s="18"/>
      <c r="J190" s="18"/>
      <c r="K190" s="19">
        <f t="shared" si="47"/>
        <v>0</v>
      </c>
      <c r="L190" s="18"/>
      <c r="M190" s="18"/>
      <c r="N190" s="18"/>
      <c r="O190" s="19">
        <f t="shared" si="48"/>
        <v>0</v>
      </c>
      <c r="P190" s="21">
        <f t="shared" si="49"/>
        <v>0</v>
      </c>
      <c r="Q190" s="18"/>
      <c r="R190" s="18"/>
      <c r="S190" s="19">
        <f t="shared" si="50"/>
        <v>0</v>
      </c>
      <c r="T190" s="20">
        <f t="shared" si="51"/>
        <v>0.03</v>
      </c>
      <c r="U190" s="19">
        <f t="shared" si="52"/>
        <v>0</v>
      </c>
      <c r="V190" s="18"/>
      <c r="W190" s="19">
        <f t="shared" si="53"/>
        <v>0</v>
      </c>
      <c r="X190" s="19">
        <f t="shared" si="54"/>
        <v>0</v>
      </c>
      <c r="Y190" s="18"/>
      <c r="Z190" s="18"/>
      <c r="AA190" s="19">
        <f t="shared" si="55"/>
        <v>0</v>
      </c>
      <c r="AB190" s="17">
        <v>0</v>
      </c>
      <c r="AC190" s="18"/>
      <c r="AD190" s="18"/>
      <c r="AE190" s="22">
        <f t="shared" si="56"/>
        <v>0</v>
      </c>
      <c r="AF190" s="23">
        <f t="shared" si="57"/>
        <v>0</v>
      </c>
      <c r="AG190" s="23">
        <f t="shared" si="58"/>
        <v>0</v>
      </c>
      <c r="AH190" s="18"/>
      <c r="AI190" s="24">
        <f t="shared" si="59"/>
        <v>0</v>
      </c>
      <c r="AJ190" s="25">
        <v>0</v>
      </c>
      <c r="AK190" s="24">
        <f t="shared" si="60"/>
        <v>0</v>
      </c>
      <c r="AL190" s="22">
        <f t="shared" si="61"/>
        <v>0</v>
      </c>
      <c r="AM190" s="22">
        <f t="shared" si="62"/>
        <v>0</v>
      </c>
      <c r="AN190" s="22">
        <f t="shared" si="63"/>
        <v>0</v>
      </c>
      <c r="AO190" s="26" t="str">
        <f t="shared" si="64"/>
        <v/>
      </c>
      <c r="AP190" s="26" t="str">
        <f t="shared" si="65"/>
        <v>pre-launch</v>
      </c>
      <c r="AQ190" s="18"/>
      <c r="AR190" s="18"/>
    </row>
    <row r="191" spans="1:44" x14ac:dyDescent="0.25">
      <c r="A191" s="43">
        <v>45252</v>
      </c>
      <c r="B191" s="17">
        <v>137349475.56999999</v>
      </c>
      <c r="C191" s="17">
        <v>0</v>
      </c>
      <c r="D191" s="18"/>
      <c r="E191" s="19">
        <f t="shared" si="44"/>
        <v>137349475.56999999</v>
      </c>
      <c r="F191" s="19">
        <f t="shared" si="45"/>
        <v>137349475.56999999</v>
      </c>
      <c r="G191" s="20">
        <f t="shared" si="46"/>
        <v>0</v>
      </c>
      <c r="H191" s="18"/>
      <c r="I191" s="18"/>
      <c r="J191" s="18"/>
      <c r="K191" s="19">
        <f t="shared" si="47"/>
        <v>0</v>
      </c>
      <c r="L191" s="18"/>
      <c r="M191" s="18"/>
      <c r="N191" s="18"/>
      <c r="O191" s="19">
        <f t="shared" si="48"/>
        <v>0</v>
      </c>
      <c r="P191" s="21">
        <f t="shared" si="49"/>
        <v>0</v>
      </c>
      <c r="Q191" s="18"/>
      <c r="R191" s="18"/>
      <c r="S191" s="19">
        <f t="shared" si="50"/>
        <v>0</v>
      </c>
      <c r="T191" s="20">
        <f t="shared" si="51"/>
        <v>0.03</v>
      </c>
      <c r="U191" s="19">
        <f t="shared" si="52"/>
        <v>0</v>
      </c>
      <c r="V191" s="18"/>
      <c r="W191" s="19">
        <f t="shared" si="53"/>
        <v>0</v>
      </c>
      <c r="X191" s="19">
        <f t="shared" si="54"/>
        <v>0</v>
      </c>
      <c r="Y191" s="18"/>
      <c r="Z191" s="18"/>
      <c r="AA191" s="19">
        <f t="shared" si="55"/>
        <v>0</v>
      </c>
      <c r="AB191" s="17">
        <v>0</v>
      </c>
      <c r="AC191" s="18"/>
      <c r="AD191" s="18"/>
      <c r="AE191" s="22">
        <f t="shared" si="56"/>
        <v>0</v>
      </c>
      <c r="AF191" s="23">
        <f t="shared" si="57"/>
        <v>0</v>
      </c>
      <c r="AG191" s="23">
        <f t="shared" si="58"/>
        <v>0</v>
      </c>
      <c r="AH191" s="18"/>
      <c r="AI191" s="24">
        <f t="shared" si="59"/>
        <v>0</v>
      </c>
      <c r="AJ191" s="25">
        <v>0</v>
      </c>
      <c r="AK191" s="24">
        <f t="shared" si="60"/>
        <v>0</v>
      </c>
      <c r="AL191" s="22">
        <f t="shared" si="61"/>
        <v>0</v>
      </c>
      <c r="AM191" s="22">
        <f t="shared" si="62"/>
        <v>0</v>
      </c>
      <c r="AN191" s="22">
        <f t="shared" si="63"/>
        <v>0</v>
      </c>
      <c r="AO191" s="26" t="str">
        <f t="shared" si="64"/>
        <v/>
      </c>
      <c r="AP191" s="26" t="str">
        <f t="shared" si="65"/>
        <v>pre-launch</v>
      </c>
      <c r="AQ191" s="18"/>
      <c r="AR191" s="18"/>
    </row>
    <row r="192" spans="1:44" x14ac:dyDescent="0.25">
      <c r="A192" s="43">
        <v>45253</v>
      </c>
      <c r="B192" s="17">
        <v>96407516.609999999</v>
      </c>
      <c r="C192" s="17">
        <v>0</v>
      </c>
      <c r="D192" s="18"/>
      <c r="E192" s="19">
        <f t="shared" si="44"/>
        <v>96407516.609999999</v>
      </c>
      <c r="F192" s="19">
        <f t="shared" si="45"/>
        <v>96407516.609999999</v>
      </c>
      <c r="G192" s="20">
        <f t="shared" si="46"/>
        <v>0</v>
      </c>
      <c r="H192" s="18"/>
      <c r="I192" s="18"/>
      <c r="J192" s="18"/>
      <c r="K192" s="19">
        <f t="shared" si="47"/>
        <v>0</v>
      </c>
      <c r="L192" s="18"/>
      <c r="M192" s="18"/>
      <c r="N192" s="18"/>
      <c r="O192" s="19">
        <f t="shared" si="48"/>
        <v>0</v>
      </c>
      <c r="P192" s="21">
        <f t="shared" si="49"/>
        <v>0</v>
      </c>
      <c r="Q192" s="18"/>
      <c r="R192" s="18"/>
      <c r="S192" s="19">
        <f t="shared" si="50"/>
        <v>0</v>
      </c>
      <c r="T192" s="20">
        <f t="shared" si="51"/>
        <v>0.03</v>
      </c>
      <c r="U192" s="19">
        <f t="shared" si="52"/>
        <v>0</v>
      </c>
      <c r="V192" s="18"/>
      <c r="W192" s="19">
        <f t="shared" si="53"/>
        <v>0</v>
      </c>
      <c r="X192" s="19">
        <f t="shared" si="54"/>
        <v>0</v>
      </c>
      <c r="Y192" s="18"/>
      <c r="Z192" s="18"/>
      <c r="AA192" s="19">
        <f t="shared" si="55"/>
        <v>0</v>
      </c>
      <c r="AB192" s="17">
        <v>0</v>
      </c>
      <c r="AC192" s="18"/>
      <c r="AD192" s="18"/>
      <c r="AE192" s="22">
        <f t="shared" si="56"/>
        <v>0</v>
      </c>
      <c r="AF192" s="23">
        <f t="shared" si="57"/>
        <v>0</v>
      </c>
      <c r="AG192" s="23">
        <f t="shared" si="58"/>
        <v>0</v>
      </c>
      <c r="AH192" s="18"/>
      <c r="AI192" s="24">
        <f t="shared" si="59"/>
        <v>0</v>
      </c>
      <c r="AJ192" s="25">
        <v>0</v>
      </c>
      <c r="AK192" s="24">
        <f t="shared" si="60"/>
        <v>0</v>
      </c>
      <c r="AL192" s="22">
        <f t="shared" si="61"/>
        <v>0</v>
      </c>
      <c r="AM192" s="22">
        <f t="shared" si="62"/>
        <v>0</v>
      </c>
      <c r="AN192" s="22">
        <f t="shared" si="63"/>
        <v>0</v>
      </c>
      <c r="AO192" s="26" t="str">
        <f t="shared" si="64"/>
        <v/>
      </c>
      <c r="AP192" s="26" t="str">
        <f t="shared" si="65"/>
        <v>pre-launch</v>
      </c>
      <c r="AQ192" s="18"/>
      <c r="AR192" s="18"/>
    </row>
    <row r="193" spans="1:44" x14ac:dyDescent="0.25">
      <c r="A193" s="43">
        <v>45254</v>
      </c>
      <c r="B193" s="17">
        <v>132540165.70999999</v>
      </c>
      <c r="C193" s="17">
        <v>0</v>
      </c>
      <c r="D193" s="18"/>
      <c r="E193" s="19">
        <f t="shared" si="44"/>
        <v>132540165.70999999</v>
      </c>
      <c r="F193" s="19">
        <f t="shared" si="45"/>
        <v>132540165.70999999</v>
      </c>
      <c r="G193" s="20">
        <f t="shared" si="46"/>
        <v>0</v>
      </c>
      <c r="H193" s="18"/>
      <c r="I193" s="18"/>
      <c r="J193" s="18"/>
      <c r="K193" s="19">
        <f t="shared" si="47"/>
        <v>0</v>
      </c>
      <c r="L193" s="18"/>
      <c r="M193" s="18"/>
      <c r="N193" s="18"/>
      <c r="O193" s="19">
        <f t="shared" si="48"/>
        <v>0</v>
      </c>
      <c r="P193" s="21">
        <f t="shared" si="49"/>
        <v>0</v>
      </c>
      <c r="Q193" s="18"/>
      <c r="R193" s="18"/>
      <c r="S193" s="19">
        <f t="shared" si="50"/>
        <v>0</v>
      </c>
      <c r="T193" s="20">
        <f t="shared" si="51"/>
        <v>0.03</v>
      </c>
      <c r="U193" s="19">
        <f t="shared" si="52"/>
        <v>0</v>
      </c>
      <c r="V193" s="18"/>
      <c r="W193" s="19">
        <f t="shared" si="53"/>
        <v>0</v>
      </c>
      <c r="X193" s="19">
        <f t="shared" si="54"/>
        <v>0</v>
      </c>
      <c r="Y193" s="18"/>
      <c r="Z193" s="18"/>
      <c r="AA193" s="19">
        <f t="shared" si="55"/>
        <v>0</v>
      </c>
      <c r="AB193" s="17">
        <v>0</v>
      </c>
      <c r="AC193" s="18"/>
      <c r="AD193" s="18"/>
      <c r="AE193" s="22">
        <f t="shared" si="56"/>
        <v>0</v>
      </c>
      <c r="AF193" s="23">
        <f t="shared" si="57"/>
        <v>0</v>
      </c>
      <c r="AG193" s="23">
        <f t="shared" si="58"/>
        <v>0</v>
      </c>
      <c r="AH193" s="18"/>
      <c r="AI193" s="24">
        <f t="shared" si="59"/>
        <v>0</v>
      </c>
      <c r="AJ193" s="25">
        <v>0</v>
      </c>
      <c r="AK193" s="24">
        <f t="shared" si="60"/>
        <v>0</v>
      </c>
      <c r="AL193" s="22">
        <f t="shared" si="61"/>
        <v>0</v>
      </c>
      <c r="AM193" s="22">
        <f t="shared" si="62"/>
        <v>0</v>
      </c>
      <c r="AN193" s="22">
        <f t="shared" si="63"/>
        <v>0</v>
      </c>
      <c r="AO193" s="26" t="str">
        <f t="shared" si="64"/>
        <v/>
      </c>
      <c r="AP193" s="26" t="str">
        <f t="shared" si="65"/>
        <v>pre-launch</v>
      </c>
      <c r="AQ193" s="18"/>
      <c r="AR193" s="18"/>
    </row>
    <row r="194" spans="1:44" x14ac:dyDescent="0.25">
      <c r="A194" s="43">
        <v>45255</v>
      </c>
      <c r="B194" s="17">
        <v>83141660.799999997</v>
      </c>
      <c r="C194" s="17">
        <v>0</v>
      </c>
      <c r="D194" s="18"/>
      <c r="E194" s="19">
        <f t="shared" si="44"/>
        <v>83141660.799999997</v>
      </c>
      <c r="F194" s="19">
        <f t="shared" si="45"/>
        <v>83141660.799999997</v>
      </c>
      <c r="G194" s="20">
        <f t="shared" si="46"/>
        <v>0</v>
      </c>
      <c r="H194" s="18"/>
      <c r="I194" s="18"/>
      <c r="J194" s="18"/>
      <c r="K194" s="19">
        <f t="shared" si="47"/>
        <v>0</v>
      </c>
      <c r="L194" s="18"/>
      <c r="M194" s="18"/>
      <c r="N194" s="18"/>
      <c r="O194" s="19">
        <f t="shared" si="48"/>
        <v>0</v>
      </c>
      <c r="P194" s="21">
        <f t="shared" si="49"/>
        <v>0</v>
      </c>
      <c r="Q194" s="18"/>
      <c r="R194" s="18"/>
      <c r="S194" s="19">
        <f t="shared" si="50"/>
        <v>0</v>
      </c>
      <c r="T194" s="20">
        <f t="shared" si="51"/>
        <v>0.03</v>
      </c>
      <c r="U194" s="19">
        <f t="shared" si="52"/>
        <v>0</v>
      </c>
      <c r="V194" s="18"/>
      <c r="W194" s="19">
        <f t="shared" si="53"/>
        <v>0</v>
      </c>
      <c r="X194" s="19">
        <f t="shared" si="54"/>
        <v>0</v>
      </c>
      <c r="Y194" s="18"/>
      <c r="Z194" s="18"/>
      <c r="AA194" s="19">
        <f t="shared" si="55"/>
        <v>0</v>
      </c>
      <c r="AB194" s="17">
        <v>0</v>
      </c>
      <c r="AC194" s="18"/>
      <c r="AD194" s="18"/>
      <c r="AE194" s="22">
        <f t="shared" si="56"/>
        <v>0</v>
      </c>
      <c r="AF194" s="23">
        <f t="shared" si="57"/>
        <v>0</v>
      </c>
      <c r="AG194" s="23">
        <f t="shared" si="58"/>
        <v>0</v>
      </c>
      <c r="AH194" s="18"/>
      <c r="AI194" s="24">
        <f t="shared" si="59"/>
        <v>0</v>
      </c>
      <c r="AJ194" s="25">
        <v>0</v>
      </c>
      <c r="AK194" s="24">
        <f t="shared" si="60"/>
        <v>0</v>
      </c>
      <c r="AL194" s="22">
        <f t="shared" si="61"/>
        <v>0</v>
      </c>
      <c r="AM194" s="22">
        <f t="shared" si="62"/>
        <v>0</v>
      </c>
      <c r="AN194" s="22">
        <f t="shared" si="63"/>
        <v>0</v>
      </c>
      <c r="AO194" s="26" t="str">
        <f t="shared" si="64"/>
        <v/>
      </c>
      <c r="AP194" s="26" t="str">
        <f t="shared" si="65"/>
        <v>pre-launch</v>
      </c>
      <c r="AQ194" s="18"/>
      <c r="AR194" s="18"/>
    </row>
    <row r="195" spans="1:44" x14ac:dyDescent="0.25">
      <c r="A195" s="43">
        <v>45256</v>
      </c>
      <c r="B195" s="17">
        <v>129484428.04000001</v>
      </c>
      <c r="C195" s="17">
        <v>0</v>
      </c>
      <c r="D195" s="18"/>
      <c r="E195" s="19">
        <f t="shared" si="44"/>
        <v>129484428.04000001</v>
      </c>
      <c r="F195" s="19">
        <f t="shared" si="45"/>
        <v>129484428.04000001</v>
      </c>
      <c r="G195" s="20">
        <f t="shared" si="46"/>
        <v>0</v>
      </c>
      <c r="H195" s="18"/>
      <c r="I195" s="18"/>
      <c r="J195" s="18"/>
      <c r="K195" s="19">
        <f t="shared" si="47"/>
        <v>0</v>
      </c>
      <c r="L195" s="18"/>
      <c r="M195" s="18"/>
      <c r="N195" s="18"/>
      <c r="O195" s="19">
        <f t="shared" si="48"/>
        <v>0</v>
      </c>
      <c r="P195" s="21">
        <f t="shared" si="49"/>
        <v>0</v>
      </c>
      <c r="Q195" s="18"/>
      <c r="R195" s="18"/>
      <c r="S195" s="19">
        <f t="shared" si="50"/>
        <v>0</v>
      </c>
      <c r="T195" s="20">
        <f t="shared" si="51"/>
        <v>0.03</v>
      </c>
      <c r="U195" s="19">
        <f t="shared" si="52"/>
        <v>0</v>
      </c>
      <c r="V195" s="18"/>
      <c r="W195" s="19">
        <f t="shared" si="53"/>
        <v>0</v>
      </c>
      <c r="X195" s="19">
        <f t="shared" si="54"/>
        <v>0</v>
      </c>
      <c r="Y195" s="18"/>
      <c r="Z195" s="18"/>
      <c r="AA195" s="19">
        <f t="shared" si="55"/>
        <v>0</v>
      </c>
      <c r="AB195" s="17">
        <v>0</v>
      </c>
      <c r="AC195" s="18"/>
      <c r="AD195" s="18"/>
      <c r="AE195" s="22">
        <f t="shared" si="56"/>
        <v>0</v>
      </c>
      <c r="AF195" s="23">
        <f t="shared" si="57"/>
        <v>0</v>
      </c>
      <c r="AG195" s="23">
        <f t="shared" si="58"/>
        <v>0</v>
      </c>
      <c r="AH195" s="18"/>
      <c r="AI195" s="24">
        <f t="shared" si="59"/>
        <v>0</v>
      </c>
      <c r="AJ195" s="25">
        <v>0</v>
      </c>
      <c r="AK195" s="24">
        <f t="shared" si="60"/>
        <v>0</v>
      </c>
      <c r="AL195" s="22">
        <f t="shared" si="61"/>
        <v>0</v>
      </c>
      <c r="AM195" s="22">
        <f t="shared" si="62"/>
        <v>0</v>
      </c>
      <c r="AN195" s="22">
        <f t="shared" si="63"/>
        <v>0</v>
      </c>
      <c r="AO195" s="26" t="str">
        <f t="shared" si="64"/>
        <v/>
      </c>
      <c r="AP195" s="26" t="str">
        <f t="shared" si="65"/>
        <v>pre-launch</v>
      </c>
      <c r="AQ195" s="18"/>
      <c r="AR195" s="18"/>
    </row>
    <row r="196" spans="1:44" x14ac:dyDescent="0.25">
      <c r="A196" s="43">
        <v>45257</v>
      </c>
      <c r="B196" s="17">
        <v>126816249.5</v>
      </c>
      <c r="C196" s="17">
        <v>0</v>
      </c>
      <c r="D196" s="18"/>
      <c r="E196" s="19">
        <f t="shared" si="44"/>
        <v>126816249.5</v>
      </c>
      <c r="F196" s="19">
        <f t="shared" si="45"/>
        <v>126816249.5</v>
      </c>
      <c r="G196" s="20">
        <f t="shared" si="46"/>
        <v>0</v>
      </c>
      <c r="H196" s="18"/>
      <c r="I196" s="18"/>
      <c r="J196" s="18"/>
      <c r="K196" s="19">
        <f t="shared" si="47"/>
        <v>0</v>
      </c>
      <c r="L196" s="18"/>
      <c r="M196" s="18"/>
      <c r="N196" s="18"/>
      <c r="O196" s="19">
        <f t="shared" si="48"/>
        <v>0</v>
      </c>
      <c r="P196" s="21">
        <f t="shared" si="49"/>
        <v>0</v>
      </c>
      <c r="Q196" s="18"/>
      <c r="R196" s="18"/>
      <c r="S196" s="19">
        <f t="shared" si="50"/>
        <v>0</v>
      </c>
      <c r="T196" s="20">
        <f t="shared" si="51"/>
        <v>0.03</v>
      </c>
      <c r="U196" s="19">
        <f t="shared" si="52"/>
        <v>0</v>
      </c>
      <c r="V196" s="18"/>
      <c r="W196" s="19">
        <f t="shared" si="53"/>
        <v>0</v>
      </c>
      <c r="X196" s="19">
        <f t="shared" si="54"/>
        <v>0</v>
      </c>
      <c r="Y196" s="18"/>
      <c r="Z196" s="18"/>
      <c r="AA196" s="19">
        <f t="shared" si="55"/>
        <v>0</v>
      </c>
      <c r="AB196" s="17">
        <v>0</v>
      </c>
      <c r="AC196" s="18"/>
      <c r="AD196" s="18"/>
      <c r="AE196" s="22">
        <f t="shared" si="56"/>
        <v>0</v>
      </c>
      <c r="AF196" s="23">
        <f t="shared" si="57"/>
        <v>0</v>
      </c>
      <c r="AG196" s="23">
        <f t="shared" si="58"/>
        <v>0</v>
      </c>
      <c r="AH196" s="18"/>
      <c r="AI196" s="24">
        <f t="shared" si="59"/>
        <v>0</v>
      </c>
      <c r="AJ196" s="25">
        <v>0</v>
      </c>
      <c r="AK196" s="24">
        <f t="shared" si="60"/>
        <v>0</v>
      </c>
      <c r="AL196" s="22">
        <f t="shared" si="61"/>
        <v>0</v>
      </c>
      <c r="AM196" s="22">
        <f t="shared" si="62"/>
        <v>0</v>
      </c>
      <c r="AN196" s="22">
        <f t="shared" si="63"/>
        <v>0</v>
      </c>
      <c r="AO196" s="26" t="str">
        <f t="shared" si="64"/>
        <v/>
      </c>
      <c r="AP196" s="26" t="str">
        <f t="shared" si="65"/>
        <v>pre-launch</v>
      </c>
      <c r="AQ196" s="18"/>
      <c r="AR196" s="18"/>
    </row>
    <row r="197" spans="1:44" x14ac:dyDescent="0.25">
      <c r="A197" s="43">
        <v>45258</v>
      </c>
      <c r="B197" s="17">
        <v>130827558.27</v>
      </c>
      <c r="C197" s="17">
        <v>0</v>
      </c>
      <c r="D197" s="18"/>
      <c r="E197" s="19">
        <f t="shared" ref="E197:E260" si="66">B197+C197</f>
        <v>130827558.27</v>
      </c>
      <c r="F197" s="19">
        <f t="shared" ref="F197:F260" si="67">E197+D197</f>
        <v>130827558.27</v>
      </c>
      <c r="G197" s="20">
        <f t="shared" ref="G197:G260" si="68">IFERROR(C197/E197,0)</f>
        <v>0</v>
      </c>
      <c r="H197" s="18"/>
      <c r="I197" s="18"/>
      <c r="J197" s="18"/>
      <c r="K197" s="19">
        <f t="shared" ref="K197:K260" si="69">H197+I197</f>
        <v>0</v>
      </c>
      <c r="L197" s="18"/>
      <c r="M197" s="18"/>
      <c r="N197" s="18"/>
      <c r="O197" s="19">
        <f t="shared" ref="O197:O260" si="70">IF(H197=0,0,H197-L197)</f>
        <v>0</v>
      </c>
      <c r="P197" s="21">
        <f t="shared" ref="P197:P260" si="71">IF(B197=0,0,O197/B197*10000)</f>
        <v>0</v>
      </c>
      <c r="Q197" s="18"/>
      <c r="R197" s="18"/>
      <c r="S197" s="19">
        <f t="shared" ref="S197:S260" si="72">Q197+R197</f>
        <v>0</v>
      </c>
      <c r="T197" s="20">
        <f t="shared" ref="T197:T260" si="73">IF(A197&lt;HlpChangeDate,HlpSharePre,HlpSharePost)</f>
        <v>0.03</v>
      </c>
      <c r="U197" s="19">
        <f t="shared" ref="U197:U260" si="74">S197*T197/(1-T197)</f>
        <v>0</v>
      </c>
      <c r="V197" s="18"/>
      <c r="W197" s="19">
        <f t="shared" ref="W197:W260" si="75">U197-V197</f>
        <v>0</v>
      </c>
      <c r="X197" s="19">
        <f t="shared" ref="X197:X260" si="76">Y197+Z197</f>
        <v>0</v>
      </c>
      <c r="Y197" s="18"/>
      <c r="Z197" s="18"/>
      <c r="AA197" s="19">
        <f t="shared" ref="AA197:AA260" si="77">X197-V197</f>
        <v>0</v>
      </c>
      <c r="AB197" s="17">
        <v>0</v>
      </c>
      <c r="AC197" s="18"/>
      <c r="AD197" s="18"/>
      <c r="AE197" s="22">
        <f t="shared" ref="AE197:AE260" si="78">IFERROR(AB197/AD197,0)</f>
        <v>0</v>
      </c>
      <c r="AF197" s="23">
        <f t="shared" ref="AF197:AF260" si="79">K197-S197-X197</f>
        <v>0</v>
      </c>
      <c r="AG197" s="23">
        <f t="shared" ref="AG197:AG260" si="80">S197-AB197</f>
        <v>0</v>
      </c>
      <c r="AH197" s="18"/>
      <c r="AI197" s="24">
        <f t="shared" ref="AI197:AI260" si="81">IFERROR(AH197/S197,0)</f>
        <v>0</v>
      </c>
      <c r="AJ197" s="25">
        <v>0</v>
      </c>
      <c r="AK197" s="24">
        <f t="shared" ref="AK197:AK260" si="82">IF(AJ197&gt;0,AprCoef/SQRT(AJ197),0)</f>
        <v>0</v>
      </c>
      <c r="AL197" s="22">
        <f t="shared" ref="AL197:AL260" si="83">AJ197*AK197/365</f>
        <v>0</v>
      </c>
      <c r="AM197" s="22">
        <f t="shared" ref="AM197:AM260" si="84">AE197</f>
        <v>0</v>
      </c>
      <c r="AN197" s="22">
        <f t="shared" ref="AN197:AN260" si="85">AL197-AM197</f>
        <v>0</v>
      </c>
      <c r="AO197" s="26" t="str">
        <f t="shared" ref="AO197:AO260" si="86">IF(A197&gt;=Hip3LaunchDate,"YES","")</f>
        <v/>
      </c>
      <c r="AP197" s="26" t="str">
        <f t="shared" ref="AP197:AP260" si="87">IF(A197&lt;Hip4LaunchDate,"pre-launch","live (zero-fee)")</f>
        <v>pre-launch</v>
      </c>
      <c r="AQ197" s="18"/>
      <c r="AR197" s="18"/>
    </row>
    <row r="198" spans="1:44" x14ac:dyDescent="0.25">
      <c r="A198" s="43">
        <v>45259</v>
      </c>
      <c r="B198" s="17">
        <v>114768775.52</v>
      </c>
      <c r="C198" s="17">
        <v>0</v>
      </c>
      <c r="D198" s="18"/>
      <c r="E198" s="19">
        <f t="shared" si="66"/>
        <v>114768775.52</v>
      </c>
      <c r="F198" s="19">
        <f t="shared" si="67"/>
        <v>114768775.52</v>
      </c>
      <c r="G198" s="20">
        <f t="shared" si="68"/>
        <v>0</v>
      </c>
      <c r="H198" s="18"/>
      <c r="I198" s="18"/>
      <c r="J198" s="18"/>
      <c r="K198" s="19">
        <f t="shared" si="69"/>
        <v>0</v>
      </c>
      <c r="L198" s="18"/>
      <c r="M198" s="18"/>
      <c r="N198" s="18"/>
      <c r="O198" s="19">
        <f t="shared" si="70"/>
        <v>0</v>
      </c>
      <c r="P198" s="21">
        <f t="shared" si="71"/>
        <v>0</v>
      </c>
      <c r="Q198" s="18"/>
      <c r="R198" s="18"/>
      <c r="S198" s="19">
        <f t="shared" si="72"/>
        <v>0</v>
      </c>
      <c r="T198" s="20">
        <f t="shared" si="73"/>
        <v>0.03</v>
      </c>
      <c r="U198" s="19">
        <f t="shared" si="74"/>
        <v>0</v>
      </c>
      <c r="V198" s="18"/>
      <c r="W198" s="19">
        <f t="shared" si="75"/>
        <v>0</v>
      </c>
      <c r="X198" s="19">
        <f t="shared" si="76"/>
        <v>0</v>
      </c>
      <c r="Y198" s="18"/>
      <c r="Z198" s="18"/>
      <c r="AA198" s="19">
        <f t="shared" si="77"/>
        <v>0</v>
      </c>
      <c r="AB198" s="17">
        <v>0</v>
      </c>
      <c r="AC198" s="18"/>
      <c r="AD198" s="18"/>
      <c r="AE198" s="22">
        <f t="shared" si="78"/>
        <v>0</v>
      </c>
      <c r="AF198" s="23">
        <f t="shared" si="79"/>
        <v>0</v>
      </c>
      <c r="AG198" s="23">
        <f t="shared" si="80"/>
        <v>0</v>
      </c>
      <c r="AH198" s="18"/>
      <c r="AI198" s="24">
        <f t="shared" si="81"/>
        <v>0</v>
      </c>
      <c r="AJ198" s="25">
        <v>0</v>
      </c>
      <c r="AK198" s="24">
        <f t="shared" si="82"/>
        <v>0</v>
      </c>
      <c r="AL198" s="22">
        <f t="shared" si="83"/>
        <v>0</v>
      </c>
      <c r="AM198" s="22">
        <f t="shared" si="84"/>
        <v>0</v>
      </c>
      <c r="AN198" s="22">
        <f t="shared" si="85"/>
        <v>0</v>
      </c>
      <c r="AO198" s="26" t="str">
        <f t="shared" si="86"/>
        <v/>
      </c>
      <c r="AP198" s="26" t="str">
        <f t="shared" si="87"/>
        <v>pre-launch</v>
      </c>
      <c r="AQ198" s="18"/>
      <c r="AR198" s="18"/>
    </row>
    <row r="199" spans="1:44" x14ac:dyDescent="0.25">
      <c r="A199" s="43">
        <v>45260</v>
      </c>
      <c r="B199" s="17">
        <v>106269237.56999999</v>
      </c>
      <c r="C199" s="17">
        <v>0</v>
      </c>
      <c r="D199" s="18"/>
      <c r="E199" s="19">
        <f t="shared" si="66"/>
        <v>106269237.56999999</v>
      </c>
      <c r="F199" s="19">
        <f t="shared" si="67"/>
        <v>106269237.56999999</v>
      </c>
      <c r="G199" s="20">
        <f t="shared" si="68"/>
        <v>0</v>
      </c>
      <c r="H199" s="18"/>
      <c r="I199" s="18"/>
      <c r="J199" s="18"/>
      <c r="K199" s="19">
        <f t="shared" si="69"/>
        <v>0</v>
      </c>
      <c r="L199" s="18"/>
      <c r="M199" s="18"/>
      <c r="N199" s="18"/>
      <c r="O199" s="19">
        <f t="shared" si="70"/>
        <v>0</v>
      </c>
      <c r="P199" s="21">
        <f t="shared" si="71"/>
        <v>0</v>
      </c>
      <c r="Q199" s="18"/>
      <c r="R199" s="18"/>
      <c r="S199" s="19">
        <f t="shared" si="72"/>
        <v>0</v>
      </c>
      <c r="T199" s="20">
        <f t="shared" si="73"/>
        <v>0.03</v>
      </c>
      <c r="U199" s="19">
        <f t="shared" si="74"/>
        <v>0</v>
      </c>
      <c r="V199" s="18"/>
      <c r="W199" s="19">
        <f t="shared" si="75"/>
        <v>0</v>
      </c>
      <c r="X199" s="19">
        <f t="shared" si="76"/>
        <v>0</v>
      </c>
      <c r="Y199" s="18"/>
      <c r="Z199" s="18"/>
      <c r="AA199" s="19">
        <f t="shared" si="77"/>
        <v>0</v>
      </c>
      <c r="AB199" s="17">
        <v>0</v>
      </c>
      <c r="AC199" s="18"/>
      <c r="AD199" s="18"/>
      <c r="AE199" s="22">
        <f t="shared" si="78"/>
        <v>0</v>
      </c>
      <c r="AF199" s="23">
        <f t="shared" si="79"/>
        <v>0</v>
      </c>
      <c r="AG199" s="23">
        <f t="shared" si="80"/>
        <v>0</v>
      </c>
      <c r="AH199" s="18"/>
      <c r="AI199" s="24">
        <f t="shared" si="81"/>
        <v>0</v>
      </c>
      <c r="AJ199" s="25">
        <v>0</v>
      </c>
      <c r="AK199" s="24">
        <f t="shared" si="82"/>
        <v>0</v>
      </c>
      <c r="AL199" s="22">
        <f t="shared" si="83"/>
        <v>0</v>
      </c>
      <c r="AM199" s="22">
        <f t="shared" si="84"/>
        <v>0</v>
      </c>
      <c r="AN199" s="22">
        <f t="shared" si="85"/>
        <v>0</v>
      </c>
      <c r="AO199" s="26" t="str">
        <f t="shared" si="86"/>
        <v/>
      </c>
      <c r="AP199" s="26" t="str">
        <f t="shared" si="87"/>
        <v>pre-launch</v>
      </c>
      <c r="AQ199" s="18"/>
      <c r="AR199" s="18"/>
    </row>
    <row r="200" spans="1:44" x14ac:dyDescent="0.25">
      <c r="A200" s="43">
        <v>45261</v>
      </c>
      <c r="B200" s="17">
        <v>143317195.66999999</v>
      </c>
      <c r="C200" s="17">
        <v>0</v>
      </c>
      <c r="D200" s="18"/>
      <c r="E200" s="19">
        <f t="shared" si="66"/>
        <v>143317195.66999999</v>
      </c>
      <c r="F200" s="19">
        <f t="shared" si="67"/>
        <v>143317195.66999999</v>
      </c>
      <c r="G200" s="20">
        <f t="shared" si="68"/>
        <v>0</v>
      </c>
      <c r="H200" s="18"/>
      <c r="I200" s="18"/>
      <c r="J200" s="18"/>
      <c r="K200" s="19">
        <f t="shared" si="69"/>
        <v>0</v>
      </c>
      <c r="L200" s="18"/>
      <c r="M200" s="18"/>
      <c r="N200" s="18"/>
      <c r="O200" s="19">
        <f t="shared" si="70"/>
        <v>0</v>
      </c>
      <c r="P200" s="21">
        <f t="shared" si="71"/>
        <v>0</v>
      </c>
      <c r="Q200" s="18"/>
      <c r="R200" s="18"/>
      <c r="S200" s="19">
        <f t="shared" si="72"/>
        <v>0</v>
      </c>
      <c r="T200" s="20">
        <f t="shared" si="73"/>
        <v>0.03</v>
      </c>
      <c r="U200" s="19">
        <f t="shared" si="74"/>
        <v>0</v>
      </c>
      <c r="V200" s="18"/>
      <c r="W200" s="19">
        <f t="shared" si="75"/>
        <v>0</v>
      </c>
      <c r="X200" s="19">
        <f t="shared" si="76"/>
        <v>0</v>
      </c>
      <c r="Y200" s="18"/>
      <c r="Z200" s="18"/>
      <c r="AA200" s="19">
        <f t="shared" si="77"/>
        <v>0</v>
      </c>
      <c r="AB200" s="17">
        <v>0</v>
      </c>
      <c r="AC200" s="18"/>
      <c r="AD200" s="18"/>
      <c r="AE200" s="22">
        <f t="shared" si="78"/>
        <v>0</v>
      </c>
      <c r="AF200" s="23">
        <f t="shared" si="79"/>
        <v>0</v>
      </c>
      <c r="AG200" s="23">
        <f t="shared" si="80"/>
        <v>0</v>
      </c>
      <c r="AH200" s="18"/>
      <c r="AI200" s="24">
        <f t="shared" si="81"/>
        <v>0</v>
      </c>
      <c r="AJ200" s="25">
        <v>0</v>
      </c>
      <c r="AK200" s="24">
        <f t="shared" si="82"/>
        <v>0</v>
      </c>
      <c r="AL200" s="22">
        <f t="shared" si="83"/>
        <v>0</v>
      </c>
      <c r="AM200" s="22">
        <f t="shared" si="84"/>
        <v>0</v>
      </c>
      <c r="AN200" s="22">
        <f t="shared" si="85"/>
        <v>0</v>
      </c>
      <c r="AO200" s="26" t="str">
        <f t="shared" si="86"/>
        <v/>
      </c>
      <c r="AP200" s="26" t="str">
        <f t="shared" si="87"/>
        <v>pre-launch</v>
      </c>
      <c r="AQ200" s="18"/>
      <c r="AR200" s="18"/>
    </row>
    <row r="201" spans="1:44" x14ac:dyDescent="0.25">
      <c r="A201" s="43">
        <v>45262</v>
      </c>
      <c r="B201" s="17">
        <v>203606540.77000001</v>
      </c>
      <c r="C201" s="17">
        <v>0</v>
      </c>
      <c r="D201" s="18"/>
      <c r="E201" s="19">
        <f t="shared" si="66"/>
        <v>203606540.77000001</v>
      </c>
      <c r="F201" s="19">
        <f t="shared" si="67"/>
        <v>203606540.77000001</v>
      </c>
      <c r="G201" s="20">
        <f t="shared" si="68"/>
        <v>0</v>
      </c>
      <c r="H201" s="18"/>
      <c r="I201" s="18"/>
      <c r="J201" s="18"/>
      <c r="K201" s="19">
        <f t="shared" si="69"/>
        <v>0</v>
      </c>
      <c r="L201" s="18"/>
      <c r="M201" s="18"/>
      <c r="N201" s="18"/>
      <c r="O201" s="19">
        <f t="shared" si="70"/>
        <v>0</v>
      </c>
      <c r="P201" s="21">
        <f t="shared" si="71"/>
        <v>0</v>
      </c>
      <c r="Q201" s="18"/>
      <c r="R201" s="18"/>
      <c r="S201" s="19">
        <f t="shared" si="72"/>
        <v>0</v>
      </c>
      <c r="T201" s="20">
        <f t="shared" si="73"/>
        <v>0.03</v>
      </c>
      <c r="U201" s="19">
        <f t="shared" si="74"/>
        <v>0</v>
      </c>
      <c r="V201" s="18"/>
      <c r="W201" s="19">
        <f t="shared" si="75"/>
        <v>0</v>
      </c>
      <c r="X201" s="19">
        <f t="shared" si="76"/>
        <v>0</v>
      </c>
      <c r="Y201" s="18"/>
      <c r="Z201" s="18"/>
      <c r="AA201" s="19">
        <f t="shared" si="77"/>
        <v>0</v>
      </c>
      <c r="AB201" s="17">
        <v>0</v>
      </c>
      <c r="AC201" s="18"/>
      <c r="AD201" s="18"/>
      <c r="AE201" s="22">
        <f t="shared" si="78"/>
        <v>0</v>
      </c>
      <c r="AF201" s="23">
        <f t="shared" si="79"/>
        <v>0</v>
      </c>
      <c r="AG201" s="23">
        <f t="shared" si="80"/>
        <v>0</v>
      </c>
      <c r="AH201" s="18"/>
      <c r="AI201" s="24">
        <f t="shared" si="81"/>
        <v>0</v>
      </c>
      <c r="AJ201" s="25">
        <v>0</v>
      </c>
      <c r="AK201" s="24">
        <f t="shared" si="82"/>
        <v>0</v>
      </c>
      <c r="AL201" s="22">
        <f t="shared" si="83"/>
        <v>0</v>
      </c>
      <c r="AM201" s="22">
        <f t="shared" si="84"/>
        <v>0</v>
      </c>
      <c r="AN201" s="22">
        <f t="shared" si="85"/>
        <v>0</v>
      </c>
      <c r="AO201" s="26" t="str">
        <f t="shared" si="86"/>
        <v/>
      </c>
      <c r="AP201" s="26" t="str">
        <f t="shared" si="87"/>
        <v>pre-launch</v>
      </c>
      <c r="AQ201" s="18"/>
      <c r="AR201" s="18"/>
    </row>
    <row r="202" spans="1:44" x14ac:dyDescent="0.25">
      <c r="A202" s="43">
        <v>45263</v>
      </c>
      <c r="B202" s="17">
        <v>219698560.41999999</v>
      </c>
      <c r="C202" s="17">
        <v>0</v>
      </c>
      <c r="D202" s="18"/>
      <c r="E202" s="19">
        <f t="shared" si="66"/>
        <v>219698560.41999999</v>
      </c>
      <c r="F202" s="19">
        <f t="shared" si="67"/>
        <v>219698560.41999999</v>
      </c>
      <c r="G202" s="20">
        <f t="shared" si="68"/>
        <v>0</v>
      </c>
      <c r="H202" s="18"/>
      <c r="I202" s="18"/>
      <c r="J202" s="18"/>
      <c r="K202" s="19">
        <f t="shared" si="69"/>
        <v>0</v>
      </c>
      <c r="L202" s="18"/>
      <c r="M202" s="18"/>
      <c r="N202" s="18"/>
      <c r="O202" s="19">
        <f t="shared" si="70"/>
        <v>0</v>
      </c>
      <c r="P202" s="21">
        <f t="shared" si="71"/>
        <v>0</v>
      </c>
      <c r="Q202" s="18"/>
      <c r="R202" s="18"/>
      <c r="S202" s="19">
        <f t="shared" si="72"/>
        <v>0</v>
      </c>
      <c r="T202" s="20">
        <f t="shared" si="73"/>
        <v>0.03</v>
      </c>
      <c r="U202" s="19">
        <f t="shared" si="74"/>
        <v>0</v>
      </c>
      <c r="V202" s="18"/>
      <c r="W202" s="19">
        <f t="shared" si="75"/>
        <v>0</v>
      </c>
      <c r="X202" s="19">
        <f t="shared" si="76"/>
        <v>0</v>
      </c>
      <c r="Y202" s="18"/>
      <c r="Z202" s="18"/>
      <c r="AA202" s="19">
        <f t="shared" si="77"/>
        <v>0</v>
      </c>
      <c r="AB202" s="17">
        <v>0</v>
      </c>
      <c r="AC202" s="18"/>
      <c r="AD202" s="18"/>
      <c r="AE202" s="22">
        <f t="shared" si="78"/>
        <v>0</v>
      </c>
      <c r="AF202" s="23">
        <f t="shared" si="79"/>
        <v>0</v>
      </c>
      <c r="AG202" s="23">
        <f t="shared" si="80"/>
        <v>0</v>
      </c>
      <c r="AH202" s="18"/>
      <c r="AI202" s="24">
        <f t="shared" si="81"/>
        <v>0</v>
      </c>
      <c r="AJ202" s="25">
        <v>0</v>
      </c>
      <c r="AK202" s="24">
        <f t="shared" si="82"/>
        <v>0</v>
      </c>
      <c r="AL202" s="22">
        <f t="shared" si="83"/>
        <v>0</v>
      </c>
      <c r="AM202" s="22">
        <f t="shared" si="84"/>
        <v>0</v>
      </c>
      <c r="AN202" s="22">
        <f t="shared" si="85"/>
        <v>0</v>
      </c>
      <c r="AO202" s="26" t="str">
        <f t="shared" si="86"/>
        <v/>
      </c>
      <c r="AP202" s="26" t="str">
        <f t="shared" si="87"/>
        <v>pre-launch</v>
      </c>
      <c r="AQ202" s="18"/>
      <c r="AR202" s="18"/>
    </row>
    <row r="203" spans="1:44" x14ac:dyDescent="0.25">
      <c r="A203" s="43">
        <v>45264</v>
      </c>
      <c r="B203" s="17">
        <v>391276417.79000002</v>
      </c>
      <c r="C203" s="17">
        <v>0</v>
      </c>
      <c r="D203" s="18"/>
      <c r="E203" s="19">
        <f t="shared" si="66"/>
        <v>391276417.79000002</v>
      </c>
      <c r="F203" s="19">
        <f t="shared" si="67"/>
        <v>391276417.79000002</v>
      </c>
      <c r="G203" s="20">
        <f t="shared" si="68"/>
        <v>0</v>
      </c>
      <c r="H203" s="18"/>
      <c r="I203" s="18"/>
      <c r="J203" s="18"/>
      <c r="K203" s="19">
        <f t="shared" si="69"/>
        <v>0</v>
      </c>
      <c r="L203" s="18"/>
      <c r="M203" s="18"/>
      <c r="N203" s="18"/>
      <c r="O203" s="19">
        <f t="shared" si="70"/>
        <v>0</v>
      </c>
      <c r="P203" s="21">
        <f t="shared" si="71"/>
        <v>0</v>
      </c>
      <c r="Q203" s="18"/>
      <c r="R203" s="18"/>
      <c r="S203" s="19">
        <f t="shared" si="72"/>
        <v>0</v>
      </c>
      <c r="T203" s="20">
        <f t="shared" si="73"/>
        <v>0.03</v>
      </c>
      <c r="U203" s="19">
        <f t="shared" si="74"/>
        <v>0</v>
      </c>
      <c r="V203" s="18"/>
      <c r="W203" s="19">
        <f t="shared" si="75"/>
        <v>0</v>
      </c>
      <c r="X203" s="19">
        <f t="shared" si="76"/>
        <v>0</v>
      </c>
      <c r="Y203" s="18"/>
      <c r="Z203" s="18"/>
      <c r="AA203" s="19">
        <f t="shared" si="77"/>
        <v>0</v>
      </c>
      <c r="AB203" s="17">
        <v>0</v>
      </c>
      <c r="AC203" s="18"/>
      <c r="AD203" s="18"/>
      <c r="AE203" s="22">
        <f t="shared" si="78"/>
        <v>0</v>
      </c>
      <c r="AF203" s="23">
        <f t="shared" si="79"/>
        <v>0</v>
      </c>
      <c r="AG203" s="23">
        <f t="shared" si="80"/>
        <v>0</v>
      </c>
      <c r="AH203" s="18"/>
      <c r="AI203" s="24">
        <f t="shared" si="81"/>
        <v>0</v>
      </c>
      <c r="AJ203" s="25">
        <v>0</v>
      </c>
      <c r="AK203" s="24">
        <f t="shared" si="82"/>
        <v>0</v>
      </c>
      <c r="AL203" s="22">
        <f t="shared" si="83"/>
        <v>0</v>
      </c>
      <c r="AM203" s="22">
        <f t="shared" si="84"/>
        <v>0</v>
      </c>
      <c r="AN203" s="22">
        <f t="shared" si="85"/>
        <v>0</v>
      </c>
      <c r="AO203" s="26" t="str">
        <f t="shared" si="86"/>
        <v/>
      </c>
      <c r="AP203" s="26" t="str">
        <f t="shared" si="87"/>
        <v>pre-launch</v>
      </c>
      <c r="AQ203" s="18"/>
      <c r="AR203" s="18"/>
    </row>
    <row r="204" spans="1:44" x14ac:dyDescent="0.25">
      <c r="A204" s="43">
        <v>45265</v>
      </c>
      <c r="B204" s="17">
        <v>364237787.23000002</v>
      </c>
      <c r="C204" s="17">
        <v>0</v>
      </c>
      <c r="D204" s="18"/>
      <c r="E204" s="19">
        <f t="shared" si="66"/>
        <v>364237787.23000002</v>
      </c>
      <c r="F204" s="19">
        <f t="shared" si="67"/>
        <v>364237787.23000002</v>
      </c>
      <c r="G204" s="20">
        <f t="shared" si="68"/>
        <v>0</v>
      </c>
      <c r="H204" s="18"/>
      <c r="I204" s="18"/>
      <c r="J204" s="18"/>
      <c r="K204" s="19">
        <f t="shared" si="69"/>
        <v>0</v>
      </c>
      <c r="L204" s="18"/>
      <c r="M204" s="18"/>
      <c r="N204" s="18"/>
      <c r="O204" s="19">
        <f t="shared" si="70"/>
        <v>0</v>
      </c>
      <c r="P204" s="21">
        <f t="shared" si="71"/>
        <v>0</v>
      </c>
      <c r="Q204" s="18"/>
      <c r="R204" s="18"/>
      <c r="S204" s="19">
        <f t="shared" si="72"/>
        <v>0</v>
      </c>
      <c r="T204" s="20">
        <f t="shared" si="73"/>
        <v>0.03</v>
      </c>
      <c r="U204" s="19">
        <f t="shared" si="74"/>
        <v>0</v>
      </c>
      <c r="V204" s="18"/>
      <c r="W204" s="19">
        <f t="shared" si="75"/>
        <v>0</v>
      </c>
      <c r="X204" s="19">
        <f t="shared" si="76"/>
        <v>0</v>
      </c>
      <c r="Y204" s="18"/>
      <c r="Z204" s="18"/>
      <c r="AA204" s="19">
        <f t="shared" si="77"/>
        <v>0</v>
      </c>
      <c r="AB204" s="17">
        <v>0</v>
      </c>
      <c r="AC204" s="18"/>
      <c r="AD204" s="18"/>
      <c r="AE204" s="22">
        <f t="shared" si="78"/>
        <v>0</v>
      </c>
      <c r="AF204" s="23">
        <f t="shared" si="79"/>
        <v>0</v>
      </c>
      <c r="AG204" s="23">
        <f t="shared" si="80"/>
        <v>0</v>
      </c>
      <c r="AH204" s="18"/>
      <c r="AI204" s="24">
        <f t="shared" si="81"/>
        <v>0</v>
      </c>
      <c r="AJ204" s="25">
        <v>0</v>
      </c>
      <c r="AK204" s="24">
        <f t="shared" si="82"/>
        <v>0</v>
      </c>
      <c r="AL204" s="22">
        <f t="shared" si="83"/>
        <v>0</v>
      </c>
      <c r="AM204" s="22">
        <f t="shared" si="84"/>
        <v>0</v>
      </c>
      <c r="AN204" s="22">
        <f t="shared" si="85"/>
        <v>0</v>
      </c>
      <c r="AO204" s="26" t="str">
        <f t="shared" si="86"/>
        <v/>
      </c>
      <c r="AP204" s="26" t="str">
        <f t="shared" si="87"/>
        <v>pre-launch</v>
      </c>
      <c r="AQ204" s="18"/>
      <c r="AR204" s="18"/>
    </row>
    <row r="205" spans="1:44" x14ac:dyDescent="0.25">
      <c r="A205" s="43">
        <v>45266</v>
      </c>
      <c r="B205" s="17">
        <v>357723524.69</v>
      </c>
      <c r="C205" s="17">
        <v>0</v>
      </c>
      <c r="D205" s="18"/>
      <c r="E205" s="19">
        <f t="shared" si="66"/>
        <v>357723524.69</v>
      </c>
      <c r="F205" s="19">
        <f t="shared" si="67"/>
        <v>357723524.69</v>
      </c>
      <c r="G205" s="20">
        <f t="shared" si="68"/>
        <v>0</v>
      </c>
      <c r="H205" s="18"/>
      <c r="I205" s="18"/>
      <c r="J205" s="18"/>
      <c r="K205" s="19">
        <f t="shared" si="69"/>
        <v>0</v>
      </c>
      <c r="L205" s="18"/>
      <c r="M205" s="18"/>
      <c r="N205" s="18"/>
      <c r="O205" s="19">
        <f t="shared" si="70"/>
        <v>0</v>
      </c>
      <c r="P205" s="21">
        <f t="shared" si="71"/>
        <v>0</v>
      </c>
      <c r="Q205" s="18"/>
      <c r="R205" s="18"/>
      <c r="S205" s="19">
        <f t="shared" si="72"/>
        <v>0</v>
      </c>
      <c r="T205" s="20">
        <f t="shared" si="73"/>
        <v>0.03</v>
      </c>
      <c r="U205" s="19">
        <f t="shared" si="74"/>
        <v>0</v>
      </c>
      <c r="V205" s="18"/>
      <c r="W205" s="19">
        <f t="shared" si="75"/>
        <v>0</v>
      </c>
      <c r="X205" s="19">
        <f t="shared" si="76"/>
        <v>0</v>
      </c>
      <c r="Y205" s="18"/>
      <c r="Z205" s="18"/>
      <c r="AA205" s="19">
        <f t="shared" si="77"/>
        <v>0</v>
      </c>
      <c r="AB205" s="17">
        <v>0</v>
      </c>
      <c r="AC205" s="18"/>
      <c r="AD205" s="18"/>
      <c r="AE205" s="22">
        <f t="shared" si="78"/>
        <v>0</v>
      </c>
      <c r="AF205" s="23">
        <f t="shared" si="79"/>
        <v>0</v>
      </c>
      <c r="AG205" s="23">
        <f t="shared" si="80"/>
        <v>0</v>
      </c>
      <c r="AH205" s="18"/>
      <c r="AI205" s="24">
        <f t="shared" si="81"/>
        <v>0</v>
      </c>
      <c r="AJ205" s="25">
        <v>0</v>
      </c>
      <c r="AK205" s="24">
        <f t="shared" si="82"/>
        <v>0</v>
      </c>
      <c r="AL205" s="22">
        <f t="shared" si="83"/>
        <v>0</v>
      </c>
      <c r="AM205" s="22">
        <f t="shared" si="84"/>
        <v>0</v>
      </c>
      <c r="AN205" s="22">
        <f t="shared" si="85"/>
        <v>0</v>
      </c>
      <c r="AO205" s="26" t="str">
        <f t="shared" si="86"/>
        <v/>
      </c>
      <c r="AP205" s="26" t="str">
        <f t="shared" si="87"/>
        <v>pre-launch</v>
      </c>
      <c r="AQ205" s="18"/>
      <c r="AR205" s="18"/>
    </row>
    <row r="206" spans="1:44" x14ac:dyDescent="0.25">
      <c r="A206" s="43">
        <v>45267</v>
      </c>
      <c r="B206" s="17">
        <v>366405352.41000003</v>
      </c>
      <c r="C206" s="17">
        <v>0</v>
      </c>
      <c r="D206" s="18"/>
      <c r="E206" s="19">
        <f t="shared" si="66"/>
        <v>366405352.41000003</v>
      </c>
      <c r="F206" s="19">
        <f t="shared" si="67"/>
        <v>366405352.41000003</v>
      </c>
      <c r="G206" s="20">
        <f t="shared" si="68"/>
        <v>0</v>
      </c>
      <c r="H206" s="18"/>
      <c r="I206" s="18"/>
      <c r="J206" s="18"/>
      <c r="K206" s="19">
        <f t="shared" si="69"/>
        <v>0</v>
      </c>
      <c r="L206" s="18"/>
      <c r="M206" s="18"/>
      <c r="N206" s="18"/>
      <c r="O206" s="19">
        <f t="shared" si="70"/>
        <v>0</v>
      </c>
      <c r="P206" s="21">
        <f t="shared" si="71"/>
        <v>0</v>
      </c>
      <c r="Q206" s="18"/>
      <c r="R206" s="18"/>
      <c r="S206" s="19">
        <f t="shared" si="72"/>
        <v>0</v>
      </c>
      <c r="T206" s="20">
        <f t="shared" si="73"/>
        <v>0.03</v>
      </c>
      <c r="U206" s="19">
        <f t="shared" si="74"/>
        <v>0</v>
      </c>
      <c r="V206" s="18"/>
      <c r="W206" s="19">
        <f t="shared" si="75"/>
        <v>0</v>
      </c>
      <c r="X206" s="19">
        <f t="shared" si="76"/>
        <v>0</v>
      </c>
      <c r="Y206" s="18"/>
      <c r="Z206" s="18"/>
      <c r="AA206" s="19">
        <f t="shared" si="77"/>
        <v>0</v>
      </c>
      <c r="AB206" s="17">
        <v>0</v>
      </c>
      <c r="AC206" s="18"/>
      <c r="AD206" s="18"/>
      <c r="AE206" s="22">
        <f t="shared" si="78"/>
        <v>0</v>
      </c>
      <c r="AF206" s="23">
        <f t="shared" si="79"/>
        <v>0</v>
      </c>
      <c r="AG206" s="23">
        <f t="shared" si="80"/>
        <v>0</v>
      </c>
      <c r="AH206" s="18"/>
      <c r="AI206" s="24">
        <f t="shared" si="81"/>
        <v>0</v>
      </c>
      <c r="AJ206" s="25">
        <v>0</v>
      </c>
      <c r="AK206" s="24">
        <f t="shared" si="82"/>
        <v>0</v>
      </c>
      <c r="AL206" s="22">
        <f t="shared" si="83"/>
        <v>0</v>
      </c>
      <c r="AM206" s="22">
        <f t="shared" si="84"/>
        <v>0</v>
      </c>
      <c r="AN206" s="22">
        <f t="shared" si="85"/>
        <v>0</v>
      </c>
      <c r="AO206" s="26" t="str">
        <f t="shared" si="86"/>
        <v/>
      </c>
      <c r="AP206" s="26" t="str">
        <f t="shared" si="87"/>
        <v>pre-launch</v>
      </c>
      <c r="AQ206" s="18"/>
      <c r="AR206" s="18"/>
    </row>
    <row r="207" spans="1:44" x14ac:dyDescent="0.25">
      <c r="A207" s="43">
        <v>45268</v>
      </c>
      <c r="B207" s="17">
        <v>276904561.44</v>
      </c>
      <c r="C207" s="17">
        <v>0</v>
      </c>
      <c r="D207" s="18"/>
      <c r="E207" s="19">
        <f t="shared" si="66"/>
        <v>276904561.44</v>
      </c>
      <c r="F207" s="19">
        <f t="shared" si="67"/>
        <v>276904561.44</v>
      </c>
      <c r="G207" s="20">
        <f t="shared" si="68"/>
        <v>0</v>
      </c>
      <c r="H207" s="18"/>
      <c r="I207" s="18"/>
      <c r="J207" s="18"/>
      <c r="K207" s="19">
        <f t="shared" si="69"/>
        <v>0</v>
      </c>
      <c r="L207" s="18"/>
      <c r="M207" s="18"/>
      <c r="N207" s="18"/>
      <c r="O207" s="19">
        <f t="shared" si="70"/>
        <v>0</v>
      </c>
      <c r="P207" s="21">
        <f t="shared" si="71"/>
        <v>0</v>
      </c>
      <c r="Q207" s="18"/>
      <c r="R207" s="18"/>
      <c r="S207" s="19">
        <f t="shared" si="72"/>
        <v>0</v>
      </c>
      <c r="T207" s="20">
        <f t="shared" si="73"/>
        <v>0.03</v>
      </c>
      <c r="U207" s="19">
        <f t="shared" si="74"/>
        <v>0</v>
      </c>
      <c r="V207" s="18"/>
      <c r="W207" s="19">
        <f t="shared" si="75"/>
        <v>0</v>
      </c>
      <c r="X207" s="19">
        <f t="shared" si="76"/>
        <v>0</v>
      </c>
      <c r="Y207" s="18"/>
      <c r="Z207" s="18"/>
      <c r="AA207" s="19">
        <f t="shared" si="77"/>
        <v>0</v>
      </c>
      <c r="AB207" s="17">
        <v>0</v>
      </c>
      <c r="AC207" s="18"/>
      <c r="AD207" s="18"/>
      <c r="AE207" s="22">
        <f t="shared" si="78"/>
        <v>0</v>
      </c>
      <c r="AF207" s="23">
        <f t="shared" si="79"/>
        <v>0</v>
      </c>
      <c r="AG207" s="23">
        <f t="shared" si="80"/>
        <v>0</v>
      </c>
      <c r="AH207" s="18"/>
      <c r="AI207" s="24">
        <f t="shared" si="81"/>
        <v>0</v>
      </c>
      <c r="AJ207" s="25">
        <v>0</v>
      </c>
      <c r="AK207" s="24">
        <f t="shared" si="82"/>
        <v>0</v>
      </c>
      <c r="AL207" s="22">
        <f t="shared" si="83"/>
        <v>0</v>
      </c>
      <c r="AM207" s="22">
        <f t="shared" si="84"/>
        <v>0</v>
      </c>
      <c r="AN207" s="22">
        <f t="shared" si="85"/>
        <v>0</v>
      </c>
      <c r="AO207" s="26" t="str">
        <f t="shared" si="86"/>
        <v/>
      </c>
      <c r="AP207" s="26" t="str">
        <f t="shared" si="87"/>
        <v>pre-launch</v>
      </c>
      <c r="AQ207" s="18"/>
      <c r="AR207" s="18"/>
    </row>
    <row r="208" spans="1:44" x14ac:dyDescent="0.25">
      <c r="A208" s="43">
        <v>45269</v>
      </c>
      <c r="B208" s="17">
        <v>420426305.30000001</v>
      </c>
      <c r="C208" s="17">
        <v>0</v>
      </c>
      <c r="D208" s="18"/>
      <c r="E208" s="19">
        <f t="shared" si="66"/>
        <v>420426305.30000001</v>
      </c>
      <c r="F208" s="19">
        <f t="shared" si="67"/>
        <v>420426305.30000001</v>
      </c>
      <c r="G208" s="20">
        <f t="shared" si="68"/>
        <v>0</v>
      </c>
      <c r="H208" s="18"/>
      <c r="I208" s="18"/>
      <c r="J208" s="18"/>
      <c r="K208" s="19">
        <f t="shared" si="69"/>
        <v>0</v>
      </c>
      <c r="L208" s="18"/>
      <c r="M208" s="18"/>
      <c r="N208" s="18"/>
      <c r="O208" s="19">
        <f t="shared" si="70"/>
        <v>0</v>
      </c>
      <c r="P208" s="21">
        <f t="shared" si="71"/>
        <v>0</v>
      </c>
      <c r="Q208" s="18"/>
      <c r="R208" s="18"/>
      <c r="S208" s="19">
        <f t="shared" si="72"/>
        <v>0</v>
      </c>
      <c r="T208" s="20">
        <f t="shared" si="73"/>
        <v>0.03</v>
      </c>
      <c r="U208" s="19">
        <f t="shared" si="74"/>
        <v>0</v>
      </c>
      <c r="V208" s="18"/>
      <c r="W208" s="19">
        <f t="shared" si="75"/>
        <v>0</v>
      </c>
      <c r="X208" s="19">
        <f t="shared" si="76"/>
        <v>0</v>
      </c>
      <c r="Y208" s="18"/>
      <c r="Z208" s="18"/>
      <c r="AA208" s="19">
        <f t="shared" si="77"/>
        <v>0</v>
      </c>
      <c r="AB208" s="17">
        <v>0</v>
      </c>
      <c r="AC208" s="18"/>
      <c r="AD208" s="18"/>
      <c r="AE208" s="22">
        <f t="shared" si="78"/>
        <v>0</v>
      </c>
      <c r="AF208" s="23">
        <f t="shared" si="79"/>
        <v>0</v>
      </c>
      <c r="AG208" s="23">
        <f t="shared" si="80"/>
        <v>0</v>
      </c>
      <c r="AH208" s="18"/>
      <c r="AI208" s="24">
        <f t="shared" si="81"/>
        <v>0</v>
      </c>
      <c r="AJ208" s="25">
        <v>0</v>
      </c>
      <c r="AK208" s="24">
        <f t="shared" si="82"/>
        <v>0</v>
      </c>
      <c r="AL208" s="22">
        <f t="shared" si="83"/>
        <v>0</v>
      </c>
      <c r="AM208" s="22">
        <f t="shared" si="84"/>
        <v>0</v>
      </c>
      <c r="AN208" s="22">
        <f t="shared" si="85"/>
        <v>0</v>
      </c>
      <c r="AO208" s="26" t="str">
        <f t="shared" si="86"/>
        <v/>
      </c>
      <c r="AP208" s="26" t="str">
        <f t="shared" si="87"/>
        <v>pre-launch</v>
      </c>
      <c r="AQ208" s="18"/>
      <c r="AR208" s="18"/>
    </row>
    <row r="209" spans="1:44" x14ac:dyDescent="0.25">
      <c r="A209" s="43">
        <v>45270</v>
      </c>
      <c r="B209" s="17">
        <v>225304526.34999999</v>
      </c>
      <c r="C209" s="17">
        <v>0</v>
      </c>
      <c r="D209" s="18"/>
      <c r="E209" s="19">
        <f t="shared" si="66"/>
        <v>225304526.34999999</v>
      </c>
      <c r="F209" s="19">
        <f t="shared" si="67"/>
        <v>225304526.34999999</v>
      </c>
      <c r="G209" s="20">
        <f t="shared" si="68"/>
        <v>0</v>
      </c>
      <c r="H209" s="18"/>
      <c r="I209" s="18"/>
      <c r="J209" s="18"/>
      <c r="K209" s="19">
        <f t="shared" si="69"/>
        <v>0</v>
      </c>
      <c r="L209" s="18"/>
      <c r="M209" s="18"/>
      <c r="N209" s="18"/>
      <c r="O209" s="19">
        <f t="shared" si="70"/>
        <v>0</v>
      </c>
      <c r="P209" s="21">
        <f t="shared" si="71"/>
        <v>0</v>
      </c>
      <c r="Q209" s="18"/>
      <c r="R209" s="18"/>
      <c r="S209" s="19">
        <f t="shared" si="72"/>
        <v>0</v>
      </c>
      <c r="T209" s="20">
        <f t="shared" si="73"/>
        <v>0.03</v>
      </c>
      <c r="U209" s="19">
        <f t="shared" si="74"/>
        <v>0</v>
      </c>
      <c r="V209" s="18"/>
      <c r="W209" s="19">
        <f t="shared" si="75"/>
        <v>0</v>
      </c>
      <c r="X209" s="19">
        <f t="shared" si="76"/>
        <v>0</v>
      </c>
      <c r="Y209" s="18"/>
      <c r="Z209" s="18"/>
      <c r="AA209" s="19">
        <f t="shared" si="77"/>
        <v>0</v>
      </c>
      <c r="AB209" s="17">
        <v>0</v>
      </c>
      <c r="AC209" s="18"/>
      <c r="AD209" s="18"/>
      <c r="AE209" s="22">
        <f t="shared" si="78"/>
        <v>0</v>
      </c>
      <c r="AF209" s="23">
        <f t="shared" si="79"/>
        <v>0</v>
      </c>
      <c r="AG209" s="23">
        <f t="shared" si="80"/>
        <v>0</v>
      </c>
      <c r="AH209" s="18"/>
      <c r="AI209" s="24">
        <f t="shared" si="81"/>
        <v>0</v>
      </c>
      <c r="AJ209" s="25">
        <v>0</v>
      </c>
      <c r="AK209" s="24">
        <f t="shared" si="82"/>
        <v>0</v>
      </c>
      <c r="AL209" s="22">
        <f t="shared" si="83"/>
        <v>0</v>
      </c>
      <c r="AM209" s="22">
        <f t="shared" si="84"/>
        <v>0</v>
      </c>
      <c r="AN209" s="22">
        <f t="shared" si="85"/>
        <v>0</v>
      </c>
      <c r="AO209" s="26" t="str">
        <f t="shared" si="86"/>
        <v/>
      </c>
      <c r="AP209" s="26" t="str">
        <f t="shared" si="87"/>
        <v>pre-launch</v>
      </c>
      <c r="AQ209" s="18"/>
      <c r="AR209" s="18"/>
    </row>
    <row r="210" spans="1:44" x14ac:dyDescent="0.25">
      <c r="A210" s="43">
        <v>45271</v>
      </c>
      <c r="B210" s="17">
        <v>998574499.92999995</v>
      </c>
      <c r="C210" s="17">
        <v>0</v>
      </c>
      <c r="D210" s="18"/>
      <c r="E210" s="19">
        <f t="shared" si="66"/>
        <v>998574499.92999995</v>
      </c>
      <c r="F210" s="19">
        <f t="shared" si="67"/>
        <v>998574499.92999995</v>
      </c>
      <c r="G210" s="20">
        <f t="shared" si="68"/>
        <v>0</v>
      </c>
      <c r="H210" s="18"/>
      <c r="I210" s="18"/>
      <c r="J210" s="18"/>
      <c r="K210" s="19">
        <f t="shared" si="69"/>
        <v>0</v>
      </c>
      <c r="L210" s="18"/>
      <c r="M210" s="18"/>
      <c r="N210" s="18"/>
      <c r="O210" s="19">
        <f t="shared" si="70"/>
        <v>0</v>
      </c>
      <c r="P210" s="21">
        <f t="shared" si="71"/>
        <v>0</v>
      </c>
      <c r="Q210" s="18"/>
      <c r="R210" s="18"/>
      <c r="S210" s="19">
        <f t="shared" si="72"/>
        <v>0</v>
      </c>
      <c r="T210" s="20">
        <f t="shared" si="73"/>
        <v>0.03</v>
      </c>
      <c r="U210" s="19">
        <f t="shared" si="74"/>
        <v>0</v>
      </c>
      <c r="V210" s="18"/>
      <c r="W210" s="19">
        <f t="shared" si="75"/>
        <v>0</v>
      </c>
      <c r="X210" s="19">
        <f t="shared" si="76"/>
        <v>0</v>
      </c>
      <c r="Y210" s="18"/>
      <c r="Z210" s="18"/>
      <c r="AA210" s="19">
        <f t="shared" si="77"/>
        <v>0</v>
      </c>
      <c r="AB210" s="17">
        <v>0</v>
      </c>
      <c r="AC210" s="18"/>
      <c r="AD210" s="18"/>
      <c r="AE210" s="22">
        <f t="shared" si="78"/>
        <v>0</v>
      </c>
      <c r="AF210" s="23">
        <f t="shared" si="79"/>
        <v>0</v>
      </c>
      <c r="AG210" s="23">
        <f t="shared" si="80"/>
        <v>0</v>
      </c>
      <c r="AH210" s="18"/>
      <c r="AI210" s="24">
        <f t="shared" si="81"/>
        <v>0</v>
      </c>
      <c r="AJ210" s="25">
        <v>0</v>
      </c>
      <c r="AK210" s="24">
        <f t="shared" si="82"/>
        <v>0</v>
      </c>
      <c r="AL210" s="22">
        <f t="shared" si="83"/>
        <v>0</v>
      </c>
      <c r="AM210" s="22">
        <f t="shared" si="84"/>
        <v>0</v>
      </c>
      <c r="AN210" s="22">
        <f t="shared" si="85"/>
        <v>0</v>
      </c>
      <c r="AO210" s="26" t="str">
        <f t="shared" si="86"/>
        <v/>
      </c>
      <c r="AP210" s="26" t="str">
        <f t="shared" si="87"/>
        <v>pre-launch</v>
      </c>
      <c r="AQ210" s="18"/>
      <c r="AR210" s="18"/>
    </row>
    <row r="211" spans="1:44" x14ac:dyDescent="0.25">
      <c r="A211" s="43">
        <v>45272</v>
      </c>
      <c r="B211" s="17">
        <v>374478039.64999998</v>
      </c>
      <c r="C211" s="17">
        <v>0</v>
      </c>
      <c r="D211" s="18"/>
      <c r="E211" s="19">
        <f t="shared" si="66"/>
        <v>374478039.64999998</v>
      </c>
      <c r="F211" s="19">
        <f t="shared" si="67"/>
        <v>374478039.64999998</v>
      </c>
      <c r="G211" s="20">
        <f t="shared" si="68"/>
        <v>0</v>
      </c>
      <c r="H211" s="18"/>
      <c r="I211" s="18"/>
      <c r="J211" s="18"/>
      <c r="K211" s="19">
        <f t="shared" si="69"/>
        <v>0</v>
      </c>
      <c r="L211" s="18"/>
      <c r="M211" s="18"/>
      <c r="N211" s="18"/>
      <c r="O211" s="19">
        <f t="shared" si="70"/>
        <v>0</v>
      </c>
      <c r="P211" s="21">
        <f t="shared" si="71"/>
        <v>0</v>
      </c>
      <c r="Q211" s="18"/>
      <c r="R211" s="18"/>
      <c r="S211" s="19">
        <f t="shared" si="72"/>
        <v>0</v>
      </c>
      <c r="T211" s="20">
        <f t="shared" si="73"/>
        <v>0.03</v>
      </c>
      <c r="U211" s="19">
        <f t="shared" si="74"/>
        <v>0</v>
      </c>
      <c r="V211" s="18"/>
      <c r="W211" s="19">
        <f t="shared" si="75"/>
        <v>0</v>
      </c>
      <c r="X211" s="19">
        <f t="shared" si="76"/>
        <v>0</v>
      </c>
      <c r="Y211" s="18"/>
      <c r="Z211" s="18"/>
      <c r="AA211" s="19">
        <f t="shared" si="77"/>
        <v>0</v>
      </c>
      <c r="AB211" s="17">
        <v>0</v>
      </c>
      <c r="AC211" s="18"/>
      <c r="AD211" s="18"/>
      <c r="AE211" s="22">
        <f t="shared" si="78"/>
        <v>0</v>
      </c>
      <c r="AF211" s="23">
        <f t="shared" si="79"/>
        <v>0</v>
      </c>
      <c r="AG211" s="23">
        <f t="shared" si="80"/>
        <v>0</v>
      </c>
      <c r="AH211" s="18"/>
      <c r="AI211" s="24">
        <f t="shared" si="81"/>
        <v>0</v>
      </c>
      <c r="AJ211" s="25">
        <v>0</v>
      </c>
      <c r="AK211" s="24">
        <f t="shared" si="82"/>
        <v>0</v>
      </c>
      <c r="AL211" s="22">
        <f t="shared" si="83"/>
        <v>0</v>
      </c>
      <c r="AM211" s="22">
        <f t="shared" si="84"/>
        <v>0</v>
      </c>
      <c r="AN211" s="22">
        <f t="shared" si="85"/>
        <v>0</v>
      </c>
      <c r="AO211" s="26" t="str">
        <f t="shared" si="86"/>
        <v/>
      </c>
      <c r="AP211" s="26" t="str">
        <f t="shared" si="87"/>
        <v>pre-launch</v>
      </c>
      <c r="AQ211" s="18"/>
      <c r="AR211" s="18"/>
    </row>
    <row r="212" spans="1:44" x14ac:dyDescent="0.25">
      <c r="A212" s="43">
        <v>45273</v>
      </c>
      <c r="B212" s="17">
        <v>378069087.56999999</v>
      </c>
      <c r="C212" s="17">
        <v>0</v>
      </c>
      <c r="D212" s="18"/>
      <c r="E212" s="19">
        <f t="shared" si="66"/>
        <v>378069087.56999999</v>
      </c>
      <c r="F212" s="19">
        <f t="shared" si="67"/>
        <v>378069087.56999999</v>
      </c>
      <c r="G212" s="20">
        <f t="shared" si="68"/>
        <v>0</v>
      </c>
      <c r="H212" s="18"/>
      <c r="I212" s="18"/>
      <c r="J212" s="18"/>
      <c r="K212" s="19">
        <f t="shared" si="69"/>
        <v>0</v>
      </c>
      <c r="L212" s="18"/>
      <c r="M212" s="18"/>
      <c r="N212" s="18"/>
      <c r="O212" s="19">
        <f t="shared" si="70"/>
        <v>0</v>
      </c>
      <c r="P212" s="21">
        <f t="shared" si="71"/>
        <v>0</v>
      </c>
      <c r="Q212" s="18"/>
      <c r="R212" s="18"/>
      <c r="S212" s="19">
        <f t="shared" si="72"/>
        <v>0</v>
      </c>
      <c r="T212" s="20">
        <f t="shared" si="73"/>
        <v>0.03</v>
      </c>
      <c r="U212" s="19">
        <f t="shared" si="74"/>
        <v>0</v>
      </c>
      <c r="V212" s="18"/>
      <c r="W212" s="19">
        <f t="shared" si="75"/>
        <v>0</v>
      </c>
      <c r="X212" s="19">
        <f t="shared" si="76"/>
        <v>0</v>
      </c>
      <c r="Y212" s="18"/>
      <c r="Z212" s="18"/>
      <c r="AA212" s="19">
        <f t="shared" si="77"/>
        <v>0</v>
      </c>
      <c r="AB212" s="17">
        <v>0</v>
      </c>
      <c r="AC212" s="18"/>
      <c r="AD212" s="18"/>
      <c r="AE212" s="22">
        <f t="shared" si="78"/>
        <v>0</v>
      </c>
      <c r="AF212" s="23">
        <f t="shared" si="79"/>
        <v>0</v>
      </c>
      <c r="AG212" s="23">
        <f t="shared" si="80"/>
        <v>0</v>
      </c>
      <c r="AH212" s="18"/>
      <c r="AI212" s="24">
        <f t="shared" si="81"/>
        <v>0</v>
      </c>
      <c r="AJ212" s="25">
        <v>0</v>
      </c>
      <c r="AK212" s="24">
        <f t="shared" si="82"/>
        <v>0</v>
      </c>
      <c r="AL212" s="22">
        <f t="shared" si="83"/>
        <v>0</v>
      </c>
      <c r="AM212" s="22">
        <f t="shared" si="84"/>
        <v>0</v>
      </c>
      <c r="AN212" s="22">
        <f t="shared" si="85"/>
        <v>0</v>
      </c>
      <c r="AO212" s="26" t="str">
        <f t="shared" si="86"/>
        <v/>
      </c>
      <c r="AP212" s="26" t="str">
        <f t="shared" si="87"/>
        <v>pre-launch</v>
      </c>
      <c r="AQ212" s="18"/>
      <c r="AR212" s="18"/>
    </row>
    <row r="213" spans="1:44" x14ac:dyDescent="0.25">
      <c r="A213" s="43">
        <v>45274</v>
      </c>
      <c r="B213" s="17">
        <v>429353967.67000002</v>
      </c>
      <c r="C213" s="17">
        <v>0</v>
      </c>
      <c r="D213" s="18"/>
      <c r="E213" s="19">
        <f t="shared" si="66"/>
        <v>429353967.67000002</v>
      </c>
      <c r="F213" s="19">
        <f t="shared" si="67"/>
        <v>429353967.67000002</v>
      </c>
      <c r="G213" s="20">
        <f t="shared" si="68"/>
        <v>0</v>
      </c>
      <c r="H213" s="18"/>
      <c r="I213" s="18"/>
      <c r="J213" s="18"/>
      <c r="K213" s="19">
        <f t="shared" si="69"/>
        <v>0</v>
      </c>
      <c r="L213" s="18"/>
      <c r="M213" s="18"/>
      <c r="N213" s="18"/>
      <c r="O213" s="19">
        <f t="shared" si="70"/>
        <v>0</v>
      </c>
      <c r="P213" s="21">
        <f t="shared" si="71"/>
        <v>0</v>
      </c>
      <c r="Q213" s="18"/>
      <c r="R213" s="18"/>
      <c r="S213" s="19">
        <f t="shared" si="72"/>
        <v>0</v>
      </c>
      <c r="T213" s="20">
        <f t="shared" si="73"/>
        <v>0.03</v>
      </c>
      <c r="U213" s="19">
        <f t="shared" si="74"/>
        <v>0</v>
      </c>
      <c r="V213" s="18"/>
      <c r="W213" s="19">
        <f t="shared" si="75"/>
        <v>0</v>
      </c>
      <c r="X213" s="19">
        <f t="shared" si="76"/>
        <v>0</v>
      </c>
      <c r="Y213" s="18"/>
      <c r="Z213" s="18"/>
      <c r="AA213" s="19">
        <f t="shared" si="77"/>
        <v>0</v>
      </c>
      <c r="AB213" s="17">
        <v>0</v>
      </c>
      <c r="AC213" s="18"/>
      <c r="AD213" s="18"/>
      <c r="AE213" s="22">
        <f t="shared" si="78"/>
        <v>0</v>
      </c>
      <c r="AF213" s="23">
        <f t="shared" si="79"/>
        <v>0</v>
      </c>
      <c r="AG213" s="23">
        <f t="shared" si="80"/>
        <v>0</v>
      </c>
      <c r="AH213" s="18"/>
      <c r="AI213" s="24">
        <f t="shared" si="81"/>
        <v>0</v>
      </c>
      <c r="AJ213" s="25">
        <v>0</v>
      </c>
      <c r="AK213" s="24">
        <f t="shared" si="82"/>
        <v>0</v>
      </c>
      <c r="AL213" s="22">
        <f t="shared" si="83"/>
        <v>0</v>
      </c>
      <c r="AM213" s="22">
        <f t="shared" si="84"/>
        <v>0</v>
      </c>
      <c r="AN213" s="22">
        <f t="shared" si="85"/>
        <v>0</v>
      </c>
      <c r="AO213" s="26" t="str">
        <f t="shared" si="86"/>
        <v/>
      </c>
      <c r="AP213" s="26" t="str">
        <f t="shared" si="87"/>
        <v>pre-launch</v>
      </c>
      <c r="AQ213" s="18"/>
      <c r="AR213" s="18"/>
    </row>
    <row r="214" spans="1:44" x14ac:dyDescent="0.25">
      <c r="A214" s="43">
        <v>45275</v>
      </c>
      <c r="B214" s="17">
        <v>297849877.87</v>
      </c>
      <c r="C214" s="17">
        <v>0</v>
      </c>
      <c r="D214" s="18"/>
      <c r="E214" s="19">
        <f t="shared" si="66"/>
        <v>297849877.87</v>
      </c>
      <c r="F214" s="19">
        <f t="shared" si="67"/>
        <v>297849877.87</v>
      </c>
      <c r="G214" s="20">
        <f t="shared" si="68"/>
        <v>0</v>
      </c>
      <c r="H214" s="18"/>
      <c r="I214" s="18"/>
      <c r="J214" s="18"/>
      <c r="K214" s="19">
        <f t="shared" si="69"/>
        <v>0</v>
      </c>
      <c r="L214" s="18"/>
      <c r="M214" s="18"/>
      <c r="N214" s="18"/>
      <c r="O214" s="19">
        <f t="shared" si="70"/>
        <v>0</v>
      </c>
      <c r="P214" s="21">
        <f t="shared" si="71"/>
        <v>0</v>
      </c>
      <c r="Q214" s="18"/>
      <c r="R214" s="18"/>
      <c r="S214" s="19">
        <f t="shared" si="72"/>
        <v>0</v>
      </c>
      <c r="T214" s="20">
        <f t="shared" si="73"/>
        <v>0.03</v>
      </c>
      <c r="U214" s="19">
        <f t="shared" si="74"/>
        <v>0</v>
      </c>
      <c r="V214" s="18"/>
      <c r="W214" s="19">
        <f t="shared" si="75"/>
        <v>0</v>
      </c>
      <c r="X214" s="19">
        <f t="shared" si="76"/>
        <v>0</v>
      </c>
      <c r="Y214" s="18"/>
      <c r="Z214" s="18"/>
      <c r="AA214" s="19">
        <f t="shared" si="77"/>
        <v>0</v>
      </c>
      <c r="AB214" s="17">
        <v>0</v>
      </c>
      <c r="AC214" s="18"/>
      <c r="AD214" s="18"/>
      <c r="AE214" s="22">
        <f t="shared" si="78"/>
        <v>0</v>
      </c>
      <c r="AF214" s="23">
        <f t="shared" si="79"/>
        <v>0</v>
      </c>
      <c r="AG214" s="23">
        <f t="shared" si="80"/>
        <v>0</v>
      </c>
      <c r="AH214" s="18"/>
      <c r="AI214" s="24">
        <f t="shared" si="81"/>
        <v>0</v>
      </c>
      <c r="AJ214" s="25">
        <v>0</v>
      </c>
      <c r="AK214" s="24">
        <f t="shared" si="82"/>
        <v>0</v>
      </c>
      <c r="AL214" s="22">
        <f t="shared" si="83"/>
        <v>0</v>
      </c>
      <c r="AM214" s="22">
        <f t="shared" si="84"/>
        <v>0</v>
      </c>
      <c r="AN214" s="22">
        <f t="shared" si="85"/>
        <v>0</v>
      </c>
      <c r="AO214" s="26" t="str">
        <f t="shared" si="86"/>
        <v/>
      </c>
      <c r="AP214" s="26" t="str">
        <f t="shared" si="87"/>
        <v>pre-launch</v>
      </c>
      <c r="AQ214" s="18"/>
      <c r="AR214" s="18"/>
    </row>
    <row r="215" spans="1:44" x14ac:dyDescent="0.25">
      <c r="A215" s="43">
        <v>45276</v>
      </c>
      <c r="B215" s="17">
        <v>214925917.74000001</v>
      </c>
      <c r="C215" s="17">
        <v>0</v>
      </c>
      <c r="D215" s="18"/>
      <c r="E215" s="19">
        <f t="shared" si="66"/>
        <v>214925917.74000001</v>
      </c>
      <c r="F215" s="19">
        <f t="shared" si="67"/>
        <v>214925917.74000001</v>
      </c>
      <c r="G215" s="20">
        <f t="shared" si="68"/>
        <v>0</v>
      </c>
      <c r="H215" s="18"/>
      <c r="I215" s="18"/>
      <c r="J215" s="18"/>
      <c r="K215" s="19">
        <f t="shared" si="69"/>
        <v>0</v>
      </c>
      <c r="L215" s="18"/>
      <c r="M215" s="18"/>
      <c r="N215" s="18"/>
      <c r="O215" s="19">
        <f t="shared" si="70"/>
        <v>0</v>
      </c>
      <c r="P215" s="21">
        <f t="shared" si="71"/>
        <v>0</v>
      </c>
      <c r="Q215" s="18"/>
      <c r="R215" s="18"/>
      <c r="S215" s="19">
        <f t="shared" si="72"/>
        <v>0</v>
      </c>
      <c r="T215" s="20">
        <f t="shared" si="73"/>
        <v>0.03</v>
      </c>
      <c r="U215" s="19">
        <f t="shared" si="74"/>
        <v>0</v>
      </c>
      <c r="V215" s="18"/>
      <c r="W215" s="19">
        <f t="shared" si="75"/>
        <v>0</v>
      </c>
      <c r="X215" s="19">
        <f t="shared" si="76"/>
        <v>0</v>
      </c>
      <c r="Y215" s="18"/>
      <c r="Z215" s="18"/>
      <c r="AA215" s="19">
        <f t="shared" si="77"/>
        <v>0</v>
      </c>
      <c r="AB215" s="17">
        <v>0</v>
      </c>
      <c r="AC215" s="18"/>
      <c r="AD215" s="18"/>
      <c r="AE215" s="22">
        <f t="shared" si="78"/>
        <v>0</v>
      </c>
      <c r="AF215" s="23">
        <f t="shared" si="79"/>
        <v>0</v>
      </c>
      <c r="AG215" s="23">
        <f t="shared" si="80"/>
        <v>0</v>
      </c>
      <c r="AH215" s="18"/>
      <c r="AI215" s="24">
        <f t="shared" si="81"/>
        <v>0</v>
      </c>
      <c r="AJ215" s="25">
        <v>0</v>
      </c>
      <c r="AK215" s="24">
        <f t="shared" si="82"/>
        <v>0</v>
      </c>
      <c r="AL215" s="22">
        <f t="shared" si="83"/>
        <v>0</v>
      </c>
      <c r="AM215" s="22">
        <f t="shared" si="84"/>
        <v>0</v>
      </c>
      <c r="AN215" s="22">
        <f t="shared" si="85"/>
        <v>0</v>
      </c>
      <c r="AO215" s="26" t="str">
        <f t="shared" si="86"/>
        <v/>
      </c>
      <c r="AP215" s="26" t="str">
        <f t="shared" si="87"/>
        <v>pre-launch</v>
      </c>
      <c r="AQ215" s="18"/>
      <c r="AR215" s="18"/>
    </row>
    <row r="216" spans="1:44" x14ac:dyDescent="0.25">
      <c r="A216" s="43">
        <v>45277</v>
      </c>
      <c r="B216" s="17">
        <v>212845397.09</v>
      </c>
      <c r="C216" s="17">
        <v>0</v>
      </c>
      <c r="D216" s="18"/>
      <c r="E216" s="19">
        <f t="shared" si="66"/>
        <v>212845397.09</v>
      </c>
      <c r="F216" s="19">
        <f t="shared" si="67"/>
        <v>212845397.09</v>
      </c>
      <c r="G216" s="20">
        <f t="shared" si="68"/>
        <v>0</v>
      </c>
      <c r="H216" s="18"/>
      <c r="I216" s="18"/>
      <c r="J216" s="18"/>
      <c r="K216" s="19">
        <f t="shared" si="69"/>
        <v>0</v>
      </c>
      <c r="L216" s="18"/>
      <c r="M216" s="18"/>
      <c r="N216" s="18"/>
      <c r="O216" s="19">
        <f t="shared" si="70"/>
        <v>0</v>
      </c>
      <c r="P216" s="21">
        <f t="shared" si="71"/>
        <v>0</v>
      </c>
      <c r="Q216" s="18"/>
      <c r="R216" s="18"/>
      <c r="S216" s="19">
        <f t="shared" si="72"/>
        <v>0</v>
      </c>
      <c r="T216" s="20">
        <f t="shared" si="73"/>
        <v>0.03</v>
      </c>
      <c r="U216" s="19">
        <f t="shared" si="74"/>
        <v>0</v>
      </c>
      <c r="V216" s="18"/>
      <c r="W216" s="19">
        <f t="shared" si="75"/>
        <v>0</v>
      </c>
      <c r="X216" s="19">
        <f t="shared" si="76"/>
        <v>0</v>
      </c>
      <c r="Y216" s="18"/>
      <c r="Z216" s="18"/>
      <c r="AA216" s="19">
        <f t="shared" si="77"/>
        <v>0</v>
      </c>
      <c r="AB216" s="17">
        <v>0</v>
      </c>
      <c r="AC216" s="18"/>
      <c r="AD216" s="18"/>
      <c r="AE216" s="22">
        <f t="shared" si="78"/>
        <v>0</v>
      </c>
      <c r="AF216" s="23">
        <f t="shared" si="79"/>
        <v>0</v>
      </c>
      <c r="AG216" s="23">
        <f t="shared" si="80"/>
        <v>0</v>
      </c>
      <c r="AH216" s="18"/>
      <c r="AI216" s="24">
        <f t="shared" si="81"/>
        <v>0</v>
      </c>
      <c r="AJ216" s="25">
        <v>0</v>
      </c>
      <c r="AK216" s="24">
        <f t="shared" si="82"/>
        <v>0</v>
      </c>
      <c r="AL216" s="22">
        <f t="shared" si="83"/>
        <v>0</v>
      </c>
      <c r="AM216" s="22">
        <f t="shared" si="84"/>
        <v>0</v>
      </c>
      <c r="AN216" s="22">
        <f t="shared" si="85"/>
        <v>0</v>
      </c>
      <c r="AO216" s="26" t="str">
        <f t="shared" si="86"/>
        <v/>
      </c>
      <c r="AP216" s="26" t="str">
        <f t="shared" si="87"/>
        <v>pre-launch</v>
      </c>
      <c r="AQ216" s="18"/>
      <c r="AR216" s="18"/>
    </row>
    <row r="217" spans="1:44" x14ac:dyDescent="0.25">
      <c r="A217" s="43">
        <v>45278</v>
      </c>
      <c r="B217" s="17">
        <v>355925648.38</v>
      </c>
      <c r="C217" s="17">
        <v>0</v>
      </c>
      <c r="D217" s="18"/>
      <c r="E217" s="19">
        <f t="shared" si="66"/>
        <v>355925648.38</v>
      </c>
      <c r="F217" s="19">
        <f t="shared" si="67"/>
        <v>355925648.38</v>
      </c>
      <c r="G217" s="20">
        <f t="shared" si="68"/>
        <v>0</v>
      </c>
      <c r="H217" s="18"/>
      <c r="I217" s="18"/>
      <c r="J217" s="18"/>
      <c r="K217" s="19">
        <f t="shared" si="69"/>
        <v>0</v>
      </c>
      <c r="L217" s="18"/>
      <c r="M217" s="18"/>
      <c r="N217" s="18"/>
      <c r="O217" s="19">
        <f t="shared" si="70"/>
        <v>0</v>
      </c>
      <c r="P217" s="21">
        <f t="shared" si="71"/>
        <v>0</v>
      </c>
      <c r="Q217" s="18"/>
      <c r="R217" s="18"/>
      <c r="S217" s="19">
        <f t="shared" si="72"/>
        <v>0</v>
      </c>
      <c r="T217" s="20">
        <f t="shared" si="73"/>
        <v>0.03</v>
      </c>
      <c r="U217" s="19">
        <f t="shared" si="74"/>
        <v>0</v>
      </c>
      <c r="V217" s="18"/>
      <c r="W217" s="19">
        <f t="shared" si="75"/>
        <v>0</v>
      </c>
      <c r="X217" s="19">
        <f t="shared" si="76"/>
        <v>0</v>
      </c>
      <c r="Y217" s="18"/>
      <c r="Z217" s="18"/>
      <c r="AA217" s="19">
        <f t="shared" si="77"/>
        <v>0</v>
      </c>
      <c r="AB217" s="17">
        <v>0</v>
      </c>
      <c r="AC217" s="18"/>
      <c r="AD217" s="18"/>
      <c r="AE217" s="22">
        <f t="shared" si="78"/>
        <v>0</v>
      </c>
      <c r="AF217" s="23">
        <f t="shared" si="79"/>
        <v>0</v>
      </c>
      <c r="AG217" s="23">
        <f t="shared" si="80"/>
        <v>0</v>
      </c>
      <c r="AH217" s="18"/>
      <c r="AI217" s="24">
        <f t="shared" si="81"/>
        <v>0</v>
      </c>
      <c r="AJ217" s="25">
        <v>0</v>
      </c>
      <c r="AK217" s="24">
        <f t="shared" si="82"/>
        <v>0</v>
      </c>
      <c r="AL217" s="22">
        <f t="shared" si="83"/>
        <v>0</v>
      </c>
      <c r="AM217" s="22">
        <f t="shared" si="84"/>
        <v>0</v>
      </c>
      <c r="AN217" s="22">
        <f t="shared" si="85"/>
        <v>0</v>
      </c>
      <c r="AO217" s="26" t="str">
        <f t="shared" si="86"/>
        <v/>
      </c>
      <c r="AP217" s="26" t="str">
        <f t="shared" si="87"/>
        <v>pre-launch</v>
      </c>
      <c r="AQ217" s="18"/>
      <c r="AR217" s="18"/>
    </row>
    <row r="218" spans="1:44" x14ac:dyDescent="0.25">
      <c r="A218" s="43">
        <v>45279</v>
      </c>
      <c r="B218" s="17">
        <v>256377965.68000001</v>
      </c>
      <c r="C218" s="17">
        <v>0</v>
      </c>
      <c r="D218" s="18"/>
      <c r="E218" s="19">
        <f t="shared" si="66"/>
        <v>256377965.68000001</v>
      </c>
      <c r="F218" s="19">
        <f t="shared" si="67"/>
        <v>256377965.68000001</v>
      </c>
      <c r="G218" s="20">
        <f t="shared" si="68"/>
        <v>0</v>
      </c>
      <c r="H218" s="18"/>
      <c r="I218" s="18"/>
      <c r="J218" s="18"/>
      <c r="K218" s="19">
        <f t="shared" si="69"/>
        <v>0</v>
      </c>
      <c r="L218" s="18"/>
      <c r="M218" s="18"/>
      <c r="N218" s="18"/>
      <c r="O218" s="19">
        <f t="shared" si="70"/>
        <v>0</v>
      </c>
      <c r="P218" s="21">
        <f t="shared" si="71"/>
        <v>0</v>
      </c>
      <c r="Q218" s="18"/>
      <c r="R218" s="18"/>
      <c r="S218" s="19">
        <f t="shared" si="72"/>
        <v>0</v>
      </c>
      <c r="T218" s="20">
        <f t="shared" si="73"/>
        <v>0.03</v>
      </c>
      <c r="U218" s="19">
        <f t="shared" si="74"/>
        <v>0</v>
      </c>
      <c r="V218" s="18"/>
      <c r="W218" s="19">
        <f t="shared" si="75"/>
        <v>0</v>
      </c>
      <c r="X218" s="19">
        <f t="shared" si="76"/>
        <v>0</v>
      </c>
      <c r="Y218" s="18"/>
      <c r="Z218" s="18"/>
      <c r="AA218" s="19">
        <f t="shared" si="77"/>
        <v>0</v>
      </c>
      <c r="AB218" s="17">
        <v>0</v>
      </c>
      <c r="AC218" s="18"/>
      <c r="AD218" s="18"/>
      <c r="AE218" s="22">
        <f t="shared" si="78"/>
        <v>0</v>
      </c>
      <c r="AF218" s="23">
        <f t="shared" si="79"/>
        <v>0</v>
      </c>
      <c r="AG218" s="23">
        <f t="shared" si="80"/>
        <v>0</v>
      </c>
      <c r="AH218" s="18"/>
      <c r="AI218" s="24">
        <f t="shared" si="81"/>
        <v>0</v>
      </c>
      <c r="AJ218" s="25">
        <v>0</v>
      </c>
      <c r="AK218" s="24">
        <f t="shared" si="82"/>
        <v>0</v>
      </c>
      <c r="AL218" s="22">
        <f t="shared" si="83"/>
        <v>0</v>
      </c>
      <c r="AM218" s="22">
        <f t="shared" si="84"/>
        <v>0</v>
      </c>
      <c r="AN218" s="22">
        <f t="shared" si="85"/>
        <v>0</v>
      </c>
      <c r="AO218" s="26" t="str">
        <f t="shared" si="86"/>
        <v/>
      </c>
      <c r="AP218" s="26" t="str">
        <f t="shared" si="87"/>
        <v>pre-launch</v>
      </c>
      <c r="AQ218" s="18"/>
      <c r="AR218" s="18"/>
    </row>
    <row r="219" spans="1:44" x14ac:dyDescent="0.25">
      <c r="A219" s="43">
        <v>45280</v>
      </c>
      <c r="B219" s="17">
        <v>347076656.25999999</v>
      </c>
      <c r="C219" s="17">
        <v>0</v>
      </c>
      <c r="D219" s="18"/>
      <c r="E219" s="19">
        <f t="shared" si="66"/>
        <v>347076656.25999999</v>
      </c>
      <c r="F219" s="19">
        <f t="shared" si="67"/>
        <v>347076656.25999999</v>
      </c>
      <c r="G219" s="20">
        <f t="shared" si="68"/>
        <v>0</v>
      </c>
      <c r="H219" s="18"/>
      <c r="I219" s="18"/>
      <c r="J219" s="18"/>
      <c r="K219" s="19">
        <f t="shared" si="69"/>
        <v>0</v>
      </c>
      <c r="L219" s="18"/>
      <c r="M219" s="18"/>
      <c r="N219" s="18"/>
      <c r="O219" s="19">
        <f t="shared" si="70"/>
        <v>0</v>
      </c>
      <c r="P219" s="21">
        <f t="shared" si="71"/>
        <v>0</v>
      </c>
      <c r="Q219" s="18"/>
      <c r="R219" s="18"/>
      <c r="S219" s="19">
        <f t="shared" si="72"/>
        <v>0</v>
      </c>
      <c r="T219" s="20">
        <f t="shared" si="73"/>
        <v>0.03</v>
      </c>
      <c r="U219" s="19">
        <f t="shared" si="74"/>
        <v>0</v>
      </c>
      <c r="V219" s="18"/>
      <c r="W219" s="19">
        <f t="shared" si="75"/>
        <v>0</v>
      </c>
      <c r="X219" s="19">
        <f t="shared" si="76"/>
        <v>0</v>
      </c>
      <c r="Y219" s="18"/>
      <c r="Z219" s="18"/>
      <c r="AA219" s="19">
        <f t="shared" si="77"/>
        <v>0</v>
      </c>
      <c r="AB219" s="17">
        <v>0</v>
      </c>
      <c r="AC219" s="18"/>
      <c r="AD219" s="18"/>
      <c r="AE219" s="22">
        <f t="shared" si="78"/>
        <v>0</v>
      </c>
      <c r="AF219" s="23">
        <f t="shared" si="79"/>
        <v>0</v>
      </c>
      <c r="AG219" s="23">
        <f t="shared" si="80"/>
        <v>0</v>
      </c>
      <c r="AH219" s="18"/>
      <c r="AI219" s="24">
        <f t="shared" si="81"/>
        <v>0</v>
      </c>
      <c r="AJ219" s="25">
        <v>0</v>
      </c>
      <c r="AK219" s="24">
        <f t="shared" si="82"/>
        <v>0</v>
      </c>
      <c r="AL219" s="22">
        <f t="shared" si="83"/>
        <v>0</v>
      </c>
      <c r="AM219" s="22">
        <f t="shared" si="84"/>
        <v>0</v>
      </c>
      <c r="AN219" s="22">
        <f t="shared" si="85"/>
        <v>0</v>
      </c>
      <c r="AO219" s="26" t="str">
        <f t="shared" si="86"/>
        <v/>
      </c>
      <c r="AP219" s="26" t="str">
        <f t="shared" si="87"/>
        <v>pre-launch</v>
      </c>
      <c r="AQ219" s="18"/>
      <c r="AR219" s="18"/>
    </row>
    <row r="220" spans="1:44" x14ac:dyDescent="0.25">
      <c r="A220" s="43">
        <v>45281</v>
      </c>
      <c r="B220" s="17">
        <v>251448211.55000001</v>
      </c>
      <c r="C220" s="17">
        <v>0</v>
      </c>
      <c r="D220" s="18"/>
      <c r="E220" s="19">
        <f t="shared" si="66"/>
        <v>251448211.55000001</v>
      </c>
      <c r="F220" s="19">
        <f t="shared" si="67"/>
        <v>251448211.55000001</v>
      </c>
      <c r="G220" s="20">
        <f t="shared" si="68"/>
        <v>0</v>
      </c>
      <c r="H220" s="18"/>
      <c r="I220" s="18"/>
      <c r="J220" s="18"/>
      <c r="K220" s="19">
        <f t="shared" si="69"/>
        <v>0</v>
      </c>
      <c r="L220" s="18"/>
      <c r="M220" s="18"/>
      <c r="N220" s="18"/>
      <c r="O220" s="19">
        <f t="shared" si="70"/>
        <v>0</v>
      </c>
      <c r="P220" s="21">
        <f t="shared" si="71"/>
        <v>0</v>
      </c>
      <c r="Q220" s="18"/>
      <c r="R220" s="18"/>
      <c r="S220" s="19">
        <f t="shared" si="72"/>
        <v>0</v>
      </c>
      <c r="T220" s="20">
        <f t="shared" si="73"/>
        <v>0.03</v>
      </c>
      <c r="U220" s="19">
        <f t="shared" si="74"/>
        <v>0</v>
      </c>
      <c r="V220" s="18"/>
      <c r="W220" s="19">
        <f t="shared" si="75"/>
        <v>0</v>
      </c>
      <c r="X220" s="19">
        <f t="shared" si="76"/>
        <v>0</v>
      </c>
      <c r="Y220" s="18"/>
      <c r="Z220" s="18"/>
      <c r="AA220" s="19">
        <f t="shared" si="77"/>
        <v>0</v>
      </c>
      <c r="AB220" s="17">
        <v>0</v>
      </c>
      <c r="AC220" s="18"/>
      <c r="AD220" s="18"/>
      <c r="AE220" s="22">
        <f t="shared" si="78"/>
        <v>0</v>
      </c>
      <c r="AF220" s="23">
        <f t="shared" si="79"/>
        <v>0</v>
      </c>
      <c r="AG220" s="23">
        <f t="shared" si="80"/>
        <v>0</v>
      </c>
      <c r="AH220" s="18"/>
      <c r="AI220" s="24">
        <f t="shared" si="81"/>
        <v>0</v>
      </c>
      <c r="AJ220" s="25">
        <v>0</v>
      </c>
      <c r="AK220" s="24">
        <f t="shared" si="82"/>
        <v>0</v>
      </c>
      <c r="AL220" s="22">
        <f t="shared" si="83"/>
        <v>0</v>
      </c>
      <c r="AM220" s="22">
        <f t="shared" si="84"/>
        <v>0</v>
      </c>
      <c r="AN220" s="22">
        <f t="shared" si="85"/>
        <v>0</v>
      </c>
      <c r="AO220" s="26" t="str">
        <f t="shared" si="86"/>
        <v/>
      </c>
      <c r="AP220" s="26" t="str">
        <f t="shared" si="87"/>
        <v>pre-launch</v>
      </c>
      <c r="AQ220" s="18"/>
      <c r="AR220" s="18"/>
    </row>
    <row r="221" spans="1:44" x14ac:dyDescent="0.25">
      <c r="A221" s="43">
        <v>45282</v>
      </c>
      <c r="B221" s="17">
        <v>307616846.87</v>
      </c>
      <c r="C221" s="17">
        <v>0</v>
      </c>
      <c r="D221" s="18"/>
      <c r="E221" s="19">
        <f t="shared" si="66"/>
        <v>307616846.87</v>
      </c>
      <c r="F221" s="19">
        <f t="shared" si="67"/>
        <v>307616846.87</v>
      </c>
      <c r="G221" s="20">
        <f t="shared" si="68"/>
        <v>0</v>
      </c>
      <c r="H221" s="18"/>
      <c r="I221" s="18"/>
      <c r="J221" s="18"/>
      <c r="K221" s="19">
        <f t="shared" si="69"/>
        <v>0</v>
      </c>
      <c r="L221" s="18"/>
      <c r="M221" s="18"/>
      <c r="N221" s="18"/>
      <c r="O221" s="19">
        <f t="shared" si="70"/>
        <v>0</v>
      </c>
      <c r="P221" s="21">
        <f t="shared" si="71"/>
        <v>0</v>
      </c>
      <c r="Q221" s="18"/>
      <c r="R221" s="18"/>
      <c r="S221" s="19">
        <f t="shared" si="72"/>
        <v>0</v>
      </c>
      <c r="T221" s="20">
        <f t="shared" si="73"/>
        <v>0.03</v>
      </c>
      <c r="U221" s="19">
        <f t="shared" si="74"/>
        <v>0</v>
      </c>
      <c r="V221" s="18"/>
      <c r="W221" s="19">
        <f t="shared" si="75"/>
        <v>0</v>
      </c>
      <c r="X221" s="19">
        <f t="shared" si="76"/>
        <v>0</v>
      </c>
      <c r="Y221" s="18"/>
      <c r="Z221" s="18"/>
      <c r="AA221" s="19">
        <f t="shared" si="77"/>
        <v>0</v>
      </c>
      <c r="AB221" s="17">
        <v>0</v>
      </c>
      <c r="AC221" s="18"/>
      <c r="AD221" s="18"/>
      <c r="AE221" s="22">
        <f t="shared" si="78"/>
        <v>0</v>
      </c>
      <c r="AF221" s="23">
        <f t="shared" si="79"/>
        <v>0</v>
      </c>
      <c r="AG221" s="23">
        <f t="shared" si="80"/>
        <v>0</v>
      </c>
      <c r="AH221" s="18"/>
      <c r="AI221" s="24">
        <f t="shared" si="81"/>
        <v>0</v>
      </c>
      <c r="AJ221" s="25">
        <v>0</v>
      </c>
      <c r="AK221" s="24">
        <f t="shared" si="82"/>
        <v>0</v>
      </c>
      <c r="AL221" s="22">
        <f t="shared" si="83"/>
        <v>0</v>
      </c>
      <c r="AM221" s="22">
        <f t="shared" si="84"/>
        <v>0</v>
      </c>
      <c r="AN221" s="22">
        <f t="shared" si="85"/>
        <v>0</v>
      </c>
      <c r="AO221" s="26" t="str">
        <f t="shared" si="86"/>
        <v/>
      </c>
      <c r="AP221" s="26" t="str">
        <f t="shared" si="87"/>
        <v>pre-launch</v>
      </c>
      <c r="AQ221" s="18"/>
      <c r="AR221" s="18"/>
    </row>
    <row r="222" spans="1:44" x14ac:dyDescent="0.25">
      <c r="A222" s="43">
        <v>45283</v>
      </c>
      <c r="B222" s="17">
        <v>210086175.47999999</v>
      </c>
      <c r="C222" s="17">
        <v>0</v>
      </c>
      <c r="D222" s="18"/>
      <c r="E222" s="19">
        <f t="shared" si="66"/>
        <v>210086175.47999999</v>
      </c>
      <c r="F222" s="19">
        <f t="shared" si="67"/>
        <v>210086175.47999999</v>
      </c>
      <c r="G222" s="20">
        <f t="shared" si="68"/>
        <v>0</v>
      </c>
      <c r="H222" s="18"/>
      <c r="I222" s="18"/>
      <c r="J222" s="18"/>
      <c r="K222" s="19">
        <f t="shared" si="69"/>
        <v>0</v>
      </c>
      <c r="L222" s="18"/>
      <c r="M222" s="18"/>
      <c r="N222" s="18"/>
      <c r="O222" s="19">
        <f t="shared" si="70"/>
        <v>0</v>
      </c>
      <c r="P222" s="21">
        <f t="shared" si="71"/>
        <v>0</v>
      </c>
      <c r="Q222" s="18"/>
      <c r="R222" s="18"/>
      <c r="S222" s="19">
        <f t="shared" si="72"/>
        <v>0</v>
      </c>
      <c r="T222" s="20">
        <f t="shared" si="73"/>
        <v>0.03</v>
      </c>
      <c r="U222" s="19">
        <f t="shared" si="74"/>
        <v>0</v>
      </c>
      <c r="V222" s="18"/>
      <c r="W222" s="19">
        <f t="shared" si="75"/>
        <v>0</v>
      </c>
      <c r="X222" s="19">
        <f t="shared" si="76"/>
        <v>0</v>
      </c>
      <c r="Y222" s="18"/>
      <c r="Z222" s="18"/>
      <c r="AA222" s="19">
        <f t="shared" si="77"/>
        <v>0</v>
      </c>
      <c r="AB222" s="17">
        <v>0</v>
      </c>
      <c r="AC222" s="18"/>
      <c r="AD222" s="18"/>
      <c r="AE222" s="22">
        <f t="shared" si="78"/>
        <v>0</v>
      </c>
      <c r="AF222" s="23">
        <f t="shared" si="79"/>
        <v>0</v>
      </c>
      <c r="AG222" s="23">
        <f t="shared" si="80"/>
        <v>0</v>
      </c>
      <c r="AH222" s="18"/>
      <c r="AI222" s="24">
        <f t="shared" si="81"/>
        <v>0</v>
      </c>
      <c r="AJ222" s="25">
        <v>0</v>
      </c>
      <c r="AK222" s="24">
        <f t="shared" si="82"/>
        <v>0</v>
      </c>
      <c r="AL222" s="22">
        <f t="shared" si="83"/>
        <v>0</v>
      </c>
      <c r="AM222" s="22">
        <f t="shared" si="84"/>
        <v>0</v>
      </c>
      <c r="AN222" s="22">
        <f t="shared" si="85"/>
        <v>0</v>
      </c>
      <c r="AO222" s="26" t="str">
        <f t="shared" si="86"/>
        <v/>
      </c>
      <c r="AP222" s="26" t="str">
        <f t="shared" si="87"/>
        <v>pre-launch</v>
      </c>
      <c r="AQ222" s="18"/>
      <c r="AR222" s="18"/>
    </row>
    <row r="223" spans="1:44" x14ac:dyDescent="0.25">
      <c r="A223" s="43">
        <v>45284</v>
      </c>
      <c r="B223" s="17">
        <v>288838605.27999997</v>
      </c>
      <c r="C223" s="17">
        <v>0</v>
      </c>
      <c r="D223" s="18"/>
      <c r="E223" s="19">
        <f t="shared" si="66"/>
        <v>288838605.27999997</v>
      </c>
      <c r="F223" s="19">
        <f t="shared" si="67"/>
        <v>288838605.27999997</v>
      </c>
      <c r="G223" s="20">
        <f t="shared" si="68"/>
        <v>0</v>
      </c>
      <c r="H223" s="18"/>
      <c r="I223" s="18"/>
      <c r="J223" s="18"/>
      <c r="K223" s="19">
        <f t="shared" si="69"/>
        <v>0</v>
      </c>
      <c r="L223" s="18"/>
      <c r="M223" s="18"/>
      <c r="N223" s="18"/>
      <c r="O223" s="19">
        <f t="shared" si="70"/>
        <v>0</v>
      </c>
      <c r="P223" s="21">
        <f t="shared" si="71"/>
        <v>0</v>
      </c>
      <c r="Q223" s="18"/>
      <c r="R223" s="18"/>
      <c r="S223" s="19">
        <f t="shared" si="72"/>
        <v>0</v>
      </c>
      <c r="T223" s="20">
        <f t="shared" si="73"/>
        <v>0.03</v>
      </c>
      <c r="U223" s="19">
        <f t="shared" si="74"/>
        <v>0</v>
      </c>
      <c r="V223" s="18"/>
      <c r="W223" s="19">
        <f t="shared" si="75"/>
        <v>0</v>
      </c>
      <c r="X223" s="19">
        <f t="shared" si="76"/>
        <v>0</v>
      </c>
      <c r="Y223" s="18"/>
      <c r="Z223" s="18"/>
      <c r="AA223" s="19">
        <f t="shared" si="77"/>
        <v>0</v>
      </c>
      <c r="AB223" s="17">
        <v>0</v>
      </c>
      <c r="AC223" s="18"/>
      <c r="AD223" s="18"/>
      <c r="AE223" s="22">
        <f t="shared" si="78"/>
        <v>0</v>
      </c>
      <c r="AF223" s="23">
        <f t="shared" si="79"/>
        <v>0</v>
      </c>
      <c r="AG223" s="23">
        <f t="shared" si="80"/>
        <v>0</v>
      </c>
      <c r="AH223" s="18"/>
      <c r="AI223" s="24">
        <f t="shared" si="81"/>
        <v>0</v>
      </c>
      <c r="AJ223" s="25">
        <v>0</v>
      </c>
      <c r="AK223" s="24">
        <f t="shared" si="82"/>
        <v>0</v>
      </c>
      <c r="AL223" s="22">
        <f t="shared" si="83"/>
        <v>0</v>
      </c>
      <c r="AM223" s="22">
        <f t="shared" si="84"/>
        <v>0</v>
      </c>
      <c r="AN223" s="22">
        <f t="shared" si="85"/>
        <v>0</v>
      </c>
      <c r="AO223" s="26" t="str">
        <f t="shared" si="86"/>
        <v/>
      </c>
      <c r="AP223" s="26" t="str">
        <f t="shared" si="87"/>
        <v>pre-launch</v>
      </c>
      <c r="AQ223" s="18"/>
      <c r="AR223" s="18"/>
    </row>
    <row r="224" spans="1:44" x14ac:dyDescent="0.25">
      <c r="A224" s="43">
        <v>45285</v>
      </c>
      <c r="B224" s="17">
        <v>260951489.86000001</v>
      </c>
      <c r="C224" s="17">
        <v>0</v>
      </c>
      <c r="D224" s="18"/>
      <c r="E224" s="19">
        <f t="shared" si="66"/>
        <v>260951489.86000001</v>
      </c>
      <c r="F224" s="19">
        <f t="shared" si="67"/>
        <v>260951489.86000001</v>
      </c>
      <c r="G224" s="20">
        <f t="shared" si="68"/>
        <v>0</v>
      </c>
      <c r="H224" s="18"/>
      <c r="I224" s="18"/>
      <c r="J224" s="18"/>
      <c r="K224" s="19">
        <f t="shared" si="69"/>
        <v>0</v>
      </c>
      <c r="L224" s="18"/>
      <c r="M224" s="18"/>
      <c r="N224" s="18"/>
      <c r="O224" s="19">
        <f t="shared" si="70"/>
        <v>0</v>
      </c>
      <c r="P224" s="21">
        <f t="shared" si="71"/>
        <v>0</v>
      </c>
      <c r="Q224" s="18"/>
      <c r="R224" s="18"/>
      <c r="S224" s="19">
        <f t="shared" si="72"/>
        <v>0</v>
      </c>
      <c r="T224" s="20">
        <f t="shared" si="73"/>
        <v>0.03</v>
      </c>
      <c r="U224" s="19">
        <f t="shared" si="74"/>
        <v>0</v>
      </c>
      <c r="V224" s="18"/>
      <c r="W224" s="19">
        <f t="shared" si="75"/>
        <v>0</v>
      </c>
      <c r="X224" s="19">
        <f t="shared" si="76"/>
        <v>0</v>
      </c>
      <c r="Y224" s="18"/>
      <c r="Z224" s="18"/>
      <c r="AA224" s="19">
        <f t="shared" si="77"/>
        <v>0</v>
      </c>
      <c r="AB224" s="17">
        <v>0</v>
      </c>
      <c r="AC224" s="18"/>
      <c r="AD224" s="18"/>
      <c r="AE224" s="22">
        <f t="shared" si="78"/>
        <v>0</v>
      </c>
      <c r="AF224" s="23">
        <f t="shared" si="79"/>
        <v>0</v>
      </c>
      <c r="AG224" s="23">
        <f t="shared" si="80"/>
        <v>0</v>
      </c>
      <c r="AH224" s="18"/>
      <c r="AI224" s="24">
        <f t="shared" si="81"/>
        <v>0</v>
      </c>
      <c r="AJ224" s="25">
        <v>0</v>
      </c>
      <c r="AK224" s="24">
        <f t="shared" si="82"/>
        <v>0</v>
      </c>
      <c r="AL224" s="22">
        <f t="shared" si="83"/>
        <v>0</v>
      </c>
      <c r="AM224" s="22">
        <f t="shared" si="84"/>
        <v>0</v>
      </c>
      <c r="AN224" s="22">
        <f t="shared" si="85"/>
        <v>0</v>
      </c>
      <c r="AO224" s="26" t="str">
        <f t="shared" si="86"/>
        <v/>
      </c>
      <c r="AP224" s="26" t="str">
        <f t="shared" si="87"/>
        <v>pre-launch</v>
      </c>
      <c r="AQ224" s="18"/>
      <c r="AR224" s="18"/>
    </row>
    <row r="225" spans="1:44" x14ac:dyDescent="0.25">
      <c r="A225" s="43">
        <v>45286</v>
      </c>
      <c r="B225" s="17">
        <v>395415651.94</v>
      </c>
      <c r="C225" s="17">
        <v>0</v>
      </c>
      <c r="D225" s="18"/>
      <c r="E225" s="19">
        <f t="shared" si="66"/>
        <v>395415651.94</v>
      </c>
      <c r="F225" s="19">
        <f t="shared" si="67"/>
        <v>395415651.94</v>
      </c>
      <c r="G225" s="20">
        <f t="shared" si="68"/>
        <v>0</v>
      </c>
      <c r="H225" s="18"/>
      <c r="I225" s="18"/>
      <c r="J225" s="18"/>
      <c r="K225" s="19">
        <f t="shared" si="69"/>
        <v>0</v>
      </c>
      <c r="L225" s="18"/>
      <c r="M225" s="18"/>
      <c r="N225" s="18"/>
      <c r="O225" s="19">
        <f t="shared" si="70"/>
        <v>0</v>
      </c>
      <c r="P225" s="21">
        <f t="shared" si="71"/>
        <v>0</v>
      </c>
      <c r="Q225" s="18"/>
      <c r="R225" s="18"/>
      <c r="S225" s="19">
        <f t="shared" si="72"/>
        <v>0</v>
      </c>
      <c r="T225" s="20">
        <f t="shared" si="73"/>
        <v>0.03</v>
      </c>
      <c r="U225" s="19">
        <f t="shared" si="74"/>
        <v>0</v>
      </c>
      <c r="V225" s="18"/>
      <c r="W225" s="19">
        <f t="shared" si="75"/>
        <v>0</v>
      </c>
      <c r="X225" s="19">
        <f t="shared" si="76"/>
        <v>0</v>
      </c>
      <c r="Y225" s="18"/>
      <c r="Z225" s="18"/>
      <c r="AA225" s="19">
        <f t="shared" si="77"/>
        <v>0</v>
      </c>
      <c r="AB225" s="17">
        <v>0</v>
      </c>
      <c r="AC225" s="18"/>
      <c r="AD225" s="18"/>
      <c r="AE225" s="22">
        <f t="shared" si="78"/>
        <v>0</v>
      </c>
      <c r="AF225" s="23">
        <f t="shared" si="79"/>
        <v>0</v>
      </c>
      <c r="AG225" s="23">
        <f t="shared" si="80"/>
        <v>0</v>
      </c>
      <c r="AH225" s="18"/>
      <c r="AI225" s="24">
        <f t="shared" si="81"/>
        <v>0</v>
      </c>
      <c r="AJ225" s="25">
        <v>0</v>
      </c>
      <c r="AK225" s="24">
        <f t="shared" si="82"/>
        <v>0</v>
      </c>
      <c r="AL225" s="22">
        <f t="shared" si="83"/>
        <v>0</v>
      </c>
      <c r="AM225" s="22">
        <f t="shared" si="84"/>
        <v>0</v>
      </c>
      <c r="AN225" s="22">
        <f t="shared" si="85"/>
        <v>0</v>
      </c>
      <c r="AO225" s="26" t="str">
        <f t="shared" si="86"/>
        <v/>
      </c>
      <c r="AP225" s="26" t="str">
        <f t="shared" si="87"/>
        <v>pre-launch</v>
      </c>
      <c r="AQ225" s="18"/>
      <c r="AR225" s="18"/>
    </row>
    <row r="226" spans="1:44" x14ac:dyDescent="0.25">
      <c r="A226" s="43">
        <v>45287</v>
      </c>
      <c r="B226" s="17">
        <v>312324062.32999998</v>
      </c>
      <c r="C226" s="17">
        <v>0</v>
      </c>
      <c r="D226" s="18"/>
      <c r="E226" s="19">
        <f t="shared" si="66"/>
        <v>312324062.32999998</v>
      </c>
      <c r="F226" s="19">
        <f t="shared" si="67"/>
        <v>312324062.32999998</v>
      </c>
      <c r="G226" s="20">
        <f t="shared" si="68"/>
        <v>0</v>
      </c>
      <c r="H226" s="18"/>
      <c r="I226" s="18"/>
      <c r="J226" s="18"/>
      <c r="K226" s="19">
        <f t="shared" si="69"/>
        <v>0</v>
      </c>
      <c r="L226" s="18"/>
      <c r="M226" s="18"/>
      <c r="N226" s="18"/>
      <c r="O226" s="19">
        <f t="shared" si="70"/>
        <v>0</v>
      </c>
      <c r="P226" s="21">
        <f t="shared" si="71"/>
        <v>0</v>
      </c>
      <c r="Q226" s="18"/>
      <c r="R226" s="18"/>
      <c r="S226" s="19">
        <f t="shared" si="72"/>
        <v>0</v>
      </c>
      <c r="T226" s="20">
        <f t="shared" si="73"/>
        <v>0.03</v>
      </c>
      <c r="U226" s="19">
        <f t="shared" si="74"/>
        <v>0</v>
      </c>
      <c r="V226" s="18"/>
      <c r="W226" s="19">
        <f t="shared" si="75"/>
        <v>0</v>
      </c>
      <c r="X226" s="19">
        <f t="shared" si="76"/>
        <v>0</v>
      </c>
      <c r="Y226" s="18"/>
      <c r="Z226" s="18"/>
      <c r="AA226" s="19">
        <f t="shared" si="77"/>
        <v>0</v>
      </c>
      <c r="AB226" s="17">
        <v>0</v>
      </c>
      <c r="AC226" s="18"/>
      <c r="AD226" s="18"/>
      <c r="AE226" s="22">
        <f t="shared" si="78"/>
        <v>0</v>
      </c>
      <c r="AF226" s="23">
        <f t="shared" si="79"/>
        <v>0</v>
      </c>
      <c r="AG226" s="23">
        <f t="shared" si="80"/>
        <v>0</v>
      </c>
      <c r="AH226" s="18"/>
      <c r="AI226" s="24">
        <f t="shared" si="81"/>
        <v>0</v>
      </c>
      <c r="AJ226" s="25">
        <v>0</v>
      </c>
      <c r="AK226" s="24">
        <f t="shared" si="82"/>
        <v>0</v>
      </c>
      <c r="AL226" s="22">
        <f t="shared" si="83"/>
        <v>0</v>
      </c>
      <c r="AM226" s="22">
        <f t="shared" si="84"/>
        <v>0</v>
      </c>
      <c r="AN226" s="22">
        <f t="shared" si="85"/>
        <v>0</v>
      </c>
      <c r="AO226" s="26" t="str">
        <f t="shared" si="86"/>
        <v/>
      </c>
      <c r="AP226" s="26" t="str">
        <f t="shared" si="87"/>
        <v>pre-launch</v>
      </c>
      <c r="AQ226" s="18"/>
      <c r="AR226" s="18"/>
    </row>
    <row r="227" spans="1:44" x14ac:dyDescent="0.25">
      <c r="A227" s="43">
        <v>45288</v>
      </c>
      <c r="B227" s="17">
        <v>371505384.98000002</v>
      </c>
      <c r="C227" s="17">
        <v>0</v>
      </c>
      <c r="D227" s="18"/>
      <c r="E227" s="19">
        <f t="shared" si="66"/>
        <v>371505384.98000002</v>
      </c>
      <c r="F227" s="19">
        <f t="shared" si="67"/>
        <v>371505384.98000002</v>
      </c>
      <c r="G227" s="20">
        <f t="shared" si="68"/>
        <v>0</v>
      </c>
      <c r="H227" s="18"/>
      <c r="I227" s="18"/>
      <c r="J227" s="18"/>
      <c r="K227" s="19">
        <f t="shared" si="69"/>
        <v>0</v>
      </c>
      <c r="L227" s="18"/>
      <c r="M227" s="18"/>
      <c r="N227" s="18"/>
      <c r="O227" s="19">
        <f t="shared" si="70"/>
        <v>0</v>
      </c>
      <c r="P227" s="21">
        <f t="shared" si="71"/>
        <v>0</v>
      </c>
      <c r="Q227" s="18"/>
      <c r="R227" s="18"/>
      <c r="S227" s="19">
        <f t="shared" si="72"/>
        <v>0</v>
      </c>
      <c r="T227" s="20">
        <f t="shared" si="73"/>
        <v>0.03</v>
      </c>
      <c r="U227" s="19">
        <f t="shared" si="74"/>
        <v>0</v>
      </c>
      <c r="V227" s="18"/>
      <c r="W227" s="19">
        <f t="shared" si="75"/>
        <v>0</v>
      </c>
      <c r="X227" s="19">
        <f t="shared" si="76"/>
        <v>0</v>
      </c>
      <c r="Y227" s="18"/>
      <c r="Z227" s="18"/>
      <c r="AA227" s="19">
        <f t="shared" si="77"/>
        <v>0</v>
      </c>
      <c r="AB227" s="17">
        <v>0</v>
      </c>
      <c r="AC227" s="18"/>
      <c r="AD227" s="18"/>
      <c r="AE227" s="22">
        <f t="shared" si="78"/>
        <v>0</v>
      </c>
      <c r="AF227" s="23">
        <f t="shared" si="79"/>
        <v>0</v>
      </c>
      <c r="AG227" s="23">
        <f t="shared" si="80"/>
        <v>0</v>
      </c>
      <c r="AH227" s="18"/>
      <c r="AI227" s="24">
        <f t="shared" si="81"/>
        <v>0</v>
      </c>
      <c r="AJ227" s="25">
        <v>0</v>
      </c>
      <c r="AK227" s="24">
        <f t="shared" si="82"/>
        <v>0</v>
      </c>
      <c r="AL227" s="22">
        <f t="shared" si="83"/>
        <v>0</v>
      </c>
      <c r="AM227" s="22">
        <f t="shared" si="84"/>
        <v>0</v>
      </c>
      <c r="AN227" s="22">
        <f t="shared" si="85"/>
        <v>0</v>
      </c>
      <c r="AO227" s="26" t="str">
        <f t="shared" si="86"/>
        <v/>
      </c>
      <c r="AP227" s="26" t="str">
        <f t="shared" si="87"/>
        <v>pre-launch</v>
      </c>
      <c r="AQ227" s="18"/>
      <c r="AR227" s="18"/>
    </row>
    <row r="228" spans="1:44" x14ac:dyDescent="0.25">
      <c r="A228" s="43">
        <v>45289</v>
      </c>
      <c r="B228" s="17">
        <v>446715921.04000002</v>
      </c>
      <c r="C228" s="17">
        <v>0</v>
      </c>
      <c r="D228" s="18"/>
      <c r="E228" s="19">
        <f t="shared" si="66"/>
        <v>446715921.04000002</v>
      </c>
      <c r="F228" s="19">
        <f t="shared" si="67"/>
        <v>446715921.04000002</v>
      </c>
      <c r="G228" s="20">
        <f t="shared" si="68"/>
        <v>0</v>
      </c>
      <c r="H228" s="18"/>
      <c r="I228" s="18"/>
      <c r="J228" s="18"/>
      <c r="K228" s="19">
        <f t="shared" si="69"/>
        <v>0</v>
      </c>
      <c r="L228" s="18"/>
      <c r="M228" s="18"/>
      <c r="N228" s="18"/>
      <c r="O228" s="19">
        <f t="shared" si="70"/>
        <v>0</v>
      </c>
      <c r="P228" s="21">
        <f t="shared" si="71"/>
        <v>0</v>
      </c>
      <c r="Q228" s="18"/>
      <c r="R228" s="18"/>
      <c r="S228" s="19">
        <f t="shared" si="72"/>
        <v>0</v>
      </c>
      <c r="T228" s="20">
        <f t="shared" si="73"/>
        <v>0.03</v>
      </c>
      <c r="U228" s="19">
        <f t="shared" si="74"/>
        <v>0</v>
      </c>
      <c r="V228" s="18"/>
      <c r="W228" s="19">
        <f t="shared" si="75"/>
        <v>0</v>
      </c>
      <c r="X228" s="19">
        <f t="shared" si="76"/>
        <v>0</v>
      </c>
      <c r="Y228" s="18"/>
      <c r="Z228" s="18"/>
      <c r="AA228" s="19">
        <f t="shared" si="77"/>
        <v>0</v>
      </c>
      <c r="AB228" s="17">
        <v>0</v>
      </c>
      <c r="AC228" s="18"/>
      <c r="AD228" s="18"/>
      <c r="AE228" s="22">
        <f t="shared" si="78"/>
        <v>0</v>
      </c>
      <c r="AF228" s="23">
        <f t="shared" si="79"/>
        <v>0</v>
      </c>
      <c r="AG228" s="23">
        <f t="shared" si="80"/>
        <v>0</v>
      </c>
      <c r="AH228" s="18"/>
      <c r="AI228" s="24">
        <f t="shared" si="81"/>
        <v>0</v>
      </c>
      <c r="AJ228" s="25">
        <v>0</v>
      </c>
      <c r="AK228" s="24">
        <f t="shared" si="82"/>
        <v>0</v>
      </c>
      <c r="AL228" s="22">
        <f t="shared" si="83"/>
        <v>0</v>
      </c>
      <c r="AM228" s="22">
        <f t="shared" si="84"/>
        <v>0</v>
      </c>
      <c r="AN228" s="22">
        <f t="shared" si="85"/>
        <v>0</v>
      </c>
      <c r="AO228" s="26" t="str">
        <f t="shared" si="86"/>
        <v/>
      </c>
      <c r="AP228" s="26" t="str">
        <f t="shared" si="87"/>
        <v>pre-launch</v>
      </c>
      <c r="AQ228" s="18"/>
      <c r="AR228" s="18"/>
    </row>
    <row r="229" spans="1:44" x14ac:dyDescent="0.25">
      <c r="A229" s="43">
        <v>45290</v>
      </c>
      <c r="B229" s="17">
        <v>224443700.11000001</v>
      </c>
      <c r="C229" s="17">
        <v>0</v>
      </c>
      <c r="D229" s="18"/>
      <c r="E229" s="19">
        <f t="shared" si="66"/>
        <v>224443700.11000001</v>
      </c>
      <c r="F229" s="19">
        <f t="shared" si="67"/>
        <v>224443700.11000001</v>
      </c>
      <c r="G229" s="20">
        <f t="shared" si="68"/>
        <v>0</v>
      </c>
      <c r="H229" s="18"/>
      <c r="I229" s="18"/>
      <c r="J229" s="18"/>
      <c r="K229" s="19">
        <f t="shared" si="69"/>
        <v>0</v>
      </c>
      <c r="L229" s="18"/>
      <c r="M229" s="18"/>
      <c r="N229" s="18"/>
      <c r="O229" s="19">
        <f t="shared" si="70"/>
        <v>0</v>
      </c>
      <c r="P229" s="21">
        <f t="shared" si="71"/>
        <v>0</v>
      </c>
      <c r="Q229" s="18"/>
      <c r="R229" s="18"/>
      <c r="S229" s="19">
        <f t="shared" si="72"/>
        <v>0</v>
      </c>
      <c r="T229" s="20">
        <f t="shared" si="73"/>
        <v>0.03</v>
      </c>
      <c r="U229" s="19">
        <f t="shared" si="74"/>
        <v>0</v>
      </c>
      <c r="V229" s="18"/>
      <c r="W229" s="19">
        <f t="shared" si="75"/>
        <v>0</v>
      </c>
      <c r="X229" s="19">
        <f t="shared" si="76"/>
        <v>0</v>
      </c>
      <c r="Y229" s="18"/>
      <c r="Z229" s="18"/>
      <c r="AA229" s="19">
        <f t="shared" si="77"/>
        <v>0</v>
      </c>
      <c r="AB229" s="17">
        <v>0</v>
      </c>
      <c r="AC229" s="18"/>
      <c r="AD229" s="18"/>
      <c r="AE229" s="22">
        <f t="shared" si="78"/>
        <v>0</v>
      </c>
      <c r="AF229" s="23">
        <f t="shared" si="79"/>
        <v>0</v>
      </c>
      <c r="AG229" s="23">
        <f t="shared" si="80"/>
        <v>0</v>
      </c>
      <c r="AH229" s="18"/>
      <c r="AI229" s="24">
        <f t="shared" si="81"/>
        <v>0</v>
      </c>
      <c r="AJ229" s="25">
        <v>0</v>
      </c>
      <c r="AK229" s="24">
        <f t="shared" si="82"/>
        <v>0</v>
      </c>
      <c r="AL229" s="22">
        <f t="shared" si="83"/>
        <v>0</v>
      </c>
      <c r="AM229" s="22">
        <f t="shared" si="84"/>
        <v>0</v>
      </c>
      <c r="AN229" s="22">
        <f t="shared" si="85"/>
        <v>0</v>
      </c>
      <c r="AO229" s="26" t="str">
        <f t="shared" si="86"/>
        <v/>
      </c>
      <c r="AP229" s="26" t="str">
        <f t="shared" si="87"/>
        <v>pre-launch</v>
      </c>
      <c r="AQ229" s="18"/>
      <c r="AR229" s="18"/>
    </row>
    <row r="230" spans="1:44" x14ac:dyDescent="0.25">
      <c r="A230" s="43">
        <v>45291</v>
      </c>
      <c r="B230" s="17">
        <v>277442341.44999999</v>
      </c>
      <c r="C230" s="17">
        <v>0</v>
      </c>
      <c r="D230" s="18"/>
      <c r="E230" s="19">
        <f t="shared" si="66"/>
        <v>277442341.44999999</v>
      </c>
      <c r="F230" s="19">
        <f t="shared" si="67"/>
        <v>277442341.44999999</v>
      </c>
      <c r="G230" s="20">
        <f t="shared" si="68"/>
        <v>0</v>
      </c>
      <c r="H230" s="18"/>
      <c r="I230" s="18"/>
      <c r="J230" s="18"/>
      <c r="K230" s="19">
        <f t="shared" si="69"/>
        <v>0</v>
      </c>
      <c r="L230" s="18"/>
      <c r="M230" s="18"/>
      <c r="N230" s="18"/>
      <c r="O230" s="19">
        <f t="shared" si="70"/>
        <v>0</v>
      </c>
      <c r="P230" s="21">
        <f t="shared" si="71"/>
        <v>0</v>
      </c>
      <c r="Q230" s="18"/>
      <c r="R230" s="18"/>
      <c r="S230" s="19">
        <f t="shared" si="72"/>
        <v>0</v>
      </c>
      <c r="T230" s="20">
        <f t="shared" si="73"/>
        <v>0.03</v>
      </c>
      <c r="U230" s="19">
        <f t="shared" si="74"/>
        <v>0</v>
      </c>
      <c r="V230" s="18"/>
      <c r="W230" s="19">
        <f t="shared" si="75"/>
        <v>0</v>
      </c>
      <c r="X230" s="19">
        <f t="shared" si="76"/>
        <v>0</v>
      </c>
      <c r="Y230" s="18"/>
      <c r="Z230" s="18"/>
      <c r="AA230" s="19">
        <f t="shared" si="77"/>
        <v>0</v>
      </c>
      <c r="AB230" s="17">
        <v>0</v>
      </c>
      <c r="AC230" s="18"/>
      <c r="AD230" s="18"/>
      <c r="AE230" s="22">
        <f t="shared" si="78"/>
        <v>0</v>
      </c>
      <c r="AF230" s="23">
        <f t="shared" si="79"/>
        <v>0</v>
      </c>
      <c r="AG230" s="23">
        <f t="shared" si="80"/>
        <v>0</v>
      </c>
      <c r="AH230" s="18"/>
      <c r="AI230" s="24">
        <f t="shared" si="81"/>
        <v>0</v>
      </c>
      <c r="AJ230" s="25">
        <v>0</v>
      </c>
      <c r="AK230" s="24">
        <f t="shared" si="82"/>
        <v>0</v>
      </c>
      <c r="AL230" s="22">
        <f t="shared" si="83"/>
        <v>0</v>
      </c>
      <c r="AM230" s="22">
        <f t="shared" si="84"/>
        <v>0</v>
      </c>
      <c r="AN230" s="22">
        <f t="shared" si="85"/>
        <v>0</v>
      </c>
      <c r="AO230" s="26" t="str">
        <f t="shared" si="86"/>
        <v/>
      </c>
      <c r="AP230" s="26" t="str">
        <f t="shared" si="87"/>
        <v>pre-launch</v>
      </c>
      <c r="AQ230" s="18"/>
      <c r="AR230" s="18"/>
    </row>
    <row r="231" spans="1:44" x14ac:dyDescent="0.25">
      <c r="A231" s="43">
        <v>45292</v>
      </c>
      <c r="B231" s="17">
        <v>256096011.37</v>
      </c>
      <c r="C231" s="17">
        <v>0</v>
      </c>
      <c r="D231" s="18"/>
      <c r="E231" s="19">
        <f t="shared" si="66"/>
        <v>256096011.37</v>
      </c>
      <c r="F231" s="19">
        <f t="shared" si="67"/>
        <v>256096011.37</v>
      </c>
      <c r="G231" s="20">
        <f t="shared" si="68"/>
        <v>0</v>
      </c>
      <c r="H231" s="18"/>
      <c r="I231" s="18"/>
      <c r="J231" s="18"/>
      <c r="K231" s="19">
        <f t="shared" si="69"/>
        <v>0</v>
      </c>
      <c r="L231" s="18"/>
      <c r="M231" s="18"/>
      <c r="N231" s="18"/>
      <c r="O231" s="19">
        <f t="shared" si="70"/>
        <v>0</v>
      </c>
      <c r="P231" s="21">
        <f t="shared" si="71"/>
        <v>0</v>
      </c>
      <c r="Q231" s="18"/>
      <c r="R231" s="18"/>
      <c r="S231" s="19">
        <f t="shared" si="72"/>
        <v>0</v>
      </c>
      <c r="T231" s="20">
        <f t="shared" si="73"/>
        <v>0.03</v>
      </c>
      <c r="U231" s="19">
        <f t="shared" si="74"/>
        <v>0</v>
      </c>
      <c r="V231" s="18"/>
      <c r="W231" s="19">
        <f t="shared" si="75"/>
        <v>0</v>
      </c>
      <c r="X231" s="19">
        <f t="shared" si="76"/>
        <v>0</v>
      </c>
      <c r="Y231" s="18"/>
      <c r="Z231" s="18"/>
      <c r="AA231" s="19">
        <f t="shared" si="77"/>
        <v>0</v>
      </c>
      <c r="AB231" s="17">
        <v>0</v>
      </c>
      <c r="AC231" s="18"/>
      <c r="AD231" s="18"/>
      <c r="AE231" s="22">
        <f t="shared" si="78"/>
        <v>0</v>
      </c>
      <c r="AF231" s="23">
        <f t="shared" si="79"/>
        <v>0</v>
      </c>
      <c r="AG231" s="23">
        <f t="shared" si="80"/>
        <v>0</v>
      </c>
      <c r="AH231" s="18"/>
      <c r="AI231" s="24">
        <f t="shared" si="81"/>
        <v>0</v>
      </c>
      <c r="AJ231" s="25">
        <v>0</v>
      </c>
      <c r="AK231" s="24">
        <f t="shared" si="82"/>
        <v>0</v>
      </c>
      <c r="AL231" s="22">
        <f t="shared" si="83"/>
        <v>0</v>
      </c>
      <c r="AM231" s="22">
        <f t="shared" si="84"/>
        <v>0</v>
      </c>
      <c r="AN231" s="22">
        <f t="shared" si="85"/>
        <v>0</v>
      </c>
      <c r="AO231" s="26" t="str">
        <f t="shared" si="86"/>
        <v/>
      </c>
      <c r="AP231" s="26" t="str">
        <f t="shared" si="87"/>
        <v>pre-launch</v>
      </c>
      <c r="AQ231" s="18"/>
      <c r="AR231" s="18"/>
    </row>
    <row r="232" spans="1:44" x14ac:dyDescent="0.25">
      <c r="A232" s="43">
        <v>45293</v>
      </c>
      <c r="B232" s="17">
        <v>450742564.35000002</v>
      </c>
      <c r="C232" s="17">
        <v>0</v>
      </c>
      <c r="D232" s="18"/>
      <c r="E232" s="19">
        <f t="shared" si="66"/>
        <v>450742564.35000002</v>
      </c>
      <c r="F232" s="19">
        <f t="shared" si="67"/>
        <v>450742564.35000002</v>
      </c>
      <c r="G232" s="20">
        <f t="shared" si="68"/>
        <v>0</v>
      </c>
      <c r="H232" s="18"/>
      <c r="I232" s="18"/>
      <c r="J232" s="18"/>
      <c r="K232" s="19">
        <f t="shared" si="69"/>
        <v>0</v>
      </c>
      <c r="L232" s="18"/>
      <c r="M232" s="18"/>
      <c r="N232" s="18"/>
      <c r="O232" s="19">
        <f t="shared" si="70"/>
        <v>0</v>
      </c>
      <c r="P232" s="21">
        <f t="shared" si="71"/>
        <v>0</v>
      </c>
      <c r="Q232" s="18"/>
      <c r="R232" s="18"/>
      <c r="S232" s="19">
        <f t="shared" si="72"/>
        <v>0</v>
      </c>
      <c r="T232" s="20">
        <f t="shared" si="73"/>
        <v>0.03</v>
      </c>
      <c r="U232" s="19">
        <f t="shared" si="74"/>
        <v>0</v>
      </c>
      <c r="V232" s="18"/>
      <c r="W232" s="19">
        <f t="shared" si="75"/>
        <v>0</v>
      </c>
      <c r="X232" s="19">
        <f t="shared" si="76"/>
        <v>0</v>
      </c>
      <c r="Y232" s="18"/>
      <c r="Z232" s="18"/>
      <c r="AA232" s="19">
        <f t="shared" si="77"/>
        <v>0</v>
      </c>
      <c r="AB232" s="17">
        <v>0</v>
      </c>
      <c r="AC232" s="18"/>
      <c r="AD232" s="18"/>
      <c r="AE232" s="22">
        <f t="shared" si="78"/>
        <v>0</v>
      </c>
      <c r="AF232" s="23">
        <f t="shared" si="79"/>
        <v>0</v>
      </c>
      <c r="AG232" s="23">
        <f t="shared" si="80"/>
        <v>0</v>
      </c>
      <c r="AH232" s="18"/>
      <c r="AI232" s="24">
        <f t="shared" si="81"/>
        <v>0</v>
      </c>
      <c r="AJ232" s="25">
        <v>0</v>
      </c>
      <c r="AK232" s="24">
        <f t="shared" si="82"/>
        <v>0</v>
      </c>
      <c r="AL232" s="22">
        <f t="shared" si="83"/>
        <v>0</v>
      </c>
      <c r="AM232" s="22">
        <f t="shared" si="84"/>
        <v>0</v>
      </c>
      <c r="AN232" s="22">
        <f t="shared" si="85"/>
        <v>0</v>
      </c>
      <c r="AO232" s="26" t="str">
        <f t="shared" si="86"/>
        <v/>
      </c>
      <c r="AP232" s="26" t="str">
        <f t="shared" si="87"/>
        <v>pre-launch</v>
      </c>
      <c r="AQ232" s="18"/>
      <c r="AR232" s="18"/>
    </row>
    <row r="233" spans="1:44" x14ac:dyDescent="0.25">
      <c r="A233" s="43">
        <v>45294</v>
      </c>
      <c r="B233" s="17">
        <v>954353310.97000003</v>
      </c>
      <c r="C233" s="17">
        <v>0</v>
      </c>
      <c r="D233" s="18"/>
      <c r="E233" s="19">
        <f t="shared" si="66"/>
        <v>954353310.97000003</v>
      </c>
      <c r="F233" s="19">
        <f t="shared" si="67"/>
        <v>954353310.97000003</v>
      </c>
      <c r="G233" s="20">
        <f t="shared" si="68"/>
        <v>0</v>
      </c>
      <c r="H233" s="18"/>
      <c r="I233" s="18"/>
      <c r="J233" s="18"/>
      <c r="K233" s="19">
        <f t="shared" si="69"/>
        <v>0</v>
      </c>
      <c r="L233" s="18"/>
      <c r="M233" s="18"/>
      <c r="N233" s="18"/>
      <c r="O233" s="19">
        <f t="shared" si="70"/>
        <v>0</v>
      </c>
      <c r="P233" s="21">
        <f t="shared" si="71"/>
        <v>0</v>
      </c>
      <c r="Q233" s="18"/>
      <c r="R233" s="18"/>
      <c r="S233" s="19">
        <f t="shared" si="72"/>
        <v>0</v>
      </c>
      <c r="T233" s="20">
        <f t="shared" si="73"/>
        <v>0.03</v>
      </c>
      <c r="U233" s="19">
        <f t="shared" si="74"/>
        <v>0</v>
      </c>
      <c r="V233" s="18"/>
      <c r="W233" s="19">
        <f t="shared" si="75"/>
        <v>0</v>
      </c>
      <c r="X233" s="19">
        <f t="shared" si="76"/>
        <v>0</v>
      </c>
      <c r="Y233" s="18"/>
      <c r="Z233" s="18"/>
      <c r="AA233" s="19">
        <f t="shared" si="77"/>
        <v>0</v>
      </c>
      <c r="AB233" s="17">
        <v>0</v>
      </c>
      <c r="AC233" s="18"/>
      <c r="AD233" s="18"/>
      <c r="AE233" s="22">
        <f t="shared" si="78"/>
        <v>0</v>
      </c>
      <c r="AF233" s="23">
        <f t="shared" si="79"/>
        <v>0</v>
      </c>
      <c r="AG233" s="23">
        <f t="shared" si="80"/>
        <v>0</v>
      </c>
      <c r="AH233" s="18"/>
      <c r="AI233" s="24">
        <f t="shared" si="81"/>
        <v>0</v>
      </c>
      <c r="AJ233" s="25">
        <v>0</v>
      </c>
      <c r="AK233" s="24">
        <f t="shared" si="82"/>
        <v>0</v>
      </c>
      <c r="AL233" s="22">
        <f t="shared" si="83"/>
        <v>0</v>
      </c>
      <c r="AM233" s="22">
        <f t="shared" si="84"/>
        <v>0</v>
      </c>
      <c r="AN233" s="22">
        <f t="shared" si="85"/>
        <v>0</v>
      </c>
      <c r="AO233" s="26" t="str">
        <f t="shared" si="86"/>
        <v/>
      </c>
      <c r="AP233" s="26" t="str">
        <f t="shared" si="87"/>
        <v>pre-launch</v>
      </c>
      <c r="AQ233" s="18"/>
      <c r="AR233" s="18"/>
    </row>
    <row r="234" spans="1:44" x14ac:dyDescent="0.25">
      <c r="A234" s="43">
        <v>45295</v>
      </c>
      <c r="B234" s="17">
        <v>471431381.63999999</v>
      </c>
      <c r="C234" s="17">
        <v>0</v>
      </c>
      <c r="D234" s="18"/>
      <c r="E234" s="19">
        <f t="shared" si="66"/>
        <v>471431381.63999999</v>
      </c>
      <c r="F234" s="19">
        <f t="shared" si="67"/>
        <v>471431381.63999999</v>
      </c>
      <c r="G234" s="20">
        <f t="shared" si="68"/>
        <v>0</v>
      </c>
      <c r="H234" s="18"/>
      <c r="I234" s="18"/>
      <c r="J234" s="18"/>
      <c r="K234" s="19">
        <f t="shared" si="69"/>
        <v>0</v>
      </c>
      <c r="L234" s="18"/>
      <c r="M234" s="18"/>
      <c r="N234" s="18"/>
      <c r="O234" s="19">
        <f t="shared" si="70"/>
        <v>0</v>
      </c>
      <c r="P234" s="21">
        <f t="shared" si="71"/>
        <v>0</v>
      </c>
      <c r="Q234" s="18"/>
      <c r="R234" s="18"/>
      <c r="S234" s="19">
        <f t="shared" si="72"/>
        <v>0</v>
      </c>
      <c r="T234" s="20">
        <f t="shared" si="73"/>
        <v>0.03</v>
      </c>
      <c r="U234" s="19">
        <f t="shared" si="74"/>
        <v>0</v>
      </c>
      <c r="V234" s="18"/>
      <c r="W234" s="19">
        <f t="shared" si="75"/>
        <v>0</v>
      </c>
      <c r="X234" s="19">
        <f t="shared" si="76"/>
        <v>0</v>
      </c>
      <c r="Y234" s="18"/>
      <c r="Z234" s="18"/>
      <c r="AA234" s="19">
        <f t="shared" si="77"/>
        <v>0</v>
      </c>
      <c r="AB234" s="17">
        <v>0</v>
      </c>
      <c r="AC234" s="18"/>
      <c r="AD234" s="18"/>
      <c r="AE234" s="22">
        <f t="shared" si="78"/>
        <v>0</v>
      </c>
      <c r="AF234" s="23">
        <f t="shared" si="79"/>
        <v>0</v>
      </c>
      <c r="AG234" s="23">
        <f t="shared" si="80"/>
        <v>0</v>
      </c>
      <c r="AH234" s="18"/>
      <c r="AI234" s="24">
        <f t="shared" si="81"/>
        <v>0</v>
      </c>
      <c r="AJ234" s="25">
        <v>0</v>
      </c>
      <c r="AK234" s="24">
        <f t="shared" si="82"/>
        <v>0</v>
      </c>
      <c r="AL234" s="22">
        <f t="shared" si="83"/>
        <v>0</v>
      </c>
      <c r="AM234" s="22">
        <f t="shared" si="84"/>
        <v>0</v>
      </c>
      <c r="AN234" s="22">
        <f t="shared" si="85"/>
        <v>0</v>
      </c>
      <c r="AO234" s="26" t="str">
        <f t="shared" si="86"/>
        <v/>
      </c>
      <c r="AP234" s="26" t="str">
        <f t="shared" si="87"/>
        <v>pre-launch</v>
      </c>
      <c r="AQ234" s="18"/>
      <c r="AR234" s="18"/>
    </row>
    <row r="235" spans="1:44" x14ac:dyDescent="0.25">
      <c r="A235" s="43">
        <v>45296</v>
      </c>
      <c r="B235" s="17">
        <v>612731389.54999995</v>
      </c>
      <c r="C235" s="17">
        <v>0</v>
      </c>
      <c r="D235" s="18"/>
      <c r="E235" s="19">
        <f t="shared" si="66"/>
        <v>612731389.54999995</v>
      </c>
      <c r="F235" s="19">
        <f t="shared" si="67"/>
        <v>612731389.54999995</v>
      </c>
      <c r="G235" s="20">
        <f t="shared" si="68"/>
        <v>0</v>
      </c>
      <c r="H235" s="18"/>
      <c r="I235" s="18"/>
      <c r="J235" s="18"/>
      <c r="K235" s="19">
        <f t="shared" si="69"/>
        <v>0</v>
      </c>
      <c r="L235" s="18"/>
      <c r="M235" s="18"/>
      <c r="N235" s="18"/>
      <c r="O235" s="19">
        <f t="shared" si="70"/>
        <v>0</v>
      </c>
      <c r="P235" s="21">
        <f t="shared" si="71"/>
        <v>0</v>
      </c>
      <c r="Q235" s="18"/>
      <c r="R235" s="18"/>
      <c r="S235" s="19">
        <f t="shared" si="72"/>
        <v>0</v>
      </c>
      <c r="T235" s="20">
        <f t="shared" si="73"/>
        <v>0.03</v>
      </c>
      <c r="U235" s="19">
        <f t="shared" si="74"/>
        <v>0</v>
      </c>
      <c r="V235" s="18"/>
      <c r="W235" s="19">
        <f t="shared" si="75"/>
        <v>0</v>
      </c>
      <c r="X235" s="19">
        <f t="shared" si="76"/>
        <v>0</v>
      </c>
      <c r="Y235" s="18"/>
      <c r="Z235" s="18"/>
      <c r="AA235" s="19">
        <f t="shared" si="77"/>
        <v>0</v>
      </c>
      <c r="AB235" s="17">
        <v>0</v>
      </c>
      <c r="AC235" s="18"/>
      <c r="AD235" s="18"/>
      <c r="AE235" s="22">
        <f t="shared" si="78"/>
        <v>0</v>
      </c>
      <c r="AF235" s="23">
        <f t="shared" si="79"/>
        <v>0</v>
      </c>
      <c r="AG235" s="23">
        <f t="shared" si="80"/>
        <v>0</v>
      </c>
      <c r="AH235" s="18"/>
      <c r="AI235" s="24">
        <f t="shared" si="81"/>
        <v>0</v>
      </c>
      <c r="AJ235" s="25">
        <v>0</v>
      </c>
      <c r="AK235" s="24">
        <f t="shared" si="82"/>
        <v>0</v>
      </c>
      <c r="AL235" s="22">
        <f t="shared" si="83"/>
        <v>0</v>
      </c>
      <c r="AM235" s="22">
        <f t="shared" si="84"/>
        <v>0</v>
      </c>
      <c r="AN235" s="22">
        <f t="shared" si="85"/>
        <v>0</v>
      </c>
      <c r="AO235" s="26" t="str">
        <f t="shared" si="86"/>
        <v/>
      </c>
      <c r="AP235" s="26" t="str">
        <f t="shared" si="87"/>
        <v>pre-launch</v>
      </c>
      <c r="AQ235" s="18"/>
      <c r="AR235" s="18"/>
    </row>
    <row r="236" spans="1:44" x14ac:dyDescent="0.25">
      <c r="A236" s="43">
        <v>45297</v>
      </c>
      <c r="B236" s="17">
        <v>396289097.42000002</v>
      </c>
      <c r="C236" s="17">
        <v>0</v>
      </c>
      <c r="D236" s="18"/>
      <c r="E236" s="19">
        <f t="shared" si="66"/>
        <v>396289097.42000002</v>
      </c>
      <c r="F236" s="19">
        <f t="shared" si="67"/>
        <v>396289097.42000002</v>
      </c>
      <c r="G236" s="20">
        <f t="shared" si="68"/>
        <v>0</v>
      </c>
      <c r="H236" s="18"/>
      <c r="I236" s="18"/>
      <c r="J236" s="18"/>
      <c r="K236" s="19">
        <f t="shared" si="69"/>
        <v>0</v>
      </c>
      <c r="L236" s="18"/>
      <c r="M236" s="18"/>
      <c r="N236" s="18"/>
      <c r="O236" s="19">
        <f t="shared" si="70"/>
        <v>0</v>
      </c>
      <c r="P236" s="21">
        <f t="shared" si="71"/>
        <v>0</v>
      </c>
      <c r="Q236" s="18"/>
      <c r="R236" s="18"/>
      <c r="S236" s="19">
        <f t="shared" si="72"/>
        <v>0</v>
      </c>
      <c r="T236" s="20">
        <f t="shared" si="73"/>
        <v>0.03</v>
      </c>
      <c r="U236" s="19">
        <f t="shared" si="74"/>
        <v>0</v>
      </c>
      <c r="V236" s="18"/>
      <c r="W236" s="19">
        <f t="shared" si="75"/>
        <v>0</v>
      </c>
      <c r="X236" s="19">
        <f t="shared" si="76"/>
        <v>0</v>
      </c>
      <c r="Y236" s="18"/>
      <c r="Z236" s="18"/>
      <c r="AA236" s="19">
        <f t="shared" si="77"/>
        <v>0</v>
      </c>
      <c r="AB236" s="17">
        <v>0</v>
      </c>
      <c r="AC236" s="18"/>
      <c r="AD236" s="18"/>
      <c r="AE236" s="22">
        <f t="shared" si="78"/>
        <v>0</v>
      </c>
      <c r="AF236" s="23">
        <f t="shared" si="79"/>
        <v>0</v>
      </c>
      <c r="AG236" s="23">
        <f t="shared" si="80"/>
        <v>0</v>
      </c>
      <c r="AH236" s="18"/>
      <c r="AI236" s="24">
        <f t="shared" si="81"/>
        <v>0</v>
      </c>
      <c r="AJ236" s="25">
        <v>0</v>
      </c>
      <c r="AK236" s="24">
        <f t="shared" si="82"/>
        <v>0</v>
      </c>
      <c r="AL236" s="22">
        <f t="shared" si="83"/>
        <v>0</v>
      </c>
      <c r="AM236" s="22">
        <f t="shared" si="84"/>
        <v>0</v>
      </c>
      <c r="AN236" s="22">
        <f t="shared" si="85"/>
        <v>0</v>
      </c>
      <c r="AO236" s="26" t="str">
        <f t="shared" si="86"/>
        <v/>
      </c>
      <c r="AP236" s="26" t="str">
        <f t="shared" si="87"/>
        <v>pre-launch</v>
      </c>
      <c r="AQ236" s="18"/>
      <c r="AR236" s="18"/>
    </row>
    <row r="237" spans="1:44" x14ac:dyDescent="0.25">
      <c r="A237" s="43">
        <v>45298</v>
      </c>
      <c r="B237" s="17">
        <v>416707318.16000003</v>
      </c>
      <c r="C237" s="17">
        <v>0</v>
      </c>
      <c r="D237" s="18"/>
      <c r="E237" s="19">
        <f t="shared" si="66"/>
        <v>416707318.16000003</v>
      </c>
      <c r="F237" s="19">
        <f t="shared" si="67"/>
        <v>416707318.16000003</v>
      </c>
      <c r="G237" s="20">
        <f t="shared" si="68"/>
        <v>0</v>
      </c>
      <c r="H237" s="18"/>
      <c r="I237" s="18"/>
      <c r="J237" s="18"/>
      <c r="K237" s="19">
        <f t="shared" si="69"/>
        <v>0</v>
      </c>
      <c r="L237" s="18"/>
      <c r="M237" s="18"/>
      <c r="N237" s="18"/>
      <c r="O237" s="19">
        <f t="shared" si="70"/>
        <v>0</v>
      </c>
      <c r="P237" s="21">
        <f t="shared" si="71"/>
        <v>0</v>
      </c>
      <c r="Q237" s="18"/>
      <c r="R237" s="18"/>
      <c r="S237" s="19">
        <f t="shared" si="72"/>
        <v>0</v>
      </c>
      <c r="T237" s="20">
        <f t="shared" si="73"/>
        <v>0.03</v>
      </c>
      <c r="U237" s="19">
        <f t="shared" si="74"/>
        <v>0</v>
      </c>
      <c r="V237" s="18"/>
      <c r="W237" s="19">
        <f t="shared" si="75"/>
        <v>0</v>
      </c>
      <c r="X237" s="19">
        <f t="shared" si="76"/>
        <v>0</v>
      </c>
      <c r="Y237" s="18"/>
      <c r="Z237" s="18"/>
      <c r="AA237" s="19">
        <f t="shared" si="77"/>
        <v>0</v>
      </c>
      <c r="AB237" s="17">
        <v>0</v>
      </c>
      <c r="AC237" s="18"/>
      <c r="AD237" s="18"/>
      <c r="AE237" s="22">
        <f t="shared" si="78"/>
        <v>0</v>
      </c>
      <c r="AF237" s="23">
        <f t="shared" si="79"/>
        <v>0</v>
      </c>
      <c r="AG237" s="23">
        <f t="shared" si="80"/>
        <v>0</v>
      </c>
      <c r="AH237" s="18"/>
      <c r="AI237" s="24">
        <f t="shared" si="81"/>
        <v>0</v>
      </c>
      <c r="AJ237" s="25">
        <v>0</v>
      </c>
      <c r="AK237" s="24">
        <f t="shared" si="82"/>
        <v>0</v>
      </c>
      <c r="AL237" s="22">
        <f t="shared" si="83"/>
        <v>0</v>
      </c>
      <c r="AM237" s="22">
        <f t="shared" si="84"/>
        <v>0</v>
      </c>
      <c r="AN237" s="22">
        <f t="shared" si="85"/>
        <v>0</v>
      </c>
      <c r="AO237" s="26" t="str">
        <f t="shared" si="86"/>
        <v/>
      </c>
      <c r="AP237" s="26" t="str">
        <f t="shared" si="87"/>
        <v>pre-launch</v>
      </c>
      <c r="AQ237" s="18"/>
      <c r="AR237" s="18"/>
    </row>
    <row r="238" spans="1:44" x14ac:dyDescent="0.25">
      <c r="A238" s="43">
        <v>45299</v>
      </c>
      <c r="B238" s="17">
        <v>596183875.91999996</v>
      </c>
      <c r="C238" s="17">
        <v>0</v>
      </c>
      <c r="D238" s="18"/>
      <c r="E238" s="19">
        <f t="shared" si="66"/>
        <v>596183875.91999996</v>
      </c>
      <c r="F238" s="19">
        <f t="shared" si="67"/>
        <v>596183875.91999996</v>
      </c>
      <c r="G238" s="20">
        <f t="shared" si="68"/>
        <v>0</v>
      </c>
      <c r="H238" s="18"/>
      <c r="I238" s="18"/>
      <c r="J238" s="18"/>
      <c r="K238" s="19">
        <f t="shared" si="69"/>
        <v>0</v>
      </c>
      <c r="L238" s="18"/>
      <c r="M238" s="18"/>
      <c r="N238" s="18"/>
      <c r="O238" s="19">
        <f t="shared" si="70"/>
        <v>0</v>
      </c>
      <c r="P238" s="21">
        <f t="shared" si="71"/>
        <v>0</v>
      </c>
      <c r="Q238" s="18"/>
      <c r="R238" s="18"/>
      <c r="S238" s="19">
        <f t="shared" si="72"/>
        <v>0</v>
      </c>
      <c r="T238" s="20">
        <f t="shared" si="73"/>
        <v>0.03</v>
      </c>
      <c r="U238" s="19">
        <f t="shared" si="74"/>
        <v>0</v>
      </c>
      <c r="V238" s="18"/>
      <c r="W238" s="19">
        <f t="shared" si="75"/>
        <v>0</v>
      </c>
      <c r="X238" s="19">
        <f t="shared" si="76"/>
        <v>0</v>
      </c>
      <c r="Y238" s="18"/>
      <c r="Z238" s="18"/>
      <c r="AA238" s="19">
        <f t="shared" si="77"/>
        <v>0</v>
      </c>
      <c r="AB238" s="17">
        <v>0</v>
      </c>
      <c r="AC238" s="18"/>
      <c r="AD238" s="18"/>
      <c r="AE238" s="22">
        <f t="shared" si="78"/>
        <v>0</v>
      </c>
      <c r="AF238" s="23">
        <f t="shared" si="79"/>
        <v>0</v>
      </c>
      <c r="AG238" s="23">
        <f t="shared" si="80"/>
        <v>0</v>
      </c>
      <c r="AH238" s="18"/>
      <c r="AI238" s="24">
        <f t="shared" si="81"/>
        <v>0</v>
      </c>
      <c r="AJ238" s="25">
        <v>0</v>
      </c>
      <c r="AK238" s="24">
        <f t="shared" si="82"/>
        <v>0</v>
      </c>
      <c r="AL238" s="22">
        <f t="shared" si="83"/>
        <v>0</v>
      </c>
      <c r="AM238" s="22">
        <f t="shared" si="84"/>
        <v>0</v>
      </c>
      <c r="AN238" s="22">
        <f t="shared" si="85"/>
        <v>0</v>
      </c>
      <c r="AO238" s="26" t="str">
        <f t="shared" si="86"/>
        <v/>
      </c>
      <c r="AP238" s="26" t="str">
        <f t="shared" si="87"/>
        <v>pre-launch</v>
      </c>
      <c r="AQ238" s="18"/>
      <c r="AR238" s="18"/>
    </row>
    <row r="239" spans="1:44" x14ac:dyDescent="0.25">
      <c r="A239" s="43">
        <v>45300</v>
      </c>
      <c r="B239" s="17">
        <v>614460097.89999998</v>
      </c>
      <c r="C239" s="17">
        <v>0</v>
      </c>
      <c r="D239" s="18"/>
      <c r="E239" s="19">
        <f t="shared" si="66"/>
        <v>614460097.89999998</v>
      </c>
      <c r="F239" s="19">
        <f t="shared" si="67"/>
        <v>614460097.89999998</v>
      </c>
      <c r="G239" s="20">
        <f t="shared" si="68"/>
        <v>0</v>
      </c>
      <c r="H239" s="18"/>
      <c r="I239" s="18"/>
      <c r="J239" s="18"/>
      <c r="K239" s="19">
        <f t="shared" si="69"/>
        <v>0</v>
      </c>
      <c r="L239" s="18"/>
      <c r="M239" s="18"/>
      <c r="N239" s="18"/>
      <c r="O239" s="19">
        <f t="shared" si="70"/>
        <v>0</v>
      </c>
      <c r="P239" s="21">
        <f t="shared" si="71"/>
        <v>0</v>
      </c>
      <c r="Q239" s="18"/>
      <c r="R239" s="18"/>
      <c r="S239" s="19">
        <f t="shared" si="72"/>
        <v>0</v>
      </c>
      <c r="T239" s="20">
        <f t="shared" si="73"/>
        <v>0.03</v>
      </c>
      <c r="U239" s="19">
        <f t="shared" si="74"/>
        <v>0</v>
      </c>
      <c r="V239" s="18"/>
      <c r="W239" s="19">
        <f t="shared" si="75"/>
        <v>0</v>
      </c>
      <c r="X239" s="19">
        <f t="shared" si="76"/>
        <v>0</v>
      </c>
      <c r="Y239" s="18"/>
      <c r="Z239" s="18"/>
      <c r="AA239" s="19">
        <f t="shared" si="77"/>
        <v>0</v>
      </c>
      <c r="AB239" s="17">
        <v>0</v>
      </c>
      <c r="AC239" s="18"/>
      <c r="AD239" s="18"/>
      <c r="AE239" s="22">
        <f t="shared" si="78"/>
        <v>0</v>
      </c>
      <c r="AF239" s="23">
        <f t="shared" si="79"/>
        <v>0</v>
      </c>
      <c r="AG239" s="23">
        <f t="shared" si="80"/>
        <v>0</v>
      </c>
      <c r="AH239" s="18"/>
      <c r="AI239" s="24">
        <f t="shared" si="81"/>
        <v>0</v>
      </c>
      <c r="AJ239" s="25">
        <v>0</v>
      </c>
      <c r="AK239" s="24">
        <f t="shared" si="82"/>
        <v>0</v>
      </c>
      <c r="AL239" s="22">
        <f t="shared" si="83"/>
        <v>0</v>
      </c>
      <c r="AM239" s="22">
        <f t="shared" si="84"/>
        <v>0</v>
      </c>
      <c r="AN239" s="22">
        <f t="shared" si="85"/>
        <v>0</v>
      </c>
      <c r="AO239" s="26" t="str">
        <f t="shared" si="86"/>
        <v/>
      </c>
      <c r="AP239" s="26" t="str">
        <f t="shared" si="87"/>
        <v>pre-launch</v>
      </c>
      <c r="AQ239" s="18"/>
      <c r="AR239" s="18"/>
    </row>
    <row r="240" spans="1:44" x14ac:dyDescent="0.25">
      <c r="A240" s="43">
        <v>45301</v>
      </c>
      <c r="B240" s="17">
        <v>798210440.5</v>
      </c>
      <c r="C240" s="17">
        <v>0</v>
      </c>
      <c r="D240" s="18"/>
      <c r="E240" s="19">
        <f t="shared" si="66"/>
        <v>798210440.5</v>
      </c>
      <c r="F240" s="19">
        <f t="shared" si="67"/>
        <v>798210440.5</v>
      </c>
      <c r="G240" s="20">
        <f t="shared" si="68"/>
        <v>0</v>
      </c>
      <c r="H240" s="18"/>
      <c r="I240" s="18"/>
      <c r="J240" s="18"/>
      <c r="K240" s="19">
        <f t="shared" si="69"/>
        <v>0</v>
      </c>
      <c r="L240" s="18"/>
      <c r="M240" s="18"/>
      <c r="N240" s="18"/>
      <c r="O240" s="19">
        <f t="shared" si="70"/>
        <v>0</v>
      </c>
      <c r="P240" s="21">
        <f t="shared" si="71"/>
        <v>0</v>
      </c>
      <c r="Q240" s="18"/>
      <c r="R240" s="18"/>
      <c r="S240" s="19">
        <f t="shared" si="72"/>
        <v>0</v>
      </c>
      <c r="T240" s="20">
        <f t="shared" si="73"/>
        <v>0.03</v>
      </c>
      <c r="U240" s="19">
        <f t="shared" si="74"/>
        <v>0</v>
      </c>
      <c r="V240" s="18"/>
      <c r="W240" s="19">
        <f t="shared" si="75"/>
        <v>0</v>
      </c>
      <c r="X240" s="19">
        <f t="shared" si="76"/>
        <v>0</v>
      </c>
      <c r="Y240" s="18"/>
      <c r="Z240" s="18"/>
      <c r="AA240" s="19">
        <f t="shared" si="77"/>
        <v>0</v>
      </c>
      <c r="AB240" s="17">
        <v>0</v>
      </c>
      <c r="AC240" s="18"/>
      <c r="AD240" s="18"/>
      <c r="AE240" s="22">
        <f t="shared" si="78"/>
        <v>0</v>
      </c>
      <c r="AF240" s="23">
        <f t="shared" si="79"/>
        <v>0</v>
      </c>
      <c r="AG240" s="23">
        <f t="shared" si="80"/>
        <v>0</v>
      </c>
      <c r="AH240" s="18"/>
      <c r="AI240" s="24">
        <f t="shared" si="81"/>
        <v>0</v>
      </c>
      <c r="AJ240" s="25">
        <v>0</v>
      </c>
      <c r="AK240" s="24">
        <f t="shared" si="82"/>
        <v>0</v>
      </c>
      <c r="AL240" s="22">
        <f t="shared" si="83"/>
        <v>0</v>
      </c>
      <c r="AM240" s="22">
        <f t="shared" si="84"/>
        <v>0</v>
      </c>
      <c r="AN240" s="22">
        <f t="shared" si="85"/>
        <v>0</v>
      </c>
      <c r="AO240" s="26" t="str">
        <f t="shared" si="86"/>
        <v/>
      </c>
      <c r="AP240" s="26" t="str">
        <f t="shared" si="87"/>
        <v>pre-launch</v>
      </c>
      <c r="AQ240" s="18"/>
      <c r="AR240" s="18"/>
    </row>
    <row r="241" spans="1:44" x14ac:dyDescent="0.25">
      <c r="A241" s="43">
        <v>45302</v>
      </c>
      <c r="B241" s="17">
        <v>791149862.89999998</v>
      </c>
      <c r="C241" s="17">
        <v>0</v>
      </c>
      <c r="D241" s="18"/>
      <c r="E241" s="19">
        <f t="shared" si="66"/>
        <v>791149862.89999998</v>
      </c>
      <c r="F241" s="19">
        <f t="shared" si="67"/>
        <v>791149862.89999998</v>
      </c>
      <c r="G241" s="20">
        <f t="shared" si="68"/>
        <v>0</v>
      </c>
      <c r="H241" s="18"/>
      <c r="I241" s="18"/>
      <c r="J241" s="18"/>
      <c r="K241" s="19">
        <f t="shared" si="69"/>
        <v>0</v>
      </c>
      <c r="L241" s="18"/>
      <c r="M241" s="18"/>
      <c r="N241" s="18"/>
      <c r="O241" s="19">
        <f t="shared" si="70"/>
        <v>0</v>
      </c>
      <c r="P241" s="21">
        <f t="shared" si="71"/>
        <v>0</v>
      </c>
      <c r="Q241" s="18"/>
      <c r="R241" s="18"/>
      <c r="S241" s="19">
        <f t="shared" si="72"/>
        <v>0</v>
      </c>
      <c r="T241" s="20">
        <f t="shared" si="73"/>
        <v>0.03</v>
      </c>
      <c r="U241" s="19">
        <f t="shared" si="74"/>
        <v>0</v>
      </c>
      <c r="V241" s="18"/>
      <c r="W241" s="19">
        <f t="shared" si="75"/>
        <v>0</v>
      </c>
      <c r="X241" s="19">
        <f t="shared" si="76"/>
        <v>0</v>
      </c>
      <c r="Y241" s="18"/>
      <c r="Z241" s="18"/>
      <c r="AA241" s="19">
        <f t="shared" si="77"/>
        <v>0</v>
      </c>
      <c r="AB241" s="17">
        <v>0</v>
      </c>
      <c r="AC241" s="18"/>
      <c r="AD241" s="18"/>
      <c r="AE241" s="22">
        <f t="shared" si="78"/>
        <v>0</v>
      </c>
      <c r="AF241" s="23">
        <f t="shared" si="79"/>
        <v>0</v>
      </c>
      <c r="AG241" s="23">
        <f t="shared" si="80"/>
        <v>0</v>
      </c>
      <c r="AH241" s="18"/>
      <c r="AI241" s="24">
        <f t="shared" si="81"/>
        <v>0</v>
      </c>
      <c r="AJ241" s="25">
        <v>0</v>
      </c>
      <c r="AK241" s="24">
        <f t="shared" si="82"/>
        <v>0</v>
      </c>
      <c r="AL241" s="22">
        <f t="shared" si="83"/>
        <v>0</v>
      </c>
      <c r="AM241" s="22">
        <f t="shared" si="84"/>
        <v>0</v>
      </c>
      <c r="AN241" s="22">
        <f t="shared" si="85"/>
        <v>0</v>
      </c>
      <c r="AO241" s="26" t="str">
        <f t="shared" si="86"/>
        <v/>
      </c>
      <c r="AP241" s="26" t="str">
        <f t="shared" si="87"/>
        <v>pre-launch</v>
      </c>
      <c r="AQ241" s="18"/>
      <c r="AR241" s="18"/>
    </row>
    <row r="242" spans="1:44" x14ac:dyDescent="0.25">
      <c r="A242" s="43">
        <v>45303</v>
      </c>
      <c r="B242" s="17">
        <v>936115702.83000004</v>
      </c>
      <c r="C242" s="17">
        <v>0</v>
      </c>
      <c r="D242" s="18"/>
      <c r="E242" s="19">
        <f t="shared" si="66"/>
        <v>936115702.83000004</v>
      </c>
      <c r="F242" s="19">
        <f t="shared" si="67"/>
        <v>936115702.83000004</v>
      </c>
      <c r="G242" s="20">
        <f t="shared" si="68"/>
        <v>0</v>
      </c>
      <c r="H242" s="18"/>
      <c r="I242" s="18"/>
      <c r="J242" s="18"/>
      <c r="K242" s="19">
        <f t="shared" si="69"/>
        <v>0</v>
      </c>
      <c r="L242" s="18"/>
      <c r="M242" s="18"/>
      <c r="N242" s="18"/>
      <c r="O242" s="19">
        <f t="shared" si="70"/>
        <v>0</v>
      </c>
      <c r="P242" s="21">
        <f t="shared" si="71"/>
        <v>0</v>
      </c>
      <c r="Q242" s="18"/>
      <c r="R242" s="18"/>
      <c r="S242" s="19">
        <f t="shared" si="72"/>
        <v>0</v>
      </c>
      <c r="T242" s="20">
        <f t="shared" si="73"/>
        <v>0.03</v>
      </c>
      <c r="U242" s="19">
        <f t="shared" si="74"/>
        <v>0</v>
      </c>
      <c r="V242" s="18"/>
      <c r="W242" s="19">
        <f t="shared" si="75"/>
        <v>0</v>
      </c>
      <c r="X242" s="19">
        <f t="shared" si="76"/>
        <v>0</v>
      </c>
      <c r="Y242" s="18"/>
      <c r="Z242" s="18"/>
      <c r="AA242" s="19">
        <f t="shared" si="77"/>
        <v>0</v>
      </c>
      <c r="AB242" s="17">
        <v>0</v>
      </c>
      <c r="AC242" s="18"/>
      <c r="AD242" s="18"/>
      <c r="AE242" s="22">
        <f t="shared" si="78"/>
        <v>0</v>
      </c>
      <c r="AF242" s="23">
        <f t="shared" si="79"/>
        <v>0</v>
      </c>
      <c r="AG242" s="23">
        <f t="shared" si="80"/>
        <v>0</v>
      </c>
      <c r="AH242" s="18"/>
      <c r="AI242" s="24">
        <f t="shared" si="81"/>
        <v>0</v>
      </c>
      <c r="AJ242" s="25">
        <v>0</v>
      </c>
      <c r="AK242" s="24">
        <f t="shared" si="82"/>
        <v>0</v>
      </c>
      <c r="AL242" s="22">
        <f t="shared" si="83"/>
        <v>0</v>
      </c>
      <c r="AM242" s="22">
        <f t="shared" si="84"/>
        <v>0</v>
      </c>
      <c r="AN242" s="22">
        <f t="shared" si="85"/>
        <v>0</v>
      </c>
      <c r="AO242" s="26" t="str">
        <f t="shared" si="86"/>
        <v/>
      </c>
      <c r="AP242" s="26" t="str">
        <f t="shared" si="87"/>
        <v>pre-launch</v>
      </c>
      <c r="AQ242" s="18"/>
      <c r="AR242" s="18"/>
    </row>
    <row r="243" spans="1:44" x14ac:dyDescent="0.25">
      <c r="A243" s="43">
        <v>45304</v>
      </c>
      <c r="B243" s="17">
        <v>411936005.93000001</v>
      </c>
      <c r="C243" s="17">
        <v>0</v>
      </c>
      <c r="D243" s="18"/>
      <c r="E243" s="19">
        <f t="shared" si="66"/>
        <v>411936005.93000001</v>
      </c>
      <c r="F243" s="19">
        <f t="shared" si="67"/>
        <v>411936005.93000001</v>
      </c>
      <c r="G243" s="20">
        <f t="shared" si="68"/>
        <v>0</v>
      </c>
      <c r="H243" s="18"/>
      <c r="I243" s="18"/>
      <c r="J243" s="18"/>
      <c r="K243" s="19">
        <f t="shared" si="69"/>
        <v>0</v>
      </c>
      <c r="L243" s="18"/>
      <c r="M243" s="18"/>
      <c r="N243" s="18"/>
      <c r="O243" s="19">
        <f t="shared" si="70"/>
        <v>0</v>
      </c>
      <c r="P243" s="21">
        <f t="shared" si="71"/>
        <v>0</v>
      </c>
      <c r="Q243" s="18"/>
      <c r="R243" s="18"/>
      <c r="S243" s="19">
        <f t="shared" si="72"/>
        <v>0</v>
      </c>
      <c r="T243" s="20">
        <f t="shared" si="73"/>
        <v>0.03</v>
      </c>
      <c r="U243" s="19">
        <f t="shared" si="74"/>
        <v>0</v>
      </c>
      <c r="V243" s="18"/>
      <c r="W243" s="19">
        <f t="shared" si="75"/>
        <v>0</v>
      </c>
      <c r="X243" s="19">
        <f t="shared" si="76"/>
        <v>0</v>
      </c>
      <c r="Y243" s="18"/>
      <c r="Z243" s="18"/>
      <c r="AA243" s="19">
        <f t="shared" si="77"/>
        <v>0</v>
      </c>
      <c r="AB243" s="17">
        <v>0</v>
      </c>
      <c r="AC243" s="18"/>
      <c r="AD243" s="18"/>
      <c r="AE243" s="22">
        <f t="shared" si="78"/>
        <v>0</v>
      </c>
      <c r="AF243" s="23">
        <f t="shared" si="79"/>
        <v>0</v>
      </c>
      <c r="AG243" s="23">
        <f t="shared" si="80"/>
        <v>0</v>
      </c>
      <c r="AH243" s="18"/>
      <c r="AI243" s="24">
        <f t="shared" si="81"/>
        <v>0</v>
      </c>
      <c r="AJ243" s="25">
        <v>0</v>
      </c>
      <c r="AK243" s="24">
        <f t="shared" si="82"/>
        <v>0</v>
      </c>
      <c r="AL243" s="22">
        <f t="shared" si="83"/>
        <v>0</v>
      </c>
      <c r="AM243" s="22">
        <f t="shared" si="84"/>
        <v>0</v>
      </c>
      <c r="AN243" s="22">
        <f t="shared" si="85"/>
        <v>0</v>
      </c>
      <c r="AO243" s="26" t="str">
        <f t="shared" si="86"/>
        <v/>
      </c>
      <c r="AP243" s="26" t="str">
        <f t="shared" si="87"/>
        <v>pre-launch</v>
      </c>
      <c r="AQ243" s="18"/>
      <c r="AR243" s="18"/>
    </row>
    <row r="244" spans="1:44" x14ac:dyDescent="0.25">
      <c r="A244" s="43">
        <v>45305</v>
      </c>
      <c r="B244" s="17">
        <v>416379901.66000003</v>
      </c>
      <c r="C244" s="17">
        <v>0</v>
      </c>
      <c r="D244" s="18"/>
      <c r="E244" s="19">
        <f t="shared" si="66"/>
        <v>416379901.66000003</v>
      </c>
      <c r="F244" s="19">
        <f t="shared" si="67"/>
        <v>416379901.66000003</v>
      </c>
      <c r="G244" s="20">
        <f t="shared" si="68"/>
        <v>0</v>
      </c>
      <c r="H244" s="18"/>
      <c r="I244" s="18"/>
      <c r="J244" s="18"/>
      <c r="K244" s="19">
        <f t="shared" si="69"/>
        <v>0</v>
      </c>
      <c r="L244" s="18"/>
      <c r="M244" s="18"/>
      <c r="N244" s="18"/>
      <c r="O244" s="19">
        <f t="shared" si="70"/>
        <v>0</v>
      </c>
      <c r="P244" s="21">
        <f t="shared" si="71"/>
        <v>0</v>
      </c>
      <c r="Q244" s="18"/>
      <c r="R244" s="18"/>
      <c r="S244" s="19">
        <f t="shared" si="72"/>
        <v>0</v>
      </c>
      <c r="T244" s="20">
        <f t="shared" si="73"/>
        <v>0.03</v>
      </c>
      <c r="U244" s="19">
        <f t="shared" si="74"/>
        <v>0</v>
      </c>
      <c r="V244" s="18"/>
      <c r="W244" s="19">
        <f t="shared" si="75"/>
        <v>0</v>
      </c>
      <c r="X244" s="19">
        <f t="shared" si="76"/>
        <v>0</v>
      </c>
      <c r="Y244" s="18"/>
      <c r="Z244" s="18"/>
      <c r="AA244" s="19">
        <f t="shared" si="77"/>
        <v>0</v>
      </c>
      <c r="AB244" s="17">
        <v>0</v>
      </c>
      <c r="AC244" s="18"/>
      <c r="AD244" s="18"/>
      <c r="AE244" s="22">
        <f t="shared" si="78"/>
        <v>0</v>
      </c>
      <c r="AF244" s="23">
        <f t="shared" si="79"/>
        <v>0</v>
      </c>
      <c r="AG244" s="23">
        <f t="shared" si="80"/>
        <v>0</v>
      </c>
      <c r="AH244" s="18"/>
      <c r="AI244" s="24">
        <f t="shared" si="81"/>
        <v>0</v>
      </c>
      <c r="AJ244" s="25">
        <v>0</v>
      </c>
      <c r="AK244" s="24">
        <f t="shared" si="82"/>
        <v>0</v>
      </c>
      <c r="AL244" s="22">
        <f t="shared" si="83"/>
        <v>0</v>
      </c>
      <c r="AM244" s="22">
        <f t="shared" si="84"/>
        <v>0</v>
      </c>
      <c r="AN244" s="22">
        <f t="shared" si="85"/>
        <v>0</v>
      </c>
      <c r="AO244" s="26" t="str">
        <f t="shared" si="86"/>
        <v/>
      </c>
      <c r="AP244" s="26" t="str">
        <f t="shared" si="87"/>
        <v>pre-launch</v>
      </c>
      <c r="AQ244" s="18"/>
      <c r="AR244" s="18"/>
    </row>
    <row r="245" spans="1:44" x14ac:dyDescent="0.25">
      <c r="A245" s="43">
        <v>45306</v>
      </c>
      <c r="B245" s="17">
        <v>440621686.30000001</v>
      </c>
      <c r="C245" s="17">
        <v>0</v>
      </c>
      <c r="D245" s="18"/>
      <c r="E245" s="19">
        <f t="shared" si="66"/>
        <v>440621686.30000001</v>
      </c>
      <c r="F245" s="19">
        <f t="shared" si="67"/>
        <v>440621686.30000001</v>
      </c>
      <c r="G245" s="20">
        <f t="shared" si="68"/>
        <v>0</v>
      </c>
      <c r="H245" s="18"/>
      <c r="I245" s="18"/>
      <c r="J245" s="18"/>
      <c r="K245" s="19">
        <f t="shared" si="69"/>
        <v>0</v>
      </c>
      <c r="L245" s="18"/>
      <c r="M245" s="18"/>
      <c r="N245" s="18"/>
      <c r="O245" s="19">
        <f t="shared" si="70"/>
        <v>0</v>
      </c>
      <c r="P245" s="21">
        <f t="shared" si="71"/>
        <v>0</v>
      </c>
      <c r="Q245" s="18"/>
      <c r="R245" s="18"/>
      <c r="S245" s="19">
        <f t="shared" si="72"/>
        <v>0</v>
      </c>
      <c r="T245" s="20">
        <f t="shared" si="73"/>
        <v>0.03</v>
      </c>
      <c r="U245" s="19">
        <f t="shared" si="74"/>
        <v>0</v>
      </c>
      <c r="V245" s="18"/>
      <c r="W245" s="19">
        <f t="shared" si="75"/>
        <v>0</v>
      </c>
      <c r="X245" s="19">
        <f t="shared" si="76"/>
        <v>0</v>
      </c>
      <c r="Y245" s="18"/>
      <c r="Z245" s="18"/>
      <c r="AA245" s="19">
        <f t="shared" si="77"/>
        <v>0</v>
      </c>
      <c r="AB245" s="17">
        <v>0</v>
      </c>
      <c r="AC245" s="18"/>
      <c r="AD245" s="18"/>
      <c r="AE245" s="22">
        <f t="shared" si="78"/>
        <v>0</v>
      </c>
      <c r="AF245" s="23">
        <f t="shared" si="79"/>
        <v>0</v>
      </c>
      <c r="AG245" s="23">
        <f t="shared" si="80"/>
        <v>0</v>
      </c>
      <c r="AH245" s="18"/>
      <c r="AI245" s="24">
        <f t="shared" si="81"/>
        <v>0</v>
      </c>
      <c r="AJ245" s="25">
        <v>0</v>
      </c>
      <c r="AK245" s="24">
        <f t="shared" si="82"/>
        <v>0</v>
      </c>
      <c r="AL245" s="22">
        <f t="shared" si="83"/>
        <v>0</v>
      </c>
      <c r="AM245" s="22">
        <f t="shared" si="84"/>
        <v>0</v>
      </c>
      <c r="AN245" s="22">
        <f t="shared" si="85"/>
        <v>0</v>
      </c>
      <c r="AO245" s="26" t="str">
        <f t="shared" si="86"/>
        <v/>
      </c>
      <c r="AP245" s="26" t="str">
        <f t="shared" si="87"/>
        <v>pre-launch</v>
      </c>
      <c r="AQ245" s="18"/>
      <c r="AR245" s="18"/>
    </row>
    <row r="246" spans="1:44" x14ac:dyDescent="0.25">
      <c r="A246" s="43">
        <v>45307</v>
      </c>
      <c r="B246" s="17">
        <v>529081536.00999999</v>
      </c>
      <c r="C246" s="17">
        <v>0</v>
      </c>
      <c r="D246" s="18"/>
      <c r="E246" s="19">
        <f t="shared" si="66"/>
        <v>529081536.00999999</v>
      </c>
      <c r="F246" s="19">
        <f t="shared" si="67"/>
        <v>529081536.00999999</v>
      </c>
      <c r="G246" s="20">
        <f t="shared" si="68"/>
        <v>0</v>
      </c>
      <c r="H246" s="18"/>
      <c r="I246" s="18"/>
      <c r="J246" s="18"/>
      <c r="K246" s="19">
        <f t="shared" si="69"/>
        <v>0</v>
      </c>
      <c r="L246" s="18"/>
      <c r="M246" s="18"/>
      <c r="N246" s="18"/>
      <c r="O246" s="19">
        <f t="shared" si="70"/>
        <v>0</v>
      </c>
      <c r="P246" s="21">
        <f t="shared" si="71"/>
        <v>0</v>
      </c>
      <c r="Q246" s="18"/>
      <c r="R246" s="18"/>
      <c r="S246" s="19">
        <f t="shared" si="72"/>
        <v>0</v>
      </c>
      <c r="T246" s="20">
        <f t="shared" si="73"/>
        <v>0.03</v>
      </c>
      <c r="U246" s="19">
        <f t="shared" si="74"/>
        <v>0</v>
      </c>
      <c r="V246" s="18"/>
      <c r="W246" s="19">
        <f t="shared" si="75"/>
        <v>0</v>
      </c>
      <c r="X246" s="19">
        <f t="shared" si="76"/>
        <v>0</v>
      </c>
      <c r="Y246" s="18"/>
      <c r="Z246" s="18"/>
      <c r="AA246" s="19">
        <f t="shared" si="77"/>
        <v>0</v>
      </c>
      <c r="AB246" s="17">
        <v>0</v>
      </c>
      <c r="AC246" s="18"/>
      <c r="AD246" s="18"/>
      <c r="AE246" s="22">
        <f t="shared" si="78"/>
        <v>0</v>
      </c>
      <c r="AF246" s="23">
        <f t="shared" si="79"/>
        <v>0</v>
      </c>
      <c r="AG246" s="23">
        <f t="shared" si="80"/>
        <v>0</v>
      </c>
      <c r="AH246" s="18"/>
      <c r="AI246" s="24">
        <f t="shared" si="81"/>
        <v>0</v>
      </c>
      <c r="AJ246" s="25">
        <v>0</v>
      </c>
      <c r="AK246" s="24">
        <f t="shared" si="82"/>
        <v>0</v>
      </c>
      <c r="AL246" s="22">
        <f t="shared" si="83"/>
        <v>0</v>
      </c>
      <c r="AM246" s="22">
        <f t="shared" si="84"/>
        <v>0</v>
      </c>
      <c r="AN246" s="22">
        <f t="shared" si="85"/>
        <v>0</v>
      </c>
      <c r="AO246" s="26" t="str">
        <f t="shared" si="86"/>
        <v/>
      </c>
      <c r="AP246" s="26" t="str">
        <f t="shared" si="87"/>
        <v>pre-launch</v>
      </c>
      <c r="AQ246" s="18"/>
      <c r="AR246" s="18"/>
    </row>
    <row r="247" spans="1:44" x14ac:dyDescent="0.25">
      <c r="A247" s="43">
        <v>45308</v>
      </c>
      <c r="B247" s="17">
        <v>504135057.43000001</v>
      </c>
      <c r="C247" s="17">
        <v>0</v>
      </c>
      <c r="D247" s="18"/>
      <c r="E247" s="19">
        <f t="shared" si="66"/>
        <v>504135057.43000001</v>
      </c>
      <c r="F247" s="19">
        <f t="shared" si="67"/>
        <v>504135057.43000001</v>
      </c>
      <c r="G247" s="20">
        <f t="shared" si="68"/>
        <v>0</v>
      </c>
      <c r="H247" s="18"/>
      <c r="I247" s="18"/>
      <c r="J247" s="18"/>
      <c r="K247" s="19">
        <f t="shared" si="69"/>
        <v>0</v>
      </c>
      <c r="L247" s="18"/>
      <c r="M247" s="18"/>
      <c r="N247" s="18"/>
      <c r="O247" s="19">
        <f t="shared" si="70"/>
        <v>0</v>
      </c>
      <c r="P247" s="21">
        <f t="shared" si="71"/>
        <v>0</v>
      </c>
      <c r="Q247" s="18"/>
      <c r="R247" s="18"/>
      <c r="S247" s="19">
        <f t="shared" si="72"/>
        <v>0</v>
      </c>
      <c r="T247" s="20">
        <f t="shared" si="73"/>
        <v>0.03</v>
      </c>
      <c r="U247" s="19">
        <f t="shared" si="74"/>
        <v>0</v>
      </c>
      <c r="V247" s="18"/>
      <c r="W247" s="19">
        <f t="shared" si="75"/>
        <v>0</v>
      </c>
      <c r="X247" s="19">
        <f t="shared" si="76"/>
        <v>0</v>
      </c>
      <c r="Y247" s="18"/>
      <c r="Z247" s="18"/>
      <c r="AA247" s="19">
        <f t="shared" si="77"/>
        <v>0</v>
      </c>
      <c r="AB247" s="17">
        <v>0</v>
      </c>
      <c r="AC247" s="18"/>
      <c r="AD247" s="18"/>
      <c r="AE247" s="22">
        <f t="shared" si="78"/>
        <v>0</v>
      </c>
      <c r="AF247" s="23">
        <f t="shared" si="79"/>
        <v>0</v>
      </c>
      <c r="AG247" s="23">
        <f t="shared" si="80"/>
        <v>0</v>
      </c>
      <c r="AH247" s="18"/>
      <c r="AI247" s="24">
        <f t="shared" si="81"/>
        <v>0</v>
      </c>
      <c r="AJ247" s="25">
        <v>0</v>
      </c>
      <c r="AK247" s="24">
        <f t="shared" si="82"/>
        <v>0</v>
      </c>
      <c r="AL247" s="22">
        <f t="shared" si="83"/>
        <v>0</v>
      </c>
      <c r="AM247" s="22">
        <f t="shared" si="84"/>
        <v>0</v>
      </c>
      <c r="AN247" s="22">
        <f t="shared" si="85"/>
        <v>0</v>
      </c>
      <c r="AO247" s="26" t="str">
        <f t="shared" si="86"/>
        <v/>
      </c>
      <c r="AP247" s="26" t="str">
        <f t="shared" si="87"/>
        <v>pre-launch</v>
      </c>
      <c r="AQ247" s="18"/>
      <c r="AR247" s="18"/>
    </row>
    <row r="248" spans="1:44" x14ac:dyDescent="0.25">
      <c r="A248" s="43">
        <v>45309</v>
      </c>
      <c r="B248" s="17">
        <v>566838003.20000005</v>
      </c>
      <c r="C248" s="17">
        <v>0</v>
      </c>
      <c r="D248" s="18"/>
      <c r="E248" s="19">
        <f t="shared" si="66"/>
        <v>566838003.20000005</v>
      </c>
      <c r="F248" s="19">
        <f t="shared" si="67"/>
        <v>566838003.20000005</v>
      </c>
      <c r="G248" s="20">
        <f t="shared" si="68"/>
        <v>0</v>
      </c>
      <c r="H248" s="18"/>
      <c r="I248" s="18"/>
      <c r="J248" s="18"/>
      <c r="K248" s="19">
        <f t="shared" si="69"/>
        <v>0</v>
      </c>
      <c r="L248" s="18"/>
      <c r="M248" s="18"/>
      <c r="N248" s="18"/>
      <c r="O248" s="19">
        <f t="shared" si="70"/>
        <v>0</v>
      </c>
      <c r="P248" s="21">
        <f t="shared" si="71"/>
        <v>0</v>
      </c>
      <c r="Q248" s="18"/>
      <c r="R248" s="18"/>
      <c r="S248" s="19">
        <f t="shared" si="72"/>
        <v>0</v>
      </c>
      <c r="T248" s="20">
        <f t="shared" si="73"/>
        <v>0.03</v>
      </c>
      <c r="U248" s="19">
        <f t="shared" si="74"/>
        <v>0</v>
      </c>
      <c r="V248" s="18"/>
      <c r="W248" s="19">
        <f t="shared" si="75"/>
        <v>0</v>
      </c>
      <c r="X248" s="19">
        <f t="shared" si="76"/>
        <v>0</v>
      </c>
      <c r="Y248" s="18"/>
      <c r="Z248" s="18"/>
      <c r="AA248" s="19">
        <f t="shared" si="77"/>
        <v>0</v>
      </c>
      <c r="AB248" s="17">
        <v>0</v>
      </c>
      <c r="AC248" s="18"/>
      <c r="AD248" s="18"/>
      <c r="AE248" s="22">
        <f t="shared" si="78"/>
        <v>0</v>
      </c>
      <c r="AF248" s="23">
        <f t="shared" si="79"/>
        <v>0</v>
      </c>
      <c r="AG248" s="23">
        <f t="shared" si="80"/>
        <v>0</v>
      </c>
      <c r="AH248" s="18"/>
      <c r="AI248" s="24">
        <f t="shared" si="81"/>
        <v>0</v>
      </c>
      <c r="AJ248" s="25">
        <v>0</v>
      </c>
      <c r="AK248" s="24">
        <f t="shared" si="82"/>
        <v>0</v>
      </c>
      <c r="AL248" s="22">
        <f t="shared" si="83"/>
        <v>0</v>
      </c>
      <c r="AM248" s="22">
        <f t="shared" si="84"/>
        <v>0</v>
      </c>
      <c r="AN248" s="22">
        <f t="shared" si="85"/>
        <v>0</v>
      </c>
      <c r="AO248" s="26" t="str">
        <f t="shared" si="86"/>
        <v/>
      </c>
      <c r="AP248" s="26" t="str">
        <f t="shared" si="87"/>
        <v>pre-launch</v>
      </c>
      <c r="AQ248" s="18"/>
      <c r="AR248" s="18"/>
    </row>
    <row r="249" spans="1:44" x14ac:dyDescent="0.25">
      <c r="A249" s="43">
        <v>45310</v>
      </c>
      <c r="B249" s="17">
        <v>635265123.00999999</v>
      </c>
      <c r="C249" s="17">
        <v>0</v>
      </c>
      <c r="D249" s="18"/>
      <c r="E249" s="19">
        <f t="shared" si="66"/>
        <v>635265123.00999999</v>
      </c>
      <c r="F249" s="19">
        <f t="shared" si="67"/>
        <v>635265123.00999999</v>
      </c>
      <c r="G249" s="20">
        <f t="shared" si="68"/>
        <v>0</v>
      </c>
      <c r="H249" s="18"/>
      <c r="I249" s="18"/>
      <c r="J249" s="18"/>
      <c r="K249" s="19">
        <f t="shared" si="69"/>
        <v>0</v>
      </c>
      <c r="L249" s="18"/>
      <c r="M249" s="18"/>
      <c r="N249" s="18"/>
      <c r="O249" s="19">
        <f t="shared" si="70"/>
        <v>0</v>
      </c>
      <c r="P249" s="21">
        <f t="shared" si="71"/>
        <v>0</v>
      </c>
      <c r="Q249" s="18"/>
      <c r="R249" s="18"/>
      <c r="S249" s="19">
        <f t="shared" si="72"/>
        <v>0</v>
      </c>
      <c r="T249" s="20">
        <f t="shared" si="73"/>
        <v>0.03</v>
      </c>
      <c r="U249" s="19">
        <f t="shared" si="74"/>
        <v>0</v>
      </c>
      <c r="V249" s="18"/>
      <c r="W249" s="19">
        <f t="shared" si="75"/>
        <v>0</v>
      </c>
      <c r="X249" s="19">
        <f t="shared" si="76"/>
        <v>0</v>
      </c>
      <c r="Y249" s="18"/>
      <c r="Z249" s="18"/>
      <c r="AA249" s="19">
        <f t="shared" si="77"/>
        <v>0</v>
      </c>
      <c r="AB249" s="17">
        <v>0</v>
      </c>
      <c r="AC249" s="18"/>
      <c r="AD249" s="18"/>
      <c r="AE249" s="22">
        <f t="shared" si="78"/>
        <v>0</v>
      </c>
      <c r="AF249" s="23">
        <f t="shared" si="79"/>
        <v>0</v>
      </c>
      <c r="AG249" s="23">
        <f t="shared" si="80"/>
        <v>0</v>
      </c>
      <c r="AH249" s="18"/>
      <c r="AI249" s="24">
        <f t="shared" si="81"/>
        <v>0</v>
      </c>
      <c r="AJ249" s="25">
        <v>0</v>
      </c>
      <c r="AK249" s="24">
        <f t="shared" si="82"/>
        <v>0</v>
      </c>
      <c r="AL249" s="22">
        <f t="shared" si="83"/>
        <v>0</v>
      </c>
      <c r="AM249" s="22">
        <f t="shared" si="84"/>
        <v>0</v>
      </c>
      <c r="AN249" s="22">
        <f t="shared" si="85"/>
        <v>0</v>
      </c>
      <c r="AO249" s="26" t="str">
        <f t="shared" si="86"/>
        <v/>
      </c>
      <c r="AP249" s="26" t="str">
        <f t="shared" si="87"/>
        <v>pre-launch</v>
      </c>
      <c r="AQ249" s="18"/>
      <c r="AR249" s="18"/>
    </row>
    <row r="250" spans="1:44" x14ac:dyDescent="0.25">
      <c r="A250" s="43">
        <v>45311</v>
      </c>
      <c r="B250" s="17">
        <v>333190433.36000001</v>
      </c>
      <c r="C250" s="17">
        <v>0</v>
      </c>
      <c r="D250" s="18"/>
      <c r="E250" s="19">
        <f t="shared" si="66"/>
        <v>333190433.36000001</v>
      </c>
      <c r="F250" s="19">
        <f t="shared" si="67"/>
        <v>333190433.36000001</v>
      </c>
      <c r="G250" s="20">
        <f t="shared" si="68"/>
        <v>0</v>
      </c>
      <c r="H250" s="18"/>
      <c r="I250" s="18"/>
      <c r="J250" s="18"/>
      <c r="K250" s="19">
        <f t="shared" si="69"/>
        <v>0</v>
      </c>
      <c r="L250" s="18"/>
      <c r="M250" s="18"/>
      <c r="N250" s="18"/>
      <c r="O250" s="19">
        <f t="shared" si="70"/>
        <v>0</v>
      </c>
      <c r="P250" s="21">
        <f t="shared" si="71"/>
        <v>0</v>
      </c>
      <c r="Q250" s="18"/>
      <c r="R250" s="18"/>
      <c r="S250" s="19">
        <f t="shared" si="72"/>
        <v>0</v>
      </c>
      <c r="T250" s="20">
        <f t="shared" si="73"/>
        <v>0.03</v>
      </c>
      <c r="U250" s="19">
        <f t="shared" si="74"/>
        <v>0</v>
      </c>
      <c r="V250" s="18"/>
      <c r="W250" s="19">
        <f t="shared" si="75"/>
        <v>0</v>
      </c>
      <c r="X250" s="19">
        <f t="shared" si="76"/>
        <v>0</v>
      </c>
      <c r="Y250" s="18"/>
      <c r="Z250" s="18"/>
      <c r="AA250" s="19">
        <f t="shared" si="77"/>
        <v>0</v>
      </c>
      <c r="AB250" s="17">
        <v>0</v>
      </c>
      <c r="AC250" s="18"/>
      <c r="AD250" s="18"/>
      <c r="AE250" s="22">
        <f t="shared" si="78"/>
        <v>0</v>
      </c>
      <c r="AF250" s="23">
        <f t="shared" si="79"/>
        <v>0</v>
      </c>
      <c r="AG250" s="23">
        <f t="shared" si="80"/>
        <v>0</v>
      </c>
      <c r="AH250" s="18"/>
      <c r="AI250" s="24">
        <f t="shared" si="81"/>
        <v>0</v>
      </c>
      <c r="AJ250" s="25">
        <v>0</v>
      </c>
      <c r="AK250" s="24">
        <f t="shared" si="82"/>
        <v>0</v>
      </c>
      <c r="AL250" s="22">
        <f t="shared" si="83"/>
        <v>0</v>
      </c>
      <c r="AM250" s="22">
        <f t="shared" si="84"/>
        <v>0</v>
      </c>
      <c r="AN250" s="22">
        <f t="shared" si="85"/>
        <v>0</v>
      </c>
      <c r="AO250" s="26" t="str">
        <f t="shared" si="86"/>
        <v/>
      </c>
      <c r="AP250" s="26" t="str">
        <f t="shared" si="87"/>
        <v>pre-launch</v>
      </c>
      <c r="AQ250" s="18"/>
      <c r="AR250" s="18"/>
    </row>
    <row r="251" spans="1:44" x14ac:dyDescent="0.25">
      <c r="A251" s="43">
        <v>45312</v>
      </c>
      <c r="B251" s="17">
        <v>306680328.93000001</v>
      </c>
      <c r="C251" s="17">
        <v>0</v>
      </c>
      <c r="D251" s="18"/>
      <c r="E251" s="19">
        <f t="shared" si="66"/>
        <v>306680328.93000001</v>
      </c>
      <c r="F251" s="19">
        <f t="shared" si="67"/>
        <v>306680328.93000001</v>
      </c>
      <c r="G251" s="20">
        <f t="shared" si="68"/>
        <v>0</v>
      </c>
      <c r="H251" s="18"/>
      <c r="I251" s="18"/>
      <c r="J251" s="18"/>
      <c r="K251" s="19">
        <f t="shared" si="69"/>
        <v>0</v>
      </c>
      <c r="L251" s="18"/>
      <c r="M251" s="18"/>
      <c r="N251" s="18"/>
      <c r="O251" s="19">
        <f t="shared" si="70"/>
        <v>0</v>
      </c>
      <c r="P251" s="21">
        <f t="shared" si="71"/>
        <v>0</v>
      </c>
      <c r="Q251" s="18"/>
      <c r="R251" s="18"/>
      <c r="S251" s="19">
        <f t="shared" si="72"/>
        <v>0</v>
      </c>
      <c r="T251" s="20">
        <f t="shared" si="73"/>
        <v>0.03</v>
      </c>
      <c r="U251" s="19">
        <f t="shared" si="74"/>
        <v>0</v>
      </c>
      <c r="V251" s="18"/>
      <c r="W251" s="19">
        <f t="shared" si="75"/>
        <v>0</v>
      </c>
      <c r="X251" s="19">
        <f t="shared" si="76"/>
        <v>0</v>
      </c>
      <c r="Y251" s="18"/>
      <c r="Z251" s="18"/>
      <c r="AA251" s="19">
        <f t="shared" si="77"/>
        <v>0</v>
      </c>
      <c r="AB251" s="17">
        <v>0</v>
      </c>
      <c r="AC251" s="18"/>
      <c r="AD251" s="18"/>
      <c r="AE251" s="22">
        <f t="shared" si="78"/>
        <v>0</v>
      </c>
      <c r="AF251" s="23">
        <f t="shared" si="79"/>
        <v>0</v>
      </c>
      <c r="AG251" s="23">
        <f t="shared" si="80"/>
        <v>0</v>
      </c>
      <c r="AH251" s="18"/>
      <c r="AI251" s="24">
        <f t="shared" si="81"/>
        <v>0</v>
      </c>
      <c r="AJ251" s="25">
        <v>0</v>
      </c>
      <c r="AK251" s="24">
        <f t="shared" si="82"/>
        <v>0</v>
      </c>
      <c r="AL251" s="22">
        <f t="shared" si="83"/>
        <v>0</v>
      </c>
      <c r="AM251" s="22">
        <f t="shared" si="84"/>
        <v>0</v>
      </c>
      <c r="AN251" s="22">
        <f t="shared" si="85"/>
        <v>0</v>
      </c>
      <c r="AO251" s="26" t="str">
        <f t="shared" si="86"/>
        <v/>
      </c>
      <c r="AP251" s="26" t="str">
        <f t="shared" si="87"/>
        <v>pre-launch</v>
      </c>
      <c r="AQ251" s="18"/>
      <c r="AR251" s="18"/>
    </row>
    <row r="252" spans="1:44" x14ac:dyDescent="0.25">
      <c r="A252" s="43">
        <v>45313</v>
      </c>
      <c r="B252" s="17">
        <v>686059006.79999995</v>
      </c>
      <c r="C252" s="17">
        <v>0</v>
      </c>
      <c r="D252" s="18"/>
      <c r="E252" s="19">
        <f t="shared" si="66"/>
        <v>686059006.79999995</v>
      </c>
      <c r="F252" s="19">
        <f t="shared" si="67"/>
        <v>686059006.79999995</v>
      </c>
      <c r="G252" s="20">
        <f t="shared" si="68"/>
        <v>0</v>
      </c>
      <c r="H252" s="18"/>
      <c r="I252" s="18"/>
      <c r="J252" s="18"/>
      <c r="K252" s="19">
        <f t="shared" si="69"/>
        <v>0</v>
      </c>
      <c r="L252" s="18"/>
      <c r="M252" s="18"/>
      <c r="N252" s="18"/>
      <c r="O252" s="19">
        <f t="shared" si="70"/>
        <v>0</v>
      </c>
      <c r="P252" s="21">
        <f t="shared" si="71"/>
        <v>0</v>
      </c>
      <c r="Q252" s="18"/>
      <c r="R252" s="18"/>
      <c r="S252" s="19">
        <f t="shared" si="72"/>
        <v>0</v>
      </c>
      <c r="T252" s="20">
        <f t="shared" si="73"/>
        <v>0.03</v>
      </c>
      <c r="U252" s="19">
        <f t="shared" si="74"/>
        <v>0</v>
      </c>
      <c r="V252" s="18"/>
      <c r="W252" s="19">
        <f t="shared" si="75"/>
        <v>0</v>
      </c>
      <c r="X252" s="19">
        <f t="shared" si="76"/>
        <v>0</v>
      </c>
      <c r="Y252" s="18"/>
      <c r="Z252" s="18"/>
      <c r="AA252" s="19">
        <f t="shared" si="77"/>
        <v>0</v>
      </c>
      <c r="AB252" s="17">
        <v>0</v>
      </c>
      <c r="AC252" s="18"/>
      <c r="AD252" s="18"/>
      <c r="AE252" s="22">
        <f t="shared" si="78"/>
        <v>0</v>
      </c>
      <c r="AF252" s="23">
        <f t="shared" si="79"/>
        <v>0</v>
      </c>
      <c r="AG252" s="23">
        <f t="shared" si="80"/>
        <v>0</v>
      </c>
      <c r="AH252" s="18"/>
      <c r="AI252" s="24">
        <f t="shared" si="81"/>
        <v>0</v>
      </c>
      <c r="AJ252" s="25">
        <v>0</v>
      </c>
      <c r="AK252" s="24">
        <f t="shared" si="82"/>
        <v>0</v>
      </c>
      <c r="AL252" s="22">
        <f t="shared" si="83"/>
        <v>0</v>
      </c>
      <c r="AM252" s="22">
        <f t="shared" si="84"/>
        <v>0</v>
      </c>
      <c r="AN252" s="22">
        <f t="shared" si="85"/>
        <v>0</v>
      </c>
      <c r="AO252" s="26" t="str">
        <f t="shared" si="86"/>
        <v/>
      </c>
      <c r="AP252" s="26" t="str">
        <f t="shared" si="87"/>
        <v>pre-launch</v>
      </c>
      <c r="AQ252" s="18"/>
      <c r="AR252" s="18"/>
    </row>
    <row r="253" spans="1:44" x14ac:dyDescent="0.25">
      <c r="A253" s="43">
        <v>45314</v>
      </c>
      <c r="B253" s="17">
        <v>682413410.38999999</v>
      </c>
      <c r="C253" s="17">
        <v>0</v>
      </c>
      <c r="D253" s="18"/>
      <c r="E253" s="19">
        <f t="shared" si="66"/>
        <v>682413410.38999999</v>
      </c>
      <c r="F253" s="19">
        <f t="shared" si="67"/>
        <v>682413410.38999999</v>
      </c>
      <c r="G253" s="20">
        <f t="shared" si="68"/>
        <v>0</v>
      </c>
      <c r="H253" s="18"/>
      <c r="I253" s="18"/>
      <c r="J253" s="18"/>
      <c r="K253" s="19">
        <f t="shared" si="69"/>
        <v>0</v>
      </c>
      <c r="L253" s="18"/>
      <c r="M253" s="18"/>
      <c r="N253" s="18"/>
      <c r="O253" s="19">
        <f t="shared" si="70"/>
        <v>0</v>
      </c>
      <c r="P253" s="21">
        <f t="shared" si="71"/>
        <v>0</v>
      </c>
      <c r="Q253" s="18"/>
      <c r="R253" s="18"/>
      <c r="S253" s="19">
        <f t="shared" si="72"/>
        <v>0</v>
      </c>
      <c r="T253" s="20">
        <f t="shared" si="73"/>
        <v>0.03</v>
      </c>
      <c r="U253" s="19">
        <f t="shared" si="74"/>
        <v>0</v>
      </c>
      <c r="V253" s="18"/>
      <c r="W253" s="19">
        <f t="shared" si="75"/>
        <v>0</v>
      </c>
      <c r="X253" s="19">
        <f t="shared" si="76"/>
        <v>0</v>
      </c>
      <c r="Y253" s="18"/>
      <c r="Z253" s="18"/>
      <c r="AA253" s="19">
        <f t="shared" si="77"/>
        <v>0</v>
      </c>
      <c r="AB253" s="17">
        <v>0</v>
      </c>
      <c r="AC253" s="18"/>
      <c r="AD253" s="18"/>
      <c r="AE253" s="22">
        <f t="shared" si="78"/>
        <v>0</v>
      </c>
      <c r="AF253" s="23">
        <f t="shared" si="79"/>
        <v>0</v>
      </c>
      <c r="AG253" s="23">
        <f t="shared" si="80"/>
        <v>0</v>
      </c>
      <c r="AH253" s="18"/>
      <c r="AI253" s="24">
        <f t="shared" si="81"/>
        <v>0</v>
      </c>
      <c r="AJ253" s="25">
        <v>0</v>
      </c>
      <c r="AK253" s="24">
        <f t="shared" si="82"/>
        <v>0</v>
      </c>
      <c r="AL253" s="22">
        <f t="shared" si="83"/>
        <v>0</v>
      </c>
      <c r="AM253" s="22">
        <f t="shared" si="84"/>
        <v>0</v>
      </c>
      <c r="AN253" s="22">
        <f t="shared" si="85"/>
        <v>0</v>
      </c>
      <c r="AO253" s="26" t="str">
        <f t="shared" si="86"/>
        <v/>
      </c>
      <c r="AP253" s="26" t="str">
        <f t="shared" si="87"/>
        <v>pre-launch</v>
      </c>
      <c r="AQ253" s="18"/>
      <c r="AR253" s="18"/>
    </row>
    <row r="254" spans="1:44" x14ac:dyDescent="0.25">
      <c r="A254" s="43">
        <v>45315</v>
      </c>
      <c r="B254" s="17">
        <v>426660998.63999999</v>
      </c>
      <c r="C254" s="17">
        <v>0</v>
      </c>
      <c r="D254" s="18"/>
      <c r="E254" s="19">
        <f t="shared" si="66"/>
        <v>426660998.63999999</v>
      </c>
      <c r="F254" s="19">
        <f t="shared" si="67"/>
        <v>426660998.63999999</v>
      </c>
      <c r="G254" s="20">
        <f t="shared" si="68"/>
        <v>0</v>
      </c>
      <c r="H254" s="18"/>
      <c r="I254" s="18"/>
      <c r="J254" s="18"/>
      <c r="K254" s="19">
        <f t="shared" si="69"/>
        <v>0</v>
      </c>
      <c r="L254" s="18"/>
      <c r="M254" s="18"/>
      <c r="N254" s="18"/>
      <c r="O254" s="19">
        <f t="shared" si="70"/>
        <v>0</v>
      </c>
      <c r="P254" s="21">
        <f t="shared" si="71"/>
        <v>0</v>
      </c>
      <c r="Q254" s="18"/>
      <c r="R254" s="18"/>
      <c r="S254" s="19">
        <f t="shared" si="72"/>
        <v>0</v>
      </c>
      <c r="T254" s="20">
        <f t="shared" si="73"/>
        <v>0.03</v>
      </c>
      <c r="U254" s="19">
        <f t="shared" si="74"/>
        <v>0</v>
      </c>
      <c r="V254" s="18"/>
      <c r="W254" s="19">
        <f t="shared" si="75"/>
        <v>0</v>
      </c>
      <c r="X254" s="19">
        <f t="shared" si="76"/>
        <v>0</v>
      </c>
      <c r="Y254" s="18"/>
      <c r="Z254" s="18"/>
      <c r="AA254" s="19">
        <f t="shared" si="77"/>
        <v>0</v>
      </c>
      <c r="AB254" s="17">
        <v>0</v>
      </c>
      <c r="AC254" s="18"/>
      <c r="AD254" s="18"/>
      <c r="AE254" s="22">
        <f t="shared" si="78"/>
        <v>0</v>
      </c>
      <c r="AF254" s="23">
        <f t="shared" si="79"/>
        <v>0</v>
      </c>
      <c r="AG254" s="23">
        <f t="shared" si="80"/>
        <v>0</v>
      </c>
      <c r="AH254" s="18"/>
      <c r="AI254" s="24">
        <f t="shared" si="81"/>
        <v>0</v>
      </c>
      <c r="AJ254" s="25">
        <v>0</v>
      </c>
      <c r="AK254" s="24">
        <f t="shared" si="82"/>
        <v>0</v>
      </c>
      <c r="AL254" s="22">
        <f t="shared" si="83"/>
        <v>0</v>
      </c>
      <c r="AM254" s="22">
        <f t="shared" si="84"/>
        <v>0</v>
      </c>
      <c r="AN254" s="22">
        <f t="shared" si="85"/>
        <v>0</v>
      </c>
      <c r="AO254" s="26" t="str">
        <f t="shared" si="86"/>
        <v/>
      </c>
      <c r="AP254" s="26" t="str">
        <f t="shared" si="87"/>
        <v>pre-launch</v>
      </c>
      <c r="AQ254" s="18"/>
      <c r="AR254" s="18"/>
    </row>
    <row r="255" spans="1:44" x14ac:dyDescent="0.25">
      <c r="A255" s="43">
        <v>45316</v>
      </c>
      <c r="B255" s="17">
        <v>413845334.63</v>
      </c>
      <c r="C255" s="17">
        <v>0</v>
      </c>
      <c r="D255" s="18"/>
      <c r="E255" s="19">
        <f t="shared" si="66"/>
        <v>413845334.63</v>
      </c>
      <c r="F255" s="19">
        <f t="shared" si="67"/>
        <v>413845334.63</v>
      </c>
      <c r="G255" s="20">
        <f t="shared" si="68"/>
        <v>0</v>
      </c>
      <c r="H255" s="18"/>
      <c r="I255" s="18"/>
      <c r="J255" s="18"/>
      <c r="K255" s="19">
        <f t="shared" si="69"/>
        <v>0</v>
      </c>
      <c r="L255" s="18"/>
      <c r="M255" s="18"/>
      <c r="N255" s="18"/>
      <c r="O255" s="19">
        <f t="shared" si="70"/>
        <v>0</v>
      </c>
      <c r="P255" s="21">
        <f t="shared" si="71"/>
        <v>0</v>
      </c>
      <c r="Q255" s="18"/>
      <c r="R255" s="18"/>
      <c r="S255" s="19">
        <f t="shared" si="72"/>
        <v>0</v>
      </c>
      <c r="T255" s="20">
        <f t="shared" si="73"/>
        <v>0.03</v>
      </c>
      <c r="U255" s="19">
        <f t="shared" si="74"/>
        <v>0</v>
      </c>
      <c r="V255" s="18"/>
      <c r="W255" s="19">
        <f t="shared" si="75"/>
        <v>0</v>
      </c>
      <c r="X255" s="19">
        <f t="shared" si="76"/>
        <v>0</v>
      </c>
      <c r="Y255" s="18"/>
      <c r="Z255" s="18"/>
      <c r="AA255" s="19">
        <f t="shared" si="77"/>
        <v>0</v>
      </c>
      <c r="AB255" s="17">
        <v>0</v>
      </c>
      <c r="AC255" s="18"/>
      <c r="AD255" s="18"/>
      <c r="AE255" s="22">
        <f t="shared" si="78"/>
        <v>0</v>
      </c>
      <c r="AF255" s="23">
        <f t="shared" si="79"/>
        <v>0</v>
      </c>
      <c r="AG255" s="23">
        <f t="shared" si="80"/>
        <v>0</v>
      </c>
      <c r="AH255" s="18"/>
      <c r="AI255" s="24">
        <f t="shared" si="81"/>
        <v>0</v>
      </c>
      <c r="AJ255" s="25">
        <v>0</v>
      </c>
      <c r="AK255" s="24">
        <f t="shared" si="82"/>
        <v>0</v>
      </c>
      <c r="AL255" s="22">
        <f t="shared" si="83"/>
        <v>0</v>
      </c>
      <c r="AM255" s="22">
        <f t="shared" si="84"/>
        <v>0</v>
      </c>
      <c r="AN255" s="22">
        <f t="shared" si="85"/>
        <v>0</v>
      </c>
      <c r="AO255" s="26" t="str">
        <f t="shared" si="86"/>
        <v/>
      </c>
      <c r="AP255" s="26" t="str">
        <f t="shared" si="87"/>
        <v>pre-launch</v>
      </c>
      <c r="AQ255" s="18"/>
      <c r="AR255" s="18"/>
    </row>
    <row r="256" spans="1:44" x14ac:dyDescent="0.25">
      <c r="A256" s="43">
        <v>45317</v>
      </c>
      <c r="B256" s="17">
        <v>543208354.49000001</v>
      </c>
      <c r="C256" s="17">
        <v>0</v>
      </c>
      <c r="D256" s="18"/>
      <c r="E256" s="19">
        <f t="shared" si="66"/>
        <v>543208354.49000001</v>
      </c>
      <c r="F256" s="19">
        <f t="shared" si="67"/>
        <v>543208354.49000001</v>
      </c>
      <c r="G256" s="20">
        <f t="shared" si="68"/>
        <v>0</v>
      </c>
      <c r="H256" s="18"/>
      <c r="I256" s="18"/>
      <c r="J256" s="18"/>
      <c r="K256" s="19">
        <f t="shared" si="69"/>
        <v>0</v>
      </c>
      <c r="L256" s="18"/>
      <c r="M256" s="18"/>
      <c r="N256" s="18"/>
      <c r="O256" s="19">
        <f t="shared" si="70"/>
        <v>0</v>
      </c>
      <c r="P256" s="21">
        <f t="shared" si="71"/>
        <v>0</v>
      </c>
      <c r="Q256" s="18"/>
      <c r="R256" s="18"/>
      <c r="S256" s="19">
        <f t="shared" si="72"/>
        <v>0</v>
      </c>
      <c r="T256" s="20">
        <f t="shared" si="73"/>
        <v>0.03</v>
      </c>
      <c r="U256" s="19">
        <f t="shared" si="74"/>
        <v>0</v>
      </c>
      <c r="V256" s="18"/>
      <c r="W256" s="19">
        <f t="shared" si="75"/>
        <v>0</v>
      </c>
      <c r="X256" s="19">
        <f t="shared" si="76"/>
        <v>0</v>
      </c>
      <c r="Y256" s="18"/>
      <c r="Z256" s="18"/>
      <c r="AA256" s="19">
        <f t="shared" si="77"/>
        <v>0</v>
      </c>
      <c r="AB256" s="17">
        <v>0</v>
      </c>
      <c r="AC256" s="18"/>
      <c r="AD256" s="18"/>
      <c r="AE256" s="22">
        <f t="shared" si="78"/>
        <v>0</v>
      </c>
      <c r="AF256" s="23">
        <f t="shared" si="79"/>
        <v>0</v>
      </c>
      <c r="AG256" s="23">
        <f t="shared" si="80"/>
        <v>0</v>
      </c>
      <c r="AH256" s="18"/>
      <c r="AI256" s="24">
        <f t="shared" si="81"/>
        <v>0</v>
      </c>
      <c r="AJ256" s="25">
        <v>0</v>
      </c>
      <c r="AK256" s="24">
        <f t="shared" si="82"/>
        <v>0</v>
      </c>
      <c r="AL256" s="22">
        <f t="shared" si="83"/>
        <v>0</v>
      </c>
      <c r="AM256" s="22">
        <f t="shared" si="84"/>
        <v>0</v>
      </c>
      <c r="AN256" s="22">
        <f t="shared" si="85"/>
        <v>0</v>
      </c>
      <c r="AO256" s="26" t="str">
        <f t="shared" si="86"/>
        <v/>
      </c>
      <c r="AP256" s="26" t="str">
        <f t="shared" si="87"/>
        <v>pre-launch</v>
      </c>
      <c r="AQ256" s="18"/>
      <c r="AR256" s="18"/>
    </row>
    <row r="257" spans="1:44" x14ac:dyDescent="0.25">
      <c r="A257" s="43">
        <v>45318</v>
      </c>
      <c r="B257" s="17">
        <v>363829651.10000002</v>
      </c>
      <c r="C257" s="17">
        <v>0</v>
      </c>
      <c r="D257" s="18"/>
      <c r="E257" s="19">
        <f t="shared" si="66"/>
        <v>363829651.10000002</v>
      </c>
      <c r="F257" s="19">
        <f t="shared" si="67"/>
        <v>363829651.10000002</v>
      </c>
      <c r="G257" s="20">
        <f t="shared" si="68"/>
        <v>0</v>
      </c>
      <c r="H257" s="18"/>
      <c r="I257" s="18"/>
      <c r="J257" s="18"/>
      <c r="K257" s="19">
        <f t="shared" si="69"/>
        <v>0</v>
      </c>
      <c r="L257" s="18"/>
      <c r="M257" s="18"/>
      <c r="N257" s="18"/>
      <c r="O257" s="19">
        <f t="shared" si="70"/>
        <v>0</v>
      </c>
      <c r="P257" s="21">
        <f t="shared" si="71"/>
        <v>0</v>
      </c>
      <c r="Q257" s="18"/>
      <c r="R257" s="18"/>
      <c r="S257" s="19">
        <f t="shared" si="72"/>
        <v>0</v>
      </c>
      <c r="T257" s="20">
        <f t="shared" si="73"/>
        <v>0.03</v>
      </c>
      <c r="U257" s="19">
        <f t="shared" si="74"/>
        <v>0</v>
      </c>
      <c r="V257" s="18"/>
      <c r="W257" s="19">
        <f t="shared" si="75"/>
        <v>0</v>
      </c>
      <c r="X257" s="19">
        <f t="shared" si="76"/>
        <v>0</v>
      </c>
      <c r="Y257" s="18"/>
      <c r="Z257" s="18"/>
      <c r="AA257" s="19">
        <f t="shared" si="77"/>
        <v>0</v>
      </c>
      <c r="AB257" s="17">
        <v>0</v>
      </c>
      <c r="AC257" s="18"/>
      <c r="AD257" s="18"/>
      <c r="AE257" s="22">
        <f t="shared" si="78"/>
        <v>0</v>
      </c>
      <c r="AF257" s="23">
        <f t="shared" si="79"/>
        <v>0</v>
      </c>
      <c r="AG257" s="23">
        <f t="shared" si="80"/>
        <v>0</v>
      </c>
      <c r="AH257" s="18"/>
      <c r="AI257" s="24">
        <f t="shared" si="81"/>
        <v>0</v>
      </c>
      <c r="AJ257" s="25">
        <v>0</v>
      </c>
      <c r="AK257" s="24">
        <f t="shared" si="82"/>
        <v>0</v>
      </c>
      <c r="AL257" s="22">
        <f t="shared" si="83"/>
        <v>0</v>
      </c>
      <c r="AM257" s="22">
        <f t="shared" si="84"/>
        <v>0</v>
      </c>
      <c r="AN257" s="22">
        <f t="shared" si="85"/>
        <v>0</v>
      </c>
      <c r="AO257" s="26" t="str">
        <f t="shared" si="86"/>
        <v/>
      </c>
      <c r="AP257" s="26" t="str">
        <f t="shared" si="87"/>
        <v>pre-launch</v>
      </c>
      <c r="AQ257" s="18"/>
      <c r="AR257" s="18"/>
    </row>
    <row r="258" spans="1:44" x14ac:dyDescent="0.25">
      <c r="A258" s="43">
        <v>45319</v>
      </c>
      <c r="B258" s="17">
        <v>527458542.69</v>
      </c>
      <c r="C258" s="17">
        <v>0</v>
      </c>
      <c r="D258" s="18"/>
      <c r="E258" s="19">
        <f t="shared" si="66"/>
        <v>527458542.69</v>
      </c>
      <c r="F258" s="19">
        <f t="shared" si="67"/>
        <v>527458542.69</v>
      </c>
      <c r="G258" s="20">
        <f t="shared" si="68"/>
        <v>0</v>
      </c>
      <c r="H258" s="18"/>
      <c r="I258" s="18"/>
      <c r="J258" s="18"/>
      <c r="K258" s="19">
        <f t="shared" si="69"/>
        <v>0</v>
      </c>
      <c r="L258" s="18"/>
      <c r="M258" s="18"/>
      <c r="N258" s="18"/>
      <c r="O258" s="19">
        <f t="shared" si="70"/>
        <v>0</v>
      </c>
      <c r="P258" s="21">
        <f t="shared" si="71"/>
        <v>0</v>
      </c>
      <c r="Q258" s="18"/>
      <c r="R258" s="18"/>
      <c r="S258" s="19">
        <f t="shared" si="72"/>
        <v>0</v>
      </c>
      <c r="T258" s="20">
        <f t="shared" si="73"/>
        <v>0.03</v>
      </c>
      <c r="U258" s="19">
        <f t="shared" si="74"/>
        <v>0</v>
      </c>
      <c r="V258" s="18"/>
      <c r="W258" s="19">
        <f t="shared" si="75"/>
        <v>0</v>
      </c>
      <c r="X258" s="19">
        <f t="shared" si="76"/>
        <v>0</v>
      </c>
      <c r="Y258" s="18"/>
      <c r="Z258" s="18"/>
      <c r="AA258" s="19">
        <f t="shared" si="77"/>
        <v>0</v>
      </c>
      <c r="AB258" s="17">
        <v>0</v>
      </c>
      <c r="AC258" s="18"/>
      <c r="AD258" s="18"/>
      <c r="AE258" s="22">
        <f t="shared" si="78"/>
        <v>0</v>
      </c>
      <c r="AF258" s="23">
        <f t="shared" si="79"/>
        <v>0</v>
      </c>
      <c r="AG258" s="23">
        <f t="shared" si="80"/>
        <v>0</v>
      </c>
      <c r="AH258" s="18"/>
      <c r="AI258" s="24">
        <f t="shared" si="81"/>
        <v>0</v>
      </c>
      <c r="AJ258" s="25">
        <v>0</v>
      </c>
      <c r="AK258" s="24">
        <f t="shared" si="82"/>
        <v>0</v>
      </c>
      <c r="AL258" s="22">
        <f t="shared" si="83"/>
        <v>0</v>
      </c>
      <c r="AM258" s="22">
        <f t="shared" si="84"/>
        <v>0</v>
      </c>
      <c r="AN258" s="22">
        <f t="shared" si="85"/>
        <v>0</v>
      </c>
      <c r="AO258" s="26" t="str">
        <f t="shared" si="86"/>
        <v/>
      </c>
      <c r="AP258" s="26" t="str">
        <f t="shared" si="87"/>
        <v>pre-launch</v>
      </c>
      <c r="AQ258" s="18"/>
      <c r="AR258" s="18"/>
    </row>
    <row r="259" spans="1:44" x14ac:dyDescent="0.25">
      <c r="A259" s="43">
        <v>45320</v>
      </c>
      <c r="B259" s="17">
        <v>630397360.40999997</v>
      </c>
      <c r="C259" s="17">
        <v>0</v>
      </c>
      <c r="D259" s="18"/>
      <c r="E259" s="19">
        <f t="shared" si="66"/>
        <v>630397360.40999997</v>
      </c>
      <c r="F259" s="19">
        <f t="shared" si="67"/>
        <v>630397360.40999997</v>
      </c>
      <c r="G259" s="20">
        <f t="shared" si="68"/>
        <v>0</v>
      </c>
      <c r="H259" s="18"/>
      <c r="I259" s="18"/>
      <c r="J259" s="18"/>
      <c r="K259" s="19">
        <f t="shared" si="69"/>
        <v>0</v>
      </c>
      <c r="L259" s="18"/>
      <c r="M259" s="18"/>
      <c r="N259" s="18"/>
      <c r="O259" s="19">
        <f t="shared" si="70"/>
        <v>0</v>
      </c>
      <c r="P259" s="21">
        <f t="shared" si="71"/>
        <v>0</v>
      </c>
      <c r="Q259" s="18"/>
      <c r="R259" s="18"/>
      <c r="S259" s="19">
        <f t="shared" si="72"/>
        <v>0</v>
      </c>
      <c r="T259" s="20">
        <f t="shared" si="73"/>
        <v>0.03</v>
      </c>
      <c r="U259" s="19">
        <f t="shared" si="74"/>
        <v>0</v>
      </c>
      <c r="V259" s="18"/>
      <c r="W259" s="19">
        <f t="shared" si="75"/>
        <v>0</v>
      </c>
      <c r="X259" s="19">
        <f t="shared" si="76"/>
        <v>0</v>
      </c>
      <c r="Y259" s="18"/>
      <c r="Z259" s="18"/>
      <c r="AA259" s="19">
        <f t="shared" si="77"/>
        <v>0</v>
      </c>
      <c r="AB259" s="17">
        <v>0</v>
      </c>
      <c r="AC259" s="18"/>
      <c r="AD259" s="18"/>
      <c r="AE259" s="22">
        <f t="shared" si="78"/>
        <v>0</v>
      </c>
      <c r="AF259" s="23">
        <f t="shared" si="79"/>
        <v>0</v>
      </c>
      <c r="AG259" s="23">
        <f t="shared" si="80"/>
        <v>0</v>
      </c>
      <c r="AH259" s="18"/>
      <c r="AI259" s="24">
        <f t="shared" si="81"/>
        <v>0</v>
      </c>
      <c r="AJ259" s="25">
        <v>0</v>
      </c>
      <c r="AK259" s="24">
        <f t="shared" si="82"/>
        <v>0</v>
      </c>
      <c r="AL259" s="22">
        <f t="shared" si="83"/>
        <v>0</v>
      </c>
      <c r="AM259" s="22">
        <f t="shared" si="84"/>
        <v>0</v>
      </c>
      <c r="AN259" s="22">
        <f t="shared" si="85"/>
        <v>0</v>
      </c>
      <c r="AO259" s="26" t="str">
        <f t="shared" si="86"/>
        <v/>
      </c>
      <c r="AP259" s="26" t="str">
        <f t="shared" si="87"/>
        <v>pre-launch</v>
      </c>
      <c r="AQ259" s="18"/>
      <c r="AR259" s="18"/>
    </row>
    <row r="260" spans="1:44" x14ac:dyDescent="0.25">
      <c r="A260" s="43">
        <v>45321</v>
      </c>
      <c r="B260" s="17">
        <v>837059654.49000001</v>
      </c>
      <c r="C260" s="17">
        <v>0</v>
      </c>
      <c r="D260" s="18"/>
      <c r="E260" s="19">
        <f t="shared" si="66"/>
        <v>837059654.49000001</v>
      </c>
      <c r="F260" s="19">
        <f t="shared" si="67"/>
        <v>837059654.49000001</v>
      </c>
      <c r="G260" s="20">
        <f t="shared" si="68"/>
        <v>0</v>
      </c>
      <c r="H260" s="18"/>
      <c r="I260" s="18"/>
      <c r="J260" s="18"/>
      <c r="K260" s="19">
        <f t="shared" si="69"/>
        <v>0</v>
      </c>
      <c r="L260" s="18"/>
      <c r="M260" s="18"/>
      <c r="N260" s="18"/>
      <c r="O260" s="19">
        <f t="shared" si="70"/>
        <v>0</v>
      </c>
      <c r="P260" s="21">
        <f t="shared" si="71"/>
        <v>0</v>
      </c>
      <c r="Q260" s="18"/>
      <c r="R260" s="18"/>
      <c r="S260" s="19">
        <f t="shared" si="72"/>
        <v>0</v>
      </c>
      <c r="T260" s="20">
        <f t="shared" si="73"/>
        <v>0.03</v>
      </c>
      <c r="U260" s="19">
        <f t="shared" si="74"/>
        <v>0</v>
      </c>
      <c r="V260" s="18"/>
      <c r="W260" s="19">
        <f t="shared" si="75"/>
        <v>0</v>
      </c>
      <c r="X260" s="19">
        <f t="shared" si="76"/>
        <v>0</v>
      </c>
      <c r="Y260" s="18"/>
      <c r="Z260" s="18"/>
      <c r="AA260" s="19">
        <f t="shared" si="77"/>
        <v>0</v>
      </c>
      <c r="AB260" s="17">
        <v>0</v>
      </c>
      <c r="AC260" s="18"/>
      <c r="AD260" s="18"/>
      <c r="AE260" s="22">
        <f t="shared" si="78"/>
        <v>0</v>
      </c>
      <c r="AF260" s="23">
        <f t="shared" si="79"/>
        <v>0</v>
      </c>
      <c r="AG260" s="23">
        <f t="shared" si="80"/>
        <v>0</v>
      </c>
      <c r="AH260" s="18"/>
      <c r="AI260" s="24">
        <f t="shared" si="81"/>
        <v>0</v>
      </c>
      <c r="AJ260" s="25">
        <v>0</v>
      </c>
      <c r="AK260" s="24">
        <f t="shared" si="82"/>
        <v>0</v>
      </c>
      <c r="AL260" s="22">
        <f t="shared" si="83"/>
        <v>0</v>
      </c>
      <c r="AM260" s="22">
        <f t="shared" si="84"/>
        <v>0</v>
      </c>
      <c r="AN260" s="22">
        <f t="shared" si="85"/>
        <v>0</v>
      </c>
      <c r="AO260" s="26" t="str">
        <f t="shared" si="86"/>
        <v/>
      </c>
      <c r="AP260" s="26" t="str">
        <f t="shared" si="87"/>
        <v>pre-launch</v>
      </c>
      <c r="AQ260" s="18"/>
      <c r="AR260" s="18"/>
    </row>
    <row r="261" spans="1:44" x14ac:dyDescent="0.25">
      <c r="A261" s="43">
        <v>45322</v>
      </c>
      <c r="B261" s="17">
        <v>862289797.55999994</v>
      </c>
      <c r="C261" s="17">
        <v>0</v>
      </c>
      <c r="D261" s="18"/>
      <c r="E261" s="19">
        <f t="shared" ref="E261:E324" si="88">B261+C261</f>
        <v>862289797.55999994</v>
      </c>
      <c r="F261" s="19">
        <f t="shared" ref="F261:F324" si="89">E261+D261</f>
        <v>862289797.55999994</v>
      </c>
      <c r="G261" s="20">
        <f t="shared" ref="G261:G324" si="90">IFERROR(C261/E261,0)</f>
        <v>0</v>
      </c>
      <c r="H261" s="18"/>
      <c r="I261" s="18"/>
      <c r="J261" s="18"/>
      <c r="K261" s="19">
        <f t="shared" ref="K261:K324" si="91">H261+I261</f>
        <v>0</v>
      </c>
      <c r="L261" s="18"/>
      <c r="M261" s="18"/>
      <c r="N261" s="18"/>
      <c r="O261" s="19">
        <f t="shared" ref="O261:O324" si="92">IF(H261=0,0,H261-L261)</f>
        <v>0</v>
      </c>
      <c r="P261" s="21">
        <f t="shared" ref="P261:P324" si="93">IF(B261=0,0,O261/B261*10000)</f>
        <v>0</v>
      </c>
      <c r="Q261" s="18"/>
      <c r="R261" s="18"/>
      <c r="S261" s="19">
        <f t="shared" ref="S261:S324" si="94">Q261+R261</f>
        <v>0</v>
      </c>
      <c r="T261" s="20">
        <f t="shared" ref="T261:T324" si="95">IF(A261&lt;HlpChangeDate,HlpSharePre,HlpSharePost)</f>
        <v>0.03</v>
      </c>
      <c r="U261" s="19">
        <f t="shared" ref="U261:U324" si="96">S261*T261/(1-T261)</f>
        <v>0</v>
      </c>
      <c r="V261" s="18"/>
      <c r="W261" s="19">
        <f t="shared" ref="W261:W324" si="97">U261-V261</f>
        <v>0</v>
      </c>
      <c r="X261" s="19">
        <f t="shared" ref="X261:X324" si="98">Y261+Z261</f>
        <v>0</v>
      </c>
      <c r="Y261" s="18"/>
      <c r="Z261" s="18"/>
      <c r="AA261" s="19">
        <f t="shared" ref="AA261:AA324" si="99">X261-V261</f>
        <v>0</v>
      </c>
      <c r="AB261" s="17">
        <v>0</v>
      </c>
      <c r="AC261" s="18"/>
      <c r="AD261" s="18"/>
      <c r="AE261" s="22">
        <f t="shared" ref="AE261:AE324" si="100">IFERROR(AB261/AD261,0)</f>
        <v>0</v>
      </c>
      <c r="AF261" s="23">
        <f t="shared" ref="AF261:AF324" si="101">K261-S261-X261</f>
        <v>0</v>
      </c>
      <c r="AG261" s="23">
        <f t="shared" ref="AG261:AG324" si="102">S261-AB261</f>
        <v>0</v>
      </c>
      <c r="AH261" s="18"/>
      <c r="AI261" s="24">
        <f t="shared" ref="AI261:AI324" si="103">IFERROR(AH261/S261,0)</f>
        <v>0</v>
      </c>
      <c r="AJ261" s="25">
        <v>0</v>
      </c>
      <c r="AK261" s="24">
        <f t="shared" ref="AK261:AK324" si="104">IF(AJ261&gt;0,AprCoef/SQRT(AJ261),0)</f>
        <v>0</v>
      </c>
      <c r="AL261" s="22">
        <f t="shared" ref="AL261:AL324" si="105">AJ261*AK261/365</f>
        <v>0</v>
      </c>
      <c r="AM261" s="22">
        <f t="shared" ref="AM261:AM324" si="106">AE261</f>
        <v>0</v>
      </c>
      <c r="AN261" s="22">
        <f t="shared" ref="AN261:AN324" si="107">AL261-AM261</f>
        <v>0</v>
      </c>
      <c r="AO261" s="26" t="str">
        <f t="shared" ref="AO261:AO324" si="108">IF(A261&gt;=Hip3LaunchDate,"YES","")</f>
        <v/>
      </c>
      <c r="AP261" s="26" t="str">
        <f t="shared" ref="AP261:AP324" si="109">IF(A261&lt;Hip4LaunchDate,"pre-launch","live (zero-fee)")</f>
        <v>pre-launch</v>
      </c>
      <c r="AQ261" s="18"/>
      <c r="AR261" s="18"/>
    </row>
    <row r="262" spans="1:44" x14ac:dyDescent="0.25">
      <c r="A262" s="43">
        <v>45323</v>
      </c>
      <c r="B262" s="17">
        <v>657528351.38999999</v>
      </c>
      <c r="C262" s="17">
        <v>0</v>
      </c>
      <c r="D262" s="18"/>
      <c r="E262" s="19">
        <f t="shared" si="88"/>
        <v>657528351.38999999</v>
      </c>
      <c r="F262" s="19">
        <f t="shared" si="89"/>
        <v>657528351.38999999</v>
      </c>
      <c r="G262" s="20">
        <f t="shared" si="90"/>
        <v>0</v>
      </c>
      <c r="H262" s="18"/>
      <c r="I262" s="18"/>
      <c r="J262" s="18"/>
      <c r="K262" s="19">
        <f t="shared" si="91"/>
        <v>0</v>
      </c>
      <c r="L262" s="18"/>
      <c r="M262" s="18"/>
      <c r="N262" s="18"/>
      <c r="O262" s="19">
        <f t="shared" si="92"/>
        <v>0</v>
      </c>
      <c r="P262" s="21">
        <f t="shared" si="93"/>
        <v>0</v>
      </c>
      <c r="Q262" s="18"/>
      <c r="R262" s="18"/>
      <c r="S262" s="19">
        <f t="shared" si="94"/>
        <v>0</v>
      </c>
      <c r="T262" s="20">
        <f t="shared" si="95"/>
        <v>0.03</v>
      </c>
      <c r="U262" s="19">
        <f t="shared" si="96"/>
        <v>0</v>
      </c>
      <c r="V262" s="18"/>
      <c r="W262" s="19">
        <f t="shared" si="97"/>
        <v>0</v>
      </c>
      <c r="X262" s="19">
        <f t="shared" si="98"/>
        <v>0</v>
      </c>
      <c r="Y262" s="18"/>
      <c r="Z262" s="18"/>
      <c r="AA262" s="19">
        <f t="shared" si="99"/>
        <v>0</v>
      </c>
      <c r="AB262" s="17">
        <v>0</v>
      </c>
      <c r="AC262" s="18"/>
      <c r="AD262" s="18"/>
      <c r="AE262" s="22">
        <f t="shared" si="100"/>
        <v>0</v>
      </c>
      <c r="AF262" s="23">
        <f t="shared" si="101"/>
        <v>0</v>
      </c>
      <c r="AG262" s="23">
        <f t="shared" si="102"/>
        <v>0</v>
      </c>
      <c r="AH262" s="18"/>
      <c r="AI262" s="24">
        <f t="shared" si="103"/>
        <v>0</v>
      </c>
      <c r="AJ262" s="25">
        <v>0</v>
      </c>
      <c r="AK262" s="24">
        <f t="shared" si="104"/>
        <v>0</v>
      </c>
      <c r="AL262" s="22">
        <f t="shared" si="105"/>
        <v>0</v>
      </c>
      <c r="AM262" s="22">
        <f t="shared" si="106"/>
        <v>0</v>
      </c>
      <c r="AN262" s="22">
        <f t="shared" si="107"/>
        <v>0</v>
      </c>
      <c r="AO262" s="26" t="str">
        <f t="shared" si="108"/>
        <v/>
      </c>
      <c r="AP262" s="26" t="str">
        <f t="shared" si="109"/>
        <v>pre-launch</v>
      </c>
      <c r="AQ262" s="18"/>
      <c r="AR262" s="18"/>
    </row>
    <row r="263" spans="1:44" x14ac:dyDescent="0.25">
      <c r="A263" s="43">
        <v>45324</v>
      </c>
      <c r="B263" s="17">
        <v>733486683.91999996</v>
      </c>
      <c r="C263" s="17">
        <v>0</v>
      </c>
      <c r="D263" s="18"/>
      <c r="E263" s="19">
        <f t="shared" si="88"/>
        <v>733486683.91999996</v>
      </c>
      <c r="F263" s="19">
        <f t="shared" si="89"/>
        <v>733486683.91999996</v>
      </c>
      <c r="G263" s="20">
        <f t="shared" si="90"/>
        <v>0</v>
      </c>
      <c r="H263" s="18"/>
      <c r="I263" s="18"/>
      <c r="J263" s="18"/>
      <c r="K263" s="19">
        <f t="shared" si="91"/>
        <v>0</v>
      </c>
      <c r="L263" s="18"/>
      <c r="M263" s="18"/>
      <c r="N263" s="18"/>
      <c r="O263" s="19">
        <f t="shared" si="92"/>
        <v>0</v>
      </c>
      <c r="P263" s="21">
        <f t="shared" si="93"/>
        <v>0</v>
      </c>
      <c r="Q263" s="18"/>
      <c r="R263" s="18"/>
      <c r="S263" s="19">
        <f t="shared" si="94"/>
        <v>0</v>
      </c>
      <c r="T263" s="20">
        <f t="shared" si="95"/>
        <v>0.03</v>
      </c>
      <c r="U263" s="19">
        <f t="shared" si="96"/>
        <v>0</v>
      </c>
      <c r="V263" s="18"/>
      <c r="W263" s="19">
        <f t="shared" si="97"/>
        <v>0</v>
      </c>
      <c r="X263" s="19">
        <f t="shared" si="98"/>
        <v>0</v>
      </c>
      <c r="Y263" s="18"/>
      <c r="Z263" s="18"/>
      <c r="AA263" s="19">
        <f t="shared" si="99"/>
        <v>0</v>
      </c>
      <c r="AB263" s="17">
        <v>0</v>
      </c>
      <c r="AC263" s="18"/>
      <c r="AD263" s="18"/>
      <c r="AE263" s="22">
        <f t="shared" si="100"/>
        <v>0</v>
      </c>
      <c r="AF263" s="23">
        <f t="shared" si="101"/>
        <v>0</v>
      </c>
      <c r="AG263" s="23">
        <f t="shared" si="102"/>
        <v>0</v>
      </c>
      <c r="AH263" s="18"/>
      <c r="AI263" s="24">
        <f t="shared" si="103"/>
        <v>0</v>
      </c>
      <c r="AJ263" s="25">
        <v>0</v>
      </c>
      <c r="AK263" s="24">
        <f t="shared" si="104"/>
        <v>0</v>
      </c>
      <c r="AL263" s="22">
        <f t="shared" si="105"/>
        <v>0</v>
      </c>
      <c r="AM263" s="22">
        <f t="shared" si="106"/>
        <v>0</v>
      </c>
      <c r="AN263" s="22">
        <f t="shared" si="107"/>
        <v>0</v>
      </c>
      <c r="AO263" s="26" t="str">
        <f t="shared" si="108"/>
        <v/>
      </c>
      <c r="AP263" s="26" t="str">
        <f t="shared" si="109"/>
        <v>pre-launch</v>
      </c>
      <c r="AQ263" s="18"/>
      <c r="AR263" s="18"/>
    </row>
    <row r="264" spans="1:44" x14ac:dyDescent="0.25">
      <c r="A264" s="43">
        <v>45325</v>
      </c>
      <c r="B264" s="17">
        <v>478634733.81</v>
      </c>
      <c r="C264" s="17">
        <v>0</v>
      </c>
      <c r="D264" s="18"/>
      <c r="E264" s="19">
        <f t="shared" si="88"/>
        <v>478634733.81</v>
      </c>
      <c r="F264" s="19">
        <f t="shared" si="89"/>
        <v>478634733.81</v>
      </c>
      <c r="G264" s="20">
        <f t="shared" si="90"/>
        <v>0</v>
      </c>
      <c r="H264" s="18"/>
      <c r="I264" s="18"/>
      <c r="J264" s="18"/>
      <c r="K264" s="19">
        <f t="shared" si="91"/>
        <v>0</v>
      </c>
      <c r="L264" s="18"/>
      <c r="M264" s="18"/>
      <c r="N264" s="18"/>
      <c r="O264" s="19">
        <f t="shared" si="92"/>
        <v>0</v>
      </c>
      <c r="P264" s="21">
        <f t="shared" si="93"/>
        <v>0</v>
      </c>
      <c r="Q264" s="18"/>
      <c r="R264" s="18"/>
      <c r="S264" s="19">
        <f t="shared" si="94"/>
        <v>0</v>
      </c>
      <c r="T264" s="20">
        <f t="shared" si="95"/>
        <v>0.03</v>
      </c>
      <c r="U264" s="19">
        <f t="shared" si="96"/>
        <v>0</v>
      </c>
      <c r="V264" s="18"/>
      <c r="W264" s="19">
        <f t="shared" si="97"/>
        <v>0</v>
      </c>
      <c r="X264" s="19">
        <f t="shared" si="98"/>
        <v>0</v>
      </c>
      <c r="Y264" s="18"/>
      <c r="Z264" s="18"/>
      <c r="AA264" s="19">
        <f t="shared" si="99"/>
        <v>0</v>
      </c>
      <c r="AB264" s="17">
        <v>0</v>
      </c>
      <c r="AC264" s="18"/>
      <c r="AD264" s="18"/>
      <c r="AE264" s="22">
        <f t="shared" si="100"/>
        <v>0</v>
      </c>
      <c r="AF264" s="23">
        <f t="shared" si="101"/>
        <v>0</v>
      </c>
      <c r="AG264" s="23">
        <f t="shared" si="102"/>
        <v>0</v>
      </c>
      <c r="AH264" s="18"/>
      <c r="AI264" s="24">
        <f t="shared" si="103"/>
        <v>0</v>
      </c>
      <c r="AJ264" s="25">
        <v>0</v>
      </c>
      <c r="AK264" s="24">
        <f t="shared" si="104"/>
        <v>0</v>
      </c>
      <c r="AL264" s="22">
        <f t="shared" si="105"/>
        <v>0</v>
      </c>
      <c r="AM264" s="22">
        <f t="shared" si="106"/>
        <v>0</v>
      </c>
      <c r="AN264" s="22">
        <f t="shared" si="107"/>
        <v>0</v>
      </c>
      <c r="AO264" s="26" t="str">
        <f t="shared" si="108"/>
        <v/>
      </c>
      <c r="AP264" s="26" t="str">
        <f t="shared" si="109"/>
        <v>pre-launch</v>
      </c>
      <c r="AQ264" s="18"/>
      <c r="AR264" s="18"/>
    </row>
    <row r="265" spans="1:44" x14ac:dyDescent="0.25">
      <c r="A265" s="43">
        <v>45326</v>
      </c>
      <c r="B265" s="17">
        <v>607605403.75999999</v>
      </c>
      <c r="C265" s="17">
        <v>0</v>
      </c>
      <c r="D265" s="18"/>
      <c r="E265" s="19">
        <f t="shared" si="88"/>
        <v>607605403.75999999</v>
      </c>
      <c r="F265" s="19">
        <f t="shared" si="89"/>
        <v>607605403.75999999</v>
      </c>
      <c r="G265" s="20">
        <f t="shared" si="90"/>
        <v>0</v>
      </c>
      <c r="H265" s="18"/>
      <c r="I265" s="18"/>
      <c r="J265" s="18"/>
      <c r="K265" s="19">
        <f t="shared" si="91"/>
        <v>0</v>
      </c>
      <c r="L265" s="18"/>
      <c r="M265" s="18"/>
      <c r="N265" s="18"/>
      <c r="O265" s="19">
        <f t="shared" si="92"/>
        <v>0</v>
      </c>
      <c r="P265" s="21">
        <f t="shared" si="93"/>
        <v>0</v>
      </c>
      <c r="Q265" s="18"/>
      <c r="R265" s="18"/>
      <c r="S265" s="19">
        <f t="shared" si="94"/>
        <v>0</v>
      </c>
      <c r="T265" s="20">
        <f t="shared" si="95"/>
        <v>0.03</v>
      </c>
      <c r="U265" s="19">
        <f t="shared" si="96"/>
        <v>0</v>
      </c>
      <c r="V265" s="18"/>
      <c r="W265" s="19">
        <f t="shared" si="97"/>
        <v>0</v>
      </c>
      <c r="X265" s="19">
        <f t="shared" si="98"/>
        <v>0</v>
      </c>
      <c r="Y265" s="18"/>
      <c r="Z265" s="18"/>
      <c r="AA265" s="19">
        <f t="shared" si="99"/>
        <v>0</v>
      </c>
      <c r="AB265" s="17">
        <v>0</v>
      </c>
      <c r="AC265" s="18"/>
      <c r="AD265" s="18"/>
      <c r="AE265" s="22">
        <f t="shared" si="100"/>
        <v>0</v>
      </c>
      <c r="AF265" s="23">
        <f t="shared" si="101"/>
        <v>0</v>
      </c>
      <c r="AG265" s="23">
        <f t="shared" si="102"/>
        <v>0</v>
      </c>
      <c r="AH265" s="18"/>
      <c r="AI265" s="24">
        <f t="shared" si="103"/>
        <v>0</v>
      </c>
      <c r="AJ265" s="25">
        <v>0</v>
      </c>
      <c r="AK265" s="24">
        <f t="shared" si="104"/>
        <v>0</v>
      </c>
      <c r="AL265" s="22">
        <f t="shared" si="105"/>
        <v>0</v>
      </c>
      <c r="AM265" s="22">
        <f t="shared" si="106"/>
        <v>0</v>
      </c>
      <c r="AN265" s="22">
        <f t="shared" si="107"/>
        <v>0</v>
      </c>
      <c r="AO265" s="26" t="str">
        <f t="shared" si="108"/>
        <v/>
      </c>
      <c r="AP265" s="26" t="str">
        <f t="shared" si="109"/>
        <v>pre-launch</v>
      </c>
      <c r="AQ265" s="18"/>
      <c r="AR265" s="18"/>
    </row>
    <row r="266" spans="1:44" x14ac:dyDescent="0.25">
      <c r="A266" s="43">
        <v>45327</v>
      </c>
      <c r="B266" s="17">
        <v>868938325</v>
      </c>
      <c r="C266" s="17">
        <v>0</v>
      </c>
      <c r="D266" s="18"/>
      <c r="E266" s="19">
        <f t="shared" si="88"/>
        <v>868938325</v>
      </c>
      <c r="F266" s="19">
        <f t="shared" si="89"/>
        <v>868938325</v>
      </c>
      <c r="G266" s="20">
        <f t="shared" si="90"/>
        <v>0</v>
      </c>
      <c r="H266" s="18"/>
      <c r="I266" s="18"/>
      <c r="J266" s="18"/>
      <c r="K266" s="19">
        <f t="shared" si="91"/>
        <v>0</v>
      </c>
      <c r="L266" s="18"/>
      <c r="M266" s="18"/>
      <c r="N266" s="18"/>
      <c r="O266" s="19">
        <f t="shared" si="92"/>
        <v>0</v>
      </c>
      <c r="P266" s="21">
        <f t="shared" si="93"/>
        <v>0</v>
      </c>
      <c r="Q266" s="18"/>
      <c r="R266" s="18"/>
      <c r="S266" s="19">
        <f t="shared" si="94"/>
        <v>0</v>
      </c>
      <c r="T266" s="20">
        <f t="shared" si="95"/>
        <v>0.03</v>
      </c>
      <c r="U266" s="19">
        <f t="shared" si="96"/>
        <v>0</v>
      </c>
      <c r="V266" s="18"/>
      <c r="W266" s="19">
        <f t="shared" si="97"/>
        <v>0</v>
      </c>
      <c r="X266" s="19">
        <f t="shared" si="98"/>
        <v>0</v>
      </c>
      <c r="Y266" s="18"/>
      <c r="Z266" s="18"/>
      <c r="AA266" s="19">
        <f t="shared" si="99"/>
        <v>0</v>
      </c>
      <c r="AB266" s="17">
        <v>0</v>
      </c>
      <c r="AC266" s="18"/>
      <c r="AD266" s="18"/>
      <c r="AE266" s="22">
        <f t="shared" si="100"/>
        <v>0</v>
      </c>
      <c r="AF266" s="23">
        <f t="shared" si="101"/>
        <v>0</v>
      </c>
      <c r="AG266" s="23">
        <f t="shared" si="102"/>
        <v>0</v>
      </c>
      <c r="AH266" s="18"/>
      <c r="AI266" s="24">
        <f t="shared" si="103"/>
        <v>0</v>
      </c>
      <c r="AJ266" s="25">
        <v>0</v>
      </c>
      <c r="AK266" s="24">
        <f t="shared" si="104"/>
        <v>0</v>
      </c>
      <c r="AL266" s="22">
        <f t="shared" si="105"/>
        <v>0</v>
      </c>
      <c r="AM266" s="22">
        <f t="shared" si="106"/>
        <v>0</v>
      </c>
      <c r="AN266" s="22">
        <f t="shared" si="107"/>
        <v>0</v>
      </c>
      <c r="AO266" s="26" t="str">
        <f t="shared" si="108"/>
        <v/>
      </c>
      <c r="AP266" s="26" t="str">
        <f t="shared" si="109"/>
        <v>pre-launch</v>
      </c>
      <c r="AQ266" s="18"/>
      <c r="AR266" s="18"/>
    </row>
    <row r="267" spans="1:44" x14ac:dyDescent="0.25">
      <c r="A267" s="43">
        <v>45328</v>
      </c>
      <c r="B267" s="17">
        <v>1180970341.3900001</v>
      </c>
      <c r="C267" s="17">
        <v>0</v>
      </c>
      <c r="D267" s="18"/>
      <c r="E267" s="19">
        <f t="shared" si="88"/>
        <v>1180970341.3900001</v>
      </c>
      <c r="F267" s="19">
        <f t="shared" si="89"/>
        <v>1180970341.3900001</v>
      </c>
      <c r="G267" s="20">
        <f t="shared" si="90"/>
        <v>0</v>
      </c>
      <c r="H267" s="18"/>
      <c r="I267" s="18"/>
      <c r="J267" s="18"/>
      <c r="K267" s="19">
        <f t="shared" si="91"/>
        <v>0</v>
      </c>
      <c r="L267" s="18"/>
      <c r="M267" s="18"/>
      <c r="N267" s="18"/>
      <c r="O267" s="19">
        <f t="shared" si="92"/>
        <v>0</v>
      </c>
      <c r="P267" s="21">
        <f t="shared" si="93"/>
        <v>0</v>
      </c>
      <c r="Q267" s="18"/>
      <c r="R267" s="18"/>
      <c r="S267" s="19">
        <f t="shared" si="94"/>
        <v>0</v>
      </c>
      <c r="T267" s="20">
        <f t="shared" si="95"/>
        <v>0.03</v>
      </c>
      <c r="U267" s="19">
        <f t="shared" si="96"/>
        <v>0</v>
      </c>
      <c r="V267" s="18"/>
      <c r="W267" s="19">
        <f t="shared" si="97"/>
        <v>0</v>
      </c>
      <c r="X267" s="19">
        <f t="shared" si="98"/>
        <v>0</v>
      </c>
      <c r="Y267" s="18"/>
      <c r="Z267" s="18"/>
      <c r="AA267" s="19">
        <f t="shared" si="99"/>
        <v>0</v>
      </c>
      <c r="AB267" s="17">
        <v>0</v>
      </c>
      <c r="AC267" s="18"/>
      <c r="AD267" s="18"/>
      <c r="AE267" s="22">
        <f t="shared" si="100"/>
        <v>0</v>
      </c>
      <c r="AF267" s="23">
        <f t="shared" si="101"/>
        <v>0</v>
      </c>
      <c r="AG267" s="23">
        <f t="shared" si="102"/>
        <v>0</v>
      </c>
      <c r="AH267" s="18"/>
      <c r="AI267" s="24">
        <f t="shared" si="103"/>
        <v>0</v>
      </c>
      <c r="AJ267" s="25">
        <v>0</v>
      </c>
      <c r="AK267" s="24">
        <f t="shared" si="104"/>
        <v>0</v>
      </c>
      <c r="AL267" s="22">
        <f t="shared" si="105"/>
        <v>0</v>
      </c>
      <c r="AM267" s="22">
        <f t="shared" si="106"/>
        <v>0</v>
      </c>
      <c r="AN267" s="22">
        <f t="shared" si="107"/>
        <v>0</v>
      </c>
      <c r="AO267" s="26" t="str">
        <f t="shared" si="108"/>
        <v/>
      </c>
      <c r="AP267" s="26" t="str">
        <f t="shared" si="109"/>
        <v>pre-launch</v>
      </c>
      <c r="AQ267" s="18"/>
      <c r="AR267" s="18"/>
    </row>
    <row r="268" spans="1:44" x14ac:dyDescent="0.25">
      <c r="A268" s="43">
        <v>45329</v>
      </c>
      <c r="B268" s="17">
        <v>900996278.23000002</v>
      </c>
      <c r="C268" s="17">
        <v>0</v>
      </c>
      <c r="D268" s="18"/>
      <c r="E268" s="19">
        <f t="shared" si="88"/>
        <v>900996278.23000002</v>
      </c>
      <c r="F268" s="19">
        <f t="shared" si="89"/>
        <v>900996278.23000002</v>
      </c>
      <c r="G268" s="20">
        <f t="shared" si="90"/>
        <v>0</v>
      </c>
      <c r="H268" s="18"/>
      <c r="I268" s="18"/>
      <c r="J268" s="18"/>
      <c r="K268" s="19">
        <f t="shared" si="91"/>
        <v>0</v>
      </c>
      <c r="L268" s="18"/>
      <c r="M268" s="18"/>
      <c r="N268" s="18"/>
      <c r="O268" s="19">
        <f t="shared" si="92"/>
        <v>0</v>
      </c>
      <c r="P268" s="21">
        <f t="shared" si="93"/>
        <v>0</v>
      </c>
      <c r="Q268" s="18"/>
      <c r="R268" s="18"/>
      <c r="S268" s="19">
        <f t="shared" si="94"/>
        <v>0</v>
      </c>
      <c r="T268" s="20">
        <f t="shared" si="95"/>
        <v>0.03</v>
      </c>
      <c r="U268" s="19">
        <f t="shared" si="96"/>
        <v>0</v>
      </c>
      <c r="V268" s="18"/>
      <c r="W268" s="19">
        <f t="shared" si="97"/>
        <v>0</v>
      </c>
      <c r="X268" s="19">
        <f t="shared" si="98"/>
        <v>0</v>
      </c>
      <c r="Y268" s="18"/>
      <c r="Z268" s="18"/>
      <c r="AA268" s="19">
        <f t="shared" si="99"/>
        <v>0</v>
      </c>
      <c r="AB268" s="17">
        <v>0</v>
      </c>
      <c r="AC268" s="18"/>
      <c r="AD268" s="18"/>
      <c r="AE268" s="22">
        <f t="shared" si="100"/>
        <v>0</v>
      </c>
      <c r="AF268" s="23">
        <f t="shared" si="101"/>
        <v>0</v>
      </c>
      <c r="AG268" s="23">
        <f t="shared" si="102"/>
        <v>0</v>
      </c>
      <c r="AH268" s="18"/>
      <c r="AI268" s="24">
        <f t="shared" si="103"/>
        <v>0</v>
      </c>
      <c r="AJ268" s="25">
        <v>0</v>
      </c>
      <c r="AK268" s="24">
        <f t="shared" si="104"/>
        <v>0</v>
      </c>
      <c r="AL268" s="22">
        <f t="shared" si="105"/>
        <v>0</v>
      </c>
      <c r="AM268" s="22">
        <f t="shared" si="106"/>
        <v>0</v>
      </c>
      <c r="AN268" s="22">
        <f t="shared" si="107"/>
        <v>0</v>
      </c>
      <c r="AO268" s="26" t="str">
        <f t="shared" si="108"/>
        <v/>
      </c>
      <c r="AP268" s="26" t="str">
        <f t="shared" si="109"/>
        <v>pre-launch</v>
      </c>
      <c r="AQ268" s="18"/>
      <c r="AR268" s="18"/>
    </row>
    <row r="269" spans="1:44" x14ac:dyDescent="0.25">
      <c r="A269" s="43">
        <v>45330</v>
      </c>
      <c r="B269" s="17">
        <v>950411326.19000006</v>
      </c>
      <c r="C269" s="17">
        <v>0</v>
      </c>
      <c r="D269" s="18"/>
      <c r="E269" s="19">
        <f t="shared" si="88"/>
        <v>950411326.19000006</v>
      </c>
      <c r="F269" s="19">
        <f t="shared" si="89"/>
        <v>950411326.19000006</v>
      </c>
      <c r="G269" s="20">
        <f t="shared" si="90"/>
        <v>0</v>
      </c>
      <c r="H269" s="18"/>
      <c r="I269" s="18"/>
      <c r="J269" s="18"/>
      <c r="K269" s="19">
        <f t="shared" si="91"/>
        <v>0</v>
      </c>
      <c r="L269" s="18"/>
      <c r="M269" s="18"/>
      <c r="N269" s="18"/>
      <c r="O269" s="19">
        <f t="shared" si="92"/>
        <v>0</v>
      </c>
      <c r="P269" s="21">
        <f t="shared" si="93"/>
        <v>0</v>
      </c>
      <c r="Q269" s="18"/>
      <c r="R269" s="18"/>
      <c r="S269" s="19">
        <f t="shared" si="94"/>
        <v>0</v>
      </c>
      <c r="T269" s="20">
        <f t="shared" si="95"/>
        <v>0.03</v>
      </c>
      <c r="U269" s="19">
        <f t="shared" si="96"/>
        <v>0</v>
      </c>
      <c r="V269" s="18"/>
      <c r="W269" s="19">
        <f t="shared" si="97"/>
        <v>0</v>
      </c>
      <c r="X269" s="19">
        <f t="shared" si="98"/>
        <v>0</v>
      </c>
      <c r="Y269" s="18"/>
      <c r="Z269" s="18"/>
      <c r="AA269" s="19">
        <f t="shared" si="99"/>
        <v>0</v>
      </c>
      <c r="AB269" s="17">
        <v>0</v>
      </c>
      <c r="AC269" s="18"/>
      <c r="AD269" s="18"/>
      <c r="AE269" s="22">
        <f t="shared" si="100"/>
        <v>0</v>
      </c>
      <c r="AF269" s="23">
        <f t="shared" si="101"/>
        <v>0</v>
      </c>
      <c r="AG269" s="23">
        <f t="shared" si="102"/>
        <v>0</v>
      </c>
      <c r="AH269" s="18"/>
      <c r="AI269" s="24">
        <f t="shared" si="103"/>
        <v>0</v>
      </c>
      <c r="AJ269" s="25">
        <v>0</v>
      </c>
      <c r="AK269" s="24">
        <f t="shared" si="104"/>
        <v>0</v>
      </c>
      <c r="AL269" s="22">
        <f t="shared" si="105"/>
        <v>0</v>
      </c>
      <c r="AM269" s="22">
        <f t="shared" si="106"/>
        <v>0</v>
      </c>
      <c r="AN269" s="22">
        <f t="shared" si="107"/>
        <v>0</v>
      </c>
      <c r="AO269" s="26" t="str">
        <f t="shared" si="108"/>
        <v/>
      </c>
      <c r="AP269" s="26" t="str">
        <f t="shared" si="109"/>
        <v>pre-launch</v>
      </c>
      <c r="AQ269" s="18"/>
      <c r="AR269" s="18"/>
    </row>
    <row r="270" spans="1:44" x14ac:dyDescent="0.25">
      <c r="A270" s="43">
        <v>45331</v>
      </c>
      <c r="B270" s="17">
        <v>1076212657.73</v>
      </c>
      <c r="C270" s="17">
        <v>0</v>
      </c>
      <c r="D270" s="18"/>
      <c r="E270" s="19">
        <f t="shared" si="88"/>
        <v>1076212657.73</v>
      </c>
      <c r="F270" s="19">
        <f t="shared" si="89"/>
        <v>1076212657.73</v>
      </c>
      <c r="G270" s="20">
        <f t="shared" si="90"/>
        <v>0</v>
      </c>
      <c r="H270" s="18"/>
      <c r="I270" s="18"/>
      <c r="J270" s="18"/>
      <c r="K270" s="19">
        <f t="shared" si="91"/>
        <v>0</v>
      </c>
      <c r="L270" s="18"/>
      <c r="M270" s="18"/>
      <c r="N270" s="18"/>
      <c r="O270" s="19">
        <f t="shared" si="92"/>
        <v>0</v>
      </c>
      <c r="P270" s="21">
        <f t="shared" si="93"/>
        <v>0</v>
      </c>
      <c r="Q270" s="18"/>
      <c r="R270" s="18"/>
      <c r="S270" s="19">
        <f t="shared" si="94"/>
        <v>0</v>
      </c>
      <c r="T270" s="20">
        <f t="shared" si="95"/>
        <v>0.03</v>
      </c>
      <c r="U270" s="19">
        <f t="shared" si="96"/>
        <v>0</v>
      </c>
      <c r="V270" s="18"/>
      <c r="W270" s="19">
        <f t="shared" si="97"/>
        <v>0</v>
      </c>
      <c r="X270" s="19">
        <f t="shared" si="98"/>
        <v>0</v>
      </c>
      <c r="Y270" s="18"/>
      <c r="Z270" s="18"/>
      <c r="AA270" s="19">
        <f t="shared" si="99"/>
        <v>0</v>
      </c>
      <c r="AB270" s="17">
        <v>0</v>
      </c>
      <c r="AC270" s="18"/>
      <c r="AD270" s="18"/>
      <c r="AE270" s="22">
        <f t="shared" si="100"/>
        <v>0</v>
      </c>
      <c r="AF270" s="23">
        <f t="shared" si="101"/>
        <v>0</v>
      </c>
      <c r="AG270" s="23">
        <f t="shared" si="102"/>
        <v>0</v>
      </c>
      <c r="AH270" s="18"/>
      <c r="AI270" s="24">
        <f t="shared" si="103"/>
        <v>0</v>
      </c>
      <c r="AJ270" s="25">
        <v>0</v>
      </c>
      <c r="AK270" s="24">
        <f t="shared" si="104"/>
        <v>0</v>
      </c>
      <c r="AL270" s="22">
        <f t="shared" si="105"/>
        <v>0</v>
      </c>
      <c r="AM270" s="22">
        <f t="shared" si="106"/>
        <v>0</v>
      </c>
      <c r="AN270" s="22">
        <f t="shared" si="107"/>
        <v>0</v>
      </c>
      <c r="AO270" s="26" t="str">
        <f t="shared" si="108"/>
        <v/>
      </c>
      <c r="AP270" s="26" t="str">
        <f t="shared" si="109"/>
        <v>pre-launch</v>
      </c>
      <c r="AQ270" s="18"/>
      <c r="AR270" s="18"/>
    </row>
    <row r="271" spans="1:44" x14ac:dyDescent="0.25">
      <c r="A271" s="43">
        <v>45332</v>
      </c>
      <c r="B271" s="17">
        <v>857138637.14999998</v>
      </c>
      <c r="C271" s="17">
        <v>0</v>
      </c>
      <c r="D271" s="18"/>
      <c r="E271" s="19">
        <f t="shared" si="88"/>
        <v>857138637.14999998</v>
      </c>
      <c r="F271" s="19">
        <f t="shared" si="89"/>
        <v>857138637.14999998</v>
      </c>
      <c r="G271" s="20">
        <f t="shared" si="90"/>
        <v>0</v>
      </c>
      <c r="H271" s="18"/>
      <c r="I271" s="18"/>
      <c r="J271" s="18"/>
      <c r="K271" s="19">
        <f t="shared" si="91"/>
        <v>0</v>
      </c>
      <c r="L271" s="18"/>
      <c r="M271" s="18"/>
      <c r="N271" s="18"/>
      <c r="O271" s="19">
        <f t="shared" si="92"/>
        <v>0</v>
      </c>
      <c r="P271" s="21">
        <f t="shared" si="93"/>
        <v>0</v>
      </c>
      <c r="Q271" s="18"/>
      <c r="R271" s="18"/>
      <c r="S271" s="19">
        <f t="shared" si="94"/>
        <v>0</v>
      </c>
      <c r="T271" s="20">
        <f t="shared" si="95"/>
        <v>0.03</v>
      </c>
      <c r="U271" s="19">
        <f t="shared" si="96"/>
        <v>0</v>
      </c>
      <c r="V271" s="18"/>
      <c r="W271" s="19">
        <f t="shared" si="97"/>
        <v>0</v>
      </c>
      <c r="X271" s="19">
        <f t="shared" si="98"/>
        <v>0</v>
      </c>
      <c r="Y271" s="18"/>
      <c r="Z271" s="18"/>
      <c r="AA271" s="19">
        <f t="shared" si="99"/>
        <v>0</v>
      </c>
      <c r="AB271" s="17">
        <v>0</v>
      </c>
      <c r="AC271" s="18"/>
      <c r="AD271" s="18"/>
      <c r="AE271" s="22">
        <f t="shared" si="100"/>
        <v>0</v>
      </c>
      <c r="AF271" s="23">
        <f t="shared" si="101"/>
        <v>0</v>
      </c>
      <c r="AG271" s="23">
        <f t="shared" si="102"/>
        <v>0</v>
      </c>
      <c r="AH271" s="18"/>
      <c r="AI271" s="24">
        <f t="shared" si="103"/>
        <v>0</v>
      </c>
      <c r="AJ271" s="25">
        <v>0</v>
      </c>
      <c r="AK271" s="24">
        <f t="shared" si="104"/>
        <v>0</v>
      </c>
      <c r="AL271" s="22">
        <f t="shared" si="105"/>
        <v>0</v>
      </c>
      <c r="AM271" s="22">
        <f t="shared" si="106"/>
        <v>0</v>
      </c>
      <c r="AN271" s="22">
        <f t="shared" si="107"/>
        <v>0</v>
      </c>
      <c r="AO271" s="26" t="str">
        <f t="shared" si="108"/>
        <v/>
      </c>
      <c r="AP271" s="26" t="str">
        <f t="shared" si="109"/>
        <v>pre-launch</v>
      </c>
      <c r="AQ271" s="18"/>
      <c r="AR271" s="18"/>
    </row>
    <row r="272" spans="1:44" x14ac:dyDescent="0.25">
      <c r="A272" s="43">
        <v>45333</v>
      </c>
      <c r="B272" s="17">
        <v>854925007.71000004</v>
      </c>
      <c r="C272" s="17">
        <v>0</v>
      </c>
      <c r="D272" s="18"/>
      <c r="E272" s="19">
        <f t="shared" si="88"/>
        <v>854925007.71000004</v>
      </c>
      <c r="F272" s="19">
        <f t="shared" si="89"/>
        <v>854925007.71000004</v>
      </c>
      <c r="G272" s="20">
        <f t="shared" si="90"/>
        <v>0</v>
      </c>
      <c r="H272" s="18"/>
      <c r="I272" s="18"/>
      <c r="J272" s="18"/>
      <c r="K272" s="19">
        <f t="shared" si="91"/>
        <v>0</v>
      </c>
      <c r="L272" s="18"/>
      <c r="M272" s="18"/>
      <c r="N272" s="18"/>
      <c r="O272" s="19">
        <f t="shared" si="92"/>
        <v>0</v>
      </c>
      <c r="P272" s="21">
        <f t="shared" si="93"/>
        <v>0</v>
      </c>
      <c r="Q272" s="18"/>
      <c r="R272" s="18"/>
      <c r="S272" s="19">
        <f t="shared" si="94"/>
        <v>0</v>
      </c>
      <c r="T272" s="20">
        <f t="shared" si="95"/>
        <v>0.03</v>
      </c>
      <c r="U272" s="19">
        <f t="shared" si="96"/>
        <v>0</v>
      </c>
      <c r="V272" s="18"/>
      <c r="W272" s="19">
        <f t="shared" si="97"/>
        <v>0</v>
      </c>
      <c r="X272" s="19">
        <f t="shared" si="98"/>
        <v>0</v>
      </c>
      <c r="Y272" s="18"/>
      <c r="Z272" s="18"/>
      <c r="AA272" s="19">
        <f t="shared" si="99"/>
        <v>0</v>
      </c>
      <c r="AB272" s="17">
        <v>0</v>
      </c>
      <c r="AC272" s="18"/>
      <c r="AD272" s="18"/>
      <c r="AE272" s="22">
        <f t="shared" si="100"/>
        <v>0</v>
      </c>
      <c r="AF272" s="23">
        <f t="shared" si="101"/>
        <v>0</v>
      </c>
      <c r="AG272" s="23">
        <f t="shared" si="102"/>
        <v>0</v>
      </c>
      <c r="AH272" s="18"/>
      <c r="AI272" s="24">
        <f t="shared" si="103"/>
        <v>0</v>
      </c>
      <c r="AJ272" s="25">
        <v>0</v>
      </c>
      <c r="AK272" s="24">
        <f t="shared" si="104"/>
        <v>0</v>
      </c>
      <c r="AL272" s="22">
        <f t="shared" si="105"/>
        <v>0</v>
      </c>
      <c r="AM272" s="22">
        <f t="shared" si="106"/>
        <v>0</v>
      </c>
      <c r="AN272" s="22">
        <f t="shared" si="107"/>
        <v>0</v>
      </c>
      <c r="AO272" s="26" t="str">
        <f t="shared" si="108"/>
        <v/>
      </c>
      <c r="AP272" s="26" t="str">
        <f t="shared" si="109"/>
        <v>pre-launch</v>
      </c>
      <c r="AQ272" s="18"/>
      <c r="AR272" s="18"/>
    </row>
    <row r="273" spans="1:44" x14ac:dyDescent="0.25">
      <c r="A273" s="43">
        <v>45334</v>
      </c>
      <c r="B273" s="17">
        <v>1602381632.6600001</v>
      </c>
      <c r="C273" s="17">
        <v>0</v>
      </c>
      <c r="D273" s="18"/>
      <c r="E273" s="19">
        <f t="shared" si="88"/>
        <v>1602381632.6600001</v>
      </c>
      <c r="F273" s="19">
        <f t="shared" si="89"/>
        <v>1602381632.6600001</v>
      </c>
      <c r="G273" s="20">
        <f t="shared" si="90"/>
        <v>0</v>
      </c>
      <c r="H273" s="18"/>
      <c r="I273" s="18"/>
      <c r="J273" s="18"/>
      <c r="K273" s="19">
        <f t="shared" si="91"/>
        <v>0</v>
      </c>
      <c r="L273" s="18"/>
      <c r="M273" s="18"/>
      <c r="N273" s="18"/>
      <c r="O273" s="19">
        <f t="shared" si="92"/>
        <v>0</v>
      </c>
      <c r="P273" s="21">
        <f t="shared" si="93"/>
        <v>0</v>
      </c>
      <c r="Q273" s="18"/>
      <c r="R273" s="18"/>
      <c r="S273" s="19">
        <f t="shared" si="94"/>
        <v>0</v>
      </c>
      <c r="T273" s="20">
        <f t="shared" si="95"/>
        <v>0.03</v>
      </c>
      <c r="U273" s="19">
        <f t="shared" si="96"/>
        <v>0</v>
      </c>
      <c r="V273" s="18"/>
      <c r="W273" s="19">
        <f t="shared" si="97"/>
        <v>0</v>
      </c>
      <c r="X273" s="19">
        <f t="shared" si="98"/>
        <v>0</v>
      </c>
      <c r="Y273" s="18"/>
      <c r="Z273" s="18"/>
      <c r="AA273" s="19">
        <f t="shared" si="99"/>
        <v>0</v>
      </c>
      <c r="AB273" s="17">
        <v>0</v>
      </c>
      <c r="AC273" s="18"/>
      <c r="AD273" s="18"/>
      <c r="AE273" s="22">
        <f t="shared" si="100"/>
        <v>0</v>
      </c>
      <c r="AF273" s="23">
        <f t="shared" si="101"/>
        <v>0</v>
      </c>
      <c r="AG273" s="23">
        <f t="shared" si="102"/>
        <v>0</v>
      </c>
      <c r="AH273" s="18"/>
      <c r="AI273" s="24">
        <f t="shared" si="103"/>
        <v>0</v>
      </c>
      <c r="AJ273" s="25">
        <v>0</v>
      </c>
      <c r="AK273" s="24">
        <f t="shared" si="104"/>
        <v>0</v>
      </c>
      <c r="AL273" s="22">
        <f t="shared" si="105"/>
        <v>0</v>
      </c>
      <c r="AM273" s="22">
        <f t="shared" si="106"/>
        <v>0</v>
      </c>
      <c r="AN273" s="22">
        <f t="shared" si="107"/>
        <v>0</v>
      </c>
      <c r="AO273" s="26" t="str">
        <f t="shared" si="108"/>
        <v/>
      </c>
      <c r="AP273" s="26" t="str">
        <f t="shared" si="109"/>
        <v>pre-launch</v>
      </c>
      <c r="AQ273" s="18"/>
      <c r="AR273" s="18"/>
    </row>
    <row r="274" spans="1:44" x14ac:dyDescent="0.25">
      <c r="A274" s="43">
        <v>45335</v>
      </c>
      <c r="B274" s="17">
        <v>1329719148.53</v>
      </c>
      <c r="C274" s="17">
        <v>0</v>
      </c>
      <c r="D274" s="18"/>
      <c r="E274" s="19">
        <f t="shared" si="88"/>
        <v>1329719148.53</v>
      </c>
      <c r="F274" s="19">
        <f t="shared" si="89"/>
        <v>1329719148.53</v>
      </c>
      <c r="G274" s="20">
        <f t="shared" si="90"/>
        <v>0</v>
      </c>
      <c r="H274" s="18"/>
      <c r="I274" s="18"/>
      <c r="J274" s="18"/>
      <c r="K274" s="19">
        <f t="shared" si="91"/>
        <v>0</v>
      </c>
      <c r="L274" s="18"/>
      <c r="M274" s="18"/>
      <c r="N274" s="18"/>
      <c r="O274" s="19">
        <f t="shared" si="92"/>
        <v>0</v>
      </c>
      <c r="P274" s="21">
        <f t="shared" si="93"/>
        <v>0</v>
      </c>
      <c r="Q274" s="18"/>
      <c r="R274" s="18"/>
      <c r="S274" s="19">
        <f t="shared" si="94"/>
        <v>0</v>
      </c>
      <c r="T274" s="20">
        <f t="shared" si="95"/>
        <v>0.03</v>
      </c>
      <c r="U274" s="19">
        <f t="shared" si="96"/>
        <v>0</v>
      </c>
      <c r="V274" s="18"/>
      <c r="W274" s="19">
        <f t="shared" si="97"/>
        <v>0</v>
      </c>
      <c r="X274" s="19">
        <f t="shared" si="98"/>
        <v>0</v>
      </c>
      <c r="Y274" s="18"/>
      <c r="Z274" s="18"/>
      <c r="AA274" s="19">
        <f t="shared" si="99"/>
        <v>0</v>
      </c>
      <c r="AB274" s="17">
        <v>0</v>
      </c>
      <c r="AC274" s="18"/>
      <c r="AD274" s="18"/>
      <c r="AE274" s="22">
        <f t="shared" si="100"/>
        <v>0</v>
      </c>
      <c r="AF274" s="23">
        <f t="shared" si="101"/>
        <v>0</v>
      </c>
      <c r="AG274" s="23">
        <f t="shared" si="102"/>
        <v>0</v>
      </c>
      <c r="AH274" s="18"/>
      <c r="AI274" s="24">
        <f t="shared" si="103"/>
        <v>0</v>
      </c>
      <c r="AJ274" s="25">
        <v>0</v>
      </c>
      <c r="AK274" s="24">
        <f t="shared" si="104"/>
        <v>0</v>
      </c>
      <c r="AL274" s="22">
        <f t="shared" si="105"/>
        <v>0</v>
      </c>
      <c r="AM274" s="22">
        <f t="shared" si="106"/>
        <v>0</v>
      </c>
      <c r="AN274" s="22">
        <f t="shared" si="107"/>
        <v>0</v>
      </c>
      <c r="AO274" s="26" t="str">
        <f t="shared" si="108"/>
        <v/>
      </c>
      <c r="AP274" s="26" t="str">
        <f t="shared" si="109"/>
        <v>pre-launch</v>
      </c>
      <c r="AQ274" s="18"/>
      <c r="AR274" s="18"/>
    </row>
    <row r="275" spans="1:44" x14ac:dyDescent="0.25">
      <c r="A275" s="43">
        <v>45336</v>
      </c>
      <c r="B275" s="17">
        <v>1002771115.35</v>
      </c>
      <c r="C275" s="17">
        <v>0</v>
      </c>
      <c r="D275" s="18"/>
      <c r="E275" s="19">
        <f t="shared" si="88"/>
        <v>1002771115.35</v>
      </c>
      <c r="F275" s="19">
        <f t="shared" si="89"/>
        <v>1002771115.35</v>
      </c>
      <c r="G275" s="20">
        <f t="shared" si="90"/>
        <v>0</v>
      </c>
      <c r="H275" s="18"/>
      <c r="I275" s="18"/>
      <c r="J275" s="18"/>
      <c r="K275" s="19">
        <f t="shared" si="91"/>
        <v>0</v>
      </c>
      <c r="L275" s="18"/>
      <c r="M275" s="18"/>
      <c r="N275" s="18"/>
      <c r="O275" s="19">
        <f t="shared" si="92"/>
        <v>0</v>
      </c>
      <c r="P275" s="21">
        <f t="shared" si="93"/>
        <v>0</v>
      </c>
      <c r="Q275" s="18"/>
      <c r="R275" s="18"/>
      <c r="S275" s="19">
        <f t="shared" si="94"/>
        <v>0</v>
      </c>
      <c r="T275" s="20">
        <f t="shared" si="95"/>
        <v>0.03</v>
      </c>
      <c r="U275" s="19">
        <f t="shared" si="96"/>
        <v>0</v>
      </c>
      <c r="V275" s="18"/>
      <c r="W275" s="19">
        <f t="shared" si="97"/>
        <v>0</v>
      </c>
      <c r="X275" s="19">
        <f t="shared" si="98"/>
        <v>0</v>
      </c>
      <c r="Y275" s="18"/>
      <c r="Z275" s="18"/>
      <c r="AA275" s="19">
        <f t="shared" si="99"/>
        <v>0</v>
      </c>
      <c r="AB275" s="17">
        <v>0</v>
      </c>
      <c r="AC275" s="18"/>
      <c r="AD275" s="18"/>
      <c r="AE275" s="22">
        <f t="shared" si="100"/>
        <v>0</v>
      </c>
      <c r="AF275" s="23">
        <f t="shared" si="101"/>
        <v>0</v>
      </c>
      <c r="AG275" s="23">
        <f t="shared" si="102"/>
        <v>0</v>
      </c>
      <c r="AH275" s="18"/>
      <c r="AI275" s="24">
        <f t="shared" si="103"/>
        <v>0</v>
      </c>
      <c r="AJ275" s="25">
        <v>0</v>
      </c>
      <c r="AK275" s="24">
        <f t="shared" si="104"/>
        <v>0</v>
      </c>
      <c r="AL275" s="22">
        <f t="shared" si="105"/>
        <v>0</v>
      </c>
      <c r="AM275" s="22">
        <f t="shared" si="106"/>
        <v>0</v>
      </c>
      <c r="AN275" s="22">
        <f t="shared" si="107"/>
        <v>0</v>
      </c>
      <c r="AO275" s="26" t="str">
        <f t="shared" si="108"/>
        <v/>
      </c>
      <c r="AP275" s="26" t="str">
        <f t="shared" si="109"/>
        <v>pre-launch</v>
      </c>
      <c r="AQ275" s="18"/>
      <c r="AR275" s="18"/>
    </row>
    <row r="276" spans="1:44" x14ac:dyDescent="0.25">
      <c r="A276" s="43">
        <v>45337</v>
      </c>
      <c r="B276" s="17">
        <v>1259018100.8</v>
      </c>
      <c r="C276" s="17">
        <v>0</v>
      </c>
      <c r="D276" s="18"/>
      <c r="E276" s="19">
        <f t="shared" si="88"/>
        <v>1259018100.8</v>
      </c>
      <c r="F276" s="19">
        <f t="shared" si="89"/>
        <v>1259018100.8</v>
      </c>
      <c r="G276" s="20">
        <f t="shared" si="90"/>
        <v>0</v>
      </c>
      <c r="H276" s="18"/>
      <c r="I276" s="18"/>
      <c r="J276" s="18"/>
      <c r="K276" s="19">
        <f t="shared" si="91"/>
        <v>0</v>
      </c>
      <c r="L276" s="18"/>
      <c r="M276" s="18"/>
      <c r="N276" s="18"/>
      <c r="O276" s="19">
        <f t="shared" si="92"/>
        <v>0</v>
      </c>
      <c r="P276" s="21">
        <f t="shared" si="93"/>
        <v>0</v>
      </c>
      <c r="Q276" s="18"/>
      <c r="R276" s="18"/>
      <c r="S276" s="19">
        <f t="shared" si="94"/>
        <v>0</v>
      </c>
      <c r="T276" s="20">
        <f t="shared" si="95"/>
        <v>0.03</v>
      </c>
      <c r="U276" s="19">
        <f t="shared" si="96"/>
        <v>0</v>
      </c>
      <c r="V276" s="18"/>
      <c r="W276" s="19">
        <f t="shared" si="97"/>
        <v>0</v>
      </c>
      <c r="X276" s="19">
        <f t="shared" si="98"/>
        <v>0</v>
      </c>
      <c r="Y276" s="18"/>
      <c r="Z276" s="18"/>
      <c r="AA276" s="19">
        <f t="shared" si="99"/>
        <v>0</v>
      </c>
      <c r="AB276" s="17">
        <v>0</v>
      </c>
      <c r="AC276" s="18"/>
      <c r="AD276" s="18"/>
      <c r="AE276" s="22">
        <f t="shared" si="100"/>
        <v>0</v>
      </c>
      <c r="AF276" s="23">
        <f t="shared" si="101"/>
        <v>0</v>
      </c>
      <c r="AG276" s="23">
        <f t="shared" si="102"/>
        <v>0</v>
      </c>
      <c r="AH276" s="18"/>
      <c r="AI276" s="24">
        <f t="shared" si="103"/>
        <v>0</v>
      </c>
      <c r="AJ276" s="25">
        <v>0</v>
      </c>
      <c r="AK276" s="24">
        <f t="shared" si="104"/>
        <v>0</v>
      </c>
      <c r="AL276" s="22">
        <f t="shared" si="105"/>
        <v>0</v>
      </c>
      <c r="AM276" s="22">
        <f t="shared" si="106"/>
        <v>0</v>
      </c>
      <c r="AN276" s="22">
        <f t="shared" si="107"/>
        <v>0</v>
      </c>
      <c r="AO276" s="26" t="str">
        <f t="shared" si="108"/>
        <v/>
      </c>
      <c r="AP276" s="26" t="str">
        <f t="shared" si="109"/>
        <v>pre-launch</v>
      </c>
      <c r="AQ276" s="18"/>
      <c r="AR276" s="18"/>
    </row>
    <row r="277" spans="1:44" x14ac:dyDescent="0.25">
      <c r="A277" s="43">
        <v>45338</v>
      </c>
      <c r="B277" s="17">
        <v>1102340858.6600001</v>
      </c>
      <c r="C277" s="17">
        <v>0</v>
      </c>
      <c r="D277" s="18"/>
      <c r="E277" s="19">
        <f t="shared" si="88"/>
        <v>1102340858.6600001</v>
      </c>
      <c r="F277" s="19">
        <f t="shared" si="89"/>
        <v>1102340858.6600001</v>
      </c>
      <c r="G277" s="20">
        <f t="shared" si="90"/>
        <v>0</v>
      </c>
      <c r="H277" s="18"/>
      <c r="I277" s="18"/>
      <c r="J277" s="18"/>
      <c r="K277" s="19">
        <f t="shared" si="91"/>
        <v>0</v>
      </c>
      <c r="L277" s="18"/>
      <c r="M277" s="18"/>
      <c r="N277" s="18"/>
      <c r="O277" s="19">
        <f t="shared" si="92"/>
        <v>0</v>
      </c>
      <c r="P277" s="21">
        <f t="shared" si="93"/>
        <v>0</v>
      </c>
      <c r="Q277" s="18"/>
      <c r="R277" s="18"/>
      <c r="S277" s="19">
        <f t="shared" si="94"/>
        <v>0</v>
      </c>
      <c r="T277" s="20">
        <f t="shared" si="95"/>
        <v>0.03</v>
      </c>
      <c r="U277" s="19">
        <f t="shared" si="96"/>
        <v>0</v>
      </c>
      <c r="V277" s="18"/>
      <c r="W277" s="19">
        <f t="shared" si="97"/>
        <v>0</v>
      </c>
      <c r="X277" s="19">
        <f t="shared" si="98"/>
        <v>0</v>
      </c>
      <c r="Y277" s="18"/>
      <c r="Z277" s="18"/>
      <c r="AA277" s="19">
        <f t="shared" si="99"/>
        <v>0</v>
      </c>
      <c r="AB277" s="17">
        <v>0</v>
      </c>
      <c r="AC277" s="18"/>
      <c r="AD277" s="18"/>
      <c r="AE277" s="22">
        <f t="shared" si="100"/>
        <v>0</v>
      </c>
      <c r="AF277" s="23">
        <f t="shared" si="101"/>
        <v>0</v>
      </c>
      <c r="AG277" s="23">
        <f t="shared" si="102"/>
        <v>0</v>
      </c>
      <c r="AH277" s="18"/>
      <c r="AI277" s="24">
        <f t="shared" si="103"/>
        <v>0</v>
      </c>
      <c r="AJ277" s="25">
        <v>0</v>
      </c>
      <c r="AK277" s="24">
        <f t="shared" si="104"/>
        <v>0</v>
      </c>
      <c r="AL277" s="22">
        <f t="shared" si="105"/>
        <v>0</v>
      </c>
      <c r="AM277" s="22">
        <f t="shared" si="106"/>
        <v>0</v>
      </c>
      <c r="AN277" s="22">
        <f t="shared" si="107"/>
        <v>0</v>
      </c>
      <c r="AO277" s="26" t="str">
        <f t="shared" si="108"/>
        <v/>
      </c>
      <c r="AP277" s="26" t="str">
        <f t="shared" si="109"/>
        <v>pre-launch</v>
      </c>
      <c r="AQ277" s="18"/>
      <c r="AR277" s="18"/>
    </row>
    <row r="278" spans="1:44" x14ac:dyDescent="0.25">
      <c r="A278" s="43">
        <v>45339</v>
      </c>
      <c r="B278" s="17">
        <v>745778482.75</v>
      </c>
      <c r="C278" s="17">
        <v>0</v>
      </c>
      <c r="D278" s="18"/>
      <c r="E278" s="19">
        <f t="shared" si="88"/>
        <v>745778482.75</v>
      </c>
      <c r="F278" s="19">
        <f t="shared" si="89"/>
        <v>745778482.75</v>
      </c>
      <c r="G278" s="20">
        <f t="shared" si="90"/>
        <v>0</v>
      </c>
      <c r="H278" s="18"/>
      <c r="I278" s="18"/>
      <c r="J278" s="18"/>
      <c r="K278" s="19">
        <f t="shared" si="91"/>
        <v>0</v>
      </c>
      <c r="L278" s="18"/>
      <c r="M278" s="18"/>
      <c r="N278" s="18"/>
      <c r="O278" s="19">
        <f t="shared" si="92"/>
        <v>0</v>
      </c>
      <c r="P278" s="21">
        <f t="shared" si="93"/>
        <v>0</v>
      </c>
      <c r="Q278" s="18"/>
      <c r="R278" s="18"/>
      <c r="S278" s="19">
        <f t="shared" si="94"/>
        <v>0</v>
      </c>
      <c r="T278" s="20">
        <f t="shared" si="95"/>
        <v>0.03</v>
      </c>
      <c r="U278" s="19">
        <f t="shared" si="96"/>
        <v>0</v>
      </c>
      <c r="V278" s="18"/>
      <c r="W278" s="19">
        <f t="shared" si="97"/>
        <v>0</v>
      </c>
      <c r="X278" s="19">
        <f t="shared" si="98"/>
        <v>0</v>
      </c>
      <c r="Y278" s="18"/>
      <c r="Z278" s="18"/>
      <c r="AA278" s="19">
        <f t="shared" si="99"/>
        <v>0</v>
      </c>
      <c r="AB278" s="17">
        <v>0</v>
      </c>
      <c r="AC278" s="18"/>
      <c r="AD278" s="18"/>
      <c r="AE278" s="22">
        <f t="shared" si="100"/>
        <v>0</v>
      </c>
      <c r="AF278" s="23">
        <f t="shared" si="101"/>
        <v>0</v>
      </c>
      <c r="AG278" s="23">
        <f t="shared" si="102"/>
        <v>0</v>
      </c>
      <c r="AH278" s="18"/>
      <c r="AI278" s="24">
        <f t="shared" si="103"/>
        <v>0</v>
      </c>
      <c r="AJ278" s="25">
        <v>0</v>
      </c>
      <c r="AK278" s="24">
        <f t="shared" si="104"/>
        <v>0</v>
      </c>
      <c r="AL278" s="22">
        <f t="shared" si="105"/>
        <v>0</v>
      </c>
      <c r="AM278" s="22">
        <f t="shared" si="106"/>
        <v>0</v>
      </c>
      <c r="AN278" s="22">
        <f t="shared" si="107"/>
        <v>0</v>
      </c>
      <c r="AO278" s="26" t="str">
        <f t="shared" si="108"/>
        <v/>
      </c>
      <c r="AP278" s="26" t="str">
        <f t="shared" si="109"/>
        <v>pre-launch</v>
      </c>
      <c r="AQ278" s="18"/>
      <c r="AR278" s="18"/>
    </row>
    <row r="279" spans="1:44" x14ac:dyDescent="0.25">
      <c r="A279" s="43">
        <v>45340</v>
      </c>
      <c r="B279" s="17">
        <v>855460139.82000005</v>
      </c>
      <c r="C279" s="17">
        <v>0</v>
      </c>
      <c r="D279" s="18"/>
      <c r="E279" s="19">
        <f t="shared" si="88"/>
        <v>855460139.82000005</v>
      </c>
      <c r="F279" s="19">
        <f t="shared" si="89"/>
        <v>855460139.82000005</v>
      </c>
      <c r="G279" s="20">
        <f t="shared" si="90"/>
        <v>0</v>
      </c>
      <c r="H279" s="18"/>
      <c r="I279" s="18"/>
      <c r="J279" s="18"/>
      <c r="K279" s="19">
        <f t="shared" si="91"/>
        <v>0</v>
      </c>
      <c r="L279" s="18"/>
      <c r="M279" s="18"/>
      <c r="N279" s="18"/>
      <c r="O279" s="19">
        <f t="shared" si="92"/>
        <v>0</v>
      </c>
      <c r="P279" s="21">
        <f t="shared" si="93"/>
        <v>0</v>
      </c>
      <c r="Q279" s="18"/>
      <c r="R279" s="18"/>
      <c r="S279" s="19">
        <f t="shared" si="94"/>
        <v>0</v>
      </c>
      <c r="T279" s="20">
        <f t="shared" si="95"/>
        <v>0.03</v>
      </c>
      <c r="U279" s="19">
        <f t="shared" si="96"/>
        <v>0</v>
      </c>
      <c r="V279" s="18"/>
      <c r="W279" s="19">
        <f t="shared" si="97"/>
        <v>0</v>
      </c>
      <c r="X279" s="19">
        <f t="shared" si="98"/>
        <v>0</v>
      </c>
      <c r="Y279" s="18"/>
      <c r="Z279" s="18"/>
      <c r="AA279" s="19">
        <f t="shared" si="99"/>
        <v>0</v>
      </c>
      <c r="AB279" s="17">
        <v>0</v>
      </c>
      <c r="AC279" s="18"/>
      <c r="AD279" s="18"/>
      <c r="AE279" s="22">
        <f t="shared" si="100"/>
        <v>0</v>
      </c>
      <c r="AF279" s="23">
        <f t="shared" si="101"/>
        <v>0</v>
      </c>
      <c r="AG279" s="23">
        <f t="shared" si="102"/>
        <v>0</v>
      </c>
      <c r="AH279" s="18"/>
      <c r="AI279" s="24">
        <f t="shared" si="103"/>
        <v>0</v>
      </c>
      <c r="AJ279" s="25">
        <v>0</v>
      </c>
      <c r="AK279" s="24">
        <f t="shared" si="104"/>
        <v>0</v>
      </c>
      <c r="AL279" s="22">
        <f t="shared" si="105"/>
        <v>0</v>
      </c>
      <c r="AM279" s="22">
        <f t="shared" si="106"/>
        <v>0</v>
      </c>
      <c r="AN279" s="22">
        <f t="shared" si="107"/>
        <v>0</v>
      </c>
      <c r="AO279" s="26" t="str">
        <f t="shared" si="108"/>
        <v/>
      </c>
      <c r="AP279" s="26" t="str">
        <f t="shared" si="109"/>
        <v>pre-launch</v>
      </c>
      <c r="AQ279" s="18"/>
      <c r="AR279" s="18"/>
    </row>
    <row r="280" spans="1:44" x14ac:dyDescent="0.25">
      <c r="A280" s="43">
        <v>45341</v>
      </c>
      <c r="B280" s="17">
        <v>1106053516.8</v>
      </c>
      <c r="C280" s="17">
        <v>0</v>
      </c>
      <c r="D280" s="18"/>
      <c r="E280" s="19">
        <f t="shared" si="88"/>
        <v>1106053516.8</v>
      </c>
      <c r="F280" s="19">
        <f t="shared" si="89"/>
        <v>1106053516.8</v>
      </c>
      <c r="G280" s="20">
        <f t="shared" si="90"/>
        <v>0</v>
      </c>
      <c r="H280" s="18"/>
      <c r="I280" s="18"/>
      <c r="J280" s="18"/>
      <c r="K280" s="19">
        <f t="shared" si="91"/>
        <v>0</v>
      </c>
      <c r="L280" s="18"/>
      <c r="M280" s="18"/>
      <c r="N280" s="18"/>
      <c r="O280" s="19">
        <f t="shared" si="92"/>
        <v>0</v>
      </c>
      <c r="P280" s="21">
        <f t="shared" si="93"/>
        <v>0</v>
      </c>
      <c r="Q280" s="18"/>
      <c r="R280" s="18"/>
      <c r="S280" s="19">
        <f t="shared" si="94"/>
        <v>0</v>
      </c>
      <c r="T280" s="20">
        <f t="shared" si="95"/>
        <v>0.03</v>
      </c>
      <c r="U280" s="19">
        <f t="shared" si="96"/>
        <v>0</v>
      </c>
      <c r="V280" s="18"/>
      <c r="W280" s="19">
        <f t="shared" si="97"/>
        <v>0</v>
      </c>
      <c r="X280" s="19">
        <f t="shared" si="98"/>
        <v>0</v>
      </c>
      <c r="Y280" s="18"/>
      <c r="Z280" s="18"/>
      <c r="AA280" s="19">
        <f t="shared" si="99"/>
        <v>0</v>
      </c>
      <c r="AB280" s="17">
        <v>0</v>
      </c>
      <c r="AC280" s="18"/>
      <c r="AD280" s="18"/>
      <c r="AE280" s="22">
        <f t="shared" si="100"/>
        <v>0</v>
      </c>
      <c r="AF280" s="23">
        <f t="shared" si="101"/>
        <v>0</v>
      </c>
      <c r="AG280" s="23">
        <f t="shared" si="102"/>
        <v>0</v>
      </c>
      <c r="AH280" s="18"/>
      <c r="AI280" s="24">
        <f t="shared" si="103"/>
        <v>0</v>
      </c>
      <c r="AJ280" s="25">
        <v>0</v>
      </c>
      <c r="AK280" s="24">
        <f t="shared" si="104"/>
        <v>0</v>
      </c>
      <c r="AL280" s="22">
        <f t="shared" si="105"/>
        <v>0</v>
      </c>
      <c r="AM280" s="22">
        <f t="shared" si="106"/>
        <v>0</v>
      </c>
      <c r="AN280" s="22">
        <f t="shared" si="107"/>
        <v>0</v>
      </c>
      <c r="AO280" s="26" t="str">
        <f t="shared" si="108"/>
        <v/>
      </c>
      <c r="AP280" s="26" t="str">
        <f t="shared" si="109"/>
        <v>pre-launch</v>
      </c>
      <c r="AQ280" s="18"/>
      <c r="AR280" s="18"/>
    </row>
    <row r="281" spans="1:44" x14ac:dyDescent="0.25">
      <c r="A281" s="43">
        <v>45342</v>
      </c>
      <c r="B281" s="17">
        <v>1560628097.24</v>
      </c>
      <c r="C281" s="17">
        <v>0</v>
      </c>
      <c r="D281" s="18"/>
      <c r="E281" s="19">
        <f t="shared" si="88"/>
        <v>1560628097.24</v>
      </c>
      <c r="F281" s="19">
        <f t="shared" si="89"/>
        <v>1560628097.24</v>
      </c>
      <c r="G281" s="20">
        <f t="shared" si="90"/>
        <v>0</v>
      </c>
      <c r="H281" s="18"/>
      <c r="I281" s="18"/>
      <c r="J281" s="18"/>
      <c r="K281" s="19">
        <f t="shared" si="91"/>
        <v>0</v>
      </c>
      <c r="L281" s="18"/>
      <c r="M281" s="18"/>
      <c r="N281" s="18"/>
      <c r="O281" s="19">
        <f t="shared" si="92"/>
        <v>0</v>
      </c>
      <c r="P281" s="21">
        <f t="shared" si="93"/>
        <v>0</v>
      </c>
      <c r="Q281" s="18"/>
      <c r="R281" s="18"/>
      <c r="S281" s="19">
        <f t="shared" si="94"/>
        <v>0</v>
      </c>
      <c r="T281" s="20">
        <f t="shared" si="95"/>
        <v>0.03</v>
      </c>
      <c r="U281" s="19">
        <f t="shared" si="96"/>
        <v>0</v>
      </c>
      <c r="V281" s="18"/>
      <c r="W281" s="19">
        <f t="shared" si="97"/>
        <v>0</v>
      </c>
      <c r="X281" s="19">
        <f t="shared" si="98"/>
        <v>0</v>
      </c>
      <c r="Y281" s="18"/>
      <c r="Z281" s="18"/>
      <c r="AA281" s="19">
        <f t="shared" si="99"/>
        <v>0</v>
      </c>
      <c r="AB281" s="17">
        <v>0</v>
      </c>
      <c r="AC281" s="18"/>
      <c r="AD281" s="18"/>
      <c r="AE281" s="22">
        <f t="shared" si="100"/>
        <v>0</v>
      </c>
      <c r="AF281" s="23">
        <f t="shared" si="101"/>
        <v>0</v>
      </c>
      <c r="AG281" s="23">
        <f t="shared" si="102"/>
        <v>0</v>
      </c>
      <c r="AH281" s="18"/>
      <c r="AI281" s="24">
        <f t="shared" si="103"/>
        <v>0</v>
      </c>
      <c r="AJ281" s="25">
        <v>0</v>
      </c>
      <c r="AK281" s="24">
        <f t="shared" si="104"/>
        <v>0</v>
      </c>
      <c r="AL281" s="22">
        <f t="shared" si="105"/>
        <v>0</v>
      </c>
      <c r="AM281" s="22">
        <f t="shared" si="106"/>
        <v>0</v>
      </c>
      <c r="AN281" s="22">
        <f t="shared" si="107"/>
        <v>0</v>
      </c>
      <c r="AO281" s="26" t="str">
        <f t="shared" si="108"/>
        <v/>
      </c>
      <c r="AP281" s="26" t="str">
        <f t="shared" si="109"/>
        <v>pre-launch</v>
      </c>
      <c r="AQ281" s="18"/>
      <c r="AR281" s="18"/>
    </row>
    <row r="282" spans="1:44" x14ac:dyDescent="0.25">
      <c r="A282" s="43">
        <v>45343</v>
      </c>
      <c r="B282" s="17">
        <v>1380216333.3699999</v>
      </c>
      <c r="C282" s="17">
        <v>0</v>
      </c>
      <c r="D282" s="18"/>
      <c r="E282" s="19">
        <f t="shared" si="88"/>
        <v>1380216333.3699999</v>
      </c>
      <c r="F282" s="19">
        <f t="shared" si="89"/>
        <v>1380216333.3699999</v>
      </c>
      <c r="G282" s="20">
        <f t="shared" si="90"/>
        <v>0</v>
      </c>
      <c r="H282" s="18"/>
      <c r="I282" s="18"/>
      <c r="J282" s="18"/>
      <c r="K282" s="19">
        <f t="shared" si="91"/>
        <v>0</v>
      </c>
      <c r="L282" s="18"/>
      <c r="M282" s="18"/>
      <c r="N282" s="18"/>
      <c r="O282" s="19">
        <f t="shared" si="92"/>
        <v>0</v>
      </c>
      <c r="P282" s="21">
        <f t="shared" si="93"/>
        <v>0</v>
      </c>
      <c r="Q282" s="18"/>
      <c r="R282" s="18"/>
      <c r="S282" s="19">
        <f t="shared" si="94"/>
        <v>0</v>
      </c>
      <c r="T282" s="20">
        <f t="shared" si="95"/>
        <v>0.03</v>
      </c>
      <c r="U282" s="19">
        <f t="shared" si="96"/>
        <v>0</v>
      </c>
      <c r="V282" s="18"/>
      <c r="W282" s="19">
        <f t="shared" si="97"/>
        <v>0</v>
      </c>
      <c r="X282" s="19">
        <f t="shared" si="98"/>
        <v>0</v>
      </c>
      <c r="Y282" s="18"/>
      <c r="Z282" s="18"/>
      <c r="AA282" s="19">
        <f t="shared" si="99"/>
        <v>0</v>
      </c>
      <c r="AB282" s="17">
        <v>0</v>
      </c>
      <c r="AC282" s="18"/>
      <c r="AD282" s="18"/>
      <c r="AE282" s="22">
        <f t="shared" si="100"/>
        <v>0</v>
      </c>
      <c r="AF282" s="23">
        <f t="shared" si="101"/>
        <v>0</v>
      </c>
      <c r="AG282" s="23">
        <f t="shared" si="102"/>
        <v>0</v>
      </c>
      <c r="AH282" s="18"/>
      <c r="AI282" s="24">
        <f t="shared" si="103"/>
        <v>0</v>
      </c>
      <c r="AJ282" s="25">
        <v>0</v>
      </c>
      <c r="AK282" s="24">
        <f t="shared" si="104"/>
        <v>0</v>
      </c>
      <c r="AL282" s="22">
        <f t="shared" si="105"/>
        <v>0</v>
      </c>
      <c r="AM282" s="22">
        <f t="shared" si="106"/>
        <v>0</v>
      </c>
      <c r="AN282" s="22">
        <f t="shared" si="107"/>
        <v>0</v>
      </c>
      <c r="AO282" s="26" t="str">
        <f t="shared" si="108"/>
        <v/>
      </c>
      <c r="AP282" s="26" t="str">
        <f t="shared" si="109"/>
        <v>pre-launch</v>
      </c>
      <c r="AQ282" s="18"/>
      <c r="AR282" s="18"/>
    </row>
    <row r="283" spans="1:44" x14ac:dyDescent="0.25">
      <c r="A283" s="43">
        <v>45344</v>
      </c>
      <c r="B283" s="17">
        <v>1253038799.73</v>
      </c>
      <c r="C283" s="17">
        <v>0</v>
      </c>
      <c r="D283" s="18"/>
      <c r="E283" s="19">
        <f t="shared" si="88"/>
        <v>1253038799.73</v>
      </c>
      <c r="F283" s="19">
        <f t="shared" si="89"/>
        <v>1253038799.73</v>
      </c>
      <c r="G283" s="20">
        <f t="shared" si="90"/>
        <v>0</v>
      </c>
      <c r="H283" s="18"/>
      <c r="I283" s="18"/>
      <c r="J283" s="18"/>
      <c r="K283" s="19">
        <f t="shared" si="91"/>
        <v>0</v>
      </c>
      <c r="L283" s="18"/>
      <c r="M283" s="18"/>
      <c r="N283" s="18"/>
      <c r="O283" s="19">
        <f t="shared" si="92"/>
        <v>0</v>
      </c>
      <c r="P283" s="21">
        <f t="shared" si="93"/>
        <v>0</v>
      </c>
      <c r="Q283" s="18"/>
      <c r="R283" s="18"/>
      <c r="S283" s="19">
        <f t="shared" si="94"/>
        <v>0</v>
      </c>
      <c r="T283" s="20">
        <f t="shared" si="95"/>
        <v>0.03</v>
      </c>
      <c r="U283" s="19">
        <f t="shared" si="96"/>
        <v>0</v>
      </c>
      <c r="V283" s="18"/>
      <c r="W283" s="19">
        <f t="shared" si="97"/>
        <v>0</v>
      </c>
      <c r="X283" s="19">
        <f t="shared" si="98"/>
        <v>0</v>
      </c>
      <c r="Y283" s="18"/>
      <c r="Z283" s="18"/>
      <c r="AA283" s="19">
        <f t="shared" si="99"/>
        <v>0</v>
      </c>
      <c r="AB283" s="17">
        <v>0</v>
      </c>
      <c r="AC283" s="18"/>
      <c r="AD283" s="18"/>
      <c r="AE283" s="22">
        <f t="shared" si="100"/>
        <v>0</v>
      </c>
      <c r="AF283" s="23">
        <f t="shared" si="101"/>
        <v>0</v>
      </c>
      <c r="AG283" s="23">
        <f t="shared" si="102"/>
        <v>0</v>
      </c>
      <c r="AH283" s="18"/>
      <c r="AI283" s="24">
        <f t="shared" si="103"/>
        <v>0</v>
      </c>
      <c r="AJ283" s="25">
        <v>0</v>
      </c>
      <c r="AK283" s="24">
        <f t="shared" si="104"/>
        <v>0</v>
      </c>
      <c r="AL283" s="22">
        <f t="shared" si="105"/>
        <v>0</v>
      </c>
      <c r="AM283" s="22">
        <f t="shared" si="106"/>
        <v>0</v>
      </c>
      <c r="AN283" s="22">
        <f t="shared" si="107"/>
        <v>0</v>
      </c>
      <c r="AO283" s="26" t="str">
        <f t="shared" si="108"/>
        <v/>
      </c>
      <c r="AP283" s="26" t="str">
        <f t="shared" si="109"/>
        <v>pre-launch</v>
      </c>
      <c r="AQ283" s="18"/>
      <c r="AR283" s="18"/>
    </row>
    <row r="284" spans="1:44" x14ac:dyDescent="0.25">
      <c r="A284" s="43">
        <v>45345</v>
      </c>
      <c r="B284" s="17">
        <v>1124666431.6600001</v>
      </c>
      <c r="C284" s="17">
        <v>0</v>
      </c>
      <c r="D284" s="18"/>
      <c r="E284" s="19">
        <f t="shared" si="88"/>
        <v>1124666431.6600001</v>
      </c>
      <c r="F284" s="19">
        <f t="shared" si="89"/>
        <v>1124666431.6600001</v>
      </c>
      <c r="G284" s="20">
        <f t="shared" si="90"/>
        <v>0</v>
      </c>
      <c r="H284" s="18"/>
      <c r="I284" s="18"/>
      <c r="J284" s="18"/>
      <c r="K284" s="19">
        <f t="shared" si="91"/>
        <v>0</v>
      </c>
      <c r="L284" s="18"/>
      <c r="M284" s="18"/>
      <c r="N284" s="18"/>
      <c r="O284" s="19">
        <f t="shared" si="92"/>
        <v>0</v>
      </c>
      <c r="P284" s="21">
        <f t="shared" si="93"/>
        <v>0</v>
      </c>
      <c r="Q284" s="18"/>
      <c r="R284" s="18"/>
      <c r="S284" s="19">
        <f t="shared" si="94"/>
        <v>0</v>
      </c>
      <c r="T284" s="20">
        <f t="shared" si="95"/>
        <v>0.03</v>
      </c>
      <c r="U284" s="19">
        <f t="shared" si="96"/>
        <v>0</v>
      </c>
      <c r="V284" s="18"/>
      <c r="W284" s="19">
        <f t="shared" si="97"/>
        <v>0</v>
      </c>
      <c r="X284" s="19">
        <f t="shared" si="98"/>
        <v>0</v>
      </c>
      <c r="Y284" s="18"/>
      <c r="Z284" s="18"/>
      <c r="AA284" s="19">
        <f t="shared" si="99"/>
        <v>0</v>
      </c>
      <c r="AB284" s="17">
        <v>0</v>
      </c>
      <c r="AC284" s="18"/>
      <c r="AD284" s="18"/>
      <c r="AE284" s="22">
        <f t="shared" si="100"/>
        <v>0</v>
      </c>
      <c r="AF284" s="23">
        <f t="shared" si="101"/>
        <v>0</v>
      </c>
      <c r="AG284" s="23">
        <f t="shared" si="102"/>
        <v>0</v>
      </c>
      <c r="AH284" s="18"/>
      <c r="AI284" s="24">
        <f t="shared" si="103"/>
        <v>0</v>
      </c>
      <c r="AJ284" s="25">
        <v>0</v>
      </c>
      <c r="AK284" s="24">
        <f t="shared" si="104"/>
        <v>0</v>
      </c>
      <c r="AL284" s="22">
        <f t="shared" si="105"/>
        <v>0</v>
      </c>
      <c r="AM284" s="22">
        <f t="shared" si="106"/>
        <v>0</v>
      </c>
      <c r="AN284" s="22">
        <f t="shared" si="107"/>
        <v>0</v>
      </c>
      <c r="AO284" s="26" t="str">
        <f t="shared" si="108"/>
        <v/>
      </c>
      <c r="AP284" s="26" t="str">
        <f t="shared" si="109"/>
        <v>pre-launch</v>
      </c>
      <c r="AQ284" s="18"/>
      <c r="AR284" s="18"/>
    </row>
    <row r="285" spans="1:44" x14ac:dyDescent="0.25">
      <c r="A285" s="43">
        <v>45346</v>
      </c>
      <c r="B285" s="17">
        <v>736294574.30999994</v>
      </c>
      <c r="C285" s="17">
        <v>0</v>
      </c>
      <c r="D285" s="18"/>
      <c r="E285" s="19">
        <f t="shared" si="88"/>
        <v>736294574.30999994</v>
      </c>
      <c r="F285" s="19">
        <f t="shared" si="89"/>
        <v>736294574.30999994</v>
      </c>
      <c r="G285" s="20">
        <f t="shared" si="90"/>
        <v>0</v>
      </c>
      <c r="H285" s="18"/>
      <c r="I285" s="18"/>
      <c r="J285" s="18"/>
      <c r="K285" s="19">
        <f t="shared" si="91"/>
        <v>0</v>
      </c>
      <c r="L285" s="18"/>
      <c r="M285" s="18"/>
      <c r="N285" s="18"/>
      <c r="O285" s="19">
        <f t="shared" si="92"/>
        <v>0</v>
      </c>
      <c r="P285" s="21">
        <f t="shared" si="93"/>
        <v>0</v>
      </c>
      <c r="Q285" s="18"/>
      <c r="R285" s="18"/>
      <c r="S285" s="19">
        <f t="shared" si="94"/>
        <v>0</v>
      </c>
      <c r="T285" s="20">
        <f t="shared" si="95"/>
        <v>0.03</v>
      </c>
      <c r="U285" s="19">
        <f t="shared" si="96"/>
        <v>0</v>
      </c>
      <c r="V285" s="18"/>
      <c r="W285" s="19">
        <f t="shared" si="97"/>
        <v>0</v>
      </c>
      <c r="X285" s="19">
        <f t="shared" si="98"/>
        <v>0</v>
      </c>
      <c r="Y285" s="18"/>
      <c r="Z285" s="18"/>
      <c r="AA285" s="19">
        <f t="shared" si="99"/>
        <v>0</v>
      </c>
      <c r="AB285" s="17">
        <v>0</v>
      </c>
      <c r="AC285" s="18"/>
      <c r="AD285" s="18"/>
      <c r="AE285" s="22">
        <f t="shared" si="100"/>
        <v>0</v>
      </c>
      <c r="AF285" s="23">
        <f t="shared" si="101"/>
        <v>0</v>
      </c>
      <c r="AG285" s="23">
        <f t="shared" si="102"/>
        <v>0</v>
      </c>
      <c r="AH285" s="18"/>
      <c r="AI285" s="24">
        <f t="shared" si="103"/>
        <v>0</v>
      </c>
      <c r="AJ285" s="25">
        <v>0</v>
      </c>
      <c r="AK285" s="24">
        <f t="shared" si="104"/>
        <v>0</v>
      </c>
      <c r="AL285" s="22">
        <f t="shared" si="105"/>
        <v>0</v>
      </c>
      <c r="AM285" s="22">
        <f t="shared" si="106"/>
        <v>0</v>
      </c>
      <c r="AN285" s="22">
        <f t="shared" si="107"/>
        <v>0</v>
      </c>
      <c r="AO285" s="26" t="str">
        <f t="shared" si="108"/>
        <v/>
      </c>
      <c r="AP285" s="26" t="str">
        <f t="shared" si="109"/>
        <v>pre-launch</v>
      </c>
      <c r="AQ285" s="18"/>
      <c r="AR285" s="18"/>
    </row>
    <row r="286" spans="1:44" x14ac:dyDescent="0.25">
      <c r="A286" s="43">
        <v>45347</v>
      </c>
      <c r="B286" s="17">
        <v>994369059.28999996</v>
      </c>
      <c r="C286" s="17">
        <v>0</v>
      </c>
      <c r="D286" s="18"/>
      <c r="E286" s="19">
        <f t="shared" si="88"/>
        <v>994369059.28999996</v>
      </c>
      <c r="F286" s="19">
        <f t="shared" si="89"/>
        <v>994369059.28999996</v>
      </c>
      <c r="G286" s="20">
        <f t="shared" si="90"/>
        <v>0</v>
      </c>
      <c r="H286" s="18"/>
      <c r="I286" s="18"/>
      <c r="J286" s="18"/>
      <c r="K286" s="19">
        <f t="shared" si="91"/>
        <v>0</v>
      </c>
      <c r="L286" s="18"/>
      <c r="M286" s="18"/>
      <c r="N286" s="18"/>
      <c r="O286" s="19">
        <f t="shared" si="92"/>
        <v>0</v>
      </c>
      <c r="P286" s="21">
        <f t="shared" si="93"/>
        <v>0</v>
      </c>
      <c r="Q286" s="18"/>
      <c r="R286" s="18"/>
      <c r="S286" s="19">
        <f t="shared" si="94"/>
        <v>0</v>
      </c>
      <c r="T286" s="20">
        <f t="shared" si="95"/>
        <v>0.03</v>
      </c>
      <c r="U286" s="19">
        <f t="shared" si="96"/>
        <v>0</v>
      </c>
      <c r="V286" s="18"/>
      <c r="W286" s="19">
        <f t="shared" si="97"/>
        <v>0</v>
      </c>
      <c r="X286" s="19">
        <f t="shared" si="98"/>
        <v>0</v>
      </c>
      <c r="Y286" s="18"/>
      <c r="Z286" s="18"/>
      <c r="AA286" s="19">
        <f t="shared" si="99"/>
        <v>0</v>
      </c>
      <c r="AB286" s="17">
        <v>0</v>
      </c>
      <c r="AC286" s="18"/>
      <c r="AD286" s="18"/>
      <c r="AE286" s="22">
        <f t="shared" si="100"/>
        <v>0</v>
      </c>
      <c r="AF286" s="23">
        <f t="shared" si="101"/>
        <v>0</v>
      </c>
      <c r="AG286" s="23">
        <f t="shared" si="102"/>
        <v>0</v>
      </c>
      <c r="AH286" s="18"/>
      <c r="AI286" s="24">
        <f t="shared" si="103"/>
        <v>0</v>
      </c>
      <c r="AJ286" s="25">
        <v>0</v>
      </c>
      <c r="AK286" s="24">
        <f t="shared" si="104"/>
        <v>0</v>
      </c>
      <c r="AL286" s="22">
        <f t="shared" si="105"/>
        <v>0</v>
      </c>
      <c r="AM286" s="22">
        <f t="shared" si="106"/>
        <v>0</v>
      </c>
      <c r="AN286" s="22">
        <f t="shared" si="107"/>
        <v>0</v>
      </c>
      <c r="AO286" s="26" t="str">
        <f t="shared" si="108"/>
        <v/>
      </c>
      <c r="AP286" s="26" t="str">
        <f t="shared" si="109"/>
        <v>pre-launch</v>
      </c>
      <c r="AQ286" s="18"/>
      <c r="AR286" s="18"/>
    </row>
    <row r="287" spans="1:44" x14ac:dyDescent="0.25">
      <c r="A287" s="43">
        <v>45348</v>
      </c>
      <c r="B287" s="17">
        <v>1436034414.6300001</v>
      </c>
      <c r="C287" s="17">
        <v>0</v>
      </c>
      <c r="D287" s="18"/>
      <c r="E287" s="19">
        <f t="shared" si="88"/>
        <v>1436034414.6300001</v>
      </c>
      <c r="F287" s="19">
        <f t="shared" si="89"/>
        <v>1436034414.6300001</v>
      </c>
      <c r="G287" s="20">
        <f t="shared" si="90"/>
        <v>0</v>
      </c>
      <c r="H287" s="18"/>
      <c r="I287" s="18"/>
      <c r="J287" s="18"/>
      <c r="K287" s="19">
        <f t="shared" si="91"/>
        <v>0</v>
      </c>
      <c r="L287" s="18"/>
      <c r="M287" s="18"/>
      <c r="N287" s="18"/>
      <c r="O287" s="19">
        <f t="shared" si="92"/>
        <v>0</v>
      </c>
      <c r="P287" s="21">
        <f t="shared" si="93"/>
        <v>0</v>
      </c>
      <c r="Q287" s="18"/>
      <c r="R287" s="18"/>
      <c r="S287" s="19">
        <f t="shared" si="94"/>
        <v>0</v>
      </c>
      <c r="T287" s="20">
        <f t="shared" si="95"/>
        <v>0.03</v>
      </c>
      <c r="U287" s="19">
        <f t="shared" si="96"/>
        <v>0</v>
      </c>
      <c r="V287" s="18"/>
      <c r="W287" s="19">
        <f t="shared" si="97"/>
        <v>0</v>
      </c>
      <c r="X287" s="19">
        <f t="shared" si="98"/>
        <v>0</v>
      </c>
      <c r="Y287" s="18"/>
      <c r="Z287" s="18"/>
      <c r="AA287" s="19">
        <f t="shared" si="99"/>
        <v>0</v>
      </c>
      <c r="AB287" s="17">
        <v>0</v>
      </c>
      <c r="AC287" s="18"/>
      <c r="AD287" s="18"/>
      <c r="AE287" s="22">
        <f t="shared" si="100"/>
        <v>0</v>
      </c>
      <c r="AF287" s="23">
        <f t="shared" si="101"/>
        <v>0</v>
      </c>
      <c r="AG287" s="23">
        <f t="shared" si="102"/>
        <v>0</v>
      </c>
      <c r="AH287" s="18"/>
      <c r="AI287" s="24">
        <f t="shared" si="103"/>
        <v>0</v>
      </c>
      <c r="AJ287" s="25">
        <v>0</v>
      </c>
      <c r="AK287" s="24">
        <f t="shared" si="104"/>
        <v>0</v>
      </c>
      <c r="AL287" s="22">
        <f t="shared" si="105"/>
        <v>0</v>
      </c>
      <c r="AM287" s="22">
        <f t="shared" si="106"/>
        <v>0</v>
      </c>
      <c r="AN287" s="22">
        <f t="shared" si="107"/>
        <v>0</v>
      </c>
      <c r="AO287" s="26" t="str">
        <f t="shared" si="108"/>
        <v/>
      </c>
      <c r="AP287" s="26" t="str">
        <f t="shared" si="109"/>
        <v>pre-launch</v>
      </c>
      <c r="AQ287" s="18"/>
      <c r="AR287" s="18"/>
    </row>
    <row r="288" spans="1:44" x14ac:dyDescent="0.25">
      <c r="A288" s="43">
        <v>45349</v>
      </c>
      <c r="B288" s="17">
        <v>1732677761.8099999</v>
      </c>
      <c r="C288" s="17">
        <v>0</v>
      </c>
      <c r="D288" s="18"/>
      <c r="E288" s="19">
        <f t="shared" si="88"/>
        <v>1732677761.8099999</v>
      </c>
      <c r="F288" s="19">
        <f t="shared" si="89"/>
        <v>1732677761.8099999</v>
      </c>
      <c r="G288" s="20">
        <f t="shared" si="90"/>
        <v>0</v>
      </c>
      <c r="H288" s="18"/>
      <c r="I288" s="18"/>
      <c r="J288" s="18"/>
      <c r="K288" s="19">
        <f t="shared" si="91"/>
        <v>0</v>
      </c>
      <c r="L288" s="18"/>
      <c r="M288" s="18"/>
      <c r="N288" s="18"/>
      <c r="O288" s="19">
        <f t="shared" si="92"/>
        <v>0</v>
      </c>
      <c r="P288" s="21">
        <f t="shared" si="93"/>
        <v>0</v>
      </c>
      <c r="Q288" s="18"/>
      <c r="R288" s="18"/>
      <c r="S288" s="19">
        <f t="shared" si="94"/>
        <v>0</v>
      </c>
      <c r="T288" s="20">
        <f t="shared" si="95"/>
        <v>0.03</v>
      </c>
      <c r="U288" s="19">
        <f t="shared" si="96"/>
        <v>0</v>
      </c>
      <c r="V288" s="18"/>
      <c r="W288" s="19">
        <f t="shared" si="97"/>
        <v>0</v>
      </c>
      <c r="X288" s="19">
        <f t="shared" si="98"/>
        <v>0</v>
      </c>
      <c r="Y288" s="18"/>
      <c r="Z288" s="18"/>
      <c r="AA288" s="19">
        <f t="shared" si="99"/>
        <v>0</v>
      </c>
      <c r="AB288" s="17">
        <v>0</v>
      </c>
      <c r="AC288" s="18"/>
      <c r="AD288" s="18"/>
      <c r="AE288" s="22">
        <f t="shared" si="100"/>
        <v>0</v>
      </c>
      <c r="AF288" s="23">
        <f t="shared" si="101"/>
        <v>0</v>
      </c>
      <c r="AG288" s="23">
        <f t="shared" si="102"/>
        <v>0</v>
      </c>
      <c r="AH288" s="18"/>
      <c r="AI288" s="24">
        <f t="shared" si="103"/>
        <v>0</v>
      </c>
      <c r="AJ288" s="25">
        <v>0</v>
      </c>
      <c r="AK288" s="24">
        <f t="shared" si="104"/>
        <v>0</v>
      </c>
      <c r="AL288" s="22">
        <f t="shared" si="105"/>
        <v>0</v>
      </c>
      <c r="AM288" s="22">
        <f t="shared" si="106"/>
        <v>0</v>
      </c>
      <c r="AN288" s="22">
        <f t="shared" si="107"/>
        <v>0</v>
      </c>
      <c r="AO288" s="26" t="str">
        <f t="shared" si="108"/>
        <v/>
      </c>
      <c r="AP288" s="26" t="str">
        <f t="shared" si="109"/>
        <v>pre-launch</v>
      </c>
      <c r="AQ288" s="18"/>
      <c r="AR288" s="18"/>
    </row>
    <row r="289" spans="1:44" x14ac:dyDescent="0.25">
      <c r="A289" s="43">
        <v>45350</v>
      </c>
      <c r="B289" s="17">
        <v>3027279326.1700001</v>
      </c>
      <c r="C289" s="17">
        <v>0</v>
      </c>
      <c r="D289" s="18"/>
      <c r="E289" s="19">
        <f t="shared" si="88"/>
        <v>3027279326.1700001</v>
      </c>
      <c r="F289" s="19">
        <f t="shared" si="89"/>
        <v>3027279326.1700001</v>
      </c>
      <c r="G289" s="20">
        <f t="shared" si="90"/>
        <v>0</v>
      </c>
      <c r="H289" s="18"/>
      <c r="I289" s="18"/>
      <c r="J289" s="18"/>
      <c r="K289" s="19">
        <f t="shared" si="91"/>
        <v>0</v>
      </c>
      <c r="L289" s="18"/>
      <c r="M289" s="18"/>
      <c r="N289" s="18"/>
      <c r="O289" s="19">
        <f t="shared" si="92"/>
        <v>0</v>
      </c>
      <c r="P289" s="21">
        <f t="shared" si="93"/>
        <v>0</v>
      </c>
      <c r="Q289" s="18"/>
      <c r="R289" s="18"/>
      <c r="S289" s="19">
        <f t="shared" si="94"/>
        <v>0</v>
      </c>
      <c r="T289" s="20">
        <f t="shared" si="95"/>
        <v>0.03</v>
      </c>
      <c r="U289" s="19">
        <f t="shared" si="96"/>
        <v>0</v>
      </c>
      <c r="V289" s="18"/>
      <c r="W289" s="19">
        <f t="shared" si="97"/>
        <v>0</v>
      </c>
      <c r="X289" s="19">
        <f t="shared" si="98"/>
        <v>0</v>
      </c>
      <c r="Y289" s="18"/>
      <c r="Z289" s="18"/>
      <c r="AA289" s="19">
        <f t="shared" si="99"/>
        <v>0</v>
      </c>
      <c r="AB289" s="17">
        <v>0</v>
      </c>
      <c r="AC289" s="18"/>
      <c r="AD289" s="18"/>
      <c r="AE289" s="22">
        <f t="shared" si="100"/>
        <v>0</v>
      </c>
      <c r="AF289" s="23">
        <f t="shared" si="101"/>
        <v>0</v>
      </c>
      <c r="AG289" s="23">
        <f t="shared" si="102"/>
        <v>0</v>
      </c>
      <c r="AH289" s="18"/>
      <c r="AI289" s="24">
        <f t="shared" si="103"/>
        <v>0</v>
      </c>
      <c r="AJ289" s="25">
        <v>0</v>
      </c>
      <c r="AK289" s="24">
        <f t="shared" si="104"/>
        <v>0</v>
      </c>
      <c r="AL289" s="22">
        <f t="shared" si="105"/>
        <v>0</v>
      </c>
      <c r="AM289" s="22">
        <f t="shared" si="106"/>
        <v>0</v>
      </c>
      <c r="AN289" s="22">
        <f t="shared" si="107"/>
        <v>0</v>
      </c>
      <c r="AO289" s="26" t="str">
        <f t="shared" si="108"/>
        <v/>
      </c>
      <c r="AP289" s="26" t="str">
        <f t="shared" si="109"/>
        <v>pre-launch</v>
      </c>
      <c r="AQ289" s="18"/>
      <c r="AR289" s="18"/>
    </row>
    <row r="290" spans="1:44" x14ac:dyDescent="0.25">
      <c r="A290" s="43">
        <v>45351</v>
      </c>
      <c r="B290" s="17">
        <v>1627665734.29</v>
      </c>
      <c r="C290" s="17">
        <v>0</v>
      </c>
      <c r="D290" s="18"/>
      <c r="E290" s="19">
        <f t="shared" si="88"/>
        <v>1627665734.29</v>
      </c>
      <c r="F290" s="19">
        <f t="shared" si="89"/>
        <v>1627665734.29</v>
      </c>
      <c r="G290" s="20">
        <f t="shared" si="90"/>
        <v>0</v>
      </c>
      <c r="H290" s="18"/>
      <c r="I290" s="18"/>
      <c r="J290" s="18"/>
      <c r="K290" s="19">
        <f t="shared" si="91"/>
        <v>0</v>
      </c>
      <c r="L290" s="18"/>
      <c r="M290" s="18"/>
      <c r="N290" s="18"/>
      <c r="O290" s="19">
        <f t="shared" si="92"/>
        <v>0</v>
      </c>
      <c r="P290" s="21">
        <f t="shared" si="93"/>
        <v>0</v>
      </c>
      <c r="Q290" s="18"/>
      <c r="R290" s="18"/>
      <c r="S290" s="19">
        <f t="shared" si="94"/>
        <v>0</v>
      </c>
      <c r="T290" s="20">
        <f t="shared" si="95"/>
        <v>0.03</v>
      </c>
      <c r="U290" s="19">
        <f t="shared" si="96"/>
        <v>0</v>
      </c>
      <c r="V290" s="18"/>
      <c r="W290" s="19">
        <f t="shared" si="97"/>
        <v>0</v>
      </c>
      <c r="X290" s="19">
        <f t="shared" si="98"/>
        <v>0</v>
      </c>
      <c r="Y290" s="18"/>
      <c r="Z290" s="18"/>
      <c r="AA290" s="19">
        <f t="shared" si="99"/>
        <v>0</v>
      </c>
      <c r="AB290" s="17">
        <v>0</v>
      </c>
      <c r="AC290" s="18"/>
      <c r="AD290" s="18"/>
      <c r="AE290" s="22">
        <f t="shared" si="100"/>
        <v>0</v>
      </c>
      <c r="AF290" s="23">
        <f t="shared" si="101"/>
        <v>0</v>
      </c>
      <c r="AG290" s="23">
        <f t="shared" si="102"/>
        <v>0</v>
      </c>
      <c r="AH290" s="18"/>
      <c r="AI290" s="24">
        <f t="shared" si="103"/>
        <v>0</v>
      </c>
      <c r="AJ290" s="25">
        <v>0</v>
      </c>
      <c r="AK290" s="24">
        <f t="shared" si="104"/>
        <v>0</v>
      </c>
      <c r="AL290" s="22">
        <f t="shared" si="105"/>
        <v>0</v>
      </c>
      <c r="AM290" s="22">
        <f t="shared" si="106"/>
        <v>0</v>
      </c>
      <c r="AN290" s="22">
        <f t="shared" si="107"/>
        <v>0</v>
      </c>
      <c r="AO290" s="26" t="str">
        <f t="shared" si="108"/>
        <v/>
      </c>
      <c r="AP290" s="26" t="str">
        <f t="shared" si="109"/>
        <v>pre-launch</v>
      </c>
      <c r="AQ290" s="18"/>
      <c r="AR290" s="18"/>
    </row>
    <row r="291" spans="1:44" x14ac:dyDescent="0.25">
      <c r="A291" s="43">
        <v>45352</v>
      </c>
      <c r="B291" s="17">
        <v>1587453073.97</v>
      </c>
      <c r="C291" s="17">
        <v>0</v>
      </c>
      <c r="D291" s="18"/>
      <c r="E291" s="19">
        <f t="shared" si="88"/>
        <v>1587453073.97</v>
      </c>
      <c r="F291" s="19">
        <f t="shared" si="89"/>
        <v>1587453073.97</v>
      </c>
      <c r="G291" s="20">
        <f t="shared" si="90"/>
        <v>0</v>
      </c>
      <c r="H291" s="18"/>
      <c r="I291" s="18"/>
      <c r="J291" s="18"/>
      <c r="K291" s="19">
        <f t="shared" si="91"/>
        <v>0</v>
      </c>
      <c r="L291" s="18"/>
      <c r="M291" s="18"/>
      <c r="N291" s="18"/>
      <c r="O291" s="19">
        <f t="shared" si="92"/>
        <v>0</v>
      </c>
      <c r="P291" s="21">
        <f t="shared" si="93"/>
        <v>0</v>
      </c>
      <c r="Q291" s="18"/>
      <c r="R291" s="18"/>
      <c r="S291" s="19">
        <f t="shared" si="94"/>
        <v>0</v>
      </c>
      <c r="T291" s="20">
        <f t="shared" si="95"/>
        <v>0.03</v>
      </c>
      <c r="U291" s="19">
        <f t="shared" si="96"/>
        <v>0</v>
      </c>
      <c r="V291" s="18"/>
      <c r="W291" s="19">
        <f t="shared" si="97"/>
        <v>0</v>
      </c>
      <c r="X291" s="19">
        <f t="shared" si="98"/>
        <v>0</v>
      </c>
      <c r="Y291" s="18"/>
      <c r="Z291" s="18"/>
      <c r="AA291" s="19">
        <f t="shared" si="99"/>
        <v>0</v>
      </c>
      <c r="AB291" s="17">
        <v>0</v>
      </c>
      <c r="AC291" s="18"/>
      <c r="AD291" s="18"/>
      <c r="AE291" s="22">
        <f t="shared" si="100"/>
        <v>0</v>
      </c>
      <c r="AF291" s="23">
        <f t="shared" si="101"/>
        <v>0</v>
      </c>
      <c r="AG291" s="23">
        <f t="shared" si="102"/>
        <v>0</v>
      </c>
      <c r="AH291" s="18"/>
      <c r="AI291" s="24">
        <f t="shared" si="103"/>
        <v>0</v>
      </c>
      <c r="AJ291" s="25">
        <v>0</v>
      </c>
      <c r="AK291" s="24">
        <f t="shared" si="104"/>
        <v>0</v>
      </c>
      <c r="AL291" s="22">
        <f t="shared" si="105"/>
        <v>0</v>
      </c>
      <c r="AM291" s="22">
        <f t="shared" si="106"/>
        <v>0</v>
      </c>
      <c r="AN291" s="22">
        <f t="shared" si="107"/>
        <v>0</v>
      </c>
      <c r="AO291" s="26" t="str">
        <f t="shared" si="108"/>
        <v/>
      </c>
      <c r="AP291" s="26" t="str">
        <f t="shared" si="109"/>
        <v>pre-launch</v>
      </c>
      <c r="AQ291" s="18"/>
      <c r="AR291" s="18"/>
    </row>
    <row r="292" spans="1:44" x14ac:dyDescent="0.25">
      <c r="A292" s="43">
        <v>45353</v>
      </c>
      <c r="B292" s="17">
        <v>1138112722.3</v>
      </c>
      <c r="C292" s="17">
        <v>0</v>
      </c>
      <c r="D292" s="18"/>
      <c r="E292" s="19">
        <f t="shared" si="88"/>
        <v>1138112722.3</v>
      </c>
      <c r="F292" s="19">
        <f t="shared" si="89"/>
        <v>1138112722.3</v>
      </c>
      <c r="G292" s="20">
        <f t="shared" si="90"/>
        <v>0</v>
      </c>
      <c r="H292" s="18"/>
      <c r="I292" s="18"/>
      <c r="J292" s="18"/>
      <c r="K292" s="19">
        <f t="shared" si="91"/>
        <v>0</v>
      </c>
      <c r="L292" s="18"/>
      <c r="M292" s="18"/>
      <c r="N292" s="18"/>
      <c r="O292" s="19">
        <f t="shared" si="92"/>
        <v>0</v>
      </c>
      <c r="P292" s="21">
        <f t="shared" si="93"/>
        <v>0</v>
      </c>
      <c r="Q292" s="18"/>
      <c r="R292" s="18"/>
      <c r="S292" s="19">
        <f t="shared" si="94"/>
        <v>0</v>
      </c>
      <c r="T292" s="20">
        <f t="shared" si="95"/>
        <v>0.03</v>
      </c>
      <c r="U292" s="19">
        <f t="shared" si="96"/>
        <v>0</v>
      </c>
      <c r="V292" s="18"/>
      <c r="W292" s="19">
        <f t="shared" si="97"/>
        <v>0</v>
      </c>
      <c r="X292" s="19">
        <f t="shared" si="98"/>
        <v>0</v>
      </c>
      <c r="Y292" s="18"/>
      <c r="Z292" s="18"/>
      <c r="AA292" s="19">
        <f t="shared" si="99"/>
        <v>0</v>
      </c>
      <c r="AB292" s="17">
        <v>0</v>
      </c>
      <c r="AC292" s="18"/>
      <c r="AD292" s="18"/>
      <c r="AE292" s="22">
        <f t="shared" si="100"/>
        <v>0</v>
      </c>
      <c r="AF292" s="23">
        <f t="shared" si="101"/>
        <v>0</v>
      </c>
      <c r="AG292" s="23">
        <f t="shared" si="102"/>
        <v>0</v>
      </c>
      <c r="AH292" s="18"/>
      <c r="AI292" s="24">
        <f t="shared" si="103"/>
        <v>0</v>
      </c>
      <c r="AJ292" s="25">
        <v>0</v>
      </c>
      <c r="AK292" s="24">
        <f t="shared" si="104"/>
        <v>0</v>
      </c>
      <c r="AL292" s="22">
        <f t="shared" si="105"/>
        <v>0</v>
      </c>
      <c r="AM292" s="22">
        <f t="shared" si="106"/>
        <v>0</v>
      </c>
      <c r="AN292" s="22">
        <f t="shared" si="107"/>
        <v>0</v>
      </c>
      <c r="AO292" s="26" t="str">
        <f t="shared" si="108"/>
        <v/>
      </c>
      <c r="AP292" s="26" t="str">
        <f t="shared" si="109"/>
        <v>pre-launch</v>
      </c>
      <c r="AQ292" s="18"/>
      <c r="AR292" s="18"/>
    </row>
    <row r="293" spans="1:44" x14ac:dyDescent="0.25">
      <c r="A293" s="43">
        <v>45354</v>
      </c>
      <c r="B293" s="17">
        <v>1275075543.4300001</v>
      </c>
      <c r="C293" s="17">
        <v>0</v>
      </c>
      <c r="D293" s="18"/>
      <c r="E293" s="19">
        <f t="shared" si="88"/>
        <v>1275075543.4300001</v>
      </c>
      <c r="F293" s="19">
        <f t="shared" si="89"/>
        <v>1275075543.4300001</v>
      </c>
      <c r="G293" s="20">
        <f t="shared" si="90"/>
        <v>0</v>
      </c>
      <c r="H293" s="18"/>
      <c r="I293" s="18"/>
      <c r="J293" s="18"/>
      <c r="K293" s="19">
        <f t="shared" si="91"/>
        <v>0</v>
      </c>
      <c r="L293" s="18"/>
      <c r="M293" s="18"/>
      <c r="N293" s="18"/>
      <c r="O293" s="19">
        <f t="shared" si="92"/>
        <v>0</v>
      </c>
      <c r="P293" s="21">
        <f t="shared" si="93"/>
        <v>0</v>
      </c>
      <c r="Q293" s="18"/>
      <c r="R293" s="18"/>
      <c r="S293" s="19">
        <f t="shared" si="94"/>
        <v>0</v>
      </c>
      <c r="T293" s="20">
        <f t="shared" si="95"/>
        <v>0.03</v>
      </c>
      <c r="U293" s="19">
        <f t="shared" si="96"/>
        <v>0</v>
      </c>
      <c r="V293" s="18"/>
      <c r="W293" s="19">
        <f t="shared" si="97"/>
        <v>0</v>
      </c>
      <c r="X293" s="19">
        <f t="shared" si="98"/>
        <v>0</v>
      </c>
      <c r="Y293" s="18"/>
      <c r="Z293" s="18"/>
      <c r="AA293" s="19">
        <f t="shared" si="99"/>
        <v>0</v>
      </c>
      <c r="AB293" s="17">
        <v>0</v>
      </c>
      <c r="AC293" s="18"/>
      <c r="AD293" s="18"/>
      <c r="AE293" s="22">
        <f t="shared" si="100"/>
        <v>0</v>
      </c>
      <c r="AF293" s="23">
        <f t="shared" si="101"/>
        <v>0</v>
      </c>
      <c r="AG293" s="23">
        <f t="shared" si="102"/>
        <v>0</v>
      </c>
      <c r="AH293" s="18"/>
      <c r="AI293" s="24">
        <f t="shared" si="103"/>
        <v>0</v>
      </c>
      <c r="AJ293" s="25">
        <v>0</v>
      </c>
      <c r="AK293" s="24">
        <f t="shared" si="104"/>
        <v>0</v>
      </c>
      <c r="AL293" s="22">
        <f t="shared" si="105"/>
        <v>0</v>
      </c>
      <c r="AM293" s="22">
        <f t="shared" si="106"/>
        <v>0</v>
      </c>
      <c r="AN293" s="22">
        <f t="shared" si="107"/>
        <v>0</v>
      </c>
      <c r="AO293" s="26" t="str">
        <f t="shared" si="108"/>
        <v/>
      </c>
      <c r="AP293" s="26" t="str">
        <f t="shared" si="109"/>
        <v>pre-launch</v>
      </c>
      <c r="AQ293" s="18"/>
      <c r="AR293" s="18"/>
    </row>
    <row r="294" spans="1:44" x14ac:dyDescent="0.25">
      <c r="A294" s="43">
        <v>45355</v>
      </c>
      <c r="B294" s="17">
        <v>3565698057.96</v>
      </c>
      <c r="C294" s="17">
        <v>0</v>
      </c>
      <c r="D294" s="18"/>
      <c r="E294" s="19">
        <f t="shared" si="88"/>
        <v>3565698057.96</v>
      </c>
      <c r="F294" s="19">
        <f t="shared" si="89"/>
        <v>3565698057.96</v>
      </c>
      <c r="G294" s="20">
        <f t="shared" si="90"/>
        <v>0</v>
      </c>
      <c r="H294" s="18"/>
      <c r="I294" s="18"/>
      <c r="J294" s="18"/>
      <c r="K294" s="19">
        <f t="shared" si="91"/>
        <v>0</v>
      </c>
      <c r="L294" s="18"/>
      <c r="M294" s="18"/>
      <c r="N294" s="18"/>
      <c r="O294" s="19">
        <f t="shared" si="92"/>
        <v>0</v>
      </c>
      <c r="P294" s="21">
        <f t="shared" si="93"/>
        <v>0</v>
      </c>
      <c r="Q294" s="18"/>
      <c r="R294" s="18"/>
      <c r="S294" s="19">
        <f t="shared" si="94"/>
        <v>0</v>
      </c>
      <c r="T294" s="20">
        <f t="shared" si="95"/>
        <v>0.03</v>
      </c>
      <c r="U294" s="19">
        <f t="shared" si="96"/>
        <v>0</v>
      </c>
      <c r="V294" s="18"/>
      <c r="W294" s="19">
        <f t="shared" si="97"/>
        <v>0</v>
      </c>
      <c r="X294" s="19">
        <f t="shared" si="98"/>
        <v>0</v>
      </c>
      <c r="Y294" s="18"/>
      <c r="Z294" s="18"/>
      <c r="AA294" s="19">
        <f t="shared" si="99"/>
        <v>0</v>
      </c>
      <c r="AB294" s="17">
        <v>0</v>
      </c>
      <c r="AC294" s="18"/>
      <c r="AD294" s="18"/>
      <c r="AE294" s="22">
        <f t="shared" si="100"/>
        <v>0</v>
      </c>
      <c r="AF294" s="23">
        <f t="shared" si="101"/>
        <v>0</v>
      </c>
      <c r="AG294" s="23">
        <f t="shared" si="102"/>
        <v>0</v>
      </c>
      <c r="AH294" s="18"/>
      <c r="AI294" s="24">
        <f t="shared" si="103"/>
        <v>0</v>
      </c>
      <c r="AJ294" s="25">
        <v>0</v>
      </c>
      <c r="AK294" s="24">
        <f t="shared" si="104"/>
        <v>0</v>
      </c>
      <c r="AL294" s="22">
        <f t="shared" si="105"/>
        <v>0</v>
      </c>
      <c r="AM294" s="22">
        <f t="shared" si="106"/>
        <v>0</v>
      </c>
      <c r="AN294" s="22">
        <f t="shared" si="107"/>
        <v>0</v>
      </c>
      <c r="AO294" s="26" t="str">
        <f t="shared" si="108"/>
        <v/>
      </c>
      <c r="AP294" s="26" t="str">
        <f t="shared" si="109"/>
        <v>pre-launch</v>
      </c>
      <c r="AQ294" s="18"/>
      <c r="AR294" s="18"/>
    </row>
    <row r="295" spans="1:44" x14ac:dyDescent="0.25">
      <c r="A295" s="43">
        <v>45356</v>
      </c>
      <c r="B295" s="17">
        <v>3195966710.8499999</v>
      </c>
      <c r="C295" s="17">
        <v>0</v>
      </c>
      <c r="D295" s="18"/>
      <c r="E295" s="19">
        <f t="shared" si="88"/>
        <v>3195966710.8499999</v>
      </c>
      <c r="F295" s="19">
        <f t="shared" si="89"/>
        <v>3195966710.8499999</v>
      </c>
      <c r="G295" s="20">
        <f t="shared" si="90"/>
        <v>0</v>
      </c>
      <c r="H295" s="18"/>
      <c r="I295" s="18"/>
      <c r="J295" s="18"/>
      <c r="K295" s="19">
        <f t="shared" si="91"/>
        <v>0</v>
      </c>
      <c r="L295" s="18"/>
      <c r="M295" s="18"/>
      <c r="N295" s="18"/>
      <c r="O295" s="19">
        <f t="shared" si="92"/>
        <v>0</v>
      </c>
      <c r="P295" s="21">
        <f t="shared" si="93"/>
        <v>0</v>
      </c>
      <c r="Q295" s="18"/>
      <c r="R295" s="18"/>
      <c r="S295" s="19">
        <f t="shared" si="94"/>
        <v>0</v>
      </c>
      <c r="T295" s="20">
        <f t="shared" si="95"/>
        <v>0.03</v>
      </c>
      <c r="U295" s="19">
        <f t="shared" si="96"/>
        <v>0</v>
      </c>
      <c r="V295" s="18"/>
      <c r="W295" s="19">
        <f t="shared" si="97"/>
        <v>0</v>
      </c>
      <c r="X295" s="19">
        <f t="shared" si="98"/>
        <v>0</v>
      </c>
      <c r="Y295" s="18"/>
      <c r="Z295" s="18"/>
      <c r="AA295" s="19">
        <f t="shared" si="99"/>
        <v>0</v>
      </c>
      <c r="AB295" s="17">
        <v>0</v>
      </c>
      <c r="AC295" s="18"/>
      <c r="AD295" s="18"/>
      <c r="AE295" s="22">
        <f t="shared" si="100"/>
        <v>0</v>
      </c>
      <c r="AF295" s="23">
        <f t="shared" si="101"/>
        <v>0</v>
      </c>
      <c r="AG295" s="23">
        <f t="shared" si="102"/>
        <v>0</v>
      </c>
      <c r="AH295" s="18"/>
      <c r="AI295" s="24">
        <f t="shared" si="103"/>
        <v>0</v>
      </c>
      <c r="AJ295" s="25">
        <v>0</v>
      </c>
      <c r="AK295" s="24">
        <f t="shared" si="104"/>
        <v>0</v>
      </c>
      <c r="AL295" s="22">
        <f t="shared" si="105"/>
        <v>0</v>
      </c>
      <c r="AM295" s="22">
        <f t="shared" si="106"/>
        <v>0</v>
      </c>
      <c r="AN295" s="22">
        <f t="shared" si="107"/>
        <v>0</v>
      </c>
      <c r="AO295" s="26" t="str">
        <f t="shared" si="108"/>
        <v/>
      </c>
      <c r="AP295" s="26" t="str">
        <f t="shared" si="109"/>
        <v>pre-launch</v>
      </c>
      <c r="AQ295" s="18"/>
      <c r="AR295" s="18"/>
    </row>
    <row r="296" spans="1:44" x14ac:dyDescent="0.25">
      <c r="A296" s="43">
        <v>45357</v>
      </c>
      <c r="B296" s="17">
        <v>1928068325.0699999</v>
      </c>
      <c r="C296" s="17">
        <v>0</v>
      </c>
      <c r="D296" s="18"/>
      <c r="E296" s="19">
        <f t="shared" si="88"/>
        <v>1928068325.0699999</v>
      </c>
      <c r="F296" s="19">
        <f t="shared" si="89"/>
        <v>1928068325.0699999</v>
      </c>
      <c r="G296" s="20">
        <f t="shared" si="90"/>
        <v>0</v>
      </c>
      <c r="H296" s="18"/>
      <c r="I296" s="18"/>
      <c r="J296" s="18"/>
      <c r="K296" s="19">
        <f t="shared" si="91"/>
        <v>0</v>
      </c>
      <c r="L296" s="18"/>
      <c r="M296" s="18"/>
      <c r="N296" s="18"/>
      <c r="O296" s="19">
        <f t="shared" si="92"/>
        <v>0</v>
      </c>
      <c r="P296" s="21">
        <f t="shared" si="93"/>
        <v>0</v>
      </c>
      <c r="Q296" s="18"/>
      <c r="R296" s="18"/>
      <c r="S296" s="19">
        <f t="shared" si="94"/>
        <v>0</v>
      </c>
      <c r="T296" s="20">
        <f t="shared" si="95"/>
        <v>0.03</v>
      </c>
      <c r="U296" s="19">
        <f t="shared" si="96"/>
        <v>0</v>
      </c>
      <c r="V296" s="18"/>
      <c r="W296" s="19">
        <f t="shared" si="97"/>
        <v>0</v>
      </c>
      <c r="X296" s="19">
        <f t="shared" si="98"/>
        <v>0</v>
      </c>
      <c r="Y296" s="18"/>
      <c r="Z296" s="18"/>
      <c r="AA296" s="19">
        <f t="shared" si="99"/>
        <v>0</v>
      </c>
      <c r="AB296" s="17">
        <v>0</v>
      </c>
      <c r="AC296" s="18"/>
      <c r="AD296" s="18"/>
      <c r="AE296" s="22">
        <f t="shared" si="100"/>
        <v>0</v>
      </c>
      <c r="AF296" s="23">
        <f t="shared" si="101"/>
        <v>0</v>
      </c>
      <c r="AG296" s="23">
        <f t="shared" si="102"/>
        <v>0</v>
      </c>
      <c r="AH296" s="18"/>
      <c r="AI296" s="24">
        <f t="shared" si="103"/>
        <v>0</v>
      </c>
      <c r="AJ296" s="25">
        <v>0</v>
      </c>
      <c r="AK296" s="24">
        <f t="shared" si="104"/>
        <v>0</v>
      </c>
      <c r="AL296" s="22">
        <f t="shared" si="105"/>
        <v>0</v>
      </c>
      <c r="AM296" s="22">
        <f t="shared" si="106"/>
        <v>0</v>
      </c>
      <c r="AN296" s="22">
        <f t="shared" si="107"/>
        <v>0</v>
      </c>
      <c r="AO296" s="26" t="str">
        <f t="shared" si="108"/>
        <v/>
      </c>
      <c r="AP296" s="26" t="str">
        <f t="shared" si="109"/>
        <v>pre-launch</v>
      </c>
      <c r="AQ296" s="18"/>
      <c r="AR296" s="18"/>
    </row>
    <row r="297" spans="1:44" x14ac:dyDescent="0.25">
      <c r="A297" s="43">
        <v>45358</v>
      </c>
      <c r="B297" s="17">
        <v>1560843136.0799999</v>
      </c>
      <c r="C297" s="17">
        <v>0</v>
      </c>
      <c r="D297" s="18"/>
      <c r="E297" s="19">
        <f t="shared" si="88"/>
        <v>1560843136.0799999</v>
      </c>
      <c r="F297" s="19">
        <f t="shared" si="89"/>
        <v>1560843136.0799999</v>
      </c>
      <c r="G297" s="20">
        <f t="shared" si="90"/>
        <v>0</v>
      </c>
      <c r="H297" s="18"/>
      <c r="I297" s="18"/>
      <c r="J297" s="18"/>
      <c r="K297" s="19">
        <f t="shared" si="91"/>
        <v>0</v>
      </c>
      <c r="L297" s="18"/>
      <c r="M297" s="18"/>
      <c r="N297" s="18"/>
      <c r="O297" s="19">
        <f t="shared" si="92"/>
        <v>0</v>
      </c>
      <c r="P297" s="21">
        <f t="shared" si="93"/>
        <v>0</v>
      </c>
      <c r="Q297" s="18"/>
      <c r="R297" s="18"/>
      <c r="S297" s="19">
        <f t="shared" si="94"/>
        <v>0</v>
      </c>
      <c r="T297" s="20">
        <f t="shared" si="95"/>
        <v>0.03</v>
      </c>
      <c r="U297" s="19">
        <f t="shared" si="96"/>
        <v>0</v>
      </c>
      <c r="V297" s="18"/>
      <c r="W297" s="19">
        <f t="shared" si="97"/>
        <v>0</v>
      </c>
      <c r="X297" s="19">
        <f t="shared" si="98"/>
        <v>0</v>
      </c>
      <c r="Y297" s="18"/>
      <c r="Z297" s="18"/>
      <c r="AA297" s="19">
        <f t="shared" si="99"/>
        <v>0</v>
      </c>
      <c r="AB297" s="17">
        <v>0</v>
      </c>
      <c r="AC297" s="18"/>
      <c r="AD297" s="18"/>
      <c r="AE297" s="22">
        <f t="shared" si="100"/>
        <v>0</v>
      </c>
      <c r="AF297" s="23">
        <f t="shared" si="101"/>
        <v>0</v>
      </c>
      <c r="AG297" s="23">
        <f t="shared" si="102"/>
        <v>0</v>
      </c>
      <c r="AH297" s="18"/>
      <c r="AI297" s="24">
        <f t="shared" si="103"/>
        <v>0</v>
      </c>
      <c r="AJ297" s="25">
        <v>0</v>
      </c>
      <c r="AK297" s="24">
        <f t="shared" si="104"/>
        <v>0</v>
      </c>
      <c r="AL297" s="22">
        <f t="shared" si="105"/>
        <v>0</v>
      </c>
      <c r="AM297" s="22">
        <f t="shared" si="106"/>
        <v>0</v>
      </c>
      <c r="AN297" s="22">
        <f t="shared" si="107"/>
        <v>0</v>
      </c>
      <c r="AO297" s="26" t="str">
        <f t="shared" si="108"/>
        <v/>
      </c>
      <c r="AP297" s="26" t="str">
        <f t="shared" si="109"/>
        <v>pre-launch</v>
      </c>
      <c r="AQ297" s="18"/>
      <c r="AR297" s="18"/>
    </row>
    <row r="298" spans="1:44" x14ac:dyDescent="0.25">
      <c r="A298" s="43">
        <v>45359</v>
      </c>
      <c r="B298" s="17">
        <v>1755543758.52</v>
      </c>
      <c r="C298" s="17">
        <v>0</v>
      </c>
      <c r="D298" s="18"/>
      <c r="E298" s="19">
        <f t="shared" si="88"/>
        <v>1755543758.52</v>
      </c>
      <c r="F298" s="19">
        <f t="shared" si="89"/>
        <v>1755543758.52</v>
      </c>
      <c r="G298" s="20">
        <f t="shared" si="90"/>
        <v>0</v>
      </c>
      <c r="H298" s="18"/>
      <c r="I298" s="18"/>
      <c r="J298" s="18"/>
      <c r="K298" s="19">
        <f t="shared" si="91"/>
        <v>0</v>
      </c>
      <c r="L298" s="18"/>
      <c r="M298" s="18"/>
      <c r="N298" s="18"/>
      <c r="O298" s="19">
        <f t="shared" si="92"/>
        <v>0</v>
      </c>
      <c r="P298" s="21">
        <f t="shared" si="93"/>
        <v>0</v>
      </c>
      <c r="Q298" s="18"/>
      <c r="R298" s="18"/>
      <c r="S298" s="19">
        <f t="shared" si="94"/>
        <v>0</v>
      </c>
      <c r="T298" s="20">
        <f t="shared" si="95"/>
        <v>0.03</v>
      </c>
      <c r="U298" s="19">
        <f t="shared" si="96"/>
        <v>0</v>
      </c>
      <c r="V298" s="18"/>
      <c r="W298" s="19">
        <f t="shared" si="97"/>
        <v>0</v>
      </c>
      <c r="X298" s="19">
        <f t="shared" si="98"/>
        <v>0</v>
      </c>
      <c r="Y298" s="18"/>
      <c r="Z298" s="18"/>
      <c r="AA298" s="19">
        <f t="shared" si="99"/>
        <v>0</v>
      </c>
      <c r="AB298" s="17">
        <v>0</v>
      </c>
      <c r="AC298" s="18"/>
      <c r="AD298" s="18"/>
      <c r="AE298" s="22">
        <f t="shared" si="100"/>
        <v>0</v>
      </c>
      <c r="AF298" s="23">
        <f t="shared" si="101"/>
        <v>0</v>
      </c>
      <c r="AG298" s="23">
        <f t="shared" si="102"/>
        <v>0</v>
      </c>
      <c r="AH298" s="18"/>
      <c r="AI298" s="24">
        <f t="shared" si="103"/>
        <v>0</v>
      </c>
      <c r="AJ298" s="25">
        <v>0</v>
      </c>
      <c r="AK298" s="24">
        <f t="shared" si="104"/>
        <v>0</v>
      </c>
      <c r="AL298" s="22">
        <f t="shared" si="105"/>
        <v>0</v>
      </c>
      <c r="AM298" s="22">
        <f t="shared" si="106"/>
        <v>0</v>
      </c>
      <c r="AN298" s="22">
        <f t="shared" si="107"/>
        <v>0</v>
      </c>
      <c r="AO298" s="26" t="str">
        <f t="shared" si="108"/>
        <v/>
      </c>
      <c r="AP298" s="26" t="str">
        <f t="shared" si="109"/>
        <v>pre-launch</v>
      </c>
      <c r="AQ298" s="18"/>
      <c r="AR298" s="18"/>
    </row>
    <row r="299" spans="1:44" x14ac:dyDescent="0.25">
      <c r="A299" s="43">
        <v>45360</v>
      </c>
      <c r="B299" s="17">
        <v>863120543.70000005</v>
      </c>
      <c r="C299" s="17">
        <v>0</v>
      </c>
      <c r="D299" s="18"/>
      <c r="E299" s="19">
        <f t="shared" si="88"/>
        <v>863120543.70000005</v>
      </c>
      <c r="F299" s="19">
        <f t="shared" si="89"/>
        <v>863120543.70000005</v>
      </c>
      <c r="G299" s="20">
        <f t="shared" si="90"/>
        <v>0</v>
      </c>
      <c r="H299" s="18"/>
      <c r="I299" s="18"/>
      <c r="J299" s="18"/>
      <c r="K299" s="19">
        <f t="shared" si="91"/>
        <v>0</v>
      </c>
      <c r="L299" s="18"/>
      <c r="M299" s="18"/>
      <c r="N299" s="18"/>
      <c r="O299" s="19">
        <f t="shared" si="92"/>
        <v>0</v>
      </c>
      <c r="P299" s="21">
        <f t="shared" si="93"/>
        <v>0</v>
      </c>
      <c r="Q299" s="18"/>
      <c r="R299" s="18"/>
      <c r="S299" s="19">
        <f t="shared" si="94"/>
        <v>0</v>
      </c>
      <c r="T299" s="20">
        <f t="shared" si="95"/>
        <v>0.03</v>
      </c>
      <c r="U299" s="19">
        <f t="shared" si="96"/>
        <v>0</v>
      </c>
      <c r="V299" s="18"/>
      <c r="W299" s="19">
        <f t="shared" si="97"/>
        <v>0</v>
      </c>
      <c r="X299" s="19">
        <f t="shared" si="98"/>
        <v>0</v>
      </c>
      <c r="Y299" s="18"/>
      <c r="Z299" s="18"/>
      <c r="AA299" s="19">
        <f t="shared" si="99"/>
        <v>0</v>
      </c>
      <c r="AB299" s="17">
        <v>0</v>
      </c>
      <c r="AC299" s="18"/>
      <c r="AD299" s="18"/>
      <c r="AE299" s="22">
        <f t="shared" si="100"/>
        <v>0</v>
      </c>
      <c r="AF299" s="23">
        <f t="shared" si="101"/>
        <v>0</v>
      </c>
      <c r="AG299" s="23">
        <f t="shared" si="102"/>
        <v>0</v>
      </c>
      <c r="AH299" s="18"/>
      <c r="AI299" s="24">
        <f t="shared" si="103"/>
        <v>0</v>
      </c>
      <c r="AJ299" s="25">
        <v>0</v>
      </c>
      <c r="AK299" s="24">
        <f t="shared" si="104"/>
        <v>0</v>
      </c>
      <c r="AL299" s="22">
        <f t="shared" si="105"/>
        <v>0</v>
      </c>
      <c r="AM299" s="22">
        <f t="shared" si="106"/>
        <v>0</v>
      </c>
      <c r="AN299" s="22">
        <f t="shared" si="107"/>
        <v>0</v>
      </c>
      <c r="AO299" s="26" t="str">
        <f t="shared" si="108"/>
        <v/>
      </c>
      <c r="AP299" s="26" t="str">
        <f t="shared" si="109"/>
        <v>pre-launch</v>
      </c>
      <c r="AQ299" s="18"/>
      <c r="AR299" s="18"/>
    </row>
    <row r="300" spans="1:44" x14ac:dyDescent="0.25">
      <c r="A300" s="43">
        <v>45361</v>
      </c>
      <c r="B300" s="17">
        <v>1226594895.9400001</v>
      </c>
      <c r="C300" s="17">
        <v>0</v>
      </c>
      <c r="D300" s="18"/>
      <c r="E300" s="19">
        <f t="shared" si="88"/>
        <v>1226594895.9400001</v>
      </c>
      <c r="F300" s="19">
        <f t="shared" si="89"/>
        <v>1226594895.9400001</v>
      </c>
      <c r="G300" s="20">
        <f t="shared" si="90"/>
        <v>0</v>
      </c>
      <c r="H300" s="18"/>
      <c r="I300" s="18"/>
      <c r="J300" s="18"/>
      <c r="K300" s="19">
        <f t="shared" si="91"/>
        <v>0</v>
      </c>
      <c r="L300" s="18"/>
      <c r="M300" s="18"/>
      <c r="N300" s="18"/>
      <c r="O300" s="19">
        <f t="shared" si="92"/>
        <v>0</v>
      </c>
      <c r="P300" s="21">
        <f t="shared" si="93"/>
        <v>0</v>
      </c>
      <c r="Q300" s="18"/>
      <c r="R300" s="18"/>
      <c r="S300" s="19">
        <f t="shared" si="94"/>
        <v>0</v>
      </c>
      <c r="T300" s="20">
        <f t="shared" si="95"/>
        <v>0.03</v>
      </c>
      <c r="U300" s="19">
        <f t="shared" si="96"/>
        <v>0</v>
      </c>
      <c r="V300" s="18"/>
      <c r="W300" s="19">
        <f t="shared" si="97"/>
        <v>0</v>
      </c>
      <c r="X300" s="19">
        <f t="shared" si="98"/>
        <v>0</v>
      </c>
      <c r="Y300" s="18"/>
      <c r="Z300" s="18"/>
      <c r="AA300" s="19">
        <f t="shared" si="99"/>
        <v>0</v>
      </c>
      <c r="AB300" s="17">
        <v>0</v>
      </c>
      <c r="AC300" s="18"/>
      <c r="AD300" s="18"/>
      <c r="AE300" s="22">
        <f t="shared" si="100"/>
        <v>0</v>
      </c>
      <c r="AF300" s="23">
        <f t="shared" si="101"/>
        <v>0</v>
      </c>
      <c r="AG300" s="23">
        <f t="shared" si="102"/>
        <v>0</v>
      </c>
      <c r="AH300" s="18"/>
      <c r="AI300" s="24">
        <f t="shared" si="103"/>
        <v>0</v>
      </c>
      <c r="AJ300" s="25">
        <v>0</v>
      </c>
      <c r="AK300" s="24">
        <f t="shared" si="104"/>
        <v>0</v>
      </c>
      <c r="AL300" s="22">
        <f t="shared" si="105"/>
        <v>0</v>
      </c>
      <c r="AM300" s="22">
        <f t="shared" si="106"/>
        <v>0</v>
      </c>
      <c r="AN300" s="22">
        <f t="shared" si="107"/>
        <v>0</v>
      </c>
      <c r="AO300" s="26" t="str">
        <f t="shared" si="108"/>
        <v/>
      </c>
      <c r="AP300" s="26" t="str">
        <f t="shared" si="109"/>
        <v>pre-launch</v>
      </c>
      <c r="AQ300" s="18"/>
      <c r="AR300" s="18"/>
    </row>
    <row r="301" spans="1:44" x14ac:dyDescent="0.25">
      <c r="A301" s="43">
        <v>45362</v>
      </c>
      <c r="B301" s="17">
        <v>1741075759.1700001</v>
      </c>
      <c r="C301" s="17">
        <v>0</v>
      </c>
      <c r="D301" s="18"/>
      <c r="E301" s="19">
        <f t="shared" si="88"/>
        <v>1741075759.1700001</v>
      </c>
      <c r="F301" s="19">
        <f t="shared" si="89"/>
        <v>1741075759.1700001</v>
      </c>
      <c r="G301" s="20">
        <f t="shared" si="90"/>
        <v>0</v>
      </c>
      <c r="H301" s="18"/>
      <c r="I301" s="18"/>
      <c r="J301" s="18"/>
      <c r="K301" s="19">
        <f t="shared" si="91"/>
        <v>0</v>
      </c>
      <c r="L301" s="18"/>
      <c r="M301" s="18"/>
      <c r="N301" s="18"/>
      <c r="O301" s="19">
        <f t="shared" si="92"/>
        <v>0</v>
      </c>
      <c r="P301" s="21">
        <f t="shared" si="93"/>
        <v>0</v>
      </c>
      <c r="Q301" s="18"/>
      <c r="R301" s="18"/>
      <c r="S301" s="19">
        <f t="shared" si="94"/>
        <v>0</v>
      </c>
      <c r="T301" s="20">
        <f t="shared" si="95"/>
        <v>0.03</v>
      </c>
      <c r="U301" s="19">
        <f t="shared" si="96"/>
        <v>0</v>
      </c>
      <c r="V301" s="18"/>
      <c r="W301" s="19">
        <f t="shared" si="97"/>
        <v>0</v>
      </c>
      <c r="X301" s="19">
        <f t="shared" si="98"/>
        <v>0</v>
      </c>
      <c r="Y301" s="18"/>
      <c r="Z301" s="18"/>
      <c r="AA301" s="19">
        <f t="shared" si="99"/>
        <v>0</v>
      </c>
      <c r="AB301" s="17">
        <v>0</v>
      </c>
      <c r="AC301" s="18"/>
      <c r="AD301" s="18"/>
      <c r="AE301" s="22">
        <f t="shared" si="100"/>
        <v>0</v>
      </c>
      <c r="AF301" s="23">
        <f t="shared" si="101"/>
        <v>0</v>
      </c>
      <c r="AG301" s="23">
        <f t="shared" si="102"/>
        <v>0</v>
      </c>
      <c r="AH301" s="18"/>
      <c r="AI301" s="24">
        <f t="shared" si="103"/>
        <v>0</v>
      </c>
      <c r="AJ301" s="25">
        <v>0</v>
      </c>
      <c r="AK301" s="24">
        <f t="shared" si="104"/>
        <v>0</v>
      </c>
      <c r="AL301" s="22">
        <f t="shared" si="105"/>
        <v>0</v>
      </c>
      <c r="AM301" s="22">
        <f t="shared" si="106"/>
        <v>0</v>
      </c>
      <c r="AN301" s="22">
        <f t="shared" si="107"/>
        <v>0</v>
      </c>
      <c r="AO301" s="26" t="str">
        <f t="shared" si="108"/>
        <v/>
      </c>
      <c r="AP301" s="26" t="str">
        <f t="shared" si="109"/>
        <v>pre-launch</v>
      </c>
      <c r="AQ301" s="18"/>
      <c r="AR301" s="18"/>
    </row>
    <row r="302" spans="1:44" x14ac:dyDescent="0.25">
      <c r="A302" s="43">
        <v>45363</v>
      </c>
      <c r="B302" s="17">
        <v>1744989029.04</v>
      </c>
      <c r="C302" s="17">
        <v>0</v>
      </c>
      <c r="D302" s="18"/>
      <c r="E302" s="19">
        <f t="shared" si="88"/>
        <v>1744989029.04</v>
      </c>
      <c r="F302" s="19">
        <f t="shared" si="89"/>
        <v>1744989029.04</v>
      </c>
      <c r="G302" s="20">
        <f t="shared" si="90"/>
        <v>0</v>
      </c>
      <c r="H302" s="18"/>
      <c r="I302" s="18"/>
      <c r="J302" s="18"/>
      <c r="K302" s="19">
        <f t="shared" si="91"/>
        <v>0</v>
      </c>
      <c r="L302" s="18"/>
      <c r="M302" s="18"/>
      <c r="N302" s="18"/>
      <c r="O302" s="19">
        <f t="shared" si="92"/>
        <v>0</v>
      </c>
      <c r="P302" s="21">
        <f t="shared" si="93"/>
        <v>0</v>
      </c>
      <c r="Q302" s="18"/>
      <c r="R302" s="18"/>
      <c r="S302" s="19">
        <f t="shared" si="94"/>
        <v>0</v>
      </c>
      <c r="T302" s="20">
        <f t="shared" si="95"/>
        <v>0.03</v>
      </c>
      <c r="U302" s="19">
        <f t="shared" si="96"/>
        <v>0</v>
      </c>
      <c r="V302" s="18"/>
      <c r="W302" s="19">
        <f t="shared" si="97"/>
        <v>0</v>
      </c>
      <c r="X302" s="19">
        <f t="shared" si="98"/>
        <v>0</v>
      </c>
      <c r="Y302" s="18"/>
      <c r="Z302" s="18"/>
      <c r="AA302" s="19">
        <f t="shared" si="99"/>
        <v>0</v>
      </c>
      <c r="AB302" s="17">
        <v>0</v>
      </c>
      <c r="AC302" s="18"/>
      <c r="AD302" s="18"/>
      <c r="AE302" s="22">
        <f t="shared" si="100"/>
        <v>0</v>
      </c>
      <c r="AF302" s="23">
        <f t="shared" si="101"/>
        <v>0</v>
      </c>
      <c r="AG302" s="23">
        <f t="shared" si="102"/>
        <v>0</v>
      </c>
      <c r="AH302" s="18"/>
      <c r="AI302" s="24">
        <f t="shared" si="103"/>
        <v>0</v>
      </c>
      <c r="AJ302" s="25">
        <v>0</v>
      </c>
      <c r="AK302" s="24">
        <f t="shared" si="104"/>
        <v>0</v>
      </c>
      <c r="AL302" s="22">
        <f t="shared" si="105"/>
        <v>0</v>
      </c>
      <c r="AM302" s="22">
        <f t="shared" si="106"/>
        <v>0</v>
      </c>
      <c r="AN302" s="22">
        <f t="shared" si="107"/>
        <v>0</v>
      </c>
      <c r="AO302" s="26" t="str">
        <f t="shared" si="108"/>
        <v/>
      </c>
      <c r="AP302" s="26" t="str">
        <f t="shared" si="109"/>
        <v>pre-launch</v>
      </c>
      <c r="AQ302" s="18"/>
      <c r="AR302" s="18"/>
    </row>
    <row r="303" spans="1:44" x14ac:dyDescent="0.25">
      <c r="A303" s="43">
        <v>45364</v>
      </c>
      <c r="B303" s="17">
        <v>1263731669.6700001</v>
      </c>
      <c r="C303" s="17">
        <v>0</v>
      </c>
      <c r="D303" s="18"/>
      <c r="E303" s="19">
        <f t="shared" si="88"/>
        <v>1263731669.6700001</v>
      </c>
      <c r="F303" s="19">
        <f t="shared" si="89"/>
        <v>1263731669.6700001</v>
      </c>
      <c r="G303" s="20">
        <f t="shared" si="90"/>
        <v>0</v>
      </c>
      <c r="H303" s="18"/>
      <c r="I303" s="18"/>
      <c r="J303" s="18"/>
      <c r="K303" s="19">
        <f t="shared" si="91"/>
        <v>0</v>
      </c>
      <c r="L303" s="18"/>
      <c r="M303" s="18"/>
      <c r="N303" s="18"/>
      <c r="O303" s="19">
        <f t="shared" si="92"/>
        <v>0</v>
      </c>
      <c r="P303" s="21">
        <f t="shared" si="93"/>
        <v>0</v>
      </c>
      <c r="Q303" s="18"/>
      <c r="R303" s="18"/>
      <c r="S303" s="19">
        <f t="shared" si="94"/>
        <v>0</v>
      </c>
      <c r="T303" s="20">
        <f t="shared" si="95"/>
        <v>0.03</v>
      </c>
      <c r="U303" s="19">
        <f t="shared" si="96"/>
        <v>0</v>
      </c>
      <c r="V303" s="18"/>
      <c r="W303" s="19">
        <f t="shared" si="97"/>
        <v>0</v>
      </c>
      <c r="X303" s="19">
        <f t="shared" si="98"/>
        <v>0</v>
      </c>
      <c r="Y303" s="18"/>
      <c r="Z303" s="18"/>
      <c r="AA303" s="19">
        <f t="shared" si="99"/>
        <v>0</v>
      </c>
      <c r="AB303" s="17">
        <v>0</v>
      </c>
      <c r="AC303" s="18"/>
      <c r="AD303" s="18"/>
      <c r="AE303" s="22">
        <f t="shared" si="100"/>
        <v>0</v>
      </c>
      <c r="AF303" s="23">
        <f t="shared" si="101"/>
        <v>0</v>
      </c>
      <c r="AG303" s="23">
        <f t="shared" si="102"/>
        <v>0</v>
      </c>
      <c r="AH303" s="18"/>
      <c r="AI303" s="24">
        <f t="shared" si="103"/>
        <v>0</v>
      </c>
      <c r="AJ303" s="25">
        <v>0</v>
      </c>
      <c r="AK303" s="24">
        <f t="shared" si="104"/>
        <v>0</v>
      </c>
      <c r="AL303" s="22">
        <f t="shared" si="105"/>
        <v>0</v>
      </c>
      <c r="AM303" s="22">
        <f t="shared" si="106"/>
        <v>0</v>
      </c>
      <c r="AN303" s="22">
        <f t="shared" si="107"/>
        <v>0</v>
      </c>
      <c r="AO303" s="26" t="str">
        <f t="shared" si="108"/>
        <v/>
      </c>
      <c r="AP303" s="26" t="str">
        <f t="shared" si="109"/>
        <v>pre-launch</v>
      </c>
      <c r="AQ303" s="18"/>
      <c r="AR303" s="18"/>
    </row>
    <row r="304" spans="1:44" x14ac:dyDescent="0.25">
      <c r="A304" s="43">
        <v>45365</v>
      </c>
      <c r="B304" s="17">
        <v>2023526891.24</v>
      </c>
      <c r="C304" s="17">
        <v>0</v>
      </c>
      <c r="D304" s="18"/>
      <c r="E304" s="19">
        <f t="shared" si="88"/>
        <v>2023526891.24</v>
      </c>
      <c r="F304" s="19">
        <f t="shared" si="89"/>
        <v>2023526891.24</v>
      </c>
      <c r="G304" s="20">
        <f t="shared" si="90"/>
        <v>0</v>
      </c>
      <c r="H304" s="18"/>
      <c r="I304" s="18"/>
      <c r="J304" s="18"/>
      <c r="K304" s="19">
        <f t="shared" si="91"/>
        <v>0</v>
      </c>
      <c r="L304" s="18"/>
      <c r="M304" s="18"/>
      <c r="N304" s="18"/>
      <c r="O304" s="19">
        <f t="shared" si="92"/>
        <v>0</v>
      </c>
      <c r="P304" s="21">
        <f t="shared" si="93"/>
        <v>0</v>
      </c>
      <c r="Q304" s="18"/>
      <c r="R304" s="18"/>
      <c r="S304" s="19">
        <f t="shared" si="94"/>
        <v>0</v>
      </c>
      <c r="T304" s="20">
        <f t="shared" si="95"/>
        <v>0.03</v>
      </c>
      <c r="U304" s="19">
        <f t="shared" si="96"/>
        <v>0</v>
      </c>
      <c r="V304" s="18"/>
      <c r="W304" s="19">
        <f t="shared" si="97"/>
        <v>0</v>
      </c>
      <c r="X304" s="19">
        <f t="shared" si="98"/>
        <v>0</v>
      </c>
      <c r="Y304" s="18"/>
      <c r="Z304" s="18"/>
      <c r="AA304" s="19">
        <f t="shared" si="99"/>
        <v>0</v>
      </c>
      <c r="AB304" s="17">
        <v>0</v>
      </c>
      <c r="AC304" s="18"/>
      <c r="AD304" s="18"/>
      <c r="AE304" s="22">
        <f t="shared" si="100"/>
        <v>0</v>
      </c>
      <c r="AF304" s="23">
        <f t="shared" si="101"/>
        <v>0</v>
      </c>
      <c r="AG304" s="23">
        <f t="shared" si="102"/>
        <v>0</v>
      </c>
      <c r="AH304" s="18"/>
      <c r="AI304" s="24">
        <f t="shared" si="103"/>
        <v>0</v>
      </c>
      <c r="AJ304" s="25">
        <v>0</v>
      </c>
      <c r="AK304" s="24">
        <f t="shared" si="104"/>
        <v>0</v>
      </c>
      <c r="AL304" s="22">
        <f t="shared" si="105"/>
        <v>0</v>
      </c>
      <c r="AM304" s="22">
        <f t="shared" si="106"/>
        <v>0</v>
      </c>
      <c r="AN304" s="22">
        <f t="shared" si="107"/>
        <v>0</v>
      </c>
      <c r="AO304" s="26" t="str">
        <f t="shared" si="108"/>
        <v/>
      </c>
      <c r="AP304" s="26" t="str">
        <f t="shared" si="109"/>
        <v>pre-launch</v>
      </c>
      <c r="AQ304" s="18"/>
      <c r="AR304" s="18"/>
    </row>
    <row r="305" spans="1:44" x14ac:dyDescent="0.25">
      <c r="A305" s="43">
        <v>45366</v>
      </c>
      <c r="B305" s="17">
        <v>2663546161.2399998</v>
      </c>
      <c r="C305" s="17">
        <v>0</v>
      </c>
      <c r="D305" s="18"/>
      <c r="E305" s="19">
        <f t="shared" si="88"/>
        <v>2663546161.2399998</v>
      </c>
      <c r="F305" s="19">
        <f t="shared" si="89"/>
        <v>2663546161.2399998</v>
      </c>
      <c r="G305" s="20">
        <f t="shared" si="90"/>
        <v>0</v>
      </c>
      <c r="H305" s="18"/>
      <c r="I305" s="18"/>
      <c r="J305" s="18"/>
      <c r="K305" s="19">
        <f t="shared" si="91"/>
        <v>0</v>
      </c>
      <c r="L305" s="18"/>
      <c r="M305" s="18"/>
      <c r="N305" s="18"/>
      <c r="O305" s="19">
        <f t="shared" si="92"/>
        <v>0</v>
      </c>
      <c r="P305" s="21">
        <f t="shared" si="93"/>
        <v>0</v>
      </c>
      <c r="Q305" s="18"/>
      <c r="R305" s="18"/>
      <c r="S305" s="19">
        <f t="shared" si="94"/>
        <v>0</v>
      </c>
      <c r="T305" s="20">
        <f t="shared" si="95"/>
        <v>0.03</v>
      </c>
      <c r="U305" s="19">
        <f t="shared" si="96"/>
        <v>0</v>
      </c>
      <c r="V305" s="18"/>
      <c r="W305" s="19">
        <f t="shared" si="97"/>
        <v>0</v>
      </c>
      <c r="X305" s="19">
        <f t="shared" si="98"/>
        <v>0</v>
      </c>
      <c r="Y305" s="18"/>
      <c r="Z305" s="18"/>
      <c r="AA305" s="19">
        <f t="shared" si="99"/>
        <v>0</v>
      </c>
      <c r="AB305" s="17">
        <v>0</v>
      </c>
      <c r="AC305" s="18"/>
      <c r="AD305" s="18"/>
      <c r="AE305" s="22">
        <f t="shared" si="100"/>
        <v>0</v>
      </c>
      <c r="AF305" s="23">
        <f t="shared" si="101"/>
        <v>0</v>
      </c>
      <c r="AG305" s="23">
        <f t="shared" si="102"/>
        <v>0</v>
      </c>
      <c r="AH305" s="18"/>
      <c r="AI305" s="24">
        <f t="shared" si="103"/>
        <v>0</v>
      </c>
      <c r="AJ305" s="25">
        <v>0</v>
      </c>
      <c r="AK305" s="24">
        <f t="shared" si="104"/>
        <v>0</v>
      </c>
      <c r="AL305" s="22">
        <f t="shared" si="105"/>
        <v>0</v>
      </c>
      <c r="AM305" s="22">
        <f t="shared" si="106"/>
        <v>0</v>
      </c>
      <c r="AN305" s="22">
        <f t="shared" si="107"/>
        <v>0</v>
      </c>
      <c r="AO305" s="26" t="str">
        <f t="shared" si="108"/>
        <v/>
      </c>
      <c r="AP305" s="26" t="str">
        <f t="shared" si="109"/>
        <v>pre-launch</v>
      </c>
      <c r="AQ305" s="18"/>
      <c r="AR305" s="18"/>
    </row>
    <row r="306" spans="1:44" x14ac:dyDescent="0.25">
      <c r="A306" s="43">
        <v>45367</v>
      </c>
      <c r="B306" s="17">
        <v>1827728980.01</v>
      </c>
      <c r="C306" s="17">
        <v>0</v>
      </c>
      <c r="D306" s="18"/>
      <c r="E306" s="19">
        <f t="shared" si="88"/>
        <v>1827728980.01</v>
      </c>
      <c r="F306" s="19">
        <f t="shared" si="89"/>
        <v>1827728980.01</v>
      </c>
      <c r="G306" s="20">
        <f t="shared" si="90"/>
        <v>0</v>
      </c>
      <c r="H306" s="18"/>
      <c r="I306" s="18"/>
      <c r="J306" s="18"/>
      <c r="K306" s="19">
        <f t="shared" si="91"/>
        <v>0</v>
      </c>
      <c r="L306" s="18"/>
      <c r="M306" s="18"/>
      <c r="N306" s="18"/>
      <c r="O306" s="19">
        <f t="shared" si="92"/>
        <v>0</v>
      </c>
      <c r="P306" s="21">
        <f t="shared" si="93"/>
        <v>0</v>
      </c>
      <c r="Q306" s="18"/>
      <c r="R306" s="18"/>
      <c r="S306" s="19">
        <f t="shared" si="94"/>
        <v>0</v>
      </c>
      <c r="T306" s="20">
        <f t="shared" si="95"/>
        <v>0.03</v>
      </c>
      <c r="U306" s="19">
        <f t="shared" si="96"/>
        <v>0</v>
      </c>
      <c r="V306" s="18"/>
      <c r="W306" s="19">
        <f t="shared" si="97"/>
        <v>0</v>
      </c>
      <c r="X306" s="19">
        <f t="shared" si="98"/>
        <v>0</v>
      </c>
      <c r="Y306" s="18"/>
      <c r="Z306" s="18"/>
      <c r="AA306" s="19">
        <f t="shared" si="99"/>
        <v>0</v>
      </c>
      <c r="AB306" s="17">
        <v>0</v>
      </c>
      <c r="AC306" s="18"/>
      <c r="AD306" s="18"/>
      <c r="AE306" s="22">
        <f t="shared" si="100"/>
        <v>0</v>
      </c>
      <c r="AF306" s="23">
        <f t="shared" si="101"/>
        <v>0</v>
      </c>
      <c r="AG306" s="23">
        <f t="shared" si="102"/>
        <v>0</v>
      </c>
      <c r="AH306" s="18"/>
      <c r="AI306" s="24">
        <f t="shared" si="103"/>
        <v>0</v>
      </c>
      <c r="AJ306" s="25">
        <v>0</v>
      </c>
      <c r="AK306" s="24">
        <f t="shared" si="104"/>
        <v>0</v>
      </c>
      <c r="AL306" s="22">
        <f t="shared" si="105"/>
        <v>0</v>
      </c>
      <c r="AM306" s="22">
        <f t="shared" si="106"/>
        <v>0</v>
      </c>
      <c r="AN306" s="22">
        <f t="shared" si="107"/>
        <v>0</v>
      </c>
      <c r="AO306" s="26" t="str">
        <f t="shared" si="108"/>
        <v/>
      </c>
      <c r="AP306" s="26" t="str">
        <f t="shared" si="109"/>
        <v>pre-launch</v>
      </c>
      <c r="AQ306" s="18"/>
      <c r="AR306" s="18"/>
    </row>
    <row r="307" spans="1:44" x14ac:dyDescent="0.25">
      <c r="A307" s="43">
        <v>45368</v>
      </c>
      <c r="B307" s="17">
        <v>1554774346.28</v>
      </c>
      <c r="C307" s="17">
        <v>0</v>
      </c>
      <c r="D307" s="18"/>
      <c r="E307" s="19">
        <f t="shared" si="88"/>
        <v>1554774346.28</v>
      </c>
      <c r="F307" s="19">
        <f t="shared" si="89"/>
        <v>1554774346.28</v>
      </c>
      <c r="G307" s="20">
        <f t="shared" si="90"/>
        <v>0</v>
      </c>
      <c r="H307" s="18"/>
      <c r="I307" s="18"/>
      <c r="J307" s="18"/>
      <c r="K307" s="19">
        <f t="shared" si="91"/>
        <v>0</v>
      </c>
      <c r="L307" s="18"/>
      <c r="M307" s="18"/>
      <c r="N307" s="18"/>
      <c r="O307" s="19">
        <f t="shared" si="92"/>
        <v>0</v>
      </c>
      <c r="P307" s="21">
        <f t="shared" si="93"/>
        <v>0</v>
      </c>
      <c r="Q307" s="18"/>
      <c r="R307" s="18"/>
      <c r="S307" s="19">
        <f t="shared" si="94"/>
        <v>0</v>
      </c>
      <c r="T307" s="20">
        <f t="shared" si="95"/>
        <v>0.03</v>
      </c>
      <c r="U307" s="19">
        <f t="shared" si="96"/>
        <v>0</v>
      </c>
      <c r="V307" s="18"/>
      <c r="W307" s="19">
        <f t="shared" si="97"/>
        <v>0</v>
      </c>
      <c r="X307" s="19">
        <f t="shared" si="98"/>
        <v>0</v>
      </c>
      <c r="Y307" s="18"/>
      <c r="Z307" s="18"/>
      <c r="AA307" s="19">
        <f t="shared" si="99"/>
        <v>0</v>
      </c>
      <c r="AB307" s="17">
        <v>0</v>
      </c>
      <c r="AC307" s="18"/>
      <c r="AD307" s="18"/>
      <c r="AE307" s="22">
        <f t="shared" si="100"/>
        <v>0</v>
      </c>
      <c r="AF307" s="23">
        <f t="shared" si="101"/>
        <v>0</v>
      </c>
      <c r="AG307" s="23">
        <f t="shared" si="102"/>
        <v>0</v>
      </c>
      <c r="AH307" s="18"/>
      <c r="AI307" s="24">
        <f t="shared" si="103"/>
        <v>0</v>
      </c>
      <c r="AJ307" s="25">
        <v>0</v>
      </c>
      <c r="AK307" s="24">
        <f t="shared" si="104"/>
        <v>0</v>
      </c>
      <c r="AL307" s="22">
        <f t="shared" si="105"/>
        <v>0</v>
      </c>
      <c r="AM307" s="22">
        <f t="shared" si="106"/>
        <v>0</v>
      </c>
      <c r="AN307" s="22">
        <f t="shared" si="107"/>
        <v>0</v>
      </c>
      <c r="AO307" s="26" t="str">
        <f t="shared" si="108"/>
        <v/>
      </c>
      <c r="AP307" s="26" t="str">
        <f t="shared" si="109"/>
        <v>pre-launch</v>
      </c>
      <c r="AQ307" s="18"/>
      <c r="AR307" s="18"/>
    </row>
    <row r="308" spans="1:44" x14ac:dyDescent="0.25">
      <c r="A308" s="43">
        <v>45369</v>
      </c>
      <c r="B308" s="17">
        <v>1701626152.54</v>
      </c>
      <c r="C308" s="17">
        <v>0</v>
      </c>
      <c r="D308" s="18"/>
      <c r="E308" s="19">
        <f t="shared" si="88"/>
        <v>1701626152.54</v>
      </c>
      <c r="F308" s="19">
        <f t="shared" si="89"/>
        <v>1701626152.54</v>
      </c>
      <c r="G308" s="20">
        <f t="shared" si="90"/>
        <v>0</v>
      </c>
      <c r="H308" s="18"/>
      <c r="I308" s="18"/>
      <c r="J308" s="18"/>
      <c r="K308" s="19">
        <f t="shared" si="91"/>
        <v>0</v>
      </c>
      <c r="L308" s="18"/>
      <c r="M308" s="18"/>
      <c r="N308" s="18"/>
      <c r="O308" s="19">
        <f t="shared" si="92"/>
        <v>0</v>
      </c>
      <c r="P308" s="21">
        <f t="shared" si="93"/>
        <v>0</v>
      </c>
      <c r="Q308" s="18"/>
      <c r="R308" s="18"/>
      <c r="S308" s="19">
        <f t="shared" si="94"/>
        <v>0</v>
      </c>
      <c r="T308" s="20">
        <f t="shared" si="95"/>
        <v>0.03</v>
      </c>
      <c r="U308" s="19">
        <f t="shared" si="96"/>
        <v>0</v>
      </c>
      <c r="V308" s="18"/>
      <c r="W308" s="19">
        <f t="shared" si="97"/>
        <v>0</v>
      </c>
      <c r="X308" s="19">
        <f t="shared" si="98"/>
        <v>0</v>
      </c>
      <c r="Y308" s="18"/>
      <c r="Z308" s="18"/>
      <c r="AA308" s="19">
        <f t="shared" si="99"/>
        <v>0</v>
      </c>
      <c r="AB308" s="17">
        <v>0</v>
      </c>
      <c r="AC308" s="18"/>
      <c r="AD308" s="18"/>
      <c r="AE308" s="22">
        <f t="shared" si="100"/>
        <v>0</v>
      </c>
      <c r="AF308" s="23">
        <f t="shared" si="101"/>
        <v>0</v>
      </c>
      <c r="AG308" s="23">
        <f t="shared" si="102"/>
        <v>0</v>
      </c>
      <c r="AH308" s="18"/>
      <c r="AI308" s="24">
        <f t="shared" si="103"/>
        <v>0</v>
      </c>
      <c r="AJ308" s="25">
        <v>0</v>
      </c>
      <c r="AK308" s="24">
        <f t="shared" si="104"/>
        <v>0</v>
      </c>
      <c r="AL308" s="22">
        <f t="shared" si="105"/>
        <v>0</v>
      </c>
      <c r="AM308" s="22">
        <f t="shared" si="106"/>
        <v>0</v>
      </c>
      <c r="AN308" s="22">
        <f t="shared" si="107"/>
        <v>0</v>
      </c>
      <c r="AO308" s="26" t="str">
        <f t="shared" si="108"/>
        <v/>
      </c>
      <c r="AP308" s="26" t="str">
        <f t="shared" si="109"/>
        <v>pre-launch</v>
      </c>
      <c r="AQ308" s="18"/>
      <c r="AR308" s="18"/>
    </row>
    <row r="309" spans="1:44" x14ac:dyDescent="0.25">
      <c r="A309" s="43">
        <v>45370</v>
      </c>
      <c r="B309" s="17">
        <v>3099319939.1700001</v>
      </c>
      <c r="C309" s="17">
        <v>0</v>
      </c>
      <c r="D309" s="18"/>
      <c r="E309" s="19">
        <f t="shared" si="88"/>
        <v>3099319939.1700001</v>
      </c>
      <c r="F309" s="19">
        <f t="shared" si="89"/>
        <v>3099319939.1700001</v>
      </c>
      <c r="G309" s="20">
        <f t="shared" si="90"/>
        <v>0</v>
      </c>
      <c r="H309" s="18"/>
      <c r="I309" s="18"/>
      <c r="J309" s="18"/>
      <c r="K309" s="19">
        <f t="shared" si="91"/>
        <v>0</v>
      </c>
      <c r="L309" s="18"/>
      <c r="M309" s="18"/>
      <c r="N309" s="18"/>
      <c r="O309" s="19">
        <f t="shared" si="92"/>
        <v>0</v>
      </c>
      <c r="P309" s="21">
        <f t="shared" si="93"/>
        <v>0</v>
      </c>
      <c r="Q309" s="18"/>
      <c r="R309" s="18"/>
      <c r="S309" s="19">
        <f t="shared" si="94"/>
        <v>0</v>
      </c>
      <c r="T309" s="20">
        <f t="shared" si="95"/>
        <v>0.03</v>
      </c>
      <c r="U309" s="19">
        <f t="shared" si="96"/>
        <v>0</v>
      </c>
      <c r="V309" s="18"/>
      <c r="W309" s="19">
        <f t="shared" si="97"/>
        <v>0</v>
      </c>
      <c r="X309" s="19">
        <f t="shared" si="98"/>
        <v>0</v>
      </c>
      <c r="Y309" s="18"/>
      <c r="Z309" s="18"/>
      <c r="AA309" s="19">
        <f t="shared" si="99"/>
        <v>0</v>
      </c>
      <c r="AB309" s="17">
        <v>0</v>
      </c>
      <c r="AC309" s="18"/>
      <c r="AD309" s="18"/>
      <c r="AE309" s="22">
        <f t="shared" si="100"/>
        <v>0</v>
      </c>
      <c r="AF309" s="23">
        <f t="shared" si="101"/>
        <v>0</v>
      </c>
      <c r="AG309" s="23">
        <f t="shared" si="102"/>
        <v>0</v>
      </c>
      <c r="AH309" s="18"/>
      <c r="AI309" s="24">
        <f t="shared" si="103"/>
        <v>0</v>
      </c>
      <c r="AJ309" s="25">
        <v>0</v>
      </c>
      <c r="AK309" s="24">
        <f t="shared" si="104"/>
        <v>0</v>
      </c>
      <c r="AL309" s="22">
        <f t="shared" si="105"/>
        <v>0</v>
      </c>
      <c r="AM309" s="22">
        <f t="shared" si="106"/>
        <v>0</v>
      </c>
      <c r="AN309" s="22">
        <f t="shared" si="107"/>
        <v>0</v>
      </c>
      <c r="AO309" s="26" t="str">
        <f t="shared" si="108"/>
        <v/>
      </c>
      <c r="AP309" s="26" t="str">
        <f t="shared" si="109"/>
        <v>pre-launch</v>
      </c>
      <c r="AQ309" s="18"/>
      <c r="AR309" s="18"/>
    </row>
    <row r="310" spans="1:44" x14ac:dyDescent="0.25">
      <c r="A310" s="43">
        <v>45371</v>
      </c>
      <c r="B310" s="17">
        <v>2838682426.3099999</v>
      </c>
      <c r="C310" s="17">
        <v>0</v>
      </c>
      <c r="D310" s="18"/>
      <c r="E310" s="19">
        <f t="shared" si="88"/>
        <v>2838682426.3099999</v>
      </c>
      <c r="F310" s="19">
        <f t="shared" si="89"/>
        <v>2838682426.3099999</v>
      </c>
      <c r="G310" s="20">
        <f t="shared" si="90"/>
        <v>0</v>
      </c>
      <c r="H310" s="18"/>
      <c r="I310" s="18"/>
      <c r="J310" s="18"/>
      <c r="K310" s="19">
        <f t="shared" si="91"/>
        <v>0</v>
      </c>
      <c r="L310" s="18"/>
      <c r="M310" s="18"/>
      <c r="N310" s="18"/>
      <c r="O310" s="19">
        <f t="shared" si="92"/>
        <v>0</v>
      </c>
      <c r="P310" s="21">
        <f t="shared" si="93"/>
        <v>0</v>
      </c>
      <c r="Q310" s="18"/>
      <c r="R310" s="18"/>
      <c r="S310" s="19">
        <f t="shared" si="94"/>
        <v>0</v>
      </c>
      <c r="T310" s="20">
        <f t="shared" si="95"/>
        <v>0.03</v>
      </c>
      <c r="U310" s="19">
        <f t="shared" si="96"/>
        <v>0</v>
      </c>
      <c r="V310" s="18"/>
      <c r="W310" s="19">
        <f t="shared" si="97"/>
        <v>0</v>
      </c>
      <c r="X310" s="19">
        <f t="shared" si="98"/>
        <v>0</v>
      </c>
      <c r="Y310" s="18"/>
      <c r="Z310" s="18"/>
      <c r="AA310" s="19">
        <f t="shared" si="99"/>
        <v>0</v>
      </c>
      <c r="AB310" s="17">
        <v>0</v>
      </c>
      <c r="AC310" s="18"/>
      <c r="AD310" s="18"/>
      <c r="AE310" s="22">
        <f t="shared" si="100"/>
        <v>0</v>
      </c>
      <c r="AF310" s="23">
        <f t="shared" si="101"/>
        <v>0</v>
      </c>
      <c r="AG310" s="23">
        <f t="shared" si="102"/>
        <v>0</v>
      </c>
      <c r="AH310" s="18"/>
      <c r="AI310" s="24">
        <f t="shared" si="103"/>
        <v>0</v>
      </c>
      <c r="AJ310" s="25">
        <v>0</v>
      </c>
      <c r="AK310" s="24">
        <f t="shared" si="104"/>
        <v>0</v>
      </c>
      <c r="AL310" s="22">
        <f t="shared" si="105"/>
        <v>0</v>
      </c>
      <c r="AM310" s="22">
        <f t="shared" si="106"/>
        <v>0</v>
      </c>
      <c r="AN310" s="22">
        <f t="shared" si="107"/>
        <v>0</v>
      </c>
      <c r="AO310" s="26" t="str">
        <f t="shared" si="108"/>
        <v/>
      </c>
      <c r="AP310" s="26" t="str">
        <f t="shared" si="109"/>
        <v>pre-launch</v>
      </c>
      <c r="AQ310" s="18"/>
      <c r="AR310" s="18"/>
    </row>
    <row r="311" spans="1:44" x14ac:dyDescent="0.25">
      <c r="A311" s="43">
        <v>45372</v>
      </c>
      <c r="B311" s="17">
        <v>1535920161.9000001</v>
      </c>
      <c r="C311" s="17">
        <v>0</v>
      </c>
      <c r="D311" s="18"/>
      <c r="E311" s="19">
        <f t="shared" si="88"/>
        <v>1535920161.9000001</v>
      </c>
      <c r="F311" s="19">
        <f t="shared" si="89"/>
        <v>1535920161.9000001</v>
      </c>
      <c r="G311" s="20">
        <f t="shared" si="90"/>
        <v>0</v>
      </c>
      <c r="H311" s="18"/>
      <c r="I311" s="18"/>
      <c r="J311" s="18"/>
      <c r="K311" s="19">
        <f t="shared" si="91"/>
        <v>0</v>
      </c>
      <c r="L311" s="18"/>
      <c r="M311" s="18"/>
      <c r="N311" s="18"/>
      <c r="O311" s="19">
        <f t="shared" si="92"/>
        <v>0</v>
      </c>
      <c r="P311" s="21">
        <f t="shared" si="93"/>
        <v>0</v>
      </c>
      <c r="Q311" s="18"/>
      <c r="R311" s="18"/>
      <c r="S311" s="19">
        <f t="shared" si="94"/>
        <v>0</v>
      </c>
      <c r="T311" s="20">
        <f t="shared" si="95"/>
        <v>0.03</v>
      </c>
      <c r="U311" s="19">
        <f t="shared" si="96"/>
        <v>0</v>
      </c>
      <c r="V311" s="18"/>
      <c r="W311" s="19">
        <f t="shared" si="97"/>
        <v>0</v>
      </c>
      <c r="X311" s="19">
        <f t="shared" si="98"/>
        <v>0</v>
      </c>
      <c r="Y311" s="18"/>
      <c r="Z311" s="18"/>
      <c r="AA311" s="19">
        <f t="shared" si="99"/>
        <v>0</v>
      </c>
      <c r="AB311" s="17">
        <v>0</v>
      </c>
      <c r="AC311" s="18"/>
      <c r="AD311" s="18"/>
      <c r="AE311" s="22">
        <f t="shared" si="100"/>
        <v>0</v>
      </c>
      <c r="AF311" s="23">
        <f t="shared" si="101"/>
        <v>0</v>
      </c>
      <c r="AG311" s="23">
        <f t="shared" si="102"/>
        <v>0</v>
      </c>
      <c r="AH311" s="18"/>
      <c r="AI311" s="24">
        <f t="shared" si="103"/>
        <v>0</v>
      </c>
      <c r="AJ311" s="25">
        <v>0</v>
      </c>
      <c r="AK311" s="24">
        <f t="shared" si="104"/>
        <v>0</v>
      </c>
      <c r="AL311" s="22">
        <f t="shared" si="105"/>
        <v>0</v>
      </c>
      <c r="AM311" s="22">
        <f t="shared" si="106"/>
        <v>0</v>
      </c>
      <c r="AN311" s="22">
        <f t="shared" si="107"/>
        <v>0</v>
      </c>
      <c r="AO311" s="26" t="str">
        <f t="shared" si="108"/>
        <v/>
      </c>
      <c r="AP311" s="26" t="str">
        <f t="shared" si="109"/>
        <v>pre-launch</v>
      </c>
      <c r="AQ311" s="18"/>
      <c r="AR311" s="18"/>
    </row>
    <row r="312" spans="1:44" x14ac:dyDescent="0.25">
      <c r="A312" s="43">
        <v>45373</v>
      </c>
      <c r="B312" s="17">
        <v>1567404832.24</v>
      </c>
      <c r="C312" s="17">
        <v>0</v>
      </c>
      <c r="D312" s="18"/>
      <c r="E312" s="19">
        <f t="shared" si="88"/>
        <v>1567404832.24</v>
      </c>
      <c r="F312" s="19">
        <f t="shared" si="89"/>
        <v>1567404832.24</v>
      </c>
      <c r="G312" s="20">
        <f t="shared" si="90"/>
        <v>0</v>
      </c>
      <c r="H312" s="18"/>
      <c r="I312" s="18"/>
      <c r="J312" s="18"/>
      <c r="K312" s="19">
        <f t="shared" si="91"/>
        <v>0</v>
      </c>
      <c r="L312" s="18"/>
      <c r="M312" s="18"/>
      <c r="N312" s="18"/>
      <c r="O312" s="19">
        <f t="shared" si="92"/>
        <v>0</v>
      </c>
      <c r="P312" s="21">
        <f t="shared" si="93"/>
        <v>0</v>
      </c>
      <c r="Q312" s="18"/>
      <c r="R312" s="18"/>
      <c r="S312" s="19">
        <f t="shared" si="94"/>
        <v>0</v>
      </c>
      <c r="T312" s="20">
        <f t="shared" si="95"/>
        <v>0.03</v>
      </c>
      <c r="U312" s="19">
        <f t="shared" si="96"/>
        <v>0</v>
      </c>
      <c r="V312" s="18"/>
      <c r="W312" s="19">
        <f t="shared" si="97"/>
        <v>0</v>
      </c>
      <c r="X312" s="19">
        <f t="shared" si="98"/>
        <v>0</v>
      </c>
      <c r="Y312" s="18"/>
      <c r="Z312" s="18"/>
      <c r="AA312" s="19">
        <f t="shared" si="99"/>
        <v>0</v>
      </c>
      <c r="AB312" s="17">
        <v>0</v>
      </c>
      <c r="AC312" s="18"/>
      <c r="AD312" s="18"/>
      <c r="AE312" s="22">
        <f t="shared" si="100"/>
        <v>0</v>
      </c>
      <c r="AF312" s="23">
        <f t="shared" si="101"/>
        <v>0</v>
      </c>
      <c r="AG312" s="23">
        <f t="shared" si="102"/>
        <v>0</v>
      </c>
      <c r="AH312" s="18"/>
      <c r="AI312" s="24">
        <f t="shared" si="103"/>
        <v>0</v>
      </c>
      <c r="AJ312" s="25">
        <v>0</v>
      </c>
      <c r="AK312" s="24">
        <f t="shared" si="104"/>
        <v>0</v>
      </c>
      <c r="AL312" s="22">
        <f t="shared" si="105"/>
        <v>0</v>
      </c>
      <c r="AM312" s="22">
        <f t="shared" si="106"/>
        <v>0</v>
      </c>
      <c r="AN312" s="22">
        <f t="shared" si="107"/>
        <v>0</v>
      </c>
      <c r="AO312" s="26" t="str">
        <f t="shared" si="108"/>
        <v/>
      </c>
      <c r="AP312" s="26" t="str">
        <f t="shared" si="109"/>
        <v>pre-launch</v>
      </c>
      <c r="AQ312" s="18"/>
      <c r="AR312" s="18"/>
    </row>
    <row r="313" spans="1:44" x14ac:dyDescent="0.25">
      <c r="A313" s="43">
        <v>45374</v>
      </c>
      <c r="B313" s="17">
        <v>1028403066.95</v>
      </c>
      <c r="C313" s="17">
        <v>0</v>
      </c>
      <c r="D313" s="18"/>
      <c r="E313" s="19">
        <f t="shared" si="88"/>
        <v>1028403066.95</v>
      </c>
      <c r="F313" s="19">
        <f t="shared" si="89"/>
        <v>1028403066.95</v>
      </c>
      <c r="G313" s="20">
        <f t="shared" si="90"/>
        <v>0</v>
      </c>
      <c r="H313" s="18"/>
      <c r="I313" s="18"/>
      <c r="J313" s="18"/>
      <c r="K313" s="19">
        <f t="shared" si="91"/>
        <v>0</v>
      </c>
      <c r="L313" s="18"/>
      <c r="M313" s="18"/>
      <c r="N313" s="18"/>
      <c r="O313" s="19">
        <f t="shared" si="92"/>
        <v>0</v>
      </c>
      <c r="P313" s="21">
        <f t="shared" si="93"/>
        <v>0</v>
      </c>
      <c r="Q313" s="18"/>
      <c r="R313" s="18"/>
      <c r="S313" s="19">
        <f t="shared" si="94"/>
        <v>0</v>
      </c>
      <c r="T313" s="20">
        <f t="shared" si="95"/>
        <v>0.03</v>
      </c>
      <c r="U313" s="19">
        <f t="shared" si="96"/>
        <v>0</v>
      </c>
      <c r="V313" s="18"/>
      <c r="W313" s="19">
        <f t="shared" si="97"/>
        <v>0</v>
      </c>
      <c r="X313" s="19">
        <f t="shared" si="98"/>
        <v>0</v>
      </c>
      <c r="Y313" s="18"/>
      <c r="Z313" s="18"/>
      <c r="AA313" s="19">
        <f t="shared" si="99"/>
        <v>0</v>
      </c>
      <c r="AB313" s="17">
        <v>0</v>
      </c>
      <c r="AC313" s="18"/>
      <c r="AD313" s="18"/>
      <c r="AE313" s="22">
        <f t="shared" si="100"/>
        <v>0</v>
      </c>
      <c r="AF313" s="23">
        <f t="shared" si="101"/>
        <v>0</v>
      </c>
      <c r="AG313" s="23">
        <f t="shared" si="102"/>
        <v>0</v>
      </c>
      <c r="AH313" s="18"/>
      <c r="AI313" s="24">
        <f t="shared" si="103"/>
        <v>0</v>
      </c>
      <c r="AJ313" s="25">
        <v>0</v>
      </c>
      <c r="AK313" s="24">
        <f t="shared" si="104"/>
        <v>0</v>
      </c>
      <c r="AL313" s="22">
        <f t="shared" si="105"/>
        <v>0</v>
      </c>
      <c r="AM313" s="22">
        <f t="shared" si="106"/>
        <v>0</v>
      </c>
      <c r="AN313" s="22">
        <f t="shared" si="107"/>
        <v>0</v>
      </c>
      <c r="AO313" s="26" t="str">
        <f t="shared" si="108"/>
        <v/>
      </c>
      <c r="AP313" s="26" t="str">
        <f t="shared" si="109"/>
        <v>pre-launch</v>
      </c>
      <c r="AQ313" s="18"/>
      <c r="AR313" s="18"/>
    </row>
    <row r="314" spans="1:44" x14ac:dyDescent="0.25">
      <c r="A314" s="43">
        <v>45375</v>
      </c>
      <c r="B314" s="17">
        <v>1020480466.8200001</v>
      </c>
      <c r="C314" s="17">
        <v>0</v>
      </c>
      <c r="D314" s="18"/>
      <c r="E314" s="19">
        <f t="shared" si="88"/>
        <v>1020480466.8200001</v>
      </c>
      <c r="F314" s="19">
        <f t="shared" si="89"/>
        <v>1020480466.8200001</v>
      </c>
      <c r="G314" s="20">
        <f t="shared" si="90"/>
        <v>0</v>
      </c>
      <c r="H314" s="18"/>
      <c r="I314" s="18"/>
      <c r="J314" s="18"/>
      <c r="K314" s="19">
        <f t="shared" si="91"/>
        <v>0</v>
      </c>
      <c r="L314" s="18"/>
      <c r="M314" s="18"/>
      <c r="N314" s="18"/>
      <c r="O314" s="19">
        <f t="shared" si="92"/>
        <v>0</v>
      </c>
      <c r="P314" s="21">
        <f t="shared" si="93"/>
        <v>0</v>
      </c>
      <c r="Q314" s="18"/>
      <c r="R314" s="18"/>
      <c r="S314" s="19">
        <f t="shared" si="94"/>
        <v>0</v>
      </c>
      <c r="T314" s="20">
        <f t="shared" si="95"/>
        <v>0.03</v>
      </c>
      <c r="U314" s="19">
        <f t="shared" si="96"/>
        <v>0</v>
      </c>
      <c r="V314" s="18"/>
      <c r="W314" s="19">
        <f t="shared" si="97"/>
        <v>0</v>
      </c>
      <c r="X314" s="19">
        <f t="shared" si="98"/>
        <v>0</v>
      </c>
      <c r="Y314" s="18"/>
      <c r="Z314" s="18"/>
      <c r="AA314" s="19">
        <f t="shared" si="99"/>
        <v>0</v>
      </c>
      <c r="AB314" s="17">
        <v>0</v>
      </c>
      <c r="AC314" s="18"/>
      <c r="AD314" s="18"/>
      <c r="AE314" s="22">
        <f t="shared" si="100"/>
        <v>0</v>
      </c>
      <c r="AF314" s="23">
        <f t="shared" si="101"/>
        <v>0</v>
      </c>
      <c r="AG314" s="23">
        <f t="shared" si="102"/>
        <v>0</v>
      </c>
      <c r="AH314" s="18"/>
      <c r="AI314" s="24">
        <f t="shared" si="103"/>
        <v>0</v>
      </c>
      <c r="AJ314" s="25">
        <v>0</v>
      </c>
      <c r="AK314" s="24">
        <f t="shared" si="104"/>
        <v>0</v>
      </c>
      <c r="AL314" s="22">
        <f t="shared" si="105"/>
        <v>0</v>
      </c>
      <c r="AM314" s="22">
        <f t="shared" si="106"/>
        <v>0</v>
      </c>
      <c r="AN314" s="22">
        <f t="shared" si="107"/>
        <v>0</v>
      </c>
      <c r="AO314" s="26" t="str">
        <f t="shared" si="108"/>
        <v/>
      </c>
      <c r="AP314" s="26" t="str">
        <f t="shared" si="109"/>
        <v>pre-launch</v>
      </c>
      <c r="AQ314" s="18"/>
      <c r="AR314" s="18"/>
    </row>
    <row r="315" spans="1:44" x14ac:dyDescent="0.25">
      <c r="A315" s="43">
        <v>45376</v>
      </c>
      <c r="B315" s="17">
        <v>1625860717.4100001</v>
      </c>
      <c r="C315" s="17">
        <v>0</v>
      </c>
      <c r="D315" s="18"/>
      <c r="E315" s="19">
        <f t="shared" si="88"/>
        <v>1625860717.4100001</v>
      </c>
      <c r="F315" s="19">
        <f t="shared" si="89"/>
        <v>1625860717.4100001</v>
      </c>
      <c r="G315" s="20">
        <f t="shared" si="90"/>
        <v>0</v>
      </c>
      <c r="H315" s="18"/>
      <c r="I315" s="18"/>
      <c r="J315" s="18"/>
      <c r="K315" s="19">
        <f t="shared" si="91"/>
        <v>0</v>
      </c>
      <c r="L315" s="18"/>
      <c r="M315" s="18"/>
      <c r="N315" s="18"/>
      <c r="O315" s="19">
        <f t="shared" si="92"/>
        <v>0</v>
      </c>
      <c r="P315" s="21">
        <f t="shared" si="93"/>
        <v>0</v>
      </c>
      <c r="Q315" s="18"/>
      <c r="R315" s="18"/>
      <c r="S315" s="19">
        <f t="shared" si="94"/>
        <v>0</v>
      </c>
      <c r="T315" s="20">
        <f t="shared" si="95"/>
        <v>0.03</v>
      </c>
      <c r="U315" s="19">
        <f t="shared" si="96"/>
        <v>0</v>
      </c>
      <c r="V315" s="18"/>
      <c r="W315" s="19">
        <f t="shared" si="97"/>
        <v>0</v>
      </c>
      <c r="X315" s="19">
        <f t="shared" si="98"/>
        <v>0</v>
      </c>
      <c r="Y315" s="18"/>
      <c r="Z315" s="18"/>
      <c r="AA315" s="19">
        <f t="shared" si="99"/>
        <v>0</v>
      </c>
      <c r="AB315" s="17">
        <v>0</v>
      </c>
      <c r="AC315" s="18"/>
      <c r="AD315" s="18"/>
      <c r="AE315" s="22">
        <f t="shared" si="100"/>
        <v>0</v>
      </c>
      <c r="AF315" s="23">
        <f t="shared" si="101"/>
        <v>0</v>
      </c>
      <c r="AG315" s="23">
        <f t="shared" si="102"/>
        <v>0</v>
      </c>
      <c r="AH315" s="18"/>
      <c r="AI315" s="24">
        <f t="shared" si="103"/>
        <v>0</v>
      </c>
      <c r="AJ315" s="25">
        <v>0</v>
      </c>
      <c r="AK315" s="24">
        <f t="shared" si="104"/>
        <v>0</v>
      </c>
      <c r="AL315" s="22">
        <f t="shared" si="105"/>
        <v>0</v>
      </c>
      <c r="AM315" s="22">
        <f t="shared" si="106"/>
        <v>0</v>
      </c>
      <c r="AN315" s="22">
        <f t="shared" si="107"/>
        <v>0</v>
      </c>
      <c r="AO315" s="26" t="str">
        <f t="shared" si="108"/>
        <v/>
      </c>
      <c r="AP315" s="26" t="str">
        <f t="shared" si="109"/>
        <v>pre-launch</v>
      </c>
      <c r="AQ315" s="18"/>
      <c r="AR315" s="18"/>
    </row>
    <row r="316" spans="1:44" x14ac:dyDescent="0.25">
      <c r="A316" s="43">
        <v>45377</v>
      </c>
      <c r="B316" s="17">
        <v>1678124849.27</v>
      </c>
      <c r="C316" s="17">
        <v>0</v>
      </c>
      <c r="D316" s="18"/>
      <c r="E316" s="19">
        <f t="shared" si="88"/>
        <v>1678124849.27</v>
      </c>
      <c r="F316" s="19">
        <f t="shared" si="89"/>
        <v>1678124849.27</v>
      </c>
      <c r="G316" s="20">
        <f t="shared" si="90"/>
        <v>0</v>
      </c>
      <c r="H316" s="18"/>
      <c r="I316" s="18"/>
      <c r="J316" s="18"/>
      <c r="K316" s="19">
        <f t="shared" si="91"/>
        <v>0</v>
      </c>
      <c r="L316" s="18"/>
      <c r="M316" s="18"/>
      <c r="N316" s="18"/>
      <c r="O316" s="19">
        <f t="shared" si="92"/>
        <v>0</v>
      </c>
      <c r="P316" s="21">
        <f t="shared" si="93"/>
        <v>0</v>
      </c>
      <c r="Q316" s="18"/>
      <c r="R316" s="18"/>
      <c r="S316" s="19">
        <f t="shared" si="94"/>
        <v>0</v>
      </c>
      <c r="T316" s="20">
        <f t="shared" si="95"/>
        <v>0.03</v>
      </c>
      <c r="U316" s="19">
        <f t="shared" si="96"/>
        <v>0</v>
      </c>
      <c r="V316" s="18"/>
      <c r="W316" s="19">
        <f t="shared" si="97"/>
        <v>0</v>
      </c>
      <c r="X316" s="19">
        <f t="shared" si="98"/>
        <v>0</v>
      </c>
      <c r="Y316" s="18"/>
      <c r="Z316" s="18"/>
      <c r="AA316" s="19">
        <f t="shared" si="99"/>
        <v>0</v>
      </c>
      <c r="AB316" s="17">
        <v>0</v>
      </c>
      <c r="AC316" s="18"/>
      <c r="AD316" s="18"/>
      <c r="AE316" s="22">
        <f t="shared" si="100"/>
        <v>0</v>
      </c>
      <c r="AF316" s="23">
        <f t="shared" si="101"/>
        <v>0</v>
      </c>
      <c r="AG316" s="23">
        <f t="shared" si="102"/>
        <v>0</v>
      </c>
      <c r="AH316" s="18"/>
      <c r="AI316" s="24">
        <f t="shared" si="103"/>
        <v>0</v>
      </c>
      <c r="AJ316" s="25">
        <v>0</v>
      </c>
      <c r="AK316" s="24">
        <f t="shared" si="104"/>
        <v>0</v>
      </c>
      <c r="AL316" s="22">
        <f t="shared" si="105"/>
        <v>0</v>
      </c>
      <c r="AM316" s="22">
        <f t="shared" si="106"/>
        <v>0</v>
      </c>
      <c r="AN316" s="22">
        <f t="shared" si="107"/>
        <v>0</v>
      </c>
      <c r="AO316" s="26" t="str">
        <f t="shared" si="108"/>
        <v/>
      </c>
      <c r="AP316" s="26" t="str">
        <f t="shared" si="109"/>
        <v>pre-launch</v>
      </c>
      <c r="AQ316" s="18"/>
      <c r="AR316" s="18"/>
    </row>
    <row r="317" spans="1:44" x14ac:dyDescent="0.25">
      <c r="A317" s="43">
        <v>45378</v>
      </c>
      <c r="B317" s="17">
        <v>1330183416.4300001</v>
      </c>
      <c r="C317" s="17">
        <v>0</v>
      </c>
      <c r="D317" s="18"/>
      <c r="E317" s="19">
        <f t="shared" si="88"/>
        <v>1330183416.4300001</v>
      </c>
      <c r="F317" s="19">
        <f t="shared" si="89"/>
        <v>1330183416.4300001</v>
      </c>
      <c r="G317" s="20">
        <f t="shared" si="90"/>
        <v>0</v>
      </c>
      <c r="H317" s="18"/>
      <c r="I317" s="18"/>
      <c r="J317" s="18"/>
      <c r="K317" s="19">
        <f t="shared" si="91"/>
        <v>0</v>
      </c>
      <c r="L317" s="18"/>
      <c r="M317" s="18"/>
      <c r="N317" s="18"/>
      <c r="O317" s="19">
        <f t="shared" si="92"/>
        <v>0</v>
      </c>
      <c r="P317" s="21">
        <f t="shared" si="93"/>
        <v>0</v>
      </c>
      <c r="Q317" s="18"/>
      <c r="R317" s="18"/>
      <c r="S317" s="19">
        <f t="shared" si="94"/>
        <v>0</v>
      </c>
      <c r="T317" s="20">
        <f t="shared" si="95"/>
        <v>0.03</v>
      </c>
      <c r="U317" s="19">
        <f t="shared" si="96"/>
        <v>0</v>
      </c>
      <c r="V317" s="18"/>
      <c r="W317" s="19">
        <f t="shared" si="97"/>
        <v>0</v>
      </c>
      <c r="X317" s="19">
        <f t="shared" si="98"/>
        <v>0</v>
      </c>
      <c r="Y317" s="18"/>
      <c r="Z317" s="18"/>
      <c r="AA317" s="19">
        <f t="shared" si="99"/>
        <v>0</v>
      </c>
      <c r="AB317" s="17">
        <v>0</v>
      </c>
      <c r="AC317" s="18"/>
      <c r="AD317" s="18"/>
      <c r="AE317" s="22">
        <f t="shared" si="100"/>
        <v>0</v>
      </c>
      <c r="AF317" s="23">
        <f t="shared" si="101"/>
        <v>0</v>
      </c>
      <c r="AG317" s="23">
        <f t="shared" si="102"/>
        <v>0</v>
      </c>
      <c r="AH317" s="18"/>
      <c r="AI317" s="24">
        <f t="shared" si="103"/>
        <v>0</v>
      </c>
      <c r="AJ317" s="25">
        <v>0</v>
      </c>
      <c r="AK317" s="24">
        <f t="shared" si="104"/>
        <v>0</v>
      </c>
      <c r="AL317" s="22">
        <f t="shared" si="105"/>
        <v>0</v>
      </c>
      <c r="AM317" s="22">
        <f t="shared" si="106"/>
        <v>0</v>
      </c>
      <c r="AN317" s="22">
        <f t="shared" si="107"/>
        <v>0</v>
      </c>
      <c r="AO317" s="26" t="str">
        <f t="shared" si="108"/>
        <v/>
      </c>
      <c r="AP317" s="26" t="str">
        <f t="shared" si="109"/>
        <v>pre-launch</v>
      </c>
      <c r="AQ317" s="18"/>
      <c r="AR317" s="18"/>
    </row>
    <row r="318" spans="1:44" x14ac:dyDescent="0.25">
      <c r="A318" s="43">
        <v>45379</v>
      </c>
      <c r="B318" s="17">
        <v>1028083294.7</v>
      </c>
      <c r="C318" s="17">
        <v>0</v>
      </c>
      <c r="D318" s="18"/>
      <c r="E318" s="19">
        <f t="shared" si="88"/>
        <v>1028083294.7</v>
      </c>
      <c r="F318" s="19">
        <f t="shared" si="89"/>
        <v>1028083294.7</v>
      </c>
      <c r="G318" s="20">
        <f t="shared" si="90"/>
        <v>0</v>
      </c>
      <c r="H318" s="18"/>
      <c r="I318" s="18"/>
      <c r="J318" s="18"/>
      <c r="K318" s="19">
        <f t="shared" si="91"/>
        <v>0</v>
      </c>
      <c r="L318" s="18"/>
      <c r="M318" s="18"/>
      <c r="N318" s="18"/>
      <c r="O318" s="19">
        <f t="shared" si="92"/>
        <v>0</v>
      </c>
      <c r="P318" s="21">
        <f t="shared" si="93"/>
        <v>0</v>
      </c>
      <c r="Q318" s="18"/>
      <c r="R318" s="18"/>
      <c r="S318" s="19">
        <f t="shared" si="94"/>
        <v>0</v>
      </c>
      <c r="T318" s="20">
        <f t="shared" si="95"/>
        <v>0.03</v>
      </c>
      <c r="U318" s="19">
        <f t="shared" si="96"/>
        <v>0</v>
      </c>
      <c r="V318" s="18"/>
      <c r="W318" s="19">
        <f t="shared" si="97"/>
        <v>0</v>
      </c>
      <c r="X318" s="19">
        <f t="shared" si="98"/>
        <v>0</v>
      </c>
      <c r="Y318" s="18"/>
      <c r="Z318" s="18"/>
      <c r="AA318" s="19">
        <f t="shared" si="99"/>
        <v>0</v>
      </c>
      <c r="AB318" s="17">
        <v>0</v>
      </c>
      <c r="AC318" s="18"/>
      <c r="AD318" s="18"/>
      <c r="AE318" s="22">
        <f t="shared" si="100"/>
        <v>0</v>
      </c>
      <c r="AF318" s="23">
        <f t="shared" si="101"/>
        <v>0</v>
      </c>
      <c r="AG318" s="23">
        <f t="shared" si="102"/>
        <v>0</v>
      </c>
      <c r="AH318" s="18"/>
      <c r="AI318" s="24">
        <f t="shared" si="103"/>
        <v>0</v>
      </c>
      <c r="AJ318" s="25">
        <v>0</v>
      </c>
      <c r="AK318" s="24">
        <f t="shared" si="104"/>
        <v>0</v>
      </c>
      <c r="AL318" s="22">
        <f t="shared" si="105"/>
        <v>0</v>
      </c>
      <c r="AM318" s="22">
        <f t="shared" si="106"/>
        <v>0</v>
      </c>
      <c r="AN318" s="22">
        <f t="shared" si="107"/>
        <v>0</v>
      </c>
      <c r="AO318" s="26" t="str">
        <f t="shared" si="108"/>
        <v/>
      </c>
      <c r="AP318" s="26" t="str">
        <f t="shared" si="109"/>
        <v>pre-launch</v>
      </c>
      <c r="AQ318" s="18"/>
      <c r="AR318" s="18"/>
    </row>
    <row r="319" spans="1:44" x14ac:dyDescent="0.25">
      <c r="A319" s="43">
        <v>45380</v>
      </c>
      <c r="B319" s="17">
        <v>1141534282.3599999</v>
      </c>
      <c r="C319" s="17">
        <v>0</v>
      </c>
      <c r="D319" s="18"/>
      <c r="E319" s="19">
        <f t="shared" si="88"/>
        <v>1141534282.3599999</v>
      </c>
      <c r="F319" s="19">
        <f t="shared" si="89"/>
        <v>1141534282.3599999</v>
      </c>
      <c r="G319" s="20">
        <f t="shared" si="90"/>
        <v>0</v>
      </c>
      <c r="H319" s="18"/>
      <c r="I319" s="18"/>
      <c r="J319" s="18"/>
      <c r="K319" s="19">
        <f t="shared" si="91"/>
        <v>0</v>
      </c>
      <c r="L319" s="18"/>
      <c r="M319" s="18"/>
      <c r="N319" s="18"/>
      <c r="O319" s="19">
        <f t="shared" si="92"/>
        <v>0</v>
      </c>
      <c r="P319" s="21">
        <f t="shared" si="93"/>
        <v>0</v>
      </c>
      <c r="Q319" s="18"/>
      <c r="R319" s="18"/>
      <c r="S319" s="19">
        <f t="shared" si="94"/>
        <v>0</v>
      </c>
      <c r="T319" s="20">
        <f t="shared" si="95"/>
        <v>0.03</v>
      </c>
      <c r="U319" s="19">
        <f t="shared" si="96"/>
        <v>0</v>
      </c>
      <c r="V319" s="18"/>
      <c r="W319" s="19">
        <f t="shared" si="97"/>
        <v>0</v>
      </c>
      <c r="X319" s="19">
        <f t="shared" si="98"/>
        <v>0</v>
      </c>
      <c r="Y319" s="18"/>
      <c r="Z319" s="18"/>
      <c r="AA319" s="19">
        <f t="shared" si="99"/>
        <v>0</v>
      </c>
      <c r="AB319" s="17">
        <v>0</v>
      </c>
      <c r="AC319" s="18"/>
      <c r="AD319" s="18"/>
      <c r="AE319" s="22">
        <f t="shared" si="100"/>
        <v>0</v>
      </c>
      <c r="AF319" s="23">
        <f t="shared" si="101"/>
        <v>0</v>
      </c>
      <c r="AG319" s="23">
        <f t="shared" si="102"/>
        <v>0</v>
      </c>
      <c r="AH319" s="18"/>
      <c r="AI319" s="24">
        <f t="shared" si="103"/>
        <v>0</v>
      </c>
      <c r="AJ319" s="25">
        <v>0</v>
      </c>
      <c r="AK319" s="24">
        <f t="shared" si="104"/>
        <v>0</v>
      </c>
      <c r="AL319" s="22">
        <f t="shared" si="105"/>
        <v>0</v>
      </c>
      <c r="AM319" s="22">
        <f t="shared" si="106"/>
        <v>0</v>
      </c>
      <c r="AN319" s="22">
        <f t="shared" si="107"/>
        <v>0</v>
      </c>
      <c r="AO319" s="26" t="str">
        <f t="shared" si="108"/>
        <v/>
      </c>
      <c r="AP319" s="26" t="str">
        <f t="shared" si="109"/>
        <v>pre-launch</v>
      </c>
      <c r="AQ319" s="18"/>
      <c r="AR319" s="18"/>
    </row>
    <row r="320" spans="1:44" x14ac:dyDescent="0.25">
      <c r="A320" s="43">
        <v>45381</v>
      </c>
      <c r="B320" s="17">
        <v>854111149.40999997</v>
      </c>
      <c r="C320" s="17">
        <v>0</v>
      </c>
      <c r="D320" s="18"/>
      <c r="E320" s="19">
        <f t="shared" si="88"/>
        <v>854111149.40999997</v>
      </c>
      <c r="F320" s="19">
        <f t="shared" si="89"/>
        <v>854111149.40999997</v>
      </c>
      <c r="G320" s="20">
        <f t="shared" si="90"/>
        <v>0</v>
      </c>
      <c r="H320" s="18"/>
      <c r="I320" s="18"/>
      <c r="J320" s="18"/>
      <c r="K320" s="19">
        <f t="shared" si="91"/>
        <v>0</v>
      </c>
      <c r="L320" s="18"/>
      <c r="M320" s="18"/>
      <c r="N320" s="18"/>
      <c r="O320" s="19">
        <f t="shared" si="92"/>
        <v>0</v>
      </c>
      <c r="P320" s="21">
        <f t="shared" si="93"/>
        <v>0</v>
      </c>
      <c r="Q320" s="18"/>
      <c r="R320" s="18"/>
      <c r="S320" s="19">
        <f t="shared" si="94"/>
        <v>0</v>
      </c>
      <c r="T320" s="20">
        <f t="shared" si="95"/>
        <v>0.03</v>
      </c>
      <c r="U320" s="19">
        <f t="shared" si="96"/>
        <v>0</v>
      </c>
      <c r="V320" s="18"/>
      <c r="W320" s="19">
        <f t="shared" si="97"/>
        <v>0</v>
      </c>
      <c r="X320" s="19">
        <f t="shared" si="98"/>
        <v>0</v>
      </c>
      <c r="Y320" s="18"/>
      <c r="Z320" s="18"/>
      <c r="AA320" s="19">
        <f t="shared" si="99"/>
        <v>0</v>
      </c>
      <c r="AB320" s="17">
        <v>0</v>
      </c>
      <c r="AC320" s="18"/>
      <c r="AD320" s="18"/>
      <c r="AE320" s="22">
        <f t="shared" si="100"/>
        <v>0</v>
      </c>
      <c r="AF320" s="23">
        <f t="shared" si="101"/>
        <v>0</v>
      </c>
      <c r="AG320" s="23">
        <f t="shared" si="102"/>
        <v>0</v>
      </c>
      <c r="AH320" s="18"/>
      <c r="AI320" s="24">
        <f t="shared" si="103"/>
        <v>0</v>
      </c>
      <c r="AJ320" s="25">
        <v>0</v>
      </c>
      <c r="AK320" s="24">
        <f t="shared" si="104"/>
        <v>0</v>
      </c>
      <c r="AL320" s="22">
        <f t="shared" si="105"/>
        <v>0</v>
      </c>
      <c r="AM320" s="22">
        <f t="shared" si="106"/>
        <v>0</v>
      </c>
      <c r="AN320" s="22">
        <f t="shared" si="107"/>
        <v>0</v>
      </c>
      <c r="AO320" s="26" t="str">
        <f t="shared" si="108"/>
        <v/>
      </c>
      <c r="AP320" s="26" t="str">
        <f t="shared" si="109"/>
        <v>pre-launch</v>
      </c>
      <c r="AQ320" s="18"/>
      <c r="AR320" s="18"/>
    </row>
    <row r="321" spans="1:44" x14ac:dyDescent="0.25">
      <c r="A321" s="43">
        <v>45382</v>
      </c>
      <c r="B321" s="17">
        <v>978276203.49000001</v>
      </c>
      <c r="C321" s="17">
        <v>0</v>
      </c>
      <c r="D321" s="18"/>
      <c r="E321" s="19">
        <f t="shared" si="88"/>
        <v>978276203.49000001</v>
      </c>
      <c r="F321" s="19">
        <f t="shared" si="89"/>
        <v>978276203.49000001</v>
      </c>
      <c r="G321" s="20">
        <f t="shared" si="90"/>
        <v>0</v>
      </c>
      <c r="H321" s="18"/>
      <c r="I321" s="18"/>
      <c r="J321" s="18"/>
      <c r="K321" s="19">
        <f t="shared" si="91"/>
        <v>0</v>
      </c>
      <c r="L321" s="18"/>
      <c r="M321" s="18"/>
      <c r="N321" s="18"/>
      <c r="O321" s="19">
        <f t="shared" si="92"/>
        <v>0</v>
      </c>
      <c r="P321" s="21">
        <f t="shared" si="93"/>
        <v>0</v>
      </c>
      <c r="Q321" s="18"/>
      <c r="R321" s="18"/>
      <c r="S321" s="19">
        <f t="shared" si="94"/>
        <v>0</v>
      </c>
      <c r="T321" s="20">
        <f t="shared" si="95"/>
        <v>0.03</v>
      </c>
      <c r="U321" s="19">
        <f t="shared" si="96"/>
        <v>0</v>
      </c>
      <c r="V321" s="18"/>
      <c r="W321" s="19">
        <f t="shared" si="97"/>
        <v>0</v>
      </c>
      <c r="X321" s="19">
        <f t="shared" si="98"/>
        <v>0</v>
      </c>
      <c r="Y321" s="18"/>
      <c r="Z321" s="18"/>
      <c r="AA321" s="19">
        <f t="shared" si="99"/>
        <v>0</v>
      </c>
      <c r="AB321" s="17">
        <v>0</v>
      </c>
      <c r="AC321" s="18"/>
      <c r="AD321" s="18"/>
      <c r="AE321" s="22">
        <f t="shared" si="100"/>
        <v>0</v>
      </c>
      <c r="AF321" s="23">
        <f t="shared" si="101"/>
        <v>0</v>
      </c>
      <c r="AG321" s="23">
        <f t="shared" si="102"/>
        <v>0</v>
      </c>
      <c r="AH321" s="18"/>
      <c r="AI321" s="24">
        <f t="shared" si="103"/>
        <v>0</v>
      </c>
      <c r="AJ321" s="25">
        <v>0</v>
      </c>
      <c r="AK321" s="24">
        <f t="shared" si="104"/>
        <v>0</v>
      </c>
      <c r="AL321" s="22">
        <f t="shared" si="105"/>
        <v>0</v>
      </c>
      <c r="AM321" s="22">
        <f t="shared" si="106"/>
        <v>0</v>
      </c>
      <c r="AN321" s="22">
        <f t="shared" si="107"/>
        <v>0</v>
      </c>
      <c r="AO321" s="26" t="str">
        <f t="shared" si="108"/>
        <v/>
      </c>
      <c r="AP321" s="26" t="str">
        <f t="shared" si="109"/>
        <v>pre-launch</v>
      </c>
      <c r="AQ321" s="18"/>
      <c r="AR321" s="18"/>
    </row>
    <row r="322" spans="1:44" x14ac:dyDescent="0.25">
      <c r="A322" s="43">
        <v>45383</v>
      </c>
      <c r="B322" s="17">
        <v>1460735619.4200001</v>
      </c>
      <c r="C322" s="17">
        <v>0</v>
      </c>
      <c r="D322" s="18"/>
      <c r="E322" s="19">
        <f t="shared" si="88"/>
        <v>1460735619.4200001</v>
      </c>
      <c r="F322" s="19">
        <f t="shared" si="89"/>
        <v>1460735619.4200001</v>
      </c>
      <c r="G322" s="20">
        <f t="shared" si="90"/>
        <v>0</v>
      </c>
      <c r="H322" s="18"/>
      <c r="I322" s="18"/>
      <c r="J322" s="18"/>
      <c r="K322" s="19">
        <f t="shared" si="91"/>
        <v>0</v>
      </c>
      <c r="L322" s="18"/>
      <c r="M322" s="18"/>
      <c r="N322" s="18"/>
      <c r="O322" s="19">
        <f t="shared" si="92"/>
        <v>0</v>
      </c>
      <c r="P322" s="21">
        <f t="shared" si="93"/>
        <v>0</v>
      </c>
      <c r="Q322" s="18"/>
      <c r="R322" s="18"/>
      <c r="S322" s="19">
        <f t="shared" si="94"/>
        <v>0</v>
      </c>
      <c r="T322" s="20">
        <f t="shared" si="95"/>
        <v>0.03</v>
      </c>
      <c r="U322" s="19">
        <f t="shared" si="96"/>
        <v>0</v>
      </c>
      <c r="V322" s="18"/>
      <c r="W322" s="19">
        <f t="shared" si="97"/>
        <v>0</v>
      </c>
      <c r="X322" s="19">
        <f t="shared" si="98"/>
        <v>0</v>
      </c>
      <c r="Y322" s="18"/>
      <c r="Z322" s="18"/>
      <c r="AA322" s="19">
        <f t="shared" si="99"/>
        <v>0</v>
      </c>
      <c r="AB322" s="17">
        <v>0</v>
      </c>
      <c r="AC322" s="18"/>
      <c r="AD322" s="18"/>
      <c r="AE322" s="22">
        <f t="shared" si="100"/>
        <v>0</v>
      </c>
      <c r="AF322" s="23">
        <f t="shared" si="101"/>
        <v>0</v>
      </c>
      <c r="AG322" s="23">
        <f t="shared" si="102"/>
        <v>0</v>
      </c>
      <c r="AH322" s="18"/>
      <c r="AI322" s="24">
        <f t="shared" si="103"/>
        <v>0</v>
      </c>
      <c r="AJ322" s="25">
        <v>0</v>
      </c>
      <c r="AK322" s="24">
        <f t="shared" si="104"/>
        <v>0</v>
      </c>
      <c r="AL322" s="22">
        <f t="shared" si="105"/>
        <v>0</v>
      </c>
      <c r="AM322" s="22">
        <f t="shared" si="106"/>
        <v>0</v>
      </c>
      <c r="AN322" s="22">
        <f t="shared" si="107"/>
        <v>0</v>
      </c>
      <c r="AO322" s="26" t="str">
        <f t="shared" si="108"/>
        <v/>
      </c>
      <c r="AP322" s="26" t="str">
        <f t="shared" si="109"/>
        <v>pre-launch</v>
      </c>
      <c r="AQ322" s="18"/>
      <c r="AR322" s="18"/>
    </row>
    <row r="323" spans="1:44" x14ac:dyDescent="0.25">
      <c r="A323" s="43">
        <v>45384</v>
      </c>
      <c r="B323" s="17">
        <v>1826866235.78</v>
      </c>
      <c r="C323" s="17">
        <v>0</v>
      </c>
      <c r="D323" s="18"/>
      <c r="E323" s="19">
        <f t="shared" si="88"/>
        <v>1826866235.78</v>
      </c>
      <c r="F323" s="19">
        <f t="shared" si="89"/>
        <v>1826866235.78</v>
      </c>
      <c r="G323" s="20">
        <f t="shared" si="90"/>
        <v>0</v>
      </c>
      <c r="H323" s="18"/>
      <c r="I323" s="18"/>
      <c r="J323" s="18"/>
      <c r="K323" s="19">
        <f t="shared" si="91"/>
        <v>0</v>
      </c>
      <c r="L323" s="18"/>
      <c r="M323" s="18"/>
      <c r="N323" s="18"/>
      <c r="O323" s="19">
        <f t="shared" si="92"/>
        <v>0</v>
      </c>
      <c r="P323" s="21">
        <f t="shared" si="93"/>
        <v>0</v>
      </c>
      <c r="Q323" s="18"/>
      <c r="R323" s="18"/>
      <c r="S323" s="19">
        <f t="shared" si="94"/>
        <v>0</v>
      </c>
      <c r="T323" s="20">
        <f t="shared" si="95"/>
        <v>0.03</v>
      </c>
      <c r="U323" s="19">
        <f t="shared" si="96"/>
        <v>0</v>
      </c>
      <c r="V323" s="18"/>
      <c r="W323" s="19">
        <f t="shared" si="97"/>
        <v>0</v>
      </c>
      <c r="X323" s="19">
        <f t="shared" si="98"/>
        <v>0</v>
      </c>
      <c r="Y323" s="18"/>
      <c r="Z323" s="18"/>
      <c r="AA323" s="19">
        <f t="shared" si="99"/>
        <v>0</v>
      </c>
      <c r="AB323" s="17">
        <v>0</v>
      </c>
      <c r="AC323" s="18"/>
      <c r="AD323" s="18"/>
      <c r="AE323" s="22">
        <f t="shared" si="100"/>
        <v>0</v>
      </c>
      <c r="AF323" s="23">
        <f t="shared" si="101"/>
        <v>0</v>
      </c>
      <c r="AG323" s="23">
        <f t="shared" si="102"/>
        <v>0</v>
      </c>
      <c r="AH323" s="18"/>
      <c r="AI323" s="24">
        <f t="shared" si="103"/>
        <v>0</v>
      </c>
      <c r="AJ323" s="25">
        <v>0</v>
      </c>
      <c r="AK323" s="24">
        <f t="shared" si="104"/>
        <v>0</v>
      </c>
      <c r="AL323" s="22">
        <f t="shared" si="105"/>
        <v>0</v>
      </c>
      <c r="AM323" s="22">
        <f t="shared" si="106"/>
        <v>0</v>
      </c>
      <c r="AN323" s="22">
        <f t="shared" si="107"/>
        <v>0</v>
      </c>
      <c r="AO323" s="26" t="str">
        <f t="shared" si="108"/>
        <v/>
      </c>
      <c r="AP323" s="26" t="str">
        <f t="shared" si="109"/>
        <v>pre-launch</v>
      </c>
      <c r="AQ323" s="18"/>
      <c r="AR323" s="18"/>
    </row>
    <row r="324" spans="1:44" x14ac:dyDescent="0.25">
      <c r="A324" s="43">
        <v>45385</v>
      </c>
      <c r="B324" s="17">
        <v>1273869977.1500001</v>
      </c>
      <c r="C324" s="17">
        <v>0</v>
      </c>
      <c r="D324" s="18"/>
      <c r="E324" s="19">
        <f t="shared" si="88"/>
        <v>1273869977.1500001</v>
      </c>
      <c r="F324" s="19">
        <f t="shared" si="89"/>
        <v>1273869977.1500001</v>
      </c>
      <c r="G324" s="20">
        <f t="shared" si="90"/>
        <v>0</v>
      </c>
      <c r="H324" s="18"/>
      <c r="I324" s="18"/>
      <c r="J324" s="18"/>
      <c r="K324" s="19">
        <f t="shared" si="91"/>
        <v>0</v>
      </c>
      <c r="L324" s="18"/>
      <c r="M324" s="18"/>
      <c r="N324" s="18"/>
      <c r="O324" s="19">
        <f t="shared" si="92"/>
        <v>0</v>
      </c>
      <c r="P324" s="21">
        <f t="shared" si="93"/>
        <v>0</v>
      </c>
      <c r="Q324" s="18"/>
      <c r="R324" s="18"/>
      <c r="S324" s="19">
        <f t="shared" si="94"/>
        <v>0</v>
      </c>
      <c r="T324" s="20">
        <f t="shared" si="95"/>
        <v>0.03</v>
      </c>
      <c r="U324" s="19">
        <f t="shared" si="96"/>
        <v>0</v>
      </c>
      <c r="V324" s="18"/>
      <c r="W324" s="19">
        <f t="shared" si="97"/>
        <v>0</v>
      </c>
      <c r="X324" s="19">
        <f t="shared" si="98"/>
        <v>0</v>
      </c>
      <c r="Y324" s="18"/>
      <c r="Z324" s="18"/>
      <c r="AA324" s="19">
        <f t="shared" si="99"/>
        <v>0</v>
      </c>
      <c r="AB324" s="17">
        <v>0</v>
      </c>
      <c r="AC324" s="18"/>
      <c r="AD324" s="18"/>
      <c r="AE324" s="22">
        <f t="shared" si="100"/>
        <v>0</v>
      </c>
      <c r="AF324" s="23">
        <f t="shared" si="101"/>
        <v>0</v>
      </c>
      <c r="AG324" s="23">
        <f t="shared" si="102"/>
        <v>0</v>
      </c>
      <c r="AH324" s="18"/>
      <c r="AI324" s="24">
        <f t="shared" si="103"/>
        <v>0</v>
      </c>
      <c r="AJ324" s="25">
        <v>0</v>
      </c>
      <c r="AK324" s="24">
        <f t="shared" si="104"/>
        <v>0</v>
      </c>
      <c r="AL324" s="22">
        <f t="shared" si="105"/>
        <v>0</v>
      </c>
      <c r="AM324" s="22">
        <f t="shared" si="106"/>
        <v>0</v>
      </c>
      <c r="AN324" s="22">
        <f t="shared" si="107"/>
        <v>0</v>
      </c>
      <c r="AO324" s="26" t="str">
        <f t="shared" si="108"/>
        <v/>
      </c>
      <c r="AP324" s="26" t="str">
        <f t="shared" si="109"/>
        <v>pre-launch</v>
      </c>
      <c r="AQ324" s="18"/>
      <c r="AR324" s="18"/>
    </row>
    <row r="325" spans="1:44" x14ac:dyDescent="0.25">
      <c r="A325" s="43">
        <v>45386</v>
      </c>
      <c r="B325" s="17">
        <v>1199426718.75</v>
      </c>
      <c r="C325" s="17">
        <v>0</v>
      </c>
      <c r="D325" s="18"/>
      <c r="E325" s="19">
        <f t="shared" ref="E325:E388" si="110">B325+C325</f>
        <v>1199426718.75</v>
      </c>
      <c r="F325" s="19">
        <f t="shared" ref="F325:F388" si="111">E325+D325</f>
        <v>1199426718.75</v>
      </c>
      <c r="G325" s="20">
        <f t="shared" ref="G325:G388" si="112">IFERROR(C325/E325,0)</f>
        <v>0</v>
      </c>
      <c r="H325" s="18"/>
      <c r="I325" s="18"/>
      <c r="J325" s="18"/>
      <c r="K325" s="19">
        <f t="shared" ref="K325:K388" si="113">H325+I325</f>
        <v>0</v>
      </c>
      <c r="L325" s="18"/>
      <c r="M325" s="18"/>
      <c r="N325" s="18"/>
      <c r="O325" s="19">
        <f t="shared" ref="O325:O388" si="114">IF(H325=0,0,H325-L325)</f>
        <v>0</v>
      </c>
      <c r="P325" s="21">
        <f t="shared" ref="P325:P388" si="115">IF(B325=0,0,O325/B325*10000)</f>
        <v>0</v>
      </c>
      <c r="Q325" s="18"/>
      <c r="R325" s="18"/>
      <c r="S325" s="19">
        <f t="shared" ref="S325:S388" si="116">Q325+R325</f>
        <v>0</v>
      </c>
      <c r="T325" s="20">
        <f t="shared" ref="T325:T388" si="117">IF(A325&lt;HlpChangeDate,HlpSharePre,HlpSharePost)</f>
        <v>0.03</v>
      </c>
      <c r="U325" s="19">
        <f t="shared" ref="U325:U388" si="118">S325*T325/(1-T325)</f>
        <v>0</v>
      </c>
      <c r="V325" s="18"/>
      <c r="W325" s="19">
        <f t="shared" ref="W325:W388" si="119">U325-V325</f>
        <v>0</v>
      </c>
      <c r="X325" s="19">
        <f t="shared" ref="X325:X388" si="120">Y325+Z325</f>
        <v>0</v>
      </c>
      <c r="Y325" s="18"/>
      <c r="Z325" s="18"/>
      <c r="AA325" s="19">
        <f t="shared" ref="AA325:AA388" si="121">X325-V325</f>
        <v>0</v>
      </c>
      <c r="AB325" s="17">
        <v>0</v>
      </c>
      <c r="AC325" s="18"/>
      <c r="AD325" s="18"/>
      <c r="AE325" s="22">
        <f t="shared" ref="AE325:AE388" si="122">IFERROR(AB325/AD325,0)</f>
        <v>0</v>
      </c>
      <c r="AF325" s="23">
        <f t="shared" ref="AF325:AF388" si="123">K325-S325-X325</f>
        <v>0</v>
      </c>
      <c r="AG325" s="23">
        <f t="shared" ref="AG325:AG388" si="124">S325-AB325</f>
        <v>0</v>
      </c>
      <c r="AH325" s="18"/>
      <c r="AI325" s="24">
        <f t="shared" ref="AI325:AI388" si="125">IFERROR(AH325/S325,0)</f>
        <v>0</v>
      </c>
      <c r="AJ325" s="25">
        <v>0</v>
      </c>
      <c r="AK325" s="24">
        <f t="shared" ref="AK325:AK388" si="126">IF(AJ325&gt;0,AprCoef/SQRT(AJ325),0)</f>
        <v>0</v>
      </c>
      <c r="AL325" s="22">
        <f t="shared" ref="AL325:AL388" si="127">AJ325*AK325/365</f>
        <v>0</v>
      </c>
      <c r="AM325" s="22">
        <f t="shared" ref="AM325:AM388" si="128">AE325</f>
        <v>0</v>
      </c>
      <c r="AN325" s="22">
        <f t="shared" ref="AN325:AN388" si="129">AL325-AM325</f>
        <v>0</v>
      </c>
      <c r="AO325" s="26" t="str">
        <f t="shared" ref="AO325:AO388" si="130">IF(A325&gt;=Hip3LaunchDate,"YES","")</f>
        <v/>
      </c>
      <c r="AP325" s="26" t="str">
        <f t="shared" ref="AP325:AP388" si="131">IF(A325&lt;Hip4LaunchDate,"pre-launch","live (zero-fee)")</f>
        <v>pre-launch</v>
      </c>
      <c r="AQ325" s="18"/>
      <c r="AR325" s="18"/>
    </row>
    <row r="326" spans="1:44" x14ac:dyDescent="0.25">
      <c r="A326" s="43">
        <v>45387</v>
      </c>
      <c r="B326" s="17">
        <v>1351180214.96</v>
      </c>
      <c r="C326" s="17">
        <v>0</v>
      </c>
      <c r="D326" s="18"/>
      <c r="E326" s="19">
        <f t="shared" si="110"/>
        <v>1351180214.96</v>
      </c>
      <c r="F326" s="19">
        <f t="shared" si="111"/>
        <v>1351180214.96</v>
      </c>
      <c r="G326" s="20">
        <f t="shared" si="112"/>
        <v>0</v>
      </c>
      <c r="H326" s="18"/>
      <c r="I326" s="18"/>
      <c r="J326" s="18"/>
      <c r="K326" s="19">
        <f t="shared" si="113"/>
        <v>0</v>
      </c>
      <c r="L326" s="18"/>
      <c r="M326" s="18"/>
      <c r="N326" s="18"/>
      <c r="O326" s="19">
        <f t="shared" si="114"/>
        <v>0</v>
      </c>
      <c r="P326" s="21">
        <f t="shared" si="115"/>
        <v>0</v>
      </c>
      <c r="Q326" s="18"/>
      <c r="R326" s="18"/>
      <c r="S326" s="19">
        <f t="shared" si="116"/>
        <v>0</v>
      </c>
      <c r="T326" s="20">
        <f t="shared" si="117"/>
        <v>0.03</v>
      </c>
      <c r="U326" s="19">
        <f t="shared" si="118"/>
        <v>0</v>
      </c>
      <c r="V326" s="18"/>
      <c r="W326" s="19">
        <f t="shared" si="119"/>
        <v>0</v>
      </c>
      <c r="X326" s="19">
        <f t="shared" si="120"/>
        <v>0</v>
      </c>
      <c r="Y326" s="18"/>
      <c r="Z326" s="18"/>
      <c r="AA326" s="19">
        <f t="shared" si="121"/>
        <v>0</v>
      </c>
      <c r="AB326" s="17">
        <v>0</v>
      </c>
      <c r="AC326" s="18"/>
      <c r="AD326" s="18"/>
      <c r="AE326" s="22">
        <f t="shared" si="122"/>
        <v>0</v>
      </c>
      <c r="AF326" s="23">
        <f t="shared" si="123"/>
        <v>0</v>
      </c>
      <c r="AG326" s="23">
        <f t="shared" si="124"/>
        <v>0</v>
      </c>
      <c r="AH326" s="18"/>
      <c r="AI326" s="24">
        <f t="shared" si="125"/>
        <v>0</v>
      </c>
      <c r="AJ326" s="25">
        <v>0</v>
      </c>
      <c r="AK326" s="24">
        <f t="shared" si="126"/>
        <v>0</v>
      </c>
      <c r="AL326" s="22">
        <f t="shared" si="127"/>
        <v>0</v>
      </c>
      <c r="AM326" s="22">
        <f t="shared" si="128"/>
        <v>0</v>
      </c>
      <c r="AN326" s="22">
        <f t="shared" si="129"/>
        <v>0</v>
      </c>
      <c r="AO326" s="26" t="str">
        <f t="shared" si="130"/>
        <v/>
      </c>
      <c r="AP326" s="26" t="str">
        <f t="shared" si="131"/>
        <v>pre-launch</v>
      </c>
      <c r="AQ326" s="18"/>
      <c r="AR326" s="18"/>
    </row>
    <row r="327" spans="1:44" x14ac:dyDescent="0.25">
      <c r="A327" s="43">
        <v>45388</v>
      </c>
      <c r="B327" s="17">
        <v>923812713.59000003</v>
      </c>
      <c r="C327" s="17">
        <v>0</v>
      </c>
      <c r="D327" s="18"/>
      <c r="E327" s="19">
        <f t="shared" si="110"/>
        <v>923812713.59000003</v>
      </c>
      <c r="F327" s="19">
        <f t="shared" si="111"/>
        <v>923812713.59000003</v>
      </c>
      <c r="G327" s="20">
        <f t="shared" si="112"/>
        <v>0</v>
      </c>
      <c r="H327" s="18"/>
      <c r="I327" s="18"/>
      <c r="J327" s="18"/>
      <c r="K327" s="19">
        <f t="shared" si="113"/>
        <v>0</v>
      </c>
      <c r="L327" s="18"/>
      <c r="M327" s="18"/>
      <c r="N327" s="18"/>
      <c r="O327" s="19">
        <f t="shared" si="114"/>
        <v>0</v>
      </c>
      <c r="P327" s="21">
        <f t="shared" si="115"/>
        <v>0</v>
      </c>
      <c r="Q327" s="18"/>
      <c r="R327" s="18"/>
      <c r="S327" s="19">
        <f t="shared" si="116"/>
        <v>0</v>
      </c>
      <c r="T327" s="20">
        <f t="shared" si="117"/>
        <v>0.03</v>
      </c>
      <c r="U327" s="19">
        <f t="shared" si="118"/>
        <v>0</v>
      </c>
      <c r="V327" s="18"/>
      <c r="W327" s="19">
        <f t="shared" si="119"/>
        <v>0</v>
      </c>
      <c r="X327" s="19">
        <f t="shared" si="120"/>
        <v>0</v>
      </c>
      <c r="Y327" s="18"/>
      <c r="Z327" s="18"/>
      <c r="AA327" s="19">
        <f t="shared" si="121"/>
        <v>0</v>
      </c>
      <c r="AB327" s="17">
        <v>0</v>
      </c>
      <c r="AC327" s="18"/>
      <c r="AD327" s="18"/>
      <c r="AE327" s="22">
        <f t="shared" si="122"/>
        <v>0</v>
      </c>
      <c r="AF327" s="23">
        <f t="shared" si="123"/>
        <v>0</v>
      </c>
      <c r="AG327" s="23">
        <f t="shared" si="124"/>
        <v>0</v>
      </c>
      <c r="AH327" s="18"/>
      <c r="AI327" s="24">
        <f t="shared" si="125"/>
        <v>0</v>
      </c>
      <c r="AJ327" s="25">
        <v>0</v>
      </c>
      <c r="AK327" s="24">
        <f t="shared" si="126"/>
        <v>0</v>
      </c>
      <c r="AL327" s="22">
        <f t="shared" si="127"/>
        <v>0</v>
      </c>
      <c r="AM327" s="22">
        <f t="shared" si="128"/>
        <v>0</v>
      </c>
      <c r="AN327" s="22">
        <f t="shared" si="129"/>
        <v>0</v>
      </c>
      <c r="AO327" s="26" t="str">
        <f t="shared" si="130"/>
        <v/>
      </c>
      <c r="AP327" s="26" t="str">
        <f t="shared" si="131"/>
        <v>pre-launch</v>
      </c>
      <c r="AQ327" s="18"/>
      <c r="AR327" s="18"/>
    </row>
    <row r="328" spans="1:44" x14ac:dyDescent="0.25">
      <c r="A328" s="43">
        <v>45389</v>
      </c>
      <c r="B328" s="17">
        <v>1007509083.85</v>
      </c>
      <c r="C328" s="17">
        <v>0</v>
      </c>
      <c r="D328" s="18"/>
      <c r="E328" s="19">
        <f t="shared" si="110"/>
        <v>1007509083.85</v>
      </c>
      <c r="F328" s="19">
        <f t="shared" si="111"/>
        <v>1007509083.85</v>
      </c>
      <c r="G328" s="20">
        <f t="shared" si="112"/>
        <v>0</v>
      </c>
      <c r="H328" s="18"/>
      <c r="I328" s="18"/>
      <c r="J328" s="18"/>
      <c r="K328" s="19">
        <f t="shared" si="113"/>
        <v>0</v>
      </c>
      <c r="L328" s="18"/>
      <c r="M328" s="18"/>
      <c r="N328" s="18"/>
      <c r="O328" s="19">
        <f t="shared" si="114"/>
        <v>0</v>
      </c>
      <c r="P328" s="21">
        <f t="shared" si="115"/>
        <v>0</v>
      </c>
      <c r="Q328" s="18"/>
      <c r="R328" s="18"/>
      <c r="S328" s="19">
        <f t="shared" si="116"/>
        <v>0</v>
      </c>
      <c r="T328" s="20">
        <f t="shared" si="117"/>
        <v>0.03</v>
      </c>
      <c r="U328" s="19">
        <f t="shared" si="118"/>
        <v>0</v>
      </c>
      <c r="V328" s="18"/>
      <c r="W328" s="19">
        <f t="shared" si="119"/>
        <v>0</v>
      </c>
      <c r="X328" s="19">
        <f t="shared" si="120"/>
        <v>0</v>
      </c>
      <c r="Y328" s="18"/>
      <c r="Z328" s="18"/>
      <c r="AA328" s="19">
        <f t="shared" si="121"/>
        <v>0</v>
      </c>
      <c r="AB328" s="17">
        <v>0</v>
      </c>
      <c r="AC328" s="18"/>
      <c r="AD328" s="18"/>
      <c r="AE328" s="22">
        <f t="shared" si="122"/>
        <v>0</v>
      </c>
      <c r="AF328" s="23">
        <f t="shared" si="123"/>
        <v>0</v>
      </c>
      <c r="AG328" s="23">
        <f t="shared" si="124"/>
        <v>0</v>
      </c>
      <c r="AH328" s="18"/>
      <c r="AI328" s="24">
        <f t="shared" si="125"/>
        <v>0</v>
      </c>
      <c r="AJ328" s="25">
        <v>0</v>
      </c>
      <c r="AK328" s="24">
        <f t="shared" si="126"/>
        <v>0</v>
      </c>
      <c r="AL328" s="22">
        <f t="shared" si="127"/>
        <v>0</v>
      </c>
      <c r="AM328" s="22">
        <f t="shared" si="128"/>
        <v>0</v>
      </c>
      <c r="AN328" s="22">
        <f t="shared" si="129"/>
        <v>0</v>
      </c>
      <c r="AO328" s="26" t="str">
        <f t="shared" si="130"/>
        <v/>
      </c>
      <c r="AP328" s="26" t="str">
        <f t="shared" si="131"/>
        <v>pre-launch</v>
      </c>
      <c r="AQ328" s="18"/>
      <c r="AR328" s="18"/>
    </row>
    <row r="329" spans="1:44" x14ac:dyDescent="0.25">
      <c r="A329" s="43">
        <v>45390</v>
      </c>
      <c r="B329" s="17">
        <v>1845482693.74</v>
      </c>
      <c r="C329" s="17">
        <v>0</v>
      </c>
      <c r="D329" s="18"/>
      <c r="E329" s="19">
        <f t="shared" si="110"/>
        <v>1845482693.74</v>
      </c>
      <c r="F329" s="19">
        <f t="shared" si="111"/>
        <v>1845482693.74</v>
      </c>
      <c r="G329" s="20">
        <f t="shared" si="112"/>
        <v>0</v>
      </c>
      <c r="H329" s="18"/>
      <c r="I329" s="18"/>
      <c r="J329" s="18"/>
      <c r="K329" s="19">
        <f t="shared" si="113"/>
        <v>0</v>
      </c>
      <c r="L329" s="18"/>
      <c r="M329" s="18"/>
      <c r="N329" s="18"/>
      <c r="O329" s="19">
        <f t="shared" si="114"/>
        <v>0</v>
      </c>
      <c r="P329" s="21">
        <f t="shared" si="115"/>
        <v>0</v>
      </c>
      <c r="Q329" s="18"/>
      <c r="R329" s="18"/>
      <c r="S329" s="19">
        <f t="shared" si="116"/>
        <v>0</v>
      </c>
      <c r="T329" s="20">
        <f t="shared" si="117"/>
        <v>0.03</v>
      </c>
      <c r="U329" s="19">
        <f t="shared" si="118"/>
        <v>0</v>
      </c>
      <c r="V329" s="18"/>
      <c r="W329" s="19">
        <f t="shared" si="119"/>
        <v>0</v>
      </c>
      <c r="X329" s="19">
        <f t="shared" si="120"/>
        <v>0</v>
      </c>
      <c r="Y329" s="18"/>
      <c r="Z329" s="18"/>
      <c r="AA329" s="19">
        <f t="shared" si="121"/>
        <v>0</v>
      </c>
      <c r="AB329" s="17">
        <v>0</v>
      </c>
      <c r="AC329" s="18"/>
      <c r="AD329" s="18"/>
      <c r="AE329" s="22">
        <f t="shared" si="122"/>
        <v>0</v>
      </c>
      <c r="AF329" s="23">
        <f t="shared" si="123"/>
        <v>0</v>
      </c>
      <c r="AG329" s="23">
        <f t="shared" si="124"/>
        <v>0</v>
      </c>
      <c r="AH329" s="18"/>
      <c r="AI329" s="24">
        <f t="shared" si="125"/>
        <v>0</v>
      </c>
      <c r="AJ329" s="25">
        <v>0</v>
      </c>
      <c r="AK329" s="24">
        <f t="shared" si="126"/>
        <v>0</v>
      </c>
      <c r="AL329" s="22">
        <f t="shared" si="127"/>
        <v>0</v>
      </c>
      <c r="AM329" s="22">
        <f t="shared" si="128"/>
        <v>0</v>
      </c>
      <c r="AN329" s="22">
        <f t="shared" si="129"/>
        <v>0</v>
      </c>
      <c r="AO329" s="26" t="str">
        <f t="shared" si="130"/>
        <v/>
      </c>
      <c r="AP329" s="26" t="str">
        <f t="shared" si="131"/>
        <v>pre-launch</v>
      </c>
      <c r="AQ329" s="18"/>
      <c r="AR329" s="18"/>
    </row>
    <row r="330" spans="1:44" x14ac:dyDescent="0.25">
      <c r="A330" s="43">
        <v>45391</v>
      </c>
      <c r="B330" s="17">
        <v>2072995144.25</v>
      </c>
      <c r="C330" s="17">
        <v>0</v>
      </c>
      <c r="D330" s="18"/>
      <c r="E330" s="19">
        <f t="shared" si="110"/>
        <v>2072995144.25</v>
      </c>
      <c r="F330" s="19">
        <f t="shared" si="111"/>
        <v>2072995144.25</v>
      </c>
      <c r="G330" s="20">
        <f t="shared" si="112"/>
        <v>0</v>
      </c>
      <c r="H330" s="18"/>
      <c r="I330" s="18"/>
      <c r="J330" s="18"/>
      <c r="K330" s="19">
        <f t="shared" si="113"/>
        <v>0</v>
      </c>
      <c r="L330" s="18"/>
      <c r="M330" s="18"/>
      <c r="N330" s="18"/>
      <c r="O330" s="19">
        <f t="shared" si="114"/>
        <v>0</v>
      </c>
      <c r="P330" s="21">
        <f t="shared" si="115"/>
        <v>0</v>
      </c>
      <c r="Q330" s="18"/>
      <c r="R330" s="18"/>
      <c r="S330" s="19">
        <f t="shared" si="116"/>
        <v>0</v>
      </c>
      <c r="T330" s="20">
        <f t="shared" si="117"/>
        <v>0.03</v>
      </c>
      <c r="U330" s="19">
        <f t="shared" si="118"/>
        <v>0</v>
      </c>
      <c r="V330" s="18"/>
      <c r="W330" s="19">
        <f t="shared" si="119"/>
        <v>0</v>
      </c>
      <c r="X330" s="19">
        <f t="shared" si="120"/>
        <v>0</v>
      </c>
      <c r="Y330" s="18"/>
      <c r="Z330" s="18"/>
      <c r="AA330" s="19">
        <f t="shared" si="121"/>
        <v>0</v>
      </c>
      <c r="AB330" s="17">
        <v>0</v>
      </c>
      <c r="AC330" s="18"/>
      <c r="AD330" s="18"/>
      <c r="AE330" s="22">
        <f t="shared" si="122"/>
        <v>0</v>
      </c>
      <c r="AF330" s="23">
        <f t="shared" si="123"/>
        <v>0</v>
      </c>
      <c r="AG330" s="23">
        <f t="shared" si="124"/>
        <v>0</v>
      </c>
      <c r="AH330" s="18"/>
      <c r="AI330" s="24">
        <f t="shared" si="125"/>
        <v>0</v>
      </c>
      <c r="AJ330" s="25">
        <v>0</v>
      </c>
      <c r="AK330" s="24">
        <f t="shared" si="126"/>
        <v>0</v>
      </c>
      <c r="AL330" s="22">
        <f t="shared" si="127"/>
        <v>0</v>
      </c>
      <c r="AM330" s="22">
        <f t="shared" si="128"/>
        <v>0</v>
      </c>
      <c r="AN330" s="22">
        <f t="shared" si="129"/>
        <v>0</v>
      </c>
      <c r="AO330" s="26" t="str">
        <f t="shared" si="130"/>
        <v/>
      </c>
      <c r="AP330" s="26" t="str">
        <f t="shared" si="131"/>
        <v>pre-launch</v>
      </c>
      <c r="AQ330" s="18"/>
      <c r="AR330" s="18"/>
    </row>
    <row r="331" spans="1:44" x14ac:dyDescent="0.25">
      <c r="A331" s="43">
        <v>45392</v>
      </c>
      <c r="B331" s="17">
        <v>1563490113.3199999</v>
      </c>
      <c r="C331" s="17">
        <v>0</v>
      </c>
      <c r="D331" s="18"/>
      <c r="E331" s="19">
        <f t="shared" si="110"/>
        <v>1563490113.3199999</v>
      </c>
      <c r="F331" s="19">
        <f t="shared" si="111"/>
        <v>1563490113.3199999</v>
      </c>
      <c r="G331" s="20">
        <f t="shared" si="112"/>
        <v>0</v>
      </c>
      <c r="H331" s="18"/>
      <c r="I331" s="18"/>
      <c r="J331" s="18"/>
      <c r="K331" s="19">
        <f t="shared" si="113"/>
        <v>0</v>
      </c>
      <c r="L331" s="18"/>
      <c r="M331" s="18"/>
      <c r="N331" s="18"/>
      <c r="O331" s="19">
        <f t="shared" si="114"/>
        <v>0</v>
      </c>
      <c r="P331" s="21">
        <f t="shared" si="115"/>
        <v>0</v>
      </c>
      <c r="Q331" s="18"/>
      <c r="R331" s="18"/>
      <c r="S331" s="19">
        <f t="shared" si="116"/>
        <v>0</v>
      </c>
      <c r="T331" s="20">
        <f t="shared" si="117"/>
        <v>0.03</v>
      </c>
      <c r="U331" s="19">
        <f t="shared" si="118"/>
        <v>0</v>
      </c>
      <c r="V331" s="18"/>
      <c r="W331" s="19">
        <f t="shared" si="119"/>
        <v>0</v>
      </c>
      <c r="X331" s="19">
        <f t="shared" si="120"/>
        <v>0</v>
      </c>
      <c r="Y331" s="18"/>
      <c r="Z331" s="18"/>
      <c r="AA331" s="19">
        <f t="shared" si="121"/>
        <v>0</v>
      </c>
      <c r="AB331" s="17">
        <v>0</v>
      </c>
      <c r="AC331" s="18"/>
      <c r="AD331" s="18"/>
      <c r="AE331" s="22">
        <f t="shared" si="122"/>
        <v>0</v>
      </c>
      <c r="AF331" s="23">
        <f t="shared" si="123"/>
        <v>0</v>
      </c>
      <c r="AG331" s="23">
        <f t="shared" si="124"/>
        <v>0</v>
      </c>
      <c r="AH331" s="18"/>
      <c r="AI331" s="24">
        <f t="shared" si="125"/>
        <v>0</v>
      </c>
      <c r="AJ331" s="25">
        <v>0</v>
      </c>
      <c r="AK331" s="24">
        <f t="shared" si="126"/>
        <v>0</v>
      </c>
      <c r="AL331" s="22">
        <f t="shared" si="127"/>
        <v>0</v>
      </c>
      <c r="AM331" s="22">
        <f t="shared" si="128"/>
        <v>0</v>
      </c>
      <c r="AN331" s="22">
        <f t="shared" si="129"/>
        <v>0</v>
      </c>
      <c r="AO331" s="26" t="str">
        <f t="shared" si="130"/>
        <v/>
      </c>
      <c r="AP331" s="26" t="str">
        <f t="shared" si="131"/>
        <v>pre-launch</v>
      </c>
      <c r="AQ331" s="18"/>
      <c r="AR331" s="18"/>
    </row>
    <row r="332" spans="1:44" x14ac:dyDescent="0.25">
      <c r="A332" s="43">
        <v>45393</v>
      </c>
      <c r="B332" s="17">
        <v>1404940758.28</v>
      </c>
      <c r="C332" s="17">
        <v>0</v>
      </c>
      <c r="D332" s="18"/>
      <c r="E332" s="19">
        <f t="shared" si="110"/>
        <v>1404940758.28</v>
      </c>
      <c r="F332" s="19">
        <f t="shared" si="111"/>
        <v>1404940758.28</v>
      </c>
      <c r="G332" s="20">
        <f t="shared" si="112"/>
        <v>0</v>
      </c>
      <c r="H332" s="18"/>
      <c r="I332" s="18"/>
      <c r="J332" s="18"/>
      <c r="K332" s="19">
        <f t="shared" si="113"/>
        <v>0</v>
      </c>
      <c r="L332" s="18"/>
      <c r="M332" s="18"/>
      <c r="N332" s="18"/>
      <c r="O332" s="19">
        <f t="shared" si="114"/>
        <v>0</v>
      </c>
      <c r="P332" s="21">
        <f t="shared" si="115"/>
        <v>0</v>
      </c>
      <c r="Q332" s="18"/>
      <c r="R332" s="18"/>
      <c r="S332" s="19">
        <f t="shared" si="116"/>
        <v>0</v>
      </c>
      <c r="T332" s="20">
        <f t="shared" si="117"/>
        <v>0.03</v>
      </c>
      <c r="U332" s="19">
        <f t="shared" si="118"/>
        <v>0</v>
      </c>
      <c r="V332" s="18"/>
      <c r="W332" s="19">
        <f t="shared" si="119"/>
        <v>0</v>
      </c>
      <c r="X332" s="19">
        <f t="shared" si="120"/>
        <v>0</v>
      </c>
      <c r="Y332" s="18"/>
      <c r="Z332" s="18"/>
      <c r="AA332" s="19">
        <f t="shared" si="121"/>
        <v>0</v>
      </c>
      <c r="AB332" s="17">
        <v>0</v>
      </c>
      <c r="AC332" s="18"/>
      <c r="AD332" s="18"/>
      <c r="AE332" s="22">
        <f t="shared" si="122"/>
        <v>0</v>
      </c>
      <c r="AF332" s="23">
        <f t="shared" si="123"/>
        <v>0</v>
      </c>
      <c r="AG332" s="23">
        <f t="shared" si="124"/>
        <v>0</v>
      </c>
      <c r="AH332" s="18"/>
      <c r="AI332" s="24">
        <f t="shared" si="125"/>
        <v>0</v>
      </c>
      <c r="AJ332" s="25">
        <v>0</v>
      </c>
      <c r="AK332" s="24">
        <f t="shared" si="126"/>
        <v>0</v>
      </c>
      <c r="AL332" s="22">
        <f t="shared" si="127"/>
        <v>0</v>
      </c>
      <c r="AM332" s="22">
        <f t="shared" si="128"/>
        <v>0</v>
      </c>
      <c r="AN332" s="22">
        <f t="shared" si="129"/>
        <v>0</v>
      </c>
      <c r="AO332" s="26" t="str">
        <f t="shared" si="130"/>
        <v/>
      </c>
      <c r="AP332" s="26" t="str">
        <f t="shared" si="131"/>
        <v>pre-launch</v>
      </c>
      <c r="AQ332" s="18"/>
      <c r="AR332" s="18"/>
    </row>
    <row r="333" spans="1:44" x14ac:dyDescent="0.25">
      <c r="A333" s="43">
        <v>45394</v>
      </c>
      <c r="B333" s="17">
        <v>2317352311.1100001</v>
      </c>
      <c r="C333" s="17">
        <v>0</v>
      </c>
      <c r="D333" s="18"/>
      <c r="E333" s="19">
        <f t="shared" si="110"/>
        <v>2317352311.1100001</v>
      </c>
      <c r="F333" s="19">
        <f t="shared" si="111"/>
        <v>2317352311.1100001</v>
      </c>
      <c r="G333" s="20">
        <f t="shared" si="112"/>
        <v>0</v>
      </c>
      <c r="H333" s="18"/>
      <c r="I333" s="18"/>
      <c r="J333" s="18"/>
      <c r="K333" s="19">
        <f t="shared" si="113"/>
        <v>0</v>
      </c>
      <c r="L333" s="18"/>
      <c r="M333" s="18"/>
      <c r="N333" s="18"/>
      <c r="O333" s="19">
        <f t="shared" si="114"/>
        <v>0</v>
      </c>
      <c r="P333" s="21">
        <f t="shared" si="115"/>
        <v>0</v>
      </c>
      <c r="Q333" s="18"/>
      <c r="R333" s="18"/>
      <c r="S333" s="19">
        <f t="shared" si="116"/>
        <v>0</v>
      </c>
      <c r="T333" s="20">
        <f t="shared" si="117"/>
        <v>0.03</v>
      </c>
      <c r="U333" s="19">
        <f t="shared" si="118"/>
        <v>0</v>
      </c>
      <c r="V333" s="18"/>
      <c r="W333" s="19">
        <f t="shared" si="119"/>
        <v>0</v>
      </c>
      <c r="X333" s="19">
        <f t="shared" si="120"/>
        <v>0</v>
      </c>
      <c r="Y333" s="18"/>
      <c r="Z333" s="18"/>
      <c r="AA333" s="19">
        <f t="shared" si="121"/>
        <v>0</v>
      </c>
      <c r="AB333" s="17">
        <v>0</v>
      </c>
      <c r="AC333" s="18"/>
      <c r="AD333" s="18"/>
      <c r="AE333" s="22">
        <f t="shared" si="122"/>
        <v>0</v>
      </c>
      <c r="AF333" s="23">
        <f t="shared" si="123"/>
        <v>0</v>
      </c>
      <c r="AG333" s="23">
        <f t="shared" si="124"/>
        <v>0</v>
      </c>
      <c r="AH333" s="18"/>
      <c r="AI333" s="24">
        <f t="shared" si="125"/>
        <v>0</v>
      </c>
      <c r="AJ333" s="25">
        <v>0</v>
      </c>
      <c r="AK333" s="24">
        <f t="shared" si="126"/>
        <v>0</v>
      </c>
      <c r="AL333" s="22">
        <f t="shared" si="127"/>
        <v>0</v>
      </c>
      <c r="AM333" s="22">
        <f t="shared" si="128"/>
        <v>0</v>
      </c>
      <c r="AN333" s="22">
        <f t="shared" si="129"/>
        <v>0</v>
      </c>
      <c r="AO333" s="26" t="str">
        <f t="shared" si="130"/>
        <v/>
      </c>
      <c r="AP333" s="26" t="str">
        <f t="shared" si="131"/>
        <v>pre-launch</v>
      </c>
      <c r="AQ333" s="18"/>
      <c r="AR333" s="18"/>
    </row>
    <row r="334" spans="1:44" x14ac:dyDescent="0.25">
      <c r="A334" s="43">
        <v>45395</v>
      </c>
      <c r="B334" s="17">
        <v>2691265991.3600001</v>
      </c>
      <c r="C334" s="17">
        <v>0</v>
      </c>
      <c r="D334" s="18"/>
      <c r="E334" s="19">
        <f t="shared" si="110"/>
        <v>2691265991.3600001</v>
      </c>
      <c r="F334" s="19">
        <f t="shared" si="111"/>
        <v>2691265991.3600001</v>
      </c>
      <c r="G334" s="20">
        <f t="shared" si="112"/>
        <v>0</v>
      </c>
      <c r="H334" s="18"/>
      <c r="I334" s="18"/>
      <c r="J334" s="18"/>
      <c r="K334" s="19">
        <f t="shared" si="113"/>
        <v>0</v>
      </c>
      <c r="L334" s="18"/>
      <c r="M334" s="18"/>
      <c r="N334" s="18"/>
      <c r="O334" s="19">
        <f t="shared" si="114"/>
        <v>0</v>
      </c>
      <c r="P334" s="21">
        <f t="shared" si="115"/>
        <v>0</v>
      </c>
      <c r="Q334" s="18"/>
      <c r="R334" s="18"/>
      <c r="S334" s="19">
        <f t="shared" si="116"/>
        <v>0</v>
      </c>
      <c r="T334" s="20">
        <f t="shared" si="117"/>
        <v>0.03</v>
      </c>
      <c r="U334" s="19">
        <f t="shared" si="118"/>
        <v>0</v>
      </c>
      <c r="V334" s="18"/>
      <c r="W334" s="19">
        <f t="shared" si="119"/>
        <v>0</v>
      </c>
      <c r="X334" s="19">
        <f t="shared" si="120"/>
        <v>0</v>
      </c>
      <c r="Y334" s="18"/>
      <c r="Z334" s="18"/>
      <c r="AA334" s="19">
        <f t="shared" si="121"/>
        <v>0</v>
      </c>
      <c r="AB334" s="17">
        <v>0</v>
      </c>
      <c r="AC334" s="18"/>
      <c r="AD334" s="18"/>
      <c r="AE334" s="22">
        <f t="shared" si="122"/>
        <v>0</v>
      </c>
      <c r="AF334" s="23">
        <f t="shared" si="123"/>
        <v>0</v>
      </c>
      <c r="AG334" s="23">
        <f t="shared" si="124"/>
        <v>0</v>
      </c>
      <c r="AH334" s="18"/>
      <c r="AI334" s="24">
        <f t="shared" si="125"/>
        <v>0</v>
      </c>
      <c r="AJ334" s="25">
        <v>0</v>
      </c>
      <c r="AK334" s="24">
        <f t="shared" si="126"/>
        <v>0</v>
      </c>
      <c r="AL334" s="22">
        <f t="shared" si="127"/>
        <v>0</v>
      </c>
      <c r="AM334" s="22">
        <f t="shared" si="128"/>
        <v>0</v>
      </c>
      <c r="AN334" s="22">
        <f t="shared" si="129"/>
        <v>0</v>
      </c>
      <c r="AO334" s="26" t="str">
        <f t="shared" si="130"/>
        <v/>
      </c>
      <c r="AP334" s="26" t="str">
        <f t="shared" si="131"/>
        <v>pre-launch</v>
      </c>
      <c r="AQ334" s="18"/>
      <c r="AR334" s="18"/>
    </row>
    <row r="335" spans="1:44" x14ac:dyDescent="0.25">
      <c r="A335" s="43">
        <v>45396</v>
      </c>
      <c r="B335" s="17">
        <v>1839338310.54</v>
      </c>
      <c r="C335" s="17">
        <v>0</v>
      </c>
      <c r="D335" s="18"/>
      <c r="E335" s="19">
        <f t="shared" si="110"/>
        <v>1839338310.54</v>
      </c>
      <c r="F335" s="19">
        <f t="shared" si="111"/>
        <v>1839338310.54</v>
      </c>
      <c r="G335" s="20">
        <f t="shared" si="112"/>
        <v>0</v>
      </c>
      <c r="H335" s="18"/>
      <c r="I335" s="18"/>
      <c r="J335" s="18"/>
      <c r="K335" s="19">
        <f t="shared" si="113"/>
        <v>0</v>
      </c>
      <c r="L335" s="18"/>
      <c r="M335" s="18"/>
      <c r="N335" s="18"/>
      <c r="O335" s="19">
        <f t="shared" si="114"/>
        <v>0</v>
      </c>
      <c r="P335" s="21">
        <f t="shared" si="115"/>
        <v>0</v>
      </c>
      <c r="Q335" s="18"/>
      <c r="R335" s="18"/>
      <c r="S335" s="19">
        <f t="shared" si="116"/>
        <v>0</v>
      </c>
      <c r="T335" s="20">
        <f t="shared" si="117"/>
        <v>0.03</v>
      </c>
      <c r="U335" s="19">
        <f t="shared" si="118"/>
        <v>0</v>
      </c>
      <c r="V335" s="18"/>
      <c r="W335" s="19">
        <f t="shared" si="119"/>
        <v>0</v>
      </c>
      <c r="X335" s="19">
        <f t="shared" si="120"/>
        <v>0</v>
      </c>
      <c r="Y335" s="18"/>
      <c r="Z335" s="18"/>
      <c r="AA335" s="19">
        <f t="shared" si="121"/>
        <v>0</v>
      </c>
      <c r="AB335" s="17">
        <v>0</v>
      </c>
      <c r="AC335" s="18"/>
      <c r="AD335" s="18"/>
      <c r="AE335" s="22">
        <f t="shared" si="122"/>
        <v>0</v>
      </c>
      <c r="AF335" s="23">
        <f t="shared" si="123"/>
        <v>0</v>
      </c>
      <c r="AG335" s="23">
        <f t="shared" si="124"/>
        <v>0</v>
      </c>
      <c r="AH335" s="18"/>
      <c r="AI335" s="24">
        <f t="shared" si="125"/>
        <v>0</v>
      </c>
      <c r="AJ335" s="25">
        <v>0</v>
      </c>
      <c r="AK335" s="24">
        <f t="shared" si="126"/>
        <v>0</v>
      </c>
      <c r="AL335" s="22">
        <f t="shared" si="127"/>
        <v>0</v>
      </c>
      <c r="AM335" s="22">
        <f t="shared" si="128"/>
        <v>0</v>
      </c>
      <c r="AN335" s="22">
        <f t="shared" si="129"/>
        <v>0</v>
      </c>
      <c r="AO335" s="26" t="str">
        <f t="shared" si="130"/>
        <v/>
      </c>
      <c r="AP335" s="26" t="str">
        <f t="shared" si="131"/>
        <v>pre-launch</v>
      </c>
      <c r="AQ335" s="18"/>
      <c r="AR335" s="18"/>
    </row>
    <row r="336" spans="1:44" x14ac:dyDescent="0.25">
      <c r="A336" s="43">
        <v>45397</v>
      </c>
      <c r="B336" s="17">
        <v>1761054820.0599999</v>
      </c>
      <c r="C336" s="17">
        <v>0</v>
      </c>
      <c r="D336" s="18"/>
      <c r="E336" s="19">
        <f t="shared" si="110"/>
        <v>1761054820.0599999</v>
      </c>
      <c r="F336" s="19">
        <f t="shared" si="111"/>
        <v>1761054820.0599999</v>
      </c>
      <c r="G336" s="20">
        <f t="shared" si="112"/>
        <v>0</v>
      </c>
      <c r="H336" s="18"/>
      <c r="I336" s="18"/>
      <c r="J336" s="18"/>
      <c r="K336" s="19">
        <f t="shared" si="113"/>
        <v>0</v>
      </c>
      <c r="L336" s="18"/>
      <c r="M336" s="18"/>
      <c r="N336" s="18"/>
      <c r="O336" s="19">
        <f t="shared" si="114"/>
        <v>0</v>
      </c>
      <c r="P336" s="21">
        <f t="shared" si="115"/>
        <v>0</v>
      </c>
      <c r="Q336" s="18"/>
      <c r="R336" s="18"/>
      <c r="S336" s="19">
        <f t="shared" si="116"/>
        <v>0</v>
      </c>
      <c r="T336" s="20">
        <f t="shared" si="117"/>
        <v>0.03</v>
      </c>
      <c r="U336" s="19">
        <f t="shared" si="118"/>
        <v>0</v>
      </c>
      <c r="V336" s="18"/>
      <c r="W336" s="19">
        <f t="shared" si="119"/>
        <v>0</v>
      </c>
      <c r="X336" s="19">
        <f t="shared" si="120"/>
        <v>0</v>
      </c>
      <c r="Y336" s="18"/>
      <c r="Z336" s="18"/>
      <c r="AA336" s="19">
        <f t="shared" si="121"/>
        <v>0</v>
      </c>
      <c r="AB336" s="17">
        <v>0</v>
      </c>
      <c r="AC336" s="18"/>
      <c r="AD336" s="18"/>
      <c r="AE336" s="22">
        <f t="shared" si="122"/>
        <v>0</v>
      </c>
      <c r="AF336" s="23">
        <f t="shared" si="123"/>
        <v>0</v>
      </c>
      <c r="AG336" s="23">
        <f t="shared" si="124"/>
        <v>0</v>
      </c>
      <c r="AH336" s="18"/>
      <c r="AI336" s="24">
        <f t="shared" si="125"/>
        <v>0</v>
      </c>
      <c r="AJ336" s="25">
        <v>0</v>
      </c>
      <c r="AK336" s="24">
        <f t="shared" si="126"/>
        <v>0</v>
      </c>
      <c r="AL336" s="22">
        <f t="shared" si="127"/>
        <v>0</v>
      </c>
      <c r="AM336" s="22">
        <f t="shared" si="128"/>
        <v>0</v>
      </c>
      <c r="AN336" s="22">
        <f t="shared" si="129"/>
        <v>0</v>
      </c>
      <c r="AO336" s="26" t="str">
        <f t="shared" si="130"/>
        <v/>
      </c>
      <c r="AP336" s="26" t="str">
        <f t="shared" si="131"/>
        <v>pre-launch</v>
      </c>
      <c r="AQ336" s="18"/>
      <c r="AR336" s="18"/>
    </row>
    <row r="337" spans="1:44" x14ac:dyDescent="0.25">
      <c r="A337" s="43">
        <v>45398</v>
      </c>
      <c r="B337" s="17">
        <v>2443852257.9000001</v>
      </c>
      <c r="C337" s="17">
        <v>0</v>
      </c>
      <c r="D337" s="18"/>
      <c r="E337" s="19">
        <f t="shared" si="110"/>
        <v>2443852257.9000001</v>
      </c>
      <c r="F337" s="19">
        <f t="shared" si="111"/>
        <v>2443852257.9000001</v>
      </c>
      <c r="G337" s="20">
        <f t="shared" si="112"/>
        <v>0</v>
      </c>
      <c r="H337" s="18"/>
      <c r="I337" s="18"/>
      <c r="J337" s="18"/>
      <c r="K337" s="19">
        <f t="shared" si="113"/>
        <v>0</v>
      </c>
      <c r="L337" s="18"/>
      <c r="M337" s="18"/>
      <c r="N337" s="18"/>
      <c r="O337" s="19">
        <f t="shared" si="114"/>
        <v>0</v>
      </c>
      <c r="P337" s="21">
        <f t="shared" si="115"/>
        <v>0</v>
      </c>
      <c r="Q337" s="18"/>
      <c r="R337" s="18"/>
      <c r="S337" s="19">
        <f t="shared" si="116"/>
        <v>0</v>
      </c>
      <c r="T337" s="20">
        <f t="shared" si="117"/>
        <v>0.03</v>
      </c>
      <c r="U337" s="19">
        <f t="shared" si="118"/>
        <v>0</v>
      </c>
      <c r="V337" s="18"/>
      <c r="W337" s="19">
        <f t="shared" si="119"/>
        <v>0</v>
      </c>
      <c r="X337" s="19">
        <f t="shared" si="120"/>
        <v>0</v>
      </c>
      <c r="Y337" s="18"/>
      <c r="Z337" s="18"/>
      <c r="AA337" s="19">
        <f t="shared" si="121"/>
        <v>0</v>
      </c>
      <c r="AB337" s="17">
        <v>0</v>
      </c>
      <c r="AC337" s="18"/>
      <c r="AD337" s="18"/>
      <c r="AE337" s="22">
        <f t="shared" si="122"/>
        <v>0</v>
      </c>
      <c r="AF337" s="23">
        <f t="shared" si="123"/>
        <v>0</v>
      </c>
      <c r="AG337" s="23">
        <f t="shared" si="124"/>
        <v>0</v>
      </c>
      <c r="AH337" s="18"/>
      <c r="AI337" s="24">
        <f t="shared" si="125"/>
        <v>0</v>
      </c>
      <c r="AJ337" s="25">
        <v>0</v>
      </c>
      <c r="AK337" s="24">
        <f t="shared" si="126"/>
        <v>0</v>
      </c>
      <c r="AL337" s="22">
        <f t="shared" si="127"/>
        <v>0</v>
      </c>
      <c r="AM337" s="22">
        <f t="shared" si="128"/>
        <v>0</v>
      </c>
      <c r="AN337" s="22">
        <f t="shared" si="129"/>
        <v>0</v>
      </c>
      <c r="AO337" s="26" t="str">
        <f t="shared" si="130"/>
        <v/>
      </c>
      <c r="AP337" s="26" t="str">
        <f t="shared" si="131"/>
        <v>pre-launch</v>
      </c>
      <c r="AQ337" s="18"/>
      <c r="AR337" s="18"/>
    </row>
    <row r="338" spans="1:44" x14ac:dyDescent="0.25">
      <c r="A338" s="43">
        <v>45399</v>
      </c>
      <c r="B338" s="17">
        <v>1920656672.0899999</v>
      </c>
      <c r="C338" s="17">
        <v>0</v>
      </c>
      <c r="D338" s="18"/>
      <c r="E338" s="19">
        <f t="shared" si="110"/>
        <v>1920656672.0899999</v>
      </c>
      <c r="F338" s="19">
        <f t="shared" si="111"/>
        <v>1920656672.0899999</v>
      </c>
      <c r="G338" s="20">
        <f t="shared" si="112"/>
        <v>0</v>
      </c>
      <c r="H338" s="18"/>
      <c r="I338" s="18"/>
      <c r="J338" s="18"/>
      <c r="K338" s="19">
        <f t="shared" si="113"/>
        <v>0</v>
      </c>
      <c r="L338" s="18"/>
      <c r="M338" s="18"/>
      <c r="N338" s="18"/>
      <c r="O338" s="19">
        <f t="shared" si="114"/>
        <v>0</v>
      </c>
      <c r="P338" s="21">
        <f t="shared" si="115"/>
        <v>0</v>
      </c>
      <c r="Q338" s="18"/>
      <c r="R338" s="18"/>
      <c r="S338" s="19">
        <f t="shared" si="116"/>
        <v>0</v>
      </c>
      <c r="T338" s="20">
        <f t="shared" si="117"/>
        <v>0.03</v>
      </c>
      <c r="U338" s="19">
        <f t="shared" si="118"/>
        <v>0</v>
      </c>
      <c r="V338" s="18"/>
      <c r="W338" s="19">
        <f t="shared" si="119"/>
        <v>0</v>
      </c>
      <c r="X338" s="19">
        <f t="shared" si="120"/>
        <v>0</v>
      </c>
      <c r="Y338" s="18"/>
      <c r="Z338" s="18"/>
      <c r="AA338" s="19">
        <f t="shared" si="121"/>
        <v>0</v>
      </c>
      <c r="AB338" s="17">
        <v>0</v>
      </c>
      <c r="AC338" s="18"/>
      <c r="AD338" s="18"/>
      <c r="AE338" s="22">
        <f t="shared" si="122"/>
        <v>0</v>
      </c>
      <c r="AF338" s="23">
        <f t="shared" si="123"/>
        <v>0</v>
      </c>
      <c r="AG338" s="23">
        <f t="shared" si="124"/>
        <v>0</v>
      </c>
      <c r="AH338" s="18"/>
      <c r="AI338" s="24">
        <f t="shared" si="125"/>
        <v>0</v>
      </c>
      <c r="AJ338" s="25">
        <v>0</v>
      </c>
      <c r="AK338" s="24">
        <f t="shared" si="126"/>
        <v>0</v>
      </c>
      <c r="AL338" s="22">
        <f t="shared" si="127"/>
        <v>0</v>
      </c>
      <c r="AM338" s="22">
        <f t="shared" si="128"/>
        <v>0</v>
      </c>
      <c r="AN338" s="22">
        <f t="shared" si="129"/>
        <v>0</v>
      </c>
      <c r="AO338" s="26" t="str">
        <f t="shared" si="130"/>
        <v/>
      </c>
      <c r="AP338" s="26" t="str">
        <f t="shared" si="131"/>
        <v>pre-launch</v>
      </c>
      <c r="AQ338" s="18"/>
      <c r="AR338" s="18"/>
    </row>
    <row r="339" spans="1:44" x14ac:dyDescent="0.25">
      <c r="A339" s="43">
        <v>45400</v>
      </c>
      <c r="B339" s="17">
        <v>1505402399.3599999</v>
      </c>
      <c r="C339" s="17">
        <v>0</v>
      </c>
      <c r="D339" s="18"/>
      <c r="E339" s="19">
        <f t="shared" si="110"/>
        <v>1505402399.3599999</v>
      </c>
      <c r="F339" s="19">
        <f t="shared" si="111"/>
        <v>1505402399.3599999</v>
      </c>
      <c r="G339" s="20">
        <f t="shared" si="112"/>
        <v>0</v>
      </c>
      <c r="H339" s="18"/>
      <c r="I339" s="18"/>
      <c r="J339" s="18"/>
      <c r="K339" s="19">
        <f t="shared" si="113"/>
        <v>0</v>
      </c>
      <c r="L339" s="18"/>
      <c r="M339" s="18"/>
      <c r="N339" s="18"/>
      <c r="O339" s="19">
        <f t="shared" si="114"/>
        <v>0</v>
      </c>
      <c r="P339" s="21">
        <f t="shared" si="115"/>
        <v>0</v>
      </c>
      <c r="Q339" s="18"/>
      <c r="R339" s="18"/>
      <c r="S339" s="19">
        <f t="shared" si="116"/>
        <v>0</v>
      </c>
      <c r="T339" s="20">
        <f t="shared" si="117"/>
        <v>0.03</v>
      </c>
      <c r="U339" s="19">
        <f t="shared" si="118"/>
        <v>0</v>
      </c>
      <c r="V339" s="18"/>
      <c r="W339" s="19">
        <f t="shared" si="119"/>
        <v>0</v>
      </c>
      <c r="X339" s="19">
        <f t="shared" si="120"/>
        <v>0</v>
      </c>
      <c r="Y339" s="18"/>
      <c r="Z339" s="18"/>
      <c r="AA339" s="19">
        <f t="shared" si="121"/>
        <v>0</v>
      </c>
      <c r="AB339" s="17">
        <v>0</v>
      </c>
      <c r="AC339" s="18"/>
      <c r="AD339" s="18"/>
      <c r="AE339" s="22">
        <f t="shared" si="122"/>
        <v>0</v>
      </c>
      <c r="AF339" s="23">
        <f t="shared" si="123"/>
        <v>0</v>
      </c>
      <c r="AG339" s="23">
        <f t="shared" si="124"/>
        <v>0</v>
      </c>
      <c r="AH339" s="18"/>
      <c r="AI339" s="24">
        <f t="shared" si="125"/>
        <v>0</v>
      </c>
      <c r="AJ339" s="25">
        <v>0</v>
      </c>
      <c r="AK339" s="24">
        <f t="shared" si="126"/>
        <v>0</v>
      </c>
      <c r="AL339" s="22">
        <f t="shared" si="127"/>
        <v>0</v>
      </c>
      <c r="AM339" s="22">
        <f t="shared" si="128"/>
        <v>0</v>
      </c>
      <c r="AN339" s="22">
        <f t="shared" si="129"/>
        <v>0</v>
      </c>
      <c r="AO339" s="26" t="str">
        <f t="shared" si="130"/>
        <v/>
      </c>
      <c r="AP339" s="26" t="str">
        <f t="shared" si="131"/>
        <v>pre-launch</v>
      </c>
      <c r="AQ339" s="18"/>
      <c r="AR339" s="18"/>
    </row>
    <row r="340" spans="1:44" x14ac:dyDescent="0.25">
      <c r="A340" s="43">
        <v>45401</v>
      </c>
      <c r="B340" s="17">
        <v>1842479035.1099999</v>
      </c>
      <c r="C340" s="17">
        <v>0</v>
      </c>
      <c r="D340" s="18"/>
      <c r="E340" s="19">
        <f t="shared" si="110"/>
        <v>1842479035.1099999</v>
      </c>
      <c r="F340" s="19">
        <f t="shared" si="111"/>
        <v>1842479035.1099999</v>
      </c>
      <c r="G340" s="20">
        <f t="shared" si="112"/>
        <v>0</v>
      </c>
      <c r="H340" s="18"/>
      <c r="I340" s="18"/>
      <c r="J340" s="18"/>
      <c r="K340" s="19">
        <f t="shared" si="113"/>
        <v>0</v>
      </c>
      <c r="L340" s="18"/>
      <c r="M340" s="18"/>
      <c r="N340" s="18"/>
      <c r="O340" s="19">
        <f t="shared" si="114"/>
        <v>0</v>
      </c>
      <c r="P340" s="21">
        <f t="shared" si="115"/>
        <v>0</v>
      </c>
      <c r="Q340" s="18"/>
      <c r="R340" s="18"/>
      <c r="S340" s="19">
        <f t="shared" si="116"/>
        <v>0</v>
      </c>
      <c r="T340" s="20">
        <f t="shared" si="117"/>
        <v>0.03</v>
      </c>
      <c r="U340" s="19">
        <f t="shared" si="118"/>
        <v>0</v>
      </c>
      <c r="V340" s="18"/>
      <c r="W340" s="19">
        <f t="shared" si="119"/>
        <v>0</v>
      </c>
      <c r="X340" s="19">
        <f t="shared" si="120"/>
        <v>0</v>
      </c>
      <c r="Y340" s="18"/>
      <c r="Z340" s="18"/>
      <c r="AA340" s="19">
        <f t="shared" si="121"/>
        <v>0</v>
      </c>
      <c r="AB340" s="17">
        <v>0</v>
      </c>
      <c r="AC340" s="18"/>
      <c r="AD340" s="18"/>
      <c r="AE340" s="22">
        <f t="shared" si="122"/>
        <v>0</v>
      </c>
      <c r="AF340" s="23">
        <f t="shared" si="123"/>
        <v>0</v>
      </c>
      <c r="AG340" s="23">
        <f t="shared" si="124"/>
        <v>0</v>
      </c>
      <c r="AH340" s="18"/>
      <c r="AI340" s="24">
        <f t="shared" si="125"/>
        <v>0</v>
      </c>
      <c r="AJ340" s="25">
        <v>0</v>
      </c>
      <c r="AK340" s="24">
        <f t="shared" si="126"/>
        <v>0</v>
      </c>
      <c r="AL340" s="22">
        <f t="shared" si="127"/>
        <v>0</v>
      </c>
      <c r="AM340" s="22">
        <f t="shared" si="128"/>
        <v>0</v>
      </c>
      <c r="AN340" s="22">
        <f t="shared" si="129"/>
        <v>0</v>
      </c>
      <c r="AO340" s="26" t="str">
        <f t="shared" si="130"/>
        <v/>
      </c>
      <c r="AP340" s="26" t="str">
        <f t="shared" si="131"/>
        <v>pre-launch</v>
      </c>
      <c r="AQ340" s="18"/>
      <c r="AR340" s="18"/>
    </row>
    <row r="341" spans="1:44" x14ac:dyDescent="0.25">
      <c r="A341" s="43">
        <v>45402</v>
      </c>
      <c r="B341" s="17">
        <v>959933413.88999999</v>
      </c>
      <c r="C341" s="17">
        <v>0</v>
      </c>
      <c r="D341" s="18"/>
      <c r="E341" s="19">
        <f t="shared" si="110"/>
        <v>959933413.88999999</v>
      </c>
      <c r="F341" s="19">
        <f t="shared" si="111"/>
        <v>959933413.88999999</v>
      </c>
      <c r="G341" s="20">
        <f t="shared" si="112"/>
        <v>0</v>
      </c>
      <c r="H341" s="18"/>
      <c r="I341" s="18"/>
      <c r="J341" s="18"/>
      <c r="K341" s="19">
        <f t="shared" si="113"/>
        <v>0</v>
      </c>
      <c r="L341" s="18"/>
      <c r="M341" s="18"/>
      <c r="N341" s="18"/>
      <c r="O341" s="19">
        <f t="shared" si="114"/>
        <v>0</v>
      </c>
      <c r="P341" s="21">
        <f t="shared" si="115"/>
        <v>0</v>
      </c>
      <c r="Q341" s="18"/>
      <c r="R341" s="18"/>
      <c r="S341" s="19">
        <f t="shared" si="116"/>
        <v>0</v>
      </c>
      <c r="T341" s="20">
        <f t="shared" si="117"/>
        <v>0.03</v>
      </c>
      <c r="U341" s="19">
        <f t="shared" si="118"/>
        <v>0</v>
      </c>
      <c r="V341" s="18"/>
      <c r="W341" s="19">
        <f t="shared" si="119"/>
        <v>0</v>
      </c>
      <c r="X341" s="19">
        <f t="shared" si="120"/>
        <v>0</v>
      </c>
      <c r="Y341" s="18"/>
      <c r="Z341" s="18"/>
      <c r="AA341" s="19">
        <f t="shared" si="121"/>
        <v>0</v>
      </c>
      <c r="AB341" s="17">
        <v>0</v>
      </c>
      <c r="AC341" s="18"/>
      <c r="AD341" s="18"/>
      <c r="AE341" s="22">
        <f t="shared" si="122"/>
        <v>0</v>
      </c>
      <c r="AF341" s="23">
        <f t="shared" si="123"/>
        <v>0</v>
      </c>
      <c r="AG341" s="23">
        <f t="shared" si="124"/>
        <v>0</v>
      </c>
      <c r="AH341" s="18"/>
      <c r="AI341" s="24">
        <f t="shared" si="125"/>
        <v>0</v>
      </c>
      <c r="AJ341" s="25">
        <v>0</v>
      </c>
      <c r="AK341" s="24">
        <f t="shared" si="126"/>
        <v>0</v>
      </c>
      <c r="AL341" s="22">
        <f t="shared" si="127"/>
        <v>0</v>
      </c>
      <c r="AM341" s="22">
        <f t="shared" si="128"/>
        <v>0</v>
      </c>
      <c r="AN341" s="22">
        <f t="shared" si="129"/>
        <v>0</v>
      </c>
      <c r="AO341" s="26" t="str">
        <f t="shared" si="130"/>
        <v/>
      </c>
      <c r="AP341" s="26" t="str">
        <f t="shared" si="131"/>
        <v>pre-launch</v>
      </c>
      <c r="AQ341" s="18"/>
      <c r="AR341" s="18"/>
    </row>
    <row r="342" spans="1:44" x14ac:dyDescent="0.25">
      <c r="A342" s="43">
        <v>45403</v>
      </c>
      <c r="B342" s="17">
        <v>999157605.38999999</v>
      </c>
      <c r="C342" s="17">
        <v>0</v>
      </c>
      <c r="D342" s="18"/>
      <c r="E342" s="19">
        <f t="shared" si="110"/>
        <v>999157605.38999999</v>
      </c>
      <c r="F342" s="19">
        <f t="shared" si="111"/>
        <v>999157605.38999999</v>
      </c>
      <c r="G342" s="20">
        <f t="shared" si="112"/>
        <v>0</v>
      </c>
      <c r="H342" s="18"/>
      <c r="I342" s="18"/>
      <c r="J342" s="18"/>
      <c r="K342" s="19">
        <f t="shared" si="113"/>
        <v>0</v>
      </c>
      <c r="L342" s="18"/>
      <c r="M342" s="18"/>
      <c r="N342" s="18"/>
      <c r="O342" s="19">
        <f t="shared" si="114"/>
        <v>0</v>
      </c>
      <c r="P342" s="21">
        <f t="shared" si="115"/>
        <v>0</v>
      </c>
      <c r="Q342" s="18"/>
      <c r="R342" s="18"/>
      <c r="S342" s="19">
        <f t="shared" si="116"/>
        <v>0</v>
      </c>
      <c r="T342" s="20">
        <f t="shared" si="117"/>
        <v>0.03</v>
      </c>
      <c r="U342" s="19">
        <f t="shared" si="118"/>
        <v>0</v>
      </c>
      <c r="V342" s="18"/>
      <c r="W342" s="19">
        <f t="shared" si="119"/>
        <v>0</v>
      </c>
      <c r="X342" s="19">
        <f t="shared" si="120"/>
        <v>0</v>
      </c>
      <c r="Y342" s="18"/>
      <c r="Z342" s="18"/>
      <c r="AA342" s="19">
        <f t="shared" si="121"/>
        <v>0</v>
      </c>
      <c r="AB342" s="17">
        <v>0</v>
      </c>
      <c r="AC342" s="18"/>
      <c r="AD342" s="18"/>
      <c r="AE342" s="22">
        <f t="shared" si="122"/>
        <v>0</v>
      </c>
      <c r="AF342" s="23">
        <f t="shared" si="123"/>
        <v>0</v>
      </c>
      <c r="AG342" s="23">
        <f t="shared" si="124"/>
        <v>0</v>
      </c>
      <c r="AH342" s="18"/>
      <c r="AI342" s="24">
        <f t="shared" si="125"/>
        <v>0</v>
      </c>
      <c r="AJ342" s="25">
        <v>0</v>
      </c>
      <c r="AK342" s="24">
        <f t="shared" si="126"/>
        <v>0</v>
      </c>
      <c r="AL342" s="22">
        <f t="shared" si="127"/>
        <v>0</v>
      </c>
      <c r="AM342" s="22">
        <f t="shared" si="128"/>
        <v>0</v>
      </c>
      <c r="AN342" s="22">
        <f t="shared" si="129"/>
        <v>0</v>
      </c>
      <c r="AO342" s="26" t="str">
        <f t="shared" si="130"/>
        <v/>
      </c>
      <c r="AP342" s="26" t="str">
        <f t="shared" si="131"/>
        <v>pre-launch</v>
      </c>
      <c r="AQ342" s="18"/>
      <c r="AR342" s="18"/>
    </row>
    <row r="343" spans="1:44" x14ac:dyDescent="0.25">
      <c r="A343" s="43">
        <v>45404</v>
      </c>
      <c r="B343" s="17">
        <v>1393844531.29</v>
      </c>
      <c r="C343" s="17">
        <v>0</v>
      </c>
      <c r="D343" s="18"/>
      <c r="E343" s="19">
        <f t="shared" si="110"/>
        <v>1393844531.29</v>
      </c>
      <c r="F343" s="19">
        <f t="shared" si="111"/>
        <v>1393844531.29</v>
      </c>
      <c r="G343" s="20">
        <f t="shared" si="112"/>
        <v>0</v>
      </c>
      <c r="H343" s="18"/>
      <c r="I343" s="18"/>
      <c r="J343" s="18"/>
      <c r="K343" s="19">
        <f t="shared" si="113"/>
        <v>0</v>
      </c>
      <c r="L343" s="18"/>
      <c r="M343" s="18"/>
      <c r="N343" s="18"/>
      <c r="O343" s="19">
        <f t="shared" si="114"/>
        <v>0</v>
      </c>
      <c r="P343" s="21">
        <f t="shared" si="115"/>
        <v>0</v>
      </c>
      <c r="Q343" s="18"/>
      <c r="R343" s="18"/>
      <c r="S343" s="19">
        <f t="shared" si="116"/>
        <v>0</v>
      </c>
      <c r="T343" s="20">
        <f t="shared" si="117"/>
        <v>0.03</v>
      </c>
      <c r="U343" s="19">
        <f t="shared" si="118"/>
        <v>0</v>
      </c>
      <c r="V343" s="18"/>
      <c r="W343" s="19">
        <f t="shared" si="119"/>
        <v>0</v>
      </c>
      <c r="X343" s="19">
        <f t="shared" si="120"/>
        <v>0</v>
      </c>
      <c r="Y343" s="18"/>
      <c r="Z343" s="18"/>
      <c r="AA343" s="19">
        <f t="shared" si="121"/>
        <v>0</v>
      </c>
      <c r="AB343" s="17">
        <v>0</v>
      </c>
      <c r="AC343" s="18"/>
      <c r="AD343" s="18"/>
      <c r="AE343" s="22">
        <f t="shared" si="122"/>
        <v>0</v>
      </c>
      <c r="AF343" s="23">
        <f t="shared" si="123"/>
        <v>0</v>
      </c>
      <c r="AG343" s="23">
        <f t="shared" si="124"/>
        <v>0</v>
      </c>
      <c r="AH343" s="18"/>
      <c r="AI343" s="24">
        <f t="shared" si="125"/>
        <v>0</v>
      </c>
      <c r="AJ343" s="25">
        <v>0</v>
      </c>
      <c r="AK343" s="24">
        <f t="shared" si="126"/>
        <v>0</v>
      </c>
      <c r="AL343" s="22">
        <f t="shared" si="127"/>
        <v>0</v>
      </c>
      <c r="AM343" s="22">
        <f t="shared" si="128"/>
        <v>0</v>
      </c>
      <c r="AN343" s="22">
        <f t="shared" si="129"/>
        <v>0</v>
      </c>
      <c r="AO343" s="26" t="str">
        <f t="shared" si="130"/>
        <v/>
      </c>
      <c r="AP343" s="26" t="str">
        <f t="shared" si="131"/>
        <v>pre-launch</v>
      </c>
      <c r="AQ343" s="18"/>
      <c r="AR343" s="18"/>
    </row>
    <row r="344" spans="1:44" x14ac:dyDescent="0.25">
      <c r="A344" s="43">
        <v>45405</v>
      </c>
      <c r="B344" s="17">
        <v>1237505913.8399999</v>
      </c>
      <c r="C344" s="17">
        <v>0</v>
      </c>
      <c r="D344" s="18"/>
      <c r="E344" s="19">
        <f t="shared" si="110"/>
        <v>1237505913.8399999</v>
      </c>
      <c r="F344" s="19">
        <f t="shared" si="111"/>
        <v>1237505913.8399999</v>
      </c>
      <c r="G344" s="20">
        <f t="shared" si="112"/>
        <v>0</v>
      </c>
      <c r="H344" s="18"/>
      <c r="I344" s="18"/>
      <c r="J344" s="18"/>
      <c r="K344" s="19">
        <f t="shared" si="113"/>
        <v>0</v>
      </c>
      <c r="L344" s="18"/>
      <c r="M344" s="18"/>
      <c r="N344" s="18"/>
      <c r="O344" s="19">
        <f t="shared" si="114"/>
        <v>0</v>
      </c>
      <c r="P344" s="21">
        <f t="shared" si="115"/>
        <v>0</v>
      </c>
      <c r="Q344" s="18"/>
      <c r="R344" s="18"/>
      <c r="S344" s="19">
        <f t="shared" si="116"/>
        <v>0</v>
      </c>
      <c r="T344" s="20">
        <f t="shared" si="117"/>
        <v>0.03</v>
      </c>
      <c r="U344" s="19">
        <f t="shared" si="118"/>
        <v>0</v>
      </c>
      <c r="V344" s="18"/>
      <c r="W344" s="19">
        <f t="shared" si="119"/>
        <v>0</v>
      </c>
      <c r="X344" s="19">
        <f t="shared" si="120"/>
        <v>0</v>
      </c>
      <c r="Y344" s="18"/>
      <c r="Z344" s="18"/>
      <c r="AA344" s="19">
        <f t="shared" si="121"/>
        <v>0</v>
      </c>
      <c r="AB344" s="17">
        <v>0</v>
      </c>
      <c r="AC344" s="18"/>
      <c r="AD344" s="18"/>
      <c r="AE344" s="22">
        <f t="shared" si="122"/>
        <v>0</v>
      </c>
      <c r="AF344" s="23">
        <f t="shared" si="123"/>
        <v>0</v>
      </c>
      <c r="AG344" s="23">
        <f t="shared" si="124"/>
        <v>0</v>
      </c>
      <c r="AH344" s="18"/>
      <c r="AI344" s="24">
        <f t="shared" si="125"/>
        <v>0</v>
      </c>
      <c r="AJ344" s="25">
        <v>0</v>
      </c>
      <c r="AK344" s="24">
        <f t="shared" si="126"/>
        <v>0</v>
      </c>
      <c r="AL344" s="22">
        <f t="shared" si="127"/>
        <v>0</v>
      </c>
      <c r="AM344" s="22">
        <f t="shared" si="128"/>
        <v>0</v>
      </c>
      <c r="AN344" s="22">
        <f t="shared" si="129"/>
        <v>0</v>
      </c>
      <c r="AO344" s="26" t="str">
        <f t="shared" si="130"/>
        <v/>
      </c>
      <c r="AP344" s="26" t="str">
        <f t="shared" si="131"/>
        <v>pre-launch</v>
      </c>
      <c r="AQ344" s="18"/>
      <c r="AR344" s="18"/>
    </row>
    <row r="345" spans="1:44" x14ac:dyDescent="0.25">
      <c r="A345" s="43">
        <v>45406</v>
      </c>
      <c r="B345" s="17">
        <v>1359688550.4400001</v>
      </c>
      <c r="C345" s="17">
        <v>0</v>
      </c>
      <c r="D345" s="18"/>
      <c r="E345" s="19">
        <f t="shared" si="110"/>
        <v>1359688550.4400001</v>
      </c>
      <c r="F345" s="19">
        <f t="shared" si="111"/>
        <v>1359688550.4400001</v>
      </c>
      <c r="G345" s="20">
        <f t="shared" si="112"/>
        <v>0</v>
      </c>
      <c r="H345" s="18"/>
      <c r="I345" s="18"/>
      <c r="J345" s="18"/>
      <c r="K345" s="19">
        <f t="shared" si="113"/>
        <v>0</v>
      </c>
      <c r="L345" s="18"/>
      <c r="M345" s="18"/>
      <c r="N345" s="18"/>
      <c r="O345" s="19">
        <f t="shared" si="114"/>
        <v>0</v>
      </c>
      <c r="P345" s="21">
        <f t="shared" si="115"/>
        <v>0</v>
      </c>
      <c r="Q345" s="18"/>
      <c r="R345" s="18"/>
      <c r="S345" s="19">
        <f t="shared" si="116"/>
        <v>0</v>
      </c>
      <c r="T345" s="20">
        <f t="shared" si="117"/>
        <v>0.03</v>
      </c>
      <c r="U345" s="19">
        <f t="shared" si="118"/>
        <v>0</v>
      </c>
      <c r="V345" s="18"/>
      <c r="W345" s="19">
        <f t="shared" si="119"/>
        <v>0</v>
      </c>
      <c r="X345" s="19">
        <f t="shared" si="120"/>
        <v>0</v>
      </c>
      <c r="Y345" s="18"/>
      <c r="Z345" s="18"/>
      <c r="AA345" s="19">
        <f t="shared" si="121"/>
        <v>0</v>
      </c>
      <c r="AB345" s="17">
        <v>0</v>
      </c>
      <c r="AC345" s="18"/>
      <c r="AD345" s="18"/>
      <c r="AE345" s="22">
        <f t="shared" si="122"/>
        <v>0</v>
      </c>
      <c r="AF345" s="23">
        <f t="shared" si="123"/>
        <v>0</v>
      </c>
      <c r="AG345" s="23">
        <f t="shared" si="124"/>
        <v>0</v>
      </c>
      <c r="AH345" s="18"/>
      <c r="AI345" s="24">
        <f t="shared" si="125"/>
        <v>0</v>
      </c>
      <c r="AJ345" s="25">
        <v>0</v>
      </c>
      <c r="AK345" s="24">
        <f t="shared" si="126"/>
        <v>0</v>
      </c>
      <c r="AL345" s="22">
        <f t="shared" si="127"/>
        <v>0</v>
      </c>
      <c r="AM345" s="22">
        <f t="shared" si="128"/>
        <v>0</v>
      </c>
      <c r="AN345" s="22">
        <f t="shared" si="129"/>
        <v>0</v>
      </c>
      <c r="AO345" s="26" t="str">
        <f t="shared" si="130"/>
        <v/>
      </c>
      <c r="AP345" s="26" t="str">
        <f t="shared" si="131"/>
        <v>pre-launch</v>
      </c>
      <c r="AQ345" s="18"/>
      <c r="AR345" s="18"/>
    </row>
    <row r="346" spans="1:44" x14ac:dyDescent="0.25">
      <c r="A346" s="43">
        <v>45407</v>
      </c>
      <c r="B346" s="17">
        <v>1073965642.5699999</v>
      </c>
      <c r="C346" s="17">
        <v>0</v>
      </c>
      <c r="D346" s="18"/>
      <c r="E346" s="19">
        <f t="shared" si="110"/>
        <v>1073965642.5699999</v>
      </c>
      <c r="F346" s="19">
        <f t="shared" si="111"/>
        <v>1073965642.5699999</v>
      </c>
      <c r="G346" s="20">
        <f t="shared" si="112"/>
        <v>0</v>
      </c>
      <c r="H346" s="18"/>
      <c r="I346" s="18"/>
      <c r="J346" s="18"/>
      <c r="K346" s="19">
        <f t="shared" si="113"/>
        <v>0</v>
      </c>
      <c r="L346" s="18"/>
      <c r="M346" s="18"/>
      <c r="N346" s="18"/>
      <c r="O346" s="19">
        <f t="shared" si="114"/>
        <v>0</v>
      </c>
      <c r="P346" s="21">
        <f t="shared" si="115"/>
        <v>0</v>
      </c>
      <c r="Q346" s="18"/>
      <c r="R346" s="18"/>
      <c r="S346" s="19">
        <f t="shared" si="116"/>
        <v>0</v>
      </c>
      <c r="T346" s="20">
        <f t="shared" si="117"/>
        <v>0.03</v>
      </c>
      <c r="U346" s="19">
        <f t="shared" si="118"/>
        <v>0</v>
      </c>
      <c r="V346" s="18"/>
      <c r="W346" s="19">
        <f t="shared" si="119"/>
        <v>0</v>
      </c>
      <c r="X346" s="19">
        <f t="shared" si="120"/>
        <v>0</v>
      </c>
      <c r="Y346" s="18"/>
      <c r="Z346" s="18"/>
      <c r="AA346" s="19">
        <f t="shared" si="121"/>
        <v>0</v>
      </c>
      <c r="AB346" s="17">
        <v>0</v>
      </c>
      <c r="AC346" s="18"/>
      <c r="AD346" s="18"/>
      <c r="AE346" s="22">
        <f t="shared" si="122"/>
        <v>0</v>
      </c>
      <c r="AF346" s="23">
        <f t="shared" si="123"/>
        <v>0</v>
      </c>
      <c r="AG346" s="23">
        <f t="shared" si="124"/>
        <v>0</v>
      </c>
      <c r="AH346" s="18"/>
      <c r="AI346" s="24">
        <f t="shared" si="125"/>
        <v>0</v>
      </c>
      <c r="AJ346" s="25">
        <v>0</v>
      </c>
      <c r="AK346" s="24">
        <f t="shared" si="126"/>
        <v>0</v>
      </c>
      <c r="AL346" s="22">
        <f t="shared" si="127"/>
        <v>0</v>
      </c>
      <c r="AM346" s="22">
        <f t="shared" si="128"/>
        <v>0</v>
      </c>
      <c r="AN346" s="22">
        <f t="shared" si="129"/>
        <v>0</v>
      </c>
      <c r="AO346" s="26" t="str">
        <f t="shared" si="130"/>
        <v/>
      </c>
      <c r="AP346" s="26" t="str">
        <f t="shared" si="131"/>
        <v>pre-launch</v>
      </c>
      <c r="AQ346" s="18"/>
      <c r="AR346" s="18"/>
    </row>
    <row r="347" spans="1:44" x14ac:dyDescent="0.25">
      <c r="A347" s="43">
        <v>45408</v>
      </c>
      <c r="B347" s="17">
        <v>829207211.42999995</v>
      </c>
      <c r="C347" s="17">
        <v>0</v>
      </c>
      <c r="D347" s="18"/>
      <c r="E347" s="19">
        <f t="shared" si="110"/>
        <v>829207211.42999995</v>
      </c>
      <c r="F347" s="19">
        <f t="shared" si="111"/>
        <v>829207211.42999995</v>
      </c>
      <c r="G347" s="20">
        <f t="shared" si="112"/>
        <v>0</v>
      </c>
      <c r="H347" s="18"/>
      <c r="I347" s="18"/>
      <c r="J347" s="18"/>
      <c r="K347" s="19">
        <f t="shared" si="113"/>
        <v>0</v>
      </c>
      <c r="L347" s="18"/>
      <c r="M347" s="18"/>
      <c r="N347" s="18"/>
      <c r="O347" s="19">
        <f t="shared" si="114"/>
        <v>0</v>
      </c>
      <c r="P347" s="21">
        <f t="shared" si="115"/>
        <v>0</v>
      </c>
      <c r="Q347" s="18"/>
      <c r="R347" s="18"/>
      <c r="S347" s="19">
        <f t="shared" si="116"/>
        <v>0</v>
      </c>
      <c r="T347" s="20">
        <f t="shared" si="117"/>
        <v>0.03</v>
      </c>
      <c r="U347" s="19">
        <f t="shared" si="118"/>
        <v>0</v>
      </c>
      <c r="V347" s="18"/>
      <c r="W347" s="19">
        <f t="shared" si="119"/>
        <v>0</v>
      </c>
      <c r="X347" s="19">
        <f t="shared" si="120"/>
        <v>0</v>
      </c>
      <c r="Y347" s="18"/>
      <c r="Z347" s="18"/>
      <c r="AA347" s="19">
        <f t="shared" si="121"/>
        <v>0</v>
      </c>
      <c r="AB347" s="17">
        <v>0</v>
      </c>
      <c r="AC347" s="18"/>
      <c r="AD347" s="18"/>
      <c r="AE347" s="22">
        <f t="shared" si="122"/>
        <v>0</v>
      </c>
      <c r="AF347" s="23">
        <f t="shared" si="123"/>
        <v>0</v>
      </c>
      <c r="AG347" s="23">
        <f t="shared" si="124"/>
        <v>0</v>
      </c>
      <c r="AH347" s="18"/>
      <c r="AI347" s="24">
        <f t="shared" si="125"/>
        <v>0</v>
      </c>
      <c r="AJ347" s="25">
        <v>0</v>
      </c>
      <c r="AK347" s="24">
        <f t="shared" si="126"/>
        <v>0</v>
      </c>
      <c r="AL347" s="22">
        <f t="shared" si="127"/>
        <v>0</v>
      </c>
      <c r="AM347" s="22">
        <f t="shared" si="128"/>
        <v>0</v>
      </c>
      <c r="AN347" s="22">
        <f t="shared" si="129"/>
        <v>0</v>
      </c>
      <c r="AO347" s="26" t="str">
        <f t="shared" si="130"/>
        <v/>
      </c>
      <c r="AP347" s="26" t="str">
        <f t="shared" si="131"/>
        <v>pre-launch</v>
      </c>
      <c r="AQ347" s="18"/>
      <c r="AR347" s="18"/>
    </row>
    <row r="348" spans="1:44" x14ac:dyDescent="0.25">
      <c r="A348" s="43">
        <v>45409</v>
      </c>
      <c r="B348" s="17">
        <v>911912943.84000003</v>
      </c>
      <c r="C348" s="17">
        <v>0</v>
      </c>
      <c r="D348" s="18"/>
      <c r="E348" s="19">
        <f t="shared" si="110"/>
        <v>911912943.84000003</v>
      </c>
      <c r="F348" s="19">
        <f t="shared" si="111"/>
        <v>911912943.84000003</v>
      </c>
      <c r="G348" s="20">
        <f t="shared" si="112"/>
        <v>0</v>
      </c>
      <c r="H348" s="18"/>
      <c r="I348" s="18"/>
      <c r="J348" s="18"/>
      <c r="K348" s="19">
        <f t="shared" si="113"/>
        <v>0</v>
      </c>
      <c r="L348" s="18"/>
      <c r="M348" s="18"/>
      <c r="N348" s="18"/>
      <c r="O348" s="19">
        <f t="shared" si="114"/>
        <v>0</v>
      </c>
      <c r="P348" s="21">
        <f t="shared" si="115"/>
        <v>0</v>
      </c>
      <c r="Q348" s="18"/>
      <c r="R348" s="18"/>
      <c r="S348" s="19">
        <f t="shared" si="116"/>
        <v>0</v>
      </c>
      <c r="T348" s="20">
        <f t="shared" si="117"/>
        <v>0.03</v>
      </c>
      <c r="U348" s="19">
        <f t="shared" si="118"/>
        <v>0</v>
      </c>
      <c r="V348" s="18"/>
      <c r="W348" s="19">
        <f t="shared" si="119"/>
        <v>0</v>
      </c>
      <c r="X348" s="19">
        <f t="shared" si="120"/>
        <v>0</v>
      </c>
      <c r="Y348" s="18"/>
      <c r="Z348" s="18"/>
      <c r="AA348" s="19">
        <f t="shared" si="121"/>
        <v>0</v>
      </c>
      <c r="AB348" s="17">
        <v>0</v>
      </c>
      <c r="AC348" s="18"/>
      <c r="AD348" s="18"/>
      <c r="AE348" s="22">
        <f t="shared" si="122"/>
        <v>0</v>
      </c>
      <c r="AF348" s="23">
        <f t="shared" si="123"/>
        <v>0</v>
      </c>
      <c r="AG348" s="23">
        <f t="shared" si="124"/>
        <v>0</v>
      </c>
      <c r="AH348" s="18"/>
      <c r="AI348" s="24">
        <f t="shared" si="125"/>
        <v>0</v>
      </c>
      <c r="AJ348" s="25">
        <v>0</v>
      </c>
      <c r="AK348" s="24">
        <f t="shared" si="126"/>
        <v>0</v>
      </c>
      <c r="AL348" s="22">
        <f t="shared" si="127"/>
        <v>0</v>
      </c>
      <c r="AM348" s="22">
        <f t="shared" si="128"/>
        <v>0</v>
      </c>
      <c r="AN348" s="22">
        <f t="shared" si="129"/>
        <v>0</v>
      </c>
      <c r="AO348" s="26" t="str">
        <f t="shared" si="130"/>
        <v/>
      </c>
      <c r="AP348" s="26" t="str">
        <f t="shared" si="131"/>
        <v>pre-launch</v>
      </c>
      <c r="AQ348" s="18"/>
      <c r="AR348" s="18"/>
    </row>
    <row r="349" spans="1:44" x14ac:dyDescent="0.25">
      <c r="A349" s="43">
        <v>45410</v>
      </c>
      <c r="B349" s="17">
        <v>821614348.83000004</v>
      </c>
      <c r="C349" s="17">
        <v>0</v>
      </c>
      <c r="D349" s="18"/>
      <c r="E349" s="19">
        <f t="shared" si="110"/>
        <v>821614348.83000004</v>
      </c>
      <c r="F349" s="19">
        <f t="shared" si="111"/>
        <v>821614348.83000004</v>
      </c>
      <c r="G349" s="20">
        <f t="shared" si="112"/>
        <v>0</v>
      </c>
      <c r="H349" s="18"/>
      <c r="I349" s="18"/>
      <c r="J349" s="18"/>
      <c r="K349" s="19">
        <f t="shared" si="113"/>
        <v>0</v>
      </c>
      <c r="L349" s="18"/>
      <c r="M349" s="18"/>
      <c r="N349" s="18"/>
      <c r="O349" s="19">
        <f t="shared" si="114"/>
        <v>0</v>
      </c>
      <c r="P349" s="21">
        <f t="shared" si="115"/>
        <v>0</v>
      </c>
      <c r="Q349" s="18"/>
      <c r="R349" s="18"/>
      <c r="S349" s="19">
        <f t="shared" si="116"/>
        <v>0</v>
      </c>
      <c r="T349" s="20">
        <f t="shared" si="117"/>
        <v>0.03</v>
      </c>
      <c r="U349" s="19">
        <f t="shared" si="118"/>
        <v>0</v>
      </c>
      <c r="V349" s="18"/>
      <c r="W349" s="19">
        <f t="shared" si="119"/>
        <v>0</v>
      </c>
      <c r="X349" s="19">
        <f t="shared" si="120"/>
        <v>0</v>
      </c>
      <c r="Y349" s="18"/>
      <c r="Z349" s="18"/>
      <c r="AA349" s="19">
        <f t="shared" si="121"/>
        <v>0</v>
      </c>
      <c r="AB349" s="17">
        <v>0</v>
      </c>
      <c r="AC349" s="18"/>
      <c r="AD349" s="18"/>
      <c r="AE349" s="22">
        <f t="shared" si="122"/>
        <v>0</v>
      </c>
      <c r="AF349" s="23">
        <f t="shared" si="123"/>
        <v>0</v>
      </c>
      <c r="AG349" s="23">
        <f t="shared" si="124"/>
        <v>0</v>
      </c>
      <c r="AH349" s="18"/>
      <c r="AI349" s="24">
        <f t="shared" si="125"/>
        <v>0</v>
      </c>
      <c r="AJ349" s="25">
        <v>0</v>
      </c>
      <c r="AK349" s="24">
        <f t="shared" si="126"/>
        <v>0</v>
      </c>
      <c r="AL349" s="22">
        <f t="shared" si="127"/>
        <v>0</v>
      </c>
      <c r="AM349" s="22">
        <f t="shared" si="128"/>
        <v>0</v>
      </c>
      <c r="AN349" s="22">
        <f t="shared" si="129"/>
        <v>0</v>
      </c>
      <c r="AO349" s="26" t="str">
        <f t="shared" si="130"/>
        <v/>
      </c>
      <c r="AP349" s="26" t="str">
        <f t="shared" si="131"/>
        <v>pre-launch</v>
      </c>
      <c r="AQ349" s="18"/>
      <c r="AR349" s="18"/>
    </row>
    <row r="350" spans="1:44" x14ac:dyDescent="0.25">
      <c r="A350" s="43">
        <v>45411</v>
      </c>
      <c r="B350" s="17">
        <v>1171081421.3900001</v>
      </c>
      <c r="C350" s="17">
        <v>0</v>
      </c>
      <c r="D350" s="18"/>
      <c r="E350" s="19">
        <f t="shared" si="110"/>
        <v>1171081421.3900001</v>
      </c>
      <c r="F350" s="19">
        <f t="shared" si="111"/>
        <v>1171081421.3900001</v>
      </c>
      <c r="G350" s="20">
        <f t="shared" si="112"/>
        <v>0</v>
      </c>
      <c r="H350" s="18"/>
      <c r="I350" s="18"/>
      <c r="J350" s="18"/>
      <c r="K350" s="19">
        <f t="shared" si="113"/>
        <v>0</v>
      </c>
      <c r="L350" s="18"/>
      <c r="M350" s="18"/>
      <c r="N350" s="18"/>
      <c r="O350" s="19">
        <f t="shared" si="114"/>
        <v>0</v>
      </c>
      <c r="P350" s="21">
        <f t="shared" si="115"/>
        <v>0</v>
      </c>
      <c r="Q350" s="18"/>
      <c r="R350" s="18"/>
      <c r="S350" s="19">
        <f t="shared" si="116"/>
        <v>0</v>
      </c>
      <c r="T350" s="20">
        <f t="shared" si="117"/>
        <v>0.03</v>
      </c>
      <c r="U350" s="19">
        <f t="shared" si="118"/>
        <v>0</v>
      </c>
      <c r="V350" s="18"/>
      <c r="W350" s="19">
        <f t="shared" si="119"/>
        <v>0</v>
      </c>
      <c r="X350" s="19">
        <f t="shared" si="120"/>
        <v>0</v>
      </c>
      <c r="Y350" s="18"/>
      <c r="Z350" s="18"/>
      <c r="AA350" s="19">
        <f t="shared" si="121"/>
        <v>0</v>
      </c>
      <c r="AB350" s="17">
        <v>0</v>
      </c>
      <c r="AC350" s="18"/>
      <c r="AD350" s="18"/>
      <c r="AE350" s="22">
        <f t="shared" si="122"/>
        <v>0</v>
      </c>
      <c r="AF350" s="23">
        <f t="shared" si="123"/>
        <v>0</v>
      </c>
      <c r="AG350" s="23">
        <f t="shared" si="124"/>
        <v>0</v>
      </c>
      <c r="AH350" s="18"/>
      <c r="AI350" s="24">
        <f t="shared" si="125"/>
        <v>0</v>
      </c>
      <c r="AJ350" s="25">
        <v>0</v>
      </c>
      <c r="AK350" s="24">
        <f t="shared" si="126"/>
        <v>0</v>
      </c>
      <c r="AL350" s="22">
        <f t="shared" si="127"/>
        <v>0</v>
      </c>
      <c r="AM350" s="22">
        <f t="shared" si="128"/>
        <v>0</v>
      </c>
      <c r="AN350" s="22">
        <f t="shared" si="129"/>
        <v>0</v>
      </c>
      <c r="AO350" s="26" t="str">
        <f t="shared" si="130"/>
        <v/>
      </c>
      <c r="AP350" s="26" t="str">
        <f t="shared" si="131"/>
        <v>pre-launch</v>
      </c>
      <c r="AQ350" s="18"/>
      <c r="AR350" s="18"/>
    </row>
    <row r="351" spans="1:44" x14ac:dyDescent="0.25">
      <c r="A351" s="43">
        <v>45412</v>
      </c>
      <c r="B351" s="17">
        <v>1806390541.02</v>
      </c>
      <c r="C351" s="17">
        <v>0</v>
      </c>
      <c r="D351" s="18"/>
      <c r="E351" s="19">
        <f t="shared" si="110"/>
        <v>1806390541.02</v>
      </c>
      <c r="F351" s="19">
        <f t="shared" si="111"/>
        <v>1806390541.02</v>
      </c>
      <c r="G351" s="20">
        <f t="shared" si="112"/>
        <v>0</v>
      </c>
      <c r="H351" s="18"/>
      <c r="I351" s="18"/>
      <c r="J351" s="18"/>
      <c r="K351" s="19">
        <f t="shared" si="113"/>
        <v>0</v>
      </c>
      <c r="L351" s="18"/>
      <c r="M351" s="18"/>
      <c r="N351" s="18"/>
      <c r="O351" s="19">
        <f t="shared" si="114"/>
        <v>0</v>
      </c>
      <c r="P351" s="21">
        <f t="shared" si="115"/>
        <v>0</v>
      </c>
      <c r="Q351" s="18"/>
      <c r="R351" s="18"/>
      <c r="S351" s="19">
        <f t="shared" si="116"/>
        <v>0</v>
      </c>
      <c r="T351" s="20">
        <f t="shared" si="117"/>
        <v>0.03</v>
      </c>
      <c r="U351" s="19">
        <f t="shared" si="118"/>
        <v>0</v>
      </c>
      <c r="V351" s="18"/>
      <c r="W351" s="19">
        <f t="shared" si="119"/>
        <v>0</v>
      </c>
      <c r="X351" s="19">
        <f t="shared" si="120"/>
        <v>0</v>
      </c>
      <c r="Y351" s="18"/>
      <c r="Z351" s="18"/>
      <c r="AA351" s="19">
        <f t="shared" si="121"/>
        <v>0</v>
      </c>
      <c r="AB351" s="17">
        <v>0</v>
      </c>
      <c r="AC351" s="18"/>
      <c r="AD351" s="18"/>
      <c r="AE351" s="22">
        <f t="shared" si="122"/>
        <v>0</v>
      </c>
      <c r="AF351" s="23">
        <f t="shared" si="123"/>
        <v>0</v>
      </c>
      <c r="AG351" s="23">
        <f t="shared" si="124"/>
        <v>0</v>
      </c>
      <c r="AH351" s="18"/>
      <c r="AI351" s="24">
        <f t="shared" si="125"/>
        <v>0</v>
      </c>
      <c r="AJ351" s="25">
        <v>0</v>
      </c>
      <c r="AK351" s="24">
        <f t="shared" si="126"/>
        <v>0</v>
      </c>
      <c r="AL351" s="22">
        <f t="shared" si="127"/>
        <v>0</v>
      </c>
      <c r="AM351" s="22">
        <f t="shared" si="128"/>
        <v>0</v>
      </c>
      <c r="AN351" s="22">
        <f t="shared" si="129"/>
        <v>0</v>
      </c>
      <c r="AO351" s="26" t="str">
        <f t="shared" si="130"/>
        <v/>
      </c>
      <c r="AP351" s="26" t="str">
        <f t="shared" si="131"/>
        <v>pre-launch</v>
      </c>
      <c r="AQ351" s="18"/>
      <c r="AR351" s="18"/>
    </row>
    <row r="352" spans="1:44" x14ac:dyDescent="0.25">
      <c r="A352" s="43">
        <v>45413</v>
      </c>
      <c r="B352" s="17">
        <v>1562542903.6900001</v>
      </c>
      <c r="C352" s="17">
        <v>0</v>
      </c>
      <c r="D352" s="18"/>
      <c r="E352" s="19">
        <f t="shared" si="110"/>
        <v>1562542903.6900001</v>
      </c>
      <c r="F352" s="19">
        <f t="shared" si="111"/>
        <v>1562542903.6900001</v>
      </c>
      <c r="G352" s="20">
        <f t="shared" si="112"/>
        <v>0</v>
      </c>
      <c r="H352" s="18"/>
      <c r="I352" s="18"/>
      <c r="J352" s="18"/>
      <c r="K352" s="19">
        <f t="shared" si="113"/>
        <v>0</v>
      </c>
      <c r="L352" s="18"/>
      <c r="M352" s="18"/>
      <c r="N352" s="18"/>
      <c r="O352" s="19">
        <f t="shared" si="114"/>
        <v>0</v>
      </c>
      <c r="P352" s="21">
        <f t="shared" si="115"/>
        <v>0</v>
      </c>
      <c r="Q352" s="18"/>
      <c r="R352" s="18"/>
      <c r="S352" s="19">
        <f t="shared" si="116"/>
        <v>0</v>
      </c>
      <c r="T352" s="20">
        <f t="shared" si="117"/>
        <v>0.03</v>
      </c>
      <c r="U352" s="19">
        <f t="shared" si="118"/>
        <v>0</v>
      </c>
      <c r="V352" s="18"/>
      <c r="W352" s="19">
        <f t="shared" si="119"/>
        <v>0</v>
      </c>
      <c r="X352" s="19">
        <f t="shared" si="120"/>
        <v>0</v>
      </c>
      <c r="Y352" s="18"/>
      <c r="Z352" s="18"/>
      <c r="AA352" s="19">
        <f t="shared" si="121"/>
        <v>0</v>
      </c>
      <c r="AB352" s="17">
        <v>0</v>
      </c>
      <c r="AC352" s="18"/>
      <c r="AD352" s="18"/>
      <c r="AE352" s="22">
        <f t="shared" si="122"/>
        <v>0</v>
      </c>
      <c r="AF352" s="23">
        <f t="shared" si="123"/>
        <v>0</v>
      </c>
      <c r="AG352" s="23">
        <f t="shared" si="124"/>
        <v>0</v>
      </c>
      <c r="AH352" s="18"/>
      <c r="AI352" s="24">
        <f t="shared" si="125"/>
        <v>0</v>
      </c>
      <c r="AJ352" s="25">
        <v>0</v>
      </c>
      <c r="AK352" s="24">
        <f t="shared" si="126"/>
        <v>0</v>
      </c>
      <c r="AL352" s="22">
        <f t="shared" si="127"/>
        <v>0</v>
      </c>
      <c r="AM352" s="22">
        <f t="shared" si="128"/>
        <v>0</v>
      </c>
      <c r="AN352" s="22">
        <f t="shared" si="129"/>
        <v>0</v>
      </c>
      <c r="AO352" s="26" t="str">
        <f t="shared" si="130"/>
        <v/>
      </c>
      <c r="AP352" s="26" t="str">
        <f t="shared" si="131"/>
        <v>pre-launch</v>
      </c>
      <c r="AQ352" s="18"/>
      <c r="AR352" s="18"/>
    </row>
    <row r="353" spans="1:44" x14ac:dyDescent="0.25">
      <c r="A353" s="43">
        <v>45414</v>
      </c>
      <c r="B353" s="17">
        <v>779690924.40999997</v>
      </c>
      <c r="C353" s="17">
        <v>0</v>
      </c>
      <c r="D353" s="18"/>
      <c r="E353" s="19">
        <f t="shared" si="110"/>
        <v>779690924.40999997</v>
      </c>
      <c r="F353" s="19">
        <f t="shared" si="111"/>
        <v>779690924.40999997</v>
      </c>
      <c r="G353" s="20">
        <f t="shared" si="112"/>
        <v>0</v>
      </c>
      <c r="H353" s="18"/>
      <c r="I353" s="18"/>
      <c r="J353" s="18"/>
      <c r="K353" s="19">
        <f t="shared" si="113"/>
        <v>0</v>
      </c>
      <c r="L353" s="18"/>
      <c r="M353" s="18"/>
      <c r="N353" s="18"/>
      <c r="O353" s="19">
        <f t="shared" si="114"/>
        <v>0</v>
      </c>
      <c r="P353" s="21">
        <f t="shared" si="115"/>
        <v>0</v>
      </c>
      <c r="Q353" s="18"/>
      <c r="R353" s="18"/>
      <c r="S353" s="19">
        <f t="shared" si="116"/>
        <v>0</v>
      </c>
      <c r="T353" s="20">
        <f t="shared" si="117"/>
        <v>0.03</v>
      </c>
      <c r="U353" s="19">
        <f t="shared" si="118"/>
        <v>0</v>
      </c>
      <c r="V353" s="18"/>
      <c r="W353" s="19">
        <f t="shared" si="119"/>
        <v>0</v>
      </c>
      <c r="X353" s="19">
        <f t="shared" si="120"/>
        <v>0</v>
      </c>
      <c r="Y353" s="18"/>
      <c r="Z353" s="18"/>
      <c r="AA353" s="19">
        <f t="shared" si="121"/>
        <v>0</v>
      </c>
      <c r="AB353" s="17">
        <v>0</v>
      </c>
      <c r="AC353" s="18"/>
      <c r="AD353" s="18"/>
      <c r="AE353" s="22">
        <f t="shared" si="122"/>
        <v>0</v>
      </c>
      <c r="AF353" s="23">
        <f t="shared" si="123"/>
        <v>0</v>
      </c>
      <c r="AG353" s="23">
        <f t="shared" si="124"/>
        <v>0</v>
      </c>
      <c r="AH353" s="18"/>
      <c r="AI353" s="24">
        <f t="shared" si="125"/>
        <v>0</v>
      </c>
      <c r="AJ353" s="25">
        <v>0</v>
      </c>
      <c r="AK353" s="24">
        <f t="shared" si="126"/>
        <v>0</v>
      </c>
      <c r="AL353" s="22">
        <f t="shared" si="127"/>
        <v>0</v>
      </c>
      <c r="AM353" s="22">
        <f t="shared" si="128"/>
        <v>0</v>
      </c>
      <c r="AN353" s="22">
        <f t="shared" si="129"/>
        <v>0</v>
      </c>
      <c r="AO353" s="26" t="str">
        <f t="shared" si="130"/>
        <v/>
      </c>
      <c r="AP353" s="26" t="str">
        <f t="shared" si="131"/>
        <v>pre-launch</v>
      </c>
      <c r="AQ353" s="18"/>
      <c r="AR353" s="18"/>
    </row>
    <row r="354" spans="1:44" x14ac:dyDescent="0.25">
      <c r="A354" s="43">
        <v>45415</v>
      </c>
      <c r="B354" s="17">
        <v>810883998.65999997</v>
      </c>
      <c r="C354" s="17">
        <v>0</v>
      </c>
      <c r="D354" s="18"/>
      <c r="E354" s="19">
        <f t="shared" si="110"/>
        <v>810883998.65999997</v>
      </c>
      <c r="F354" s="19">
        <f t="shared" si="111"/>
        <v>810883998.65999997</v>
      </c>
      <c r="G354" s="20">
        <f t="shared" si="112"/>
        <v>0</v>
      </c>
      <c r="H354" s="18"/>
      <c r="I354" s="18"/>
      <c r="J354" s="18"/>
      <c r="K354" s="19">
        <f t="shared" si="113"/>
        <v>0</v>
      </c>
      <c r="L354" s="18"/>
      <c r="M354" s="18"/>
      <c r="N354" s="18"/>
      <c r="O354" s="19">
        <f t="shared" si="114"/>
        <v>0</v>
      </c>
      <c r="P354" s="21">
        <f t="shared" si="115"/>
        <v>0</v>
      </c>
      <c r="Q354" s="18"/>
      <c r="R354" s="18"/>
      <c r="S354" s="19">
        <f t="shared" si="116"/>
        <v>0</v>
      </c>
      <c r="T354" s="20">
        <f t="shared" si="117"/>
        <v>0.03</v>
      </c>
      <c r="U354" s="19">
        <f t="shared" si="118"/>
        <v>0</v>
      </c>
      <c r="V354" s="18"/>
      <c r="W354" s="19">
        <f t="shared" si="119"/>
        <v>0</v>
      </c>
      <c r="X354" s="19">
        <f t="shared" si="120"/>
        <v>0</v>
      </c>
      <c r="Y354" s="18"/>
      <c r="Z354" s="18"/>
      <c r="AA354" s="19">
        <f t="shared" si="121"/>
        <v>0</v>
      </c>
      <c r="AB354" s="17">
        <v>0</v>
      </c>
      <c r="AC354" s="18"/>
      <c r="AD354" s="18"/>
      <c r="AE354" s="22">
        <f t="shared" si="122"/>
        <v>0</v>
      </c>
      <c r="AF354" s="23">
        <f t="shared" si="123"/>
        <v>0</v>
      </c>
      <c r="AG354" s="23">
        <f t="shared" si="124"/>
        <v>0</v>
      </c>
      <c r="AH354" s="18"/>
      <c r="AI354" s="24">
        <f t="shared" si="125"/>
        <v>0</v>
      </c>
      <c r="AJ354" s="25">
        <v>0</v>
      </c>
      <c r="AK354" s="24">
        <f t="shared" si="126"/>
        <v>0</v>
      </c>
      <c r="AL354" s="22">
        <f t="shared" si="127"/>
        <v>0</v>
      </c>
      <c r="AM354" s="22">
        <f t="shared" si="128"/>
        <v>0</v>
      </c>
      <c r="AN354" s="22">
        <f t="shared" si="129"/>
        <v>0</v>
      </c>
      <c r="AO354" s="26" t="str">
        <f t="shared" si="130"/>
        <v/>
      </c>
      <c r="AP354" s="26" t="str">
        <f t="shared" si="131"/>
        <v>pre-launch</v>
      </c>
      <c r="AQ354" s="18"/>
      <c r="AR354" s="18"/>
    </row>
    <row r="355" spans="1:44" x14ac:dyDescent="0.25">
      <c r="A355" s="43">
        <v>45416</v>
      </c>
      <c r="B355" s="17">
        <v>493504035.32999998</v>
      </c>
      <c r="C355" s="17">
        <v>0</v>
      </c>
      <c r="D355" s="18"/>
      <c r="E355" s="19">
        <f t="shared" si="110"/>
        <v>493504035.32999998</v>
      </c>
      <c r="F355" s="19">
        <f t="shared" si="111"/>
        <v>493504035.32999998</v>
      </c>
      <c r="G355" s="20">
        <f t="shared" si="112"/>
        <v>0</v>
      </c>
      <c r="H355" s="18"/>
      <c r="I355" s="18"/>
      <c r="J355" s="18"/>
      <c r="K355" s="19">
        <f t="shared" si="113"/>
        <v>0</v>
      </c>
      <c r="L355" s="18"/>
      <c r="M355" s="18"/>
      <c r="N355" s="18"/>
      <c r="O355" s="19">
        <f t="shared" si="114"/>
        <v>0</v>
      </c>
      <c r="P355" s="21">
        <f t="shared" si="115"/>
        <v>0</v>
      </c>
      <c r="Q355" s="18"/>
      <c r="R355" s="18"/>
      <c r="S355" s="19">
        <f t="shared" si="116"/>
        <v>0</v>
      </c>
      <c r="T355" s="20">
        <f t="shared" si="117"/>
        <v>0.03</v>
      </c>
      <c r="U355" s="19">
        <f t="shared" si="118"/>
        <v>0</v>
      </c>
      <c r="V355" s="18"/>
      <c r="W355" s="19">
        <f t="shared" si="119"/>
        <v>0</v>
      </c>
      <c r="X355" s="19">
        <f t="shared" si="120"/>
        <v>0</v>
      </c>
      <c r="Y355" s="18"/>
      <c r="Z355" s="18"/>
      <c r="AA355" s="19">
        <f t="shared" si="121"/>
        <v>0</v>
      </c>
      <c r="AB355" s="17">
        <v>0</v>
      </c>
      <c r="AC355" s="18"/>
      <c r="AD355" s="18"/>
      <c r="AE355" s="22">
        <f t="shared" si="122"/>
        <v>0</v>
      </c>
      <c r="AF355" s="23">
        <f t="shared" si="123"/>
        <v>0</v>
      </c>
      <c r="AG355" s="23">
        <f t="shared" si="124"/>
        <v>0</v>
      </c>
      <c r="AH355" s="18"/>
      <c r="AI355" s="24">
        <f t="shared" si="125"/>
        <v>0</v>
      </c>
      <c r="AJ355" s="25">
        <v>0</v>
      </c>
      <c r="AK355" s="24">
        <f t="shared" si="126"/>
        <v>0</v>
      </c>
      <c r="AL355" s="22">
        <f t="shared" si="127"/>
        <v>0</v>
      </c>
      <c r="AM355" s="22">
        <f t="shared" si="128"/>
        <v>0</v>
      </c>
      <c r="AN355" s="22">
        <f t="shared" si="129"/>
        <v>0</v>
      </c>
      <c r="AO355" s="26" t="str">
        <f t="shared" si="130"/>
        <v/>
      </c>
      <c r="AP355" s="26" t="str">
        <f t="shared" si="131"/>
        <v>pre-launch</v>
      </c>
      <c r="AQ355" s="18"/>
      <c r="AR355" s="18"/>
    </row>
    <row r="356" spans="1:44" x14ac:dyDescent="0.25">
      <c r="A356" s="43">
        <v>45417</v>
      </c>
      <c r="B356" s="17">
        <v>477530164.98000002</v>
      </c>
      <c r="C356" s="17">
        <v>0</v>
      </c>
      <c r="D356" s="18"/>
      <c r="E356" s="19">
        <f t="shared" si="110"/>
        <v>477530164.98000002</v>
      </c>
      <c r="F356" s="19">
        <f t="shared" si="111"/>
        <v>477530164.98000002</v>
      </c>
      <c r="G356" s="20">
        <f t="shared" si="112"/>
        <v>0</v>
      </c>
      <c r="H356" s="18"/>
      <c r="I356" s="18"/>
      <c r="J356" s="18"/>
      <c r="K356" s="19">
        <f t="shared" si="113"/>
        <v>0</v>
      </c>
      <c r="L356" s="18"/>
      <c r="M356" s="18"/>
      <c r="N356" s="18"/>
      <c r="O356" s="19">
        <f t="shared" si="114"/>
        <v>0</v>
      </c>
      <c r="P356" s="21">
        <f t="shared" si="115"/>
        <v>0</v>
      </c>
      <c r="Q356" s="18"/>
      <c r="R356" s="18"/>
      <c r="S356" s="19">
        <f t="shared" si="116"/>
        <v>0</v>
      </c>
      <c r="T356" s="20">
        <f t="shared" si="117"/>
        <v>0.03</v>
      </c>
      <c r="U356" s="19">
        <f t="shared" si="118"/>
        <v>0</v>
      </c>
      <c r="V356" s="18"/>
      <c r="W356" s="19">
        <f t="shared" si="119"/>
        <v>0</v>
      </c>
      <c r="X356" s="19">
        <f t="shared" si="120"/>
        <v>0</v>
      </c>
      <c r="Y356" s="18"/>
      <c r="Z356" s="18"/>
      <c r="AA356" s="19">
        <f t="shared" si="121"/>
        <v>0</v>
      </c>
      <c r="AB356" s="17">
        <v>0</v>
      </c>
      <c r="AC356" s="18"/>
      <c r="AD356" s="18"/>
      <c r="AE356" s="22">
        <f t="shared" si="122"/>
        <v>0</v>
      </c>
      <c r="AF356" s="23">
        <f t="shared" si="123"/>
        <v>0</v>
      </c>
      <c r="AG356" s="23">
        <f t="shared" si="124"/>
        <v>0</v>
      </c>
      <c r="AH356" s="18"/>
      <c r="AI356" s="24">
        <f t="shared" si="125"/>
        <v>0</v>
      </c>
      <c r="AJ356" s="25">
        <v>0</v>
      </c>
      <c r="AK356" s="24">
        <f t="shared" si="126"/>
        <v>0</v>
      </c>
      <c r="AL356" s="22">
        <f t="shared" si="127"/>
        <v>0</v>
      </c>
      <c r="AM356" s="22">
        <f t="shared" si="128"/>
        <v>0</v>
      </c>
      <c r="AN356" s="22">
        <f t="shared" si="129"/>
        <v>0</v>
      </c>
      <c r="AO356" s="26" t="str">
        <f t="shared" si="130"/>
        <v/>
      </c>
      <c r="AP356" s="26" t="str">
        <f t="shared" si="131"/>
        <v>pre-launch</v>
      </c>
      <c r="AQ356" s="18"/>
      <c r="AR356" s="18"/>
    </row>
    <row r="357" spans="1:44" x14ac:dyDescent="0.25">
      <c r="A357" s="43">
        <v>45418</v>
      </c>
      <c r="B357" s="17">
        <v>827559945.63999999</v>
      </c>
      <c r="C357" s="17">
        <v>0</v>
      </c>
      <c r="D357" s="18"/>
      <c r="E357" s="19">
        <f t="shared" si="110"/>
        <v>827559945.63999999</v>
      </c>
      <c r="F357" s="19">
        <f t="shared" si="111"/>
        <v>827559945.63999999</v>
      </c>
      <c r="G357" s="20">
        <f t="shared" si="112"/>
        <v>0</v>
      </c>
      <c r="H357" s="18"/>
      <c r="I357" s="18"/>
      <c r="J357" s="18"/>
      <c r="K357" s="19">
        <f t="shared" si="113"/>
        <v>0</v>
      </c>
      <c r="L357" s="18"/>
      <c r="M357" s="18"/>
      <c r="N357" s="18"/>
      <c r="O357" s="19">
        <f t="shared" si="114"/>
        <v>0</v>
      </c>
      <c r="P357" s="21">
        <f t="shared" si="115"/>
        <v>0</v>
      </c>
      <c r="Q357" s="18"/>
      <c r="R357" s="18"/>
      <c r="S357" s="19">
        <f t="shared" si="116"/>
        <v>0</v>
      </c>
      <c r="T357" s="20">
        <f t="shared" si="117"/>
        <v>0.03</v>
      </c>
      <c r="U357" s="19">
        <f t="shared" si="118"/>
        <v>0</v>
      </c>
      <c r="V357" s="18"/>
      <c r="W357" s="19">
        <f t="shared" si="119"/>
        <v>0</v>
      </c>
      <c r="X357" s="19">
        <f t="shared" si="120"/>
        <v>0</v>
      </c>
      <c r="Y357" s="18"/>
      <c r="Z357" s="18"/>
      <c r="AA357" s="19">
        <f t="shared" si="121"/>
        <v>0</v>
      </c>
      <c r="AB357" s="17">
        <v>0</v>
      </c>
      <c r="AC357" s="18"/>
      <c r="AD357" s="18"/>
      <c r="AE357" s="22">
        <f t="shared" si="122"/>
        <v>0</v>
      </c>
      <c r="AF357" s="23">
        <f t="shared" si="123"/>
        <v>0</v>
      </c>
      <c r="AG357" s="23">
        <f t="shared" si="124"/>
        <v>0</v>
      </c>
      <c r="AH357" s="18"/>
      <c r="AI357" s="24">
        <f t="shared" si="125"/>
        <v>0</v>
      </c>
      <c r="AJ357" s="25">
        <v>0</v>
      </c>
      <c r="AK357" s="24">
        <f t="shared" si="126"/>
        <v>0</v>
      </c>
      <c r="AL357" s="22">
        <f t="shared" si="127"/>
        <v>0</v>
      </c>
      <c r="AM357" s="22">
        <f t="shared" si="128"/>
        <v>0</v>
      </c>
      <c r="AN357" s="22">
        <f t="shared" si="129"/>
        <v>0</v>
      </c>
      <c r="AO357" s="26" t="str">
        <f t="shared" si="130"/>
        <v/>
      </c>
      <c r="AP357" s="26" t="str">
        <f t="shared" si="131"/>
        <v>pre-launch</v>
      </c>
      <c r="AQ357" s="18"/>
      <c r="AR357" s="18"/>
    </row>
    <row r="358" spans="1:44" x14ac:dyDescent="0.25">
      <c r="A358" s="43">
        <v>45419</v>
      </c>
      <c r="B358" s="17">
        <v>827783685.48000002</v>
      </c>
      <c r="C358" s="17">
        <v>0</v>
      </c>
      <c r="D358" s="18"/>
      <c r="E358" s="19">
        <f t="shared" si="110"/>
        <v>827783685.48000002</v>
      </c>
      <c r="F358" s="19">
        <f t="shared" si="111"/>
        <v>827783685.48000002</v>
      </c>
      <c r="G358" s="20">
        <f t="shared" si="112"/>
        <v>0</v>
      </c>
      <c r="H358" s="18"/>
      <c r="I358" s="18"/>
      <c r="J358" s="18"/>
      <c r="K358" s="19">
        <f t="shared" si="113"/>
        <v>0</v>
      </c>
      <c r="L358" s="18"/>
      <c r="M358" s="18"/>
      <c r="N358" s="18"/>
      <c r="O358" s="19">
        <f t="shared" si="114"/>
        <v>0</v>
      </c>
      <c r="P358" s="21">
        <f t="shared" si="115"/>
        <v>0</v>
      </c>
      <c r="Q358" s="18"/>
      <c r="R358" s="18"/>
      <c r="S358" s="19">
        <f t="shared" si="116"/>
        <v>0</v>
      </c>
      <c r="T358" s="20">
        <f t="shared" si="117"/>
        <v>0.03</v>
      </c>
      <c r="U358" s="19">
        <f t="shared" si="118"/>
        <v>0</v>
      </c>
      <c r="V358" s="18"/>
      <c r="W358" s="19">
        <f t="shared" si="119"/>
        <v>0</v>
      </c>
      <c r="X358" s="19">
        <f t="shared" si="120"/>
        <v>0</v>
      </c>
      <c r="Y358" s="18"/>
      <c r="Z358" s="18"/>
      <c r="AA358" s="19">
        <f t="shared" si="121"/>
        <v>0</v>
      </c>
      <c r="AB358" s="17">
        <v>0</v>
      </c>
      <c r="AC358" s="18"/>
      <c r="AD358" s="18"/>
      <c r="AE358" s="22">
        <f t="shared" si="122"/>
        <v>0</v>
      </c>
      <c r="AF358" s="23">
        <f t="shared" si="123"/>
        <v>0</v>
      </c>
      <c r="AG358" s="23">
        <f t="shared" si="124"/>
        <v>0</v>
      </c>
      <c r="AH358" s="18"/>
      <c r="AI358" s="24">
        <f t="shared" si="125"/>
        <v>0</v>
      </c>
      <c r="AJ358" s="25">
        <v>0</v>
      </c>
      <c r="AK358" s="24">
        <f t="shared" si="126"/>
        <v>0</v>
      </c>
      <c r="AL358" s="22">
        <f t="shared" si="127"/>
        <v>0</v>
      </c>
      <c r="AM358" s="22">
        <f t="shared" si="128"/>
        <v>0</v>
      </c>
      <c r="AN358" s="22">
        <f t="shared" si="129"/>
        <v>0</v>
      </c>
      <c r="AO358" s="26" t="str">
        <f t="shared" si="130"/>
        <v/>
      </c>
      <c r="AP358" s="26" t="str">
        <f t="shared" si="131"/>
        <v>pre-launch</v>
      </c>
      <c r="AQ358" s="18"/>
      <c r="AR358" s="18"/>
    </row>
    <row r="359" spans="1:44" x14ac:dyDescent="0.25">
      <c r="A359" s="43">
        <v>45420</v>
      </c>
      <c r="B359" s="17">
        <v>892663821.02999997</v>
      </c>
      <c r="C359" s="17">
        <v>0</v>
      </c>
      <c r="D359" s="18"/>
      <c r="E359" s="19">
        <f t="shared" si="110"/>
        <v>892663821.02999997</v>
      </c>
      <c r="F359" s="19">
        <f t="shared" si="111"/>
        <v>892663821.02999997</v>
      </c>
      <c r="G359" s="20">
        <f t="shared" si="112"/>
        <v>0</v>
      </c>
      <c r="H359" s="18"/>
      <c r="I359" s="18"/>
      <c r="J359" s="18"/>
      <c r="K359" s="19">
        <f t="shared" si="113"/>
        <v>0</v>
      </c>
      <c r="L359" s="18"/>
      <c r="M359" s="18"/>
      <c r="N359" s="18"/>
      <c r="O359" s="19">
        <f t="shared" si="114"/>
        <v>0</v>
      </c>
      <c r="P359" s="21">
        <f t="shared" si="115"/>
        <v>0</v>
      </c>
      <c r="Q359" s="18"/>
      <c r="R359" s="18"/>
      <c r="S359" s="19">
        <f t="shared" si="116"/>
        <v>0</v>
      </c>
      <c r="T359" s="20">
        <f t="shared" si="117"/>
        <v>0.03</v>
      </c>
      <c r="U359" s="19">
        <f t="shared" si="118"/>
        <v>0</v>
      </c>
      <c r="V359" s="18"/>
      <c r="W359" s="19">
        <f t="shared" si="119"/>
        <v>0</v>
      </c>
      <c r="X359" s="19">
        <f t="shared" si="120"/>
        <v>0</v>
      </c>
      <c r="Y359" s="18"/>
      <c r="Z359" s="18"/>
      <c r="AA359" s="19">
        <f t="shared" si="121"/>
        <v>0</v>
      </c>
      <c r="AB359" s="17">
        <v>0</v>
      </c>
      <c r="AC359" s="18"/>
      <c r="AD359" s="18"/>
      <c r="AE359" s="22">
        <f t="shared" si="122"/>
        <v>0</v>
      </c>
      <c r="AF359" s="23">
        <f t="shared" si="123"/>
        <v>0</v>
      </c>
      <c r="AG359" s="23">
        <f t="shared" si="124"/>
        <v>0</v>
      </c>
      <c r="AH359" s="18"/>
      <c r="AI359" s="24">
        <f t="shared" si="125"/>
        <v>0</v>
      </c>
      <c r="AJ359" s="25">
        <v>0</v>
      </c>
      <c r="AK359" s="24">
        <f t="shared" si="126"/>
        <v>0</v>
      </c>
      <c r="AL359" s="22">
        <f t="shared" si="127"/>
        <v>0</v>
      </c>
      <c r="AM359" s="22">
        <f t="shared" si="128"/>
        <v>0</v>
      </c>
      <c r="AN359" s="22">
        <f t="shared" si="129"/>
        <v>0</v>
      </c>
      <c r="AO359" s="26" t="str">
        <f t="shared" si="130"/>
        <v/>
      </c>
      <c r="AP359" s="26" t="str">
        <f t="shared" si="131"/>
        <v>pre-launch</v>
      </c>
      <c r="AQ359" s="18"/>
      <c r="AR359" s="18"/>
    </row>
    <row r="360" spans="1:44" x14ac:dyDescent="0.25">
      <c r="A360" s="43">
        <v>45421</v>
      </c>
      <c r="B360" s="17">
        <v>679332408.05999994</v>
      </c>
      <c r="C360" s="17">
        <v>0</v>
      </c>
      <c r="D360" s="18"/>
      <c r="E360" s="19">
        <f t="shared" si="110"/>
        <v>679332408.05999994</v>
      </c>
      <c r="F360" s="19">
        <f t="shared" si="111"/>
        <v>679332408.05999994</v>
      </c>
      <c r="G360" s="20">
        <f t="shared" si="112"/>
        <v>0</v>
      </c>
      <c r="H360" s="18"/>
      <c r="I360" s="18"/>
      <c r="J360" s="18"/>
      <c r="K360" s="19">
        <f t="shared" si="113"/>
        <v>0</v>
      </c>
      <c r="L360" s="18"/>
      <c r="M360" s="18"/>
      <c r="N360" s="18"/>
      <c r="O360" s="19">
        <f t="shared" si="114"/>
        <v>0</v>
      </c>
      <c r="P360" s="21">
        <f t="shared" si="115"/>
        <v>0</v>
      </c>
      <c r="Q360" s="18"/>
      <c r="R360" s="18"/>
      <c r="S360" s="19">
        <f t="shared" si="116"/>
        <v>0</v>
      </c>
      <c r="T360" s="20">
        <f t="shared" si="117"/>
        <v>0.03</v>
      </c>
      <c r="U360" s="19">
        <f t="shared" si="118"/>
        <v>0</v>
      </c>
      <c r="V360" s="18"/>
      <c r="W360" s="19">
        <f t="shared" si="119"/>
        <v>0</v>
      </c>
      <c r="X360" s="19">
        <f t="shared" si="120"/>
        <v>0</v>
      </c>
      <c r="Y360" s="18"/>
      <c r="Z360" s="18"/>
      <c r="AA360" s="19">
        <f t="shared" si="121"/>
        <v>0</v>
      </c>
      <c r="AB360" s="17">
        <v>0</v>
      </c>
      <c r="AC360" s="18"/>
      <c r="AD360" s="18"/>
      <c r="AE360" s="22">
        <f t="shared" si="122"/>
        <v>0</v>
      </c>
      <c r="AF360" s="23">
        <f t="shared" si="123"/>
        <v>0</v>
      </c>
      <c r="AG360" s="23">
        <f t="shared" si="124"/>
        <v>0</v>
      </c>
      <c r="AH360" s="18"/>
      <c r="AI360" s="24">
        <f t="shared" si="125"/>
        <v>0</v>
      </c>
      <c r="AJ360" s="25">
        <v>0</v>
      </c>
      <c r="AK360" s="24">
        <f t="shared" si="126"/>
        <v>0</v>
      </c>
      <c r="AL360" s="22">
        <f t="shared" si="127"/>
        <v>0</v>
      </c>
      <c r="AM360" s="22">
        <f t="shared" si="128"/>
        <v>0</v>
      </c>
      <c r="AN360" s="22">
        <f t="shared" si="129"/>
        <v>0</v>
      </c>
      <c r="AO360" s="26" t="str">
        <f t="shared" si="130"/>
        <v/>
      </c>
      <c r="AP360" s="26" t="str">
        <f t="shared" si="131"/>
        <v>pre-launch</v>
      </c>
      <c r="AQ360" s="18"/>
      <c r="AR360" s="18"/>
    </row>
    <row r="361" spans="1:44" x14ac:dyDescent="0.25">
      <c r="A361" s="43">
        <v>45422</v>
      </c>
      <c r="B361" s="17">
        <v>807060703.73000002</v>
      </c>
      <c r="C361" s="17">
        <v>0</v>
      </c>
      <c r="D361" s="18"/>
      <c r="E361" s="19">
        <f t="shared" si="110"/>
        <v>807060703.73000002</v>
      </c>
      <c r="F361" s="19">
        <f t="shared" si="111"/>
        <v>807060703.73000002</v>
      </c>
      <c r="G361" s="20">
        <f t="shared" si="112"/>
        <v>0</v>
      </c>
      <c r="H361" s="18"/>
      <c r="I361" s="18"/>
      <c r="J361" s="18"/>
      <c r="K361" s="19">
        <f t="shared" si="113"/>
        <v>0</v>
      </c>
      <c r="L361" s="18"/>
      <c r="M361" s="18"/>
      <c r="N361" s="18"/>
      <c r="O361" s="19">
        <f t="shared" si="114"/>
        <v>0</v>
      </c>
      <c r="P361" s="21">
        <f t="shared" si="115"/>
        <v>0</v>
      </c>
      <c r="Q361" s="18"/>
      <c r="R361" s="18"/>
      <c r="S361" s="19">
        <f t="shared" si="116"/>
        <v>0</v>
      </c>
      <c r="T361" s="20">
        <f t="shared" si="117"/>
        <v>0.03</v>
      </c>
      <c r="U361" s="19">
        <f t="shared" si="118"/>
        <v>0</v>
      </c>
      <c r="V361" s="18"/>
      <c r="W361" s="19">
        <f t="shared" si="119"/>
        <v>0</v>
      </c>
      <c r="X361" s="19">
        <f t="shared" si="120"/>
        <v>0</v>
      </c>
      <c r="Y361" s="18"/>
      <c r="Z361" s="18"/>
      <c r="AA361" s="19">
        <f t="shared" si="121"/>
        <v>0</v>
      </c>
      <c r="AB361" s="17">
        <v>0</v>
      </c>
      <c r="AC361" s="18"/>
      <c r="AD361" s="18"/>
      <c r="AE361" s="22">
        <f t="shared" si="122"/>
        <v>0</v>
      </c>
      <c r="AF361" s="23">
        <f t="shared" si="123"/>
        <v>0</v>
      </c>
      <c r="AG361" s="23">
        <f t="shared" si="124"/>
        <v>0</v>
      </c>
      <c r="AH361" s="18"/>
      <c r="AI361" s="24">
        <f t="shared" si="125"/>
        <v>0</v>
      </c>
      <c r="AJ361" s="25">
        <v>0</v>
      </c>
      <c r="AK361" s="24">
        <f t="shared" si="126"/>
        <v>0</v>
      </c>
      <c r="AL361" s="22">
        <f t="shared" si="127"/>
        <v>0</v>
      </c>
      <c r="AM361" s="22">
        <f t="shared" si="128"/>
        <v>0</v>
      </c>
      <c r="AN361" s="22">
        <f t="shared" si="129"/>
        <v>0</v>
      </c>
      <c r="AO361" s="26" t="str">
        <f t="shared" si="130"/>
        <v/>
      </c>
      <c r="AP361" s="26" t="str">
        <f t="shared" si="131"/>
        <v>pre-launch</v>
      </c>
      <c r="AQ361" s="18"/>
      <c r="AR361" s="18"/>
    </row>
    <row r="362" spans="1:44" x14ac:dyDescent="0.25">
      <c r="A362" s="43">
        <v>45423</v>
      </c>
      <c r="B362" s="17">
        <v>308265299.69999999</v>
      </c>
      <c r="C362" s="17">
        <v>0</v>
      </c>
      <c r="D362" s="18"/>
      <c r="E362" s="19">
        <f t="shared" si="110"/>
        <v>308265299.69999999</v>
      </c>
      <c r="F362" s="19">
        <f t="shared" si="111"/>
        <v>308265299.69999999</v>
      </c>
      <c r="G362" s="20">
        <f t="shared" si="112"/>
        <v>0</v>
      </c>
      <c r="H362" s="18"/>
      <c r="I362" s="18"/>
      <c r="J362" s="18"/>
      <c r="K362" s="19">
        <f t="shared" si="113"/>
        <v>0</v>
      </c>
      <c r="L362" s="18"/>
      <c r="M362" s="18"/>
      <c r="N362" s="18"/>
      <c r="O362" s="19">
        <f t="shared" si="114"/>
        <v>0</v>
      </c>
      <c r="P362" s="21">
        <f t="shared" si="115"/>
        <v>0</v>
      </c>
      <c r="Q362" s="18"/>
      <c r="R362" s="18"/>
      <c r="S362" s="19">
        <f t="shared" si="116"/>
        <v>0</v>
      </c>
      <c r="T362" s="20">
        <f t="shared" si="117"/>
        <v>0.03</v>
      </c>
      <c r="U362" s="19">
        <f t="shared" si="118"/>
        <v>0</v>
      </c>
      <c r="V362" s="18"/>
      <c r="W362" s="19">
        <f t="shared" si="119"/>
        <v>0</v>
      </c>
      <c r="X362" s="19">
        <f t="shared" si="120"/>
        <v>0</v>
      </c>
      <c r="Y362" s="18"/>
      <c r="Z362" s="18"/>
      <c r="AA362" s="19">
        <f t="shared" si="121"/>
        <v>0</v>
      </c>
      <c r="AB362" s="17">
        <v>0</v>
      </c>
      <c r="AC362" s="18"/>
      <c r="AD362" s="18"/>
      <c r="AE362" s="22">
        <f t="shared" si="122"/>
        <v>0</v>
      </c>
      <c r="AF362" s="23">
        <f t="shared" si="123"/>
        <v>0</v>
      </c>
      <c r="AG362" s="23">
        <f t="shared" si="124"/>
        <v>0</v>
      </c>
      <c r="AH362" s="18"/>
      <c r="AI362" s="24">
        <f t="shared" si="125"/>
        <v>0</v>
      </c>
      <c r="AJ362" s="25">
        <v>0</v>
      </c>
      <c r="AK362" s="24">
        <f t="shared" si="126"/>
        <v>0</v>
      </c>
      <c r="AL362" s="22">
        <f t="shared" si="127"/>
        <v>0</v>
      </c>
      <c r="AM362" s="22">
        <f t="shared" si="128"/>
        <v>0</v>
      </c>
      <c r="AN362" s="22">
        <f t="shared" si="129"/>
        <v>0</v>
      </c>
      <c r="AO362" s="26" t="str">
        <f t="shared" si="130"/>
        <v/>
      </c>
      <c r="AP362" s="26" t="str">
        <f t="shared" si="131"/>
        <v>pre-launch</v>
      </c>
      <c r="AQ362" s="18"/>
      <c r="AR362" s="18"/>
    </row>
    <row r="363" spans="1:44" x14ac:dyDescent="0.25">
      <c r="A363" s="43">
        <v>45424</v>
      </c>
      <c r="B363" s="17">
        <v>274770431.08999997</v>
      </c>
      <c r="C363" s="17">
        <v>0</v>
      </c>
      <c r="D363" s="18"/>
      <c r="E363" s="19">
        <f t="shared" si="110"/>
        <v>274770431.08999997</v>
      </c>
      <c r="F363" s="19">
        <f t="shared" si="111"/>
        <v>274770431.08999997</v>
      </c>
      <c r="G363" s="20">
        <f t="shared" si="112"/>
        <v>0</v>
      </c>
      <c r="H363" s="18"/>
      <c r="I363" s="18"/>
      <c r="J363" s="18"/>
      <c r="K363" s="19">
        <f t="shared" si="113"/>
        <v>0</v>
      </c>
      <c r="L363" s="18"/>
      <c r="M363" s="18"/>
      <c r="N363" s="18"/>
      <c r="O363" s="19">
        <f t="shared" si="114"/>
        <v>0</v>
      </c>
      <c r="P363" s="21">
        <f t="shared" si="115"/>
        <v>0</v>
      </c>
      <c r="Q363" s="18"/>
      <c r="R363" s="18"/>
      <c r="S363" s="19">
        <f t="shared" si="116"/>
        <v>0</v>
      </c>
      <c r="T363" s="20">
        <f t="shared" si="117"/>
        <v>0.03</v>
      </c>
      <c r="U363" s="19">
        <f t="shared" si="118"/>
        <v>0</v>
      </c>
      <c r="V363" s="18"/>
      <c r="W363" s="19">
        <f t="shared" si="119"/>
        <v>0</v>
      </c>
      <c r="X363" s="19">
        <f t="shared" si="120"/>
        <v>0</v>
      </c>
      <c r="Y363" s="18"/>
      <c r="Z363" s="18"/>
      <c r="AA363" s="19">
        <f t="shared" si="121"/>
        <v>0</v>
      </c>
      <c r="AB363" s="17">
        <v>0</v>
      </c>
      <c r="AC363" s="18"/>
      <c r="AD363" s="18"/>
      <c r="AE363" s="22">
        <f t="shared" si="122"/>
        <v>0</v>
      </c>
      <c r="AF363" s="23">
        <f t="shared" si="123"/>
        <v>0</v>
      </c>
      <c r="AG363" s="23">
        <f t="shared" si="124"/>
        <v>0</v>
      </c>
      <c r="AH363" s="18"/>
      <c r="AI363" s="24">
        <f t="shared" si="125"/>
        <v>0</v>
      </c>
      <c r="AJ363" s="25">
        <v>0</v>
      </c>
      <c r="AK363" s="24">
        <f t="shared" si="126"/>
        <v>0</v>
      </c>
      <c r="AL363" s="22">
        <f t="shared" si="127"/>
        <v>0</v>
      </c>
      <c r="AM363" s="22">
        <f t="shared" si="128"/>
        <v>0</v>
      </c>
      <c r="AN363" s="22">
        <f t="shared" si="129"/>
        <v>0</v>
      </c>
      <c r="AO363" s="26" t="str">
        <f t="shared" si="130"/>
        <v/>
      </c>
      <c r="AP363" s="26" t="str">
        <f t="shared" si="131"/>
        <v>pre-launch</v>
      </c>
      <c r="AQ363" s="18"/>
      <c r="AR363" s="18"/>
    </row>
    <row r="364" spans="1:44" x14ac:dyDescent="0.25">
      <c r="A364" s="43">
        <v>45425</v>
      </c>
      <c r="B364" s="17">
        <v>888557904.55999994</v>
      </c>
      <c r="C364" s="17">
        <v>0</v>
      </c>
      <c r="D364" s="18"/>
      <c r="E364" s="19">
        <f t="shared" si="110"/>
        <v>888557904.55999994</v>
      </c>
      <c r="F364" s="19">
        <f t="shared" si="111"/>
        <v>888557904.55999994</v>
      </c>
      <c r="G364" s="20">
        <f t="shared" si="112"/>
        <v>0</v>
      </c>
      <c r="H364" s="18"/>
      <c r="I364" s="18"/>
      <c r="J364" s="18"/>
      <c r="K364" s="19">
        <f t="shared" si="113"/>
        <v>0</v>
      </c>
      <c r="L364" s="18"/>
      <c r="M364" s="18"/>
      <c r="N364" s="18"/>
      <c r="O364" s="19">
        <f t="shared" si="114"/>
        <v>0</v>
      </c>
      <c r="P364" s="21">
        <f t="shared" si="115"/>
        <v>0</v>
      </c>
      <c r="Q364" s="18"/>
      <c r="R364" s="18"/>
      <c r="S364" s="19">
        <f t="shared" si="116"/>
        <v>0</v>
      </c>
      <c r="T364" s="20">
        <f t="shared" si="117"/>
        <v>0.03</v>
      </c>
      <c r="U364" s="19">
        <f t="shared" si="118"/>
        <v>0</v>
      </c>
      <c r="V364" s="18"/>
      <c r="W364" s="19">
        <f t="shared" si="119"/>
        <v>0</v>
      </c>
      <c r="X364" s="19">
        <f t="shared" si="120"/>
        <v>0</v>
      </c>
      <c r="Y364" s="18"/>
      <c r="Z364" s="18"/>
      <c r="AA364" s="19">
        <f t="shared" si="121"/>
        <v>0</v>
      </c>
      <c r="AB364" s="17">
        <v>0</v>
      </c>
      <c r="AC364" s="18"/>
      <c r="AD364" s="18"/>
      <c r="AE364" s="22">
        <f t="shared" si="122"/>
        <v>0</v>
      </c>
      <c r="AF364" s="23">
        <f t="shared" si="123"/>
        <v>0</v>
      </c>
      <c r="AG364" s="23">
        <f t="shared" si="124"/>
        <v>0</v>
      </c>
      <c r="AH364" s="18"/>
      <c r="AI364" s="24">
        <f t="shared" si="125"/>
        <v>0</v>
      </c>
      <c r="AJ364" s="25">
        <v>0</v>
      </c>
      <c r="AK364" s="24">
        <f t="shared" si="126"/>
        <v>0</v>
      </c>
      <c r="AL364" s="22">
        <f t="shared" si="127"/>
        <v>0</v>
      </c>
      <c r="AM364" s="22">
        <f t="shared" si="128"/>
        <v>0</v>
      </c>
      <c r="AN364" s="22">
        <f t="shared" si="129"/>
        <v>0</v>
      </c>
      <c r="AO364" s="26" t="str">
        <f t="shared" si="130"/>
        <v/>
      </c>
      <c r="AP364" s="26" t="str">
        <f t="shared" si="131"/>
        <v>pre-launch</v>
      </c>
      <c r="AQ364" s="18"/>
      <c r="AR364" s="18"/>
    </row>
    <row r="365" spans="1:44" x14ac:dyDescent="0.25">
      <c r="A365" s="43">
        <v>45426</v>
      </c>
      <c r="B365" s="17">
        <v>774923029.72000003</v>
      </c>
      <c r="C365" s="17">
        <v>0</v>
      </c>
      <c r="D365" s="18"/>
      <c r="E365" s="19">
        <f t="shared" si="110"/>
        <v>774923029.72000003</v>
      </c>
      <c r="F365" s="19">
        <f t="shared" si="111"/>
        <v>774923029.72000003</v>
      </c>
      <c r="G365" s="20">
        <f t="shared" si="112"/>
        <v>0</v>
      </c>
      <c r="H365" s="18"/>
      <c r="I365" s="18"/>
      <c r="J365" s="18"/>
      <c r="K365" s="19">
        <f t="shared" si="113"/>
        <v>0</v>
      </c>
      <c r="L365" s="18"/>
      <c r="M365" s="18"/>
      <c r="N365" s="18"/>
      <c r="O365" s="19">
        <f t="shared" si="114"/>
        <v>0</v>
      </c>
      <c r="P365" s="21">
        <f t="shared" si="115"/>
        <v>0</v>
      </c>
      <c r="Q365" s="18"/>
      <c r="R365" s="18"/>
      <c r="S365" s="19">
        <f t="shared" si="116"/>
        <v>0</v>
      </c>
      <c r="T365" s="20">
        <f t="shared" si="117"/>
        <v>0.03</v>
      </c>
      <c r="U365" s="19">
        <f t="shared" si="118"/>
        <v>0</v>
      </c>
      <c r="V365" s="18"/>
      <c r="W365" s="19">
        <f t="shared" si="119"/>
        <v>0</v>
      </c>
      <c r="X365" s="19">
        <f t="shared" si="120"/>
        <v>0</v>
      </c>
      <c r="Y365" s="18"/>
      <c r="Z365" s="18"/>
      <c r="AA365" s="19">
        <f t="shared" si="121"/>
        <v>0</v>
      </c>
      <c r="AB365" s="17">
        <v>0</v>
      </c>
      <c r="AC365" s="18"/>
      <c r="AD365" s="18"/>
      <c r="AE365" s="22">
        <f t="shared" si="122"/>
        <v>0</v>
      </c>
      <c r="AF365" s="23">
        <f t="shared" si="123"/>
        <v>0</v>
      </c>
      <c r="AG365" s="23">
        <f t="shared" si="124"/>
        <v>0</v>
      </c>
      <c r="AH365" s="18"/>
      <c r="AI365" s="24">
        <f t="shared" si="125"/>
        <v>0</v>
      </c>
      <c r="AJ365" s="25">
        <v>0</v>
      </c>
      <c r="AK365" s="24">
        <f t="shared" si="126"/>
        <v>0</v>
      </c>
      <c r="AL365" s="22">
        <f t="shared" si="127"/>
        <v>0</v>
      </c>
      <c r="AM365" s="22">
        <f t="shared" si="128"/>
        <v>0</v>
      </c>
      <c r="AN365" s="22">
        <f t="shared" si="129"/>
        <v>0</v>
      </c>
      <c r="AO365" s="26" t="str">
        <f t="shared" si="130"/>
        <v/>
      </c>
      <c r="AP365" s="26" t="str">
        <f t="shared" si="131"/>
        <v>pre-launch</v>
      </c>
      <c r="AQ365" s="18"/>
      <c r="AR365" s="18"/>
    </row>
    <row r="366" spans="1:44" x14ac:dyDescent="0.25">
      <c r="A366" s="43">
        <v>45427</v>
      </c>
      <c r="B366" s="17">
        <v>914482493.87</v>
      </c>
      <c r="C366" s="17">
        <v>0</v>
      </c>
      <c r="D366" s="18"/>
      <c r="E366" s="19">
        <f t="shared" si="110"/>
        <v>914482493.87</v>
      </c>
      <c r="F366" s="19">
        <f t="shared" si="111"/>
        <v>914482493.87</v>
      </c>
      <c r="G366" s="20">
        <f t="shared" si="112"/>
        <v>0</v>
      </c>
      <c r="H366" s="18"/>
      <c r="I366" s="18"/>
      <c r="J366" s="18"/>
      <c r="K366" s="19">
        <f t="shared" si="113"/>
        <v>0</v>
      </c>
      <c r="L366" s="18"/>
      <c r="M366" s="18"/>
      <c r="N366" s="18"/>
      <c r="O366" s="19">
        <f t="shared" si="114"/>
        <v>0</v>
      </c>
      <c r="P366" s="21">
        <f t="shared" si="115"/>
        <v>0</v>
      </c>
      <c r="Q366" s="18"/>
      <c r="R366" s="18"/>
      <c r="S366" s="19">
        <f t="shared" si="116"/>
        <v>0</v>
      </c>
      <c r="T366" s="20">
        <f t="shared" si="117"/>
        <v>0.03</v>
      </c>
      <c r="U366" s="19">
        <f t="shared" si="118"/>
        <v>0</v>
      </c>
      <c r="V366" s="18"/>
      <c r="W366" s="19">
        <f t="shared" si="119"/>
        <v>0</v>
      </c>
      <c r="X366" s="19">
        <f t="shared" si="120"/>
        <v>0</v>
      </c>
      <c r="Y366" s="18"/>
      <c r="Z366" s="18"/>
      <c r="AA366" s="19">
        <f t="shared" si="121"/>
        <v>0</v>
      </c>
      <c r="AB366" s="17">
        <v>0</v>
      </c>
      <c r="AC366" s="18"/>
      <c r="AD366" s="18"/>
      <c r="AE366" s="22">
        <f t="shared" si="122"/>
        <v>0</v>
      </c>
      <c r="AF366" s="23">
        <f t="shared" si="123"/>
        <v>0</v>
      </c>
      <c r="AG366" s="23">
        <f t="shared" si="124"/>
        <v>0</v>
      </c>
      <c r="AH366" s="18"/>
      <c r="AI366" s="24">
        <f t="shared" si="125"/>
        <v>0</v>
      </c>
      <c r="AJ366" s="25">
        <v>0</v>
      </c>
      <c r="AK366" s="24">
        <f t="shared" si="126"/>
        <v>0</v>
      </c>
      <c r="AL366" s="22">
        <f t="shared" si="127"/>
        <v>0</v>
      </c>
      <c r="AM366" s="22">
        <f t="shared" si="128"/>
        <v>0</v>
      </c>
      <c r="AN366" s="22">
        <f t="shared" si="129"/>
        <v>0</v>
      </c>
      <c r="AO366" s="26" t="str">
        <f t="shared" si="130"/>
        <v/>
      </c>
      <c r="AP366" s="26" t="str">
        <f t="shared" si="131"/>
        <v>pre-launch</v>
      </c>
      <c r="AQ366" s="18"/>
      <c r="AR366" s="18"/>
    </row>
    <row r="367" spans="1:44" x14ac:dyDescent="0.25">
      <c r="A367" s="43">
        <v>45428</v>
      </c>
      <c r="B367" s="17">
        <v>760527575.10000002</v>
      </c>
      <c r="C367" s="17">
        <v>0</v>
      </c>
      <c r="D367" s="18"/>
      <c r="E367" s="19">
        <f t="shared" si="110"/>
        <v>760527575.10000002</v>
      </c>
      <c r="F367" s="19">
        <f t="shared" si="111"/>
        <v>760527575.10000002</v>
      </c>
      <c r="G367" s="20">
        <f t="shared" si="112"/>
        <v>0</v>
      </c>
      <c r="H367" s="18"/>
      <c r="I367" s="18"/>
      <c r="J367" s="18"/>
      <c r="K367" s="19">
        <f t="shared" si="113"/>
        <v>0</v>
      </c>
      <c r="L367" s="18"/>
      <c r="M367" s="18"/>
      <c r="N367" s="18"/>
      <c r="O367" s="19">
        <f t="shared" si="114"/>
        <v>0</v>
      </c>
      <c r="P367" s="21">
        <f t="shared" si="115"/>
        <v>0</v>
      </c>
      <c r="Q367" s="18"/>
      <c r="R367" s="18"/>
      <c r="S367" s="19">
        <f t="shared" si="116"/>
        <v>0</v>
      </c>
      <c r="T367" s="20">
        <f t="shared" si="117"/>
        <v>0.03</v>
      </c>
      <c r="U367" s="19">
        <f t="shared" si="118"/>
        <v>0</v>
      </c>
      <c r="V367" s="18"/>
      <c r="W367" s="19">
        <f t="shared" si="119"/>
        <v>0</v>
      </c>
      <c r="X367" s="19">
        <f t="shared" si="120"/>
        <v>0</v>
      </c>
      <c r="Y367" s="18"/>
      <c r="Z367" s="18"/>
      <c r="AA367" s="19">
        <f t="shared" si="121"/>
        <v>0</v>
      </c>
      <c r="AB367" s="17">
        <v>0</v>
      </c>
      <c r="AC367" s="18"/>
      <c r="AD367" s="18"/>
      <c r="AE367" s="22">
        <f t="shared" si="122"/>
        <v>0</v>
      </c>
      <c r="AF367" s="23">
        <f t="shared" si="123"/>
        <v>0</v>
      </c>
      <c r="AG367" s="23">
        <f t="shared" si="124"/>
        <v>0</v>
      </c>
      <c r="AH367" s="18"/>
      <c r="AI367" s="24">
        <f t="shared" si="125"/>
        <v>0</v>
      </c>
      <c r="AJ367" s="25">
        <v>0</v>
      </c>
      <c r="AK367" s="24">
        <f t="shared" si="126"/>
        <v>0</v>
      </c>
      <c r="AL367" s="22">
        <f t="shared" si="127"/>
        <v>0</v>
      </c>
      <c r="AM367" s="22">
        <f t="shared" si="128"/>
        <v>0</v>
      </c>
      <c r="AN367" s="22">
        <f t="shared" si="129"/>
        <v>0</v>
      </c>
      <c r="AO367" s="26" t="str">
        <f t="shared" si="130"/>
        <v/>
      </c>
      <c r="AP367" s="26" t="str">
        <f t="shared" si="131"/>
        <v>pre-launch</v>
      </c>
      <c r="AQ367" s="18"/>
      <c r="AR367" s="18"/>
    </row>
    <row r="368" spans="1:44" x14ac:dyDescent="0.25">
      <c r="A368" s="43">
        <v>45429</v>
      </c>
      <c r="B368" s="17">
        <v>756952480.67999995</v>
      </c>
      <c r="C368" s="17">
        <v>0</v>
      </c>
      <c r="D368" s="18"/>
      <c r="E368" s="19">
        <f t="shared" si="110"/>
        <v>756952480.67999995</v>
      </c>
      <c r="F368" s="19">
        <f t="shared" si="111"/>
        <v>756952480.67999995</v>
      </c>
      <c r="G368" s="20">
        <f t="shared" si="112"/>
        <v>0</v>
      </c>
      <c r="H368" s="18"/>
      <c r="I368" s="18"/>
      <c r="J368" s="18"/>
      <c r="K368" s="19">
        <f t="shared" si="113"/>
        <v>0</v>
      </c>
      <c r="L368" s="18"/>
      <c r="M368" s="18"/>
      <c r="N368" s="18"/>
      <c r="O368" s="19">
        <f t="shared" si="114"/>
        <v>0</v>
      </c>
      <c r="P368" s="21">
        <f t="shared" si="115"/>
        <v>0</v>
      </c>
      <c r="Q368" s="18"/>
      <c r="R368" s="18"/>
      <c r="S368" s="19">
        <f t="shared" si="116"/>
        <v>0</v>
      </c>
      <c r="T368" s="20">
        <f t="shared" si="117"/>
        <v>0.03</v>
      </c>
      <c r="U368" s="19">
        <f t="shared" si="118"/>
        <v>0</v>
      </c>
      <c r="V368" s="18"/>
      <c r="W368" s="19">
        <f t="shared" si="119"/>
        <v>0</v>
      </c>
      <c r="X368" s="19">
        <f t="shared" si="120"/>
        <v>0</v>
      </c>
      <c r="Y368" s="18"/>
      <c r="Z368" s="18"/>
      <c r="AA368" s="19">
        <f t="shared" si="121"/>
        <v>0</v>
      </c>
      <c r="AB368" s="17">
        <v>0</v>
      </c>
      <c r="AC368" s="18"/>
      <c r="AD368" s="18"/>
      <c r="AE368" s="22">
        <f t="shared" si="122"/>
        <v>0</v>
      </c>
      <c r="AF368" s="23">
        <f t="shared" si="123"/>
        <v>0</v>
      </c>
      <c r="AG368" s="23">
        <f t="shared" si="124"/>
        <v>0</v>
      </c>
      <c r="AH368" s="18"/>
      <c r="AI368" s="24">
        <f t="shared" si="125"/>
        <v>0</v>
      </c>
      <c r="AJ368" s="25">
        <v>0</v>
      </c>
      <c r="AK368" s="24">
        <f t="shared" si="126"/>
        <v>0</v>
      </c>
      <c r="AL368" s="22">
        <f t="shared" si="127"/>
        <v>0</v>
      </c>
      <c r="AM368" s="22">
        <f t="shared" si="128"/>
        <v>0</v>
      </c>
      <c r="AN368" s="22">
        <f t="shared" si="129"/>
        <v>0</v>
      </c>
      <c r="AO368" s="26" t="str">
        <f t="shared" si="130"/>
        <v/>
      </c>
      <c r="AP368" s="26" t="str">
        <f t="shared" si="131"/>
        <v>pre-launch</v>
      </c>
      <c r="AQ368" s="18"/>
      <c r="AR368" s="18"/>
    </row>
    <row r="369" spans="1:44" x14ac:dyDescent="0.25">
      <c r="A369" s="43">
        <v>45430</v>
      </c>
      <c r="B369" s="17">
        <v>418702470.92000002</v>
      </c>
      <c r="C369" s="17">
        <v>0</v>
      </c>
      <c r="D369" s="18"/>
      <c r="E369" s="19">
        <f t="shared" si="110"/>
        <v>418702470.92000002</v>
      </c>
      <c r="F369" s="19">
        <f t="shared" si="111"/>
        <v>418702470.92000002</v>
      </c>
      <c r="G369" s="20">
        <f t="shared" si="112"/>
        <v>0</v>
      </c>
      <c r="H369" s="18"/>
      <c r="I369" s="18"/>
      <c r="J369" s="18"/>
      <c r="K369" s="19">
        <f t="shared" si="113"/>
        <v>0</v>
      </c>
      <c r="L369" s="18"/>
      <c r="M369" s="18"/>
      <c r="N369" s="18"/>
      <c r="O369" s="19">
        <f t="shared" si="114"/>
        <v>0</v>
      </c>
      <c r="P369" s="21">
        <f t="shared" si="115"/>
        <v>0</v>
      </c>
      <c r="Q369" s="18"/>
      <c r="R369" s="18"/>
      <c r="S369" s="19">
        <f t="shared" si="116"/>
        <v>0</v>
      </c>
      <c r="T369" s="20">
        <f t="shared" si="117"/>
        <v>0.03</v>
      </c>
      <c r="U369" s="19">
        <f t="shared" si="118"/>
        <v>0</v>
      </c>
      <c r="V369" s="18"/>
      <c r="W369" s="19">
        <f t="shared" si="119"/>
        <v>0</v>
      </c>
      <c r="X369" s="19">
        <f t="shared" si="120"/>
        <v>0</v>
      </c>
      <c r="Y369" s="18"/>
      <c r="Z369" s="18"/>
      <c r="AA369" s="19">
        <f t="shared" si="121"/>
        <v>0</v>
      </c>
      <c r="AB369" s="17">
        <v>0</v>
      </c>
      <c r="AC369" s="18"/>
      <c r="AD369" s="18"/>
      <c r="AE369" s="22">
        <f t="shared" si="122"/>
        <v>0</v>
      </c>
      <c r="AF369" s="23">
        <f t="shared" si="123"/>
        <v>0</v>
      </c>
      <c r="AG369" s="23">
        <f t="shared" si="124"/>
        <v>0</v>
      </c>
      <c r="AH369" s="18"/>
      <c r="AI369" s="24">
        <f t="shared" si="125"/>
        <v>0</v>
      </c>
      <c r="AJ369" s="25">
        <v>0</v>
      </c>
      <c r="AK369" s="24">
        <f t="shared" si="126"/>
        <v>0</v>
      </c>
      <c r="AL369" s="22">
        <f t="shared" si="127"/>
        <v>0</v>
      </c>
      <c r="AM369" s="22">
        <f t="shared" si="128"/>
        <v>0</v>
      </c>
      <c r="AN369" s="22">
        <f t="shared" si="129"/>
        <v>0</v>
      </c>
      <c r="AO369" s="26" t="str">
        <f t="shared" si="130"/>
        <v/>
      </c>
      <c r="AP369" s="26" t="str">
        <f t="shared" si="131"/>
        <v>pre-launch</v>
      </c>
      <c r="AQ369" s="18"/>
      <c r="AR369" s="18"/>
    </row>
    <row r="370" spans="1:44" x14ac:dyDescent="0.25">
      <c r="A370" s="43">
        <v>45431</v>
      </c>
      <c r="B370" s="17">
        <v>556804308.59000003</v>
      </c>
      <c r="C370" s="17">
        <v>0</v>
      </c>
      <c r="D370" s="18"/>
      <c r="E370" s="19">
        <f t="shared" si="110"/>
        <v>556804308.59000003</v>
      </c>
      <c r="F370" s="19">
        <f t="shared" si="111"/>
        <v>556804308.59000003</v>
      </c>
      <c r="G370" s="20">
        <f t="shared" si="112"/>
        <v>0</v>
      </c>
      <c r="H370" s="18"/>
      <c r="I370" s="18"/>
      <c r="J370" s="18"/>
      <c r="K370" s="19">
        <f t="shared" si="113"/>
        <v>0</v>
      </c>
      <c r="L370" s="18"/>
      <c r="M370" s="18"/>
      <c r="N370" s="18"/>
      <c r="O370" s="19">
        <f t="shared" si="114"/>
        <v>0</v>
      </c>
      <c r="P370" s="21">
        <f t="shared" si="115"/>
        <v>0</v>
      </c>
      <c r="Q370" s="18"/>
      <c r="R370" s="18"/>
      <c r="S370" s="19">
        <f t="shared" si="116"/>
        <v>0</v>
      </c>
      <c r="T370" s="20">
        <f t="shared" si="117"/>
        <v>0.03</v>
      </c>
      <c r="U370" s="19">
        <f t="shared" si="118"/>
        <v>0</v>
      </c>
      <c r="V370" s="18"/>
      <c r="W370" s="19">
        <f t="shared" si="119"/>
        <v>0</v>
      </c>
      <c r="X370" s="19">
        <f t="shared" si="120"/>
        <v>0</v>
      </c>
      <c r="Y370" s="18"/>
      <c r="Z370" s="18"/>
      <c r="AA370" s="19">
        <f t="shared" si="121"/>
        <v>0</v>
      </c>
      <c r="AB370" s="17">
        <v>0</v>
      </c>
      <c r="AC370" s="18"/>
      <c r="AD370" s="18"/>
      <c r="AE370" s="22">
        <f t="shared" si="122"/>
        <v>0</v>
      </c>
      <c r="AF370" s="23">
        <f t="shared" si="123"/>
        <v>0</v>
      </c>
      <c r="AG370" s="23">
        <f t="shared" si="124"/>
        <v>0</v>
      </c>
      <c r="AH370" s="18"/>
      <c r="AI370" s="24">
        <f t="shared" si="125"/>
        <v>0</v>
      </c>
      <c r="AJ370" s="25">
        <v>0</v>
      </c>
      <c r="AK370" s="24">
        <f t="shared" si="126"/>
        <v>0</v>
      </c>
      <c r="AL370" s="22">
        <f t="shared" si="127"/>
        <v>0</v>
      </c>
      <c r="AM370" s="22">
        <f t="shared" si="128"/>
        <v>0</v>
      </c>
      <c r="AN370" s="22">
        <f t="shared" si="129"/>
        <v>0</v>
      </c>
      <c r="AO370" s="26" t="str">
        <f t="shared" si="130"/>
        <v/>
      </c>
      <c r="AP370" s="26" t="str">
        <f t="shared" si="131"/>
        <v>pre-launch</v>
      </c>
      <c r="AQ370" s="18"/>
      <c r="AR370" s="18"/>
    </row>
    <row r="371" spans="1:44" x14ac:dyDescent="0.25">
      <c r="A371" s="43">
        <v>45432</v>
      </c>
      <c r="B371" s="17">
        <v>1559656764.4300001</v>
      </c>
      <c r="C371" s="17">
        <v>0</v>
      </c>
      <c r="D371" s="18"/>
      <c r="E371" s="19">
        <f t="shared" si="110"/>
        <v>1559656764.4300001</v>
      </c>
      <c r="F371" s="19">
        <f t="shared" si="111"/>
        <v>1559656764.4300001</v>
      </c>
      <c r="G371" s="20">
        <f t="shared" si="112"/>
        <v>0</v>
      </c>
      <c r="H371" s="18"/>
      <c r="I371" s="18"/>
      <c r="J371" s="18"/>
      <c r="K371" s="19">
        <f t="shared" si="113"/>
        <v>0</v>
      </c>
      <c r="L371" s="18"/>
      <c r="M371" s="18"/>
      <c r="N371" s="18"/>
      <c r="O371" s="19">
        <f t="shared" si="114"/>
        <v>0</v>
      </c>
      <c r="P371" s="21">
        <f t="shared" si="115"/>
        <v>0</v>
      </c>
      <c r="Q371" s="18"/>
      <c r="R371" s="18"/>
      <c r="S371" s="19">
        <f t="shared" si="116"/>
        <v>0</v>
      </c>
      <c r="T371" s="20">
        <f t="shared" si="117"/>
        <v>0.03</v>
      </c>
      <c r="U371" s="19">
        <f t="shared" si="118"/>
        <v>0</v>
      </c>
      <c r="V371" s="18"/>
      <c r="W371" s="19">
        <f t="shared" si="119"/>
        <v>0</v>
      </c>
      <c r="X371" s="19">
        <f t="shared" si="120"/>
        <v>0</v>
      </c>
      <c r="Y371" s="18"/>
      <c r="Z371" s="18"/>
      <c r="AA371" s="19">
        <f t="shared" si="121"/>
        <v>0</v>
      </c>
      <c r="AB371" s="17">
        <v>0</v>
      </c>
      <c r="AC371" s="18"/>
      <c r="AD371" s="18"/>
      <c r="AE371" s="22">
        <f t="shared" si="122"/>
        <v>0</v>
      </c>
      <c r="AF371" s="23">
        <f t="shared" si="123"/>
        <v>0</v>
      </c>
      <c r="AG371" s="23">
        <f t="shared" si="124"/>
        <v>0</v>
      </c>
      <c r="AH371" s="18"/>
      <c r="AI371" s="24">
        <f t="shared" si="125"/>
        <v>0</v>
      </c>
      <c r="AJ371" s="25">
        <v>0</v>
      </c>
      <c r="AK371" s="24">
        <f t="shared" si="126"/>
        <v>0</v>
      </c>
      <c r="AL371" s="22">
        <f t="shared" si="127"/>
        <v>0</v>
      </c>
      <c r="AM371" s="22">
        <f t="shared" si="128"/>
        <v>0</v>
      </c>
      <c r="AN371" s="22">
        <f t="shared" si="129"/>
        <v>0</v>
      </c>
      <c r="AO371" s="26" t="str">
        <f t="shared" si="130"/>
        <v/>
      </c>
      <c r="AP371" s="26" t="str">
        <f t="shared" si="131"/>
        <v>pre-launch</v>
      </c>
      <c r="AQ371" s="18"/>
      <c r="AR371" s="18"/>
    </row>
    <row r="372" spans="1:44" x14ac:dyDescent="0.25">
      <c r="A372" s="43">
        <v>45433</v>
      </c>
      <c r="B372" s="17">
        <v>1188393198.6800001</v>
      </c>
      <c r="C372" s="17">
        <v>0</v>
      </c>
      <c r="D372" s="18"/>
      <c r="E372" s="19">
        <f t="shared" si="110"/>
        <v>1188393198.6800001</v>
      </c>
      <c r="F372" s="19">
        <f t="shared" si="111"/>
        <v>1188393198.6800001</v>
      </c>
      <c r="G372" s="20">
        <f t="shared" si="112"/>
        <v>0</v>
      </c>
      <c r="H372" s="18"/>
      <c r="I372" s="18"/>
      <c r="J372" s="18"/>
      <c r="K372" s="19">
        <f t="shared" si="113"/>
        <v>0</v>
      </c>
      <c r="L372" s="18"/>
      <c r="M372" s="18"/>
      <c r="N372" s="18"/>
      <c r="O372" s="19">
        <f t="shared" si="114"/>
        <v>0</v>
      </c>
      <c r="P372" s="21">
        <f t="shared" si="115"/>
        <v>0</v>
      </c>
      <c r="Q372" s="18"/>
      <c r="R372" s="18"/>
      <c r="S372" s="19">
        <f t="shared" si="116"/>
        <v>0</v>
      </c>
      <c r="T372" s="20">
        <f t="shared" si="117"/>
        <v>0.03</v>
      </c>
      <c r="U372" s="19">
        <f t="shared" si="118"/>
        <v>0</v>
      </c>
      <c r="V372" s="18"/>
      <c r="W372" s="19">
        <f t="shared" si="119"/>
        <v>0</v>
      </c>
      <c r="X372" s="19">
        <f t="shared" si="120"/>
        <v>0</v>
      </c>
      <c r="Y372" s="18"/>
      <c r="Z372" s="18"/>
      <c r="AA372" s="19">
        <f t="shared" si="121"/>
        <v>0</v>
      </c>
      <c r="AB372" s="17">
        <v>0</v>
      </c>
      <c r="AC372" s="18"/>
      <c r="AD372" s="18"/>
      <c r="AE372" s="22">
        <f t="shared" si="122"/>
        <v>0</v>
      </c>
      <c r="AF372" s="23">
        <f t="shared" si="123"/>
        <v>0</v>
      </c>
      <c r="AG372" s="23">
        <f t="shared" si="124"/>
        <v>0</v>
      </c>
      <c r="AH372" s="18"/>
      <c r="AI372" s="24">
        <f t="shared" si="125"/>
        <v>0</v>
      </c>
      <c r="AJ372" s="25">
        <v>0</v>
      </c>
      <c r="AK372" s="24">
        <f t="shared" si="126"/>
        <v>0</v>
      </c>
      <c r="AL372" s="22">
        <f t="shared" si="127"/>
        <v>0</v>
      </c>
      <c r="AM372" s="22">
        <f t="shared" si="128"/>
        <v>0</v>
      </c>
      <c r="AN372" s="22">
        <f t="shared" si="129"/>
        <v>0</v>
      </c>
      <c r="AO372" s="26" t="str">
        <f t="shared" si="130"/>
        <v/>
      </c>
      <c r="AP372" s="26" t="str">
        <f t="shared" si="131"/>
        <v>pre-launch</v>
      </c>
      <c r="AQ372" s="18"/>
      <c r="AR372" s="18"/>
    </row>
    <row r="373" spans="1:44" x14ac:dyDescent="0.25">
      <c r="A373" s="43">
        <v>45434</v>
      </c>
      <c r="B373" s="17">
        <v>1153848085.02</v>
      </c>
      <c r="C373" s="17">
        <v>0</v>
      </c>
      <c r="D373" s="18"/>
      <c r="E373" s="19">
        <f t="shared" si="110"/>
        <v>1153848085.02</v>
      </c>
      <c r="F373" s="19">
        <f t="shared" si="111"/>
        <v>1153848085.02</v>
      </c>
      <c r="G373" s="20">
        <f t="shared" si="112"/>
        <v>0</v>
      </c>
      <c r="H373" s="18"/>
      <c r="I373" s="18"/>
      <c r="J373" s="18"/>
      <c r="K373" s="19">
        <f t="shared" si="113"/>
        <v>0</v>
      </c>
      <c r="L373" s="18"/>
      <c r="M373" s="18"/>
      <c r="N373" s="18"/>
      <c r="O373" s="19">
        <f t="shared" si="114"/>
        <v>0</v>
      </c>
      <c r="P373" s="21">
        <f t="shared" si="115"/>
        <v>0</v>
      </c>
      <c r="Q373" s="18"/>
      <c r="R373" s="18"/>
      <c r="S373" s="19">
        <f t="shared" si="116"/>
        <v>0</v>
      </c>
      <c r="T373" s="20">
        <f t="shared" si="117"/>
        <v>0.03</v>
      </c>
      <c r="U373" s="19">
        <f t="shared" si="118"/>
        <v>0</v>
      </c>
      <c r="V373" s="18"/>
      <c r="W373" s="19">
        <f t="shared" si="119"/>
        <v>0</v>
      </c>
      <c r="X373" s="19">
        <f t="shared" si="120"/>
        <v>0</v>
      </c>
      <c r="Y373" s="18"/>
      <c r="Z373" s="18"/>
      <c r="AA373" s="19">
        <f t="shared" si="121"/>
        <v>0</v>
      </c>
      <c r="AB373" s="17">
        <v>0</v>
      </c>
      <c r="AC373" s="18"/>
      <c r="AD373" s="18"/>
      <c r="AE373" s="22">
        <f t="shared" si="122"/>
        <v>0</v>
      </c>
      <c r="AF373" s="23">
        <f t="shared" si="123"/>
        <v>0</v>
      </c>
      <c r="AG373" s="23">
        <f t="shared" si="124"/>
        <v>0</v>
      </c>
      <c r="AH373" s="18"/>
      <c r="AI373" s="24">
        <f t="shared" si="125"/>
        <v>0</v>
      </c>
      <c r="AJ373" s="25">
        <v>0</v>
      </c>
      <c r="AK373" s="24">
        <f t="shared" si="126"/>
        <v>0</v>
      </c>
      <c r="AL373" s="22">
        <f t="shared" si="127"/>
        <v>0</v>
      </c>
      <c r="AM373" s="22">
        <f t="shared" si="128"/>
        <v>0</v>
      </c>
      <c r="AN373" s="22">
        <f t="shared" si="129"/>
        <v>0</v>
      </c>
      <c r="AO373" s="26" t="str">
        <f t="shared" si="130"/>
        <v/>
      </c>
      <c r="AP373" s="26" t="str">
        <f t="shared" si="131"/>
        <v>pre-launch</v>
      </c>
      <c r="AQ373" s="18"/>
      <c r="AR373" s="18"/>
    </row>
    <row r="374" spans="1:44" x14ac:dyDescent="0.25">
      <c r="A374" s="43">
        <v>45435</v>
      </c>
      <c r="B374" s="17">
        <v>2010732638.27</v>
      </c>
      <c r="C374" s="17">
        <v>0</v>
      </c>
      <c r="D374" s="18"/>
      <c r="E374" s="19">
        <f t="shared" si="110"/>
        <v>2010732638.27</v>
      </c>
      <c r="F374" s="19">
        <f t="shared" si="111"/>
        <v>2010732638.27</v>
      </c>
      <c r="G374" s="20">
        <f t="shared" si="112"/>
        <v>0</v>
      </c>
      <c r="H374" s="18"/>
      <c r="I374" s="18"/>
      <c r="J374" s="18"/>
      <c r="K374" s="19">
        <f t="shared" si="113"/>
        <v>0</v>
      </c>
      <c r="L374" s="18"/>
      <c r="M374" s="18"/>
      <c r="N374" s="18"/>
      <c r="O374" s="19">
        <f t="shared" si="114"/>
        <v>0</v>
      </c>
      <c r="P374" s="21">
        <f t="shared" si="115"/>
        <v>0</v>
      </c>
      <c r="Q374" s="18"/>
      <c r="R374" s="18"/>
      <c r="S374" s="19">
        <f t="shared" si="116"/>
        <v>0</v>
      </c>
      <c r="T374" s="20">
        <f t="shared" si="117"/>
        <v>0.03</v>
      </c>
      <c r="U374" s="19">
        <f t="shared" si="118"/>
        <v>0</v>
      </c>
      <c r="V374" s="18"/>
      <c r="W374" s="19">
        <f t="shared" si="119"/>
        <v>0</v>
      </c>
      <c r="X374" s="19">
        <f t="shared" si="120"/>
        <v>0</v>
      </c>
      <c r="Y374" s="18"/>
      <c r="Z374" s="18"/>
      <c r="AA374" s="19">
        <f t="shared" si="121"/>
        <v>0</v>
      </c>
      <c r="AB374" s="17">
        <v>0</v>
      </c>
      <c r="AC374" s="18"/>
      <c r="AD374" s="18"/>
      <c r="AE374" s="22">
        <f t="shared" si="122"/>
        <v>0</v>
      </c>
      <c r="AF374" s="23">
        <f t="shared" si="123"/>
        <v>0</v>
      </c>
      <c r="AG374" s="23">
        <f t="shared" si="124"/>
        <v>0</v>
      </c>
      <c r="AH374" s="18"/>
      <c r="AI374" s="24">
        <f t="shared" si="125"/>
        <v>0</v>
      </c>
      <c r="AJ374" s="25">
        <v>0</v>
      </c>
      <c r="AK374" s="24">
        <f t="shared" si="126"/>
        <v>0</v>
      </c>
      <c r="AL374" s="22">
        <f t="shared" si="127"/>
        <v>0</v>
      </c>
      <c r="AM374" s="22">
        <f t="shared" si="128"/>
        <v>0</v>
      </c>
      <c r="AN374" s="22">
        <f t="shared" si="129"/>
        <v>0</v>
      </c>
      <c r="AO374" s="26" t="str">
        <f t="shared" si="130"/>
        <v/>
      </c>
      <c r="AP374" s="26" t="str">
        <f t="shared" si="131"/>
        <v>pre-launch</v>
      </c>
      <c r="AQ374" s="18"/>
      <c r="AR374" s="18"/>
    </row>
    <row r="375" spans="1:44" x14ac:dyDescent="0.25">
      <c r="A375" s="43">
        <v>45436</v>
      </c>
      <c r="B375" s="17">
        <v>915646407.34000003</v>
      </c>
      <c r="C375" s="17">
        <v>0</v>
      </c>
      <c r="D375" s="18"/>
      <c r="E375" s="19">
        <f t="shared" si="110"/>
        <v>915646407.34000003</v>
      </c>
      <c r="F375" s="19">
        <f t="shared" si="111"/>
        <v>915646407.34000003</v>
      </c>
      <c r="G375" s="20">
        <f t="shared" si="112"/>
        <v>0</v>
      </c>
      <c r="H375" s="18"/>
      <c r="I375" s="18"/>
      <c r="J375" s="18"/>
      <c r="K375" s="19">
        <f t="shared" si="113"/>
        <v>0</v>
      </c>
      <c r="L375" s="18"/>
      <c r="M375" s="18"/>
      <c r="N375" s="18"/>
      <c r="O375" s="19">
        <f t="shared" si="114"/>
        <v>0</v>
      </c>
      <c r="P375" s="21">
        <f t="shared" si="115"/>
        <v>0</v>
      </c>
      <c r="Q375" s="18"/>
      <c r="R375" s="18"/>
      <c r="S375" s="19">
        <f t="shared" si="116"/>
        <v>0</v>
      </c>
      <c r="T375" s="20">
        <f t="shared" si="117"/>
        <v>0.03</v>
      </c>
      <c r="U375" s="19">
        <f t="shared" si="118"/>
        <v>0</v>
      </c>
      <c r="V375" s="18"/>
      <c r="W375" s="19">
        <f t="shared" si="119"/>
        <v>0</v>
      </c>
      <c r="X375" s="19">
        <f t="shared" si="120"/>
        <v>0</v>
      </c>
      <c r="Y375" s="18"/>
      <c r="Z375" s="18"/>
      <c r="AA375" s="19">
        <f t="shared" si="121"/>
        <v>0</v>
      </c>
      <c r="AB375" s="17">
        <v>0</v>
      </c>
      <c r="AC375" s="18"/>
      <c r="AD375" s="18"/>
      <c r="AE375" s="22">
        <f t="shared" si="122"/>
        <v>0</v>
      </c>
      <c r="AF375" s="23">
        <f t="shared" si="123"/>
        <v>0</v>
      </c>
      <c r="AG375" s="23">
        <f t="shared" si="124"/>
        <v>0</v>
      </c>
      <c r="AH375" s="18"/>
      <c r="AI375" s="24">
        <f t="shared" si="125"/>
        <v>0</v>
      </c>
      <c r="AJ375" s="25">
        <v>0</v>
      </c>
      <c r="AK375" s="24">
        <f t="shared" si="126"/>
        <v>0</v>
      </c>
      <c r="AL375" s="22">
        <f t="shared" si="127"/>
        <v>0</v>
      </c>
      <c r="AM375" s="22">
        <f t="shared" si="128"/>
        <v>0</v>
      </c>
      <c r="AN375" s="22">
        <f t="shared" si="129"/>
        <v>0</v>
      </c>
      <c r="AO375" s="26" t="str">
        <f t="shared" si="130"/>
        <v/>
      </c>
      <c r="AP375" s="26" t="str">
        <f t="shared" si="131"/>
        <v>pre-launch</v>
      </c>
      <c r="AQ375" s="18"/>
      <c r="AR375" s="18"/>
    </row>
    <row r="376" spans="1:44" x14ac:dyDescent="0.25">
      <c r="A376" s="43">
        <v>45437</v>
      </c>
      <c r="B376" s="17">
        <v>388397278</v>
      </c>
      <c r="C376" s="17">
        <v>0</v>
      </c>
      <c r="D376" s="18"/>
      <c r="E376" s="19">
        <f t="shared" si="110"/>
        <v>388397278</v>
      </c>
      <c r="F376" s="19">
        <f t="shared" si="111"/>
        <v>388397278</v>
      </c>
      <c r="G376" s="20">
        <f t="shared" si="112"/>
        <v>0</v>
      </c>
      <c r="H376" s="18"/>
      <c r="I376" s="18"/>
      <c r="J376" s="18"/>
      <c r="K376" s="19">
        <f t="shared" si="113"/>
        <v>0</v>
      </c>
      <c r="L376" s="18"/>
      <c r="M376" s="18"/>
      <c r="N376" s="18"/>
      <c r="O376" s="19">
        <f t="shared" si="114"/>
        <v>0</v>
      </c>
      <c r="P376" s="21">
        <f t="shared" si="115"/>
        <v>0</v>
      </c>
      <c r="Q376" s="18"/>
      <c r="R376" s="18"/>
      <c r="S376" s="19">
        <f t="shared" si="116"/>
        <v>0</v>
      </c>
      <c r="T376" s="20">
        <f t="shared" si="117"/>
        <v>0.03</v>
      </c>
      <c r="U376" s="19">
        <f t="shared" si="118"/>
        <v>0</v>
      </c>
      <c r="V376" s="18"/>
      <c r="W376" s="19">
        <f t="shared" si="119"/>
        <v>0</v>
      </c>
      <c r="X376" s="19">
        <f t="shared" si="120"/>
        <v>0</v>
      </c>
      <c r="Y376" s="18"/>
      <c r="Z376" s="18"/>
      <c r="AA376" s="19">
        <f t="shared" si="121"/>
        <v>0</v>
      </c>
      <c r="AB376" s="17">
        <v>0</v>
      </c>
      <c r="AC376" s="18"/>
      <c r="AD376" s="18"/>
      <c r="AE376" s="22">
        <f t="shared" si="122"/>
        <v>0</v>
      </c>
      <c r="AF376" s="23">
        <f t="shared" si="123"/>
        <v>0</v>
      </c>
      <c r="AG376" s="23">
        <f t="shared" si="124"/>
        <v>0</v>
      </c>
      <c r="AH376" s="18"/>
      <c r="AI376" s="24">
        <f t="shared" si="125"/>
        <v>0</v>
      </c>
      <c r="AJ376" s="25">
        <v>0</v>
      </c>
      <c r="AK376" s="24">
        <f t="shared" si="126"/>
        <v>0</v>
      </c>
      <c r="AL376" s="22">
        <f t="shared" si="127"/>
        <v>0</v>
      </c>
      <c r="AM376" s="22">
        <f t="shared" si="128"/>
        <v>0</v>
      </c>
      <c r="AN376" s="22">
        <f t="shared" si="129"/>
        <v>0</v>
      </c>
      <c r="AO376" s="26" t="str">
        <f t="shared" si="130"/>
        <v/>
      </c>
      <c r="AP376" s="26" t="str">
        <f t="shared" si="131"/>
        <v>pre-launch</v>
      </c>
      <c r="AQ376" s="18"/>
      <c r="AR376" s="18"/>
    </row>
    <row r="377" spans="1:44" x14ac:dyDescent="0.25">
      <c r="A377" s="43">
        <v>45438</v>
      </c>
      <c r="B377" s="17">
        <v>536019684.75999999</v>
      </c>
      <c r="C377" s="17">
        <v>0</v>
      </c>
      <c r="D377" s="18"/>
      <c r="E377" s="19">
        <f t="shared" si="110"/>
        <v>536019684.75999999</v>
      </c>
      <c r="F377" s="19">
        <f t="shared" si="111"/>
        <v>536019684.75999999</v>
      </c>
      <c r="G377" s="20">
        <f t="shared" si="112"/>
        <v>0</v>
      </c>
      <c r="H377" s="18"/>
      <c r="I377" s="18"/>
      <c r="J377" s="18"/>
      <c r="K377" s="19">
        <f t="shared" si="113"/>
        <v>0</v>
      </c>
      <c r="L377" s="18"/>
      <c r="M377" s="18"/>
      <c r="N377" s="18"/>
      <c r="O377" s="19">
        <f t="shared" si="114"/>
        <v>0</v>
      </c>
      <c r="P377" s="21">
        <f t="shared" si="115"/>
        <v>0</v>
      </c>
      <c r="Q377" s="18"/>
      <c r="R377" s="18"/>
      <c r="S377" s="19">
        <f t="shared" si="116"/>
        <v>0</v>
      </c>
      <c r="T377" s="20">
        <f t="shared" si="117"/>
        <v>0.03</v>
      </c>
      <c r="U377" s="19">
        <f t="shared" si="118"/>
        <v>0</v>
      </c>
      <c r="V377" s="18"/>
      <c r="W377" s="19">
        <f t="shared" si="119"/>
        <v>0</v>
      </c>
      <c r="X377" s="19">
        <f t="shared" si="120"/>
        <v>0</v>
      </c>
      <c r="Y377" s="18"/>
      <c r="Z377" s="18"/>
      <c r="AA377" s="19">
        <f t="shared" si="121"/>
        <v>0</v>
      </c>
      <c r="AB377" s="17">
        <v>0</v>
      </c>
      <c r="AC377" s="18"/>
      <c r="AD377" s="18"/>
      <c r="AE377" s="22">
        <f t="shared" si="122"/>
        <v>0</v>
      </c>
      <c r="AF377" s="23">
        <f t="shared" si="123"/>
        <v>0</v>
      </c>
      <c r="AG377" s="23">
        <f t="shared" si="124"/>
        <v>0</v>
      </c>
      <c r="AH377" s="18"/>
      <c r="AI377" s="24">
        <f t="shared" si="125"/>
        <v>0</v>
      </c>
      <c r="AJ377" s="25">
        <v>0</v>
      </c>
      <c r="AK377" s="24">
        <f t="shared" si="126"/>
        <v>0</v>
      </c>
      <c r="AL377" s="22">
        <f t="shared" si="127"/>
        <v>0</v>
      </c>
      <c r="AM377" s="22">
        <f t="shared" si="128"/>
        <v>0</v>
      </c>
      <c r="AN377" s="22">
        <f t="shared" si="129"/>
        <v>0</v>
      </c>
      <c r="AO377" s="26" t="str">
        <f t="shared" si="130"/>
        <v/>
      </c>
      <c r="AP377" s="26" t="str">
        <f t="shared" si="131"/>
        <v>pre-launch</v>
      </c>
      <c r="AQ377" s="18"/>
      <c r="AR377" s="18"/>
    </row>
    <row r="378" spans="1:44" x14ac:dyDescent="0.25">
      <c r="A378" s="43">
        <v>45439</v>
      </c>
      <c r="B378" s="17">
        <v>784427402.01999998</v>
      </c>
      <c r="C378" s="17">
        <v>0</v>
      </c>
      <c r="D378" s="18"/>
      <c r="E378" s="19">
        <f t="shared" si="110"/>
        <v>784427402.01999998</v>
      </c>
      <c r="F378" s="19">
        <f t="shared" si="111"/>
        <v>784427402.01999998</v>
      </c>
      <c r="G378" s="20">
        <f t="shared" si="112"/>
        <v>0</v>
      </c>
      <c r="H378" s="18"/>
      <c r="I378" s="18"/>
      <c r="J378" s="18"/>
      <c r="K378" s="19">
        <f t="shared" si="113"/>
        <v>0</v>
      </c>
      <c r="L378" s="18"/>
      <c r="M378" s="18"/>
      <c r="N378" s="18"/>
      <c r="O378" s="19">
        <f t="shared" si="114"/>
        <v>0</v>
      </c>
      <c r="P378" s="21">
        <f t="shared" si="115"/>
        <v>0</v>
      </c>
      <c r="Q378" s="18"/>
      <c r="R378" s="18"/>
      <c r="S378" s="19">
        <f t="shared" si="116"/>
        <v>0</v>
      </c>
      <c r="T378" s="20">
        <f t="shared" si="117"/>
        <v>0.03</v>
      </c>
      <c r="U378" s="19">
        <f t="shared" si="118"/>
        <v>0</v>
      </c>
      <c r="V378" s="18"/>
      <c r="W378" s="19">
        <f t="shared" si="119"/>
        <v>0</v>
      </c>
      <c r="X378" s="19">
        <f t="shared" si="120"/>
        <v>0</v>
      </c>
      <c r="Y378" s="18"/>
      <c r="Z378" s="18"/>
      <c r="AA378" s="19">
        <f t="shared" si="121"/>
        <v>0</v>
      </c>
      <c r="AB378" s="17">
        <v>0</v>
      </c>
      <c r="AC378" s="18"/>
      <c r="AD378" s="18"/>
      <c r="AE378" s="22">
        <f t="shared" si="122"/>
        <v>0</v>
      </c>
      <c r="AF378" s="23">
        <f t="shared" si="123"/>
        <v>0</v>
      </c>
      <c r="AG378" s="23">
        <f t="shared" si="124"/>
        <v>0</v>
      </c>
      <c r="AH378" s="18"/>
      <c r="AI378" s="24">
        <f t="shared" si="125"/>
        <v>0</v>
      </c>
      <c r="AJ378" s="25">
        <v>0</v>
      </c>
      <c r="AK378" s="24">
        <f t="shared" si="126"/>
        <v>0</v>
      </c>
      <c r="AL378" s="22">
        <f t="shared" si="127"/>
        <v>0</v>
      </c>
      <c r="AM378" s="22">
        <f t="shared" si="128"/>
        <v>0</v>
      </c>
      <c r="AN378" s="22">
        <f t="shared" si="129"/>
        <v>0</v>
      </c>
      <c r="AO378" s="26" t="str">
        <f t="shared" si="130"/>
        <v/>
      </c>
      <c r="AP378" s="26" t="str">
        <f t="shared" si="131"/>
        <v>pre-launch</v>
      </c>
      <c r="AQ378" s="18"/>
      <c r="AR378" s="18"/>
    </row>
    <row r="379" spans="1:44" x14ac:dyDescent="0.25">
      <c r="A379" s="43">
        <v>45440</v>
      </c>
      <c r="B379" s="17">
        <v>1063856066.4299999</v>
      </c>
      <c r="C379" s="17">
        <v>0</v>
      </c>
      <c r="D379" s="18"/>
      <c r="E379" s="19">
        <f t="shared" si="110"/>
        <v>1063856066.4299999</v>
      </c>
      <c r="F379" s="19">
        <f t="shared" si="111"/>
        <v>1063856066.4299999</v>
      </c>
      <c r="G379" s="20">
        <f t="shared" si="112"/>
        <v>0</v>
      </c>
      <c r="H379" s="18"/>
      <c r="I379" s="18"/>
      <c r="J379" s="18"/>
      <c r="K379" s="19">
        <f t="shared" si="113"/>
        <v>0</v>
      </c>
      <c r="L379" s="18"/>
      <c r="M379" s="18"/>
      <c r="N379" s="18"/>
      <c r="O379" s="19">
        <f t="shared" si="114"/>
        <v>0</v>
      </c>
      <c r="P379" s="21">
        <f t="shared" si="115"/>
        <v>0</v>
      </c>
      <c r="Q379" s="18"/>
      <c r="R379" s="18"/>
      <c r="S379" s="19">
        <f t="shared" si="116"/>
        <v>0</v>
      </c>
      <c r="T379" s="20">
        <f t="shared" si="117"/>
        <v>0.03</v>
      </c>
      <c r="U379" s="19">
        <f t="shared" si="118"/>
        <v>0</v>
      </c>
      <c r="V379" s="18"/>
      <c r="W379" s="19">
        <f t="shared" si="119"/>
        <v>0</v>
      </c>
      <c r="X379" s="19">
        <f t="shared" si="120"/>
        <v>0</v>
      </c>
      <c r="Y379" s="18"/>
      <c r="Z379" s="18"/>
      <c r="AA379" s="19">
        <f t="shared" si="121"/>
        <v>0</v>
      </c>
      <c r="AB379" s="17">
        <v>0</v>
      </c>
      <c r="AC379" s="18"/>
      <c r="AD379" s="18"/>
      <c r="AE379" s="22">
        <f t="shared" si="122"/>
        <v>0</v>
      </c>
      <c r="AF379" s="23">
        <f t="shared" si="123"/>
        <v>0</v>
      </c>
      <c r="AG379" s="23">
        <f t="shared" si="124"/>
        <v>0</v>
      </c>
      <c r="AH379" s="18"/>
      <c r="AI379" s="24">
        <f t="shared" si="125"/>
        <v>0</v>
      </c>
      <c r="AJ379" s="25">
        <v>0</v>
      </c>
      <c r="AK379" s="24">
        <f t="shared" si="126"/>
        <v>0</v>
      </c>
      <c r="AL379" s="22">
        <f t="shared" si="127"/>
        <v>0</v>
      </c>
      <c r="AM379" s="22">
        <f t="shared" si="128"/>
        <v>0</v>
      </c>
      <c r="AN379" s="22">
        <f t="shared" si="129"/>
        <v>0</v>
      </c>
      <c r="AO379" s="26" t="str">
        <f t="shared" si="130"/>
        <v/>
      </c>
      <c r="AP379" s="26" t="str">
        <f t="shared" si="131"/>
        <v>pre-launch</v>
      </c>
      <c r="AQ379" s="18"/>
      <c r="AR379" s="18"/>
    </row>
    <row r="380" spans="1:44" x14ac:dyDescent="0.25">
      <c r="A380" s="43">
        <v>45441</v>
      </c>
      <c r="B380" s="17">
        <v>879243779.33000004</v>
      </c>
      <c r="C380" s="17">
        <v>0</v>
      </c>
      <c r="D380" s="18"/>
      <c r="E380" s="19">
        <f t="shared" si="110"/>
        <v>879243779.33000004</v>
      </c>
      <c r="F380" s="19">
        <f t="shared" si="111"/>
        <v>879243779.33000004</v>
      </c>
      <c r="G380" s="20">
        <f t="shared" si="112"/>
        <v>0</v>
      </c>
      <c r="H380" s="18"/>
      <c r="I380" s="18"/>
      <c r="J380" s="18"/>
      <c r="K380" s="19">
        <f t="shared" si="113"/>
        <v>0</v>
      </c>
      <c r="L380" s="18"/>
      <c r="M380" s="18"/>
      <c r="N380" s="18"/>
      <c r="O380" s="19">
        <f t="shared" si="114"/>
        <v>0</v>
      </c>
      <c r="P380" s="21">
        <f t="shared" si="115"/>
        <v>0</v>
      </c>
      <c r="Q380" s="18"/>
      <c r="R380" s="18"/>
      <c r="S380" s="19">
        <f t="shared" si="116"/>
        <v>0</v>
      </c>
      <c r="T380" s="20">
        <f t="shared" si="117"/>
        <v>0.03</v>
      </c>
      <c r="U380" s="19">
        <f t="shared" si="118"/>
        <v>0</v>
      </c>
      <c r="V380" s="18"/>
      <c r="W380" s="19">
        <f t="shared" si="119"/>
        <v>0</v>
      </c>
      <c r="X380" s="19">
        <f t="shared" si="120"/>
        <v>0</v>
      </c>
      <c r="Y380" s="18"/>
      <c r="Z380" s="18"/>
      <c r="AA380" s="19">
        <f t="shared" si="121"/>
        <v>0</v>
      </c>
      <c r="AB380" s="17">
        <v>0</v>
      </c>
      <c r="AC380" s="18"/>
      <c r="AD380" s="18"/>
      <c r="AE380" s="22">
        <f t="shared" si="122"/>
        <v>0</v>
      </c>
      <c r="AF380" s="23">
        <f t="shared" si="123"/>
        <v>0</v>
      </c>
      <c r="AG380" s="23">
        <f t="shared" si="124"/>
        <v>0</v>
      </c>
      <c r="AH380" s="18"/>
      <c r="AI380" s="24">
        <f t="shared" si="125"/>
        <v>0</v>
      </c>
      <c r="AJ380" s="25">
        <v>0</v>
      </c>
      <c r="AK380" s="24">
        <f t="shared" si="126"/>
        <v>0</v>
      </c>
      <c r="AL380" s="22">
        <f t="shared" si="127"/>
        <v>0</v>
      </c>
      <c r="AM380" s="22">
        <f t="shared" si="128"/>
        <v>0</v>
      </c>
      <c r="AN380" s="22">
        <f t="shared" si="129"/>
        <v>0</v>
      </c>
      <c r="AO380" s="26" t="str">
        <f t="shared" si="130"/>
        <v/>
      </c>
      <c r="AP380" s="26" t="str">
        <f t="shared" si="131"/>
        <v>pre-launch</v>
      </c>
      <c r="AQ380" s="18"/>
      <c r="AR380" s="18"/>
    </row>
    <row r="381" spans="1:44" x14ac:dyDescent="0.25">
      <c r="A381" s="43">
        <v>45442</v>
      </c>
      <c r="B381" s="17">
        <v>975848410.38999999</v>
      </c>
      <c r="C381" s="17">
        <v>0</v>
      </c>
      <c r="D381" s="18"/>
      <c r="E381" s="19">
        <f t="shared" si="110"/>
        <v>975848410.38999999</v>
      </c>
      <c r="F381" s="19">
        <f t="shared" si="111"/>
        <v>975848410.38999999</v>
      </c>
      <c r="G381" s="20">
        <f t="shared" si="112"/>
        <v>0</v>
      </c>
      <c r="H381" s="18"/>
      <c r="I381" s="18"/>
      <c r="J381" s="18"/>
      <c r="K381" s="19">
        <f t="shared" si="113"/>
        <v>0</v>
      </c>
      <c r="L381" s="18"/>
      <c r="M381" s="18"/>
      <c r="N381" s="18"/>
      <c r="O381" s="19">
        <f t="shared" si="114"/>
        <v>0</v>
      </c>
      <c r="P381" s="21">
        <f t="shared" si="115"/>
        <v>0</v>
      </c>
      <c r="Q381" s="18"/>
      <c r="R381" s="18"/>
      <c r="S381" s="19">
        <f t="shared" si="116"/>
        <v>0</v>
      </c>
      <c r="T381" s="20">
        <f t="shared" si="117"/>
        <v>0.03</v>
      </c>
      <c r="U381" s="19">
        <f t="shared" si="118"/>
        <v>0</v>
      </c>
      <c r="V381" s="18"/>
      <c r="W381" s="19">
        <f t="shared" si="119"/>
        <v>0</v>
      </c>
      <c r="X381" s="19">
        <f t="shared" si="120"/>
        <v>0</v>
      </c>
      <c r="Y381" s="18"/>
      <c r="Z381" s="18"/>
      <c r="AA381" s="19">
        <f t="shared" si="121"/>
        <v>0</v>
      </c>
      <c r="AB381" s="17">
        <v>0</v>
      </c>
      <c r="AC381" s="18"/>
      <c r="AD381" s="18"/>
      <c r="AE381" s="22">
        <f t="shared" si="122"/>
        <v>0</v>
      </c>
      <c r="AF381" s="23">
        <f t="shared" si="123"/>
        <v>0</v>
      </c>
      <c r="AG381" s="23">
        <f t="shared" si="124"/>
        <v>0</v>
      </c>
      <c r="AH381" s="18"/>
      <c r="AI381" s="24">
        <f t="shared" si="125"/>
        <v>0</v>
      </c>
      <c r="AJ381" s="25">
        <v>0</v>
      </c>
      <c r="AK381" s="24">
        <f t="shared" si="126"/>
        <v>0</v>
      </c>
      <c r="AL381" s="22">
        <f t="shared" si="127"/>
        <v>0</v>
      </c>
      <c r="AM381" s="22">
        <f t="shared" si="128"/>
        <v>0</v>
      </c>
      <c r="AN381" s="22">
        <f t="shared" si="129"/>
        <v>0</v>
      </c>
      <c r="AO381" s="26" t="str">
        <f t="shared" si="130"/>
        <v/>
      </c>
      <c r="AP381" s="26" t="str">
        <f t="shared" si="131"/>
        <v>pre-launch</v>
      </c>
      <c r="AQ381" s="18"/>
      <c r="AR381" s="18"/>
    </row>
    <row r="382" spans="1:44" x14ac:dyDescent="0.25">
      <c r="A382" s="43">
        <v>45443</v>
      </c>
      <c r="B382" s="17">
        <v>917555214.46000004</v>
      </c>
      <c r="C382" s="17">
        <v>0</v>
      </c>
      <c r="D382" s="18"/>
      <c r="E382" s="19">
        <f t="shared" si="110"/>
        <v>917555214.46000004</v>
      </c>
      <c r="F382" s="19">
        <f t="shared" si="111"/>
        <v>917555214.46000004</v>
      </c>
      <c r="G382" s="20">
        <f t="shared" si="112"/>
        <v>0</v>
      </c>
      <c r="H382" s="18"/>
      <c r="I382" s="18"/>
      <c r="J382" s="18"/>
      <c r="K382" s="19">
        <f t="shared" si="113"/>
        <v>0</v>
      </c>
      <c r="L382" s="18"/>
      <c r="M382" s="18"/>
      <c r="N382" s="18"/>
      <c r="O382" s="19">
        <f t="shared" si="114"/>
        <v>0</v>
      </c>
      <c r="P382" s="21">
        <f t="shared" si="115"/>
        <v>0</v>
      </c>
      <c r="Q382" s="18"/>
      <c r="R382" s="18"/>
      <c r="S382" s="19">
        <f t="shared" si="116"/>
        <v>0</v>
      </c>
      <c r="T382" s="20">
        <f t="shared" si="117"/>
        <v>0.03</v>
      </c>
      <c r="U382" s="19">
        <f t="shared" si="118"/>
        <v>0</v>
      </c>
      <c r="V382" s="18"/>
      <c r="W382" s="19">
        <f t="shared" si="119"/>
        <v>0</v>
      </c>
      <c r="X382" s="19">
        <f t="shared" si="120"/>
        <v>0</v>
      </c>
      <c r="Y382" s="18"/>
      <c r="Z382" s="18"/>
      <c r="AA382" s="19">
        <f t="shared" si="121"/>
        <v>0</v>
      </c>
      <c r="AB382" s="17">
        <v>0</v>
      </c>
      <c r="AC382" s="18"/>
      <c r="AD382" s="18"/>
      <c r="AE382" s="22">
        <f t="shared" si="122"/>
        <v>0</v>
      </c>
      <c r="AF382" s="23">
        <f t="shared" si="123"/>
        <v>0</v>
      </c>
      <c r="AG382" s="23">
        <f t="shared" si="124"/>
        <v>0</v>
      </c>
      <c r="AH382" s="18"/>
      <c r="AI382" s="24">
        <f t="shared" si="125"/>
        <v>0</v>
      </c>
      <c r="AJ382" s="25">
        <v>0</v>
      </c>
      <c r="AK382" s="24">
        <f t="shared" si="126"/>
        <v>0</v>
      </c>
      <c r="AL382" s="22">
        <f t="shared" si="127"/>
        <v>0</v>
      </c>
      <c r="AM382" s="22">
        <f t="shared" si="128"/>
        <v>0</v>
      </c>
      <c r="AN382" s="22">
        <f t="shared" si="129"/>
        <v>0</v>
      </c>
      <c r="AO382" s="26" t="str">
        <f t="shared" si="130"/>
        <v/>
      </c>
      <c r="AP382" s="26" t="str">
        <f t="shared" si="131"/>
        <v>pre-launch</v>
      </c>
      <c r="AQ382" s="18"/>
      <c r="AR382" s="18"/>
    </row>
    <row r="383" spans="1:44" x14ac:dyDescent="0.25">
      <c r="A383" s="43">
        <v>45444</v>
      </c>
      <c r="B383" s="17">
        <v>379114903.13</v>
      </c>
      <c r="C383" s="17">
        <v>0</v>
      </c>
      <c r="D383" s="18"/>
      <c r="E383" s="19">
        <f t="shared" si="110"/>
        <v>379114903.13</v>
      </c>
      <c r="F383" s="19">
        <f t="shared" si="111"/>
        <v>379114903.13</v>
      </c>
      <c r="G383" s="20">
        <f t="shared" si="112"/>
        <v>0</v>
      </c>
      <c r="H383" s="18"/>
      <c r="I383" s="18"/>
      <c r="J383" s="18"/>
      <c r="K383" s="19">
        <f t="shared" si="113"/>
        <v>0</v>
      </c>
      <c r="L383" s="18"/>
      <c r="M383" s="18"/>
      <c r="N383" s="18"/>
      <c r="O383" s="19">
        <f t="shared" si="114"/>
        <v>0</v>
      </c>
      <c r="P383" s="21">
        <f t="shared" si="115"/>
        <v>0</v>
      </c>
      <c r="Q383" s="18"/>
      <c r="R383" s="18"/>
      <c r="S383" s="19">
        <f t="shared" si="116"/>
        <v>0</v>
      </c>
      <c r="T383" s="20">
        <f t="shared" si="117"/>
        <v>0.03</v>
      </c>
      <c r="U383" s="19">
        <f t="shared" si="118"/>
        <v>0</v>
      </c>
      <c r="V383" s="18"/>
      <c r="W383" s="19">
        <f t="shared" si="119"/>
        <v>0</v>
      </c>
      <c r="X383" s="19">
        <f t="shared" si="120"/>
        <v>0</v>
      </c>
      <c r="Y383" s="18"/>
      <c r="Z383" s="18"/>
      <c r="AA383" s="19">
        <f t="shared" si="121"/>
        <v>0</v>
      </c>
      <c r="AB383" s="17">
        <v>0</v>
      </c>
      <c r="AC383" s="18"/>
      <c r="AD383" s="18"/>
      <c r="AE383" s="22">
        <f t="shared" si="122"/>
        <v>0</v>
      </c>
      <c r="AF383" s="23">
        <f t="shared" si="123"/>
        <v>0</v>
      </c>
      <c r="AG383" s="23">
        <f t="shared" si="124"/>
        <v>0</v>
      </c>
      <c r="AH383" s="18"/>
      <c r="AI383" s="24">
        <f t="shared" si="125"/>
        <v>0</v>
      </c>
      <c r="AJ383" s="25">
        <v>0</v>
      </c>
      <c r="AK383" s="24">
        <f t="shared" si="126"/>
        <v>0</v>
      </c>
      <c r="AL383" s="22">
        <f t="shared" si="127"/>
        <v>0</v>
      </c>
      <c r="AM383" s="22">
        <f t="shared" si="128"/>
        <v>0</v>
      </c>
      <c r="AN383" s="22">
        <f t="shared" si="129"/>
        <v>0</v>
      </c>
      <c r="AO383" s="26" t="str">
        <f t="shared" si="130"/>
        <v/>
      </c>
      <c r="AP383" s="26" t="str">
        <f t="shared" si="131"/>
        <v>pre-launch</v>
      </c>
      <c r="AQ383" s="18"/>
      <c r="AR383" s="18"/>
    </row>
    <row r="384" spans="1:44" x14ac:dyDescent="0.25">
      <c r="A384" s="43">
        <v>45445</v>
      </c>
      <c r="B384" s="17">
        <v>529730344.95999998</v>
      </c>
      <c r="C384" s="17">
        <v>0</v>
      </c>
      <c r="D384" s="18"/>
      <c r="E384" s="19">
        <f t="shared" si="110"/>
        <v>529730344.95999998</v>
      </c>
      <c r="F384" s="19">
        <f t="shared" si="111"/>
        <v>529730344.95999998</v>
      </c>
      <c r="G384" s="20">
        <f t="shared" si="112"/>
        <v>0</v>
      </c>
      <c r="H384" s="18"/>
      <c r="I384" s="18"/>
      <c r="J384" s="18"/>
      <c r="K384" s="19">
        <f t="shared" si="113"/>
        <v>0</v>
      </c>
      <c r="L384" s="18"/>
      <c r="M384" s="18"/>
      <c r="N384" s="18"/>
      <c r="O384" s="19">
        <f t="shared" si="114"/>
        <v>0</v>
      </c>
      <c r="P384" s="21">
        <f t="shared" si="115"/>
        <v>0</v>
      </c>
      <c r="Q384" s="18"/>
      <c r="R384" s="18"/>
      <c r="S384" s="19">
        <f t="shared" si="116"/>
        <v>0</v>
      </c>
      <c r="T384" s="20">
        <f t="shared" si="117"/>
        <v>0.03</v>
      </c>
      <c r="U384" s="19">
        <f t="shared" si="118"/>
        <v>0</v>
      </c>
      <c r="V384" s="18"/>
      <c r="W384" s="19">
        <f t="shared" si="119"/>
        <v>0</v>
      </c>
      <c r="X384" s="19">
        <f t="shared" si="120"/>
        <v>0</v>
      </c>
      <c r="Y384" s="18"/>
      <c r="Z384" s="18"/>
      <c r="AA384" s="19">
        <f t="shared" si="121"/>
        <v>0</v>
      </c>
      <c r="AB384" s="17">
        <v>0</v>
      </c>
      <c r="AC384" s="18"/>
      <c r="AD384" s="18"/>
      <c r="AE384" s="22">
        <f t="shared" si="122"/>
        <v>0</v>
      </c>
      <c r="AF384" s="23">
        <f t="shared" si="123"/>
        <v>0</v>
      </c>
      <c r="AG384" s="23">
        <f t="shared" si="124"/>
        <v>0</v>
      </c>
      <c r="AH384" s="18"/>
      <c r="AI384" s="24">
        <f t="shared" si="125"/>
        <v>0</v>
      </c>
      <c r="AJ384" s="25">
        <v>0</v>
      </c>
      <c r="AK384" s="24">
        <f t="shared" si="126"/>
        <v>0</v>
      </c>
      <c r="AL384" s="22">
        <f t="shared" si="127"/>
        <v>0</v>
      </c>
      <c r="AM384" s="22">
        <f t="shared" si="128"/>
        <v>0</v>
      </c>
      <c r="AN384" s="22">
        <f t="shared" si="129"/>
        <v>0</v>
      </c>
      <c r="AO384" s="26" t="str">
        <f t="shared" si="130"/>
        <v/>
      </c>
      <c r="AP384" s="26" t="str">
        <f t="shared" si="131"/>
        <v>pre-launch</v>
      </c>
      <c r="AQ384" s="18"/>
      <c r="AR384" s="18"/>
    </row>
    <row r="385" spans="1:44" x14ac:dyDescent="0.25">
      <c r="A385" s="43">
        <v>45446</v>
      </c>
      <c r="B385" s="17">
        <v>966511223.5</v>
      </c>
      <c r="C385" s="17">
        <v>0</v>
      </c>
      <c r="D385" s="18"/>
      <c r="E385" s="19">
        <f t="shared" si="110"/>
        <v>966511223.5</v>
      </c>
      <c r="F385" s="19">
        <f t="shared" si="111"/>
        <v>966511223.5</v>
      </c>
      <c r="G385" s="20">
        <f t="shared" si="112"/>
        <v>0</v>
      </c>
      <c r="H385" s="18"/>
      <c r="I385" s="18"/>
      <c r="J385" s="18"/>
      <c r="K385" s="19">
        <f t="shared" si="113"/>
        <v>0</v>
      </c>
      <c r="L385" s="18"/>
      <c r="M385" s="18"/>
      <c r="N385" s="18"/>
      <c r="O385" s="19">
        <f t="shared" si="114"/>
        <v>0</v>
      </c>
      <c r="P385" s="21">
        <f t="shared" si="115"/>
        <v>0</v>
      </c>
      <c r="Q385" s="18"/>
      <c r="R385" s="18"/>
      <c r="S385" s="19">
        <f t="shared" si="116"/>
        <v>0</v>
      </c>
      <c r="T385" s="20">
        <f t="shared" si="117"/>
        <v>0.03</v>
      </c>
      <c r="U385" s="19">
        <f t="shared" si="118"/>
        <v>0</v>
      </c>
      <c r="V385" s="18"/>
      <c r="W385" s="19">
        <f t="shared" si="119"/>
        <v>0</v>
      </c>
      <c r="X385" s="19">
        <f t="shared" si="120"/>
        <v>0</v>
      </c>
      <c r="Y385" s="18"/>
      <c r="Z385" s="18"/>
      <c r="AA385" s="19">
        <f t="shared" si="121"/>
        <v>0</v>
      </c>
      <c r="AB385" s="17">
        <v>0</v>
      </c>
      <c r="AC385" s="18"/>
      <c r="AD385" s="18"/>
      <c r="AE385" s="22">
        <f t="shared" si="122"/>
        <v>0</v>
      </c>
      <c r="AF385" s="23">
        <f t="shared" si="123"/>
        <v>0</v>
      </c>
      <c r="AG385" s="23">
        <f t="shared" si="124"/>
        <v>0</v>
      </c>
      <c r="AH385" s="18"/>
      <c r="AI385" s="24">
        <f t="shared" si="125"/>
        <v>0</v>
      </c>
      <c r="AJ385" s="25">
        <v>0</v>
      </c>
      <c r="AK385" s="24">
        <f t="shared" si="126"/>
        <v>0</v>
      </c>
      <c r="AL385" s="22">
        <f t="shared" si="127"/>
        <v>0</v>
      </c>
      <c r="AM385" s="22">
        <f t="shared" si="128"/>
        <v>0</v>
      </c>
      <c r="AN385" s="22">
        <f t="shared" si="129"/>
        <v>0</v>
      </c>
      <c r="AO385" s="26" t="str">
        <f t="shared" si="130"/>
        <v/>
      </c>
      <c r="AP385" s="26" t="str">
        <f t="shared" si="131"/>
        <v>pre-launch</v>
      </c>
      <c r="AQ385" s="18"/>
      <c r="AR385" s="18"/>
    </row>
    <row r="386" spans="1:44" x14ac:dyDescent="0.25">
      <c r="A386" s="43">
        <v>45447</v>
      </c>
      <c r="B386" s="17">
        <v>865570111.24000001</v>
      </c>
      <c r="C386" s="17">
        <v>0</v>
      </c>
      <c r="D386" s="18"/>
      <c r="E386" s="19">
        <f t="shared" si="110"/>
        <v>865570111.24000001</v>
      </c>
      <c r="F386" s="19">
        <f t="shared" si="111"/>
        <v>865570111.24000001</v>
      </c>
      <c r="G386" s="20">
        <f t="shared" si="112"/>
        <v>0</v>
      </c>
      <c r="H386" s="18"/>
      <c r="I386" s="18"/>
      <c r="J386" s="18"/>
      <c r="K386" s="19">
        <f t="shared" si="113"/>
        <v>0</v>
      </c>
      <c r="L386" s="18"/>
      <c r="M386" s="18"/>
      <c r="N386" s="18"/>
      <c r="O386" s="19">
        <f t="shared" si="114"/>
        <v>0</v>
      </c>
      <c r="P386" s="21">
        <f t="shared" si="115"/>
        <v>0</v>
      </c>
      <c r="Q386" s="18"/>
      <c r="R386" s="18"/>
      <c r="S386" s="19">
        <f t="shared" si="116"/>
        <v>0</v>
      </c>
      <c r="T386" s="20">
        <f t="shared" si="117"/>
        <v>0.03</v>
      </c>
      <c r="U386" s="19">
        <f t="shared" si="118"/>
        <v>0</v>
      </c>
      <c r="V386" s="18"/>
      <c r="W386" s="19">
        <f t="shared" si="119"/>
        <v>0</v>
      </c>
      <c r="X386" s="19">
        <f t="shared" si="120"/>
        <v>0</v>
      </c>
      <c r="Y386" s="18"/>
      <c r="Z386" s="18"/>
      <c r="AA386" s="19">
        <f t="shared" si="121"/>
        <v>0</v>
      </c>
      <c r="AB386" s="17">
        <v>0</v>
      </c>
      <c r="AC386" s="18"/>
      <c r="AD386" s="18"/>
      <c r="AE386" s="22">
        <f t="shared" si="122"/>
        <v>0</v>
      </c>
      <c r="AF386" s="23">
        <f t="shared" si="123"/>
        <v>0</v>
      </c>
      <c r="AG386" s="23">
        <f t="shared" si="124"/>
        <v>0</v>
      </c>
      <c r="AH386" s="18"/>
      <c r="AI386" s="24">
        <f t="shared" si="125"/>
        <v>0</v>
      </c>
      <c r="AJ386" s="25">
        <v>0</v>
      </c>
      <c r="AK386" s="24">
        <f t="shared" si="126"/>
        <v>0</v>
      </c>
      <c r="AL386" s="22">
        <f t="shared" si="127"/>
        <v>0</v>
      </c>
      <c r="AM386" s="22">
        <f t="shared" si="128"/>
        <v>0</v>
      </c>
      <c r="AN386" s="22">
        <f t="shared" si="129"/>
        <v>0</v>
      </c>
      <c r="AO386" s="26" t="str">
        <f t="shared" si="130"/>
        <v/>
      </c>
      <c r="AP386" s="26" t="str">
        <f t="shared" si="131"/>
        <v>pre-launch</v>
      </c>
      <c r="AQ386" s="18"/>
      <c r="AR386" s="18"/>
    </row>
    <row r="387" spans="1:44" x14ac:dyDescent="0.25">
      <c r="A387" s="43">
        <v>45448</v>
      </c>
      <c r="B387" s="17">
        <v>971251191.95000005</v>
      </c>
      <c r="C387" s="17">
        <v>0</v>
      </c>
      <c r="D387" s="18"/>
      <c r="E387" s="19">
        <f t="shared" si="110"/>
        <v>971251191.95000005</v>
      </c>
      <c r="F387" s="19">
        <f t="shared" si="111"/>
        <v>971251191.95000005</v>
      </c>
      <c r="G387" s="20">
        <f t="shared" si="112"/>
        <v>0</v>
      </c>
      <c r="H387" s="18"/>
      <c r="I387" s="18"/>
      <c r="J387" s="18"/>
      <c r="K387" s="19">
        <f t="shared" si="113"/>
        <v>0</v>
      </c>
      <c r="L387" s="18"/>
      <c r="M387" s="18"/>
      <c r="N387" s="18"/>
      <c r="O387" s="19">
        <f t="shared" si="114"/>
        <v>0</v>
      </c>
      <c r="P387" s="21">
        <f t="shared" si="115"/>
        <v>0</v>
      </c>
      <c r="Q387" s="18"/>
      <c r="R387" s="18"/>
      <c r="S387" s="19">
        <f t="shared" si="116"/>
        <v>0</v>
      </c>
      <c r="T387" s="20">
        <f t="shared" si="117"/>
        <v>0.03</v>
      </c>
      <c r="U387" s="19">
        <f t="shared" si="118"/>
        <v>0</v>
      </c>
      <c r="V387" s="18"/>
      <c r="W387" s="19">
        <f t="shared" si="119"/>
        <v>0</v>
      </c>
      <c r="X387" s="19">
        <f t="shared" si="120"/>
        <v>0</v>
      </c>
      <c r="Y387" s="18"/>
      <c r="Z387" s="18"/>
      <c r="AA387" s="19">
        <f t="shared" si="121"/>
        <v>0</v>
      </c>
      <c r="AB387" s="17">
        <v>0</v>
      </c>
      <c r="AC387" s="18"/>
      <c r="AD387" s="18"/>
      <c r="AE387" s="22">
        <f t="shared" si="122"/>
        <v>0</v>
      </c>
      <c r="AF387" s="23">
        <f t="shared" si="123"/>
        <v>0</v>
      </c>
      <c r="AG387" s="23">
        <f t="shared" si="124"/>
        <v>0</v>
      </c>
      <c r="AH387" s="18"/>
      <c r="AI387" s="24">
        <f t="shared" si="125"/>
        <v>0</v>
      </c>
      <c r="AJ387" s="25">
        <v>0</v>
      </c>
      <c r="AK387" s="24">
        <f t="shared" si="126"/>
        <v>0</v>
      </c>
      <c r="AL387" s="22">
        <f t="shared" si="127"/>
        <v>0</v>
      </c>
      <c r="AM387" s="22">
        <f t="shared" si="128"/>
        <v>0</v>
      </c>
      <c r="AN387" s="22">
        <f t="shared" si="129"/>
        <v>0</v>
      </c>
      <c r="AO387" s="26" t="str">
        <f t="shared" si="130"/>
        <v/>
      </c>
      <c r="AP387" s="26" t="str">
        <f t="shared" si="131"/>
        <v>pre-launch</v>
      </c>
      <c r="AQ387" s="18"/>
      <c r="AR387" s="18"/>
    </row>
    <row r="388" spans="1:44" x14ac:dyDescent="0.25">
      <c r="A388" s="43">
        <v>45449</v>
      </c>
      <c r="B388" s="17">
        <v>709608664.87</v>
      </c>
      <c r="C388" s="17">
        <v>0</v>
      </c>
      <c r="D388" s="18"/>
      <c r="E388" s="19">
        <f t="shared" si="110"/>
        <v>709608664.87</v>
      </c>
      <c r="F388" s="19">
        <f t="shared" si="111"/>
        <v>709608664.87</v>
      </c>
      <c r="G388" s="20">
        <f t="shared" si="112"/>
        <v>0</v>
      </c>
      <c r="H388" s="18"/>
      <c r="I388" s="18"/>
      <c r="J388" s="18"/>
      <c r="K388" s="19">
        <f t="shared" si="113"/>
        <v>0</v>
      </c>
      <c r="L388" s="18"/>
      <c r="M388" s="18"/>
      <c r="N388" s="18"/>
      <c r="O388" s="19">
        <f t="shared" si="114"/>
        <v>0</v>
      </c>
      <c r="P388" s="21">
        <f t="shared" si="115"/>
        <v>0</v>
      </c>
      <c r="Q388" s="18"/>
      <c r="R388" s="18"/>
      <c r="S388" s="19">
        <f t="shared" si="116"/>
        <v>0</v>
      </c>
      <c r="T388" s="20">
        <f t="shared" si="117"/>
        <v>0.03</v>
      </c>
      <c r="U388" s="19">
        <f t="shared" si="118"/>
        <v>0</v>
      </c>
      <c r="V388" s="18"/>
      <c r="W388" s="19">
        <f t="shared" si="119"/>
        <v>0</v>
      </c>
      <c r="X388" s="19">
        <f t="shared" si="120"/>
        <v>0</v>
      </c>
      <c r="Y388" s="18"/>
      <c r="Z388" s="18"/>
      <c r="AA388" s="19">
        <f t="shared" si="121"/>
        <v>0</v>
      </c>
      <c r="AB388" s="17">
        <v>0</v>
      </c>
      <c r="AC388" s="18"/>
      <c r="AD388" s="18"/>
      <c r="AE388" s="22">
        <f t="shared" si="122"/>
        <v>0</v>
      </c>
      <c r="AF388" s="23">
        <f t="shared" si="123"/>
        <v>0</v>
      </c>
      <c r="AG388" s="23">
        <f t="shared" si="124"/>
        <v>0</v>
      </c>
      <c r="AH388" s="18"/>
      <c r="AI388" s="24">
        <f t="shared" si="125"/>
        <v>0</v>
      </c>
      <c r="AJ388" s="25">
        <v>0</v>
      </c>
      <c r="AK388" s="24">
        <f t="shared" si="126"/>
        <v>0</v>
      </c>
      <c r="AL388" s="22">
        <f t="shared" si="127"/>
        <v>0</v>
      </c>
      <c r="AM388" s="22">
        <f t="shared" si="128"/>
        <v>0</v>
      </c>
      <c r="AN388" s="22">
        <f t="shared" si="129"/>
        <v>0</v>
      </c>
      <c r="AO388" s="26" t="str">
        <f t="shared" si="130"/>
        <v/>
      </c>
      <c r="AP388" s="26" t="str">
        <f t="shared" si="131"/>
        <v>pre-launch</v>
      </c>
      <c r="AQ388" s="18"/>
      <c r="AR388" s="18"/>
    </row>
    <row r="389" spans="1:44" x14ac:dyDescent="0.25">
      <c r="A389" s="43">
        <v>45450</v>
      </c>
      <c r="B389" s="17">
        <v>1380410060.71</v>
      </c>
      <c r="C389" s="17">
        <v>0</v>
      </c>
      <c r="D389" s="18"/>
      <c r="E389" s="19">
        <f t="shared" ref="E389:E452" si="132">B389+C389</f>
        <v>1380410060.71</v>
      </c>
      <c r="F389" s="19">
        <f t="shared" ref="F389:F452" si="133">E389+D389</f>
        <v>1380410060.71</v>
      </c>
      <c r="G389" s="20">
        <f t="shared" ref="G389:G452" si="134">IFERROR(C389/E389,0)</f>
        <v>0</v>
      </c>
      <c r="H389" s="18"/>
      <c r="I389" s="18"/>
      <c r="J389" s="18"/>
      <c r="K389" s="19">
        <f t="shared" ref="K389:K452" si="135">H389+I389</f>
        <v>0</v>
      </c>
      <c r="L389" s="18"/>
      <c r="M389" s="18"/>
      <c r="N389" s="18"/>
      <c r="O389" s="19">
        <f t="shared" ref="O389:O452" si="136">IF(H389=0,0,H389-L389)</f>
        <v>0</v>
      </c>
      <c r="P389" s="21">
        <f t="shared" ref="P389:P452" si="137">IF(B389=0,0,O389/B389*10000)</f>
        <v>0</v>
      </c>
      <c r="Q389" s="18"/>
      <c r="R389" s="18"/>
      <c r="S389" s="19">
        <f t="shared" ref="S389:S452" si="138">Q389+R389</f>
        <v>0</v>
      </c>
      <c r="T389" s="20">
        <f t="shared" ref="T389:T452" si="139">IF(A389&lt;HlpChangeDate,HlpSharePre,HlpSharePost)</f>
        <v>0.03</v>
      </c>
      <c r="U389" s="19">
        <f t="shared" ref="U389:U452" si="140">S389*T389/(1-T389)</f>
        <v>0</v>
      </c>
      <c r="V389" s="18"/>
      <c r="W389" s="19">
        <f t="shared" ref="W389:W452" si="141">U389-V389</f>
        <v>0</v>
      </c>
      <c r="X389" s="19">
        <f t="shared" ref="X389:X452" si="142">Y389+Z389</f>
        <v>0</v>
      </c>
      <c r="Y389" s="18"/>
      <c r="Z389" s="18"/>
      <c r="AA389" s="19">
        <f t="shared" ref="AA389:AA452" si="143">X389-V389</f>
        <v>0</v>
      </c>
      <c r="AB389" s="17">
        <v>0</v>
      </c>
      <c r="AC389" s="18"/>
      <c r="AD389" s="18"/>
      <c r="AE389" s="22">
        <f t="shared" ref="AE389:AE452" si="144">IFERROR(AB389/AD389,0)</f>
        <v>0</v>
      </c>
      <c r="AF389" s="23">
        <f t="shared" ref="AF389:AF452" si="145">K389-S389-X389</f>
        <v>0</v>
      </c>
      <c r="AG389" s="23">
        <f t="shared" ref="AG389:AG452" si="146">S389-AB389</f>
        <v>0</v>
      </c>
      <c r="AH389" s="18"/>
      <c r="AI389" s="24">
        <f t="shared" ref="AI389:AI452" si="147">IFERROR(AH389/S389,0)</f>
        <v>0</v>
      </c>
      <c r="AJ389" s="25">
        <v>0</v>
      </c>
      <c r="AK389" s="24">
        <f t="shared" ref="AK389:AK452" si="148">IF(AJ389&gt;0,AprCoef/SQRT(AJ389),0)</f>
        <v>0</v>
      </c>
      <c r="AL389" s="22">
        <f t="shared" ref="AL389:AL452" si="149">AJ389*AK389/365</f>
        <v>0</v>
      </c>
      <c r="AM389" s="22">
        <f t="shared" ref="AM389:AM452" si="150">AE389</f>
        <v>0</v>
      </c>
      <c r="AN389" s="22">
        <f t="shared" ref="AN389:AN452" si="151">AL389-AM389</f>
        <v>0</v>
      </c>
      <c r="AO389" s="26" t="str">
        <f t="shared" ref="AO389:AO452" si="152">IF(A389&gt;=Hip3LaunchDate,"YES","")</f>
        <v/>
      </c>
      <c r="AP389" s="26" t="str">
        <f t="shared" ref="AP389:AP452" si="153">IF(A389&lt;Hip4LaunchDate,"pre-launch","live (zero-fee)")</f>
        <v>pre-launch</v>
      </c>
      <c r="AQ389" s="18"/>
      <c r="AR389" s="18"/>
    </row>
    <row r="390" spans="1:44" x14ac:dyDescent="0.25">
      <c r="A390" s="43">
        <v>45451</v>
      </c>
      <c r="B390" s="17">
        <v>383364119.45999998</v>
      </c>
      <c r="C390" s="17">
        <v>0</v>
      </c>
      <c r="D390" s="18"/>
      <c r="E390" s="19">
        <f t="shared" si="132"/>
        <v>383364119.45999998</v>
      </c>
      <c r="F390" s="19">
        <f t="shared" si="133"/>
        <v>383364119.45999998</v>
      </c>
      <c r="G390" s="20">
        <f t="shared" si="134"/>
        <v>0</v>
      </c>
      <c r="H390" s="18"/>
      <c r="I390" s="18"/>
      <c r="J390" s="18"/>
      <c r="K390" s="19">
        <f t="shared" si="135"/>
        <v>0</v>
      </c>
      <c r="L390" s="18"/>
      <c r="M390" s="18"/>
      <c r="N390" s="18"/>
      <c r="O390" s="19">
        <f t="shared" si="136"/>
        <v>0</v>
      </c>
      <c r="P390" s="21">
        <f t="shared" si="137"/>
        <v>0</v>
      </c>
      <c r="Q390" s="18"/>
      <c r="R390" s="18"/>
      <c r="S390" s="19">
        <f t="shared" si="138"/>
        <v>0</v>
      </c>
      <c r="T390" s="20">
        <f t="shared" si="139"/>
        <v>0.03</v>
      </c>
      <c r="U390" s="19">
        <f t="shared" si="140"/>
        <v>0</v>
      </c>
      <c r="V390" s="18"/>
      <c r="W390" s="19">
        <f t="shared" si="141"/>
        <v>0</v>
      </c>
      <c r="X390" s="19">
        <f t="shared" si="142"/>
        <v>0</v>
      </c>
      <c r="Y390" s="18"/>
      <c r="Z390" s="18"/>
      <c r="AA390" s="19">
        <f t="shared" si="143"/>
        <v>0</v>
      </c>
      <c r="AB390" s="17">
        <v>0</v>
      </c>
      <c r="AC390" s="18"/>
      <c r="AD390" s="18"/>
      <c r="AE390" s="22">
        <f t="shared" si="144"/>
        <v>0</v>
      </c>
      <c r="AF390" s="23">
        <f t="shared" si="145"/>
        <v>0</v>
      </c>
      <c r="AG390" s="23">
        <f t="shared" si="146"/>
        <v>0</v>
      </c>
      <c r="AH390" s="18"/>
      <c r="AI390" s="24">
        <f t="shared" si="147"/>
        <v>0</v>
      </c>
      <c r="AJ390" s="25">
        <v>0</v>
      </c>
      <c r="AK390" s="24">
        <f t="shared" si="148"/>
        <v>0</v>
      </c>
      <c r="AL390" s="22">
        <f t="shared" si="149"/>
        <v>0</v>
      </c>
      <c r="AM390" s="22">
        <f t="shared" si="150"/>
        <v>0</v>
      </c>
      <c r="AN390" s="22">
        <f t="shared" si="151"/>
        <v>0</v>
      </c>
      <c r="AO390" s="26" t="str">
        <f t="shared" si="152"/>
        <v/>
      </c>
      <c r="AP390" s="26" t="str">
        <f t="shared" si="153"/>
        <v>pre-launch</v>
      </c>
      <c r="AQ390" s="18"/>
      <c r="AR390" s="18"/>
    </row>
    <row r="391" spans="1:44" x14ac:dyDescent="0.25">
      <c r="A391" s="43">
        <v>45452</v>
      </c>
      <c r="B391" s="17">
        <v>327671990.06</v>
      </c>
      <c r="C391" s="17">
        <v>0</v>
      </c>
      <c r="D391" s="18"/>
      <c r="E391" s="19">
        <f t="shared" si="132"/>
        <v>327671990.06</v>
      </c>
      <c r="F391" s="19">
        <f t="shared" si="133"/>
        <v>327671990.06</v>
      </c>
      <c r="G391" s="20">
        <f t="shared" si="134"/>
        <v>0</v>
      </c>
      <c r="H391" s="18"/>
      <c r="I391" s="18"/>
      <c r="J391" s="18"/>
      <c r="K391" s="19">
        <f t="shared" si="135"/>
        <v>0</v>
      </c>
      <c r="L391" s="18"/>
      <c r="M391" s="18"/>
      <c r="N391" s="18"/>
      <c r="O391" s="19">
        <f t="shared" si="136"/>
        <v>0</v>
      </c>
      <c r="P391" s="21">
        <f t="shared" si="137"/>
        <v>0</v>
      </c>
      <c r="Q391" s="18"/>
      <c r="R391" s="18"/>
      <c r="S391" s="19">
        <f t="shared" si="138"/>
        <v>0</v>
      </c>
      <c r="T391" s="20">
        <f t="shared" si="139"/>
        <v>0.03</v>
      </c>
      <c r="U391" s="19">
        <f t="shared" si="140"/>
        <v>0</v>
      </c>
      <c r="V391" s="18"/>
      <c r="W391" s="19">
        <f t="shared" si="141"/>
        <v>0</v>
      </c>
      <c r="X391" s="19">
        <f t="shared" si="142"/>
        <v>0</v>
      </c>
      <c r="Y391" s="18"/>
      <c r="Z391" s="18"/>
      <c r="AA391" s="19">
        <f t="shared" si="143"/>
        <v>0</v>
      </c>
      <c r="AB391" s="17">
        <v>0</v>
      </c>
      <c r="AC391" s="18"/>
      <c r="AD391" s="18"/>
      <c r="AE391" s="22">
        <f t="shared" si="144"/>
        <v>0</v>
      </c>
      <c r="AF391" s="23">
        <f t="shared" si="145"/>
        <v>0</v>
      </c>
      <c r="AG391" s="23">
        <f t="shared" si="146"/>
        <v>0</v>
      </c>
      <c r="AH391" s="18"/>
      <c r="AI391" s="24">
        <f t="shared" si="147"/>
        <v>0</v>
      </c>
      <c r="AJ391" s="25">
        <v>0</v>
      </c>
      <c r="AK391" s="24">
        <f t="shared" si="148"/>
        <v>0</v>
      </c>
      <c r="AL391" s="22">
        <f t="shared" si="149"/>
        <v>0</v>
      </c>
      <c r="AM391" s="22">
        <f t="shared" si="150"/>
        <v>0</v>
      </c>
      <c r="AN391" s="22">
        <f t="shared" si="151"/>
        <v>0</v>
      </c>
      <c r="AO391" s="26" t="str">
        <f t="shared" si="152"/>
        <v/>
      </c>
      <c r="AP391" s="26" t="str">
        <f t="shared" si="153"/>
        <v>pre-launch</v>
      </c>
      <c r="AQ391" s="18"/>
      <c r="AR391" s="18"/>
    </row>
    <row r="392" spans="1:44" x14ac:dyDescent="0.25">
      <c r="A392" s="43">
        <v>45453</v>
      </c>
      <c r="B392" s="17">
        <v>592210238.12</v>
      </c>
      <c r="C392" s="17">
        <v>0</v>
      </c>
      <c r="D392" s="18"/>
      <c r="E392" s="19">
        <f t="shared" si="132"/>
        <v>592210238.12</v>
      </c>
      <c r="F392" s="19">
        <f t="shared" si="133"/>
        <v>592210238.12</v>
      </c>
      <c r="G392" s="20">
        <f t="shared" si="134"/>
        <v>0</v>
      </c>
      <c r="H392" s="18"/>
      <c r="I392" s="18"/>
      <c r="J392" s="18"/>
      <c r="K392" s="19">
        <f t="shared" si="135"/>
        <v>0</v>
      </c>
      <c r="L392" s="18"/>
      <c r="M392" s="18"/>
      <c r="N392" s="18"/>
      <c r="O392" s="19">
        <f t="shared" si="136"/>
        <v>0</v>
      </c>
      <c r="P392" s="21">
        <f t="shared" si="137"/>
        <v>0</v>
      </c>
      <c r="Q392" s="18"/>
      <c r="R392" s="18"/>
      <c r="S392" s="19">
        <f t="shared" si="138"/>
        <v>0</v>
      </c>
      <c r="T392" s="20">
        <f t="shared" si="139"/>
        <v>0.03</v>
      </c>
      <c r="U392" s="19">
        <f t="shared" si="140"/>
        <v>0</v>
      </c>
      <c r="V392" s="18"/>
      <c r="W392" s="19">
        <f t="shared" si="141"/>
        <v>0</v>
      </c>
      <c r="X392" s="19">
        <f t="shared" si="142"/>
        <v>0</v>
      </c>
      <c r="Y392" s="18"/>
      <c r="Z392" s="18"/>
      <c r="AA392" s="19">
        <f t="shared" si="143"/>
        <v>0</v>
      </c>
      <c r="AB392" s="17">
        <v>0</v>
      </c>
      <c r="AC392" s="18"/>
      <c r="AD392" s="18"/>
      <c r="AE392" s="22">
        <f t="shared" si="144"/>
        <v>0</v>
      </c>
      <c r="AF392" s="23">
        <f t="shared" si="145"/>
        <v>0</v>
      </c>
      <c r="AG392" s="23">
        <f t="shared" si="146"/>
        <v>0</v>
      </c>
      <c r="AH392" s="18"/>
      <c r="AI392" s="24">
        <f t="shared" si="147"/>
        <v>0</v>
      </c>
      <c r="AJ392" s="25">
        <v>0</v>
      </c>
      <c r="AK392" s="24">
        <f t="shared" si="148"/>
        <v>0</v>
      </c>
      <c r="AL392" s="22">
        <f t="shared" si="149"/>
        <v>0</v>
      </c>
      <c r="AM392" s="22">
        <f t="shared" si="150"/>
        <v>0</v>
      </c>
      <c r="AN392" s="22">
        <f t="shared" si="151"/>
        <v>0</v>
      </c>
      <c r="AO392" s="26" t="str">
        <f t="shared" si="152"/>
        <v/>
      </c>
      <c r="AP392" s="26" t="str">
        <f t="shared" si="153"/>
        <v>pre-launch</v>
      </c>
      <c r="AQ392" s="18"/>
      <c r="AR392" s="18"/>
    </row>
    <row r="393" spans="1:44" x14ac:dyDescent="0.25">
      <c r="A393" s="43">
        <v>45454</v>
      </c>
      <c r="B393" s="17">
        <v>1281500287.6600001</v>
      </c>
      <c r="C393" s="17">
        <v>0</v>
      </c>
      <c r="D393" s="18"/>
      <c r="E393" s="19">
        <f t="shared" si="132"/>
        <v>1281500287.6600001</v>
      </c>
      <c r="F393" s="19">
        <f t="shared" si="133"/>
        <v>1281500287.6600001</v>
      </c>
      <c r="G393" s="20">
        <f t="shared" si="134"/>
        <v>0</v>
      </c>
      <c r="H393" s="18"/>
      <c r="I393" s="18"/>
      <c r="J393" s="18"/>
      <c r="K393" s="19">
        <f t="shared" si="135"/>
        <v>0</v>
      </c>
      <c r="L393" s="18"/>
      <c r="M393" s="18"/>
      <c r="N393" s="18"/>
      <c r="O393" s="19">
        <f t="shared" si="136"/>
        <v>0</v>
      </c>
      <c r="P393" s="21">
        <f t="shared" si="137"/>
        <v>0</v>
      </c>
      <c r="Q393" s="18"/>
      <c r="R393" s="18"/>
      <c r="S393" s="19">
        <f t="shared" si="138"/>
        <v>0</v>
      </c>
      <c r="T393" s="20">
        <f t="shared" si="139"/>
        <v>0.03</v>
      </c>
      <c r="U393" s="19">
        <f t="shared" si="140"/>
        <v>0</v>
      </c>
      <c r="V393" s="18"/>
      <c r="W393" s="19">
        <f t="shared" si="141"/>
        <v>0</v>
      </c>
      <c r="X393" s="19">
        <f t="shared" si="142"/>
        <v>0</v>
      </c>
      <c r="Y393" s="18"/>
      <c r="Z393" s="18"/>
      <c r="AA393" s="19">
        <f t="shared" si="143"/>
        <v>0</v>
      </c>
      <c r="AB393" s="17">
        <v>0</v>
      </c>
      <c r="AC393" s="18"/>
      <c r="AD393" s="18"/>
      <c r="AE393" s="22">
        <f t="shared" si="144"/>
        <v>0</v>
      </c>
      <c r="AF393" s="23">
        <f t="shared" si="145"/>
        <v>0</v>
      </c>
      <c r="AG393" s="23">
        <f t="shared" si="146"/>
        <v>0</v>
      </c>
      <c r="AH393" s="18"/>
      <c r="AI393" s="24">
        <f t="shared" si="147"/>
        <v>0</v>
      </c>
      <c r="AJ393" s="25">
        <v>0</v>
      </c>
      <c r="AK393" s="24">
        <f t="shared" si="148"/>
        <v>0</v>
      </c>
      <c r="AL393" s="22">
        <f t="shared" si="149"/>
        <v>0</v>
      </c>
      <c r="AM393" s="22">
        <f t="shared" si="150"/>
        <v>0</v>
      </c>
      <c r="AN393" s="22">
        <f t="shared" si="151"/>
        <v>0</v>
      </c>
      <c r="AO393" s="26" t="str">
        <f t="shared" si="152"/>
        <v/>
      </c>
      <c r="AP393" s="26" t="str">
        <f t="shared" si="153"/>
        <v>pre-launch</v>
      </c>
      <c r="AQ393" s="18"/>
      <c r="AR393" s="18"/>
    </row>
    <row r="394" spans="1:44" x14ac:dyDescent="0.25">
      <c r="A394" s="43">
        <v>45455</v>
      </c>
      <c r="B394" s="17">
        <v>1384737037.74</v>
      </c>
      <c r="C394" s="17">
        <v>0</v>
      </c>
      <c r="D394" s="18"/>
      <c r="E394" s="19">
        <f t="shared" si="132"/>
        <v>1384737037.74</v>
      </c>
      <c r="F394" s="19">
        <f t="shared" si="133"/>
        <v>1384737037.74</v>
      </c>
      <c r="G394" s="20">
        <f t="shared" si="134"/>
        <v>0</v>
      </c>
      <c r="H394" s="18"/>
      <c r="I394" s="18"/>
      <c r="J394" s="18"/>
      <c r="K394" s="19">
        <f t="shared" si="135"/>
        <v>0</v>
      </c>
      <c r="L394" s="18"/>
      <c r="M394" s="18"/>
      <c r="N394" s="18"/>
      <c r="O394" s="19">
        <f t="shared" si="136"/>
        <v>0</v>
      </c>
      <c r="P394" s="21">
        <f t="shared" si="137"/>
        <v>0</v>
      </c>
      <c r="Q394" s="18"/>
      <c r="R394" s="18"/>
      <c r="S394" s="19">
        <f t="shared" si="138"/>
        <v>0</v>
      </c>
      <c r="T394" s="20">
        <f t="shared" si="139"/>
        <v>0.03</v>
      </c>
      <c r="U394" s="19">
        <f t="shared" si="140"/>
        <v>0</v>
      </c>
      <c r="V394" s="18"/>
      <c r="W394" s="19">
        <f t="shared" si="141"/>
        <v>0</v>
      </c>
      <c r="X394" s="19">
        <f t="shared" si="142"/>
        <v>0</v>
      </c>
      <c r="Y394" s="18"/>
      <c r="Z394" s="18"/>
      <c r="AA394" s="19">
        <f t="shared" si="143"/>
        <v>0</v>
      </c>
      <c r="AB394" s="17">
        <v>0</v>
      </c>
      <c r="AC394" s="18"/>
      <c r="AD394" s="18"/>
      <c r="AE394" s="22">
        <f t="shared" si="144"/>
        <v>0</v>
      </c>
      <c r="AF394" s="23">
        <f t="shared" si="145"/>
        <v>0</v>
      </c>
      <c r="AG394" s="23">
        <f t="shared" si="146"/>
        <v>0</v>
      </c>
      <c r="AH394" s="18"/>
      <c r="AI394" s="24">
        <f t="shared" si="147"/>
        <v>0</v>
      </c>
      <c r="AJ394" s="25">
        <v>0</v>
      </c>
      <c r="AK394" s="24">
        <f t="shared" si="148"/>
        <v>0</v>
      </c>
      <c r="AL394" s="22">
        <f t="shared" si="149"/>
        <v>0</v>
      </c>
      <c r="AM394" s="22">
        <f t="shared" si="150"/>
        <v>0</v>
      </c>
      <c r="AN394" s="22">
        <f t="shared" si="151"/>
        <v>0</v>
      </c>
      <c r="AO394" s="26" t="str">
        <f t="shared" si="152"/>
        <v/>
      </c>
      <c r="AP394" s="26" t="str">
        <f t="shared" si="153"/>
        <v>pre-launch</v>
      </c>
      <c r="AQ394" s="18"/>
      <c r="AR394" s="18"/>
    </row>
    <row r="395" spans="1:44" x14ac:dyDescent="0.25">
      <c r="A395" s="43">
        <v>45456</v>
      </c>
      <c r="B395" s="17">
        <v>1045766312.35</v>
      </c>
      <c r="C395" s="17">
        <v>0</v>
      </c>
      <c r="D395" s="18"/>
      <c r="E395" s="19">
        <f t="shared" si="132"/>
        <v>1045766312.35</v>
      </c>
      <c r="F395" s="19">
        <f t="shared" si="133"/>
        <v>1045766312.35</v>
      </c>
      <c r="G395" s="20">
        <f t="shared" si="134"/>
        <v>0</v>
      </c>
      <c r="H395" s="18"/>
      <c r="I395" s="18"/>
      <c r="J395" s="18"/>
      <c r="K395" s="19">
        <f t="shared" si="135"/>
        <v>0</v>
      </c>
      <c r="L395" s="18"/>
      <c r="M395" s="18"/>
      <c r="N395" s="18"/>
      <c r="O395" s="19">
        <f t="shared" si="136"/>
        <v>0</v>
      </c>
      <c r="P395" s="21">
        <f t="shared" si="137"/>
        <v>0</v>
      </c>
      <c r="Q395" s="18"/>
      <c r="R395" s="18"/>
      <c r="S395" s="19">
        <f t="shared" si="138"/>
        <v>0</v>
      </c>
      <c r="T395" s="20">
        <f t="shared" si="139"/>
        <v>0.03</v>
      </c>
      <c r="U395" s="19">
        <f t="shared" si="140"/>
        <v>0</v>
      </c>
      <c r="V395" s="18"/>
      <c r="W395" s="19">
        <f t="shared" si="141"/>
        <v>0</v>
      </c>
      <c r="X395" s="19">
        <f t="shared" si="142"/>
        <v>0</v>
      </c>
      <c r="Y395" s="18"/>
      <c r="Z395" s="18"/>
      <c r="AA395" s="19">
        <f t="shared" si="143"/>
        <v>0</v>
      </c>
      <c r="AB395" s="17">
        <v>0</v>
      </c>
      <c r="AC395" s="18"/>
      <c r="AD395" s="18"/>
      <c r="AE395" s="22">
        <f t="shared" si="144"/>
        <v>0</v>
      </c>
      <c r="AF395" s="23">
        <f t="shared" si="145"/>
        <v>0</v>
      </c>
      <c r="AG395" s="23">
        <f t="shared" si="146"/>
        <v>0</v>
      </c>
      <c r="AH395" s="18"/>
      <c r="AI395" s="24">
        <f t="shared" si="147"/>
        <v>0</v>
      </c>
      <c r="AJ395" s="25">
        <v>0</v>
      </c>
      <c r="AK395" s="24">
        <f t="shared" si="148"/>
        <v>0</v>
      </c>
      <c r="AL395" s="22">
        <f t="shared" si="149"/>
        <v>0</v>
      </c>
      <c r="AM395" s="22">
        <f t="shared" si="150"/>
        <v>0</v>
      </c>
      <c r="AN395" s="22">
        <f t="shared" si="151"/>
        <v>0</v>
      </c>
      <c r="AO395" s="26" t="str">
        <f t="shared" si="152"/>
        <v/>
      </c>
      <c r="AP395" s="26" t="str">
        <f t="shared" si="153"/>
        <v>pre-launch</v>
      </c>
      <c r="AQ395" s="18"/>
      <c r="AR395" s="18"/>
    </row>
    <row r="396" spans="1:44" x14ac:dyDescent="0.25">
      <c r="A396" s="43">
        <v>45457</v>
      </c>
      <c r="B396" s="17">
        <v>1191566426.6099999</v>
      </c>
      <c r="C396" s="17">
        <v>0</v>
      </c>
      <c r="D396" s="18"/>
      <c r="E396" s="19">
        <f t="shared" si="132"/>
        <v>1191566426.6099999</v>
      </c>
      <c r="F396" s="19">
        <f t="shared" si="133"/>
        <v>1191566426.6099999</v>
      </c>
      <c r="G396" s="20">
        <f t="shared" si="134"/>
        <v>0</v>
      </c>
      <c r="H396" s="18"/>
      <c r="I396" s="18"/>
      <c r="J396" s="18"/>
      <c r="K396" s="19">
        <f t="shared" si="135"/>
        <v>0</v>
      </c>
      <c r="L396" s="18"/>
      <c r="M396" s="18"/>
      <c r="N396" s="18"/>
      <c r="O396" s="19">
        <f t="shared" si="136"/>
        <v>0</v>
      </c>
      <c r="P396" s="21">
        <f t="shared" si="137"/>
        <v>0</v>
      </c>
      <c r="Q396" s="18"/>
      <c r="R396" s="18"/>
      <c r="S396" s="19">
        <f t="shared" si="138"/>
        <v>0</v>
      </c>
      <c r="T396" s="20">
        <f t="shared" si="139"/>
        <v>0.03</v>
      </c>
      <c r="U396" s="19">
        <f t="shared" si="140"/>
        <v>0</v>
      </c>
      <c r="V396" s="18"/>
      <c r="W396" s="19">
        <f t="shared" si="141"/>
        <v>0</v>
      </c>
      <c r="X396" s="19">
        <f t="shared" si="142"/>
        <v>0</v>
      </c>
      <c r="Y396" s="18"/>
      <c r="Z396" s="18"/>
      <c r="AA396" s="19">
        <f t="shared" si="143"/>
        <v>0</v>
      </c>
      <c r="AB396" s="17">
        <v>0</v>
      </c>
      <c r="AC396" s="18"/>
      <c r="AD396" s="18"/>
      <c r="AE396" s="22">
        <f t="shared" si="144"/>
        <v>0</v>
      </c>
      <c r="AF396" s="23">
        <f t="shared" si="145"/>
        <v>0</v>
      </c>
      <c r="AG396" s="23">
        <f t="shared" si="146"/>
        <v>0</v>
      </c>
      <c r="AH396" s="18"/>
      <c r="AI396" s="24">
        <f t="shared" si="147"/>
        <v>0</v>
      </c>
      <c r="AJ396" s="25">
        <v>0</v>
      </c>
      <c r="AK396" s="24">
        <f t="shared" si="148"/>
        <v>0</v>
      </c>
      <c r="AL396" s="22">
        <f t="shared" si="149"/>
        <v>0</v>
      </c>
      <c r="AM396" s="22">
        <f t="shared" si="150"/>
        <v>0</v>
      </c>
      <c r="AN396" s="22">
        <f t="shared" si="151"/>
        <v>0</v>
      </c>
      <c r="AO396" s="26" t="str">
        <f t="shared" si="152"/>
        <v/>
      </c>
      <c r="AP396" s="26" t="str">
        <f t="shared" si="153"/>
        <v>pre-launch</v>
      </c>
      <c r="AQ396" s="18"/>
      <c r="AR396" s="18"/>
    </row>
    <row r="397" spans="1:44" x14ac:dyDescent="0.25">
      <c r="A397" s="43">
        <v>45458</v>
      </c>
      <c r="B397" s="17">
        <v>487358637.98000002</v>
      </c>
      <c r="C397" s="17">
        <v>0</v>
      </c>
      <c r="D397" s="18"/>
      <c r="E397" s="19">
        <f t="shared" si="132"/>
        <v>487358637.98000002</v>
      </c>
      <c r="F397" s="19">
        <f t="shared" si="133"/>
        <v>487358637.98000002</v>
      </c>
      <c r="G397" s="20">
        <f t="shared" si="134"/>
        <v>0</v>
      </c>
      <c r="H397" s="18"/>
      <c r="I397" s="18"/>
      <c r="J397" s="18"/>
      <c r="K397" s="19">
        <f t="shared" si="135"/>
        <v>0</v>
      </c>
      <c r="L397" s="18"/>
      <c r="M397" s="18"/>
      <c r="N397" s="18"/>
      <c r="O397" s="19">
        <f t="shared" si="136"/>
        <v>0</v>
      </c>
      <c r="P397" s="21">
        <f t="shared" si="137"/>
        <v>0</v>
      </c>
      <c r="Q397" s="18"/>
      <c r="R397" s="18"/>
      <c r="S397" s="19">
        <f t="shared" si="138"/>
        <v>0</v>
      </c>
      <c r="T397" s="20">
        <f t="shared" si="139"/>
        <v>0.03</v>
      </c>
      <c r="U397" s="19">
        <f t="shared" si="140"/>
        <v>0</v>
      </c>
      <c r="V397" s="18"/>
      <c r="W397" s="19">
        <f t="shared" si="141"/>
        <v>0</v>
      </c>
      <c r="X397" s="19">
        <f t="shared" si="142"/>
        <v>0</v>
      </c>
      <c r="Y397" s="18"/>
      <c r="Z397" s="18"/>
      <c r="AA397" s="19">
        <f t="shared" si="143"/>
        <v>0</v>
      </c>
      <c r="AB397" s="17">
        <v>0</v>
      </c>
      <c r="AC397" s="18"/>
      <c r="AD397" s="18"/>
      <c r="AE397" s="22">
        <f t="shared" si="144"/>
        <v>0</v>
      </c>
      <c r="AF397" s="23">
        <f t="shared" si="145"/>
        <v>0</v>
      </c>
      <c r="AG397" s="23">
        <f t="shared" si="146"/>
        <v>0</v>
      </c>
      <c r="AH397" s="18"/>
      <c r="AI397" s="24">
        <f t="shared" si="147"/>
        <v>0</v>
      </c>
      <c r="AJ397" s="25">
        <v>0</v>
      </c>
      <c r="AK397" s="24">
        <f t="shared" si="148"/>
        <v>0</v>
      </c>
      <c r="AL397" s="22">
        <f t="shared" si="149"/>
        <v>0</v>
      </c>
      <c r="AM397" s="22">
        <f t="shared" si="150"/>
        <v>0</v>
      </c>
      <c r="AN397" s="22">
        <f t="shared" si="151"/>
        <v>0</v>
      </c>
      <c r="AO397" s="26" t="str">
        <f t="shared" si="152"/>
        <v/>
      </c>
      <c r="AP397" s="26" t="str">
        <f t="shared" si="153"/>
        <v>pre-launch</v>
      </c>
      <c r="AQ397" s="18"/>
      <c r="AR397" s="18"/>
    </row>
    <row r="398" spans="1:44" x14ac:dyDescent="0.25">
      <c r="A398" s="43">
        <v>45459</v>
      </c>
      <c r="B398" s="17">
        <v>530330142.18000001</v>
      </c>
      <c r="C398" s="17">
        <v>0</v>
      </c>
      <c r="D398" s="18"/>
      <c r="E398" s="19">
        <f t="shared" si="132"/>
        <v>530330142.18000001</v>
      </c>
      <c r="F398" s="19">
        <f t="shared" si="133"/>
        <v>530330142.18000001</v>
      </c>
      <c r="G398" s="20">
        <f t="shared" si="134"/>
        <v>0</v>
      </c>
      <c r="H398" s="18"/>
      <c r="I398" s="18"/>
      <c r="J398" s="18"/>
      <c r="K398" s="19">
        <f t="shared" si="135"/>
        <v>0</v>
      </c>
      <c r="L398" s="18"/>
      <c r="M398" s="18"/>
      <c r="N398" s="18"/>
      <c r="O398" s="19">
        <f t="shared" si="136"/>
        <v>0</v>
      </c>
      <c r="P398" s="21">
        <f t="shared" si="137"/>
        <v>0</v>
      </c>
      <c r="Q398" s="18"/>
      <c r="R398" s="18"/>
      <c r="S398" s="19">
        <f t="shared" si="138"/>
        <v>0</v>
      </c>
      <c r="T398" s="20">
        <f t="shared" si="139"/>
        <v>0.03</v>
      </c>
      <c r="U398" s="19">
        <f t="shared" si="140"/>
        <v>0</v>
      </c>
      <c r="V398" s="18"/>
      <c r="W398" s="19">
        <f t="shared" si="141"/>
        <v>0</v>
      </c>
      <c r="X398" s="19">
        <f t="shared" si="142"/>
        <v>0</v>
      </c>
      <c r="Y398" s="18"/>
      <c r="Z398" s="18"/>
      <c r="AA398" s="19">
        <f t="shared" si="143"/>
        <v>0</v>
      </c>
      <c r="AB398" s="17">
        <v>0</v>
      </c>
      <c r="AC398" s="18"/>
      <c r="AD398" s="18"/>
      <c r="AE398" s="22">
        <f t="shared" si="144"/>
        <v>0</v>
      </c>
      <c r="AF398" s="23">
        <f t="shared" si="145"/>
        <v>0</v>
      </c>
      <c r="AG398" s="23">
        <f t="shared" si="146"/>
        <v>0</v>
      </c>
      <c r="AH398" s="18"/>
      <c r="AI398" s="24">
        <f t="shared" si="147"/>
        <v>0</v>
      </c>
      <c r="AJ398" s="25">
        <v>0</v>
      </c>
      <c r="AK398" s="24">
        <f t="shared" si="148"/>
        <v>0</v>
      </c>
      <c r="AL398" s="22">
        <f t="shared" si="149"/>
        <v>0</v>
      </c>
      <c r="AM398" s="22">
        <f t="shared" si="150"/>
        <v>0</v>
      </c>
      <c r="AN398" s="22">
        <f t="shared" si="151"/>
        <v>0</v>
      </c>
      <c r="AO398" s="26" t="str">
        <f t="shared" si="152"/>
        <v/>
      </c>
      <c r="AP398" s="26" t="str">
        <f t="shared" si="153"/>
        <v>pre-launch</v>
      </c>
      <c r="AQ398" s="18"/>
      <c r="AR398" s="18"/>
    </row>
    <row r="399" spans="1:44" x14ac:dyDescent="0.25">
      <c r="A399" s="43">
        <v>45460</v>
      </c>
      <c r="B399" s="17">
        <v>1718045855.6800001</v>
      </c>
      <c r="C399" s="17">
        <v>0</v>
      </c>
      <c r="D399" s="18"/>
      <c r="E399" s="19">
        <f t="shared" si="132"/>
        <v>1718045855.6800001</v>
      </c>
      <c r="F399" s="19">
        <f t="shared" si="133"/>
        <v>1718045855.6800001</v>
      </c>
      <c r="G399" s="20">
        <f t="shared" si="134"/>
        <v>0</v>
      </c>
      <c r="H399" s="18"/>
      <c r="I399" s="18"/>
      <c r="J399" s="18"/>
      <c r="K399" s="19">
        <f t="shared" si="135"/>
        <v>0</v>
      </c>
      <c r="L399" s="18"/>
      <c r="M399" s="18"/>
      <c r="N399" s="18"/>
      <c r="O399" s="19">
        <f t="shared" si="136"/>
        <v>0</v>
      </c>
      <c r="P399" s="21">
        <f t="shared" si="137"/>
        <v>0</v>
      </c>
      <c r="Q399" s="18"/>
      <c r="R399" s="18"/>
      <c r="S399" s="19">
        <f t="shared" si="138"/>
        <v>0</v>
      </c>
      <c r="T399" s="20">
        <f t="shared" si="139"/>
        <v>0.03</v>
      </c>
      <c r="U399" s="19">
        <f t="shared" si="140"/>
        <v>0</v>
      </c>
      <c r="V399" s="18"/>
      <c r="W399" s="19">
        <f t="shared" si="141"/>
        <v>0</v>
      </c>
      <c r="X399" s="19">
        <f t="shared" si="142"/>
        <v>0</v>
      </c>
      <c r="Y399" s="18"/>
      <c r="Z399" s="18"/>
      <c r="AA399" s="19">
        <f t="shared" si="143"/>
        <v>0</v>
      </c>
      <c r="AB399" s="17">
        <v>0</v>
      </c>
      <c r="AC399" s="18"/>
      <c r="AD399" s="18"/>
      <c r="AE399" s="22">
        <f t="shared" si="144"/>
        <v>0</v>
      </c>
      <c r="AF399" s="23">
        <f t="shared" si="145"/>
        <v>0</v>
      </c>
      <c r="AG399" s="23">
        <f t="shared" si="146"/>
        <v>0</v>
      </c>
      <c r="AH399" s="18"/>
      <c r="AI399" s="24">
        <f t="shared" si="147"/>
        <v>0</v>
      </c>
      <c r="AJ399" s="25">
        <v>0</v>
      </c>
      <c r="AK399" s="24">
        <f t="shared" si="148"/>
        <v>0</v>
      </c>
      <c r="AL399" s="22">
        <f t="shared" si="149"/>
        <v>0</v>
      </c>
      <c r="AM399" s="22">
        <f t="shared" si="150"/>
        <v>0</v>
      </c>
      <c r="AN399" s="22">
        <f t="shared" si="151"/>
        <v>0</v>
      </c>
      <c r="AO399" s="26" t="str">
        <f t="shared" si="152"/>
        <v/>
      </c>
      <c r="AP399" s="26" t="str">
        <f t="shared" si="153"/>
        <v>pre-launch</v>
      </c>
      <c r="AQ399" s="18"/>
      <c r="AR399" s="18"/>
    </row>
    <row r="400" spans="1:44" x14ac:dyDescent="0.25">
      <c r="A400" s="43">
        <v>45461</v>
      </c>
      <c r="B400" s="17">
        <v>1705954897.4400001</v>
      </c>
      <c r="C400" s="17">
        <v>0</v>
      </c>
      <c r="D400" s="18"/>
      <c r="E400" s="19">
        <f t="shared" si="132"/>
        <v>1705954897.4400001</v>
      </c>
      <c r="F400" s="19">
        <f t="shared" si="133"/>
        <v>1705954897.4400001</v>
      </c>
      <c r="G400" s="20">
        <f t="shared" si="134"/>
        <v>0</v>
      </c>
      <c r="H400" s="18"/>
      <c r="I400" s="18"/>
      <c r="J400" s="18"/>
      <c r="K400" s="19">
        <f t="shared" si="135"/>
        <v>0</v>
      </c>
      <c r="L400" s="18"/>
      <c r="M400" s="18"/>
      <c r="N400" s="18"/>
      <c r="O400" s="19">
        <f t="shared" si="136"/>
        <v>0</v>
      </c>
      <c r="P400" s="21">
        <f t="shared" si="137"/>
        <v>0</v>
      </c>
      <c r="Q400" s="18"/>
      <c r="R400" s="18"/>
      <c r="S400" s="19">
        <f t="shared" si="138"/>
        <v>0</v>
      </c>
      <c r="T400" s="20">
        <f t="shared" si="139"/>
        <v>0.03</v>
      </c>
      <c r="U400" s="19">
        <f t="shared" si="140"/>
        <v>0</v>
      </c>
      <c r="V400" s="18"/>
      <c r="W400" s="19">
        <f t="shared" si="141"/>
        <v>0</v>
      </c>
      <c r="X400" s="19">
        <f t="shared" si="142"/>
        <v>0</v>
      </c>
      <c r="Y400" s="18"/>
      <c r="Z400" s="18"/>
      <c r="AA400" s="19">
        <f t="shared" si="143"/>
        <v>0</v>
      </c>
      <c r="AB400" s="17">
        <v>0</v>
      </c>
      <c r="AC400" s="18"/>
      <c r="AD400" s="18"/>
      <c r="AE400" s="22">
        <f t="shared" si="144"/>
        <v>0</v>
      </c>
      <c r="AF400" s="23">
        <f t="shared" si="145"/>
        <v>0</v>
      </c>
      <c r="AG400" s="23">
        <f t="shared" si="146"/>
        <v>0</v>
      </c>
      <c r="AH400" s="18"/>
      <c r="AI400" s="24">
        <f t="shared" si="147"/>
        <v>0</v>
      </c>
      <c r="AJ400" s="25">
        <v>0</v>
      </c>
      <c r="AK400" s="24">
        <f t="shared" si="148"/>
        <v>0</v>
      </c>
      <c r="AL400" s="22">
        <f t="shared" si="149"/>
        <v>0</v>
      </c>
      <c r="AM400" s="22">
        <f t="shared" si="150"/>
        <v>0</v>
      </c>
      <c r="AN400" s="22">
        <f t="shared" si="151"/>
        <v>0</v>
      </c>
      <c r="AO400" s="26" t="str">
        <f t="shared" si="152"/>
        <v/>
      </c>
      <c r="AP400" s="26" t="str">
        <f t="shared" si="153"/>
        <v>pre-launch</v>
      </c>
      <c r="AQ400" s="18"/>
      <c r="AR400" s="18"/>
    </row>
    <row r="401" spans="1:44" x14ac:dyDescent="0.25">
      <c r="A401" s="43">
        <v>45462</v>
      </c>
      <c r="B401" s="17">
        <v>910678178.09000003</v>
      </c>
      <c r="C401" s="17">
        <v>0</v>
      </c>
      <c r="D401" s="18"/>
      <c r="E401" s="19">
        <f t="shared" si="132"/>
        <v>910678178.09000003</v>
      </c>
      <c r="F401" s="19">
        <f t="shared" si="133"/>
        <v>910678178.09000003</v>
      </c>
      <c r="G401" s="20">
        <f t="shared" si="134"/>
        <v>0</v>
      </c>
      <c r="H401" s="18"/>
      <c r="I401" s="18"/>
      <c r="J401" s="18"/>
      <c r="K401" s="19">
        <f t="shared" si="135"/>
        <v>0</v>
      </c>
      <c r="L401" s="18"/>
      <c r="M401" s="18"/>
      <c r="N401" s="18"/>
      <c r="O401" s="19">
        <f t="shared" si="136"/>
        <v>0</v>
      </c>
      <c r="P401" s="21">
        <f t="shared" si="137"/>
        <v>0</v>
      </c>
      <c r="Q401" s="18"/>
      <c r="R401" s="18"/>
      <c r="S401" s="19">
        <f t="shared" si="138"/>
        <v>0</v>
      </c>
      <c r="T401" s="20">
        <f t="shared" si="139"/>
        <v>0.03</v>
      </c>
      <c r="U401" s="19">
        <f t="shared" si="140"/>
        <v>0</v>
      </c>
      <c r="V401" s="18"/>
      <c r="W401" s="19">
        <f t="shared" si="141"/>
        <v>0</v>
      </c>
      <c r="X401" s="19">
        <f t="shared" si="142"/>
        <v>0</v>
      </c>
      <c r="Y401" s="18"/>
      <c r="Z401" s="18"/>
      <c r="AA401" s="19">
        <f t="shared" si="143"/>
        <v>0</v>
      </c>
      <c r="AB401" s="17">
        <v>0</v>
      </c>
      <c r="AC401" s="18"/>
      <c r="AD401" s="18"/>
      <c r="AE401" s="22">
        <f t="shared" si="144"/>
        <v>0</v>
      </c>
      <c r="AF401" s="23">
        <f t="shared" si="145"/>
        <v>0</v>
      </c>
      <c r="AG401" s="23">
        <f t="shared" si="146"/>
        <v>0</v>
      </c>
      <c r="AH401" s="18"/>
      <c r="AI401" s="24">
        <f t="shared" si="147"/>
        <v>0</v>
      </c>
      <c r="AJ401" s="25">
        <v>0</v>
      </c>
      <c r="AK401" s="24">
        <f t="shared" si="148"/>
        <v>0</v>
      </c>
      <c r="AL401" s="22">
        <f t="shared" si="149"/>
        <v>0</v>
      </c>
      <c r="AM401" s="22">
        <f t="shared" si="150"/>
        <v>0</v>
      </c>
      <c r="AN401" s="22">
        <f t="shared" si="151"/>
        <v>0</v>
      </c>
      <c r="AO401" s="26" t="str">
        <f t="shared" si="152"/>
        <v/>
      </c>
      <c r="AP401" s="26" t="str">
        <f t="shared" si="153"/>
        <v>pre-launch</v>
      </c>
      <c r="AQ401" s="18"/>
      <c r="AR401" s="18"/>
    </row>
    <row r="402" spans="1:44" x14ac:dyDescent="0.25">
      <c r="A402" s="43">
        <v>45463</v>
      </c>
      <c r="B402" s="17">
        <v>920310358.39999998</v>
      </c>
      <c r="C402" s="17">
        <v>0</v>
      </c>
      <c r="D402" s="18"/>
      <c r="E402" s="19">
        <f t="shared" si="132"/>
        <v>920310358.39999998</v>
      </c>
      <c r="F402" s="19">
        <f t="shared" si="133"/>
        <v>920310358.39999998</v>
      </c>
      <c r="G402" s="20">
        <f t="shared" si="134"/>
        <v>0</v>
      </c>
      <c r="H402" s="18"/>
      <c r="I402" s="18"/>
      <c r="J402" s="18"/>
      <c r="K402" s="19">
        <f t="shared" si="135"/>
        <v>0</v>
      </c>
      <c r="L402" s="18"/>
      <c r="M402" s="18"/>
      <c r="N402" s="18"/>
      <c r="O402" s="19">
        <f t="shared" si="136"/>
        <v>0</v>
      </c>
      <c r="P402" s="21">
        <f t="shared" si="137"/>
        <v>0</v>
      </c>
      <c r="Q402" s="18"/>
      <c r="R402" s="18"/>
      <c r="S402" s="19">
        <f t="shared" si="138"/>
        <v>0</v>
      </c>
      <c r="T402" s="20">
        <f t="shared" si="139"/>
        <v>0.03</v>
      </c>
      <c r="U402" s="19">
        <f t="shared" si="140"/>
        <v>0</v>
      </c>
      <c r="V402" s="18"/>
      <c r="W402" s="19">
        <f t="shared" si="141"/>
        <v>0</v>
      </c>
      <c r="X402" s="19">
        <f t="shared" si="142"/>
        <v>0</v>
      </c>
      <c r="Y402" s="18"/>
      <c r="Z402" s="18"/>
      <c r="AA402" s="19">
        <f t="shared" si="143"/>
        <v>0</v>
      </c>
      <c r="AB402" s="17">
        <v>0</v>
      </c>
      <c r="AC402" s="18"/>
      <c r="AD402" s="18"/>
      <c r="AE402" s="22">
        <f t="shared" si="144"/>
        <v>0</v>
      </c>
      <c r="AF402" s="23">
        <f t="shared" si="145"/>
        <v>0</v>
      </c>
      <c r="AG402" s="23">
        <f t="shared" si="146"/>
        <v>0</v>
      </c>
      <c r="AH402" s="18"/>
      <c r="AI402" s="24">
        <f t="shared" si="147"/>
        <v>0</v>
      </c>
      <c r="AJ402" s="25">
        <v>0</v>
      </c>
      <c r="AK402" s="24">
        <f t="shared" si="148"/>
        <v>0</v>
      </c>
      <c r="AL402" s="22">
        <f t="shared" si="149"/>
        <v>0</v>
      </c>
      <c r="AM402" s="22">
        <f t="shared" si="150"/>
        <v>0</v>
      </c>
      <c r="AN402" s="22">
        <f t="shared" si="151"/>
        <v>0</v>
      </c>
      <c r="AO402" s="26" t="str">
        <f t="shared" si="152"/>
        <v/>
      </c>
      <c r="AP402" s="26" t="str">
        <f t="shared" si="153"/>
        <v>pre-launch</v>
      </c>
      <c r="AQ402" s="18"/>
      <c r="AR402" s="18"/>
    </row>
    <row r="403" spans="1:44" x14ac:dyDescent="0.25">
      <c r="A403" s="43">
        <v>45464</v>
      </c>
      <c r="B403" s="17">
        <v>954663757.19000006</v>
      </c>
      <c r="C403" s="17">
        <v>0</v>
      </c>
      <c r="D403" s="18"/>
      <c r="E403" s="19">
        <f t="shared" si="132"/>
        <v>954663757.19000006</v>
      </c>
      <c r="F403" s="19">
        <f t="shared" si="133"/>
        <v>954663757.19000006</v>
      </c>
      <c r="G403" s="20">
        <f t="shared" si="134"/>
        <v>0</v>
      </c>
      <c r="H403" s="18"/>
      <c r="I403" s="18"/>
      <c r="J403" s="18"/>
      <c r="K403" s="19">
        <f t="shared" si="135"/>
        <v>0</v>
      </c>
      <c r="L403" s="18"/>
      <c r="M403" s="18"/>
      <c r="N403" s="18"/>
      <c r="O403" s="19">
        <f t="shared" si="136"/>
        <v>0</v>
      </c>
      <c r="P403" s="21">
        <f t="shared" si="137"/>
        <v>0</v>
      </c>
      <c r="Q403" s="18"/>
      <c r="R403" s="18"/>
      <c r="S403" s="19">
        <f t="shared" si="138"/>
        <v>0</v>
      </c>
      <c r="T403" s="20">
        <f t="shared" si="139"/>
        <v>0.03</v>
      </c>
      <c r="U403" s="19">
        <f t="shared" si="140"/>
        <v>0</v>
      </c>
      <c r="V403" s="18"/>
      <c r="W403" s="19">
        <f t="shared" si="141"/>
        <v>0</v>
      </c>
      <c r="X403" s="19">
        <f t="shared" si="142"/>
        <v>0</v>
      </c>
      <c r="Y403" s="18"/>
      <c r="Z403" s="18"/>
      <c r="AA403" s="19">
        <f t="shared" si="143"/>
        <v>0</v>
      </c>
      <c r="AB403" s="17">
        <v>0</v>
      </c>
      <c r="AC403" s="18"/>
      <c r="AD403" s="18"/>
      <c r="AE403" s="22">
        <f t="shared" si="144"/>
        <v>0</v>
      </c>
      <c r="AF403" s="23">
        <f t="shared" si="145"/>
        <v>0</v>
      </c>
      <c r="AG403" s="23">
        <f t="shared" si="146"/>
        <v>0</v>
      </c>
      <c r="AH403" s="18"/>
      <c r="AI403" s="24">
        <f t="shared" si="147"/>
        <v>0</v>
      </c>
      <c r="AJ403" s="25">
        <v>0</v>
      </c>
      <c r="AK403" s="24">
        <f t="shared" si="148"/>
        <v>0</v>
      </c>
      <c r="AL403" s="22">
        <f t="shared" si="149"/>
        <v>0</v>
      </c>
      <c r="AM403" s="22">
        <f t="shared" si="150"/>
        <v>0</v>
      </c>
      <c r="AN403" s="22">
        <f t="shared" si="151"/>
        <v>0</v>
      </c>
      <c r="AO403" s="26" t="str">
        <f t="shared" si="152"/>
        <v/>
      </c>
      <c r="AP403" s="26" t="str">
        <f t="shared" si="153"/>
        <v>pre-launch</v>
      </c>
      <c r="AQ403" s="18"/>
      <c r="AR403" s="18"/>
    </row>
    <row r="404" spans="1:44" x14ac:dyDescent="0.25">
      <c r="A404" s="43">
        <v>45465</v>
      </c>
      <c r="B404" s="17">
        <v>299441841.16000003</v>
      </c>
      <c r="C404" s="17">
        <v>0</v>
      </c>
      <c r="D404" s="18"/>
      <c r="E404" s="19">
        <f t="shared" si="132"/>
        <v>299441841.16000003</v>
      </c>
      <c r="F404" s="19">
        <f t="shared" si="133"/>
        <v>299441841.16000003</v>
      </c>
      <c r="G404" s="20">
        <f t="shared" si="134"/>
        <v>0</v>
      </c>
      <c r="H404" s="18"/>
      <c r="I404" s="18"/>
      <c r="J404" s="18"/>
      <c r="K404" s="19">
        <f t="shared" si="135"/>
        <v>0</v>
      </c>
      <c r="L404" s="18"/>
      <c r="M404" s="18"/>
      <c r="N404" s="18"/>
      <c r="O404" s="19">
        <f t="shared" si="136"/>
        <v>0</v>
      </c>
      <c r="P404" s="21">
        <f t="shared" si="137"/>
        <v>0</v>
      </c>
      <c r="Q404" s="18"/>
      <c r="R404" s="18"/>
      <c r="S404" s="19">
        <f t="shared" si="138"/>
        <v>0</v>
      </c>
      <c r="T404" s="20">
        <f t="shared" si="139"/>
        <v>0.03</v>
      </c>
      <c r="U404" s="19">
        <f t="shared" si="140"/>
        <v>0</v>
      </c>
      <c r="V404" s="18"/>
      <c r="W404" s="19">
        <f t="shared" si="141"/>
        <v>0</v>
      </c>
      <c r="X404" s="19">
        <f t="shared" si="142"/>
        <v>0</v>
      </c>
      <c r="Y404" s="18"/>
      <c r="Z404" s="18"/>
      <c r="AA404" s="19">
        <f t="shared" si="143"/>
        <v>0</v>
      </c>
      <c r="AB404" s="17">
        <v>0</v>
      </c>
      <c r="AC404" s="18"/>
      <c r="AD404" s="18"/>
      <c r="AE404" s="22">
        <f t="shared" si="144"/>
        <v>0</v>
      </c>
      <c r="AF404" s="23">
        <f t="shared" si="145"/>
        <v>0</v>
      </c>
      <c r="AG404" s="23">
        <f t="shared" si="146"/>
        <v>0</v>
      </c>
      <c r="AH404" s="18"/>
      <c r="AI404" s="24">
        <f t="shared" si="147"/>
        <v>0</v>
      </c>
      <c r="AJ404" s="25">
        <v>0</v>
      </c>
      <c r="AK404" s="24">
        <f t="shared" si="148"/>
        <v>0</v>
      </c>
      <c r="AL404" s="22">
        <f t="shared" si="149"/>
        <v>0</v>
      </c>
      <c r="AM404" s="22">
        <f t="shared" si="150"/>
        <v>0</v>
      </c>
      <c r="AN404" s="22">
        <f t="shared" si="151"/>
        <v>0</v>
      </c>
      <c r="AO404" s="26" t="str">
        <f t="shared" si="152"/>
        <v/>
      </c>
      <c r="AP404" s="26" t="str">
        <f t="shared" si="153"/>
        <v>pre-launch</v>
      </c>
      <c r="AQ404" s="18"/>
      <c r="AR404" s="18"/>
    </row>
    <row r="405" spans="1:44" x14ac:dyDescent="0.25">
      <c r="A405" s="43">
        <v>45466</v>
      </c>
      <c r="B405" s="17">
        <v>537438673.53999996</v>
      </c>
      <c r="C405" s="17">
        <v>0</v>
      </c>
      <c r="D405" s="18"/>
      <c r="E405" s="19">
        <f t="shared" si="132"/>
        <v>537438673.53999996</v>
      </c>
      <c r="F405" s="19">
        <f t="shared" si="133"/>
        <v>537438673.53999996</v>
      </c>
      <c r="G405" s="20">
        <f t="shared" si="134"/>
        <v>0</v>
      </c>
      <c r="H405" s="18"/>
      <c r="I405" s="18"/>
      <c r="J405" s="18"/>
      <c r="K405" s="19">
        <f t="shared" si="135"/>
        <v>0</v>
      </c>
      <c r="L405" s="18"/>
      <c r="M405" s="18"/>
      <c r="N405" s="18"/>
      <c r="O405" s="19">
        <f t="shared" si="136"/>
        <v>0</v>
      </c>
      <c r="P405" s="21">
        <f t="shared" si="137"/>
        <v>0</v>
      </c>
      <c r="Q405" s="18"/>
      <c r="R405" s="18"/>
      <c r="S405" s="19">
        <f t="shared" si="138"/>
        <v>0</v>
      </c>
      <c r="T405" s="20">
        <f t="shared" si="139"/>
        <v>0.03</v>
      </c>
      <c r="U405" s="19">
        <f t="shared" si="140"/>
        <v>0</v>
      </c>
      <c r="V405" s="18"/>
      <c r="W405" s="19">
        <f t="shared" si="141"/>
        <v>0</v>
      </c>
      <c r="X405" s="19">
        <f t="shared" si="142"/>
        <v>0</v>
      </c>
      <c r="Y405" s="18"/>
      <c r="Z405" s="18"/>
      <c r="AA405" s="19">
        <f t="shared" si="143"/>
        <v>0</v>
      </c>
      <c r="AB405" s="17">
        <v>0</v>
      </c>
      <c r="AC405" s="18"/>
      <c r="AD405" s="18"/>
      <c r="AE405" s="22">
        <f t="shared" si="144"/>
        <v>0</v>
      </c>
      <c r="AF405" s="23">
        <f t="shared" si="145"/>
        <v>0</v>
      </c>
      <c r="AG405" s="23">
        <f t="shared" si="146"/>
        <v>0</v>
      </c>
      <c r="AH405" s="18"/>
      <c r="AI405" s="24">
        <f t="shared" si="147"/>
        <v>0</v>
      </c>
      <c r="AJ405" s="25">
        <v>0</v>
      </c>
      <c r="AK405" s="24">
        <f t="shared" si="148"/>
        <v>0</v>
      </c>
      <c r="AL405" s="22">
        <f t="shared" si="149"/>
        <v>0</v>
      </c>
      <c r="AM405" s="22">
        <f t="shared" si="150"/>
        <v>0</v>
      </c>
      <c r="AN405" s="22">
        <f t="shared" si="151"/>
        <v>0</v>
      </c>
      <c r="AO405" s="26" t="str">
        <f t="shared" si="152"/>
        <v/>
      </c>
      <c r="AP405" s="26" t="str">
        <f t="shared" si="153"/>
        <v>pre-launch</v>
      </c>
      <c r="AQ405" s="18"/>
      <c r="AR405" s="18"/>
    </row>
    <row r="406" spans="1:44" x14ac:dyDescent="0.25">
      <c r="A406" s="43">
        <v>45467</v>
      </c>
      <c r="B406" s="17">
        <v>1701335639.6800001</v>
      </c>
      <c r="C406" s="17">
        <v>0</v>
      </c>
      <c r="D406" s="18"/>
      <c r="E406" s="19">
        <f t="shared" si="132"/>
        <v>1701335639.6800001</v>
      </c>
      <c r="F406" s="19">
        <f t="shared" si="133"/>
        <v>1701335639.6800001</v>
      </c>
      <c r="G406" s="20">
        <f t="shared" si="134"/>
        <v>0</v>
      </c>
      <c r="H406" s="18"/>
      <c r="I406" s="18"/>
      <c r="J406" s="18"/>
      <c r="K406" s="19">
        <f t="shared" si="135"/>
        <v>0</v>
      </c>
      <c r="L406" s="18"/>
      <c r="M406" s="18"/>
      <c r="N406" s="18"/>
      <c r="O406" s="19">
        <f t="shared" si="136"/>
        <v>0</v>
      </c>
      <c r="P406" s="21">
        <f t="shared" si="137"/>
        <v>0</v>
      </c>
      <c r="Q406" s="18"/>
      <c r="R406" s="18"/>
      <c r="S406" s="19">
        <f t="shared" si="138"/>
        <v>0</v>
      </c>
      <c r="T406" s="20">
        <f t="shared" si="139"/>
        <v>0.03</v>
      </c>
      <c r="U406" s="19">
        <f t="shared" si="140"/>
        <v>0</v>
      </c>
      <c r="V406" s="18"/>
      <c r="W406" s="19">
        <f t="shared" si="141"/>
        <v>0</v>
      </c>
      <c r="X406" s="19">
        <f t="shared" si="142"/>
        <v>0</v>
      </c>
      <c r="Y406" s="18"/>
      <c r="Z406" s="18"/>
      <c r="AA406" s="19">
        <f t="shared" si="143"/>
        <v>0</v>
      </c>
      <c r="AB406" s="17">
        <v>0</v>
      </c>
      <c r="AC406" s="18"/>
      <c r="AD406" s="18"/>
      <c r="AE406" s="22">
        <f t="shared" si="144"/>
        <v>0</v>
      </c>
      <c r="AF406" s="23">
        <f t="shared" si="145"/>
        <v>0</v>
      </c>
      <c r="AG406" s="23">
        <f t="shared" si="146"/>
        <v>0</v>
      </c>
      <c r="AH406" s="18"/>
      <c r="AI406" s="24">
        <f t="shared" si="147"/>
        <v>0</v>
      </c>
      <c r="AJ406" s="25">
        <v>0</v>
      </c>
      <c r="AK406" s="24">
        <f t="shared" si="148"/>
        <v>0</v>
      </c>
      <c r="AL406" s="22">
        <f t="shared" si="149"/>
        <v>0</v>
      </c>
      <c r="AM406" s="22">
        <f t="shared" si="150"/>
        <v>0</v>
      </c>
      <c r="AN406" s="22">
        <f t="shared" si="151"/>
        <v>0</v>
      </c>
      <c r="AO406" s="26" t="str">
        <f t="shared" si="152"/>
        <v/>
      </c>
      <c r="AP406" s="26" t="str">
        <f t="shared" si="153"/>
        <v>pre-launch</v>
      </c>
      <c r="AQ406" s="18"/>
      <c r="AR406" s="18"/>
    </row>
    <row r="407" spans="1:44" x14ac:dyDescent="0.25">
      <c r="A407" s="43">
        <v>45468</v>
      </c>
      <c r="B407" s="17">
        <v>746565538.58000004</v>
      </c>
      <c r="C407" s="17">
        <v>0</v>
      </c>
      <c r="D407" s="18"/>
      <c r="E407" s="19">
        <f t="shared" si="132"/>
        <v>746565538.58000004</v>
      </c>
      <c r="F407" s="19">
        <f t="shared" si="133"/>
        <v>746565538.58000004</v>
      </c>
      <c r="G407" s="20">
        <f t="shared" si="134"/>
        <v>0</v>
      </c>
      <c r="H407" s="18"/>
      <c r="I407" s="18"/>
      <c r="J407" s="18"/>
      <c r="K407" s="19">
        <f t="shared" si="135"/>
        <v>0</v>
      </c>
      <c r="L407" s="18"/>
      <c r="M407" s="18"/>
      <c r="N407" s="18"/>
      <c r="O407" s="19">
        <f t="shared" si="136"/>
        <v>0</v>
      </c>
      <c r="P407" s="21">
        <f t="shared" si="137"/>
        <v>0</v>
      </c>
      <c r="Q407" s="18"/>
      <c r="R407" s="18"/>
      <c r="S407" s="19">
        <f t="shared" si="138"/>
        <v>0</v>
      </c>
      <c r="T407" s="20">
        <f t="shared" si="139"/>
        <v>0.03</v>
      </c>
      <c r="U407" s="19">
        <f t="shared" si="140"/>
        <v>0</v>
      </c>
      <c r="V407" s="18"/>
      <c r="W407" s="19">
        <f t="shared" si="141"/>
        <v>0</v>
      </c>
      <c r="X407" s="19">
        <f t="shared" si="142"/>
        <v>0</v>
      </c>
      <c r="Y407" s="18"/>
      <c r="Z407" s="18"/>
      <c r="AA407" s="19">
        <f t="shared" si="143"/>
        <v>0</v>
      </c>
      <c r="AB407" s="17">
        <v>0</v>
      </c>
      <c r="AC407" s="18"/>
      <c r="AD407" s="18"/>
      <c r="AE407" s="22">
        <f t="shared" si="144"/>
        <v>0</v>
      </c>
      <c r="AF407" s="23">
        <f t="shared" si="145"/>
        <v>0</v>
      </c>
      <c r="AG407" s="23">
        <f t="shared" si="146"/>
        <v>0</v>
      </c>
      <c r="AH407" s="18"/>
      <c r="AI407" s="24">
        <f t="shared" si="147"/>
        <v>0</v>
      </c>
      <c r="AJ407" s="25">
        <v>0</v>
      </c>
      <c r="AK407" s="24">
        <f t="shared" si="148"/>
        <v>0</v>
      </c>
      <c r="AL407" s="22">
        <f t="shared" si="149"/>
        <v>0</v>
      </c>
      <c r="AM407" s="22">
        <f t="shared" si="150"/>
        <v>0</v>
      </c>
      <c r="AN407" s="22">
        <f t="shared" si="151"/>
        <v>0</v>
      </c>
      <c r="AO407" s="26" t="str">
        <f t="shared" si="152"/>
        <v/>
      </c>
      <c r="AP407" s="26" t="str">
        <f t="shared" si="153"/>
        <v>pre-launch</v>
      </c>
      <c r="AQ407" s="18"/>
      <c r="AR407" s="18"/>
    </row>
    <row r="408" spans="1:44" x14ac:dyDescent="0.25">
      <c r="A408" s="43">
        <v>45469</v>
      </c>
      <c r="B408" s="17">
        <v>836208688.95000005</v>
      </c>
      <c r="C408" s="17">
        <v>0</v>
      </c>
      <c r="D408" s="18"/>
      <c r="E408" s="19">
        <f t="shared" si="132"/>
        <v>836208688.95000005</v>
      </c>
      <c r="F408" s="19">
        <f t="shared" si="133"/>
        <v>836208688.95000005</v>
      </c>
      <c r="G408" s="20">
        <f t="shared" si="134"/>
        <v>0</v>
      </c>
      <c r="H408" s="18"/>
      <c r="I408" s="18"/>
      <c r="J408" s="18"/>
      <c r="K408" s="19">
        <f t="shared" si="135"/>
        <v>0</v>
      </c>
      <c r="L408" s="18"/>
      <c r="M408" s="18"/>
      <c r="N408" s="18"/>
      <c r="O408" s="19">
        <f t="shared" si="136"/>
        <v>0</v>
      </c>
      <c r="P408" s="21">
        <f t="shared" si="137"/>
        <v>0</v>
      </c>
      <c r="Q408" s="18"/>
      <c r="R408" s="18"/>
      <c r="S408" s="19">
        <f t="shared" si="138"/>
        <v>0</v>
      </c>
      <c r="T408" s="20">
        <f t="shared" si="139"/>
        <v>0.03</v>
      </c>
      <c r="U408" s="19">
        <f t="shared" si="140"/>
        <v>0</v>
      </c>
      <c r="V408" s="18"/>
      <c r="W408" s="19">
        <f t="shared" si="141"/>
        <v>0</v>
      </c>
      <c r="X408" s="19">
        <f t="shared" si="142"/>
        <v>0</v>
      </c>
      <c r="Y408" s="18"/>
      <c r="Z408" s="18"/>
      <c r="AA408" s="19">
        <f t="shared" si="143"/>
        <v>0</v>
      </c>
      <c r="AB408" s="17">
        <v>0</v>
      </c>
      <c r="AC408" s="18"/>
      <c r="AD408" s="18"/>
      <c r="AE408" s="22">
        <f t="shared" si="144"/>
        <v>0</v>
      </c>
      <c r="AF408" s="23">
        <f t="shared" si="145"/>
        <v>0</v>
      </c>
      <c r="AG408" s="23">
        <f t="shared" si="146"/>
        <v>0</v>
      </c>
      <c r="AH408" s="18"/>
      <c r="AI408" s="24">
        <f t="shared" si="147"/>
        <v>0</v>
      </c>
      <c r="AJ408" s="25">
        <v>0</v>
      </c>
      <c r="AK408" s="24">
        <f t="shared" si="148"/>
        <v>0</v>
      </c>
      <c r="AL408" s="22">
        <f t="shared" si="149"/>
        <v>0</v>
      </c>
      <c r="AM408" s="22">
        <f t="shared" si="150"/>
        <v>0</v>
      </c>
      <c r="AN408" s="22">
        <f t="shared" si="151"/>
        <v>0</v>
      </c>
      <c r="AO408" s="26" t="str">
        <f t="shared" si="152"/>
        <v/>
      </c>
      <c r="AP408" s="26" t="str">
        <f t="shared" si="153"/>
        <v>pre-launch</v>
      </c>
      <c r="AQ408" s="18"/>
      <c r="AR408" s="18"/>
    </row>
    <row r="409" spans="1:44" x14ac:dyDescent="0.25">
      <c r="A409" s="43">
        <v>45470</v>
      </c>
      <c r="B409" s="17">
        <v>728149743.74000001</v>
      </c>
      <c r="C409" s="17">
        <v>0</v>
      </c>
      <c r="D409" s="18"/>
      <c r="E409" s="19">
        <f t="shared" si="132"/>
        <v>728149743.74000001</v>
      </c>
      <c r="F409" s="19">
        <f t="shared" si="133"/>
        <v>728149743.74000001</v>
      </c>
      <c r="G409" s="20">
        <f t="shared" si="134"/>
        <v>0</v>
      </c>
      <c r="H409" s="18"/>
      <c r="I409" s="18"/>
      <c r="J409" s="18"/>
      <c r="K409" s="19">
        <f t="shared" si="135"/>
        <v>0</v>
      </c>
      <c r="L409" s="18"/>
      <c r="M409" s="18"/>
      <c r="N409" s="18"/>
      <c r="O409" s="19">
        <f t="shared" si="136"/>
        <v>0</v>
      </c>
      <c r="P409" s="21">
        <f t="shared" si="137"/>
        <v>0</v>
      </c>
      <c r="Q409" s="18"/>
      <c r="R409" s="18"/>
      <c r="S409" s="19">
        <f t="shared" si="138"/>
        <v>0</v>
      </c>
      <c r="T409" s="20">
        <f t="shared" si="139"/>
        <v>0.03</v>
      </c>
      <c r="U409" s="19">
        <f t="shared" si="140"/>
        <v>0</v>
      </c>
      <c r="V409" s="18"/>
      <c r="W409" s="19">
        <f t="shared" si="141"/>
        <v>0</v>
      </c>
      <c r="X409" s="19">
        <f t="shared" si="142"/>
        <v>0</v>
      </c>
      <c r="Y409" s="18"/>
      <c r="Z409" s="18"/>
      <c r="AA409" s="19">
        <f t="shared" si="143"/>
        <v>0</v>
      </c>
      <c r="AB409" s="17">
        <v>0</v>
      </c>
      <c r="AC409" s="18"/>
      <c r="AD409" s="18"/>
      <c r="AE409" s="22">
        <f t="shared" si="144"/>
        <v>0</v>
      </c>
      <c r="AF409" s="23">
        <f t="shared" si="145"/>
        <v>0</v>
      </c>
      <c r="AG409" s="23">
        <f t="shared" si="146"/>
        <v>0</v>
      </c>
      <c r="AH409" s="18"/>
      <c r="AI409" s="24">
        <f t="shared" si="147"/>
        <v>0</v>
      </c>
      <c r="AJ409" s="25">
        <v>0</v>
      </c>
      <c r="AK409" s="24">
        <f t="shared" si="148"/>
        <v>0</v>
      </c>
      <c r="AL409" s="22">
        <f t="shared" si="149"/>
        <v>0</v>
      </c>
      <c r="AM409" s="22">
        <f t="shared" si="150"/>
        <v>0</v>
      </c>
      <c r="AN409" s="22">
        <f t="shared" si="151"/>
        <v>0</v>
      </c>
      <c r="AO409" s="26" t="str">
        <f t="shared" si="152"/>
        <v/>
      </c>
      <c r="AP409" s="26" t="str">
        <f t="shared" si="153"/>
        <v>pre-launch</v>
      </c>
      <c r="AQ409" s="18"/>
      <c r="AR409" s="18"/>
    </row>
    <row r="410" spans="1:44" x14ac:dyDescent="0.25">
      <c r="A410" s="43">
        <v>45471</v>
      </c>
      <c r="B410" s="17">
        <v>904164900.94000006</v>
      </c>
      <c r="C410" s="17">
        <v>0</v>
      </c>
      <c r="D410" s="18"/>
      <c r="E410" s="19">
        <f t="shared" si="132"/>
        <v>904164900.94000006</v>
      </c>
      <c r="F410" s="19">
        <f t="shared" si="133"/>
        <v>904164900.94000006</v>
      </c>
      <c r="G410" s="20">
        <f t="shared" si="134"/>
        <v>0</v>
      </c>
      <c r="H410" s="18"/>
      <c r="I410" s="18"/>
      <c r="J410" s="18"/>
      <c r="K410" s="19">
        <f t="shared" si="135"/>
        <v>0</v>
      </c>
      <c r="L410" s="18"/>
      <c r="M410" s="18"/>
      <c r="N410" s="18"/>
      <c r="O410" s="19">
        <f t="shared" si="136"/>
        <v>0</v>
      </c>
      <c r="P410" s="21">
        <f t="shared" si="137"/>
        <v>0</v>
      </c>
      <c r="Q410" s="18"/>
      <c r="R410" s="18"/>
      <c r="S410" s="19">
        <f t="shared" si="138"/>
        <v>0</v>
      </c>
      <c r="T410" s="20">
        <f t="shared" si="139"/>
        <v>0.03</v>
      </c>
      <c r="U410" s="19">
        <f t="shared" si="140"/>
        <v>0</v>
      </c>
      <c r="V410" s="18"/>
      <c r="W410" s="19">
        <f t="shared" si="141"/>
        <v>0</v>
      </c>
      <c r="X410" s="19">
        <f t="shared" si="142"/>
        <v>0</v>
      </c>
      <c r="Y410" s="18"/>
      <c r="Z410" s="18"/>
      <c r="AA410" s="19">
        <f t="shared" si="143"/>
        <v>0</v>
      </c>
      <c r="AB410" s="17">
        <v>0</v>
      </c>
      <c r="AC410" s="18"/>
      <c r="AD410" s="18"/>
      <c r="AE410" s="22">
        <f t="shared" si="144"/>
        <v>0</v>
      </c>
      <c r="AF410" s="23">
        <f t="shared" si="145"/>
        <v>0</v>
      </c>
      <c r="AG410" s="23">
        <f t="shared" si="146"/>
        <v>0</v>
      </c>
      <c r="AH410" s="18"/>
      <c r="AI410" s="24">
        <f t="shared" si="147"/>
        <v>0</v>
      </c>
      <c r="AJ410" s="25">
        <v>0</v>
      </c>
      <c r="AK410" s="24">
        <f t="shared" si="148"/>
        <v>0</v>
      </c>
      <c r="AL410" s="22">
        <f t="shared" si="149"/>
        <v>0</v>
      </c>
      <c r="AM410" s="22">
        <f t="shared" si="150"/>
        <v>0</v>
      </c>
      <c r="AN410" s="22">
        <f t="shared" si="151"/>
        <v>0</v>
      </c>
      <c r="AO410" s="26" t="str">
        <f t="shared" si="152"/>
        <v/>
      </c>
      <c r="AP410" s="26" t="str">
        <f t="shared" si="153"/>
        <v>pre-launch</v>
      </c>
      <c r="AQ410" s="18"/>
      <c r="AR410" s="18"/>
    </row>
    <row r="411" spans="1:44" x14ac:dyDescent="0.25">
      <c r="A411" s="43">
        <v>45472</v>
      </c>
      <c r="B411" s="17">
        <v>288085033.56</v>
      </c>
      <c r="C411" s="17">
        <v>0</v>
      </c>
      <c r="D411" s="18"/>
      <c r="E411" s="19">
        <f t="shared" si="132"/>
        <v>288085033.56</v>
      </c>
      <c r="F411" s="19">
        <f t="shared" si="133"/>
        <v>288085033.56</v>
      </c>
      <c r="G411" s="20">
        <f t="shared" si="134"/>
        <v>0</v>
      </c>
      <c r="H411" s="18"/>
      <c r="I411" s="18"/>
      <c r="J411" s="18"/>
      <c r="K411" s="19">
        <f t="shared" si="135"/>
        <v>0</v>
      </c>
      <c r="L411" s="18"/>
      <c r="M411" s="18"/>
      <c r="N411" s="18"/>
      <c r="O411" s="19">
        <f t="shared" si="136"/>
        <v>0</v>
      </c>
      <c r="P411" s="21">
        <f t="shared" si="137"/>
        <v>0</v>
      </c>
      <c r="Q411" s="18"/>
      <c r="R411" s="18"/>
      <c r="S411" s="19">
        <f t="shared" si="138"/>
        <v>0</v>
      </c>
      <c r="T411" s="20">
        <f t="shared" si="139"/>
        <v>0.03</v>
      </c>
      <c r="U411" s="19">
        <f t="shared" si="140"/>
        <v>0</v>
      </c>
      <c r="V411" s="18"/>
      <c r="W411" s="19">
        <f t="shared" si="141"/>
        <v>0</v>
      </c>
      <c r="X411" s="19">
        <f t="shared" si="142"/>
        <v>0</v>
      </c>
      <c r="Y411" s="18"/>
      <c r="Z411" s="18"/>
      <c r="AA411" s="19">
        <f t="shared" si="143"/>
        <v>0</v>
      </c>
      <c r="AB411" s="17">
        <v>0</v>
      </c>
      <c r="AC411" s="18"/>
      <c r="AD411" s="18"/>
      <c r="AE411" s="22">
        <f t="shared" si="144"/>
        <v>0</v>
      </c>
      <c r="AF411" s="23">
        <f t="shared" si="145"/>
        <v>0</v>
      </c>
      <c r="AG411" s="23">
        <f t="shared" si="146"/>
        <v>0</v>
      </c>
      <c r="AH411" s="18"/>
      <c r="AI411" s="24">
        <f t="shared" si="147"/>
        <v>0</v>
      </c>
      <c r="AJ411" s="25">
        <v>0</v>
      </c>
      <c r="AK411" s="24">
        <f t="shared" si="148"/>
        <v>0</v>
      </c>
      <c r="AL411" s="22">
        <f t="shared" si="149"/>
        <v>0</v>
      </c>
      <c r="AM411" s="22">
        <f t="shared" si="150"/>
        <v>0</v>
      </c>
      <c r="AN411" s="22">
        <f t="shared" si="151"/>
        <v>0</v>
      </c>
      <c r="AO411" s="26" t="str">
        <f t="shared" si="152"/>
        <v/>
      </c>
      <c r="AP411" s="26" t="str">
        <f t="shared" si="153"/>
        <v>pre-launch</v>
      </c>
      <c r="AQ411" s="18"/>
      <c r="AR411" s="18"/>
    </row>
    <row r="412" spans="1:44" x14ac:dyDescent="0.25">
      <c r="A412" s="43">
        <v>45473</v>
      </c>
      <c r="B412" s="17">
        <v>662010110.55999994</v>
      </c>
      <c r="C412" s="17">
        <v>0</v>
      </c>
      <c r="D412" s="18"/>
      <c r="E412" s="19">
        <f t="shared" si="132"/>
        <v>662010110.55999994</v>
      </c>
      <c r="F412" s="19">
        <f t="shared" si="133"/>
        <v>662010110.55999994</v>
      </c>
      <c r="G412" s="20">
        <f t="shared" si="134"/>
        <v>0</v>
      </c>
      <c r="H412" s="18"/>
      <c r="I412" s="18"/>
      <c r="J412" s="18"/>
      <c r="K412" s="19">
        <f t="shared" si="135"/>
        <v>0</v>
      </c>
      <c r="L412" s="18"/>
      <c r="M412" s="18"/>
      <c r="N412" s="18"/>
      <c r="O412" s="19">
        <f t="shared" si="136"/>
        <v>0</v>
      </c>
      <c r="P412" s="21">
        <f t="shared" si="137"/>
        <v>0</v>
      </c>
      <c r="Q412" s="18"/>
      <c r="R412" s="18"/>
      <c r="S412" s="19">
        <f t="shared" si="138"/>
        <v>0</v>
      </c>
      <c r="T412" s="20">
        <f t="shared" si="139"/>
        <v>0.03</v>
      </c>
      <c r="U412" s="19">
        <f t="shared" si="140"/>
        <v>0</v>
      </c>
      <c r="V412" s="18"/>
      <c r="W412" s="19">
        <f t="shared" si="141"/>
        <v>0</v>
      </c>
      <c r="X412" s="19">
        <f t="shared" si="142"/>
        <v>0</v>
      </c>
      <c r="Y412" s="18"/>
      <c r="Z412" s="18"/>
      <c r="AA412" s="19">
        <f t="shared" si="143"/>
        <v>0</v>
      </c>
      <c r="AB412" s="17">
        <v>0</v>
      </c>
      <c r="AC412" s="18"/>
      <c r="AD412" s="18"/>
      <c r="AE412" s="22">
        <f t="shared" si="144"/>
        <v>0</v>
      </c>
      <c r="AF412" s="23">
        <f t="shared" si="145"/>
        <v>0</v>
      </c>
      <c r="AG412" s="23">
        <f t="shared" si="146"/>
        <v>0</v>
      </c>
      <c r="AH412" s="18"/>
      <c r="AI412" s="24">
        <f t="shared" si="147"/>
        <v>0</v>
      </c>
      <c r="AJ412" s="25">
        <v>0</v>
      </c>
      <c r="AK412" s="24">
        <f t="shared" si="148"/>
        <v>0</v>
      </c>
      <c r="AL412" s="22">
        <f t="shared" si="149"/>
        <v>0</v>
      </c>
      <c r="AM412" s="22">
        <f t="shared" si="150"/>
        <v>0</v>
      </c>
      <c r="AN412" s="22">
        <f t="shared" si="151"/>
        <v>0</v>
      </c>
      <c r="AO412" s="26" t="str">
        <f t="shared" si="152"/>
        <v/>
      </c>
      <c r="AP412" s="26" t="str">
        <f t="shared" si="153"/>
        <v>pre-launch</v>
      </c>
      <c r="AQ412" s="18"/>
      <c r="AR412" s="18"/>
    </row>
    <row r="413" spans="1:44" x14ac:dyDescent="0.25">
      <c r="A413" s="43">
        <v>45474</v>
      </c>
      <c r="B413" s="17">
        <v>803079365.96000004</v>
      </c>
      <c r="C413" s="17">
        <v>0</v>
      </c>
      <c r="D413" s="18"/>
      <c r="E413" s="19">
        <f t="shared" si="132"/>
        <v>803079365.96000004</v>
      </c>
      <c r="F413" s="19">
        <f t="shared" si="133"/>
        <v>803079365.96000004</v>
      </c>
      <c r="G413" s="20">
        <f t="shared" si="134"/>
        <v>0</v>
      </c>
      <c r="H413" s="18"/>
      <c r="I413" s="18"/>
      <c r="J413" s="18"/>
      <c r="K413" s="19">
        <f t="shared" si="135"/>
        <v>0</v>
      </c>
      <c r="L413" s="18"/>
      <c r="M413" s="18"/>
      <c r="N413" s="18"/>
      <c r="O413" s="19">
        <f t="shared" si="136"/>
        <v>0</v>
      </c>
      <c r="P413" s="21">
        <f t="shared" si="137"/>
        <v>0</v>
      </c>
      <c r="Q413" s="18"/>
      <c r="R413" s="18"/>
      <c r="S413" s="19">
        <f t="shared" si="138"/>
        <v>0</v>
      </c>
      <c r="T413" s="20">
        <f t="shared" si="139"/>
        <v>0.03</v>
      </c>
      <c r="U413" s="19">
        <f t="shared" si="140"/>
        <v>0</v>
      </c>
      <c r="V413" s="18"/>
      <c r="W413" s="19">
        <f t="shared" si="141"/>
        <v>0</v>
      </c>
      <c r="X413" s="19">
        <f t="shared" si="142"/>
        <v>0</v>
      </c>
      <c r="Y413" s="18"/>
      <c r="Z413" s="18"/>
      <c r="AA413" s="19">
        <f t="shared" si="143"/>
        <v>0</v>
      </c>
      <c r="AB413" s="17">
        <v>0</v>
      </c>
      <c r="AC413" s="18"/>
      <c r="AD413" s="18"/>
      <c r="AE413" s="22">
        <f t="shared" si="144"/>
        <v>0</v>
      </c>
      <c r="AF413" s="23">
        <f t="shared" si="145"/>
        <v>0</v>
      </c>
      <c r="AG413" s="23">
        <f t="shared" si="146"/>
        <v>0</v>
      </c>
      <c r="AH413" s="18"/>
      <c r="AI413" s="24">
        <f t="shared" si="147"/>
        <v>0</v>
      </c>
      <c r="AJ413" s="25">
        <v>0</v>
      </c>
      <c r="AK413" s="24">
        <f t="shared" si="148"/>
        <v>0</v>
      </c>
      <c r="AL413" s="22">
        <f t="shared" si="149"/>
        <v>0</v>
      </c>
      <c r="AM413" s="22">
        <f t="shared" si="150"/>
        <v>0</v>
      </c>
      <c r="AN413" s="22">
        <f t="shared" si="151"/>
        <v>0</v>
      </c>
      <c r="AO413" s="26" t="str">
        <f t="shared" si="152"/>
        <v/>
      </c>
      <c r="AP413" s="26" t="str">
        <f t="shared" si="153"/>
        <v>pre-launch</v>
      </c>
      <c r="AQ413" s="18"/>
      <c r="AR413" s="18"/>
    </row>
    <row r="414" spans="1:44" x14ac:dyDescent="0.25">
      <c r="A414" s="43">
        <v>45475</v>
      </c>
      <c r="B414" s="17">
        <v>712106630.41999996</v>
      </c>
      <c r="C414" s="17">
        <v>0</v>
      </c>
      <c r="D414" s="18"/>
      <c r="E414" s="19">
        <f t="shared" si="132"/>
        <v>712106630.41999996</v>
      </c>
      <c r="F414" s="19">
        <f t="shared" si="133"/>
        <v>712106630.41999996</v>
      </c>
      <c r="G414" s="20">
        <f t="shared" si="134"/>
        <v>0</v>
      </c>
      <c r="H414" s="18"/>
      <c r="I414" s="18"/>
      <c r="J414" s="18"/>
      <c r="K414" s="19">
        <f t="shared" si="135"/>
        <v>0</v>
      </c>
      <c r="L414" s="18"/>
      <c r="M414" s="18"/>
      <c r="N414" s="18"/>
      <c r="O414" s="19">
        <f t="shared" si="136"/>
        <v>0</v>
      </c>
      <c r="P414" s="21">
        <f t="shared" si="137"/>
        <v>0</v>
      </c>
      <c r="Q414" s="18"/>
      <c r="R414" s="18"/>
      <c r="S414" s="19">
        <f t="shared" si="138"/>
        <v>0</v>
      </c>
      <c r="T414" s="20">
        <f t="shared" si="139"/>
        <v>0.03</v>
      </c>
      <c r="U414" s="19">
        <f t="shared" si="140"/>
        <v>0</v>
      </c>
      <c r="V414" s="18"/>
      <c r="W414" s="19">
        <f t="shared" si="141"/>
        <v>0</v>
      </c>
      <c r="X414" s="19">
        <f t="shared" si="142"/>
        <v>0</v>
      </c>
      <c r="Y414" s="18"/>
      <c r="Z414" s="18"/>
      <c r="AA414" s="19">
        <f t="shared" si="143"/>
        <v>0</v>
      </c>
      <c r="AB414" s="17">
        <v>0</v>
      </c>
      <c r="AC414" s="18"/>
      <c r="AD414" s="18"/>
      <c r="AE414" s="22">
        <f t="shared" si="144"/>
        <v>0</v>
      </c>
      <c r="AF414" s="23">
        <f t="shared" si="145"/>
        <v>0</v>
      </c>
      <c r="AG414" s="23">
        <f t="shared" si="146"/>
        <v>0</v>
      </c>
      <c r="AH414" s="18"/>
      <c r="AI414" s="24">
        <f t="shared" si="147"/>
        <v>0</v>
      </c>
      <c r="AJ414" s="25">
        <v>0</v>
      </c>
      <c r="AK414" s="24">
        <f t="shared" si="148"/>
        <v>0</v>
      </c>
      <c r="AL414" s="22">
        <f t="shared" si="149"/>
        <v>0</v>
      </c>
      <c r="AM414" s="22">
        <f t="shared" si="150"/>
        <v>0</v>
      </c>
      <c r="AN414" s="22">
        <f t="shared" si="151"/>
        <v>0</v>
      </c>
      <c r="AO414" s="26" t="str">
        <f t="shared" si="152"/>
        <v/>
      </c>
      <c r="AP414" s="26" t="str">
        <f t="shared" si="153"/>
        <v>pre-launch</v>
      </c>
      <c r="AQ414" s="18"/>
      <c r="AR414" s="18"/>
    </row>
    <row r="415" spans="1:44" x14ac:dyDescent="0.25">
      <c r="A415" s="43">
        <v>45476</v>
      </c>
      <c r="B415" s="17">
        <v>1186263459.47</v>
      </c>
      <c r="C415" s="17">
        <v>0</v>
      </c>
      <c r="D415" s="18"/>
      <c r="E415" s="19">
        <f t="shared" si="132"/>
        <v>1186263459.47</v>
      </c>
      <c r="F415" s="19">
        <f t="shared" si="133"/>
        <v>1186263459.47</v>
      </c>
      <c r="G415" s="20">
        <f t="shared" si="134"/>
        <v>0</v>
      </c>
      <c r="H415" s="18"/>
      <c r="I415" s="18"/>
      <c r="J415" s="18"/>
      <c r="K415" s="19">
        <f t="shared" si="135"/>
        <v>0</v>
      </c>
      <c r="L415" s="18"/>
      <c r="M415" s="18"/>
      <c r="N415" s="18"/>
      <c r="O415" s="19">
        <f t="shared" si="136"/>
        <v>0</v>
      </c>
      <c r="P415" s="21">
        <f t="shared" si="137"/>
        <v>0</v>
      </c>
      <c r="Q415" s="18"/>
      <c r="R415" s="18"/>
      <c r="S415" s="19">
        <f t="shared" si="138"/>
        <v>0</v>
      </c>
      <c r="T415" s="20">
        <f t="shared" si="139"/>
        <v>0.03</v>
      </c>
      <c r="U415" s="19">
        <f t="shared" si="140"/>
        <v>0</v>
      </c>
      <c r="V415" s="18"/>
      <c r="W415" s="19">
        <f t="shared" si="141"/>
        <v>0</v>
      </c>
      <c r="X415" s="19">
        <f t="shared" si="142"/>
        <v>0</v>
      </c>
      <c r="Y415" s="18"/>
      <c r="Z415" s="18"/>
      <c r="AA415" s="19">
        <f t="shared" si="143"/>
        <v>0</v>
      </c>
      <c r="AB415" s="17">
        <v>0</v>
      </c>
      <c r="AC415" s="18"/>
      <c r="AD415" s="18"/>
      <c r="AE415" s="22">
        <f t="shared" si="144"/>
        <v>0</v>
      </c>
      <c r="AF415" s="23">
        <f t="shared" si="145"/>
        <v>0</v>
      </c>
      <c r="AG415" s="23">
        <f t="shared" si="146"/>
        <v>0</v>
      </c>
      <c r="AH415" s="18"/>
      <c r="AI415" s="24">
        <f t="shared" si="147"/>
        <v>0</v>
      </c>
      <c r="AJ415" s="25">
        <v>0</v>
      </c>
      <c r="AK415" s="24">
        <f t="shared" si="148"/>
        <v>0</v>
      </c>
      <c r="AL415" s="22">
        <f t="shared" si="149"/>
        <v>0</v>
      </c>
      <c r="AM415" s="22">
        <f t="shared" si="150"/>
        <v>0</v>
      </c>
      <c r="AN415" s="22">
        <f t="shared" si="151"/>
        <v>0</v>
      </c>
      <c r="AO415" s="26" t="str">
        <f t="shared" si="152"/>
        <v/>
      </c>
      <c r="AP415" s="26" t="str">
        <f t="shared" si="153"/>
        <v>pre-launch</v>
      </c>
      <c r="AQ415" s="18"/>
      <c r="AR415" s="18"/>
    </row>
    <row r="416" spans="1:44" x14ac:dyDescent="0.25">
      <c r="A416" s="43">
        <v>45477</v>
      </c>
      <c r="B416" s="17">
        <v>1641415260.4100001</v>
      </c>
      <c r="C416" s="17">
        <v>0</v>
      </c>
      <c r="D416" s="18"/>
      <c r="E416" s="19">
        <f t="shared" si="132"/>
        <v>1641415260.4100001</v>
      </c>
      <c r="F416" s="19">
        <f t="shared" si="133"/>
        <v>1641415260.4100001</v>
      </c>
      <c r="G416" s="20">
        <f t="shared" si="134"/>
        <v>0</v>
      </c>
      <c r="H416" s="18"/>
      <c r="I416" s="18"/>
      <c r="J416" s="18"/>
      <c r="K416" s="19">
        <f t="shared" si="135"/>
        <v>0</v>
      </c>
      <c r="L416" s="18"/>
      <c r="M416" s="18"/>
      <c r="N416" s="18"/>
      <c r="O416" s="19">
        <f t="shared" si="136"/>
        <v>0</v>
      </c>
      <c r="P416" s="21">
        <f t="shared" si="137"/>
        <v>0</v>
      </c>
      <c r="Q416" s="18"/>
      <c r="R416" s="18"/>
      <c r="S416" s="19">
        <f t="shared" si="138"/>
        <v>0</v>
      </c>
      <c r="T416" s="20">
        <f t="shared" si="139"/>
        <v>0.03</v>
      </c>
      <c r="U416" s="19">
        <f t="shared" si="140"/>
        <v>0</v>
      </c>
      <c r="V416" s="18"/>
      <c r="W416" s="19">
        <f t="shared" si="141"/>
        <v>0</v>
      </c>
      <c r="X416" s="19">
        <f t="shared" si="142"/>
        <v>0</v>
      </c>
      <c r="Y416" s="18"/>
      <c r="Z416" s="18"/>
      <c r="AA416" s="19">
        <f t="shared" si="143"/>
        <v>0</v>
      </c>
      <c r="AB416" s="17">
        <v>0</v>
      </c>
      <c r="AC416" s="18"/>
      <c r="AD416" s="18"/>
      <c r="AE416" s="22">
        <f t="shared" si="144"/>
        <v>0</v>
      </c>
      <c r="AF416" s="23">
        <f t="shared" si="145"/>
        <v>0</v>
      </c>
      <c r="AG416" s="23">
        <f t="shared" si="146"/>
        <v>0</v>
      </c>
      <c r="AH416" s="18"/>
      <c r="AI416" s="24">
        <f t="shared" si="147"/>
        <v>0</v>
      </c>
      <c r="AJ416" s="25">
        <v>0</v>
      </c>
      <c r="AK416" s="24">
        <f t="shared" si="148"/>
        <v>0</v>
      </c>
      <c r="AL416" s="22">
        <f t="shared" si="149"/>
        <v>0</v>
      </c>
      <c r="AM416" s="22">
        <f t="shared" si="150"/>
        <v>0</v>
      </c>
      <c r="AN416" s="22">
        <f t="shared" si="151"/>
        <v>0</v>
      </c>
      <c r="AO416" s="26" t="str">
        <f t="shared" si="152"/>
        <v/>
      </c>
      <c r="AP416" s="26" t="str">
        <f t="shared" si="153"/>
        <v>pre-launch</v>
      </c>
      <c r="AQ416" s="18"/>
      <c r="AR416" s="18"/>
    </row>
    <row r="417" spans="1:44" x14ac:dyDescent="0.25">
      <c r="A417" s="43">
        <v>45478</v>
      </c>
      <c r="B417" s="17">
        <v>2150725815.5500002</v>
      </c>
      <c r="C417" s="17">
        <v>0</v>
      </c>
      <c r="D417" s="18"/>
      <c r="E417" s="19">
        <f t="shared" si="132"/>
        <v>2150725815.5500002</v>
      </c>
      <c r="F417" s="19">
        <f t="shared" si="133"/>
        <v>2150725815.5500002</v>
      </c>
      <c r="G417" s="20">
        <f t="shared" si="134"/>
        <v>0</v>
      </c>
      <c r="H417" s="18"/>
      <c r="I417" s="18"/>
      <c r="J417" s="18"/>
      <c r="K417" s="19">
        <f t="shared" si="135"/>
        <v>0</v>
      </c>
      <c r="L417" s="18"/>
      <c r="M417" s="18"/>
      <c r="N417" s="18"/>
      <c r="O417" s="19">
        <f t="shared" si="136"/>
        <v>0</v>
      </c>
      <c r="P417" s="21">
        <f t="shared" si="137"/>
        <v>0</v>
      </c>
      <c r="Q417" s="18"/>
      <c r="R417" s="18"/>
      <c r="S417" s="19">
        <f t="shared" si="138"/>
        <v>0</v>
      </c>
      <c r="T417" s="20">
        <f t="shared" si="139"/>
        <v>0.03</v>
      </c>
      <c r="U417" s="19">
        <f t="shared" si="140"/>
        <v>0</v>
      </c>
      <c r="V417" s="18"/>
      <c r="W417" s="19">
        <f t="shared" si="141"/>
        <v>0</v>
      </c>
      <c r="X417" s="19">
        <f t="shared" si="142"/>
        <v>0</v>
      </c>
      <c r="Y417" s="18"/>
      <c r="Z417" s="18"/>
      <c r="AA417" s="19">
        <f t="shared" si="143"/>
        <v>0</v>
      </c>
      <c r="AB417" s="17">
        <v>0</v>
      </c>
      <c r="AC417" s="18"/>
      <c r="AD417" s="18"/>
      <c r="AE417" s="22">
        <f t="shared" si="144"/>
        <v>0</v>
      </c>
      <c r="AF417" s="23">
        <f t="shared" si="145"/>
        <v>0</v>
      </c>
      <c r="AG417" s="23">
        <f t="shared" si="146"/>
        <v>0</v>
      </c>
      <c r="AH417" s="18"/>
      <c r="AI417" s="24">
        <f t="shared" si="147"/>
        <v>0</v>
      </c>
      <c r="AJ417" s="25">
        <v>0</v>
      </c>
      <c r="AK417" s="24">
        <f t="shared" si="148"/>
        <v>0</v>
      </c>
      <c r="AL417" s="22">
        <f t="shared" si="149"/>
        <v>0</v>
      </c>
      <c r="AM417" s="22">
        <f t="shared" si="150"/>
        <v>0</v>
      </c>
      <c r="AN417" s="22">
        <f t="shared" si="151"/>
        <v>0</v>
      </c>
      <c r="AO417" s="26" t="str">
        <f t="shared" si="152"/>
        <v/>
      </c>
      <c r="AP417" s="26" t="str">
        <f t="shared" si="153"/>
        <v>pre-launch</v>
      </c>
      <c r="AQ417" s="18"/>
      <c r="AR417" s="18"/>
    </row>
    <row r="418" spans="1:44" x14ac:dyDescent="0.25">
      <c r="A418" s="43">
        <v>45479</v>
      </c>
      <c r="B418" s="17">
        <v>659063930.35000002</v>
      </c>
      <c r="C418" s="17">
        <v>0</v>
      </c>
      <c r="D418" s="18"/>
      <c r="E418" s="19">
        <f t="shared" si="132"/>
        <v>659063930.35000002</v>
      </c>
      <c r="F418" s="19">
        <f t="shared" si="133"/>
        <v>659063930.35000002</v>
      </c>
      <c r="G418" s="20">
        <f t="shared" si="134"/>
        <v>0</v>
      </c>
      <c r="H418" s="18"/>
      <c r="I418" s="18"/>
      <c r="J418" s="18"/>
      <c r="K418" s="19">
        <f t="shared" si="135"/>
        <v>0</v>
      </c>
      <c r="L418" s="18"/>
      <c r="M418" s="18"/>
      <c r="N418" s="18"/>
      <c r="O418" s="19">
        <f t="shared" si="136"/>
        <v>0</v>
      </c>
      <c r="P418" s="21">
        <f t="shared" si="137"/>
        <v>0</v>
      </c>
      <c r="Q418" s="18"/>
      <c r="R418" s="18"/>
      <c r="S418" s="19">
        <f t="shared" si="138"/>
        <v>0</v>
      </c>
      <c r="T418" s="20">
        <f t="shared" si="139"/>
        <v>0.03</v>
      </c>
      <c r="U418" s="19">
        <f t="shared" si="140"/>
        <v>0</v>
      </c>
      <c r="V418" s="18"/>
      <c r="W418" s="19">
        <f t="shared" si="141"/>
        <v>0</v>
      </c>
      <c r="X418" s="19">
        <f t="shared" si="142"/>
        <v>0</v>
      </c>
      <c r="Y418" s="18"/>
      <c r="Z418" s="18"/>
      <c r="AA418" s="19">
        <f t="shared" si="143"/>
        <v>0</v>
      </c>
      <c r="AB418" s="17">
        <v>0</v>
      </c>
      <c r="AC418" s="18"/>
      <c r="AD418" s="18"/>
      <c r="AE418" s="22">
        <f t="shared" si="144"/>
        <v>0</v>
      </c>
      <c r="AF418" s="23">
        <f t="shared" si="145"/>
        <v>0</v>
      </c>
      <c r="AG418" s="23">
        <f t="shared" si="146"/>
        <v>0</v>
      </c>
      <c r="AH418" s="18"/>
      <c r="AI418" s="24">
        <f t="shared" si="147"/>
        <v>0</v>
      </c>
      <c r="AJ418" s="25">
        <v>0</v>
      </c>
      <c r="AK418" s="24">
        <f t="shared" si="148"/>
        <v>0</v>
      </c>
      <c r="AL418" s="22">
        <f t="shared" si="149"/>
        <v>0</v>
      </c>
      <c r="AM418" s="22">
        <f t="shared" si="150"/>
        <v>0</v>
      </c>
      <c r="AN418" s="22">
        <f t="shared" si="151"/>
        <v>0</v>
      </c>
      <c r="AO418" s="26" t="str">
        <f t="shared" si="152"/>
        <v/>
      </c>
      <c r="AP418" s="26" t="str">
        <f t="shared" si="153"/>
        <v>pre-launch</v>
      </c>
      <c r="AQ418" s="18"/>
      <c r="AR418" s="18"/>
    </row>
    <row r="419" spans="1:44" x14ac:dyDescent="0.25">
      <c r="A419" s="43">
        <v>45480</v>
      </c>
      <c r="B419" s="17">
        <v>629530384.44000006</v>
      </c>
      <c r="C419" s="17">
        <v>0</v>
      </c>
      <c r="D419" s="18"/>
      <c r="E419" s="19">
        <f t="shared" si="132"/>
        <v>629530384.44000006</v>
      </c>
      <c r="F419" s="19">
        <f t="shared" si="133"/>
        <v>629530384.44000006</v>
      </c>
      <c r="G419" s="20">
        <f t="shared" si="134"/>
        <v>0</v>
      </c>
      <c r="H419" s="18"/>
      <c r="I419" s="18"/>
      <c r="J419" s="18"/>
      <c r="K419" s="19">
        <f t="shared" si="135"/>
        <v>0</v>
      </c>
      <c r="L419" s="18"/>
      <c r="M419" s="18"/>
      <c r="N419" s="18"/>
      <c r="O419" s="19">
        <f t="shared" si="136"/>
        <v>0</v>
      </c>
      <c r="P419" s="21">
        <f t="shared" si="137"/>
        <v>0</v>
      </c>
      <c r="Q419" s="18"/>
      <c r="R419" s="18"/>
      <c r="S419" s="19">
        <f t="shared" si="138"/>
        <v>0</v>
      </c>
      <c r="T419" s="20">
        <f t="shared" si="139"/>
        <v>0.03</v>
      </c>
      <c r="U419" s="19">
        <f t="shared" si="140"/>
        <v>0</v>
      </c>
      <c r="V419" s="18"/>
      <c r="W419" s="19">
        <f t="shared" si="141"/>
        <v>0</v>
      </c>
      <c r="X419" s="19">
        <f t="shared" si="142"/>
        <v>0</v>
      </c>
      <c r="Y419" s="18"/>
      <c r="Z419" s="18"/>
      <c r="AA419" s="19">
        <f t="shared" si="143"/>
        <v>0</v>
      </c>
      <c r="AB419" s="17">
        <v>0</v>
      </c>
      <c r="AC419" s="18"/>
      <c r="AD419" s="18"/>
      <c r="AE419" s="22">
        <f t="shared" si="144"/>
        <v>0</v>
      </c>
      <c r="AF419" s="23">
        <f t="shared" si="145"/>
        <v>0</v>
      </c>
      <c r="AG419" s="23">
        <f t="shared" si="146"/>
        <v>0</v>
      </c>
      <c r="AH419" s="18"/>
      <c r="AI419" s="24">
        <f t="shared" si="147"/>
        <v>0</v>
      </c>
      <c r="AJ419" s="25">
        <v>0</v>
      </c>
      <c r="AK419" s="24">
        <f t="shared" si="148"/>
        <v>0</v>
      </c>
      <c r="AL419" s="22">
        <f t="shared" si="149"/>
        <v>0</v>
      </c>
      <c r="AM419" s="22">
        <f t="shared" si="150"/>
        <v>0</v>
      </c>
      <c r="AN419" s="22">
        <f t="shared" si="151"/>
        <v>0</v>
      </c>
      <c r="AO419" s="26" t="str">
        <f t="shared" si="152"/>
        <v/>
      </c>
      <c r="AP419" s="26" t="str">
        <f t="shared" si="153"/>
        <v>pre-launch</v>
      </c>
      <c r="AQ419" s="18"/>
      <c r="AR419" s="18"/>
    </row>
    <row r="420" spans="1:44" x14ac:dyDescent="0.25">
      <c r="A420" s="43">
        <v>45481</v>
      </c>
      <c r="B420" s="17">
        <v>1488194426.74</v>
      </c>
      <c r="C420" s="17">
        <v>0</v>
      </c>
      <c r="D420" s="18"/>
      <c r="E420" s="19">
        <f t="shared" si="132"/>
        <v>1488194426.74</v>
      </c>
      <c r="F420" s="19">
        <f t="shared" si="133"/>
        <v>1488194426.74</v>
      </c>
      <c r="G420" s="20">
        <f t="shared" si="134"/>
        <v>0</v>
      </c>
      <c r="H420" s="18"/>
      <c r="I420" s="18"/>
      <c r="J420" s="18"/>
      <c r="K420" s="19">
        <f t="shared" si="135"/>
        <v>0</v>
      </c>
      <c r="L420" s="18"/>
      <c r="M420" s="18"/>
      <c r="N420" s="18"/>
      <c r="O420" s="19">
        <f t="shared" si="136"/>
        <v>0</v>
      </c>
      <c r="P420" s="21">
        <f t="shared" si="137"/>
        <v>0</v>
      </c>
      <c r="Q420" s="18"/>
      <c r="R420" s="18"/>
      <c r="S420" s="19">
        <f t="shared" si="138"/>
        <v>0</v>
      </c>
      <c r="T420" s="20">
        <f t="shared" si="139"/>
        <v>0.03</v>
      </c>
      <c r="U420" s="19">
        <f t="shared" si="140"/>
        <v>0</v>
      </c>
      <c r="V420" s="18"/>
      <c r="W420" s="19">
        <f t="shared" si="141"/>
        <v>0</v>
      </c>
      <c r="X420" s="19">
        <f t="shared" si="142"/>
        <v>0</v>
      </c>
      <c r="Y420" s="18"/>
      <c r="Z420" s="18"/>
      <c r="AA420" s="19">
        <f t="shared" si="143"/>
        <v>0</v>
      </c>
      <c r="AB420" s="17">
        <v>0</v>
      </c>
      <c r="AC420" s="18"/>
      <c r="AD420" s="18"/>
      <c r="AE420" s="22">
        <f t="shared" si="144"/>
        <v>0</v>
      </c>
      <c r="AF420" s="23">
        <f t="shared" si="145"/>
        <v>0</v>
      </c>
      <c r="AG420" s="23">
        <f t="shared" si="146"/>
        <v>0</v>
      </c>
      <c r="AH420" s="18"/>
      <c r="AI420" s="24">
        <f t="shared" si="147"/>
        <v>0</v>
      </c>
      <c r="AJ420" s="25">
        <v>0</v>
      </c>
      <c r="AK420" s="24">
        <f t="shared" si="148"/>
        <v>0</v>
      </c>
      <c r="AL420" s="22">
        <f t="shared" si="149"/>
        <v>0</v>
      </c>
      <c r="AM420" s="22">
        <f t="shared" si="150"/>
        <v>0</v>
      </c>
      <c r="AN420" s="22">
        <f t="shared" si="151"/>
        <v>0</v>
      </c>
      <c r="AO420" s="26" t="str">
        <f t="shared" si="152"/>
        <v/>
      </c>
      <c r="AP420" s="26" t="str">
        <f t="shared" si="153"/>
        <v>pre-launch</v>
      </c>
      <c r="AQ420" s="18"/>
      <c r="AR420" s="18"/>
    </row>
    <row r="421" spans="1:44" x14ac:dyDescent="0.25">
      <c r="A421" s="43">
        <v>45482</v>
      </c>
      <c r="B421" s="17">
        <v>1079099382.6700001</v>
      </c>
      <c r="C421" s="17">
        <v>0</v>
      </c>
      <c r="D421" s="18"/>
      <c r="E421" s="19">
        <f t="shared" si="132"/>
        <v>1079099382.6700001</v>
      </c>
      <c r="F421" s="19">
        <f t="shared" si="133"/>
        <v>1079099382.6700001</v>
      </c>
      <c r="G421" s="20">
        <f t="shared" si="134"/>
        <v>0</v>
      </c>
      <c r="H421" s="18"/>
      <c r="I421" s="18"/>
      <c r="J421" s="18"/>
      <c r="K421" s="19">
        <f t="shared" si="135"/>
        <v>0</v>
      </c>
      <c r="L421" s="18"/>
      <c r="M421" s="18"/>
      <c r="N421" s="18"/>
      <c r="O421" s="19">
        <f t="shared" si="136"/>
        <v>0</v>
      </c>
      <c r="P421" s="21">
        <f t="shared" si="137"/>
        <v>0</v>
      </c>
      <c r="Q421" s="18"/>
      <c r="R421" s="18"/>
      <c r="S421" s="19">
        <f t="shared" si="138"/>
        <v>0</v>
      </c>
      <c r="T421" s="20">
        <f t="shared" si="139"/>
        <v>0.03</v>
      </c>
      <c r="U421" s="19">
        <f t="shared" si="140"/>
        <v>0</v>
      </c>
      <c r="V421" s="18"/>
      <c r="W421" s="19">
        <f t="shared" si="141"/>
        <v>0</v>
      </c>
      <c r="X421" s="19">
        <f t="shared" si="142"/>
        <v>0</v>
      </c>
      <c r="Y421" s="18"/>
      <c r="Z421" s="18"/>
      <c r="AA421" s="19">
        <f t="shared" si="143"/>
        <v>0</v>
      </c>
      <c r="AB421" s="17">
        <v>0</v>
      </c>
      <c r="AC421" s="18"/>
      <c r="AD421" s="18"/>
      <c r="AE421" s="22">
        <f t="shared" si="144"/>
        <v>0</v>
      </c>
      <c r="AF421" s="23">
        <f t="shared" si="145"/>
        <v>0</v>
      </c>
      <c r="AG421" s="23">
        <f t="shared" si="146"/>
        <v>0</v>
      </c>
      <c r="AH421" s="18"/>
      <c r="AI421" s="24">
        <f t="shared" si="147"/>
        <v>0</v>
      </c>
      <c r="AJ421" s="25">
        <v>0</v>
      </c>
      <c r="AK421" s="24">
        <f t="shared" si="148"/>
        <v>0</v>
      </c>
      <c r="AL421" s="22">
        <f t="shared" si="149"/>
        <v>0</v>
      </c>
      <c r="AM421" s="22">
        <f t="shared" si="150"/>
        <v>0</v>
      </c>
      <c r="AN421" s="22">
        <f t="shared" si="151"/>
        <v>0</v>
      </c>
      <c r="AO421" s="26" t="str">
        <f t="shared" si="152"/>
        <v/>
      </c>
      <c r="AP421" s="26" t="str">
        <f t="shared" si="153"/>
        <v>pre-launch</v>
      </c>
      <c r="AQ421" s="18"/>
      <c r="AR421" s="18"/>
    </row>
    <row r="422" spans="1:44" x14ac:dyDescent="0.25">
      <c r="A422" s="43">
        <v>45483</v>
      </c>
      <c r="B422" s="17">
        <v>1189588847.25</v>
      </c>
      <c r="C422" s="17">
        <v>0</v>
      </c>
      <c r="D422" s="18"/>
      <c r="E422" s="19">
        <f t="shared" si="132"/>
        <v>1189588847.25</v>
      </c>
      <c r="F422" s="19">
        <f t="shared" si="133"/>
        <v>1189588847.25</v>
      </c>
      <c r="G422" s="20">
        <f t="shared" si="134"/>
        <v>0</v>
      </c>
      <c r="H422" s="18"/>
      <c r="I422" s="18"/>
      <c r="J422" s="18"/>
      <c r="K422" s="19">
        <f t="shared" si="135"/>
        <v>0</v>
      </c>
      <c r="L422" s="18"/>
      <c r="M422" s="18"/>
      <c r="N422" s="18"/>
      <c r="O422" s="19">
        <f t="shared" si="136"/>
        <v>0</v>
      </c>
      <c r="P422" s="21">
        <f t="shared" si="137"/>
        <v>0</v>
      </c>
      <c r="Q422" s="18"/>
      <c r="R422" s="18"/>
      <c r="S422" s="19">
        <f t="shared" si="138"/>
        <v>0</v>
      </c>
      <c r="T422" s="20">
        <f t="shared" si="139"/>
        <v>0.03</v>
      </c>
      <c r="U422" s="19">
        <f t="shared" si="140"/>
        <v>0</v>
      </c>
      <c r="V422" s="18"/>
      <c r="W422" s="19">
        <f t="shared" si="141"/>
        <v>0</v>
      </c>
      <c r="X422" s="19">
        <f t="shared" si="142"/>
        <v>0</v>
      </c>
      <c r="Y422" s="18"/>
      <c r="Z422" s="18"/>
      <c r="AA422" s="19">
        <f t="shared" si="143"/>
        <v>0</v>
      </c>
      <c r="AB422" s="17">
        <v>0</v>
      </c>
      <c r="AC422" s="18"/>
      <c r="AD422" s="18"/>
      <c r="AE422" s="22">
        <f t="shared" si="144"/>
        <v>0</v>
      </c>
      <c r="AF422" s="23">
        <f t="shared" si="145"/>
        <v>0</v>
      </c>
      <c r="AG422" s="23">
        <f t="shared" si="146"/>
        <v>0</v>
      </c>
      <c r="AH422" s="18"/>
      <c r="AI422" s="24">
        <f t="shared" si="147"/>
        <v>0</v>
      </c>
      <c r="AJ422" s="25">
        <v>0</v>
      </c>
      <c r="AK422" s="24">
        <f t="shared" si="148"/>
        <v>0</v>
      </c>
      <c r="AL422" s="22">
        <f t="shared" si="149"/>
        <v>0</v>
      </c>
      <c r="AM422" s="22">
        <f t="shared" si="150"/>
        <v>0</v>
      </c>
      <c r="AN422" s="22">
        <f t="shared" si="151"/>
        <v>0</v>
      </c>
      <c r="AO422" s="26" t="str">
        <f t="shared" si="152"/>
        <v/>
      </c>
      <c r="AP422" s="26" t="str">
        <f t="shared" si="153"/>
        <v>pre-launch</v>
      </c>
      <c r="AQ422" s="18"/>
      <c r="AR422" s="18"/>
    </row>
    <row r="423" spans="1:44" x14ac:dyDescent="0.25">
      <c r="A423" s="43">
        <v>45484</v>
      </c>
      <c r="B423" s="17">
        <v>1022241208.7</v>
      </c>
      <c r="C423" s="17">
        <v>0</v>
      </c>
      <c r="D423" s="18"/>
      <c r="E423" s="19">
        <f t="shared" si="132"/>
        <v>1022241208.7</v>
      </c>
      <c r="F423" s="19">
        <f t="shared" si="133"/>
        <v>1022241208.7</v>
      </c>
      <c r="G423" s="20">
        <f t="shared" si="134"/>
        <v>0</v>
      </c>
      <c r="H423" s="18"/>
      <c r="I423" s="18"/>
      <c r="J423" s="18"/>
      <c r="K423" s="19">
        <f t="shared" si="135"/>
        <v>0</v>
      </c>
      <c r="L423" s="18"/>
      <c r="M423" s="18"/>
      <c r="N423" s="18"/>
      <c r="O423" s="19">
        <f t="shared" si="136"/>
        <v>0</v>
      </c>
      <c r="P423" s="21">
        <f t="shared" si="137"/>
        <v>0</v>
      </c>
      <c r="Q423" s="18"/>
      <c r="R423" s="18"/>
      <c r="S423" s="19">
        <f t="shared" si="138"/>
        <v>0</v>
      </c>
      <c r="T423" s="20">
        <f t="shared" si="139"/>
        <v>0.03</v>
      </c>
      <c r="U423" s="19">
        <f t="shared" si="140"/>
        <v>0</v>
      </c>
      <c r="V423" s="18"/>
      <c r="W423" s="19">
        <f t="shared" si="141"/>
        <v>0</v>
      </c>
      <c r="X423" s="19">
        <f t="shared" si="142"/>
        <v>0</v>
      </c>
      <c r="Y423" s="18"/>
      <c r="Z423" s="18"/>
      <c r="AA423" s="19">
        <f t="shared" si="143"/>
        <v>0</v>
      </c>
      <c r="AB423" s="17">
        <v>0</v>
      </c>
      <c r="AC423" s="18"/>
      <c r="AD423" s="18"/>
      <c r="AE423" s="22">
        <f t="shared" si="144"/>
        <v>0</v>
      </c>
      <c r="AF423" s="23">
        <f t="shared" si="145"/>
        <v>0</v>
      </c>
      <c r="AG423" s="23">
        <f t="shared" si="146"/>
        <v>0</v>
      </c>
      <c r="AH423" s="18"/>
      <c r="AI423" s="24">
        <f t="shared" si="147"/>
        <v>0</v>
      </c>
      <c r="AJ423" s="25">
        <v>0</v>
      </c>
      <c r="AK423" s="24">
        <f t="shared" si="148"/>
        <v>0</v>
      </c>
      <c r="AL423" s="22">
        <f t="shared" si="149"/>
        <v>0</v>
      </c>
      <c r="AM423" s="22">
        <f t="shared" si="150"/>
        <v>0</v>
      </c>
      <c r="AN423" s="22">
        <f t="shared" si="151"/>
        <v>0</v>
      </c>
      <c r="AO423" s="26" t="str">
        <f t="shared" si="152"/>
        <v/>
      </c>
      <c r="AP423" s="26" t="str">
        <f t="shared" si="153"/>
        <v>pre-launch</v>
      </c>
      <c r="AQ423" s="18"/>
      <c r="AR423" s="18"/>
    </row>
    <row r="424" spans="1:44" x14ac:dyDescent="0.25">
      <c r="A424" s="43">
        <v>45485</v>
      </c>
      <c r="B424" s="17">
        <v>879286211.75</v>
      </c>
      <c r="C424" s="17">
        <v>0</v>
      </c>
      <c r="D424" s="18"/>
      <c r="E424" s="19">
        <f t="shared" si="132"/>
        <v>879286211.75</v>
      </c>
      <c r="F424" s="19">
        <f t="shared" si="133"/>
        <v>879286211.75</v>
      </c>
      <c r="G424" s="20">
        <f t="shared" si="134"/>
        <v>0</v>
      </c>
      <c r="H424" s="18"/>
      <c r="I424" s="18"/>
      <c r="J424" s="18"/>
      <c r="K424" s="19">
        <f t="shared" si="135"/>
        <v>0</v>
      </c>
      <c r="L424" s="18"/>
      <c r="M424" s="18"/>
      <c r="N424" s="18"/>
      <c r="O424" s="19">
        <f t="shared" si="136"/>
        <v>0</v>
      </c>
      <c r="P424" s="21">
        <f t="shared" si="137"/>
        <v>0</v>
      </c>
      <c r="Q424" s="18"/>
      <c r="R424" s="18"/>
      <c r="S424" s="19">
        <f t="shared" si="138"/>
        <v>0</v>
      </c>
      <c r="T424" s="20">
        <f t="shared" si="139"/>
        <v>0.03</v>
      </c>
      <c r="U424" s="19">
        <f t="shared" si="140"/>
        <v>0</v>
      </c>
      <c r="V424" s="18"/>
      <c r="W424" s="19">
        <f t="shared" si="141"/>
        <v>0</v>
      </c>
      <c r="X424" s="19">
        <f t="shared" si="142"/>
        <v>0</v>
      </c>
      <c r="Y424" s="18"/>
      <c r="Z424" s="18"/>
      <c r="AA424" s="19">
        <f t="shared" si="143"/>
        <v>0</v>
      </c>
      <c r="AB424" s="17">
        <v>0</v>
      </c>
      <c r="AC424" s="18"/>
      <c r="AD424" s="18"/>
      <c r="AE424" s="22">
        <f t="shared" si="144"/>
        <v>0</v>
      </c>
      <c r="AF424" s="23">
        <f t="shared" si="145"/>
        <v>0</v>
      </c>
      <c r="AG424" s="23">
        <f t="shared" si="146"/>
        <v>0</v>
      </c>
      <c r="AH424" s="18"/>
      <c r="AI424" s="24">
        <f t="shared" si="147"/>
        <v>0</v>
      </c>
      <c r="AJ424" s="25">
        <v>0</v>
      </c>
      <c r="AK424" s="24">
        <f t="shared" si="148"/>
        <v>0</v>
      </c>
      <c r="AL424" s="22">
        <f t="shared" si="149"/>
        <v>0</v>
      </c>
      <c r="AM424" s="22">
        <f t="shared" si="150"/>
        <v>0</v>
      </c>
      <c r="AN424" s="22">
        <f t="shared" si="151"/>
        <v>0</v>
      </c>
      <c r="AO424" s="26" t="str">
        <f t="shared" si="152"/>
        <v/>
      </c>
      <c r="AP424" s="26" t="str">
        <f t="shared" si="153"/>
        <v>pre-launch</v>
      </c>
      <c r="AQ424" s="18"/>
      <c r="AR424" s="18"/>
    </row>
    <row r="425" spans="1:44" x14ac:dyDescent="0.25">
      <c r="A425" s="43">
        <v>45486</v>
      </c>
      <c r="B425" s="17">
        <v>509055115.38</v>
      </c>
      <c r="C425" s="17">
        <v>0</v>
      </c>
      <c r="D425" s="18"/>
      <c r="E425" s="19">
        <f t="shared" si="132"/>
        <v>509055115.38</v>
      </c>
      <c r="F425" s="19">
        <f t="shared" si="133"/>
        <v>509055115.38</v>
      </c>
      <c r="G425" s="20">
        <f t="shared" si="134"/>
        <v>0</v>
      </c>
      <c r="H425" s="18"/>
      <c r="I425" s="18"/>
      <c r="J425" s="18"/>
      <c r="K425" s="19">
        <f t="shared" si="135"/>
        <v>0</v>
      </c>
      <c r="L425" s="18"/>
      <c r="M425" s="18"/>
      <c r="N425" s="18"/>
      <c r="O425" s="19">
        <f t="shared" si="136"/>
        <v>0</v>
      </c>
      <c r="P425" s="21">
        <f t="shared" si="137"/>
        <v>0</v>
      </c>
      <c r="Q425" s="18"/>
      <c r="R425" s="18"/>
      <c r="S425" s="19">
        <f t="shared" si="138"/>
        <v>0</v>
      </c>
      <c r="T425" s="20">
        <f t="shared" si="139"/>
        <v>0.03</v>
      </c>
      <c r="U425" s="19">
        <f t="shared" si="140"/>
        <v>0</v>
      </c>
      <c r="V425" s="18"/>
      <c r="W425" s="19">
        <f t="shared" si="141"/>
        <v>0</v>
      </c>
      <c r="X425" s="19">
        <f t="shared" si="142"/>
        <v>0</v>
      </c>
      <c r="Y425" s="18"/>
      <c r="Z425" s="18"/>
      <c r="AA425" s="19">
        <f t="shared" si="143"/>
        <v>0</v>
      </c>
      <c r="AB425" s="17">
        <v>0</v>
      </c>
      <c r="AC425" s="18"/>
      <c r="AD425" s="18"/>
      <c r="AE425" s="22">
        <f t="shared" si="144"/>
        <v>0</v>
      </c>
      <c r="AF425" s="23">
        <f t="shared" si="145"/>
        <v>0</v>
      </c>
      <c r="AG425" s="23">
        <f t="shared" si="146"/>
        <v>0</v>
      </c>
      <c r="AH425" s="18"/>
      <c r="AI425" s="24">
        <f t="shared" si="147"/>
        <v>0</v>
      </c>
      <c r="AJ425" s="25">
        <v>0</v>
      </c>
      <c r="AK425" s="24">
        <f t="shared" si="148"/>
        <v>0</v>
      </c>
      <c r="AL425" s="22">
        <f t="shared" si="149"/>
        <v>0</v>
      </c>
      <c r="AM425" s="22">
        <f t="shared" si="150"/>
        <v>0</v>
      </c>
      <c r="AN425" s="22">
        <f t="shared" si="151"/>
        <v>0</v>
      </c>
      <c r="AO425" s="26" t="str">
        <f t="shared" si="152"/>
        <v/>
      </c>
      <c r="AP425" s="26" t="str">
        <f t="shared" si="153"/>
        <v>pre-launch</v>
      </c>
      <c r="AQ425" s="18"/>
      <c r="AR425" s="18"/>
    </row>
    <row r="426" spans="1:44" x14ac:dyDescent="0.25">
      <c r="A426" s="43">
        <v>45487</v>
      </c>
      <c r="B426" s="17">
        <v>581928696.65999997</v>
      </c>
      <c r="C426" s="17">
        <v>0</v>
      </c>
      <c r="D426" s="18"/>
      <c r="E426" s="19">
        <f t="shared" si="132"/>
        <v>581928696.65999997</v>
      </c>
      <c r="F426" s="19">
        <f t="shared" si="133"/>
        <v>581928696.65999997</v>
      </c>
      <c r="G426" s="20">
        <f t="shared" si="134"/>
        <v>0</v>
      </c>
      <c r="H426" s="18"/>
      <c r="I426" s="18"/>
      <c r="J426" s="18"/>
      <c r="K426" s="19">
        <f t="shared" si="135"/>
        <v>0</v>
      </c>
      <c r="L426" s="18"/>
      <c r="M426" s="18"/>
      <c r="N426" s="18"/>
      <c r="O426" s="19">
        <f t="shared" si="136"/>
        <v>0</v>
      </c>
      <c r="P426" s="21">
        <f t="shared" si="137"/>
        <v>0</v>
      </c>
      <c r="Q426" s="18"/>
      <c r="R426" s="18"/>
      <c r="S426" s="19">
        <f t="shared" si="138"/>
        <v>0</v>
      </c>
      <c r="T426" s="20">
        <f t="shared" si="139"/>
        <v>0.03</v>
      </c>
      <c r="U426" s="19">
        <f t="shared" si="140"/>
        <v>0</v>
      </c>
      <c r="V426" s="18"/>
      <c r="W426" s="19">
        <f t="shared" si="141"/>
        <v>0</v>
      </c>
      <c r="X426" s="19">
        <f t="shared" si="142"/>
        <v>0</v>
      </c>
      <c r="Y426" s="18"/>
      <c r="Z426" s="18"/>
      <c r="AA426" s="19">
        <f t="shared" si="143"/>
        <v>0</v>
      </c>
      <c r="AB426" s="17">
        <v>0</v>
      </c>
      <c r="AC426" s="18"/>
      <c r="AD426" s="18"/>
      <c r="AE426" s="22">
        <f t="shared" si="144"/>
        <v>0</v>
      </c>
      <c r="AF426" s="23">
        <f t="shared" si="145"/>
        <v>0</v>
      </c>
      <c r="AG426" s="23">
        <f t="shared" si="146"/>
        <v>0</v>
      </c>
      <c r="AH426" s="18"/>
      <c r="AI426" s="24">
        <f t="shared" si="147"/>
        <v>0</v>
      </c>
      <c r="AJ426" s="25">
        <v>0</v>
      </c>
      <c r="AK426" s="24">
        <f t="shared" si="148"/>
        <v>0</v>
      </c>
      <c r="AL426" s="22">
        <f t="shared" si="149"/>
        <v>0</v>
      </c>
      <c r="AM426" s="22">
        <f t="shared" si="150"/>
        <v>0</v>
      </c>
      <c r="AN426" s="22">
        <f t="shared" si="151"/>
        <v>0</v>
      </c>
      <c r="AO426" s="26" t="str">
        <f t="shared" si="152"/>
        <v/>
      </c>
      <c r="AP426" s="26" t="str">
        <f t="shared" si="153"/>
        <v>pre-launch</v>
      </c>
      <c r="AQ426" s="18"/>
      <c r="AR426" s="18"/>
    </row>
    <row r="427" spans="1:44" x14ac:dyDescent="0.25">
      <c r="A427" s="43">
        <v>45488</v>
      </c>
      <c r="B427" s="17">
        <v>1182326185.9200001</v>
      </c>
      <c r="C427" s="17">
        <v>0</v>
      </c>
      <c r="D427" s="18"/>
      <c r="E427" s="19">
        <f t="shared" si="132"/>
        <v>1182326185.9200001</v>
      </c>
      <c r="F427" s="19">
        <f t="shared" si="133"/>
        <v>1182326185.9200001</v>
      </c>
      <c r="G427" s="20">
        <f t="shared" si="134"/>
        <v>0</v>
      </c>
      <c r="H427" s="18"/>
      <c r="I427" s="18"/>
      <c r="J427" s="18"/>
      <c r="K427" s="19">
        <f t="shared" si="135"/>
        <v>0</v>
      </c>
      <c r="L427" s="18"/>
      <c r="M427" s="18"/>
      <c r="N427" s="18"/>
      <c r="O427" s="19">
        <f t="shared" si="136"/>
        <v>0</v>
      </c>
      <c r="P427" s="21">
        <f t="shared" si="137"/>
        <v>0</v>
      </c>
      <c r="Q427" s="18"/>
      <c r="R427" s="18"/>
      <c r="S427" s="19">
        <f t="shared" si="138"/>
        <v>0</v>
      </c>
      <c r="T427" s="20">
        <f t="shared" si="139"/>
        <v>0.03</v>
      </c>
      <c r="U427" s="19">
        <f t="shared" si="140"/>
        <v>0</v>
      </c>
      <c r="V427" s="18"/>
      <c r="W427" s="19">
        <f t="shared" si="141"/>
        <v>0</v>
      </c>
      <c r="X427" s="19">
        <f t="shared" si="142"/>
        <v>0</v>
      </c>
      <c r="Y427" s="18"/>
      <c r="Z427" s="18"/>
      <c r="AA427" s="19">
        <f t="shared" si="143"/>
        <v>0</v>
      </c>
      <c r="AB427" s="17">
        <v>0</v>
      </c>
      <c r="AC427" s="18"/>
      <c r="AD427" s="18"/>
      <c r="AE427" s="22">
        <f t="shared" si="144"/>
        <v>0</v>
      </c>
      <c r="AF427" s="23">
        <f t="shared" si="145"/>
        <v>0</v>
      </c>
      <c r="AG427" s="23">
        <f t="shared" si="146"/>
        <v>0</v>
      </c>
      <c r="AH427" s="18"/>
      <c r="AI427" s="24">
        <f t="shared" si="147"/>
        <v>0</v>
      </c>
      <c r="AJ427" s="25">
        <v>0</v>
      </c>
      <c r="AK427" s="24">
        <f t="shared" si="148"/>
        <v>0</v>
      </c>
      <c r="AL427" s="22">
        <f t="shared" si="149"/>
        <v>0</v>
      </c>
      <c r="AM427" s="22">
        <f t="shared" si="150"/>
        <v>0</v>
      </c>
      <c r="AN427" s="22">
        <f t="shared" si="151"/>
        <v>0</v>
      </c>
      <c r="AO427" s="26" t="str">
        <f t="shared" si="152"/>
        <v/>
      </c>
      <c r="AP427" s="26" t="str">
        <f t="shared" si="153"/>
        <v>pre-launch</v>
      </c>
      <c r="AQ427" s="18"/>
      <c r="AR427" s="18"/>
    </row>
    <row r="428" spans="1:44" x14ac:dyDescent="0.25">
      <c r="A428" s="43">
        <v>45489</v>
      </c>
      <c r="B428" s="17">
        <v>1407279646.8599999</v>
      </c>
      <c r="C428" s="17">
        <v>0</v>
      </c>
      <c r="D428" s="18"/>
      <c r="E428" s="19">
        <f t="shared" si="132"/>
        <v>1407279646.8599999</v>
      </c>
      <c r="F428" s="19">
        <f t="shared" si="133"/>
        <v>1407279646.8599999</v>
      </c>
      <c r="G428" s="20">
        <f t="shared" si="134"/>
        <v>0</v>
      </c>
      <c r="H428" s="18"/>
      <c r="I428" s="18"/>
      <c r="J428" s="18"/>
      <c r="K428" s="19">
        <f t="shared" si="135"/>
        <v>0</v>
      </c>
      <c r="L428" s="18"/>
      <c r="M428" s="18"/>
      <c r="N428" s="18"/>
      <c r="O428" s="19">
        <f t="shared" si="136"/>
        <v>0</v>
      </c>
      <c r="P428" s="21">
        <f t="shared" si="137"/>
        <v>0</v>
      </c>
      <c r="Q428" s="18"/>
      <c r="R428" s="18"/>
      <c r="S428" s="19">
        <f t="shared" si="138"/>
        <v>0</v>
      </c>
      <c r="T428" s="20">
        <f t="shared" si="139"/>
        <v>0.03</v>
      </c>
      <c r="U428" s="19">
        <f t="shared" si="140"/>
        <v>0</v>
      </c>
      <c r="V428" s="18"/>
      <c r="W428" s="19">
        <f t="shared" si="141"/>
        <v>0</v>
      </c>
      <c r="X428" s="19">
        <f t="shared" si="142"/>
        <v>0</v>
      </c>
      <c r="Y428" s="18"/>
      <c r="Z428" s="18"/>
      <c r="AA428" s="19">
        <f t="shared" si="143"/>
        <v>0</v>
      </c>
      <c r="AB428" s="17">
        <v>0</v>
      </c>
      <c r="AC428" s="18"/>
      <c r="AD428" s="18"/>
      <c r="AE428" s="22">
        <f t="shared" si="144"/>
        <v>0</v>
      </c>
      <c r="AF428" s="23">
        <f t="shared" si="145"/>
        <v>0</v>
      </c>
      <c r="AG428" s="23">
        <f t="shared" si="146"/>
        <v>0</v>
      </c>
      <c r="AH428" s="18"/>
      <c r="AI428" s="24">
        <f t="shared" si="147"/>
        <v>0</v>
      </c>
      <c r="AJ428" s="25">
        <v>0</v>
      </c>
      <c r="AK428" s="24">
        <f t="shared" si="148"/>
        <v>0</v>
      </c>
      <c r="AL428" s="22">
        <f t="shared" si="149"/>
        <v>0</v>
      </c>
      <c r="AM428" s="22">
        <f t="shared" si="150"/>
        <v>0</v>
      </c>
      <c r="AN428" s="22">
        <f t="shared" si="151"/>
        <v>0</v>
      </c>
      <c r="AO428" s="26" t="str">
        <f t="shared" si="152"/>
        <v/>
      </c>
      <c r="AP428" s="26" t="str">
        <f t="shared" si="153"/>
        <v>pre-launch</v>
      </c>
      <c r="AQ428" s="18"/>
      <c r="AR428" s="18"/>
    </row>
    <row r="429" spans="1:44" x14ac:dyDescent="0.25">
      <c r="A429" s="43">
        <v>45490</v>
      </c>
      <c r="B429" s="17">
        <v>1313558641.55</v>
      </c>
      <c r="C429" s="17">
        <v>0</v>
      </c>
      <c r="D429" s="18"/>
      <c r="E429" s="19">
        <f t="shared" si="132"/>
        <v>1313558641.55</v>
      </c>
      <c r="F429" s="19">
        <f t="shared" si="133"/>
        <v>1313558641.55</v>
      </c>
      <c r="G429" s="20">
        <f t="shared" si="134"/>
        <v>0</v>
      </c>
      <c r="H429" s="18"/>
      <c r="I429" s="18"/>
      <c r="J429" s="18"/>
      <c r="K429" s="19">
        <f t="shared" si="135"/>
        <v>0</v>
      </c>
      <c r="L429" s="18"/>
      <c r="M429" s="18"/>
      <c r="N429" s="18"/>
      <c r="O429" s="19">
        <f t="shared" si="136"/>
        <v>0</v>
      </c>
      <c r="P429" s="21">
        <f t="shared" si="137"/>
        <v>0</v>
      </c>
      <c r="Q429" s="18"/>
      <c r="R429" s="18"/>
      <c r="S429" s="19">
        <f t="shared" si="138"/>
        <v>0</v>
      </c>
      <c r="T429" s="20">
        <f t="shared" si="139"/>
        <v>0.03</v>
      </c>
      <c r="U429" s="19">
        <f t="shared" si="140"/>
        <v>0</v>
      </c>
      <c r="V429" s="18"/>
      <c r="W429" s="19">
        <f t="shared" si="141"/>
        <v>0</v>
      </c>
      <c r="X429" s="19">
        <f t="shared" si="142"/>
        <v>0</v>
      </c>
      <c r="Y429" s="18"/>
      <c r="Z429" s="18"/>
      <c r="AA429" s="19">
        <f t="shared" si="143"/>
        <v>0</v>
      </c>
      <c r="AB429" s="17">
        <v>0</v>
      </c>
      <c r="AC429" s="18"/>
      <c r="AD429" s="18"/>
      <c r="AE429" s="22">
        <f t="shared" si="144"/>
        <v>0</v>
      </c>
      <c r="AF429" s="23">
        <f t="shared" si="145"/>
        <v>0</v>
      </c>
      <c r="AG429" s="23">
        <f t="shared" si="146"/>
        <v>0</v>
      </c>
      <c r="AH429" s="18"/>
      <c r="AI429" s="24">
        <f t="shared" si="147"/>
        <v>0</v>
      </c>
      <c r="AJ429" s="25">
        <v>0</v>
      </c>
      <c r="AK429" s="24">
        <f t="shared" si="148"/>
        <v>0</v>
      </c>
      <c r="AL429" s="22">
        <f t="shared" si="149"/>
        <v>0</v>
      </c>
      <c r="AM429" s="22">
        <f t="shared" si="150"/>
        <v>0</v>
      </c>
      <c r="AN429" s="22">
        <f t="shared" si="151"/>
        <v>0</v>
      </c>
      <c r="AO429" s="26" t="str">
        <f t="shared" si="152"/>
        <v/>
      </c>
      <c r="AP429" s="26" t="str">
        <f t="shared" si="153"/>
        <v>pre-launch</v>
      </c>
      <c r="AQ429" s="18"/>
      <c r="AR429" s="18"/>
    </row>
    <row r="430" spans="1:44" x14ac:dyDescent="0.25">
      <c r="A430" s="43">
        <v>45491</v>
      </c>
      <c r="B430" s="17">
        <v>1144249999</v>
      </c>
      <c r="C430" s="17">
        <v>0</v>
      </c>
      <c r="D430" s="18"/>
      <c r="E430" s="19">
        <f t="shared" si="132"/>
        <v>1144249999</v>
      </c>
      <c r="F430" s="19">
        <f t="shared" si="133"/>
        <v>1144249999</v>
      </c>
      <c r="G430" s="20">
        <f t="shared" si="134"/>
        <v>0</v>
      </c>
      <c r="H430" s="18"/>
      <c r="I430" s="18"/>
      <c r="J430" s="18"/>
      <c r="K430" s="19">
        <f t="shared" si="135"/>
        <v>0</v>
      </c>
      <c r="L430" s="18"/>
      <c r="M430" s="18"/>
      <c r="N430" s="18"/>
      <c r="O430" s="19">
        <f t="shared" si="136"/>
        <v>0</v>
      </c>
      <c r="P430" s="21">
        <f t="shared" si="137"/>
        <v>0</v>
      </c>
      <c r="Q430" s="18"/>
      <c r="R430" s="18"/>
      <c r="S430" s="19">
        <f t="shared" si="138"/>
        <v>0</v>
      </c>
      <c r="T430" s="20">
        <f t="shared" si="139"/>
        <v>0.03</v>
      </c>
      <c r="U430" s="19">
        <f t="shared" si="140"/>
        <v>0</v>
      </c>
      <c r="V430" s="18"/>
      <c r="W430" s="19">
        <f t="shared" si="141"/>
        <v>0</v>
      </c>
      <c r="X430" s="19">
        <f t="shared" si="142"/>
        <v>0</v>
      </c>
      <c r="Y430" s="18"/>
      <c r="Z430" s="18"/>
      <c r="AA430" s="19">
        <f t="shared" si="143"/>
        <v>0</v>
      </c>
      <c r="AB430" s="17">
        <v>0</v>
      </c>
      <c r="AC430" s="18"/>
      <c r="AD430" s="18"/>
      <c r="AE430" s="22">
        <f t="shared" si="144"/>
        <v>0</v>
      </c>
      <c r="AF430" s="23">
        <f t="shared" si="145"/>
        <v>0</v>
      </c>
      <c r="AG430" s="23">
        <f t="shared" si="146"/>
        <v>0</v>
      </c>
      <c r="AH430" s="18"/>
      <c r="AI430" s="24">
        <f t="shared" si="147"/>
        <v>0</v>
      </c>
      <c r="AJ430" s="25">
        <v>0</v>
      </c>
      <c r="AK430" s="24">
        <f t="shared" si="148"/>
        <v>0</v>
      </c>
      <c r="AL430" s="22">
        <f t="shared" si="149"/>
        <v>0</v>
      </c>
      <c r="AM430" s="22">
        <f t="shared" si="150"/>
        <v>0</v>
      </c>
      <c r="AN430" s="22">
        <f t="shared" si="151"/>
        <v>0</v>
      </c>
      <c r="AO430" s="26" t="str">
        <f t="shared" si="152"/>
        <v/>
      </c>
      <c r="AP430" s="26" t="str">
        <f t="shared" si="153"/>
        <v>pre-launch</v>
      </c>
      <c r="AQ430" s="18"/>
      <c r="AR430" s="18"/>
    </row>
    <row r="431" spans="1:44" x14ac:dyDescent="0.25">
      <c r="A431" s="43">
        <v>45492</v>
      </c>
      <c r="B431" s="17">
        <v>1137862567.6900001</v>
      </c>
      <c r="C431" s="17">
        <v>0</v>
      </c>
      <c r="D431" s="18"/>
      <c r="E431" s="19">
        <f t="shared" si="132"/>
        <v>1137862567.6900001</v>
      </c>
      <c r="F431" s="19">
        <f t="shared" si="133"/>
        <v>1137862567.6900001</v>
      </c>
      <c r="G431" s="20">
        <f t="shared" si="134"/>
        <v>0</v>
      </c>
      <c r="H431" s="18"/>
      <c r="I431" s="18"/>
      <c r="J431" s="18"/>
      <c r="K431" s="19">
        <f t="shared" si="135"/>
        <v>0</v>
      </c>
      <c r="L431" s="18"/>
      <c r="M431" s="18"/>
      <c r="N431" s="18"/>
      <c r="O431" s="19">
        <f t="shared" si="136"/>
        <v>0</v>
      </c>
      <c r="P431" s="21">
        <f t="shared" si="137"/>
        <v>0</v>
      </c>
      <c r="Q431" s="18"/>
      <c r="R431" s="18"/>
      <c r="S431" s="19">
        <f t="shared" si="138"/>
        <v>0</v>
      </c>
      <c r="T431" s="20">
        <f t="shared" si="139"/>
        <v>0.03</v>
      </c>
      <c r="U431" s="19">
        <f t="shared" si="140"/>
        <v>0</v>
      </c>
      <c r="V431" s="18"/>
      <c r="W431" s="19">
        <f t="shared" si="141"/>
        <v>0</v>
      </c>
      <c r="X431" s="19">
        <f t="shared" si="142"/>
        <v>0</v>
      </c>
      <c r="Y431" s="18"/>
      <c r="Z431" s="18"/>
      <c r="AA431" s="19">
        <f t="shared" si="143"/>
        <v>0</v>
      </c>
      <c r="AB431" s="17">
        <v>0</v>
      </c>
      <c r="AC431" s="18"/>
      <c r="AD431" s="18"/>
      <c r="AE431" s="22">
        <f t="shared" si="144"/>
        <v>0</v>
      </c>
      <c r="AF431" s="23">
        <f t="shared" si="145"/>
        <v>0</v>
      </c>
      <c r="AG431" s="23">
        <f t="shared" si="146"/>
        <v>0</v>
      </c>
      <c r="AH431" s="18"/>
      <c r="AI431" s="24">
        <f t="shared" si="147"/>
        <v>0</v>
      </c>
      <c r="AJ431" s="25">
        <v>0</v>
      </c>
      <c r="AK431" s="24">
        <f t="shared" si="148"/>
        <v>0</v>
      </c>
      <c r="AL431" s="22">
        <f t="shared" si="149"/>
        <v>0</v>
      </c>
      <c r="AM431" s="22">
        <f t="shared" si="150"/>
        <v>0</v>
      </c>
      <c r="AN431" s="22">
        <f t="shared" si="151"/>
        <v>0</v>
      </c>
      <c r="AO431" s="26" t="str">
        <f t="shared" si="152"/>
        <v/>
      </c>
      <c r="AP431" s="26" t="str">
        <f t="shared" si="153"/>
        <v>pre-launch</v>
      </c>
      <c r="AQ431" s="18"/>
      <c r="AR431" s="18"/>
    </row>
    <row r="432" spans="1:44" x14ac:dyDescent="0.25">
      <c r="A432" s="43">
        <v>45493</v>
      </c>
      <c r="B432" s="17">
        <v>472081273.67000002</v>
      </c>
      <c r="C432" s="17">
        <v>0</v>
      </c>
      <c r="D432" s="18"/>
      <c r="E432" s="19">
        <f t="shared" si="132"/>
        <v>472081273.67000002</v>
      </c>
      <c r="F432" s="19">
        <f t="shared" si="133"/>
        <v>472081273.67000002</v>
      </c>
      <c r="G432" s="20">
        <f t="shared" si="134"/>
        <v>0</v>
      </c>
      <c r="H432" s="18"/>
      <c r="I432" s="18"/>
      <c r="J432" s="18"/>
      <c r="K432" s="19">
        <f t="shared" si="135"/>
        <v>0</v>
      </c>
      <c r="L432" s="18"/>
      <c r="M432" s="18"/>
      <c r="N432" s="18"/>
      <c r="O432" s="19">
        <f t="shared" si="136"/>
        <v>0</v>
      </c>
      <c r="P432" s="21">
        <f t="shared" si="137"/>
        <v>0</v>
      </c>
      <c r="Q432" s="18"/>
      <c r="R432" s="18"/>
      <c r="S432" s="19">
        <f t="shared" si="138"/>
        <v>0</v>
      </c>
      <c r="T432" s="20">
        <f t="shared" si="139"/>
        <v>0.03</v>
      </c>
      <c r="U432" s="19">
        <f t="shared" si="140"/>
        <v>0</v>
      </c>
      <c r="V432" s="18"/>
      <c r="W432" s="19">
        <f t="shared" si="141"/>
        <v>0</v>
      </c>
      <c r="X432" s="19">
        <f t="shared" si="142"/>
        <v>0</v>
      </c>
      <c r="Y432" s="18"/>
      <c r="Z432" s="18"/>
      <c r="AA432" s="19">
        <f t="shared" si="143"/>
        <v>0</v>
      </c>
      <c r="AB432" s="17">
        <v>0</v>
      </c>
      <c r="AC432" s="18"/>
      <c r="AD432" s="18"/>
      <c r="AE432" s="22">
        <f t="shared" si="144"/>
        <v>0</v>
      </c>
      <c r="AF432" s="23">
        <f t="shared" si="145"/>
        <v>0</v>
      </c>
      <c r="AG432" s="23">
        <f t="shared" si="146"/>
        <v>0</v>
      </c>
      <c r="AH432" s="18"/>
      <c r="AI432" s="24">
        <f t="shared" si="147"/>
        <v>0</v>
      </c>
      <c r="AJ432" s="25">
        <v>0</v>
      </c>
      <c r="AK432" s="24">
        <f t="shared" si="148"/>
        <v>0</v>
      </c>
      <c r="AL432" s="22">
        <f t="shared" si="149"/>
        <v>0</v>
      </c>
      <c r="AM432" s="22">
        <f t="shared" si="150"/>
        <v>0</v>
      </c>
      <c r="AN432" s="22">
        <f t="shared" si="151"/>
        <v>0</v>
      </c>
      <c r="AO432" s="26" t="str">
        <f t="shared" si="152"/>
        <v/>
      </c>
      <c r="AP432" s="26" t="str">
        <f t="shared" si="153"/>
        <v>pre-launch</v>
      </c>
      <c r="AQ432" s="18"/>
      <c r="AR432" s="18"/>
    </row>
    <row r="433" spans="1:44" x14ac:dyDescent="0.25">
      <c r="A433" s="43">
        <v>45494</v>
      </c>
      <c r="B433" s="17">
        <v>971448297.35000002</v>
      </c>
      <c r="C433" s="17">
        <v>0</v>
      </c>
      <c r="D433" s="18"/>
      <c r="E433" s="19">
        <f t="shared" si="132"/>
        <v>971448297.35000002</v>
      </c>
      <c r="F433" s="19">
        <f t="shared" si="133"/>
        <v>971448297.35000002</v>
      </c>
      <c r="G433" s="20">
        <f t="shared" si="134"/>
        <v>0</v>
      </c>
      <c r="H433" s="18"/>
      <c r="I433" s="18"/>
      <c r="J433" s="18"/>
      <c r="K433" s="19">
        <f t="shared" si="135"/>
        <v>0</v>
      </c>
      <c r="L433" s="18"/>
      <c r="M433" s="18"/>
      <c r="N433" s="18"/>
      <c r="O433" s="19">
        <f t="shared" si="136"/>
        <v>0</v>
      </c>
      <c r="P433" s="21">
        <f t="shared" si="137"/>
        <v>0</v>
      </c>
      <c r="Q433" s="18"/>
      <c r="R433" s="18"/>
      <c r="S433" s="19">
        <f t="shared" si="138"/>
        <v>0</v>
      </c>
      <c r="T433" s="20">
        <f t="shared" si="139"/>
        <v>0.03</v>
      </c>
      <c r="U433" s="19">
        <f t="shared" si="140"/>
        <v>0</v>
      </c>
      <c r="V433" s="18"/>
      <c r="W433" s="19">
        <f t="shared" si="141"/>
        <v>0</v>
      </c>
      <c r="X433" s="19">
        <f t="shared" si="142"/>
        <v>0</v>
      </c>
      <c r="Y433" s="18"/>
      <c r="Z433" s="18"/>
      <c r="AA433" s="19">
        <f t="shared" si="143"/>
        <v>0</v>
      </c>
      <c r="AB433" s="17">
        <v>0</v>
      </c>
      <c r="AC433" s="18"/>
      <c r="AD433" s="18"/>
      <c r="AE433" s="22">
        <f t="shared" si="144"/>
        <v>0</v>
      </c>
      <c r="AF433" s="23">
        <f t="shared" si="145"/>
        <v>0</v>
      </c>
      <c r="AG433" s="23">
        <f t="shared" si="146"/>
        <v>0</v>
      </c>
      <c r="AH433" s="18"/>
      <c r="AI433" s="24">
        <f t="shared" si="147"/>
        <v>0</v>
      </c>
      <c r="AJ433" s="25">
        <v>0</v>
      </c>
      <c r="AK433" s="24">
        <f t="shared" si="148"/>
        <v>0</v>
      </c>
      <c r="AL433" s="22">
        <f t="shared" si="149"/>
        <v>0</v>
      </c>
      <c r="AM433" s="22">
        <f t="shared" si="150"/>
        <v>0</v>
      </c>
      <c r="AN433" s="22">
        <f t="shared" si="151"/>
        <v>0</v>
      </c>
      <c r="AO433" s="26" t="str">
        <f t="shared" si="152"/>
        <v/>
      </c>
      <c r="AP433" s="26" t="str">
        <f t="shared" si="153"/>
        <v>pre-launch</v>
      </c>
      <c r="AQ433" s="18"/>
      <c r="AR433" s="18"/>
    </row>
    <row r="434" spans="1:44" x14ac:dyDescent="0.25">
      <c r="A434" s="43">
        <v>45495</v>
      </c>
      <c r="B434" s="17">
        <v>1047049348.78</v>
      </c>
      <c r="C434" s="17">
        <v>0</v>
      </c>
      <c r="D434" s="18"/>
      <c r="E434" s="19">
        <f t="shared" si="132"/>
        <v>1047049348.78</v>
      </c>
      <c r="F434" s="19">
        <f t="shared" si="133"/>
        <v>1047049348.78</v>
      </c>
      <c r="G434" s="20">
        <f t="shared" si="134"/>
        <v>0</v>
      </c>
      <c r="H434" s="18"/>
      <c r="I434" s="18"/>
      <c r="J434" s="18"/>
      <c r="K434" s="19">
        <f t="shared" si="135"/>
        <v>0</v>
      </c>
      <c r="L434" s="18"/>
      <c r="M434" s="18"/>
      <c r="N434" s="18"/>
      <c r="O434" s="19">
        <f t="shared" si="136"/>
        <v>0</v>
      </c>
      <c r="P434" s="21">
        <f t="shared" si="137"/>
        <v>0</v>
      </c>
      <c r="Q434" s="18"/>
      <c r="R434" s="18"/>
      <c r="S434" s="19">
        <f t="shared" si="138"/>
        <v>0</v>
      </c>
      <c r="T434" s="20">
        <f t="shared" si="139"/>
        <v>0.03</v>
      </c>
      <c r="U434" s="19">
        <f t="shared" si="140"/>
        <v>0</v>
      </c>
      <c r="V434" s="18"/>
      <c r="W434" s="19">
        <f t="shared" si="141"/>
        <v>0</v>
      </c>
      <c r="X434" s="19">
        <f t="shared" si="142"/>
        <v>0</v>
      </c>
      <c r="Y434" s="18"/>
      <c r="Z434" s="18"/>
      <c r="AA434" s="19">
        <f t="shared" si="143"/>
        <v>0</v>
      </c>
      <c r="AB434" s="17">
        <v>0</v>
      </c>
      <c r="AC434" s="18"/>
      <c r="AD434" s="18"/>
      <c r="AE434" s="22">
        <f t="shared" si="144"/>
        <v>0</v>
      </c>
      <c r="AF434" s="23">
        <f t="shared" si="145"/>
        <v>0</v>
      </c>
      <c r="AG434" s="23">
        <f t="shared" si="146"/>
        <v>0</v>
      </c>
      <c r="AH434" s="18"/>
      <c r="AI434" s="24">
        <f t="shared" si="147"/>
        <v>0</v>
      </c>
      <c r="AJ434" s="25">
        <v>0</v>
      </c>
      <c r="AK434" s="24">
        <f t="shared" si="148"/>
        <v>0</v>
      </c>
      <c r="AL434" s="22">
        <f t="shared" si="149"/>
        <v>0</v>
      </c>
      <c r="AM434" s="22">
        <f t="shared" si="150"/>
        <v>0</v>
      </c>
      <c r="AN434" s="22">
        <f t="shared" si="151"/>
        <v>0</v>
      </c>
      <c r="AO434" s="26" t="str">
        <f t="shared" si="152"/>
        <v/>
      </c>
      <c r="AP434" s="26" t="str">
        <f t="shared" si="153"/>
        <v>pre-launch</v>
      </c>
      <c r="AQ434" s="18"/>
      <c r="AR434" s="18"/>
    </row>
    <row r="435" spans="1:44" x14ac:dyDescent="0.25">
      <c r="A435" s="43">
        <v>45496</v>
      </c>
      <c r="B435" s="17">
        <v>1675472055.8599999</v>
      </c>
      <c r="C435" s="17">
        <v>0</v>
      </c>
      <c r="D435" s="18"/>
      <c r="E435" s="19">
        <f t="shared" si="132"/>
        <v>1675472055.8599999</v>
      </c>
      <c r="F435" s="19">
        <f t="shared" si="133"/>
        <v>1675472055.8599999</v>
      </c>
      <c r="G435" s="20">
        <f t="shared" si="134"/>
        <v>0</v>
      </c>
      <c r="H435" s="18"/>
      <c r="I435" s="18"/>
      <c r="J435" s="18"/>
      <c r="K435" s="19">
        <f t="shared" si="135"/>
        <v>0</v>
      </c>
      <c r="L435" s="18"/>
      <c r="M435" s="18"/>
      <c r="N435" s="18"/>
      <c r="O435" s="19">
        <f t="shared" si="136"/>
        <v>0</v>
      </c>
      <c r="P435" s="21">
        <f t="shared" si="137"/>
        <v>0</v>
      </c>
      <c r="Q435" s="18"/>
      <c r="R435" s="18"/>
      <c r="S435" s="19">
        <f t="shared" si="138"/>
        <v>0</v>
      </c>
      <c r="T435" s="20">
        <f t="shared" si="139"/>
        <v>0.03</v>
      </c>
      <c r="U435" s="19">
        <f t="shared" si="140"/>
        <v>0</v>
      </c>
      <c r="V435" s="18"/>
      <c r="W435" s="19">
        <f t="shared" si="141"/>
        <v>0</v>
      </c>
      <c r="X435" s="19">
        <f t="shared" si="142"/>
        <v>0</v>
      </c>
      <c r="Y435" s="18"/>
      <c r="Z435" s="18"/>
      <c r="AA435" s="19">
        <f t="shared" si="143"/>
        <v>0</v>
      </c>
      <c r="AB435" s="17">
        <v>0</v>
      </c>
      <c r="AC435" s="18"/>
      <c r="AD435" s="18"/>
      <c r="AE435" s="22">
        <f t="shared" si="144"/>
        <v>0</v>
      </c>
      <c r="AF435" s="23">
        <f t="shared" si="145"/>
        <v>0</v>
      </c>
      <c r="AG435" s="23">
        <f t="shared" si="146"/>
        <v>0</v>
      </c>
      <c r="AH435" s="18"/>
      <c r="AI435" s="24">
        <f t="shared" si="147"/>
        <v>0</v>
      </c>
      <c r="AJ435" s="25">
        <v>0</v>
      </c>
      <c r="AK435" s="24">
        <f t="shared" si="148"/>
        <v>0</v>
      </c>
      <c r="AL435" s="22">
        <f t="shared" si="149"/>
        <v>0</v>
      </c>
      <c r="AM435" s="22">
        <f t="shared" si="150"/>
        <v>0</v>
      </c>
      <c r="AN435" s="22">
        <f t="shared" si="151"/>
        <v>0</v>
      </c>
      <c r="AO435" s="26" t="str">
        <f t="shared" si="152"/>
        <v/>
      </c>
      <c r="AP435" s="26" t="str">
        <f t="shared" si="153"/>
        <v>pre-launch</v>
      </c>
      <c r="AQ435" s="18"/>
      <c r="AR435" s="18"/>
    </row>
    <row r="436" spans="1:44" x14ac:dyDescent="0.25">
      <c r="A436" s="43">
        <v>45497</v>
      </c>
      <c r="B436" s="17">
        <v>1080304897.3900001</v>
      </c>
      <c r="C436" s="17">
        <v>0</v>
      </c>
      <c r="D436" s="18"/>
      <c r="E436" s="19">
        <f t="shared" si="132"/>
        <v>1080304897.3900001</v>
      </c>
      <c r="F436" s="19">
        <f t="shared" si="133"/>
        <v>1080304897.3900001</v>
      </c>
      <c r="G436" s="20">
        <f t="shared" si="134"/>
        <v>0</v>
      </c>
      <c r="H436" s="18"/>
      <c r="I436" s="18"/>
      <c r="J436" s="18"/>
      <c r="K436" s="19">
        <f t="shared" si="135"/>
        <v>0</v>
      </c>
      <c r="L436" s="18"/>
      <c r="M436" s="18"/>
      <c r="N436" s="18"/>
      <c r="O436" s="19">
        <f t="shared" si="136"/>
        <v>0</v>
      </c>
      <c r="P436" s="21">
        <f t="shared" si="137"/>
        <v>0</v>
      </c>
      <c r="Q436" s="18"/>
      <c r="R436" s="18"/>
      <c r="S436" s="19">
        <f t="shared" si="138"/>
        <v>0</v>
      </c>
      <c r="T436" s="20">
        <f t="shared" si="139"/>
        <v>0.03</v>
      </c>
      <c r="U436" s="19">
        <f t="shared" si="140"/>
        <v>0</v>
      </c>
      <c r="V436" s="18"/>
      <c r="W436" s="19">
        <f t="shared" si="141"/>
        <v>0</v>
      </c>
      <c r="X436" s="19">
        <f t="shared" si="142"/>
        <v>0</v>
      </c>
      <c r="Y436" s="18"/>
      <c r="Z436" s="18"/>
      <c r="AA436" s="19">
        <f t="shared" si="143"/>
        <v>0</v>
      </c>
      <c r="AB436" s="17">
        <v>0</v>
      </c>
      <c r="AC436" s="18"/>
      <c r="AD436" s="18"/>
      <c r="AE436" s="22">
        <f t="shared" si="144"/>
        <v>0</v>
      </c>
      <c r="AF436" s="23">
        <f t="shared" si="145"/>
        <v>0</v>
      </c>
      <c r="AG436" s="23">
        <f t="shared" si="146"/>
        <v>0</v>
      </c>
      <c r="AH436" s="18"/>
      <c r="AI436" s="24">
        <f t="shared" si="147"/>
        <v>0</v>
      </c>
      <c r="AJ436" s="25">
        <v>0</v>
      </c>
      <c r="AK436" s="24">
        <f t="shared" si="148"/>
        <v>0</v>
      </c>
      <c r="AL436" s="22">
        <f t="shared" si="149"/>
        <v>0</v>
      </c>
      <c r="AM436" s="22">
        <f t="shared" si="150"/>
        <v>0</v>
      </c>
      <c r="AN436" s="22">
        <f t="shared" si="151"/>
        <v>0</v>
      </c>
      <c r="AO436" s="26" t="str">
        <f t="shared" si="152"/>
        <v/>
      </c>
      <c r="AP436" s="26" t="str">
        <f t="shared" si="153"/>
        <v>pre-launch</v>
      </c>
      <c r="AQ436" s="18"/>
      <c r="AR436" s="18"/>
    </row>
    <row r="437" spans="1:44" x14ac:dyDescent="0.25">
      <c r="A437" s="43">
        <v>45498</v>
      </c>
      <c r="B437" s="17">
        <v>1521023395.4200001</v>
      </c>
      <c r="C437" s="17">
        <v>0</v>
      </c>
      <c r="D437" s="18"/>
      <c r="E437" s="19">
        <f t="shared" si="132"/>
        <v>1521023395.4200001</v>
      </c>
      <c r="F437" s="19">
        <f t="shared" si="133"/>
        <v>1521023395.4200001</v>
      </c>
      <c r="G437" s="20">
        <f t="shared" si="134"/>
        <v>0</v>
      </c>
      <c r="H437" s="18"/>
      <c r="I437" s="18"/>
      <c r="J437" s="18"/>
      <c r="K437" s="19">
        <f t="shared" si="135"/>
        <v>0</v>
      </c>
      <c r="L437" s="18"/>
      <c r="M437" s="18"/>
      <c r="N437" s="18"/>
      <c r="O437" s="19">
        <f t="shared" si="136"/>
        <v>0</v>
      </c>
      <c r="P437" s="21">
        <f t="shared" si="137"/>
        <v>0</v>
      </c>
      <c r="Q437" s="18"/>
      <c r="R437" s="18"/>
      <c r="S437" s="19">
        <f t="shared" si="138"/>
        <v>0</v>
      </c>
      <c r="T437" s="20">
        <f t="shared" si="139"/>
        <v>0.03</v>
      </c>
      <c r="U437" s="19">
        <f t="shared" si="140"/>
        <v>0</v>
      </c>
      <c r="V437" s="18"/>
      <c r="W437" s="19">
        <f t="shared" si="141"/>
        <v>0</v>
      </c>
      <c r="X437" s="19">
        <f t="shared" si="142"/>
        <v>0</v>
      </c>
      <c r="Y437" s="18"/>
      <c r="Z437" s="18"/>
      <c r="AA437" s="19">
        <f t="shared" si="143"/>
        <v>0</v>
      </c>
      <c r="AB437" s="17">
        <v>0</v>
      </c>
      <c r="AC437" s="18"/>
      <c r="AD437" s="18"/>
      <c r="AE437" s="22">
        <f t="shared" si="144"/>
        <v>0</v>
      </c>
      <c r="AF437" s="23">
        <f t="shared" si="145"/>
        <v>0</v>
      </c>
      <c r="AG437" s="23">
        <f t="shared" si="146"/>
        <v>0</v>
      </c>
      <c r="AH437" s="18"/>
      <c r="AI437" s="24">
        <f t="shared" si="147"/>
        <v>0</v>
      </c>
      <c r="AJ437" s="25">
        <v>0</v>
      </c>
      <c r="AK437" s="24">
        <f t="shared" si="148"/>
        <v>0</v>
      </c>
      <c r="AL437" s="22">
        <f t="shared" si="149"/>
        <v>0</v>
      </c>
      <c r="AM437" s="22">
        <f t="shared" si="150"/>
        <v>0</v>
      </c>
      <c r="AN437" s="22">
        <f t="shared" si="151"/>
        <v>0</v>
      </c>
      <c r="AO437" s="26" t="str">
        <f t="shared" si="152"/>
        <v/>
      </c>
      <c r="AP437" s="26" t="str">
        <f t="shared" si="153"/>
        <v>pre-launch</v>
      </c>
      <c r="AQ437" s="18"/>
      <c r="AR437" s="18"/>
    </row>
    <row r="438" spans="1:44" x14ac:dyDescent="0.25">
      <c r="A438" s="43">
        <v>45499</v>
      </c>
      <c r="B438" s="17">
        <v>861876869.10000002</v>
      </c>
      <c r="C438" s="17">
        <v>0</v>
      </c>
      <c r="D438" s="18"/>
      <c r="E438" s="19">
        <f t="shared" si="132"/>
        <v>861876869.10000002</v>
      </c>
      <c r="F438" s="19">
        <f t="shared" si="133"/>
        <v>861876869.10000002</v>
      </c>
      <c r="G438" s="20">
        <f t="shared" si="134"/>
        <v>0</v>
      </c>
      <c r="H438" s="18"/>
      <c r="I438" s="18"/>
      <c r="J438" s="18"/>
      <c r="K438" s="19">
        <f t="shared" si="135"/>
        <v>0</v>
      </c>
      <c r="L438" s="18"/>
      <c r="M438" s="18"/>
      <c r="N438" s="18"/>
      <c r="O438" s="19">
        <f t="shared" si="136"/>
        <v>0</v>
      </c>
      <c r="P438" s="21">
        <f t="shared" si="137"/>
        <v>0</v>
      </c>
      <c r="Q438" s="18"/>
      <c r="R438" s="18"/>
      <c r="S438" s="19">
        <f t="shared" si="138"/>
        <v>0</v>
      </c>
      <c r="T438" s="20">
        <f t="shared" si="139"/>
        <v>0.03</v>
      </c>
      <c r="U438" s="19">
        <f t="shared" si="140"/>
        <v>0</v>
      </c>
      <c r="V438" s="18"/>
      <c r="W438" s="19">
        <f t="shared" si="141"/>
        <v>0</v>
      </c>
      <c r="X438" s="19">
        <f t="shared" si="142"/>
        <v>0</v>
      </c>
      <c r="Y438" s="18"/>
      <c r="Z438" s="18"/>
      <c r="AA438" s="19">
        <f t="shared" si="143"/>
        <v>0</v>
      </c>
      <c r="AB438" s="17">
        <v>0</v>
      </c>
      <c r="AC438" s="18"/>
      <c r="AD438" s="18"/>
      <c r="AE438" s="22">
        <f t="shared" si="144"/>
        <v>0</v>
      </c>
      <c r="AF438" s="23">
        <f t="shared" si="145"/>
        <v>0</v>
      </c>
      <c r="AG438" s="23">
        <f t="shared" si="146"/>
        <v>0</v>
      </c>
      <c r="AH438" s="18"/>
      <c r="AI438" s="24">
        <f t="shared" si="147"/>
        <v>0</v>
      </c>
      <c r="AJ438" s="25">
        <v>0</v>
      </c>
      <c r="AK438" s="24">
        <f t="shared" si="148"/>
        <v>0</v>
      </c>
      <c r="AL438" s="22">
        <f t="shared" si="149"/>
        <v>0</v>
      </c>
      <c r="AM438" s="22">
        <f t="shared" si="150"/>
        <v>0</v>
      </c>
      <c r="AN438" s="22">
        <f t="shared" si="151"/>
        <v>0</v>
      </c>
      <c r="AO438" s="26" t="str">
        <f t="shared" si="152"/>
        <v/>
      </c>
      <c r="AP438" s="26" t="str">
        <f t="shared" si="153"/>
        <v>pre-launch</v>
      </c>
      <c r="AQ438" s="18"/>
      <c r="AR438" s="18"/>
    </row>
    <row r="439" spans="1:44" x14ac:dyDescent="0.25">
      <c r="A439" s="43">
        <v>45500</v>
      </c>
      <c r="B439" s="17">
        <v>1054414139.4</v>
      </c>
      <c r="C439" s="17">
        <v>0</v>
      </c>
      <c r="D439" s="18"/>
      <c r="E439" s="19">
        <f t="shared" si="132"/>
        <v>1054414139.4</v>
      </c>
      <c r="F439" s="19">
        <f t="shared" si="133"/>
        <v>1054414139.4</v>
      </c>
      <c r="G439" s="20">
        <f t="shared" si="134"/>
        <v>0</v>
      </c>
      <c r="H439" s="18"/>
      <c r="I439" s="18"/>
      <c r="J439" s="18"/>
      <c r="K439" s="19">
        <f t="shared" si="135"/>
        <v>0</v>
      </c>
      <c r="L439" s="18"/>
      <c r="M439" s="18"/>
      <c r="N439" s="18"/>
      <c r="O439" s="19">
        <f t="shared" si="136"/>
        <v>0</v>
      </c>
      <c r="P439" s="21">
        <f t="shared" si="137"/>
        <v>0</v>
      </c>
      <c r="Q439" s="18"/>
      <c r="R439" s="18"/>
      <c r="S439" s="19">
        <f t="shared" si="138"/>
        <v>0</v>
      </c>
      <c r="T439" s="20">
        <f t="shared" si="139"/>
        <v>0.03</v>
      </c>
      <c r="U439" s="19">
        <f t="shared" si="140"/>
        <v>0</v>
      </c>
      <c r="V439" s="18"/>
      <c r="W439" s="19">
        <f t="shared" si="141"/>
        <v>0</v>
      </c>
      <c r="X439" s="19">
        <f t="shared" si="142"/>
        <v>0</v>
      </c>
      <c r="Y439" s="18"/>
      <c r="Z439" s="18"/>
      <c r="AA439" s="19">
        <f t="shared" si="143"/>
        <v>0</v>
      </c>
      <c r="AB439" s="17">
        <v>0</v>
      </c>
      <c r="AC439" s="18"/>
      <c r="AD439" s="18"/>
      <c r="AE439" s="22">
        <f t="shared" si="144"/>
        <v>0</v>
      </c>
      <c r="AF439" s="23">
        <f t="shared" si="145"/>
        <v>0</v>
      </c>
      <c r="AG439" s="23">
        <f t="shared" si="146"/>
        <v>0</v>
      </c>
      <c r="AH439" s="18"/>
      <c r="AI439" s="24">
        <f t="shared" si="147"/>
        <v>0</v>
      </c>
      <c r="AJ439" s="25">
        <v>0</v>
      </c>
      <c r="AK439" s="24">
        <f t="shared" si="148"/>
        <v>0</v>
      </c>
      <c r="AL439" s="22">
        <f t="shared" si="149"/>
        <v>0</v>
      </c>
      <c r="AM439" s="22">
        <f t="shared" si="150"/>
        <v>0</v>
      </c>
      <c r="AN439" s="22">
        <f t="shared" si="151"/>
        <v>0</v>
      </c>
      <c r="AO439" s="26" t="str">
        <f t="shared" si="152"/>
        <v/>
      </c>
      <c r="AP439" s="26" t="str">
        <f t="shared" si="153"/>
        <v>pre-launch</v>
      </c>
      <c r="AQ439" s="18"/>
      <c r="AR439" s="18"/>
    </row>
    <row r="440" spans="1:44" x14ac:dyDescent="0.25">
      <c r="A440" s="43">
        <v>45501</v>
      </c>
      <c r="B440" s="17">
        <v>466128438.63999999</v>
      </c>
      <c r="C440" s="17">
        <v>0</v>
      </c>
      <c r="D440" s="18"/>
      <c r="E440" s="19">
        <f t="shared" si="132"/>
        <v>466128438.63999999</v>
      </c>
      <c r="F440" s="19">
        <f t="shared" si="133"/>
        <v>466128438.63999999</v>
      </c>
      <c r="G440" s="20">
        <f t="shared" si="134"/>
        <v>0</v>
      </c>
      <c r="H440" s="18"/>
      <c r="I440" s="18"/>
      <c r="J440" s="18"/>
      <c r="K440" s="19">
        <f t="shared" si="135"/>
        <v>0</v>
      </c>
      <c r="L440" s="18"/>
      <c r="M440" s="18"/>
      <c r="N440" s="18"/>
      <c r="O440" s="19">
        <f t="shared" si="136"/>
        <v>0</v>
      </c>
      <c r="P440" s="21">
        <f t="shared" si="137"/>
        <v>0</v>
      </c>
      <c r="Q440" s="18"/>
      <c r="R440" s="18"/>
      <c r="S440" s="19">
        <f t="shared" si="138"/>
        <v>0</v>
      </c>
      <c r="T440" s="20">
        <f t="shared" si="139"/>
        <v>0.03</v>
      </c>
      <c r="U440" s="19">
        <f t="shared" si="140"/>
        <v>0</v>
      </c>
      <c r="V440" s="18"/>
      <c r="W440" s="19">
        <f t="shared" si="141"/>
        <v>0</v>
      </c>
      <c r="X440" s="19">
        <f t="shared" si="142"/>
        <v>0</v>
      </c>
      <c r="Y440" s="18"/>
      <c r="Z440" s="18"/>
      <c r="AA440" s="19">
        <f t="shared" si="143"/>
        <v>0</v>
      </c>
      <c r="AB440" s="17">
        <v>0</v>
      </c>
      <c r="AC440" s="18"/>
      <c r="AD440" s="18"/>
      <c r="AE440" s="22">
        <f t="shared" si="144"/>
        <v>0</v>
      </c>
      <c r="AF440" s="23">
        <f t="shared" si="145"/>
        <v>0</v>
      </c>
      <c r="AG440" s="23">
        <f t="shared" si="146"/>
        <v>0</v>
      </c>
      <c r="AH440" s="18"/>
      <c r="AI440" s="24">
        <f t="shared" si="147"/>
        <v>0</v>
      </c>
      <c r="AJ440" s="25">
        <v>0</v>
      </c>
      <c r="AK440" s="24">
        <f t="shared" si="148"/>
        <v>0</v>
      </c>
      <c r="AL440" s="22">
        <f t="shared" si="149"/>
        <v>0</v>
      </c>
      <c r="AM440" s="22">
        <f t="shared" si="150"/>
        <v>0</v>
      </c>
      <c r="AN440" s="22">
        <f t="shared" si="151"/>
        <v>0</v>
      </c>
      <c r="AO440" s="26" t="str">
        <f t="shared" si="152"/>
        <v/>
      </c>
      <c r="AP440" s="26" t="str">
        <f t="shared" si="153"/>
        <v>pre-launch</v>
      </c>
      <c r="AQ440" s="18"/>
      <c r="AR440" s="18"/>
    </row>
    <row r="441" spans="1:44" x14ac:dyDescent="0.25">
      <c r="A441" s="43">
        <v>45502</v>
      </c>
      <c r="B441" s="17">
        <v>1191382824.5699999</v>
      </c>
      <c r="C441" s="17">
        <v>0</v>
      </c>
      <c r="D441" s="18"/>
      <c r="E441" s="19">
        <f t="shared" si="132"/>
        <v>1191382824.5699999</v>
      </c>
      <c r="F441" s="19">
        <f t="shared" si="133"/>
        <v>1191382824.5699999</v>
      </c>
      <c r="G441" s="20">
        <f t="shared" si="134"/>
        <v>0</v>
      </c>
      <c r="H441" s="18"/>
      <c r="I441" s="18"/>
      <c r="J441" s="18"/>
      <c r="K441" s="19">
        <f t="shared" si="135"/>
        <v>0</v>
      </c>
      <c r="L441" s="18"/>
      <c r="M441" s="18"/>
      <c r="N441" s="18"/>
      <c r="O441" s="19">
        <f t="shared" si="136"/>
        <v>0</v>
      </c>
      <c r="P441" s="21">
        <f t="shared" si="137"/>
        <v>0</v>
      </c>
      <c r="Q441" s="18"/>
      <c r="R441" s="18"/>
      <c r="S441" s="19">
        <f t="shared" si="138"/>
        <v>0</v>
      </c>
      <c r="T441" s="20">
        <f t="shared" si="139"/>
        <v>0.03</v>
      </c>
      <c r="U441" s="19">
        <f t="shared" si="140"/>
        <v>0</v>
      </c>
      <c r="V441" s="18"/>
      <c r="W441" s="19">
        <f t="shared" si="141"/>
        <v>0</v>
      </c>
      <c r="X441" s="19">
        <f t="shared" si="142"/>
        <v>0</v>
      </c>
      <c r="Y441" s="18"/>
      <c r="Z441" s="18"/>
      <c r="AA441" s="19">
        <f t="shared" si="143"/>
        <v>0</v>
      </c>
      <c r="AB441" s="17">
        <v>0</v>
      </c>
      <c r="AC441" s="18"/>
      <c r="AD441" s="18"/>
      <c r="AE441" s="22">
        <f t="shared" si="144"/>
        <v>0</v>
      </c>
      <c r="AF441" s="23">
        <f t="shared" si="145"/>
        <v>0</v>
      </c>
      <c r="AG441" s="23">
        <f t="shared" si="146"/>
        <v>0</v>
      </c>
      <c r="AH441" s="18"/>
      <c r="AI441" s="24">
        <f t="shared" si="147"/>
        <v>0</v>
      </c>
      <c r="AJ441" s="25">
        <v>0</v>
      </c>
      <c r="AK441" s="24">
        <f t="shared" si="148"/>
        <v>0</v>
      </c>
      <c r="AL441" s="22">
        <f t="shared" si="149"/>
        <v>0</v>
      </c>
      <c r="AM441" s="22">
        <f t="shared" si="150"/>
        <v>0</v>
      </c>
      <c r="AN441" s="22">
        <f t="shared" si="151"/>
        <v>0</v>
      </c>
      <c r="AO441" s="26" t="str">
        <f t="shared" si="152"/>
        <v/>
      </c>
      <c r="AP441" s="26" t="str">
        <f t="shared" si="153"/>
        <v>pre-launch</v>
      </c>
      <c r="AQ441" s="18"/>
      <c r="AR441" s="18"/>
    </row>
    <row r="442" spans="1:44" x14ac:dyDescent="0.25">
      <c r="A442" s="43">
        <v>45503</v>
      </c>
      <c r="B442" s="17">
        <v>1015132865.4400001</v>
      </c>
      <c r="C442" s="17">
        <v>0</v>
      </c>
      <c r="D442" s="18"/>
      <c r="E442" s="19">
        <f t="shared" si="132"/>
        <v>1015132865.4400001</v>
      </c>
      <c r="F442" s="19">
        <f t="shared" si="133"/>
        <v>1015132865.4400001</v>
      </c>
      <c r="G442" s="20">
        <f t="shared" si="134"/>
        <v>0</v>
      </c>
      <c r="H442" s="18"/>
      <c r="I442" s="18"/>
      <c r="J442" s="18"/>
      <c r="K442" s="19">
        <f t="shared" si="135"/>
        <v>0</v>
      </c>
      <c r="L442" s="18"/>
      <c r="M442" s="18"/>
      <c r="N442" s="18"/>
      <c r="O442" s="19">
        <f t="shared" si="136"/>
        <v>0</v>
      </c>
      <c r="P442" s="21">
        <f t="shared" si="137"/>
        <v>0</v>
      </c>
      <c r="Q442" s="18"/>
      <c r="R442" s="18"/>
      <c r="S442" s="19">
        <f t="shared" si="138"/>
        <v>0</v>
      </c>
      <c r="T442" s="20">
        <f t="shared" si="139"/>
        <v>0.03</v>
      </c>
      <c r="U442" s="19">
        <f t="shared" si="140"/>
        <v>0</v>
      </c>
      <c r="V442" s="18"/>
      <c r="W442" s="19">
        <f t="shared" si="141"/>
        <v>0</v>
      </c>
      <c r="X442" s="19">
        <f t="shared" si="142"/>
        <v>0</v>
      </c>
      <c r="Y442" s="18"/>
      <c r="Z442" s="18"/>
      <c r="AA442" s="19">
        <f t="shared" si="143"/>
        <v>0</v>
      </c>
      <c r="AB442" s="17">
        <v>0</v>
      </c>
      <c r="AC442" s="18"/>
      <c r="AD442" s="18"/>
      <c r="AE442" s="22">
        <f t="shared" si="144"/>
        <v>0</v>
      </c>
      <c r="AF442" s="23">
        <f t="shared" si="145"/>
        <v>0</v>
      </c>
      <c r="AG442" s="23">
        <f t="shared" si="146"/>
        <v>0</v>
      </c>
      <c r="AH442" s="18"/>
      <c r="AI442" s="24">
        <f t="shared" si="147"/>
        <v>0</v>
      </c>
      <c r="AJ442" s="25">
        <v>0</v>
      </c>
      <c r="AK442" s="24">
        <f t="shared" si="148"/>
        <v>0</v>
      </c>
      <c r="AL442" s="22">
        <f t="shared" si="149"/>
        <v>0</v>
      </c>
      <c r="AM442" s="22">
        <f t="shared" si="150"/>
        <v>0</v>
      </c>
      <c r="AN442" s="22">
        <f t="shared" si="151"/>
        <v>0</v>
      </c>
      <c r="AO442" s="26" t="str">
        <f t="shared" si="152"/>
        <v/>
      </c>
      <c r="AP442" s="26" t="str">
        <f t="shared" si="153"/>
        <v>pre-launch</v>
      </c>
      <c r="AQ442" s="18"/>
      <c r="AR442" s="18"/>
    </row>
    <row r="443" spans="1:44" x14ac:dyDescent="0.25">
      <c r="A443" s="43">
        <v>45504</v>
      </c>
      <c r="B443" s="17">
        <v>1053030054.9299999</v>
      </c>
      <c r="C443" s="17">
        <v>0</v>
      </c>
      <c r="D443" s="18"/>
      <c r="E443" s="19">
        <f t="shared" si="132"/>
        <v>1053030054.9299999</v>
      </c>
      <c r="F443" s="19">
        <f t="shared" si="133"/>
        <v>1053030054.9299999</v>
      </c>
      <c r="G443" s="20">
        <f t="shared" si="134"/>
        <v>0</v>
      </c>
      <c r="H443" s="18"/>
      <c r="I443" s="18"/>
      <c r="J443" s="18"/>
      <c r="K443" s="19">
        <f t="shared" si="135"/>
        <v>0</v>
      </c>
      <c r="L443" s="18"/>
      <c r="M443" s="18"/>
      <c r="N443" s="18"/>
      <c r="O443" s="19">
        <f t="shared" si="136"/>
        <v>0</v>
      </c>
      <c r="P443" s="21">
        <f t="shared" si="137"/>
        <v>0</v>
      </c>
      <c r="Q443" s="18"/>
      <c r="R443" s="18"/>
      <c r="S443" s="19">
        <f t="shared" si="138"/>
        <v>0</v>
      </c>
      <c r="T443" s="20">
        <f t="shared" si="139"/>
        <v>0.03</v>
      </c>
      <c r="U443" s="19">
        <f t="shared" si="140"/>
        <v>0</v>
      </c>
      <c r="V443" s="18"/>
      <c r="W443" s="19">
        <f t="shared" si="141"/>
        <v>0</v>
      </c>
      <c r="X443" s="19">
        <f t="shared" si="142"/>
        <v>0</v>
      </c>
      <c r="Y443" s="18"/>
      <c r="Z443" s="18"/>
      <c r="AA443" s="19">
        <f t="shared" si="143"/>
        <v>0</v>
      </c>
      <c r="AB443" s="17">
        <v>0</v>
      </c>
      <c r="AC443" s="18"/>
      <c r="AD443" s="18"/>
      <c r="AE443" s="22">
        <f t="shared" si="144"/>
        <v>0</v>
      </c>
      <c r="AF443" s="23">
        <f t="shared" si="145"/>
        <v>0</v>
      </c>
      <c r="AG443" s="23">
        <f t="shared" si="146"/>
        <v>0</v>
      </c>
      <c r="AH443" s="18"/>
      <c r="AI443" s="24">
        <f t="shared" si="147"/>
        <v>0</v>
      </c>
      <c r="AJ443" s="25">
        <v>0</v>
      </c>
      <c r="AK443" s="24">
        <f t="shared" si="148"/>
        <v>0</v>
      </c>
      <c r="AL443" s="22">
        <f t="shared" si="149"/>
        <v>0</v>
      </c>
      <c r="AM443" s="22">
        <f t="shared" si="150"/>
        <v>0</v>
      </c>
      <c r="AN443" s="22">
        <f t="shared" si="151"/>
        <v>0</v>
      </c>
      <c r="AO443" s="26" t="str">
        <f t="shared" si="152"/>
        <v/>
      </c>
      <c r="AP443" s="26" t="str">
        <f t="shared" si="153"/>
        <v>pre-launch</v>
      </c>
      <c r="AQ443" s="18"/>
      <c r="AR443" s="18"/>
    </row>
    <row r="444" spans="1:44" x14ac:dyDescent="0.25">
      <c r="A444" s="43">
        <v>45505</v>
      </c>
      <c r="B444" s="17">
        <v>1191402711.8800001</v>
      </c>
      <c r="C444" s="17">
        <v>0</v>
      </c>
      <c r="D444" s="18"/>
      <c r="E444" s="19">
        <f t="shared" si="132"/>
        <v>1191402711.8800001</v>
      </c>
      <c r="F444" s="19">
        <f t="shared" si="133"/>
        <v>1191402711.8800001</v>
      </c>
      <c r="G444" s="20">
        <f t="shared" si="134"/>
        <v>0</v>
      </c>
      <c r="H444" s="18"/>
      <c r="I444" s="18"/>
      <c r="J444" s="18"/>
      <c r="K444" s="19">
        <f t="shared" si="135"/>
        <v>0</v>
      </c>
      <c r="L444" s="18"/>
      <c r="M444" s="18"/>
      <c r="N444" s="18"/>
      <c r="O444" s="19">
        <f t="shared" si="136"/>
        <v>0</v>
      </c>
      <c r="P444" s="21">
        <f t="shared" si="137"/>
        <v>0</v>
      </c>
      <c r="Q444" s="18"/>
      <c r="R444" s="18"/>
      <c r="S444" s="19">
        <f t="shared" si="138"/>
        <v>0</v>
      </c>
      <c r="T444" s="20">
        <f t="shared" si="139"/>
        <v>0.03</v>
      </c>
      <c r="U444" s="19">
        <f t="shared" si="140"/>
        <v>0</v>
      </c>
      <c r="V444" s="18"/>
      <c r="W444" s="19">
        <f t="shared" si="141"/>
        <v>0</v>
      </c>
      <c r="X444" s="19">
        <f t="shared" si="142"/>
        <v>0</v>
      </c>
      <c r="Y444" s="18"/>
      <c r="Z444" s="18"/>
      <c r="AA444" s="19">
        <f t="shared" si="143"/>
        <v>0</v>
      </c>
      <c r="AB444" s="17">
        <v>0</v>
      </c>
      <c r="AC444" s="18"/>
      <c r="AD444" s="18"/>
      <c r="AE444" s="22">
        <f t="shared" si="144"/>
        <v>0</v>
      </c>
      <c r="AF444" s="23">
        <f t="shared" si="145"/>
        <v>0</v>
      </c>
      <c r="AG444" s="23">
        <f t="shared" si="146"/>
        <v>0</v>
      </c>
      <c r="AH444" s="18"/>
      <c r="AI444" s="24">
        <f t="shared" si="147"/>
        <v>0</v>
      </c>
      <c r="AJ444" s="25">
        <v>0</v>
      </c>
      <c r="AK444" s="24">
        <f t="shared" si="148"/>
        <v>0</v>
      </c>
      <c r="AL444" s="22">
        <f t="shared" si="149"/>
        <v>0</v>
      </c>
      <c r="AM444" s="22">
        <f t="shared" si="150"/>
        <v>0</v>
      </c>
      <c r="AN444" s="22">
        <f t="shared" si="151"/>
        <v>0</v>
      </c>
      <c r="AO444" s="26" t="str">
        <f t="shared" si="152"/>
        <v/>
      </c>
      <c r="AP444" s="26" t="str">
        <f t="shared" si="153"/>
        <v>pre-launch</v>
      </c>
      <c r="AQ444" s="18"/>
      <c r="AR444" s="18"/>
    </row>
    <row r="445" spans="1:44" x14ac:dyDescent="0.25">
      <c r="A445" s="43">
        <v>45506</v>
      </c>
      <c r="B445" s="17">
        <v>1430145675.47</v>
      </c>
      <c r="C445" s="17">
        <v>0</v>
      </c>
      <c r="D445" s="18"/>
      <c r="E445" s="19">
        <f t="shared" si="132"/>
        <v>1430145675.47</v>
      </c>
      <c r="F445" s="19">
        <f t="shared" si="133"/>
        <v>1430145675.47</v>
      </c>
      <c r="G445" s="20">
        <f t="shared" si="134"/>
        <v>0</v>
      </c>
      <c r="H445" s="18"/>
      <c r="I445" s="18"/>
      <c r="J445" s="18"/>
      <c r="K445" s="19">
        <f t="shared" si="135"/>
        <v>0</v>
      </c>
      <c r="L445" s="18"/>
      <c r="M445" s="18"/>
      <c r="N445" s="18"/>
      <c r="O445" s="19">
        <f t="shared" si="136"/>
        <v>0</v>
      </c>
      <c r="P445" s="21">
        <f t="shared" si="137"/>
        <v>0</v>
      </c>
      <c r="Q445" s="18"/>
      <c r="R445" s="18"/>
      <c r="S445" s="19">
        <f t="shared" si="138"/>
        <v>0</v>
      </c>
      <c r="T445" s="20">
        <f t="shared" si="139"/>
        <v>0.03</v>
      </c>
      <c r="U445" s="19">
        <f t="shared" si="140"/>
        <v>0</v>
      </c>
      <c r="V445" s="18"/>
      <c r="W445" s="19">
        <f t="shared" si="141"/>
        <v>0</v>
      </c>
      <c r="X445" s="19">
        <f t="shared" si="142"/>
        <v>0</v>
      </c>
      <c r="Y445" s="18"/>
      <c r="Z445" s="18"/>
      <c r="AA445" s="19">
        <f t="shared" si="143"/>
        <v>0</v>
      </c>
      <c r="AB445" s="17">
        <v>0</v>
      </c>
      <c r="AC445" s="18"/>
      <c r="AD445" s="18"/>
      <c r="AE445" s="22">
        <f t="shared" si="144"/>
        <v>0</v>
      </c>
      <c r="AF445" s="23">
        <f t="shared" si="145"/>
        <v>0</v>
      </c>
      <c r="AG445" s="23">
        <f t="shared" si="146"/>
        <v>0</v>
      </c>
      <c r="AH445" s="18"/>
      <c r="AI445" s="24">
        <f t="shared" si="147"/>
        <v>0</v>
      </c>
      <c r="AJ445" s="25">
        <v>0</v>
      </c>
      <c r="AK445" s="24">
        <f t="shared" si="148"/>
        <v>0</v>
      </c>
      <c r="AL445" s="22">
        <f t="shared" si="149"/>
        <v>0</v>
      </c>
      <c r="AM445" s="22">
        <f t="shared" si="150"/>
        <v>0</v>
      </c>
      <c r="AN445" s="22">
        <f t="shared" si="151"/>
        <v>0</v>
      </c>
      <c r="AO445" s="26" t="str">
        <f t="shared" si="152"/>
        <v/>
      </c>
      <c r="AP445" s="26" t="str">
        <f t="shared" si="153"/>
        <v>pre-launch</v>
      </c>
      <c r="AQ445" s="18"/>
      <c r="AR445" s="18"/>
    </row>
    <row r="446" spans="1:44" x14ac:dyDescent="0.25">
      <c r="A446" s="43">
        <v>45507</v>
      </c>
      <c r="B446" s="17">
        <v>954276979.99000001</v>
      </c>
      <c r="C446" s="17">
        <v>0</v>
      </c>
      <c r="D446" s="18"/>
      <c r="E446" s="19">
        <f t="shared" si="132"/>
        <v>954276979.99000001</v>
      </c>
      <c r="F446" s="19">
        <f t="shared" si="133"/>
        <v>954276979.99000001</v>
      </c>
      <c r="G446" s="20">
        <f t="shared" si="134"/>
        <v>0</v>
      </c>
      <c r="H446" s="18"/>
      <c r="I446" s="18"/>
      <c r="J446" s="18"/>
      <c r="K446" s="19">
        <f t="shared" si="135"/>
        <v>0</v>
      </c>
      <c r="L446" s="18"/>
      <c r="M446" s="18"/>
      <c r="N446" s="18"/>
      <c r="O446" s="19">
        <f t="shared" si="136"/>
        <v>0</v>
      </c>
      <c r="P446" s="21">
        <f t="shared" si="137"/>
        <v>0</v>
      </c>
      <c r="Q446" s="18"/>
      <c r="R446" s="18"/>
      <c r="S446" s="19">
        <f t="shared" si="138"/>
        <v>0</v>
      </c>
      <c r="T446" s="20">
        <f t="shared" si="139"/>
        <v>0.03</v>
      </c>
      <c r="U446" s="19">
        <f t="shared" si="140"/>
        <v>0</v>
      </c>
      <c r="V446" s="18"/>
      <c r="W446" s="19">
        <f t="shared" si="141"/>
        <v>0</v>
      </c>
      <c r="X446" s="19">
        <f t="shared" si="142"/>
        <v>0</v>
      </c>
      <c r="Y446" s="18"/>
      <c r="Z446" s="18"/>
      <c r="AA446" s="19">
        <f t="shared" si="143"/>
        <v>0</v>
      </c>
      <c r="AB446" s="17">
        <v>0</v>
      </c>
      <c r="AC446" s="18"/>
      <c r="AD446" s="18"/>
      <c r="AE446" s="22">
        <f t="shared" si="144"/>
        <v>0</v>
      </c>
      <c r="AF446" s="23">
        <f t="shared" si="145"/>
        <v>0</v>
      </c>
      <c r="AG446" s="23">
        <f t="shared" si="146"/>
        <v>0</v>
      </c>
      <c r="AH446" s="18"/>
      <c r="AI446" s="24">
        <f t="shared" si="147"/>
        <v>0</v>
      </c>
      <c r="AJ446" s="25">
        <v>0</v>
      </c>
      <c r="AK446" s="24">
        <f t="shared" si="148"/>
        <v>0</v>
      </c>
      <c r="AL446" s="22">
        <f t="shared" si="149"/>
        <v>0</v>
      </c>
      <c r="AM446" s="22">
        <f t="shared" si="150"/>
        <v>0</v>
      </c>
      <c r="AN446" s="22">
        <f t="shared" si="151"/>
        <v>0</v>
      </c>
      <c r="AO446" s="26" t="str">
        <f t="shared" si="152"/>
        <v/>
      </c>
      <c r="AP446" s="26" t="str">
        <f t="shared" si="153"/>
        <v>pre-launch</v>
      </c>
      <c r="AQ446" s="18"/>
      <c r="AR446" s="18"/>
    </row>
    <row r="447" spans="1:44" x14ac:dyDescent="0.25">
      <c r="A447" s="43">
        <v>45508</v>
      </c>
      <c r="B447" s="17">
        <v>1192901476.1500001</v>
      </c>
      <c r="C447" s="17">
        <v>0</v>
      </c>
      <c r="D447" s="18"/>
      <c r="E447" s="19">
        <f t="shared" si="132"/>
        <v>1192901476.1500001</v>
      </c>
      <c r="F447" s="19">
        <f t="shared" si="133"/>
        <v>1192901476.1500001</v>
      </c>
      <c r="G447" s="20">
        <f t="shared" si="134"/>
        <v>0</v>
      </c>
      <c r="H447" s="18"/>
      <c r="I447" s="18"/>
      <c r="J447" s="18"/>
      <c r="K447" s="19">
        <f t="shared" si="135"/>
        <v>0</v>
      </c>
      <c r="L447" s="18"/>
      <c r="M447" s="18"/>
      <c r="N447" s="18"/>
      <c r="O447" s="19">
        <f t="shared" si="136"/>
        <v>0</v>
      </c>
      <c r="P447" s="21">
        <f t="shared" si="137"/>
        <v>0</v>
      </c>
      <c r="Q447" s="18"/>
      <c r="R447" s="18"/>
      <c r="S447" s="19">
        <f t="shared" si="138"/>
        <v>0</v>
      </c>
      <c r="T447" s="20">
        <f t="shared" si="139"/>
        <v>0.03</v>
      </c>
      <c r="U447" s="19">
        <f t="shared" si="140"/>
        <v>0</v>
      </c>
      <c r="V447" s="18"/>
      <c r="W447" s="19">
        <f t="shared" si="141"/>
        <v>0</v>
      </c>
      <c r="X447" s="19">
        <f t="shared" si="142"/>
        <v>0</v>
      </c>
      <c r="Y447" s="18"/>
      <c r="Z447" s="18"/>
      <c r="AA447" s="19">
        <f t="shared" si="143"/>
        <v>0</v>
      </c>
      <c r="AB447" s="17">
        <v>0</v>
      </c>
      <c r="AC447" s="18"/>
      <c r="AD447" s="18"/>
      <c r="AE447" s="22">
        <f t="shared" si="144"/>
        <v>0</v>
      </c>
      <c r="AF447" s="23">
        <f t="shared" si="145"/>
        <v>0</v>
      </c>
      <c r="AG447" s="23">
        <f t="shared" si="146"/>
        <v>0</v>
      </c>
      <c r="AH447" s="18"/>
      <c r="AI447" s="24">
        <f t="shared" si="147"/>
        <v>0</v>
      </c>
      <c r="AJ447" s="25">
        <v>0</v>
      </c>
      <c r="AK447" s="24">
        <f t="shared" si="148"/>
        <v>0</v>
      </c>
      <c r="AL447" s="22">
        <f t="shared" si="149"/>
        <v>0</v>
      </c>
      <c r="AM447" s="22">
        <f t="shared" si="150"/>
        <v>0</v>
      </c>
      <c r="AN447" s="22">
        <f t="shared" si="151"/>
        <v>0</v>
      </c>
      <c r="AO447" s="26" t="str">
        <f t="shared" si="152"/>
        <v/>
      </c>
      <c r="AP447" s="26" t="str">
        <f t="shared" si="153"/>
        <v>pre-launch</v>
      </c>
      <c r="AQ447" s="18"/>
      <c r="AR447" s="18"/>
    </row>
    <row r="448" spans="1:44" x14ac:dyDescent="0.25">
      <c r="A448" s="43">
        <v>45509</v>
      </c>
      <c r="B448" s="17">
        <v>4169986819.77</v>
      </c>
      <c r="C448" s="17">
        <v>0</v>
      </c>
      <c r="D448" s="18"/>
      <c r="E448" s="19">
        <f t="shared" si="132"/>
        <v>4169986819.77</v>
      </c>
      <c r="F448" s="19">
        <f t="shared" si="133"/>
        <v>4169986819.77</v>
      </c>
      <c r="G448" s="20">
        <f t="shared" si="134"/>
        <v>0</v>
      </c>
      <c r="H448" s="18"/>
      <c r="I448" s="18"/>
      <c r="J448" s="18"/>
      <c r="K448" s="19">
        <f t="shared" si="135"/>
        <v>0</v>
      </c>
      <c r="L448" s="18"/>
      <c r="M448" s="18"/>
      <c r="N448" s="18"/>
      <c r="O448" s="19">
        <f t="shared" si="136"/>
        <v>0</v>
      </c>
      <c r="P448" s="21">
        <f t="shared" si="137"/>
        <v>0</v>
      </c>
      <c r="Q448" s="18"/>
      <c r="R448" s="18"/>
      <c r="S448" s="19">
        <f t="shared" si="138"/>
        <v>0</v>
      </c>
      <c r="T448" s="20">
        <f t="shared" si="139"/>
        <v>0.03</v>
      </c>
      <c r="U448" s="19">
        <f t="shared" si="140"/>
        <v>0</v>
      </c>
      <c r="V448" s="18"/>
      <c r="W448" s="19">
        <f t="shared" si="141"/>
        <v>0</v>
      </c>
      <c r="X448" s="19">
        <f t="shared" si="142"/>
        <v>0</v>
      </c>
      <c r="Y448" s="18"/>
      <c r="Z448" s="18"/>
      <c r="AA448" s="19">
        <f t="shared" si="143"/>
        <v>0</v>
      </c>
      <c r="AB448" s="17">
        <v>0</v>
      </c>
      <c r="AC448" s="18"/>
      <c r="AD448" s="18"/>
      <c r="AE448" s="22">
        <f t="shared" si="144"/>
        <v>0</v>
      </c>
      <c r="AF448" s="23">
        <f t="shared" si="145"/>
        <v>0</v>
      </c>
      <c r="AG448" s="23">
        <f t="shared" si="146"/>
        <v>0</v>
      </c>
      <c r="AH448" s="18"/>
      <c r="AI448" s="24">
        <f t="shared" si="147"/>
        <v>0</v>
      </c>
      <c r="AJ448" s="25">
        <v>0</v>
      </c>
      <c r="AK448" s="24">
        <f t="shared" si="148"/>
        <v>0</v>
      </c>
      <c r="AL448" s="22">
        <f t="shared" si="149"/>
        <v>0</v>
      </c>
      <c r="AM448" s="22">
        <f t="shared" si="150"/>
        <v>0</v>
      </c>
      <c r="AN448" s="22">
        <f t="shared" si="151"/>
        <v>0</v>
      </c>
      <c r="AO448" s="26" t="str">
        <f t="shared" si="152"/>
        <v/>
      </c>
      <c r="AP448" s="26" t="str">
        <f t="shared" si="153"/>
        <v>pre-launch</v>
      </c>
      <c r="AQ448" s="18"/>
      <c r="AR448" s="18"/>
    </row>
    <row r="449" spans="1:44" x14ac:dyDescent="0.25">
      <c r="A449" s="43">
        <v>45510</v>
      </c>
      <c r="B449" s="17">
        <v>1232056736.25</v>
      </c>
      <c r="C449" s="17">
        <v>0</v>
      </c>
      <c r="D449" s="18"/>
      <c r="E449" s="19">
        <f t="shared" si="132"/>
        <v>1232056736.25</v>
      </c>
      <c r="F449" s="19">
        <f t="shared" si="133"/>
        <v>1232056736.25</v>
      </c>
      <c r="G449" s="20">
        <f t="shared" si="134"/>
        <v>0</v>
      </c>
      <c r="H449" s="18"/>
      <c r="I449" s="18"/>
      <c r="J449" s="18"/>
      <c r="K449" s="19">
        <f t="shared" si="135"/>
        <v>0</v>
      </c>
      <c r="L449" s="18"/>
      <c r="M449" s="18"/>
      <c r="N449" s="18"/>
      <c r="O449" s="19">
        <f t="shared" si="136"/>
        <v>0</v>
      </c>
      <c r="P449" s="21">
        <f t="shared" si="137"/>
        <v>0</v>
      </c>
      <c r="Q449" s="18"/>
      <c r="R449" s="18"/>
      <c r="S449" s="19">
        <f t="shared" si="138"/>
        <v>0</v>
      </c>
      <c r="T449" s="20">
        <f t="shared" si="139"/>
        <v>0.03</v>
      </c>
      <c r="U449" s="19">
        <f t="shared" si="140"/>
        <v>0</v>
      </c>
      <c r="V449" s="18"/>
      <c r="W449" s="19">
        <f t="shared" si="141"/>
        <v>0</v>
      </c>
      <c r="X449" s="19">
        <f t="shared" si="142"/>
        <v>0</v>
      </c>
      <c r="Y449" s="18"/>
      <c r="Z449" s="18"/>
      <c r="AA449" s="19">
        <f t="shared" si="143"/>
        <v>0</v>
      </c>
      <c r="AB449" s="17">
        <v>0</v>
      </c>
      <c r="AC449" s="18"/>
      <c r="AD449" s="18"/>
      <c r="AE449" s="22">
        <f t="shared" si="144"/>
        <v>0</v>
      </c>
      <c r="AF449" s="23">
        <f t="shared" si="145"/>
        <v>0</v>
      </c>
      <c r="AG449" s="23">
        <f t="shared" si="146"/>
        <v>0</v>
      </c>
      <c r="AH449" s="18"/>
      <c r="AI449" s="24">
        <f t="shared" si="147"/>
        <v>0</v>
      </c>
      <c r="AJ449" s="25">
        <v>0</v>
      </c>
      <c r="AK449" s="24">
        <f t="shared" si="148"/>
        <v>0</v>
      </c>
      <c r="AL449" s="22">
        <f t="shared" si="149"/>
        <v>0</v>
      </c>
      <c r="AM449" s="22">
        <f t="shared" si="150"/>
        <v>0</v>
      </c>
      <c r="AN449" s="22">
        <f t="shared" si="151"/>
        <v>0</v>
      </c>
      <c r="AO449" s="26" t="str">
        <f t="shared" si="152"/>
        <v/>
      </c>
      <c r="AP449" s="26" t="str">
        <f t="shared" si="153"/>
        <v>pre-launch</v>
      </c>
      <c r="AQ449" s="18"/>
      <c r="AR449" s="18"/>
    </row>
    <row r="450" spans="1:44" x14ac:dyDescent="0.25">
      <c r="A450" s="43">
        <v>45511</v>
      </c>
      <c r="B450" s="17">
        <v>1495294224.3699999</v>
      </c>
      <c r="C450" s="17">
        <v>0</v>
      </c>
      <c r="D450" s="18"/>
      <c r="E450" s="19">
        <f t="shared" si="132"/>
        <v>1495294224.3699999</v>
      </c>
      <c r="F450" s="19">
        <f t="shared" si="133"/>
        <v>1495294224.3699999</v>
      </c>
      <c r="G450" s="20">
        <f t="shared" si="134"/>
        <v>0</v>
      </c>
      <c r="H450" s="18"/>
      <c r="I450" s="18"/>
      <c r="J450" s="18"/>
      <c r="K450" s="19">
        <f t="shared" si="135"/>
        <v>0</v>
      </c>
      <c r="L450" s="18"/>
      <c r="M450" s="18"/>
      <c r="N450" s="18"/>
      <c r="O450" s="19">
        <f t="shared" si="136"/>
        <v>0</v>
      </c>
      <c r="P450" s="21">
        <f t="shared" si="137"/>
        <v>0</v>
      </c>
      <c r="Q450" s="18"/>
      <c r="R450" s="18"/>
      <c r="S450" s="19">
        <f t="shared" si="138"/>
        <v>0</v>
      </c>
      <c r="T450" s="20">
        <f t="shared" si="139"/>
        <v>0.03</v>
      </c>
      <c r="U450" s="19">
        <f t="shared" si="140"/>
        <v>0</v>
      </c>
      <c r="V450" s="18"/>
      <c r="W450" s="19">
        <f t="shared" si="141"/>
        <v>0</v>
      </c>
      <c r="X450" s="19">
        <f t="shared" si="142"/>
        <v>0</v>
      </c>
      <c r="Y450" s="18"/>
      <c r="Z450" s="18"/>
      <c r="AA450" s="19">
        <f t="shared" si="143"/>
        <v>0</v>
      </c>
      <c r="AB450" s="17">
        <v>0</v>
      </c>
      <c r="AC450" s="18"/>
      <c r="AD450" s="18"/>
      <c r="AE450" s="22">
        <f t="shared" si="144"/>
        <v>0</v>
      </c>
      <c r="AF450" s="23">
        <f t="shared" si="145"/>
        <v>0</v>
      </c>
      <c r="AG450" s="23">
        <f t="shared" si="146"/>
        <v>0</v>
      </c>
      <c r="AH450" s="18"/>
      <c r="AI450" s="24">
        <f t="shared" si="147"/>
        <v>0</v>
      </c>
      <c r="AJ450" s="25">
        <v>0</v>
      </c>
      <c r="AK450" s="24">
        <f t="shared" si="148"/>
        <v>0</v>
      </c>
      <c r="AL450" s="22">
        <f t="shared" si="149"/>
        <v>0</v>
      </c>
      <c r="AM450" s="22">
        <f t="shared" si="150"/>
        <v>0</v>
      </c>
      <c r="AN450" s="22">
        <f t="shared" si="151"/>
        <v>0</v>
      </c>
      <c r="AO450" s="26" t="str">
        <f t="shared" si="152"/>
        <v/>
      </c>
      <c r="AP450" s="26" t="str">
        <f t="shared" si="153"/>
        <v>pre-launch</v>
      </c>
      <c r="AQ450" s="18"/>
      <c r="AR450" s="18"/>
    </row>
    <row r="451" spans="1:44" x14ac:dyDescent="0.25">
      <c r="A451" s="43">
        <v>45512</v>
      </c>
      <c r="B451" s="17">
        <v>1305310342.4300001</v>
      </c>
      <c r="C451" s="17">
        <v>0</v>
      </c>
      <c r="D451" s="18"/>
      <c r="E451" s="19">
        <f t="shared" si="132"/>
        <v>1305310342.4300001</v>
      </c>
      <c r="F451" s="19">
        <f t="shared" si="133"/>
        <v>1305310342.4300001</v>
      </c>
      <c r="G451" s="20">
        <f t="shared" si="134"/>
        <v>0</v>
      </c>
      <c r="H451" s="18"/>
      <c r="I451" s="18"/>
      <c r="J451" s="18"/>
      <c r="K451" s="19">
        <f t="shared" si="135"/>
        <v>0</v>
      </c>
      <c r="L451" s="18"/>
      <c r="M451" s="18"/>
      <c r="N451" s="18"/>
      <c r="O451" s="19">
        <f t="shared" si="136"/>
        <v>0</v>
      </c>
      <c r="P451" s="21">
        <f t="shared" si="137"/>
        <v>0</v>
      </c>
      <c r="Q451" s="18"/>
      <c r="R451" s="18"/>
      <c r="S451" s="19">
        <f t="shared" si="138"/>
        <v>0</v>
      </c>
      <c r="T451" s="20">
        <f t="shared" si="139"/>
        <v>0.03</v>
      </c>
      <c r="U451" s="19">
        <f t="shared" si="140"/>
        <v>0</v>
      </c>
      <c r="V451" s="18"/>
      <c r="W451" s="19">
        <f t="shared" si="141"/>
        <v>0</v>
      </c>
      <c r="X451" s="19">
        <f t="shared" si="142"/>
        <v>0</v>
      </c>
      <c r="Y451" s="18"/>
      <c r="Z451" s="18"/>
      <c r="AA451" s="19">
        <f t="shared" si="143"/>
        <v>0</v>
      </c>
      <c r="AB451" s="17">
        <v>0</v>
      </c>
      <c r="AC451" s="18"/>
      <c r="AD451" s="18"/>
      <c r="AE451" s="22">
        <f t="shared" si="144"/>
        <v>0</v>
      </c>
      <c r="AF451" s="23">
        <f t="shared" si="145"/>
        <v>0</v>
      </c>
      <c r="AG451" s="23">
        <f t="shared" si="146"/>
        <v>0</v>
      </c>
      <c r="AH451" s="18"/>
      <c r="AI451" s="24">
        <f t="shared" si="147"/>
        <v>0</v>
      </c>
      <c r="AJ451" s="25">
        <v>0</v>
      </c>
      <c r="AK451" s="24">
        <f t="shared" si="148"/>
        <v>0</v>
      </c>
      <c r="AL451" s="22">
        <f t="shared" si="149"/>
        <v>0</v>
      </c>
      <c r="AM451" s="22">
        <f t="shared" si="150"/>
        <v>0</v>
      </c>
      <c r="AN451" s="22">
        <f t="shared" si="151"/>
        <v>0</v>
      </c>
      <c r="AO451" s="26" t="str">
        <f t="shared" si="152"/>
        <v/>
      </c>
      <c r="AP451" s="26" t="str">
        <f t="shared" si="153"/>
        <v>pre-launch</v>
      </c>
      <c r="AQ451" s="18"/>
      <c r="AR451" s="18"/>
    </row>
    <row r="452" spans="1:44" x14ac:dyDescent="0.25">
      <c r="A452" s="43">
        <v>45513</v>
      </c>
      <c r="B452" s="17">
        <v>968702431.82000005</v>
      </c>
      <c r="C452" s="17">
        <v>0</v>
      </c>
      <c r="D452" s="18"/>
      <c r="E452" s="19">
        <f t="shared" si="132"/>
        <v>968702431.82000005</v>
      </c>
      <c r="F452" s="19">
        <f t="shared" si="133"/>
        <v>968702431.82000005</v>
      </c>
      <c r="G452" s="20">
        <f t="shared" si="134"/>
        <v>0</v>
      </c>
      <c r="H452" s="18"/>
      <c r="I452" s="18"/>
      <c r="J452" s="18"/>
      <c r="K452" s="19">
        <f t="shared" si="135"/>
        <v>0</v>
      </c>
      <c r="L452" s="18"/>
      <c r="M452" s="18"/>
      <c r="N452" s="18"/>
      <c r="O452" s="19">
        <f t="shared" si="136"/>
        <v>0</v>
      </c>
      <c r="P452" s="21">
        <f t="shared" si="137"/>
        <v>0</v>
      </c>
      <c r="Q452" s="18"/>
      <c r="R452" s="18"/>
      <c r="S452" s="19">
        <f t="shared" si="138"/>
        <v>0</v>
      </c>
      <c r="T452" s="20">
        <f t="shared" si="139"/>
        <v>0.03</v>
      </c>
      <c r="U452" s="19">
        <f t="shared" si="140"/>
        <v>0</v>
      </c>
      <c r="V452" s="18"/>
      <c r="W452" s="19">
        <f t="shared" si="141"/>
        <v>0</v>
      </c>
      <c r="X452" s="19">
        <f t="shared" si="142"/>
        <v>0</v>
      </c>
      <c r="Y452" s="18"/>
      <c r="Z452" s="18"/>
      <c r="AA452" s="19">
        <f t="shared" si="143"/>
        <v>0</v>
      </c>
      <c r="AB452" s="17">
        <v>0</v>
      </c>
      <c r="AC452" s="18"/>
      <c r="AD452" s="18"/>
      <c r="AE452" s="22">
        <f t="shared" si="144"/>
        <v>0</v>
      </c>
      <c r="AF452" s="23">
        <f t="shared" si="145"/>
        <v>0</v>
      </c>
      <c r="AG452" s="23">
        <f t="shared" si="146"/>
        <v>0</v>
      </c>
      <c r="AH452" s="18"/>
      <c r="AI452" s="24">
        <f t="shared" si="147"/>
        <v>0</v>
      </c>
      <c r="AJ452" s="25">
        <v>0</v>
      </c>
      <c r="AK452" s="24">
        <f t="shared" si="148"/>
        <v>0</v>
      </c>
      <c r="AL452" s="22">
        <f t="shared" si="149"/>
        <v>0</v>
      </c>
      <c r="AM452" s="22">
        <f t="shared" si="150"/>
        <v>0</v>
      </c>
      <c r="AN452" s="22">
        <f t="shared" si="151"/>
        <v>0</v>
      </c>
      <c r="AO452" s="26" t="str">
        <f t="shared" si="152"/>
        <v/>
      </c>
      <c r="AP452" s="26" t="str">
        <f t="shared" si="153"/>
        <v>pre-launch</v>
      </c>
      <c r="AQ452" s="18"/>
      <c r="AR452" s="18"/>
    </row>
    <row r="453" spans="1:44" x14ac:dyDescent="0.25">
      <c r="A453" s="43">
        <v>45514</v>
      </c>
      <c r="B453" s="17">
        <v>574333251.42999995</v>
      </c>
      <c r="C453" s="17">
        <v>0</v>
      </c>
      <c r="D453" s="18"/>
      <c r="E453" s="19">
        <f t="shared" ref="E453:E516" si="154">B453+C453</f>
        <v>574333251.42999995</v>
      </c>
      <c r="F453" s="19">
        <f t="shared" ref="F453:F516" si="155">E453+D453</f>
        <v>574333251.42999995</v>
      </c>
      <c r="G453" s="20">
        <f t="shared" ref="G453:G516" si="156">IFERROR(C453/E453,0)</f>
        <v>0</v>
      </c>
      <c r="H453" s="18"/>
      <c r="I453" s="18"/>
      <c r="J453" s="18"/>
      <c r="K453" s="19">
        <f t="shared" ref="K453:K516" si="157">H453+I453</f>
        <v>0</v>
      </c>
      <c r="L453" s="18"/>
      <c r="M453" s="18"/>
      <c r="N453" s="18"/>
      <c r="O453" s="19">
        <f t="shared" ref="O453:O516" si="158">IF(H453=0,0,H453-L453)</f>
        <v>0</v>
      </c>
      <c r="P453" s="21">
        <f t="shared" ref="P453:P516" si="159">IF(B453=0,0,O453/B453*10000)</f>
        <v>0</v>
      </c>
      <c r="Q453" s="18"/>
      <c r="R453" s="18"/>
      <c r="S453" s="19">
        <f t="shared" ref="S453:S516" si="160">Q453+R453</f>
        <v>0</v>
      </c>
      <c r="T453" s="20">
        <f t="shared" ref="T453:T516" si="161">IF(A453&lt;HlpChangeDate,HlpSharePre,HlpSharePost)</f>
        <v>0.03</v>
      </c>
      <c r="U453" s="19">
        <f t="shared" ref="U453:U516" si="162">S453*T453/(1-T453)</f>
        <v>0</v>
      </c>
      <c r="V453" s="18"/>
      <c r="W453" s="19">
        <f t="shared" ref="W453:W516" si="163">U453-V453</f>
        <v>0</v>
      </c>
      <c r="X453" s="19">
        <f t="shared" ref="X453:X516" si="164">Y453+Z453</f>
        <v>0</v>
      </c>
      <c r="Y453" s="18"/>
      <c r="Z453" s="18"/>
      <c r="AA453" s="19">
        <f t="shared" ref="AA453:AA516" si="165">X453-V453</f>
        <v>0</v>
      </c>
      <c r="AB453" s="17">
        <v>0</v>
      </c>
      <c r="AC453" s="18"/>
      <c r="AD453" s="18"/>
      <c r="AE453" s="22">
        <f t="shared" ref="AE453:AE516" si="166">IFERROR(AB453/AD453,0)</f>
        <v>0</v>
      </c>
      <c r="AF453" s="23">
        <f t="shared" ref="AF453:AF516" si="167">K453-S453-X453</f>
        <v>0</v>
      </c>
      <c r="AG453" s="23">
        <f t="shared" ref="AG453:AG516" si="168">S453-AB453</f>
        <v>0</v>
      </c>
      <c r="AH453" s="18"/>
      <c r="AI453" s="24">
        <f t="shared" ref="AI453:AI516" si="169">IFERROR(AH453/S453,0)</f>
        <v>0</v>
      </c>
      <c r="AJ453" s="25">
        <v>0</v>
      </c>
      <c r="AK453" s="24">
        <f t="shared" ref="AK453:AK516" si="170">IF(AJ453&gt;0,AprCoef/SQRT(AJ453),0)</f>
        <v>0</v>
      </c>
      <c r="AL453" s="22">
        <f t="shared" ref="AL453:AL516" si="171">AJ453*AK453/365</f>
        <v>0</v>
      </c>
      <c r="AM453" s="22">
        <f t="shared" ref="AM453:AM516" si="172">AE453</f>
        <v>0</v>
      </c>
      <c r="AN453" s="22">
        <f t="shared" ref="AN453:AN516" si="173">AL453-AM453</f>
        <v>0</v>
      </c>
      <c r="AO453" s="26" t="str">
        <f t="shared" ref="AO453:AO516" si="174">IF(A453&gt;=Hip3LaunchDate,"YES","")</f>
        <v/>
      </c>
      <c r="AP453" s="26" t="str">
        <f t="shared" ref="AP453:AP516" si="175">IF(A453&lt;Hip4LaunchDate,"pre-launch","live (zero-fee)")</f>
        <v>pre-launch</v>
      </c>
      <c r="AQ453" s="18"/>
      <c r="AR453" s="18"/>
    </row>
    <row r="454" spans="1:44" x14ac:dyDescent="0.25">
      <c r="A454" s="43">
        <v>45515</v>
      </c>
      <c r="B454" s="17">
        <v>645197603.91999996</v>
      </c>
      <c r="C454" s="17">
        <v>0</v>
      </c>
      <c r="D454" s="18"/>
      <c r="E454" s="19">
        <f t="shared" si="154"/>
        <v>645197603.91999996</v>
      </c>
      <c r="F454" s="19">
        <f t="shared" si="155"/>
        <v>645197603.91999996</v>
      </c>
      <c r="G454" s="20">
        <f t="shared" si="156"/>
        <v>0</v>
      </c>
      <c r="H454" s="18"/>
      <c r="I454" s="18"/>
      <c r="J454" s="18"/>
      <c r="K454" s="19">
        <f t="shared" si="157"/>
        <v>0</v>
      </c>
      <c r="L454" s="18"/>
      <c r="M454" s="18"/>
      <c r="N454" s="18"/>
      <c r="O454" s="19">
        <f t="shared" si="158"/>
        <v>0</v>
      </c>
      <c r="P454" s="21">
        <f t="shared" si="159"/>
        <v>0</v>
      </c>
      <c r="Q454" s="18"/>
      <c r="R454" s="18"/>
      <c r="S454" s="19">
        <f t="shared" si="160"/>
        <v>0</v>
      </c>
      <c r="T454" s="20">
        <f t="shared" si="161"/>
        <v>0.03</v>
      </c>
      <c r="U454" s="19">
        <f t="shared" si="162"/>
        <v>0</v>
      </c>
      <c r="V454" s="18"/>
      <c r="W454" s="19">
        <f t="shared" si="163"/>
        <v>0</v>
      </c>
      <c r="X454" s="19">
        <f t="shared" si="164"/>
        <v>0</v>
      </c>
      <c r="Y454" s="18"/>
      <c r="Z454" s="18"/>
      <c r="AA454" s="19">
        <f t="shared" si="165"/>
        <v>0</v>
      </c>
      <c r="AB454" s="17">
        <v>0</v>
      </c>
      <c r="AC454" s="18"/>
      <c r="AD454" s="18"/>
      <c r="AE454" s="22">
        <f t="shared" si="166"/>
        <v>0</v>
      </c>
      <c r="AF454" s="23">
        <f t="shared" si="167"/>
        <v>0</v>
      </c>
      <c r="AG454" s="23">
        <f t="shared" si="168"/>
        <v>0</v>
      </c>
      <c r="AH454" s="18"/>
      <c r="AI454" s="24">
        <f t="shared" si="169"/>
        <v>0</v>
      </c>
      <c r="AJ454" s="25">
        <v>0</v>
      </c>
      <c r="AK454" s="24">
        <f t="shared" si="170"/>
        <v>0</v>
      </c>
      <c r="AL454" s="22">
        <f t="shared" si="171"/>
        <v>0</v>
      </c>
      <c r="AM454" s="22">
        <f t="shared" si="172"/>
        <v>0</v>
      </c>
      <c r="AN454" s="22">
        <f t="shared" si="173"/>
        <v>0</v>
      </c>
      <c r="AO454" s="26" t="str">
        <f t="shared" si="174"/>
        <v/>
      </c>
      <c r="AP454" s="26" t="str">
        <f t="shared" si="175"/>
        <v>pre-launch</v>
      </c>
      <c r="AQ454" s="18"/>
      <c r="AR454" s="18"/>
    </row>
    <row r="455" spans="1:44" x14ac:dyDescent="0.25">
      <c r="A455" s="43">
        <v>45516</v>
      </c>
      <c r="B455" s="17">
        <v>1160292705</v>
      </c>
      <c r="C455" s="17">
        <v>0</v>
      </c>
      <c r="D455" s="18"/>
      <c r="E455" s="19">
        <f t="shared" si="154"/>
        <v>1160292705</v>
      </c>
      <c r="F455" s="19">
        <f t="shared" si="155"/>
        <v>1160292705</v>
      </c>
      <c r="G455" s="20">
        <f t="shared" si="156"/>
        <v>0</v>
      </c>
      <c r="H455" s="18"/>
      <c r="I455" s="18"/>
      <c r="J455" s="18"/>
      <c r="K455" s="19">
        <f t="shared" si="157"/>
        <v>0</v>
      </c>
      <c r="L455" s="18"/>
      <c r="M455" s="18"/>
      <c r="N455" s="18"/>
      <c r="O455" s="19">
        <f t="shared" si="158"/>
        <v>0</v>
      </c>
      <c r="P455" s="21">
        <f t="shared" si="159"/>
        <v>0</v>
      </c>
      <c r="Q455" s="18"/>
      <c r="R455" s="18"/>
      <c r="S455" s="19">
        <f t="shared" si="160"/>
        <v>0</v>
      </c>
      <c r="T455" s="20">
        <f t="shared" si="161"/>
        <v>0.03</v>
      </c>
      <c r="U455" s="19">
        <f t="shared" si="162"/>
        <v>0</v>
      </c>
      <c r="V455" s="18"/>
      <c r="W455" s="19">
        <f t="shared" si="163"/>
        <v>0</v>
      </c>
      <c r="X455" s="19">
        <f t="shared" si="164"/>
        <v>0</v>
      </c>
      <c r="Y455" s="18"/>
      <c r="Z455" s="18"/>
      <c r="AA455" s="19">
        <f t="shared" si="165"/>
        <v>0</v>
      </c>
      <c r="AB455" s="17">
        <v>0</v>
      </c>
      <c r="AC455" s="18"/>
      <c r="AD455" s="18"/>
      <c r="AE455" s="22">
        <f t="shared" si="166"/>
        <v>0</v>
      </c>
      <c r="AF455" s="23">
        <f t="shared" si="167"/>
        <v>0</v>
      </c>
      <c r="AG455" s="23">
        <f t="shared" si="168"/>
        <v>0</v>
      </c>
      <c r="AH455" s="18"/>
      <c r="AI455" s="24">
        <f t="shared" si="169"/>
        <v>0</v>
      </c>
      <c r="AJ455" s="25">
        <v>0</v>
      </c>
      <c r="AK455" s="24">
        <f t="shared" si="170"/>
        <v>0</v>
      </c>
      <c r="AL455" s="22">
        <f t="shared" si="171"/>
        <v>0</v>
      </c>
      <c r="AM455" s="22">
        <f t="shared" si="172"/>
        <v>0</v>
      </c>
      <c r="AN455" s="22">
        <f t="shared" si="173"/>
        <v>0</v>
      </c>
      <c r="AO455" s="26" t="str">
        <f t="shared" si="174"/>
        <v/>
      </c>
      <c r="AP455" s="26" t="str">
        <f t="shared" si="175"/>
        <v>pre-launch</v>
      </c>
      <c r="AQ455" s="18"/>
      <c r="AR455" s="18"/>
    </row>
    <row r="456" spans="1:44" x14ac:dyDescent="0.25">
      <c r="A456" s="43">
        <v>45517</v>
      </c>
      <c r="B456" s="17">
        <v>1197341840.53</v>
      </c>
      <c r="C456" s="17">
        <v>0</v>
      </c>
      <c r="D456" s="18"/>
      <c r="E456" s="19">
        <f t="shared" si="154"/>
        <v>1197341840.53</v>
      </c>
      <c r="F456" s="19">
        <f t="shared" si="155"/>
        <v>1197341840.53</v>
      </c>
      <c r="G456" s="20">
        <f t="shared" si="156"/>
        <v>0</v>
      </c>
      <c r="H456" s="18"/>
      <c r="I456" s="18"/>
      <c r="J456" s="18"/>
      <c r="K456" s="19">
        <f t="shared" si="157"/>
        <v>0</v>
      </c>
      <c r="L456" s="18"/>
      <c r="M456" s="18"/>
      <c r="N456" s="18"/>
      <c r="O456" s="19">
        <f t="shared" si="158"/>
        <v>0</v>
      </c>
      <c r="P456" s="21">
        <f t="shared" si="159"/>
        <v>0</v>
      </c>
      <c r="Q456" s="18"/>
      <c r="R456" s="18"/>
      <c r="S456" s="19">
        <f t="shared" si="160"/>
        <v>0</v>
      </c>
      <c r="T456" s="20">
        <f t="shared" si="161"/>
        <v>0.03</v>
      </c>
      <c r="U456" s="19">
        <f t="shared" si="162"/>
        <v>0</v>
      </c>
      <c r="V456" s="18"/>
      <c r="W456" s="19">
        <f t="shared" si="163"/>
        <v>0</v>
      </c>
      <c r="X456" s="19">
        <f t="shared" si="164"/>
        <v>0</v>
      </c>
      <c r="Y456" s="18"/>
      <c r="Z456" s="18"/>
      <c r="AA456" s="19">
        <f t="shared" si="165"/>
        <v>0</v>
      </c>
      <c r="AB456" s="17">
        <v>0</v>
      </c>
      <c r="AC456" s="18"/>
      <c r="AD456" s="18"/>
      <c r="AE456" s="22">
        <f t="shared" si="166"/>
        <v>0</v>
      </c>
      <c r="AF456" s="23">
        <f t="shared" si="167"/>
        <v>0</v>
      </c>
      <c r="AG456" s="23">
        <f t="shared" si="168"/>
        <v>0</v>
      </c>
      <c r="AH456" s="18"/>
      <c r="AI456" s="24">
        <f t="shared" si="169"/>
        <v>0</v>
      </c>
      <c r="AJ456" s="25">
        <v>0</v>
      </c>
      <c r="AK456" s="24">
        <f t="shared" si="170"/>
        <v>0</v>
      </c>
      <c r="AL456" s="22">
        <f t="shared" si="171"/>
        <v>0</v>
      </c>
      <c r="AM456" s="22">
        <f t="shared" si="172"/>
        <v>0</v>
      </c>
      <c r="AN456" s="22">
        <f t="shared" si="173"/>
        <v>0</v>
      </c>
      <c r="AO456" s="26" t="str">
        <f t="shared" si="174"/>
        <v/>
      </c>
      <c r="AP456" s="26" t="str">
        <f t="shared" si="175"/>
        <v>pre-launch</v>
      </c>
      <c r="AQ456" s="18"/>
      <c r="AR456" s="18"/>
    </row>
    <row r="457" spans="1:44" x14ac:dyDescent="0.25">
      <c r="A457" s="43">
        <v>45518</v>
      </c>
      <c r="B457" s="17">
        <v>1453533663.27</v>
      </c>
      <c r="C457" s="17">
        <v>0</v>
      </c>
      <c r="D457" s="18"/>
      <c r="E457" s="19">
        <f t="shared" si="154"/>
        <v>1453533663.27</v>
      </c>
      <c r="F457" s="19">
        <f t="shared" si="155"/>
        <v>1453533663.27</v>
      </c>
      <c r="G457" s="20">
        <f t="shared" si="156"/>
        <v>0</v>
      </c>
      <c r="H457" s="18"/>
      <c r="I457" s="18"/>
      <c r="J457" s="18"/>
      <c r="K457" s="19">
        <f t="shared" si="157"/>
        <v>0</v>
      </c>
      <c r="L457" s="18"/>
      <c r="M457" s="18"/>
      <c r="N457" s="18"/>
      <c r="O457" s="19">
        <f t="shared" si="158"/>
        <v>0</v>
      </c>
      <c r="P457" s="21">
        <f t="shared" si="159"/>
        <v>0</v>
      </c>
      <c r="Q457" s="18"/>
      <c r="R457" s="18"/>
      <c r="S457" s="19">
        <f t="shared" si="160"/>
        <v>0</v>
      </c>
      <c r="T457" s="20">
        <f t="shared" si="161"/>
        <v>0.03</v>
      </c>
      <c r="U457" s="19">
        <f t="shared" si="162"/>
        <v>0</v>
      </c>
      <c r="V457" s="18"/>
      <c r="W457" s="19">
        <f t="shared" si="163"/>
        <v>0</v>
      </c>
      <c r="X457" s="19">
        <f t="shared" si="164"/>
        <v>0</v>
      </c>
      <c r="Y457" s="18"/>
      <c r="Z457" s="18"/>
      <c r="AA457" s="19">
        <f t="shared" si="165"/>
        <v>0</v>
      </c>
      <c r="AB457" s="17">
        <v>0</v>
      </c>
      <c r="AC457" s="18"/>
      <c r="AD457" s="18"/>
      <c r="AE457" s="22">
        <f t="shared" si="166"/>
        <v>0</v>
      </c>
      <c r="AF457" s="23">
        <f t="shared" si="167"/>
        <v>0</v>
      </c>
      <c r="AG457" s="23">
        <f t="shared" si="168"/>
        <v>0</v>
      </c>
      <c r="AH457" s="18"/>
      <c r="AI457" s="24">
        <f t="shared" si="169"/>
        <v>0</v>
      </c>
      <c r="AJ457" s="25">
        <v>0</v>
      </c>
      <c r="AK457" s="24">
        <f t="shared" si="170"/>
        <v>0</v>
      </c>
      <c r="AL457" s="22">
        <f t="shared" si="171"/>
        <v>0</v>
      </c>
      <c r="AM457" s="22">
        <f t="shared" si="172"/>
        <v>0</v>
      </c>
      <c r="AN457" s="22">
        <f t="shared" si="173"/>
        <v>0</v>
      </c>
      <c r="AO457" s="26" t="str">
        <f t="shared" si="174"/>
        <v/>
      </c>
      <c r="AP457" s="26" t="str">
        <f t="shared" si="175"/>
        <v>pre-launch</v>
      </c>
      <c r="AQ457" s="18"/>
      <c r="AR457" s="18"/>
    </row>
    <row r="458" spans="1:44" x14ac:dyDescent="0.25">
      <c r="A458" s="43">
        <v>45519</v>
      </c>
      <c r="B458" s="17">
        <v>1057246088.46</v>
      </c>
      <c r="C458" s="17">
        <v>0</v>
      </c>
      <c r="D458" s="18"/>
      <c r="E458" s="19">
        <f t="shared" si="154"/>
        <v>1057246088.46</v>
      </c>
      <c r="F458" s="19">
        <f t="shared" si="155"/>
        <v>1057246088.46</v>
      </c>
      <c r="G458" s="20">
        <f t="shared" si="156"/>
        <v>0</v>
      </c>
      <c r="H458" s="18"/>
      <c r="I458" s="18"/>
      <c r="J458" s="18"/>
      <c r="K458" s="19">
        <f t="shared" si="157"/>
        <v>0</v>
      </c>
      <c r="L458" s="18"/>
      <c r="M458" s="18"/>
      <c r="N458" s="18"/>
      <c r="O458" s="19">
        <f t="shared" si="158"/>
        <v>0</v>
      </c>
      <c r="P458" s="21">
        <f t="shared" si="159"/>
        <v>0</v>
      </c>
      <c r="Q458" s="18"/>
      <c r="R458" s="18"/>
      <c r="S458" s="19">
        <f t="shared" si="160"/>
        <v>0</v>
      </c>
      <c r="T458" s="20">
        <f t="shared" si="161"/>
        <v>0.03</v>
      </c>
      <c r="U458" s="19">
        <f t="shared" si="162"/>
        <v>0</v>
      </c>
      <c r="V458" s="18"/>
      <c r="W458" s="19">
        <f t="shared" si="163"/>
        <v>0</v>
      </c>
      <c r="X458" s="19">
        <f t="shared" si="164"/>
        <v>0</v>
      </c>
      <c r="Y458" s="18"/>
      <c r="Z458" s="18"/>
      <c r="AA458" s="19">
        <f t="shared" si="165"/>
        <v>0</v>
      </c>
      <c r="AB458" s="17">
        <v>0</v>
      </c>
      <c r="AC458" s="18"/>
      <c r="AD458" s="18"/>
      <c r="AE458" s="22">
        <f t="shared" si="166"/>
        <v>0</v>
      </c>
      <c r="AF458" s="23">
        <f t="shared" si="167"/>
        <v>0</v>
      </c>
      <c r="AG458" s="23">
        <f t="shared" si="168"/>
        <v>0</v>
      </c>
      <c r="AH458" s="18"/>
      <c r="AI458" s="24">
        <f t="shared" si="169"/>
        <v>0</v>
      </c>
      <c r="AJ458" s="25">
        <v>0</v>
      </c>
      <c r="AK458" s="24">
        <f t="shared" si="170"/>
        <v>0</v>
      </c>
      <c r="AL458" s="22">
        <f t="shared" si="171"/>
        <v>0</v>
      </c>
      <c r="AM458" s="22">
        <f t="shared" si="172"/>
        <v>0</v>
      </c>
      <c r="AN458" s="22">
        <f t="shared" si="173"/>
        <v>0</v>
      </c>
      <c r="AO458" s="26" t="str">
        <f t="shared" si="174"/>
        <v/>
      </c>
      <c r="AP458" s="26" t="str">
        <f t="shared" si="175"/>
        <v>pre-launch</v>
      </c>
      <c r="AQ458" s="18"/>
      <c r="AR458" s="18"/>
    </row>
    <row r="459" spans="1:44" x14ac:dyDescent="0.25">
      <c r="A459" s="43">
        <v>45520</v>
      </c>
      <c r="B459" s="17">
        <v>1011617564.3200001</v>
      </c>
      <c r="C459" s="17">
        <v>0</v>
      </c>
      <c r="D459" s="18"/>
      <c r="E459" s="19">
        <f t="shared" si="154"/>
        <v>1011617564.3200001</v>
      </c>
      <c r="F459" s="19">
        <f t="shared" si="155"/>
        <v>1011617564.3200001</v>
      </c>
      <c r="G459" s="20">
        <f t="shared" si="156"/>
        <v>0</v>
      </c>
      <c r="H459" s="18"/>
      <c r="I459" s="18"/>
      <c r="J459" s="18"/>
      <c r="K459" s="19">
        <f t="shared" si="157"/>
        <v>0</v>
      </c>
      <c r="L459" s="18"/>
      <c r="M459" s="18"/>
      <c r="N459" s="18"/>
      <c r="O459" s="19">
        <f t="shared" si="158"/>
        <v>0</v>
      </c>
      <c r="P459" s="21">
        <f t="shared" si="159"/>
        <v>0</v>
      </c>
      <c r="Q459" s="18"/>
      <c r="R459" s="18"/>
      <c r="S459" s="19">
        <f t="shared" si="160"/>
        <v>0</v>
      </c>
      <c r="T459" s="20">
        <f t="shared" si="161"/>
        <v>0.03</v>
      </c>
      <c r="U459" s="19">
        <f t="shared" si="162"/>
        <v>0</v>
      </c>
      <c r="V459" s="18"/>
      <c r="W459" s="19">
        <f t="shared" si="163"/>
        <v>0</v>
      </c>
      <c r="X459" s="19">
        <f t="shared" si="164"/>
        <v>0</v>
      </c>
      <c r="Y459" s="18"/>
      <c r="Z459" s="18"/>
      <c r="AA459" s="19">
        <f t="shared" si="165"/>
        <v>0</v>
      </c>
      <c r="AB459" s="17">
        <v>0</v>
      </c>
      <c r="AC459" s="18"/>
      <c r="AD459" s="18"/>
      <c r="AE459" s="22">
        <f t="shared" si="166"/>
        <v>0</v>
      </c>
      <c r="AF459" s="23">
        <f t="shared" si="167"/>
        <v>0</v>
      </c>
      <c r="AG459" s="23">
        <f t="shared" si="168"/>
        <v>0</v>
      </c>
      <c r="AH459" s="18"/>
      <c r="AI459" s="24">
        <f t="shared" si="169"/>
        <v>0</v>
      </c>
      <c r="AJ459" s="25">
        <v>0</v>
      </c>
      <c r="AK459" s="24">
        <f t="shared" si="170"/>
        <v>0</v>
      </c>
      <c r="AL459" s="22">
        <f t="shared" si="171"/>
        <v>0</v>
      </c>
      <c r="AM459" s="22">
        <f t="shared" si="172"/>
        <v>0</v>
      </c>
      <c r="AN459" s="22">
        <f t="shared" si="173"/>
        <v>0</v>
      </c>
      <c r="AO459" s="26" t="str">
        <f t="shared" si="174"/>
        <v/>
      </c>
      <c r="AP459" s="26" t="str">
        <f t="shared" si="175"/>
        <v>pre-launch</v>
      </c>
      <c r="AQ459" s="18"/>
      <c r="AR459" s="18"/>
    </row>
    <row r="460" spans="1:44" x14ac:dyDescent="0.25">
      <c r="A460" s="43">
        <v>45521</v>
      </c>
      <c r="B460" s="17">
        <v>380334071.07999998</v>
      </c>
      <c r="C460" s="17">
        <v>0</v>
      </c>
      <c r="D460" s="18"/>
      <c r="E460" s="19">
        <f t="shared" si="154"/>
        <v>380334071.07999998</v>
      </c>
      <c r="F460" s="19">
        <f t="shared" si="155"/>
        <v>380334071.07999998</v>
      </c>
      <c r="G460" s="20">
        <f t="shared" si="156"/>
        <v>0</v>
      </c>
      <c r="H460" s="18"/>
      <c r="I460" s="18"/>
      <c r="J460" s="18"/>
      <c r="K460" s="19">
        <f t="shared" si="157"/>
        <v>0</v>
      </c>
      <c r="L460" s="18"/>
      <c r="M460" s="18"/>
      <c r="N460" s="18"/>
      <c r="O460" s="19">
        <f t="shared" si="158"/>
        <v>0</v>
      </c>
      <c r="P460" s="21">
        <f t="shared" si="159"/>
        <v>0</v>
      </c>
      <c r="Q460" s="18"/>
      <c r="R460" s="18"/>
      <c r="S460" s="19">
        <f t="shared" si="160"/>
        <v>0</v>
      </c>
      <c r="T460" s="20">
        <f t="shared" si="161"/>
        <v>0.03</v>
      </c>
      <c r="U460" s="19">
        <f t="shared" si="162"/>
        <v>0</v>
      </c>
      <c r="V460" s="18"/>
      <c r="W460" s="19">
        <f t="shared" si="163"/>
        <v>0</v>
      </c>
      <c r="X460" s="19">
        <f t="shared" si="164"/>
        <v>0</v>
      </c>
      <c r="Y460" s="18"/>
      <c r="Z460" s="18"/>
      <c r="AA460" s="19">
        <f t="shared" si="165"/>
        <v>0</v>
      </c>
      <c r="AB460" s="17">
        <v>0</v>
      </c>
      <c r="AC460" s="18"/>
      <c r="AD460" s="18"/>
      <c r="AE460" s="22">
        <f t="shared" si="166"/>
        <v>0</v>
      </c>
      <c r="AF460" s="23">
        <f t="shared" si="167"/>
        <v>0</v>
      </c>
      <c r="AG460" s="23">
        <f t="shared" si="168"/>
        <v>0</v>
      </c>
      <c r="AH460" s="18"/>
      <c r="AI460" s="24">
        <f t="shared" si="169"/>
        <v>0</v>
      </c>
      <c r="AJ460" s="25">
        <v>0</v>
      </c>
      <c r="AK460" s="24">
        <f t="shared" si="170"/>
        <v>0</v>
      </c>
      <c r="AL460" s="22">
        <f t="shared" si="171"/>
        <v>0</v>
      </c>
      <c r="AM460" s="22">
        <f t="shared" si="172"/>
        <v>0</v>
      </c>
      <c r="AN460" s="22">
        <f t="shared" si="173"/>
        <v>0</v>
      </c>
      <c r="AO460" s="26" t="str">
        <f t="shared" si="174"/>
        <v/>
      </c>
      <c r="AP460" s="26" t="str">
        <f t="shared" si="175"/>
        <v>pre-launch</v>
      </c>
      <c r="AQ460" s="18"/>
      <c r="AR460" s="18"/>
    </row>
    <row r="461" spans="1:44" x14ac:dyDescent="0.25">
      <c r="A461" s="43">
        <v>45522</v>
      </c>
      <c r="B461" s="17">
        <v>489580315.24000001</v>
      </c>
      <c r="C461" s="17">
        <v>0</v>
      </c>
      <c r="D461" s="18"/>
      <c r="E461" s="19">
        <f t="shared" si="154"/>
        <v>489580315.24000001</v>
      </c>
      <c r="F461" s="19">
        <f t="shared" si="155"/>
        <v>489580315.24000001</v>
      </c>
      <c r="G461" s="20">
        <f t="shared" si="156"/>
        <v>0</v>
      </c>
      <c r="H461" s="18"/>
      <c r="I461" s="18"/>
      <c r="J461" s="18"/>
      <c r="K461" s="19">
        <f t="shared" si="157"/>
        <v>0</v>
      </c>
      <c r="L461" s="18"/>
      <c r="M461" s="18"/>
      <c r="N461" s="18"/>
      <c r="O461" s="19">
        <f t="shared" si="158"/>
        <v>0</v>
      </c>
      <c r="P461" s="21">
        <f t="shared" si="159"/>
        <v>0</v>
      </c>
      <c r="Q461" s="18"/>
      <c r="R461" s="18"/>
      <c r="S461" s="19">
        <f t="shared" si="160"/>
        <v>0</v>
      </c>
      <c r="T461" s="20">
        <f t="shared" si="161"/>
        <v>0.03</v>
      </c>
      <c r="U461" s="19">
        <f t="shared" si="162"/>
        <v>0</v>
      </c>
      <c r="V461" s="18"/>
      <c r="W461" s="19">
        <f t="shared" si="163"/>
        <v>0</v>
      </c>
      <c r="X461" s="19">
        <f t="shared" si="164"/>
        <v>0</v>
      </c>
      <c r="Y461" s="18"/>
      <c r="Z461" s="18"/>
      <c r="AA461" s="19">
        <f t="shared" si="165"/>
        <v>0</v>
      </c>
      <c r="AB461" s="17">
        <v>0</v>
      </c>
      <c r="AC461" s="18"/>
      <c r="AD461" s="18"/>
      <c r="AE461" s="22">
        <f t="shared" si="166"/>
        <v>0</v>
      </c>
      <c r="AF461" s="23">
        <f t="shared" si="167"/>
        <v>0</v>
      </c>
      <c r="AG461" s="23">
        <f t="shared" si="168"/>
        <v>0</v>
      </c>
      <c r="AH461" s="18"/>
      <c r="AI461" s="24">
        <f t="shared" si="169"/>
        <v>0</v>
      </c>
      <c r="AJ461" s="25">
        <v>0</v>
      </c>
      <c r="AK461" s="24">
        <f t="shared" si="170"/>
        <v>0</v>
      </c>
      <c r="AL461" s="22">
        <f t="shared" si="171"/>
        <v>0</v>
      </c>
      <c r="AM461" s="22">
        <f t="shared" si="172"/>
        <v>0</v>
      </c>
      <c r="AN461" s="22">
        <f t="shared" si="173"/>
        <v>0</v>
      </c>
      <c r="AO461" s="26" t="str">
        <f t="shared" si="174"/>
        <v/>
      </c>
      <c r="AP461" s="26" t="str">
        <f t="shared" si="175"/>
        <v>pre-launch</v>
      </c>
      <c r="AQ461" s="18"/>
      <c r="AR461" s="18"/>
    </row>
    <row r="462" spans="1:44" x14ac:dyDescent="0.25">
      <c r="A462" s="43">
        <v>45523</v>
      </c>
      <c r="B462" s="17">
        <v>859237052.11000001</v>
      </c>
      <c r="C462" s="17">
        <v>0</v>
      </c>
      <c r="D462" s="18"/>
      <c r="E462" s="19">
        <f t="shared" si="154"/>
        <v>859237052.11000001</v>
      </c>
      <c r="F462" s="19">
        <f t="shared" si="155"/>
        <v>859237052.11000001</v>
      </c>
      <c r="G462" s="20">
        <f t="shared" si="156"/>
        <v>0</v>
      </c>
      <c r="H462" s="18"/>
      <c r="I462" s="18"/>
      <c r="J462" s="18"/>
      <c r="K462" s="19">
        <f t="shared" si="157"/>
        <v>0</v>
      </c>
      <c r="L462" s="18"/>
      <c r="M462" s="18"/>
      <c r="N462" s="18"/>
      <c r="O462" s="19">
        <f t="shared" si="158"/>
        <v>0</v>
      </c>
      <c r="P462" s="21">
        <f t="shared" si="159"/>
        <v>0</v>
      </c>
      <c r="Q462" s="18"/>
      <c r="R462" s="18"/>
      <c r="S462" s="19">
        <f t="shared" si="160"/>
        <v>0</v>
      </c>
      <c r="T462" s="20">
        <f t="shared" si="161"/>
        <v>0.03</v>
      </c>
      <c r="U462" s="19">
        <f t="shared" si="162"/>
        <v>0</v>
      </c>
      <c r="V462" s="18"/>
      <c r="W462" s="19">
        <f t="shared" si="163"/>
        <v>0</v>
      </c>
      <c r="X462" s="19">
        <f t="shared" si="164"/>
        <v>0</v>
      </c>
      <c r="Y462" s="18"/>
      <c r="Z462" s="18"/>
      <c r="AA462" s="19">
        <f t="shared" si="165"/>
        <v>0</v>
      </c>
      <c r="AB462" s="17">
        <v>0</v>
      </c>
      <c r="AC462" s="18"/>
      <c r="AD462" s="18"/>
      <c r="AE462" s="22">
        <f t="shared" si="166"/>
        <v>0</v>
      </c>
      <c r="AF462" s="23">
        <f t="shared" si="167"/>
        <v>0</v>
      </c>
      <c r="AG462" s="23">
        <f t="shared" si="168"/>
        <v>0</v>
      </c>
      <c r="AH462" s="18"/>
      <c r="AI462" s="24">
        <f t="shared" si="169"/>
        <v>0</v>
      </c>
      <c r="AJ462" s="25">
        <v>0</v>
      </c>
      <c r="AK462" s="24">
        <f t="shared" si="170"/>
        <v>0</v>
      </c>
      <c r="AL462" s="22">
        <f t="shared" si="171"/>
        <v>0</v>
      </c>
      <c r="AM462" s="22">
        <f t="shared" si="172"/>
        <v>0</v>
      </c>
      <c r="AN462" s="22">
        <f t="shared" si="173"/>
        <v>0</v>
      </c>
      <c r="AO462" s="26" t="str">
        <f t="shared" si="174"/>
        <v/>
      </c>
      <c r="AP462" s="26" t="str">
        <f t="shared" si="175"/>
        <v>pre-launch</v>
      </c>
      <c r="AQ462" s="18"/>
      <c r="AR462" s="18"/>
    </row>
    <row r="463" spans="1:44" x14ac:dyDescent="0.25">
      <c r="A463" s="43">
        <v>45524</v>
      </c>
      <c r="B463" s="17">
        <v>900366336.57000005</v>
      </c>
      <c r="C463" s="17">
        <v>0</v>
      </c>
      <c r="D463" s="18"/>
      <c r="E463" s="19">
        <f t="shared" si="154"/>
        <v>900366336.57000005</v>
      </c>
      <c r="F463" s="19">
        <f t="shared" si="155"/>
        <v>900366336.57000005</v>
      </c>
      <c r="G463" s="20">
        <f t="shared" si="156"/>
        <v>0</v>
      </c>
      <c r="H463" s="18"/>
      <c r="I463" s="18"/>
      <c r="J463" s="18"/>
      <c r="K463" s="19">
        <f t="shared" si="157"/>
        <v>0</v>
      </c>
      <c r="L463" s="18"/>
      <c r="M463" s="18"/>
      <c r="N463" s="18"/>
      <c r="O463" s="19">
        <f t="shared" si="158"/>
        <v>0</v>
      </c>
      <c r="P463" s="21">
        <f t="shared" si="159"/>
        <v>0</v>
      </c>
      <c r="Q463" s="18"/>
      <c r="R463" s="18"/>
      <c r="S463" s="19">
        <f t="shared" si="160"/>
        <v>0</v>
      </c>
      <c r="T463" s="20">
        <f t="shared" si="161"/>
        <v>0.03</v>
      </c>
      <c r="U463" s="19">
        <f t="shared" si="162"/>
        <v>0</v>
      </c>
      <c r="V463" s="18"/>
      <c r="W463" s="19">
        <f t="shared" si="163"/>
        <v>0</v>
      </c>
      <c r="X463" s="19">
        <f t="shared" si="164"/>
        <v>0</v>
      </c>
      <c r="Y463" s="18"/>
      <c r="Z463" s="18"/>
      <c r="AA463" s="19">
        <f t="shared" si="165"/>
        <v>0</v>
      </c>
      <c r="AB463" s="17">
        <v>0</v>
      </c>
      <c r="AC463" s="18"/>
      <c r="AD463" s="18"/>
      <c r="AE463" s="22">
        <f t="shared" si="166"/>
        <v>0</v>
      </c>
      <c r="AF463" s="23">
        <f t="shared" si="167"/>
        <v>0</v>
      </c>
      <c r="AG463" s="23">
        <f t="shared" si="168"/>
        <v>0</v>
      </c>
      <c r="AH463" s="18"/>
      <c r="AI463" s="24">
        <f t="shared" si="169"/>
        <v>0</v>
      </c>
      <c r="AJ463" s="25">
        <v>0</v>
      </c>
      <c r="AK463" s="24">
        <f t="shared" si="170"/>
        <v>0</v>
      </c>
      <c r="AL463" s="22">
        <f t="shared" si="171"/>
        <v>0</v>
      </c>
      <c r="AM463" s="22">
        <f t="shared" si="172"/>
        <v>0</v>
      </c>
      <c r="AN463" s="22">
        <f t="shared" si="173"/>
        <v>0</v>
      </c>
      <c r="AO463" s="26" t="str">
        <f t="shared" si="174"/>
        <v/>
      </c>
      <c r="AP463" s="26" t="str">
        <f t="shared" si="175"/>
        <v>pre-launch</v>
      </c>
      <c r="AQ463" s="18"/>
      <c r="AR463" s="18"/>
    </row>
    <row r="464" spans="1:44" x14ac:dyDescent="0.25">
      <c r="A464" s="43">
        <v>45525</v>
      </c>
      <c r="B464" s="17">
        <v>793866133.58000004</v>
      </c>
      <c r="C464" s="17">
        <v>0</v>
      </c>
      <c r="D464" s="18"/>
      <c r="E464" s="19">
        <f t="shared" si="154"/>
        <v>793866133.58000004</v>
      </c>
      <c r="F464" s="19">
        <f t="shared" si="155"/>
        <v>793866133.58000004</v>
      </c>
      <c r="G464" s="20">
        <f t="shared" si="156"/>
        <v>0</v>
      </c>
      <c r="H464" s="18"/>
      <c r="I464" s="18"/>
      <c r="J464" s="18"/>
      <c r="K464" s="19">
        <f t="shared" si="157"/>
        <v>0</v>
      </c>
      <c r="L464" s="18"/>
      <c r="M464" s="18"/>
      <c r="N464" s="18"/>
      <c r="O464" s="19">
        <f t="shared" si="158"/>
        <v>0</v>
      </c>
      <c r="P464" s="21">
        <f t="shared" si="159"/>
        <v>0</v>
      </c>
      <c r="Q464" s="18"/>
      <c r="R464" s="18"/>
      <c r="S464" s="19">
        <f t="shared" si="160"/>
        <v>0</v>
      </c>
      <c r="T464" s="20">
        <f t="shared" si="161"/>
        <v>0.03</v>
      </c>
      <c r="U464" s="19">
        <f t="shared" si="162"/>
        <v>0</v>
      </c>
      <c r="V464" s="18"/>
      <c r="W464" s="19">
        <f t="shared" si="163"/>
        <v>0</v>
      </c>
      <c r="X464" s="19">
        <f t="shared" si="164"/>
        <v>0</v>
      </c>
      <c r="Y464" s="18"/>
      <c r="Z464" s="18"/>
      <c r="AA464" s="19">
        <f t="shared" si="165"/>
        <v>0</v>
      </c>
      <c r="AB464" s="17">
        <v>0</v>
      </c>
      <c r="AC464" s="18"/>
      <c r="AD464" s="18"/>
      <c r="AE464" s="22">
        <f t="shared" si="166"/>
        <v>0</v>
      </c>
      <c r="AF464" s="23">
        <f t="shared" si="167"/>
        <v>0</v>
      </c>
      <c r="AG464" s="23">
        <f t="shared" si="168"/>
        <v>0</v>
      </c>
      <c r="AH464" s="18"/>
      <c r="AI464" s="24">
        <f t="shared" si="169"/>
        <v>0</v>
      </c>
      <c r="AJ464" s="25">
        <v>0</v>
      </c>
      <c r="AK464" s="24">
        <f t="shared" si="170"/>
        <v>0</v>
      </c>
      <c r="AL464" s="22">
        <f t="shared" si="171"/>
        <v>0</v>
      </c>
      <c r="AM464" s="22">
        <f t="shared" si="172"/>
        <v>0</v>
      </c>
      <c r="AN464" s="22">
        <f t="shared" si="173"/>
        <v>0</v>
      </c>
      <c r="AO464" s="26" t="str">
        <f t="shared" si="174"/>
        <v/>
      </c>
      <c r="AP464" s="26" t="str">
        <f t="shared" si="175"/>
        <v>pre-launch</v>
      </c>
      <c r="AQ464" s="18"/>
      <c r="AR464" s="18"/>
    </row>
    <row r="465" spans="1:44" x14ac:dyDescent="0.25">
      <c r="A465" s="43">
        <v>45526</v>
      </c>
      <c r="B465" s="17">
        <v>1088518736.4000001</v>
      </c>
      <c r="C465" s="17">
        <v>0</v>
      </c>
      <c r="D465" s="18"/>
      <c r="E465" s="19">
        <f t="shared" si="154"/>
        <v>1088518736.4000001</v>
      </c>
      <c r="F465" s="19">
        <f t="shared" si="155"/>
        <v>1088518736.4000001</v>
      </c>
      <c r="G465" s="20">
        <f t="shared" si="156"/>
        <v>0</v>
      </c>
      <c r="H465" s="18"/>
      <c r="I465" s="18"/>
      <c r="J465" s="18"/>
      <c r="K465" s="19">
        <f t="shared" si="157"/>
        <v>0</v>
      </c>
      <c r="L465" s="18"/>
      <c r="M465" s="18"/>
      <c r="N465" s="18"/>
      <c r="O465" s="19">
        <f t="shared" si="158"/>
        <v>0</v>
      </c>
      <c r="P465" s="21">
        <f t="shared" si="159"/>
        <v>0</v>
      </c>
      <c r="Q465" s="18"/>
      <c r="R465" s="18"/>
      <c r="S465" s="19">
        <f t="shared" si="160"/>
        <v>0</v>
      </c>
      <c r="T465" s="20">
        <f t="shared" si="161"/>
        <v>0.03</v>
      </c>
      <c r="U465" s="19">
        <f t="shared" si="162"/>
        <v>0</v>
      </c>
      <c r="V465" s="18"/>
      <c r="W465" s="19">
        <f t="shared" si="163"/>
        <v>0</v>
      </c>
      <c r="X465" s="19">
        <f t="shared" si="164"/>
        <v>0</v>
      </c>
      <c r="Y465" s="18"/>
      <c r="Z465" s="18"/>
      <c r="AA465" s="19">
        <f t="shared" si="165"/>
        <v>0</v>
      </c>
      <c r="AB465" s="17">
        <v>0</v>
      </c>
      <c r="AC465" s="18"/>
      <c r="AD465" s="18"/>
      <c r="AE465" s="22">
        <f t="shared" si="166"/>
        <v>0</v>
      </c>
      <c r="AF465" s="23">
        <f t="shared" si="167"/>
        <v>0</v>
      </c>
      <c r="AG465" s="23">
        <f t="shared" si="168"/>
        <v>0</v>
      </c>
      <c r="AH465" s="18"/>
      <c r="AI465" s="24">
        <f t="shared" si="169"/>
        <v>0</v>
      </c>
      <c r="AJ465" s="25">
        <v>0</v>
      </c>
      <c r="AK465" s="24">
        <f t="shared" si="170"/>
        <v>0</v>
      </c>
      <c r="AL465" s="22">
        <f t="shared" si="171"/>
        <v>0</v>
      </c>
      <c r="AM465" s="22">
        <f t="shared" si="172"/>
        <v>0</v>
      </c>
      <c r="AN465" s="22">
        <f t="shared" si="173"/>
        <v>0</v>
      </c>
      <c r="AO465" s="26" t="str">
        <f t="shared" si="174"/>
        <v/>
      </c>
      <c r="AP465" s="26" t="str">
        <f t="shared" si="175"/>
        <v>pre-launch</v>
      </c>
      <c r="AQ465" s="18"/>
      <c r="AR465" s="18"/>
    </row>
    <row r="466" spans="1:44" x14ac:dyDescent="0.25">
      <c r="A466" s="43">
        <v>45527</v>
      </c>
      <c r="B466" s="17">
        <v>1192902076.76</v>
      </c>
      <c r="C466" s="17">
        <v>0</v>
      </c>
      <c r="D466" s="18"/>
      <c r="E466" s="19">
        <f t="shared" si="154"/>
        <v>1192902076.76</v>
      </c>
      <c r="F466" s="19">
        <f t="shared" si="155"/>
        <v>1192902076.76</v>
      </c>
      <c r="G466" s="20">
        <f t="shared" si="156"/>
        <v>0</v>
      </c>
      <c r="H466" s="18"/>
      <c r="I466" s="18"/>
      <c r="J466" s="18"/>
      <c r="K466" s="19">
        <f t="shared" si="157"/>
        <v>0</v>
      </c>
      <c r="L466" s="18"/>
      <c r="M466" s="18"/>
      <c r="N466" s="18"/>
      <c r="O466" s="19">
        <f t="shared" si="158"/>
        <v>0</v>
      </c>
      <c r="P466" s="21">
        <f t="shared" si="159"/>
        <v>0</v>
      </c>
      <c r="Q466" s="18"/>
      <c r="R466" s="18"/>
      <c r="S466" s="19">
        <f t="shared" si="160"/>
        <v>0</v>
      </c>
      <c r="T466" s="20">
        <f t="shared" si="161"/>
        <v>0.03</v>
      </c>
      <c r="U466" s="19">
        <f t="shared" si="162"/>
        <v>0</v>
      </c>
      <c r="V466" s="18"/>
      <c r="W466" s="19">
        <f t="shared" si="163"/>
        <v>0</v>
      </c>
      <c r="X466" s="19">
        <f t="shared" si="164"/>
        <v>0</v>
      </c>
      <c r="Y466" s="18"/>
      <c r="Z466" s="18"/>
      <c r="AA466" s="19">
        <f t="shared" si="165"/>
        <v>0</v>
      </c>
      <c r="AB466" s="17">
        <v>0</v>
      </c>
      <c r="AC466" s="18"/>
      <c r="AD466" s="18"/>
      <c r="AE466" s="22">
        <f t="shared" si="166"/>
        <v>0</v>
      </c>
      <c r="AF466" s="23">
        <f t="shared" si="167"/>
        <v>0</v>
      </c>
      <c r="AG466" s="23">
        <f t="shared" si="168"/>
        <v>0</v>
      </c>
      <c r="AH466" s="18"/>
      <c r="AI466" s="24">
        <f t="shared" si="169"/>
        <v>0</v>
      </c>
      <c r="AJ466" s="25">
        <v>0</v>
      </c>
      <c r="AK466" s="24">
        <f t="shared" si="170"/>
        <v>0</v>
      </c>
      <c r="AL466" s="22">
        <f t="shared" si="171"/>
        <v>0</v>
      </c>
      <c r="AM466" s="22">
        <f t="shared" si="172"/>
        <v>0</v>
      </c>
      <c r="AN466" s="22">
        <f t="shared" si="173"/>
        <v>0</v>
      </c>
      <c r="AO466" s="26" t="str">
        <f t="shared" si="174"/>
        <v/>
      </c>
      <c r="AP466" s="26" t="str">
        <f t="shared" si="175"/>
        <v>pre-launch</v>
      </c>
      <c r="AQ466" s="18"/>
      <c r="AR466" s="18"/>
    </row>
    <row r="467" spans="1:44" x14ac:dyDescent="0.25">
      <c r="A467" s="43">
        <v>45528</v>
      </c>
      <c r="B467" s="17">
        <v>920795496.60000002</v>
      </c>
      <c r="C467" s="17">
        <v>0</v>
      </c>
      <c r="D467" s="18"/>
      <c r="E467" s="19">
        <f t="shared" si="154"/>
        <v>920795496.60000002</v>
      </c>
      <c r="F467" s="19">
        <f t="shared" si="155"/>
        <v>920795496.60000002</v>
      </c>
      <c r="G467" s="20">
        <f t="shared" si="156"/>
        <v>0</v>
      </c>
      <c r="H467" s="18"/>
      <c r="I467" s="18"/>
      <c r="J467" s="18"/>
      <c r="K467" s="19">
        <f t="shared" si="157"/>
        <v>0</v>
      </c>
      <c r="L467" s="18"/>
      <c r="M467" s="18"/>
      <c r="N467" s="18"/>
      <c r="O467" s="19">
        <f t="shared" si="158"/>
        <v>0</v>
      </c>
      <c r="P467" s="21">
        <f t="shared" si="159"/>
        <v>0</v>
      </c>
      <c r="Q467" s="18"/>
      <c r="R467" s="18"/>
      <c r="S467" s="19">
        <f t="shared" si="160"/>
        <v>0</v>
      </c>
      <c r="T467" s="20">
        <f t="shared" si="161"/>
        <v>0.03</v>
      </c>
      <c r="U467" s="19">
        <f t="shared" si="162"/>
        <v>0</v>
      </c>
      <c r="V467" s="18"/>
      <c r="W467" s="19">
        <f t="shared" si="163"/>
        <v>0</v>
      </c>
      <c r="X467" s="19">
        <f t="shared" si="164"/>
        <v>0</v>
      </c>
      <c r="Y467" s="18"/>
      <c r="Z467" s="18"/>
      <c r="AA467" s="19">
        <f t="shared" si="165"/>
        <v>0</v>
      </c>
      <c r="AB467" s="17">
        <v>0</v>
      </c>
      <c r="AC467" s="18"/>
      <c r="AD467" s="18"/>
      <c r="AE467" s="22">
        <f t="shared" si="166"/>
        <v>0</v>
      </c>
      <c r="AF467" s="23">
        <f t="shared" si="167"/>
        <v>0</v>
      </c>
      <c r="AG467" s="23">
        <f t="shared" si="168"/>
        <v>0</v>
      </c>
      <c r="AH467" s="18"/>
      <c r="AI467" s="24">
        <f t="shared" si="169"/>
        <v>0</v>
      </c>
      <c r="AJ467" s="25">
        <v>0</v>
      </c>
      <c r="AK467" s="24">
        <f t="shared" si="170"/>
        <v>0</v>
      </c>
      <c r="AL467" s="22">
        <f t="shared" si="171"/>
        <v>0</v>
      </c>
      <c r="AM467" s="22">
        <f t="shared" si="172"/>
        <v>0</v>
      </c>
      <c r="AN467" s="22">
        <f t="shared" si="173"/>
        <v>0</v>
      </c>
      <c r="AO467" s="26" t="str">
        <f t="shared" si="174"/>
        <v/>
      </c>
      <c r="AP467" s="26" t="str">
        <f t="shared" si="175"/>
        <v>pre-launch</v>
      </c>
      <c r="AQ467" s="18"/>
      <c r="AR467" s="18"/>
    </row>
    <row r="468" spans="1:44" x14ac:dyDescent="0.25">
      <c r="A468" s="43">
        <v>45529</v>
      </c>
      <c r="B468" s="17">
        <v>693388787</v>
      </c>
      <c r="C468" s="17">
        <v>0</v>
      </c>
      <c r="D468" s="18"/>
      <c r="E468" s="19">
        <f t="shared" si="154"/>
        <v>693388787</v>
      </c>
      <c r="F468" s="19">
        <f t="shared" si="155"/>
        <v>693388787</v>
      </c>
      <c r="G468" s="20">
        <f t="shared" si="156"/>
        <v>0</v>
      </c>
      <c r="H468" s="18"/>
      <c r="I468" s="18"/>
      <c r="J468" s="18"/>
      <c r="K468" s="19">
        <f t="shared" si="157"/>
        <v>0</v>
      </c>
      <c r="L468" s="18"/>
      <c r="M468" s="18"/>
      <c r="N468" s="18"/>
      <c r="O468" s="19">
        <f t="shared" si="158"/>
        <v>0</v>
      </c>
      <c r="P468" s="21">
        <f t="shared" si="159"/>
        <v>0</v>
      </c>
      <c r="Q468" s="18"/>
      <c r="R468" s="18"/>
      <c r="S468" s="19">
        <f t="shared" si="160"/>
        <v>0</v>
      </c>
      <c r="T468" s="20">
        <f t="shared" si="161"/>
        <v>0.03</v>
      </c>
      <c r="U468" s="19">
        <f t="shared" si="162"/>
        <v>0</v>
      </c>
      <c r="V468" s="18"/>
      <c r="W468" s="19">
        <f t="shared" si="163"/>
        <v>0</v>
      </c>
      <c r="X468" s="19">
        <f t="shared" si="164"/>
        <v>0</v>
      </c>
      <c r="Y468" s="18"/>
      <c r="Z468" s="18"/>
      <c r="AA468" s="19">
        <f t="shared" si="165"/>
        <v>0</v>
      </c>
      <c r="AB468" s="17">
        <v>0</v>
      </c>
      <c r="AC468" s="18"/>
      <c r="AD468" s="18"/>
      <c r="AE468" s="22">
        <f t="shared" si="166"/>
        <v>0</v>
      </c>
      <c r="AF468" s="23">
        <f t="shared" si="167"/>
        <v>0</v>
      </c>
      <c r="AG468" s="23">
        <f t="shared" si="168"/>
        <v>0</v>
      </c>
      <c r="AH468" s="18"/>
      <c r="AI468" s="24">
        <f t="shared" si="169"/>
        <v>0</v>
      </c>
      <c r="AJ468" s="25">
        <v>0</v>
      </c>
      <c r="AK468" s="24">
        <f t="shared" si="170"/>
        <v>0</v>
      </c>
      <c r="AL468" s="22">
        <f t="shared" si="171"/>
        <v>0</v>
      </c>
      <c r="AM468" s="22">
        <f t="shared" si="172"/>
        <v>0</v>
      </c>
      <c r="AN468" s="22">
        <f t="shared" si="173"/>
        <v>0</v>
      </c>
      <c r="AO468" s="26" t="str">
        <f t="shared" si="174"/>
        <v/>
      </c>
      <c r="AP468" s="26" t="str">
        <f t="shared" si="175"/>
        <v>pre-launch</v>
      </c>
      <c r="AQ468" s="18"/>
      <c r="AR468" s="18"/>
    </row>
    <row r="469" spans="1:44" x14ac:dyDescent="0.25">
      <c r="A469" s="43">
        <v>45530</v>
      </c>
      <c r="B469" s="17">
        <v>1201260824.6600001</v>
      </c>
      <c r="C469" s="17">
        <v>0</v>
      </c>
      <c r="D469" s="18"/>
      <c r="E469" s="19">
        <f t="shared" si="154"/>
        <v>1201260824.6600001</v>
      </c>
      <c r="F469" s="19">
        <f t="shared" si="155"/>
        <v>1201260824.6600001</v>
      </c>
      <c r="G469" s="20">
        <f t="shared" si="156"/>
        <v>0</v>
      </c>
      <c r="H469" s="18"/>
      <c r="I469" s="18"/>
      <c r="J469" s="18"/>
      <c r="K469" s="19">
        <f t="shared" si="157"/>
        <v>0</v>
      </c>
      <c r="L469" s="18"/>
      <c r="M469" s="18"/>
      <c r="N469" s="18"/>
      <c r="O469" s="19">
        <f t="shared" si="158"/>
        <v>0</v>
      </c>
      <c r="P469" s="21">
        <f t="shared" si="159"/>
        <v>0</v>
      </c>
      <c r="Q469" s="18"/>
      <c r="R469" s="18"/>
      <c r="S469" s="19">
        <f t="shared" si="160"/>
        <v>0</v>
      </c>
      <c r="T469" s="20">
        <f t="shared" si="161"/>
        <v>0.03</v>
      </c>
      <c r="U469" s="19">
        <f t="shared" si="162"/>
        <v>0</v>
      </c>
      <c r="V469" s="18"/>
      <c r="W469" s="19">
        <f t="shared" si="163"/>
        <v>0</v>
      </c>
      <c r="X469" s="19">
        <f t="shared" si="164"/>
        <v>0</v>
      </c>
      <c r="Y469" s="18"/>
      <c r="Z469" s="18"/>
      <c r="AA469" s="19">
        <f t="shared" si="165"/>
        <v>0</v>
      </c>
      <c r="AB469" s="17">
        <v>0</v>
      </c>
      <c r="AC469" s="18"/>
      <c r="AD469" s="18"/>
      <c r="AE469" s="22">
        <f t="shared" si="166"/>
        <v>0</v>
      </c>
      <c r="AF469" s="23">
        <f t="shared" si="167"/>
        <v>0</v>
      </c>
      <c r="AG469" s="23">
        <f t="shared" si="168"/>
        <v>0</v>
      </c>
      <c r="AH469" s="18"/>
      <c r="AI469" s="24">
        <f t="shared" si="169"/>
        <v>0</v>
      </c>
      <c r="AJ469" s="25">
        <v>0</v>
      </c>
      <c r="AK469" s="24">
        <f t="shared" si="170"/>
        <v>0</v>
      </c>
      <c r="AL469" s="22">
        <f t="shared" si="171"/>
        <v>0</v>
      </c>
      <c r="AM469" s="22">
        <f t="shared" si="172"/>
        <v>0</v>
      </c>
      <c r="AN469" s="22">
        <f t="shared" si="173"/>
        <v>0</v>
      </c>
      <c r="AO469" s="26" t="str">
        <f t="shared" si="174"/>
        <v/>
      </c>
      <c r="AP469" s="26" t="str">
        <f t="shared" si="175"/>
        <v>pre-launch</v>
      </c>
      <c r="AQ469" s="18"/>
      <c r="AR469" s="18"/>
    </row>
    <row r="470" spans="1:44" x14ac:dyDescent="0.25">
      <c r="A470" s="43">
        <v>45531</v>
      </c>
      <c r="B470" s="17">
        <v>1617584020.4200001</v>
      </c>
      <c r="C470" s="17">
        <v>0</v>
      </c>
      <c r="D470" s="18"/>
      <c r="E470" s="19">
        <f t="shared" si="154"/>
        <v>1617584020.4200001</v>
      </c>
      <c r="F470" s="19">
        <f t="shared" si="155"/>
        <v>1617584020.4200001</v>
      </c>
      <c r="G470" s="20">
        <f t="shared" si="156"/>
        <v>0</v>
      </c>
      <c r="H470" s="18"/>
      <c r="I470" s="18"/>
      <c r="J470" s="18"/>
      <c r="K470" s="19">
        <f t="shared" si="157"/>
        <v>0</v>
      </c>
      <c r="L470" s="18"/>
      <c r="M470" s="18"/>
      <c r="N470" s="18"/>
      <c r="O470" s="19">
        <f t="shared" si="158"/>
        <v>0</v>
      </c>
      <c r="P470" s="21">
        <f t="shared" si="159"/>
        <v>0</v>
      </c>
      <c r="Q470" s="18"/>
      <c r="R470" s="18"/>
      <c r="S470" s="19">
        <f t="shared" si="160"/>
        <v>0</v>
      </c>
      <c r="T470" s="20">
        <f t="shared" si="161"/>
        <v>0.03</v>
      </c>
      <c r="U470" s="19">
        <f t="shared" si="162"/>
        <v>0</v>
      </c>
      <c r="V470" s="18"/>
      <c r="W470" s="19">
        <f t="shared" si="163"/>
        <v>0</v>
      </c>
      <c r="X470" s="19">
        <f t="shared" si="164"/>
        <v>0</v>
      </c>
      <c r="Y470" s="18"/>
      <c r="Z470" s="18"/>
      <c r="AA470" s="19">
        <f t="shared" si="165"/>
        <v>0</v>
      </c>
      <c r="AB470" s="17">
        <v>0</v>
      </c>
      <c r="AC470" s="18"/>
      <c r="AD470" s="18"/>
      <c r="AE470" s="22">
        <f t="shared" si="166"/>
        <v>0</v>
      </c>
      <c r="AF470" s="23">
        <f t="shared" si="167"/>
        <v>0</v>
      </c>
      <c r="AG470" s="23">
        <f t="shared" si="168"/>
        <v>0</v>
      </c>
      <c r="AH470" s="18"/>
      <c r="AI470" s="24">
        <f t="shared" si="169"/>
        <v>0</v>
      </c>
      <c r="AJ470" s="25">
        <v>0</v>
      </c>
      <c r="AK470" s="24">
        <f t="shared" si="170"/>
        <v>0</v>
      </c>
      <c r="AL470" s="22">
        <f t="shared" si="171"/>
        <v>0</v>
      </c>
      <c r="AM470" s="22">
        <f t="shared" si="172"/>
        <v>0</v>
      </c>
      <c r="AN470" s="22">
        <f t="shared" si="173"/>
        <v>0</v>
      </c>
      <c r="AO470" s="26" t="str">
        <f t="shared" si="174"/>
        <v/>
      </c>
      <c r="AP470" s="26" t="str">
        <f t="shared" si="175"/>
        <v>pre-launch</v>
      </c>
      <c r="AQ470" s="18"/>
      <c r="AR470" s="18"/>
    </row>
    <row r="471" spans="1:44" x14ac:dyDescent="0.25">
      <c r="A471" s="43">
        <v>45532</v>
      </c>
      <c r="B471" s="17">
        <v>1528607141.23</v>
      </c>
      <c r="C471" s="17">
        <v>0</v>
      </c>
      <c r="D471" s="18"/>
      <c r="E471" s="19">
        <f t="shared" si="154"/>
        <v>1528607141.23</v>
      </c>
      <c r="F471" s="19">
        <f t="shared" si="155"/>
        <v>1528607141.23</v>
      </c>
      <c r="G471" s="20">
        <f t="shared" si="156"/>
        <v>0</v>
      </c>
      <c r="H471" s="18"/>
      <c r="I471" s="18"/>
      <c r="J471" s="18"/>
      <c r="K471" s="19">
        <f t="shared" si="157"/>
        <v>0</v>
      </c>
      <c r="L471" s="18"/>
      <c r="M471" s="18"/>
      <c r="N471" s="18"/>
      <c r="O471" s="19">
        <f t="shared" si="158"/>
        <v>0</v>
      </c>
      <c r="P471" s="21">
        <f t="shared" si="159"/>
        <v>0</v>
      </c>
      <c r="Q471" s="18"/>
      <c r="R471" s="18"/>
      <c r="S471" s="19">
        <f t="shared" si="160"/>
        <v>0</v>
      </c>
      <c r="T471" s="20">
        <f t="shared" si="161"/>
        <v>0.03</v>
      </c>
      <c r="U471" s="19">
        <f t="shared" si="162"/>
        <v>0</v>
      </c>
      <c r="V471" s="18"/>
      <c r="W471" s="19">
        <f t="shared" si="163"/>
        <v>0</v>
      </c>
      <c r="X471" s="19">
        <f t="shared" si="164"/>
        <v>0</v>
      </c>
      <c r="Y471" s="18"/>
      <c r="Z471" s="18"/>
      <c r="AA471" s="19">
        <f t="shared" si="165"/>
        <v>0</v>
      </c>
      <c r="AB471" s="17">
        <v>0</v>
      </c>
      <c r="AC471" s="18"/>
      <c r="AD471" s="18"/>
      <c r="AE471" s="22">
        <f t="shared" si="166"/>
        <v>0</v>
      </c>
      <c r="AF471" s="23">
        <f t="shared" si="167"/>
        <v>0</v>
      </c>
      <c r="AG471" s="23">
        <f t="shared" si="168"/>
        <v>0</v>
      </c>
      <c r="AH471" s="18"/>
      <c r="AI471" s="24">
        <f t="shared" si="169"/>
        <v>0</v>
      </c>
      <c r="AJ471" s="25">
        <v>0</v>
      </c>
      <c r="AK471" s="24">
        <f t="shared" si="170"/>
        <v>0</v>
      </c>
      <c r="AL471" s="22">
        <f t="shared" si="171"/>
        <v>0</v>
      </c>
      <c r="AM471" s="22">
        <f t="shared" si="172"/>
        <v>0</v>
      </c>
      <c r="AN471" s="22">
        <f t="shared" si="173"/>
        <v>0</v>
      </c>
      <c r="AO471" s="26" t="str">
        <f t="shared" si="174"/>
        <v/>
      </c>
      <c r="AP471" s="26" t="str">
        <f t="shared" si="175"/>
        <v>pre-launch</v>
      </c>
      <c r="AQ471" s="18"/>
      <c r="AR471" s="18"/>
    </row>
    <row r="472" spans="1:44" x14ac:dyDescent="0.25">
      <c r="A472" s="43">
        <v>45533</v>
      </c>
      <c r="B472" s="17">
        <v>1079357035.8900001</v>
      </c>
      <c r="C472" s="17">
        <v>0</v>
      </c>
      <c r="D472" s="18"/>
      <c r="E472" s="19">
        <f t="shared" si="154"/>
        <v>1079357035.8900001</v>
      </c>
      <c r="F472" s="19">
        <f t="shared" si="155"/>
        <v>1079357035.8900001</v>
      </c>
      <c r="G472" s="20">
        <f t="shared" si="156"/>
        <v>0</v>
      </c>
      <c r="H472" s="18"/>
      <c r="I472" s="18"/>
      <c r="J472" s="18"/>
      <c r="K472" s="19">
        <f t="shared" si="157"/>
        <v>0</v>
      </c>
      <c r="L472" s="18"/>
      <c r="M472" s="18"/>
      <c r="N472" s="18"/>
      <c r="O472" s="19">
        <f t="shared" si="158"/>
        <v>0</v>
      </c>
      <c r="P472" s="21">
        <f t="shared" si="159"/>
        <v>0</v>
      </c>
      <c r="Q472" s="18"/>
      <c r="R472" s="18"/>
      <c r="S472" s="19">
        <f t="shared" si="160"/>
        <v>0</v>
      </c>
      <c r="T472" s="20">
        <f t="shared" si="161"/>
        <v>0.03</v>
      </c>
      <c r="U472" s="19">
        <f t="shared" si="162"/>
        <v>0</v>
      </c>
      <c r="V472" s="18"/>
      <c r="W472" s="19">
        <f t="shared" si="163"/>
        <v>0</v>
      </c>
      <c r="X472" s="19">
        <f t="shared" si="164"/>
        <v>0</v>
      </c>
      <c r="Y472" s="18"/>
      <c r="Z472" s="18"/>
      <c r="AA472" s="19">
        <f t="shared" si="165"/>
        <v>0</v>
      </c>
      <c r="AB472" s="17">
        <v>0</v>
      </c>
      <c r="AC472" s="18"/>
      <c r="AD472" s="18"/>
      <c r="AE472" s="22">
        <f t="shared" si="166"/>
        <v>0</v>
      </c>
      <c r="AF472" s="23">
        <f t="shared" si="167"/>
        <v>0</v>
      </c>
      <c r="AG472" s="23">
        <f t="shared" si="168"/>
        <v>0</v>
      </c>
      <c r="AH472" s="18"/>
      <c r="AI472" s="24">
        <f t="shared" si="169"/>
        <v>0</v>
      </c>
      <c r="AJ472" s="25">
        <v>0</v>
      </c>
      <c r="AK472" s="24">
        <f t="shared" si="170"/>
        <v>0</v>
      </c>
      <c r="AL472" s="22">
        <f t="shared" si="171"/>
        <v>0</v>
      </c>
      <c r="AM472" s="22">
        <f t="shared" si="172"/>
        <v>0</v>
      </c>
      <c r="AN472" s="22">
        <f t="shared" si="173"/>
        <v>0</v>
      </c>
      <c r="AO472" s="26" t="str">
        <f t="shared" si="174"/>
        <v/>
      </c>
      <c r="AP472" s="26" t="str">
        <f t="shared" si="175"/>
        <v>pre-launch</v>
      </c>
      <c r="AQ472" s="18"/>
      <c r="AR472" s="18"/>
    </row>
    <row r="473" spans="1:44" x14ac:dyDescent="0.25">
      <c r="A473" s="43">
        <v>45534</v>
      </c>
      <c r="B473" s="17">
        <v>1052016850.23</v>
      </c>
      <c r="C473" s="17">
        <v>0</v>
      </c>
      <c r="D473" s="18"/>
      <c r="E473" s="19">
        <f t="shared" si="154"/>
        <v>1052016850.23</v>
      </c>
      <c r="F473" s="19">
        <f t="shared" si="155"/>
        <v>1052016850.23</v>
      </c>
      <c r="G473" s="20">
        <f t="shared" si="156"/>
        <v>0</v>
      </c>
      <c r="H473" s="18"/>
      <c r="I473" s="18"/>
      <c r="J473" s="18"/>
      <c r="K473" s="19">
        <f t="shared" si="157"/>
        <v>0</v>
      </c>
      <c r="L473" s="18"/>
      <c r="M473" s="18"/>
      <c r="N473" s="18"/>
      <c r="O473" s="19">
        <f t="shared" si="158"/>
        <v>0</v>
      </c>
      <c r="P473" s="21">
        <f t="shared" si="159"/>
        <v>0</v>
      </c>
      <c r="Q473" s="18"/>
      <c r="R473" s="18"/>
      <c r="S473" s="19">
        <f t="shared" si="160"/>
        <v>0</v>
      </c>
      <c r="T473" s="20">
        <f t="shared" si="161"/>
        <v>0.03</v>
      </c>
      <c r="U473" s="19">
        <f t="shared" si="162"/>
        <v>0</v>
      </c>
      <c r="V473" s="18"/>
      <c r="W473" s="19">
        <f t="shared" si="163"/>
        <v>0</v>
      </c>
      <c r="X473" s="19">
        <f t="shared" si="164"/>
        <v>0</v>
      </c>
      <c r="Y473" s="18"/>
      <c r="Z473" s="18"/>
      <c r="AA473" s="19">
        <f t="shared" si="165"/>
        <v>0</v>
      </c>
      <c r="AB473" s="17">
        <v>0</v>
      </c>
      <c r="AC473" s="18"/>
      <c r="AD473" s="18"/>
      <c r="AE473" s="22">
        <f t="shared" si="166"/>
        <v>0</v>
      </c>
      <c r="AF473" s="23">
        <f t="shared" si="167"/>
        <v>0</v>
      </c>
      <c r="AG473" s="23">
        <f t="shared" si="168"/>
        <v>0</v>
      </c>
      <c r="AH473" s="18"/>
      <c r="AI473" s="24">
        <f t="shared" si="169"/>
        <v>0</v>
      </c>
      <c r="AJ473" s="25">
        <v>0</v>
      </c>
      <c r="AK473" s="24">
        <f t="shared" si="170"/>
        <v>0</v>
      </c>
      <c r="AL473" s="22">
        <f t="shared" si="171"/>
        <v>0</v>
      </c>
      <c r="AM473" s="22">
        <f t="shared" si="172"/>
        <v>0</v>
      </c>
      <c r="AN473" s="22">
        <f t="shared" si="173"/>
        <v>0</v>
      </c>
      <c r="AO473" s="26" t="str">
        <f t="shared" si="174"/>
        <v/>
      </c>
      <c r="AP473" s="26" t="str">
        <f t="shared" si="175"/>
        <v>pre-launch</v>
      </c>
      <c r="AQ473" s="18"/>
      <c r="AR473" s="18"/>
    </row>
    <row r="474" spans="1:44" x14ac:dyDescent="0.25">
      <c r="A474" s="43">
        <v>45535</v>
      </c>
      <c r="B474" s="17">
        <v>319840012.79000002</v>
      </c>
      <c r="C474" s="17">
        <v>0</v>
      </c>
      <c r="D474" s="18"/>
      <c r="E474" s="19">
        <f t="shared" si="154"/>
        <v>319840012.79000002</v>
      </c>
      <c r="F474" s="19">
        <f t="shared" si="155"/>
        <v>319840012.79000002</v>
      </c>
      <c r="G474" s="20">
        <f t="shared" si="156"/>
        <v>0</v>
      </c>
      <c r="H474" s="18"/>
      <c r="I474" s="18"/>
      <c r="J474" s="18"/>
      <c r="K474" s="19">
        <f t="shared" si="157"/>
        <v>0</v>
      </c>
      <c r="L474" s="18"/>
      <c r="M474" s="18"/>
      <c r="N474" s="18"/>
      <c r="O474" s="19">
        <f t="shared" si="158"/>
        <v>0</v>
      </c>
      <c r="P474" s="21">
        <f t="shared" si="159"/>
        <v>0</v>
      </c>
      <c r="Q474" s="18"/>
      <c r="R474" s="18"/>
      <c r="S474" s="19">
        <f t="shared" si="160"/>
        <v>0</v>
      </c>
      <c r="T474" s="20">
        <f t="shared" si="161"/>
        <v>0.03</v>
      </c>
      <c r="U474" s="19">
        <f t="shared" si="162"/>
        <v>0</v>
      </c>
      <c r="V474" s="18"/>
      <c r="W474" s="19">
        <f t="shared" si="163"/>
        <v>0</v>
      </c>
      <c r="X474" s="19">
        <f t="shared" si="164"/>
        <v>0</v>
      </c>
      <c r="Y474" s="18"/>
      <c r="Z474" s="18"/>
      <c r="AA474" s="19">
        <f t="shared" si="165"/>
        <v>0</v>
      </c>
      <c r="AB474" s="17">
        <v>0</v>
      </c>
      <c r="AC474" s="18"/>
      <c r="AD474" s="18"/>
      <c r="AE474" s="22">
        <f t="shared" si="166"/>
        <v>0</v>
      </c>
      <c r="AF474" s="23">
        <f t="shared" si="167"/>
        <v>0</v>
      </c>
      <c r="AG474" s="23">
        <f t="shared" si="168"/>
        <v>0</v>
      </c>
      <c r="AH474" s="18"/>
      <c r="AI474" s="24">
        <f t="shared" si="169"/>
        <v>0</v>
      </c>
      <c r="AJ474" s="25">
        <v>0</v>
      </c>
      <c r="AK474" s="24">
        <f t="shared" si="170"/>
        <v>0</v>
      </c>
      <c r="AL474" s="22">
        <f t="shared" si="171"/>
        <v>0</v>
      </c>
      <c r="AM474" s="22">
        <f t="shared" si="172"/>
        <v>0</v>
      </c>
      <c r="AN474" s="22">
        <f t="shared" si="173"/>
        <v>0</v>
      </c>
      <c r="AO474" s="26" t="str">
        <f t="shared" si="174"/>
        <v/>
      </c>
      <c r="AP474" s="26" t="str">
        <f t="shared" si="175"/>
        <v>pre-launch</v>
      </c>
      <c r="AQ474" s="18"/>
      <c r="AR474" s="18"/>
    </row>
    <row r="475" spans="1:44" x14ac:dyDescent="0.25">
      <c r="A475" s="43">
        <v>45536</v>
      </c>
      <c r="B475" s="17">
        <v>578039498.21000004</v>
      </c>
      <c r="C475" s="17">
        <v>0</v>
      </c>
      <c r="D475" s="18"/>
      <c r="E475" s="19">
        <f t="shared" si="154"/>
        <v>578039498.21000004</v>
      </c>
      <c r="F475" s="19">
        <f t="shared" si="155"/>
        <v>578039498.21000004</v>
      </c>
      <c r="G475" s="20">
        <f t="shared" si="156"/>
        <v>0</v>
      </c>
      <c r="H475" s="18"/>
      <c r="I475" s="18"/>
      <c r="J475" s="18"/>
      <c r="K475" s="19">
        <f t="shared" si="157"/>
        <v>0</v>
      </c>
      <c r="L475" s="18"/>
      <c r="M475" s="18"/>
      <c r="N475" s="18"/>
      <c r="O475" s="19">
        <f t="shared" si="158"/>
        <v>0</v>
      </c>
      <c r="P475" s="21">
        <f t="shared" si="159"/>
        <v>0</v>
      </c>
      <c r="Q475" s="18"/>
      <c r="R475" s="18"/>
      <c r="S475" s="19">
        <f t="shared" si="160"/>
        <v>0</v>
      </c>
      <c r="T475" s="20">
        <f t="shared" si="161"/>
        <v>0.03</v>
      </c>
      <c r="U475" s="19">
        <f t="shared" si="162"/>
        <v>0</v>
      </c>
      <c r="V475" s="18"/>
      <c r="W475" s="19">
        <f t="shared" si="163"/>
        <v>0</v>
      </c>
      <c r="X475" s="19">
        <f t="shared" si="164"/>
        <v>0</v>
      </c>
      <c r="Y475" s="18"/>
      <c r="Z475" s="18"/>
      <c r="AA475" s="19">
        <f t="shared" si="165"/>
        <v>0</v>
      </c>
      <c r="AB475" s="17">
        <v>0</v>
      </c>
      <c r="AC475" s="18"/>
      <c r="AD475" s="18"/>
      <c r="AE475" s="22">
        <f t="shared" si="166"/>
        <v>0</v>
      </c>
      <c r="AF475" s="23">
        <f t="shared" si="167"/>
        <v>0</v>
      </c>
      <c r="AG475" s="23">
        <f t="shared" si="168"/>
        <v>0</v>
      </c>
      <c r="AH475" s="18"/>
      <c r="AI475" s="24">
        <f t="shared" si="169"/>
        <v>0</v>
      </c>
      <c r="AJ475" s="25">
        <v>0</v>
      </c>
      <c r="AK475" s="24">
        <f t="shared" si="170"/>
        <v>0</v>
      </c>
      <c r="AL475" s="22">
        <f t="shared" si="171"/>
        <v>0</v>
      </c>
      <c r="AM475" s="22">
        <f t="shared" si="172"/>
        <v>0</v>
      </c>
      <c r="AN475" s="22">
        <f t="shared" si="173"/>
        <v>0</v>
      </c>
      <c r="AO475" s="26" t="str">
        <f t="shared" si="174"/>
        <v/>
      </c>
      <c r="AP475" s="26" t="str">
        <f t="shared" si="175"/>
        <v>pre-launch</v>
      </c>
      <c r="AQ475" s="18"/>
      <c r="AR475" s="18"/>
    </row>
    <row r="476" spans="1:44" x14ac:dyDescent="0.25">
      <c r="A476" s="43">
        <v>45537</v>
      </c>
      <c r="B476" s="17">
        <v>846683237.40999997</v>
      </c>
      <c r="C476" s="17">
        <v>0</v>
      </c>
      <c r="D476" s="18"/>
      <c r="E476" s="19">
        <f t="shared" si="154"/>
        <v>846683237.40999997</v>
      </c>
      <c r="F476" s="19">
        <f t="shared" si="155"/>
        <v>846683237.40999997</v>
      </c>
      <c r="G476" s="20">
        <f t="shared" si="156"/>
        <v>0</v>
      </c>
      <c r="H476" s="18"/>
      <c r="I476" s="18"/>
      <c r="J476" s="18"/>
      <c r="K476" s="19">
        <f t="shared" si="157"/>
        <v>0</v>
      </c>
      <c r="L476" s="18"/>
      <c r="M476" s="18"/>
      <c r="N476" s="18"/>
      <c r="O476" s="19">
        <f t="shared" si="158"/>
        <v>0</v>
      </c>
      <c r="P476" s="21">
        <f t="shared" si="159"/>
        <v>0</v>
      </c>
      <c r="Q476" s="18"/>
      <c r="R476" s="18"/>
      <c r="S476" s="19">
        <f t="shared" si="160"/>
        <v>0</v>
      </c>
      <c r="T476" s="20">
        <f t="shared" si="161"/>
        <v>0.03</v>
      </c>
      <c r="U476" s="19">
        <f t="shared" si="162"/>
        <v>0</v>
      </c>
      <c r="V476" s="18"/>
      <c r="W476" s="19">
        <f t="shared" si="163"/>
        <v>0</v>
      </c>
      <c r="X476" s="19">
        <f t="shared" si="164"/>
        <v>0</v>
      </c>
      <c r="Y476" s="18"/>
      <c r="Z476" s="18"/>
      <c r="AA476" s="19">
        <f t="shared" si="165"/>
        <v>0</v>
      </c>
      <c r="AB476" s="17">
        <v>0</v>
      </c>
      <c r="AC476" s="18"/>
      <c r="AD476" s="18"/>
      <c r="AE476" s="22">
        <f t="shared" si="166"/>
        <v>0</v>
      </c>
      <c r="AF476" s="23">
        <f t="shared" si="167"/>
        <v>0</v>
      </c>
      <c r="AG476" s="23">
        <f t="shared" si="168"/>
        <v>0</v>
      </c>
      <c r="AH476" s="18"/>
      <c r="AI476" s="24">
        <f t="shared" si="169"/>
        <v>0</v>
      </c>
      <c r="AJ476" s="25">
        <v>0</v>
      </c>
      <c r="AK476" s="24">
        <f t="shared" si="170"/>
        <v>0</v>
      </c>
      <c r="AL476" s="22">
        <f t="shared" si="171"/>
        <v>0</v>
      </c>
      <c r="AM476" s="22">
        <f t="shared" si="172"/>
        <v>0</v>
      </c>
      <c r="AN476" s="22">
        <f t="shared" si="173"/>
        <v>0</v>
      </c>
      <c r="AO476" s="26" t="str">
        <f t="shared" si="174"/>
        <v/>
      </c>
      <c r="AP476" s="26" t="str">
        <f t="shared" si="175"/>
        <v>pre-launch</v>
      </c>
      <c r="AQ476" s="18"/>
      <c r="AR476" s="18"/>
    </row>
    <row r="477" spans="1:44" x14ac:dyDescent="0.25">
      <c r="A477" s="43">
        <v>45538</v>
      </c>
      <c r="B477" s="17">
        <v>854238540.10000002</v>
      </c>
      <c r="C477" s="17">
        <v>0</v>
      </c>
      <c r="D477" s="18"/>
      <c r="E477" s="19">
        <f t="shared" si="154"/>
        <v>854238540.10000002</v>
      </c>
      <c r="F477" s="19">
        <f t="shared" si="155"/>
        <v>854238540.10000002</v>
      </c>
      <c r="G477" s="20">
        <f t="shared" si="156"/>
        <v>0</v>
      </c>
      <c r="H477" s="18"/>
      <c r="I477" s="18"/>
      <c r="J477" s="18"/>
      <c r="K477" s="19">
        <f t="shared" si="157"/>
        <v>0</v>
      </c>
      <c r="L477" s="18"/>
      <c r="M477" s="18"/>
      <c r="N477" s="18"/>
      <c r="O477" s="19">
        <f t="shared" si="158"/>
        <v>0</v>
      </c>
      <c r="P477" s="21">
        <f t="shared" si="159"/>
        <v>0</v>
      </c>
      <c r="Q477" s="18"/>
      <c r="R477" s="18"/>
      <c r="S477" s="19">
        <f t="shared" si="160"/>
        <v>0</v>
      </c>
      <c r="T477" s="20">
        <f t="shared" si="161"/>
        <v>0.03</v>
      </c>
      <c r="U477" s="19">
        <f t="shared" si="162"/>
        <v>0</v>
      </c>
      <c r="V477" s="18"/>
      <c r="W477" s="19">
        <f t="shared" si="163"/>
        <v>0</v>
      </c>
      <c r="X477" s="19">
        <f t="shared" si="164"/>
        <v>0</v>
      </c>
      <c r="Y477" s="18"/>
      <c r="Z477" s="18"/>
      <c r="AA477" s="19">
        <f t="shared" si="165"/>
        <v>0</v>
      </c>
      <c r="AB477" s="17">
        <v>0</v>
      </c>
      <c r="AC477" s="18"/>
      <c r="AD477" s="18"/>
      <c r="AE477" s="22">
        <f t="shared" si="166"/>
        <v>0</v>
      </c>
      <c r="AF477" s="23">
        <f t="shared" si="167"/>
        <v>0</v>
      </c>
      <c r="AG477" s="23">
        <f t="shared" si="168"/>
        <v>0</v>
      </c>
      <c r="AH477" s="18"/>
      <c r="AI477" s="24">
        <f t="shared" si="169"/>
        <v>0</v>
      </c>
      <c r="AJ477" s="25">
        <v>0</v>
      </c>
      <c r="AK477" s="24">
        <f t="shared" si="170"/>
        <v>0</v>
      </c>
      <c r="AL477" s="22">
        <f t="shared" si="171"/>
        <v>0</v>
      </c>
      <c r="AM477" s="22">
        <f t="shared" si="172"/>
        <v>0</v>
      </c>
      <c r="AN477" s="22">
        <f t="shared" si="173"/>
        <v>0</v>
      </c>
      <c r="AO477" s="26" t="str">
        <f t="shared" si="174"/>
        <v/>
      </c>
      <c r="AP477" s="26" t="str">
        <f t="shared" si="175"/>
        <v>pre-launch</v>
      </c>
      <c r="AQ477" s="18"/>
      <c r="AR477" s="18"/>
    </row>
    <row r="478" spans="1:44" x14ac:dyDescent="0.25">
      <c r="A478" s="43">
        <v>45539</v>
      </c>
      <c r="B478" s="17">
        <v>1275862149.8399999</v>
      </c>
      <c r="C478" s="17">
        <v>0</v>
      </c>
      <c r="D478" s="18"/>
      <c r="E478" s="19">
        <f t="shared" si="154"/>
        <v>1275862149.8399999</v>
      </c>
      <c r="F478" s="19">
        <f t="shared" si="155"/>
        <v>1275862149.8399999</v>
      </c>
      <c r="G478" s="20">
        <f t="shared" si="156"/>
        <v>0</v>
      </c>
      <c r="H478" s="18"/>
      <c r="I478" s="18"/>
      <c r="J478" s="18"/>
      <c r="K478" s="19">
        <f t="shared" si="157"/>
        <v>0</v>
      </c>
      <c r="L478" s="18"/>
      <c r="M478" s="18"/>
      <c r="N478" s="18"/>
      <c r="O478" s="19">
        <f t="shared" si="158"/>
        <v>0</v>
      </c>
      <c r="P478" s="21">
        <f t="shared" si="159"/>
        <v>0</v>
      </c>
      <c r="Q478" s="18"/>
      <c r="R478" s="18"/>
      <c r="S478" s="19">
        <f t="shared" si="160"/>
        <v>0</v>
      </c>
      <c r="T478" s="20">
        <f t="shared" si="161"/>
        <v>0.03</v>
      </c>
      <c r="U478" s="19">
        <f t="shared" si="162"/>
        <v>0</v>
      </c>
      <c r="V478" s="18"/>
      <c r="W478" s="19">
        <f t="shared" si="163"/>
        <v>0</v>
      </c>
      <c r="X478" s="19">
        <f t="shared" si="164"/>
        <v>0</v>
      </c>
      <c r="Y478" s="18"/>
      <c r="Z478" s="18"/>
      <c r="AA478" s="19">
        <f t="shared" si="165"/>
        <v>0</v>
      </c>
      <c r="AB478" s="17">
        <v>0</v>
      </c>
      <c r="AC478" s="18"/>
      <c r="AD478" s="18"/>
      <c r="AE478" s="22">
        <f t="shared" si="166"/>
        <v>0</v>
      </c>
      <c r="AF478" s="23">
        <f t="shared" si="167"/>
        <v>0</v>
      </c>
      <c r="AG478" s="23">
        <f t="shared" si="168"/>
        <v>0</v>
      </c>
      <c r="AH478" s="18"/>
      <c r="AI478" s="24">
        <f t="shared" si="169"/>
        <v>0</v>
      </c>
      <c r="AJ478" s="25">
        <v>0</v>
      </c>
      <c r="AK478" s="24">
        <f t="shared" si="170"/>
        <v>0</v>
      </c>
      <c r="AL478" s="22">
        <f t="shared" si="171"/>
        <v>0</v>
      </c>
      <c r="AM478" s="22">
        <f t="shared" si="172"/>
        <v>0</v>
      </c>
      <c r="AN478" s="22">
        <f t="shared" si="173"/>
        <v>0</v>
      </c>
      <c r="AO478" s="26" t="str">
        <f t="shared" si="174"/>
        <v/>
      </c>
      <c r="AP478" s="26" t="str">
        <f t="shared" si="175"/>
        <v>pre-launch</v>
      </c>
      <c r="AQ478" s="18"/>
      <c r="AR478" s="18"/>
    </row>
    <row r="479" spans="1:44" x14ac:dyDescent="0.25">
      <c r="A479" s="43">
        <v>45540</v>
      </c>
      <c r="B479" s="17">
        <v>878894865.76999998</v>
      </c>
      <c r="C479" s="17">
        <v>0</v>
      </c>
      <c r="D479" s="18"/>
      <c r="E479" s="19">
        <f t="shared" si="154"/>
        <v>878894865.76999998</v>
      </c>
      <c r="F479" s="19">
        <f t="shared" si="155"/>
        <v>878894865.76999998</v>
      </c>
      <c r="G479" s="20">
        <f t="shared" si="156"/>
        <v>0</v>
      </c>
      <c r="H479" s="18"/>
      <c r="I479" s="18"/>
      <c r="J479" s="18"/>
      <c r="K479" s="19">
        <f t="shared" si="157"/>
        <v>0</v>
      </c>
      <c r="L479" s="18"/>
      <c r="M479" s="18"/>
      <c r="N479" s="18"/>
      <c r="O479" s="19">
        <f t="shared" si="158"/>
        <v>0</v>
      </c>
      <c r="P479" s="21">
        <f t="shared" si="159"/>
        <v>0</v>
      </c>
      <c r="Q479" s="18"/>
      <c r="R479" s="18"/>
      <c r="S479" s="19">
        <f t="shared" si="160"/>
        <v>0</v>
      </c>
      <c r="T479" s="20">
        <f t="shared" si="161"/>
        <v>0.03</v>
      </c>
      <c r="U479" s="19">
        <f t="shared" si="162"/>
        <v>0</v>
      </c>
      <c r="V479" s="18"/>
      <c r="W479" s="19">
        <f t="shared" si="163"/>
        <v>0</v>
      </c>
      <c r="X479" s="19">
        <f t="shared" si="164"/>
        <v>0</v>
      </c>
      <c r="Y479" s="18"/>
      <c r="Z479" s="18"/>
      <c r="AA479" s="19">
        <f t="shared" si="165"/>
        <v>0</v>
      </c>
      <c r="AB479" s="17">
        <v>0</v>
      </c>
      <c r="AC479" s="18"/>
      <c r="AD479" s="18"/>
      <c r="AE479" s="22">
        <f t="shared" si="166"/>
        <v>0</v>
      </c>
      <c r="AF479" s="23">
        <f t="shared" si="167"/>
        <v>0</v>
      </c>
      <c r="AG479" s="23">
        <f t="shared" si="168"/>
        <v>0</v>
      </c>
      <c r="AH479" s="18"/>
      <c r="AI479" s="24">
        <f t="shared" si="169"/>
        <v>0</v>
      </c>
      <c r="AJ479" s="25">
        <v>0</v>
      </c>
      <c r="AK479" s="24">
        <f t="shared" si="170"/>
        <v>0</v>
      </c>
      <c r="AL479" s="22">
        <f t="shared" si="171"/>
        <v>0</v>
      </c>
      <c r="AM479" s="22">
        <f t="shared" si="172"/>
        <v>0</v>
      </c>
      <c r="AN479" s="22">
        <f t="shared" si="173"/>
        <v>0</v>
      </c>
      <c r="AO479" s="26" t="str">
        <f t="shared" si="174"/>
        <v/>
      </c>
      <c r="AP479" s="26" t="str">
        <f t="shared" si="175"/>
        <v>pre-launch</v>
      </c>
      <c r="AQ479" s="18"/>
      <c r="AR479" s="18"/>
    </row>
    <row r="480" spans="1:44" x14ac:dyDescent="0.25">
      <c r="A480" s="43">
        <v>45541</v>
      </c>
      <c r="B480" s="17">
        <v>1433256773.8099999</v>
      </c>
      <c r="C480" s="17">
        <v>0</v>
      </c>
      <c r="D480" s="18"/>
      <c r="E480" s="19">
        <f t="shared" si="154"/>
        <v>1433256773.8099999</v>
      </c>
      <c r="F480" s="19">
        <f t="shared" si="155"/>
        <v>1433256773.8099999</v>
      </c>
      <c r="G480" s="20">
        <f t="shared" si="156"/>
        <v>0</v>
      </c>
      <c r="H480" s="18"/>
      <c r="I480" s="18"/>
      <c r="J480" s="18"/>
      <c r="K480" s="19">
        <f t="shared" si="157"/>
        <v>0</v>
      </c>
      <c r="L480" s="18"/>
      <c r="M480" s="18"/>
      <c r="N480" s="18"/>
      <c r="O480" s="19">
        <f t="shared" si="158"/>
        <v>0</v>
      </c>
      <c r="P480" s="21">
        <f t="shared" si="159"/>
        <v>0</v>
      </c>
      <c r="Q480" s="18"/>
      <c r="R480" s="18"/>
      <c r="S480" s="19">
        <f t="shared" si="160"/>
        <v>0</v>
      </c>
      <c r="T480" s="20">
        <f t="shared" si="161"/>
        <v>0.03</v>
      </c>
      <c r="U480" s="19">
        <f t="shared" si="162"/>
        <v>0</v>
      </c>
      <c r="V480" s="18"/>
      <c r="W480" s="19">
        <f t="shared" si="163"/>
        <v>0</v>
      </c>
      <c r="X480" s="19">
        <f t="shared" si="164"/>
        <v>0</v>
      </c>
      <c r="Y480" s="18"/>
      <c r="Z480" s="18"/>
      <c r="AA480" s="19">
        <f t="shared" si="165"/>
        <v>0</v>
      </c>
      <c r="AB480" s="17">
        <v>0</v>
      </c>
      <c r="AC480" s="18"/>
      <c r="AD480" s="18"/>
      <c r="AE480" s="22">
        <f t="shared" si="166"/>
        <v>0</v>
      </c>
      <c r="AF480" s="23">
        <f t="shared" si="167"/>
        <v>0</v>
      </c>
      <c r="AG480" s="23">
        <f t="shared" si="168"/>
        <v>0</v>
      </c>
      <c r="AH480" s="18"/>
      <c r="AI480" s="24">
        <f t="shared" si="169"/>
        <v>0</v>
      </c>
      <c r="AJ480" s="25">
        <v>0</v>
      </c>
      <c r="AK480" s="24">
        <f t="shared" si="170"/>
        <v>0</v>
      </c>
      <c r="AL480" s="22">
        <f t="shared" si="171"/>
        <v>0</v>
      </c>
      <c r="AM480" s="22">
        <f t="shared" si="172"/>
        <v>0</v>
      </c>
      <c r="AN480" s="22">
        <f t="shared" si="173"/>
        <v>0</v>
      </c>
      <c r="AO480" s="26" t="str">
        <f t="shared" si="174"/>
        <v/>
      </c>
      <c r="AP480" s="26" t="str">
        <f t="shared" si="175"/>
        <v>pre-launch</v>
      </c>
      <c r="AQ480" s="18"/>
      <c r="AR480" s="18"/>
    </row>
    <row r="481" spans="1:44" x14ac:dyDescent="0.25">
      <c r="A481" s="43">
        <v>45542</v>
      </c>
      <c r="B481" s="17">
        <v>513991172.75999999</v>
      </c>
      <c r="C481" s="17">
        <v>0</v>
      </c>
      <c r="D481" s="18"/>
      <c r="E481" s="19">
        <f t="shared" si="154"/>
        <v>513991172.75999999</v>
      </c>
      <c r="F481" s="19">
        <f t="shared" si="155"/>
        <v>513991172.75999999</v>
      </c>
      <c r="G481" s="20">
        <f t="shared" si="156"/>
        <v>0</v>
      </c>
      <c r="H481" s="18"/>
      <c r="I481" s="18"/>
      <c r="J481" s="18"/>
      <c r="K481" s="19">
        <f t="shared" si="157"/>
        <v>0</v>
      </c>
      <c r="L481" s="18"/>
      <c r="M481" s="18"/>
      <c r="N481" s="18"/>
      <c r="O481" s="19">
        <f t="shared" si="158"/>
        <v>0</v>
      </c>
      <c r="P481" s="21">
        <f t="shared" si="159"/>
        <v>0</v>
      </c>
      <c r="Q481" s="18"/>
      <c r="R481" s="18"/>
      <c r="S481" s="19">
        <f t="shared" si="160"/>
        <v>0</v>
      </c>
      <c r="T481" s="20">
        <f t="shared" si="161"/>
        <v>0.03</v>
      </c>
      <c r="U481" s="19">
        <f t="shared" si="162"/>
        <v>0</v>
      </c>
      <c r="V481" s="18"/>
      <c r="W481" s="19">
        <f t="shared" si="163"/>
        <v>0</v>
      </c>
      <c r="X481" s="19">
        <f t="shared" si="164"/>
        <v>0</v>
      </c>
      <c r="Y481" s="18"/>
      <c r="Z481" s="18"/>
      <c r="AA481" s="19">
        <f t="shared" si="165"/>
        <v>0</v>
      </c>
      <c r="AB481" s="17">
        <v>0</v>
      </c>
      <c r="AC481" s="18"/>
      <c r="AD481" s="18"/>
      <c r="AE481" s="22">
        <f t="shared" si="166"/>
        <v>0</v>
      </c>
      <c r="AF481" s="23">
        <f t="shared" si="167"/>
        <v>0</v>
      </c>
      <c r="AG481" s="23">
        <f t="shared" si="168"/>
        <v>0</v>
      </c>
      <c r="AH481" s="18"/>
      <c r="AI481" s="24">
        <f t="shared" si="169"/>
        <v>0</v>
      </c>
      <c r="AJ481" s="25">
        <v>0</v>
      </c>
      <c r="AK481" s="24">
        <f t="shared" si="170"/>
        <v>0</v>
      </c>
      <c r="AL481" s="22">
        <f t="shared" si="171"/>
        <v>0</v>
      </c>
      <c r="AM481" s="22">
        <f t="shared" si="172"/>
        <v>0</v>
      </c>
      <c r="AN481" s="22">
        <f t="shared" si="173"/>
        <v>0</v>
      </c>
      <c r="AO481" s="26" t="str">
        <f t="shared" si="174"/>
        <v/>
      </c>
      <c r="AP481" s="26" t="str">
        <f t="shared" si="175"/>
        <v>pre-launch</v>
      </c>
      <c r="AQ481" s="18"/>
      <c r="AR481" s="18"/>
    </row>
    <row r="482" spans="1:44" x14ac:dyDescent="0.25">
      <c r="A482" s="43">
        <v>45543</v>
      </c>
      <c r="B482" s="17">
        <v>598642025.44000006</v>
      </c>
      <c r="C482" s="17">
        <v>0</v>
      </c>
      <c r="D482" s="18"/>
      <c r="E482" s="19">
        <f t="shared" si="154"/>
        <v>598642025.44000006</v>
      </c>
      <c r="F482" s="19">
        <f t="shared" si="155"/>
        <v>598642025.44000006</v>
      </c>
      <c r="G482" s="20">
        <f t="shared" si="156"/>
        <v>0</v>
      </c>
      <c r="H482" s="18"/>
      <c r="I482" s="18"/>
      <c r="J482" s="18"/>
      <c r="K482" s="19">
        <f t="shared" si="157"/>
        <v>0</v>
      </c>
      <c r="L482" s="18"/>
      <c r="M482" s="18"/>
      <c r="N482" s="18"/>
      <c r="O482" s="19">
        <f t="shared" si="158"/>
        <v>0</v>
      </c>
      <c r="P482" s="21">
        <f t="shared" si="159"/>
        <v>0</v>
      </c>
      <c r="Q482" s="18"/>
      <c r="R482" s="18"/>
      <c r="S482" s="19">
        <f t="shared" si="160"/>
        <v>0</v>
      </c>
      <c r="T482" s="20">
        <f t="shared" si="161"/>
        <v>0.03</v>
      </c>
      <c r="U482" s="19">
        <f t="shared" si="162"/>
        <v>0</v>
      </c>
      <c r="V482" s="18"/>
      <c r="W482" s="19">
        <f t="shared" si="163"/>
        <v>0</v>
      </c>
      <c r="X482" s="19">
        <f t="shared" si="164"/>
        <v>0</v>
      </c>
      <c r="Y482" s="18"/>
      <c r="Z482" s="18"/>
      <c r="AA482" s="19">
        <f t="shared" si="165"/>
        <v>0</v>
      </c>
      <c r="AB482" s="17">
        <v>0</v>
      </c>
      <c r="AC482" s="18"/>
      <c r="AD482" s="18"/>
      <c r="AE482" s="22">
        <f t="shared" si="166"/>
        <v>0</v>
      </c>
      <c r="AF482" s="23">
        <f t="shared" si="167"/>
        <v>0</v>
      </c>
      <c r="AG482" s="23">
        <f t="shared" si="168"/>
        <v>0</v>
      </c>
      <c r="AH482" s="18"/>
      <c r="AI482" s="24">
        <f t="shared" si="169"/>
        <v>0</v>
      </c>
      <c r="AJ482" s="25">
        <v>0</v>
      </c>
      <c r="AK482" s="24">
        <f t="shared" si="170"/>
        <v>0</v>
      </c>
      <c r="AL482" s="22">
        <f t="shared" si="171"/>
        <v>0</v>
      </c>
      <c r="AM482" s="22">
        <f t="shared" si="172"/>
        <v>0</v>
      </c>
      <c r="AN482" s="22">
        <f t="shared" si="173"/>
        <v>0</v>
      </c>
      <c r="AO482" s="26" t="str">
        <f t="shared" si="174"/>
        <v/>
      </c>
      <c r="AP482" s="26" t="str">
        <f t="shared" si="175"/>
        <v>pre-launch</v>
      </c>
      <c r="AQ482" s="18"/>
      <c r="AR482" s="18"/>
    </row>
    <row r="483" spans="1:44" x14ac:dyDescent="0.25">
      <c r="A483" s="43">
        <v>45544</v>
      </c>
      <c r="B483" s="17">
        <v>1074233987.3599999</v>
      </c>
      <c r="C483" s="17">
        <v>0</v>
      </c>
      <c r="D483" s="18"/>
      <c r="E483" s="19">
        <f t="shared" si="154"/>
        <v>1074233987.3599999</v>
      </c>
      <c r="F483" s="19">
        <f t="shared" si="155"/>
        <v>1074233987.3599999</v>
      </c>
      <c r="G483" s="20">
        <f t="shared" si="156"/>
        <v>0</v>
      </c>
      <c r="H483" s="18"/>
      <c r="I483" s="18"/>
      <c r="J483" s="18"/>
      <c r="K483" s="19">
        <f t="shared" si="157"/>
        <v>0</v>
      </c>
      <c r="L483" s="18"/>
      <c r="M483" s="18"/>
      <c r="N483" s="18"/>
      <c r="O483" s="19">
        <f t="shared" si="158"/>
        <v>0</v>
      </c>
      <c r="P483" s="21">
        <f t="shared" si="159"/>
        <v>0</v>
      </c>
      <c r="Q483" s="18"/>
      <c r="R483" s="18"/>
      <c r="S483" s="19">
        <f t="shared" si="160"/>
        <v>0</v>
      </c>
      <c r="T483" s="20">
        <f t="shared" si="161"/>
        <v>0.03</v>
      </c>
      <c r="U483" s="19">
        <f t="shared" si="162"/>
        <v>0</v>
      </c>
      <c r="V483" s="18"/>
      <c r="W483" s="19">
        <f t="shared" si="163"/>
        <v>0</v>
      </c>
      <c r="X483" s="19">
        <f t="shared" si="164"/>
        <v>0</v>
      </c>
      <c r="Y483" s="18"/>
      <c r="Z483" s="18"/>
      <c r="AA483" s="19">
        <f t="shared" si="165"/>
        <v>0</v>
      </c>
      <c r="AB483" s="17">
        <v>0</v>
      </c>
      <c r="AC483" s="18"/>
      <c r="AD483" s="18"/>
      <c r="AE483" s="22">
        <f t="shared" si="166"/>
        <v>0</v>
      </c>
      <c r="AF483" s="23">
        <f t="shared" si="167"/>
        <v>0</v>
      </c>
      <c r="AG483" s="23">
        <f t="shared" si="168"/>
        <v>0</v>
      </c>
      <c r="AH483" s="18"/>
      <c r="AI483" s="24">
        <f t="shared" si="169"/>
        <v>0</v>
      </c>
      <c r="AJ483" s="25">
        <v>0</v>
      </c>
      <c r="AK483" s="24">
        <f t="shared" si="170"/>
        <v>0</v>
      </c>
      <c r="AL483" s="22">
        <f t="shared" si="171"/>
        <v>0</v>
      </c>
      <c r="AM483" s="22">
        <f t="shared" si="172"/>
        <v>0</v>
      </c>
      <c r="AN483" s="22">
        <f t="shared" si="173"/>
        <v>0</v>
      </c>
      <c r="AO483" s="26" t="str">
        <f t="shared" si="174"/>
        <v/>
      </c>
      <c r="AP483" s="26" t="str">
        <f t="shared" si="175"/>
        <v>pre-launch</v>
      </c>
      <c r="AQ483" s="18"/>
      <c r="AR483" s="18"/>
    </row>
    <row r="484" spans="1:44" x14ac:dyDescent="0.25">
      <c r="A484" s="43">
        <v>45545</v>
      </c>
      <c r="B484" s="17">
        <v>855579277.11000001</v>
      </c>
      <c r="C484" s="17">
        <v>0</v>
      </c>
      <c r="D484" s="18"/>
      <c r="E484" s="19">
        <f t="shared" si="154"/>
        <v>855579277.11000001</v>
      </c>
      <c r="F484" s="19">
        <f t="shared" si="155"/>
        <v>855579277.11000001</v>
      </c>
      <c r="G484" s="20">
        <f t="shared" si="156"/>
        <v>0</v>
      </c>
      <c r="H484" s="18"/>
      <c r="I484" s="18"/>
      <c r="J484" s="18"/>
      <c r="K484" s="19">
        <f t="shared" si="157"/>
        <v>0</v>
      </c>
      <c r="L484" s="18"/>
      <c r="M484" s="18"/>
      <c r="N484" s="18"/>
      <c r="O484" s="19">
        <f t="shared" si="158"/>
        <v>0</v>
      </c>
      <c r="P484" s="21">
        <f t="shared" si="159"/>
        <v>0</v>
      </c>
      <c r="Q484" s="18"/>
      <c r="R484" s="18"/>
      <c r="S484" s="19">
        <f t="shared" si="160"/>
        <v>0</v>
      </c>
      <c r="T484" s="20">
        <f t="shared" si="161"/>
        <v>0.03</v>
      </c>
      <c r="U484" s="19">
        <f t="shared" si="162"/>
        <v>0</v>
      </c>
      <c r="V484" s="18"/>
      <c r="W484" s="19">
        <f t="shared" si="163"/>
        <v>0</v>
      </c>
      <c r="X484" s="19">
        <f t="shared" si="164"/>
        <v>0</v>
      </c>
      <c r="Y484" s="18"/>
      <c r="Z484" s="18"/>
      <c r="AA484" s="19">
        <f t="shared" si="165"/>
        <v>0</v>
      </c>
      <c r="AB484" s="17">
        <v>0</v>
      </c>
      <c r="AC484" s="18"/>
      <c r="AD484" s="18"/>
      <c r="AE484" s="22">
        <f t="shared" si="166"/>
        <v>0</v>
      </c>
      <c r="AF484" s="23">
        <f t="shared" si="167"/>
        <v>0</v>
      </c>
      <c r="AG484" s="23">
        <f t="shared" si="168"/>
        <v>0</v>
      </c>
      <c r="AH484" s="18"/>
      <c r="AI484" s="24">
        <f t="shared" si="169"/>
        <v>0</v>
      </c>
      <c r="AJ484" s="25">
        <v>0</v>
      </c>
      <c r="AK484" s="24">
        <f t="shared" si="170"/>
        <v>0</v>
      </c>
      <c r="AL484" s="22">
        <f t="shared" si="171"/>
        <v>0</v>
      </c>
      <c r="AM484" s="22">
        <f t="shared" si="172"/>
        <v>0</v>
      </c>
      <c r="AN484" s="22">
        <f t="shared" si="173"/>
        <v>0</v>
      </c>
      <c r="AO484" s="26" t="str">
        <f t="shared" si="174"/>
        <v/>
      </c>
      <c r="AP484" s="26" t="str">
        <f t="shared" si="175"/>
        <v>pre-launch</v>
      </c>
      <c r="AQ484" s="18"/>
      <c r="AR484" s="18"/>
    </row>
    <row r="485" spans="1:44" x14ac:dyDescent="0.25">
      <c r="A485" s="43">
        <v>45546</v>
      </c>
      <c r="B485" s="17">
        <v>1041841157.59</v>
      </c>
      <c r="C485" s="17">
        <v>0</v>
      </c>
      <c r="D485" s="18"/>
      <c r="E485" s="19">
        <f t="shared" si="154"/>
        <v>1041841157.59</v>
      </c>
      <c r="F485" s="19">
        <f t="shared" si="155"/>
        <v>1041841157.59</v>
      </c>
      <c r="G485" s="20">
        <f t="shared" si="156"/>
        <v>0</v>
      </c>
      <c r="H485" s="18"/>
      <c r="I485" s="18"/>
      <c r="J485" s="18"/>
      <c r="K485" s="19">
        <f t="shared" si="157"/>
        <v>0</v>
      </c>
      <c r="L485" s="18"/>
      <c r="M485" s="18"/>
      <c r="N485" s="18"/>
      <c r="O485" s="19">
        <f t="shared" si="158"/>
        <v>0</v>
      </c>
      <c r="P485" s="21">
        <f t="shared" si="159"/>
        <v>0</v>
      </c>
      <c r="Q485" s="18"/>
      <c r="R485" s="18"/>
      <c r="S485" s="19">
        <f t="shared" si="160"/>
        <v>0</v>
      </c>
      <c r="T485" s="20">
        <f t="shared" si="161"/>
        <v>0.03</v>
      </c>
      <c r="U485" s="19">
        <f t="shared" si="162"/>
        <v>0</v>
      </c>
      <c r="V485" s="18"/>
      <c r="W485" s="19">
        <f t="shared" si="163"/>
        <v>0</v>
      </c>
      <c r="X485" s="19">
        <f t="shared" si="164"/>
        <v>0</v>
      </c>
      <c r="Y485" s="18"/>
      <c r="Z485" s="18"/>
      <c r="AA485" s="19">
        <f t="shared" si="165"/>
        <v>0</v>
      </c>
      <c r="AB485" s="17">
        <v>0</v>
      </c>
      <c r="AC485" s="18"/>
      <c r="AD485" s="18"/>
      <c r="AE485" s="22">
        <f t="shared" si="166"/>
        <v>0</v>
      </c>
      <c r="AF485" s="23">
        <f t="shared" si="167"/>
        <v>0</v>
      </c>
      <c r="AG485" s="23">
        <f t="shared" si="168"/>
        <v>0</v>
      </c>
      <c r="AH485" s="18"/>
      <c r="AI485" s="24">
        <f t="shared" si="169"/>
        <v>0</v>
      </c>
      <c r="AJ485" s="25">
        <v>0</v>
      </c>
      <c r="AK485" s="24">
        <f t="shared" si="170"/>
        <v>0</v>
      </c>
      <c r="AL485" s="22">
        <f t="shared" si="171"/>
        <v>0</v>
      </c>
      <c r="AM485" s="22">
        <f t="shared" si="172"/>
        <v>0</v>
      </c>
      <c r="AN485" s="22">
        <f t="shared" si="173"/>
        <v>0</v>
      </c>
      <c r="AO485" s="26" t="str">
        <f t="shared" si="174"/>
        <v/>
      </c>
      <c r="AP485" s="26" t="str">
        <f t="shared" si="175"/>
        <v>pre-launch</v>
      </c>
      <c r="AQ485" s="18"/>
      <c r="AR485" s="18"/>
    </row>
    <row r="486" spans="1:44" x14ac:dyDescent="0.25">
      <c r="A486" s="43">
        <v>45547</v>
      </c>
      <c r="B486" s="17">
        <v>919048081.63999999</v>
      </c>
      <c r="C486" s="17">
        <v>0</v>
      </c>
      <c r="D486" s="18"/>
      <c r="E486" s="19">
        <f t="shared" si="154"/>
        <v>919048081.63999999</v>
      </c>
      <c r="F486" s="19">
        <f t="shared" si="155"/>
        <v>919048081.63999999</v>
      </c>
      <c r="G486" s="20">
        <f t="shared" si="156"/>
        <v>0</v>
      </c>
      <c r="H486" s="18"/>
      <c r="I486" s="18"/>
      <c r="J486" s="18"/>
      <c r="K486" s="19">
        <f t="shared" si="157"/>
        <v>0</v>
      </c>
      <c r="L486" s="18"/>
      <c r="M486" s="18"/>
      <c r="N486" s="18"/>
      <c r="O486" s="19">
        <f t="shared" si="158"/>
        <v>0</v>
      </c>
      <c r="P486" s="21">
        <f t="shared" si="159"/>
        <v>0</v>
      </c>
      <c r="Q486" s="18"/>
      <c r="R486" s="18"/>
      <c r="S486" s="19">
        <f t="shared" si="160"/>
        <v>0</v>
      </c>
      <c r="T486" s="20">
        <f t="shared" si="161"/>
        <v>0.03</v>
      </c>
      <c r="U486" s="19">
        <f t="shared" si="162"/>
        <v>0</v>
      </c>
      <c r="V486" s="18"/>
      <c r="W486" s="19">
        <f t="shared" si="163"/>
        <v>0</v>
      </c>
      <c r="X486" s="19">
        <f t="shared" si="164"/>
        <v>0</v>
      </c>
      <c r="Y486" s="18"/>
      <c r="Z486" s="18"/>
      <c r="AA486" s="19">
        <f t="shared" si="165"/>
        <v>0</v>
      </c>
      <c r="AB486" s="17">
        <v>0</v>
      </c>
      <c r="AC486" s="18"/>
      <c r="AD486" s="18"/>
      <c r="AE486" s="22">
        <f t="shared" si="166"/>
        <v>0</v>
      </c>
      <c r="AF486" s="23">
        <f t="shared" si="167"/>
        <v>0</v>
      </c>
      <c r="AG486" s="23">
        <f t="shared" si="168"/>
        <v>0</v>
      </c>
      <c r="AH486" s="18"/>
      <c r="AI486" s="24">
        <f t="shared" si="169"/>
        <v>0</v>
      </c>
      <c r="AJ486" s="25">
        <v>0</v>
      </c>
      <c r="AK486" s="24">
        <f t="shared" si="170"/>
        <v>0</v>
      </c>
      <c r="AL486" s="22">
        <f t="shared" si="171"/>
        <v>0</v>
      </c>
      <c r="AM486" s="22">
        <f t="shared" si="172"/>
        <v>0</v>
      </c>
      <c r="AN486" s="22">
        <f t="shared" si="173"/>
        <v>0</v>
      </c>
      <c r="AO486" s="26" t="str">
        <f t="shared" si="174"/>
        <v/>
      </c>
      <c r="AP486" s="26" t="str">
        <f t="shared" si="175"/>
        <v>pre-launch</v>
      </c>
      <c r="AQ486" s="18"/>
      <c r="AR486" s="18"/>
    </row>
    <row r="487" spans="1:44" x14ac:dyDescent="0.25">
      <c r="A487" s="43">
        <v>45548</v>
      </c>
      <c r="B487" s="17">
        <v>880311427.97000003</v>
      </c>
      <c r="C487" s="17">
        <v>0</v>
      </c>
      <c r="D487" s="18"/>
      <c r="E487" s="19">
        <f t="shared" si="154"/>
        <v>880311427.97000003</v>
      </c>
      <c r="F487" s="19">
        <f t="shared" si="155"/>
        <v>880311427.97000003</v>
      </c>
      <c r="G487" s="20">
        <f t="shared" si="156"/>
        <v>0</v>
      </c>
      <c r="H487" s="18"/>
      <c r="I487" s="18"/>
      <c r="J487" s="18"/>
      <c r="K487" s="19">
        <f t="shared" si="157"/>
        <v>0</v>
      </c>
      <c r="L487" s="18"/>
      <c r="M487" s="18"/>
      <c r="N487" s="18"/>
      <c r="O487" s="19">
        <f t="shared" si="158"/>
        <v>0</v>
      </c>
      <c r="P487" s="21">
        <f t="shared" si="159"/>
        <v>0</v>
      </c>
      <c r="Q487" s="18"/>
      <c r="R487" s="18"/>
      <c r="S487" s="19">
        <f t="shared" si="160"/>
        <v>0</v>
      </c>
      <c r="T487" s="20">
        <f t="shared" si="161"/>
        <v>0.03</v>
      </c>
      <c r="U487" s="19">
        <f t="shared" si="162"/>
        <v>0</v>
      </c>
      <c r="V487" s="18"/>
      <c r="W487" s="19">
        <f t="shared" si="163"/>
        <v>0</v>
      </c>
      <c r="X487" s="19">
        <f t="shared" si="164"/>
        <v>0</v>
      </c>
      <c r="Y487" s="18"/>
      <c r="Z487" s="18"/>
      <c r="AA487" s="19">
        <f t="shared" si="165"/>
        <v>0</v>
      </c>
      <c r="AB487" s="17">
        <v>0</v>
      </c>
      <c r="AC487" s="18"/>
      <c r="AD487" s="18"/>
      <c r="AE487" s="22">
        <f t="shared" si="166"/>
        <v>0</v>
      </c>
      <c r="AF487" s="23">
        <f t="shared" si="167"/>
        <v>0</v>
      </c>
      <c r="AG487" s="23">
        <f t="shared" si="168"/>
        <v>0</v>
      </c>
      <c r="AH487" s="18"/>
      <c r="AI487" s="24">
        <f t="shared" si="169"/>
        <v>0</v>
      </c>
      <c r="AJ487" s="25">
        <v>0</v>
      </c>
      <c r="AK487" s="24">
        <f t="shared" si="170"/>
        <v>0</v>
      </c>
      <c r="AL487" s="22">
        <f t="shared" si="171"/>
        <v>0</v>
      </c>
      <c r="AM487" s="22">
        <f t="shared" si="172"/>
        <v>0</v>
      </c>
      <c r="AN487" s="22">
        <f t="shared" si="173"/>
        <v>0</v>
      </c>
      <c r="AO487" s="26" t="str">
        <f t="shared" si="174"/>
        <v/>
      </c>
      <c r="AP487" s="26" t="str">
        <f t="shared" si="175"/>
        <v>pre-launch</v>
      </c>
      <c r="AQ487" s="18"/>
      <c r="AR487" s="18"/>
    </row>
    <row r="488" spans="1:44" x14ac:dyDescent="0.25">
      <c r="A488" s="43">
        <v>45549</v>
      </c>
      <c r="B488" s="17">
        <v>401818945.81</v>
      </c>
      <c r="C488" s="17">
        <v>0</v>
      </c>
      <c r="D488" s="18"/>
      <c r="E488" s="19">
        <f t="shared" si="154"/>
        <v>401818945.81</v>
      </c>
      <c r="F488" s="19">
        <f t="shared" si="155"/>
        <v>401818945.81</v>
      </c>
      <c r="G488" s="20">
        <f t="shared" si="156"/>
        <v>0</v>
      </c>
      <c r="H488" s="18"/>
      <c r="I488" s="18"/>
      <c r="J488" s="18"/>
      <c r="K488" s="19">
        <f t="shared" si="157"/>
        <v>0</v>
      </c>
      <c r="L488" s="18"/>
      <c r="M488" s="18"/>
      <c r="N488" s="18"/>
      <c r="O488" s="19">
        <f t="shared" si="158"/>
        <v>0</v>
      </c>
      <c r="P488" s="21">
        <f t="shared" si="159"/>
        <v>0</v>
      </c>
      <c r="Q488" s="18"/>
      <c r="R488" s="18"/>
      <c r="S488" s="19">
        <f t="shared" si="160"/>
        <v>0</v>
      </c>
      <c r="T488" s="20">
        <f t="shared" si="161"/>
        <v>0.03</v>
      </c>
      <c r="U488" s="19">
        <f t="shared" si="162"/>
        <v>0</v>
      </c>
      <c r="V488" s="18"/>
      <c r="W488" s="19">
        <f t="shared" si="163"/>
        <v>0</v>
      </c>
      <c r="X488" s="19">
        <f t="shared" si="164"/>
        <v>0</v>
      </c>
      <c r="Y488" s="18"/>
      <c r="Z488" s="18"/>
      <c r="AA488" s="19">
        <f t="shared" si="165"/>
        <v>0</v>
      </c>
      <c r="AB488" s="17">
        <v>0</v>
      </c>
      <c r="AC488" s="18"/>
      <c r="AD488" s="18"/>
      <c r="AE488" s="22">
        <f t="shared" si="166"/>
        <v>0</v>
      </c>
      <c r="AF488" s="23">
        <f t="shared" si="167"/>
        <v>0</v>
      </c>
      <c r="AG488" s="23">
        <f t="shared" si="168"/>
        <v>0</v>
      </c>
      <c r="AH488" s="18"/>
      <c r="AI488" s="24">
        <f t="shared" si="169"/>
        <v>0</v>
      </c>
      <c r="AJ488" s="25">
        <v>0</v>
      </c>
      <c r="AK488" s="24">
        <f t="shared" si="170"/>
        <v>0</v>
      </c>
      <c r="AL488" s="22">
        <f t="shared" si="171"/>
        <v>0</v>
      </c>
      <c r="AM488" s="22">
        <f t="shared" si="172"/>
        <v>0</v>
      </c>
      <c r="AN488" s="22">
        <f t="shared" si="173"/>
        <v>0</v>
      </c>
      <c r="AO488" s="26" t="str">
        <f t="shared" si="174"/>
        <v/>
      </c>
      <c r="AP488" s="26" t="str">
        <f t="shared" si="175"/>
        <v>pre-launch</v>
      </c>
      <c r="AQ488" s="18"/>
      <c r="AR488" s="18"/>
    </row>
    <row r="489" spans="1:44" x14ac:dyDescent="0.25">
      <c r="A489" s="43">
        <v>45550</v>
      </c>
      <c r="B489" s="17">
        <v>567993219.75</v>
      </c>
      <c r="C489" s="17">
        <v>0</v>
      </c>
      <c r="D489" s="18"/>
      <c r="E489" s="19">
        <f t="shared" si="154"/>
        <v>567993219.75</v>
      </c>
      <c r="F489" s="19">
        <f t="shared" si="155"/>
        <v>567993219.75</v>
      </c>
      <c r="G489" s="20">
        <f t="shared" si="156"/>
        <v>0</v>
      </c>
      <c r="H489" s="18"/>
      <c r="I489" s="18"/>
      <c r="J489" s="18"/>
      <c r="K489" s="19">
        <f t="shared" si="157"/>
        <v>0</v>
      </c>
      <c r="L489" s="18"/>
      <c r="M489" s="18"/>
      <c r="N489" s="18"/>
      <c r="O489" s="19">
        <f t="shared" si="158"/>
        <v>0</v>
      </c>
      <c r="P489" s="21">
        <f t="shared" si="159"/>
        <v>0</v>
      </c>
      <c r="Q489" s="18"/>
      <c r="R489" s="18"/>
      <c r="S489" s="19">
        <f t="shared" si="160"/>
        <v>0</v>
      </c>
      <c r="T489" s="20">
        <f t="shared" si="161"/>
        <v>0.03</v>
      </c>
      <c r="U489" s="19">
        <f t="shared" si="162"/>
        <v>0</v>
      </c>
      <c r="V489" s="18"/>
      <c r="W489" s="19">
        <f t="shared" si="163"/>
        <v>0</v>
      </c>
      <c r="X489" s="19">
        <f t="shared" si="164"/>
        <v>0</v>
      </c>
      <c r="Y489" s="18"/>
      <c r="Z489" s="18"/>
      <c r="AA489" s="19">
        <f t="shared" si="165"/>
        <v>0</v>
      </c>
      <c r="AB489" s="17">
        <v>0</v>
      </c>
      <c r="AC489" s="18"/>
      <c r="AD489" s="18"/>
      <c r="AE489" s="22">
        <f t="shared" si="166"/>
        <v>0</v>
      </c>
      <c r="AF489" s="23">
        <f t="shared" si="167"/>
        <v>0</v>
      </c>
      <c r="AG489" s="23">
        <f t="shared" si="168"/>
        <v>0</v>
      </c>
      <c r="AH489" s="18"/>
      <c r="AI489" s="24">
        <f t="shared" si="169"/>
        <v>0</v>
      </c>
      <c r="AJ489" s="25">
        <v>0</v>
      </c>
      <c r="AK489" s="24">
        <f t="shared" si="170"/>
        <v>0</v>
      </c>
      <c r="AL489" s="22">
        <f t="shared" si="171"/>
        <v>0</v>
      </c>
      <c r="AM489" s="22">
        <f t="shared" si="172"/>
        <v>0</v>
      </c>
      <c r="AN489" s="22">
        <f t="shared" si="173"/>
        <v>0</v>
      </c>
      <c r="AO489" s="26" t="str">
        <f t="shared" si="174"/>
        <v/>
      </c>
      <c r="AP489" s="26" t="str">
        <f t="shared" si="175"/>
        <v>pre-launch</v>
      </c>
      <c r="AQ489" s="18"/>
      <c r="AR489" s="18"/>
    </row>
    <row r="490" spans="1:44" x14ac:dyDescent="0.25">
      <c r="A490" s="43">
        <v>45551</v>
      </c>
      <c r="B490" s="17">
        <v>1079725569.0599999</v>
      </c>
      <c r="C490" s="17">
        <v>0</v>
      </c>
      <c r="D490" s="18"/>
      <c r="E490" s="19">
        <f t="shared" si="154"/>
        <v>1079725569.0599999</v>
      </c>
      <c r="F490" s="19">
        <f t="shared" si="155"/>
        <v>1079725569.0599999</v>
      </c>
      <c r="G490" s="20">
        <f t="shared" si="156"/>
        <v>0</v>
      </c>
      <c r="H490" s="18"/>
      <c r="I490" s="18"/>
      <c r="J490" s="18"/>
      <c r="K490" s="19">
        <f t="shared" si="157"/>
        <v>0</v>
      </c>
      <c r="L490" s="18"/>
      <c r="M490" s="18"/>
      <c r="N490" s="18"/>
      <c r="O490" s="19">
        <f t="shared" si="158"/>
        <v>0</v>
      </c>
      <c r="P490" s="21">
        <f t="shared" si="159"/>
        <v>0</v>
      </c>
      <c r="Q490" s="18"/>
      <c r="R490" s="18"/>
      <c r="S490" s="19">
        <f t="shared" si="160"/>
        <v>0</v>
      </c>
      <c r="T490" s="20">
        <f t="shared" si="161"/>
        <v>0.03</v>
      </c>
      <c r="U490" s="19">
        <f t="shared" si="162"/>
        <v>0</v>
      </c>
      <c r="V490" s="18"/>
      <c r="W490" s="19">
        <f t="shared" si="163"/>
        <v>0</v>
      </c>
      <c r="X490" s="19">
        <f t="shared" si="164"/>
        <v>0</v>
      </c>
      <c r="Y490" s="18"/>
      <c r="Z490" s="18"/>
      <c r="AA490" s="19">
        <f t="shared" si="165"/>
        <v>0</v>
      </c>
      <c r="AB490" s="17">
        <v>0</v>
      </c>
      <c r="AC490" s="18"/>
      <c r="AD490" s="18"/>
      <c r="AE490" s="22">
        <f t="shared" si="166"/>
        <v>0</v>
      </c>
      <c r="AF490" s="23">
        <f t="shared" si="167"/>
        <v>0</v>
      </c>
      <c r="AG490" s="23">
        <f t="shared" si="168"/>
        <v>0</v>
      </c>
      <c r="AH490" s="18"/>
      <c r="AI490" s="24">
        <f t="shared" si="169"/>
        <v>0</v>
      </c>
      <c r="AJ490" s="25">
        <v>0</v>
      </c>
      <c r="AK490" s="24">
        <f t="shared" si="170"/>
        <v>0</v>
      </c>
      <c r="AL490" s="22">
        <f t="shared" si="171"/>
        <v>0</v>
      </c>
      <c r="AM490" s="22">
        <f t="shared" si="172"/>
        <v>0</v>
      </c>
      <c r="AN490" s="22">
        <f t="shared" si="173"/>
        <v>0</v>
      </c>
      <c r="AO490" s="26" t="str">
        <f t="shared" si="174"/>
        <v/>
      </c>
      <c r="AP490" s="26" t="str">
        <f t="shared" si="175"/>
        <v>pre-launch</v>
      </c>
      <c r="AQ490" s="18"/>
      <c r="AR490" s="18"/>
    </row>
    <row r="491" spans="1:44" x14ac:dyDescent="0.25">
      <c r="A491" s="43">
        <v>45552</v>
      </c>
      <c r="B491" s="17">
        <v>1028171990.64</v>
      </c>
      <c r="C491" s="17">
        <v>0</v>
      </c>
      <c r="D491" s="18"/>
      <c r="E491" s="19">
        <f t="shared" si="154"/>
        <v>1028171990.64</v>
      </c>
      <c r="F491" s="19">
        <f t="shared" si="155"/>
        <v>1028171990.64</v>
      </c>
      <c r="G491" s="20">
        <f t="shared" si="156"/>
        <v>0</v>
      </c>
      <c r="H491" s="18"/>
      <c r="I491" s="18"/>
      <c r="J491" s="18"/>
      <c r="K491" s="19">
        <f t="shared" si="157"/>
        <v>0</v>
      </c>
      <c r="L491" s="18"/>
      <c r="M491" s="18"/>
      <c r="N491" s="18"/>
      <c r="O491" s="19">
        <f t="shared" si="158"/>
        <v>0</v>
      </c>
      <c r="P491" s="21">
        <f t="shared" si="159"/>
        <v>0</v>
      </c>
      <c r="Q491" s="18"/>
      <c r="R491" s="18"/>
      <c r="S491" s="19">
        <f t="shared" si="160"/>
        <v>0</v>
      </c>
      <c r="T491" s="20">
        <f t="shared" si="161"/>
        <v>0.03</v>
      </c>
      <c r="U491" s="19">
        <f t="shared" si="162"/>
        <v>0</v>
      </c>
      <c r="V491" s="18"/>
      <c r="W491" s="19">
        <f t="shared" si="163"/>
        <v>0</v>
      </c>
      <c r="X491" s="19">
        <f t="shared" si="164"/>
        <v>0</v>
      </c>
      <c r="Y491" s="18"/>
      <c r="Z491" s="18"/>
      <c r="AA491" s="19">
        <f t="shared" si="165"/>
        <v>0</v>
      </c>
      <c r="AB491" s="17">
        <v>0</v>
      </c>
      <c r="AC491" s="18"/>
      <c r="AD491" s="18"/>
      <c r="AE491" s="22">
        <f t="shared" si="166"/>
        <v>0</v>
      </c>
      <c r="AF491" s="23">
        <f t="shared" si="167"/>
        <v>0</v>
      </c>
      <c r="AG491" s="23">
        <f t="shared" si="168"/>
        <v>0</v>
      </c>
      <c r="AH491" s="18"/>
      <c r="AI491" s="24">
        <f t="shared" si="169"/>
        <v>0</v>
      </c>
      <c r="AJ491" s="25">
        <v>0</v>
      </c>
      <c r="AK491" s="24">
        <f t="shared" si="170"/>
        <v>0</v>
      </c>
      <c r="AL491" s="22">
        <f t="shared" si="171"/>
        <v>0</v>
      </c>
      <c r="AM491" s="22">
        <f t="shared" si="172"/>
        <v>0</v>
      </c>
      <c r="AN491" s="22">
        <f t="shared" si="173"/>
        <v>0</v>
      </c>
      <c r="AO491" s="26" t="str">
        <f t="shared" si="174"/>
        <v/>
      </c>
      <c r="AP491" s="26" t="str">
        <f t="shared" si="175"/>
        <v>pre-launch</v>
      </c>
      <c r="AQ491" s="18"/>
      <c r="AR491" s="18"/>
    </row>
    <row r="492" spans="1:44" x14ac:dyDescent="0.25">
      <c r="A492" s="43">
        <v>45553</v>
      </c>
      <c r="B492" s="17">
        <v>1309839931.9100001</v>
      </c>
      <c r="C492" s="17">
        <v>0</v>
      </c>
      <c r="D492" s="18"/>
      <c r="E492" s="19">
        <f t="shared" si="154"/>
        <v>1309839931.9100001</v>
      </c>
      <c r="F492" s="19">
        <f t="shared" si="155"/>
        <v>1309839931.9100001</v>
      </c>
      <c r="G492" s="20">
        <f t="shared" si="156"/>
        <v>0</v>
      </c>
      <c r="H492" s="18"/>
      <c r="I492" s="18"/>
      <c r="J492" s="18"/>
      <c r="K492" s="19">
        <f t="shared" si="157"/>
        <v>0</v>
      </c>
      <c r="L492" s="18"/>
      <c r="M492" s="18"/>
      <c r="N492" s="18"/>
      <c r="O492" s="19">
        <f t="shared" si="158"/>
        <v>0</v>
      </c>
      <c r="P492" s="21">
        <f t="shared" si="159"/>
        <v>0</v>
      </c>
      <c r="Q492" s="18"/>
      <c r="R492" s="18"/>
      <c r="S492" s="19">
        <f t="shared" si="160"/>
        <v>0</v>
      </c>
      <c r="T492" s="20">
        <f t="shared" si="161"/>
        <v>0.03</v>
      </c>
      <c r="U492" s="19">
        <f t="shared" si="162"/>
        <v>0</v>
      </c>
      <c r="V492" s="18"/>
      <c r="W492" s="19">
        <f t="shared" si="163"/>
        <v>0</v>
      </c>
      <c r="X492" s="19">
        <f t="shared" si="164"/>
        <v>0</v>
      </c>
      <c r="Y492" s="18"/>
      <c r="Z492" s="18"/>
      <c r="AA492" s="19">
        <f t="shared" si="165"/>
        <v>0</v>
      </c>
      <c r="AB492" s="17">
        <v>0</v>
      </c>
      <c r="AC492" s="18"/>
      <c r="AD492" s="18"/>
      <c r="AE492" s="22">
        <f t="shared" si="166"/>
        <v>0</v>
      </c>
      <c r="AF492" s="23">
        <f t="shared" si="167"/>
        <v>0</v>
      </c>
      <c r="AG492" s="23">
        <f t="shared" si="168"/>
        <v>0</v>
      </c>
      <c r="AH492" s="18"/>
      <c r="AI492" s="24">
        <f t="shared" si="169"/>
        <v>0</v>
      </c>
      <c r="AJ492" s="25">
        <v>0</v>
      </c>
      <c r="AK492" s="24">
        <f t="shared" si="170"/>
        <v>0</v>
      </c>
      <c r="AL492" s="22">
        <f t="shared" si="171"/>
        <v>0</v>
      </c>
      <c r="AM492" s="22">
        <f t="shared" si="172"/>
        <v>0</v>
      </c>
      <c r="AN492" s="22">
        <f t="shared" si="173"/>
        <v>0</v>
      </c>
      <c r="AO492" s="26" t="str">
        <f t="shared" si="174"/>
        <v/>
      </c>
      <c r="AP492" s="26" t="str">
        <f t="shared" si="175"/>
        <v>pre-launch</v>
      </c>
      <c r="AQ492" s="18"/>
      <c r="AR492" s="18"/>
    </row>
    <row r="493" spans="1:44" x14ac:dyDescent="0.25">
      <c r="A493" s="43">
        <v>45554</v>
      </c>
      <c r="B493" s="17">
        <v>1761952193.8</v>
      </c>
      <c r="C493" s="17">
        <v>0</v>
      </c>
      <c r="D493" s="17">
        <v>3260099</v>
      </c>
      <c r="E493" s="19">
        <f t="shared" si="154"/>
        <v>1761952193.8</v>
      </c>
      <c r="F493" s="19">
        <f t="shared" si="155"/>
        <v>1765212292.8</v>
      </c>
      <c r="G493" s="20">
        <f t="shared" si="156"/>
        <v>0</v>
      </c>
      <c r="H493" s="18"/>
      <c r="I493" s="18"/>
      <c r="J493" s="18"/>
      <c r="K493" s="19">
        <f t="shared" si="157"/>
        <v>0</v>
      </c>
      <c r="L493" s="18"/>
      <c r="M493" s="18"/>
      <c r="N493" s="18"/>
      <c r="O493" s="19">
        <f t="shared" si="158"/>
        <v>0</v>
      </c>
      <c r="P493" s="21">
        <f t="shared" si="159"/>
        <v>0</v>
      </c>
      <c r="Q493" s="18"/>
      <c r="R493" s="18"/>
      <c r="S493" s="19">
        <f t="shared" si="160"/>
        <v>0</v>
      </c>
      <c r="T493" s="20">
        <f t="shared" si="161"/>
        <v>0.03</v>
      </c>
      <c r="U493" s="19">
        <f t="shared" si="162"/>
        <v>0</v>
      </c>
      <c r="V493" s="18"/>
      <c r="W493" s="19">
        <f t="shared" si="163"/>
        <v>0</v>
      </c>
      <c r="X493" s="19">
        <f t="shared" si="164"/>
        <v>0</v>
      </c>
      <c r="Y493" s="18"/>
      <c r="Z493" s="18"/>
      <c r="AA493" s="19">
        <f t="shared" si="165"/>
        <v>0</v>
      </c>
      <c r="AB493" s="17">
        <v>0</v>
      </c>
      <c r="AC493" s="18"/>
      <c r="AD493" s="18"/>
      <c r="AE493" s="22">
        <f t="shared" si="166"/>
        <v>0</v>
      </c>
      <c r="AF493" s="23">
        <f t="shared" si="167"/>
        <v>0</v>
      </c>
      <c r="AG493" s="23">
        <f t="shared" si="168"/>
        <v>0</v>
      </c>
      <c r="AH493" s="18"/>
      <c r="AI493" s="24">
        <f t="shared" si="169"/>
        <v>0</v>
      </c>
      <c r="AJ493" s="25">
        <v>0</v>
      </c>
      <c r="AK493" s="24">
        <f t="shared" si="170"/>
        <v>0</v>
      </c>
      <c r="AL493" s="22">
        <f t="shared" si="171"/>
        <v>0</v>
      </c>
      <c r="AM493" s="22">
        <f t="shared" si="172"/>
        <v>0</v>
      </c>
      <c r="AN493" s="22">
        <f t="shared" si="173"/>
        <v>0</v>
      </c>
      <c r="AO493" s="26" t="str">
        <f t="shared" si="174"/>
        <v/>
      </c>
      <c r="AP493" s="26" t="str">
        <f t="shared" si="175"/>
        <v>pre-launch</v>
      </c>
      <c r="AQ493" s="18"/>
      <c r="AR493" s="18"/>
    </row>
    <row r="494" spans="1:44" x14ac:dyDescent="0.25">
      <c r="A494" s="43">
        <v>45555</v>
      </c>
      <c r="B494" s="17">
        <v>1160346606.4000001</v>
      </c>
      <c r="C494" s="17">
        <v>0</v>
      </c>
      <c r="D494" s="17">
        <v>4801770</v>
      </c>
      <c r="E494" s="19">
        <f t="shared" si="154"/>
        <v>1160346606.4000001</v>
      </c>
      <c r="F494" s="19">
        <f t="shared" si="155"/>
        <v>1165148376.4000001</v>
      </c>
      <c r="G494" s="20">
        <f t="shared" si="156"/>
        <v>0</v>
      </c>
      <c r="H494" s="18"/>
      <c r="I494" s="18"/>
      <c r="J494" s="18"/>
      <c r="K494" s="19">
        <f t="shared" si="157"/>
        <v>0</v>
      </c>
      <c r="L494" s="18"/>
      <c r="M494" s="18"/>
      <c r="N494" s="18"/>
      <c r="O494" s="19">
        <f t="shared" si="158"/>
        <v>0</v>
      </c>
      <c r="P494" s="21">
        <f t="shared" si="159"/>
        <v>0</v>
      </c>
      <c r="Q494" s="18"/>
      <c r="R494" s="18"/>
      <c r="S494" s="19">
        <f t="shared" si="160"/>
        <v>0</v>
      </c>
      <c r="T494" s="20">
        <f t="shared" si="161"/>
        <v>0.03</v>
      </c>
      <c r="U494" s="19">
        <f t="shared" si="162"/>
        <v>0</v>
      </c>
      <c r="V494" s="18"/>
      <c r="W494" s="19">
        <f t="shared" si="163"/>
        <v>0</v>
      </c>
      <c r="X494" s="19">
        <f t="shared" si="164"/>
        <v>0</v>
      </c>
      <c r="Y494" s="18"/>
      <c r="Z494" s="18"/>
      <c r="AA494" s="19">
        <f t="shared" si="165"/>
        <v>0</v>
      </c>
      <c r="AB494" s="17">
        <v>0</v>
      </c>
      <c r="AC494" s="18"/>
      <c r="AD494" s="18"/>
      <c r="AE494" s="22">
        <f t="shared" si="166"/>
        <v>0</v>
      </c>
      <c r="AF494" s="23">
        <f t="shared" si="167"/>
        <v>0</v>
      </c>
      <c r="AG494" s="23">
        <f t="shared" si="168"/>
        <v>0</v>
      </c>
      <c r="AH494" s="18"/>
      <c r="AI494" s="24">
        <f t="shared" si="169"/>
        <v>0</v>
      </c>
      <c r="AJ494" s="25">
        <v>0</v>
      </c>
      <c r="AK494" s="24">
        <f t="shared" si="170"/>
        <v>0</v>
      </c>
      <c r="AL494" s="22">
        <f t="shared" si="171"/>
        <v>0</v>
      </c>
      <c r="AM494" s="22">
        <f t="shared" si="172"/>
        <v>0</v>
      </c>
      <c r="AN494" s="22">
        <f t="shared" si="173"/>
        <v>0</v>
      </c>
      <c r="AO494" s="26" t="str">
        <f t="shared" si="174"/>
        <v/>
      </c>
      <c r="AP494" s="26" t="str">
        <f t="shared" si="175"/>
        <v>pre-launch</v>
      </c>
      <c r="AQ494" s="18"/>
      <c r="AR494" s="18"/>
    </row>
    <row r="495" spans="1:44" x14ac:dyDescent="0.25">
      <c r="A495" s="43">
        <v>45556</v>
      </c>
      <c r="B495" s="17">
        <v>451676835.00999999</v>
      </c>
      <c r="C495" s="17">
        <v>0</v>
      </c>
      <c r="D495" s="17">
        <v>4983173</v>
      </c>
      <c r="E495" s="19">
        <f t="shared" si="154"/>
        <v>451676835.00999999</v>
      </c>
      <c r="F495" s="19">
        <f t="shared" si="155"/>
        <v>456660008.00999999</v>
      </c>
      <c r="G495" s="20">
        <f t="shared" si="156"/>
        <v>0</v>
      </c>
      <c r="H495" s="18"/>
      <c r="I495" s="18"/>
      <c r="J495" s="18"/>
      <c r="K495" s="19">
        <f t="shared" si="157"/>
        <v>0</v>
      </c>
      <c r="L495" s="18"/>
      <c r="M495" s="18"/>
      <c r="N495" s="18"/>
      <c r="O495" s="19">
        <f t="shared" si="158"/>
        <v>0</v>
      </c>
      <c r="P495" s="21">
        <f t="shared" si="159"/>
        <v>0</v>
      </c>
      <c r="Q495" s="18"/>
      <c r="R495" s="18"/>
      <c r="S495" s="19">
        <f t="shared" si="160"/>
        <v>0</v>
      </c>
      <c r="T495" s="20">
        <f t="shared" si="161"/>
        <v>0.03</v>
      </c>
      <c r="U495" s="19">
        <f t="shared" si="162"/>
        <v>0</v>
      </c>
      <c r="V495" s="18"/>
      <c r="W495" s="19">
        <f t="shared" si="163"/>
        <v>0</v>
      </c>
      <c r="X495" s="19">
        <f t="shared" si="164"/>
        <v>0</v>
      </c>
      <c r="Y495" s="18"/>
      <c r="Z495" s="18"/>
      <c r="AA495" s="19">
        <f t="shared" si="165"/>
        <v>0</v>
      </c>
      <c r="AB495" s="17">
        <v>0</v>
      </c>
      <c r="AC495" s="18"/>
      <c r="AD495" s="18"/>
      <c r="AE495" s="22">
        <f t="shared" si="166"/>
        <v>0</v>
      </c>
      <c r="AF495" s="23">
        <f t="shared" si="167"/>
        <v>0</v>
      </c>
      <c r="AG495" s="23">
        <f t="shared" si="168"/>
        <v>0</v>
      </c>
      <c r="AH495" s="18"/>
      <c r="AI495" s="24">
        <f t="shared" si="169"/>
        <v>0</v>
      </c>
      <c r="AJ495" s="25">
        <v>0</v>
      </c>
      <c r="AK495" s="24">
        <f t="shared" si="170"/>
        <v>0</v>
      </c>
      <c r="AL495" s="22">
        <f t="shared" si="171"/>
        <v>0</v>
      </c>
      <c r="AM495" s="22">
        <f t="shared" si="172"/>
        <v>0</v>
      </c>
      <c r="AN495" s="22">
        <f t="shared" si="173"/>
        <v>0</v>
      </c>
      <c r="AO495" s="26" t="str">
        <f t="shared" si="174"/>
        <v/>
      </c>
      <c r="AP495" s="26" t="str">
        <f t="shared" si="175"/>
        <v>pre-launch</v>
      </c>
      <c r="AQ495" s="18"/>
      <c r="AR495" s="18"/>
    </row>
    <row r="496" spans="1:44" x14ac:dyDescent="0.25">
      <c r="A496" s="43">
        <v>45557</v>
      </c>
      <c r="B496" s="17">
        <v>669725868.33000004</v>
      </c>
      <c r="C496" s="17">
        <v>0</v>
      </c>
      <c r="D496" s="17">
        <v>4441106</v>
      </c>
      <c r="E496" s="19">
        <f t="shared" si="154"/>
        <v>669725868.33000004</v>
      </c>
      <c r="F496" s="19">
        <f t="shared" si="155"/>
        <v>674166974.33000004</v>
      </c>
      <c r="G496" s="20">
        <f t="shared" si="156"/>
        <v>0</v>
      </c>
      <c r="H496" s="18"/>
      <c r="I496" s="18"/>
      <c r="J496" s="18"/>
      <c r="K496" s="19">
        <f t="shared" si="157"/>
        <v>0</v>
      </c>
      <c r="L496" s="18"/>
      <c r="M496" s="18"/>
      <c r="N496" s="18"/>
      <c r="O496" s="19">
        <f t="shared" si="158"/>
        <v>0</v>
      </c>
      <c r="P496" s="21">
        <f t="shared" si="159"/>
        <v>0</v>
      </c>
      <c r="Q496" s="18"/>
      <c r="R496" s="18"/>
      <c r="S496" s="19">
        <f t="shared" si="160"/>
        <v>0</v>
      </c>
      <c r="T496" s="20">
        <f t="shared" si="161"/>
        <v>0.03</v>
      </c>
      <c r="U496" s="19">
        <f t="shared" si="162"/>
        <v>0</v>
      </c>
      <c r="V496" s="18"/>
      <c r="W496" s="19">
        <f t="shared" si="163"/>
        <v>0</v>
      </c>
      <c r="X496" s="19">
        <f t="shared" si="164"/>
        <v>0</v>
      </c>
      <c r="Y496" s="18"/>
      <c r="Z496" s="18"/>
      <c r="AA496" s="19">
        <f t="shared" si="165"/>
        <v>0</v>
      </c>
      <c r="AB496" s="17">
        <v>0</v>
      </c>
      <c r="AC496" s="18"/>
      <c r="AD496" s="18"/>
      <c r="AE496" s="22">
        <f t="shared" si="166"/>
        <v>0</v>
      </c>
      <c r="AF496" s="23">
        <f t="shared" si="167"/>
        <v>0</v>
      </c>
      <c r="AG496" s="23">
        <f t="shared" si="168"/>
        <v>0</v>
      </c>
      <c r="AH496" s="18"/>
      <c r="AI496" s="24">
        <f t="shared" si="169"/>
        <v>0</v>
      </c>
      <c r="AJ496" s="25">
        <v>0</v>
      </c>
      <c r="AK496" s="24">
        <f t="shared" si="170"/>
        <v>0</v>
      </c>
      <c r="AL496" s="22">
        <f t="shared" si="171"/>
        <v>0</v>
      </c>
      <c r="AM496" s="22">
        <f t="shared" si="172"/>
        <v>0</v>
      </c>
      <c r="AN496" s="22">
        <f t="shared" si="173"/>
        <v>0</v>
      </c>
      <c r="AO496" s="26" t="str">
        <f t="shared" si="174"/>
        <v/>
      </c>
      <c r="AP496" s="26" t="str">
        <f t="shared" si="175"/>
        <v>pre-launch</v>
      </c>
      <c r="AQ496" s="18"/>
      <c r="AR496" s="18"/>
    </row>
    <row r="497" spans="1:44" x14ac:dyDescent="0.25">
      <c r="A497" s="43">
        <v>45558</v>
      </c>
      <c r="B497" s="17">
        <v>1426457872.23</v>
      </c>
      <c r="C497" s="17">
        <v>0</v>
      </c>
      <c r="D497" s="17">
        <v>9787031</v>
      </c>
      <c r="E497" s="19">
        <f t="shared" si="154"/>
        <v>1426457872.23</v>
      </c>
      <c r="F497" s="19">
        <f t="shared" si="155"/>
        <v>1436244903.23</v>
      </c>
      <c r="G497" s="20">
        <f t="shared" si="156"/>
        <v>0</v>
      </c>
      <c r="H497" s="18"/>
      <c r="I497" s="18"/>
      <c r="J497" s="18"/>
      <c r="K497" s="19">
        <f t="shared" si="157"/>
        <v>0</v>
      </c>
      <c r="L497" s="18"/>
      <c r="M497" s="18"/>
      <c r="N497" s="18"/>
      <c r="O497" s="19">
        <f t="shared" si="158"/>
        <v>0</v>
      </c>
      <c r="P497" s="21">
        <f t="shared" si="159"/>
        <v>0</v>
      </c>
      <c r="Q497" s="18"/>
      <c r="R497" s="18"/>
      <c r="S497" s="19">
        <f t="shared" si="160"/>
        <v>0</v>
      </c>
      <c r="T497" s="20">
        <f t="shared" si="161"/>
        <v>0.03</v>
      </c>
      <c r="U497" s="19">
        <f t="shared" si="162"/>
        <v>0</v>
      </c>
      <c r="V497" s="18"/>
      <c r="W497" s="19">
        <f t="shared" si="163"/>
        <v>0</v>
      </c>
      <c r="X497" s="19">
        <f t="shared" si="164"/>
        <v>0</v>
      </c>
      <c r="Y497" s="18"/>
      <c r="Z497" s="18"/>
      <c r="AA497" s="19">
        <f t="shared" si="165"/>
        <v>0</v>
      </c>
      <c r="AB497" s="17">
        <v>0</v>
      </c>
      <c r="AC497" s="18"/>
      <c r="AD497" s="18"/>
      <c r="AE497" s="22">
        <f t="shared" si="166"/>
        <v>0</v>
      </c>
      <c r="AF497" s="23">
        <f t="shared" si="167"/>
        <v>0</v>
      </c>
      <c r="AG497" s="23">
        <f t="shared" si="168"/>
        <v>0</v>
      </c>
      <c r="AH497" s="18"/>
      <c r="AI497" s="24">
        <f t="shared" si="169"/>
        <v>0</v>
      </c>
      <c r="AJ497" s="25">
        <v>0</v>
      </c>
      <c r="AK497" s="24">
        <f t="shared" si="170"/>
        <v>0</v>
      </c>
      <c r="AL497" s="22">
        <f t="shared" si="171"/>
        <v>0</v>
      </c>
      <c r="AM497" s="22">
        <f t="shared" si="172"/>
        <v>0</v>
      </c>
      <c r="AN497" s="22">
        <f t="shared" si="173"/>
        <v>0</v>
      </c>
      <c r="AO497" s="26" t="str">
        <f t="shared" si="174"/>
        <v/>
      </c>
      <c r="AP497" s="26" t="str">
        <f t="shared" si="175"/>
        <v>pre-launch</v>
      </c>
      <c r="AQ497" s="18"/>
      <c r="AR497" s="18"/>
    </row>
    <row r="498" spans="1:44" x14ac:dyDescent="0.25">
      <c r="A498" s="43">
        <v>45559</v>
      </c>
      <c r="B498" s="17">
        <v>1219415265.45</v>
      </c>
      <c r="C498" s="17">
        <v>0</v>
      </c>
      <c r="D498" s="17">
        <v>4003448</v>
      </c>
      <c r="E498" s="19">
        <f t="shared" si="154"/>
        <v>1219415265.45</v>
      </c>
      <c r="F498" s="19">
        <f t="shared" si="155"/>
        <v>1223418713.45</v>
      </c>
      <c r="G498" s="20">
        <f t="shared" si="156"/>
        <v>0</v>
      </c>
      <c r="H498" s="18"/>
      <c r="I498" s="18"/>
      <c r="J498" s="18"/>
      <c r="K498" s="19">
        <f t="shared" si="157"/>
        <v>0</v>
      </c>
      <c r="L498" s="18"/>
      <c r="M498" s="18"/>
      <c r="N498" s="18"/>
      <c r="O498" s="19">
        <f t="shared" si="158"/>
        <v>0</v>
      </c>
      <c r="P498" s="21">
        <f t="shared" si="159"/>
        <v>0</v>
      </c>
      <c r="Q498" s="18"/>
      <c r="R498" s="18"/>
      <c r="S498" s="19">
        <f t="shared" si="160"/>
        <v>0</v>
      </c>
      <c r="T498" s="20">
        <f t="shared" si="161"/>
        <v>0.03</v>
      </c>
      <c r="U498" s="19">
        <f t="shared" si="162"/>
        <v>0</v>
      </c>
      <c r="V498" s="18"/>
      <c r="W498" s="19">
        <f t="shared" si="163"/>
        <v>0</v>
      </c>
      <c r="X498" s="19">
        <f t="shared" si="164"/>
        <v>0</v>
      </c>
      <c r="Y498" s="18"/>
      <c r="Z498" s="18"/>
      <c r="AA498" s="19">
        <f t="shared" si="165"/>
        <v>0</v>
      </c>
      <c r="AB498" s="17">
        <v>0</v>
      </c>
      <c r="AC498" s="18"/>
      <c r="AD498" s="18"/>
      <c r="AE498" s="22">
        <f t="shared" si="166"/>
        <v>0</v>
      </c>
      <c r="AF498" s="23">
        <f t="shared" si="167"/>
        <v>0</v>
      </c>
      <c r="AG498" s="23">
        <f t="shared" si="168"/>
        <v>0</v>
      </c>
      <c r="AH498" s="18"/>
      <c r="AI498" s="24">
        <f t="shared" si="169"/>
        <v>0</v>
      </c>
      <c r="AJ498" s="25">
        <v>0</v>
      </c>
      <c r="AK498" s="24">
        <f t="shared" si="170"/>
        <v>0</v>
      </c>
      <c r="AL498" s="22">
        <f t="shared" si="171"/>
        <v>0</v>
      </c>
      <c r="AM498" s="22">
        <f t="shared" si="172"/>
        <v>0</v>
      </c>
      <c r="AN498" s="22">
        <f t="shared" si="173"/>
        <v>0</v>
      </c>
      <c r="AO498" s="26" t="str">
        <f t="shared" si="174"/>
        <v/>
      </c>
      <c r="AP498" s="26" t="str">
        <f t="shared" si="175"/>
        <v>pre-launch</v>
      </c>
      <c r="AQ498" s="18"/>
      <c r="AR498" s="18"/>
    </row>
    <row r="499" spans="1:44" x14ac:dyDescent="0.25">
      <c r="A499" s="43">
        <v>45560</v>
      </c>
      <c r="B499" s="17">
        <v>1206077012.6500001</v>
      </c>
      <c r="C499" s="17">
        <v>0</v>
      </c>
      <c r="D499" s="17">
        <v>4050062</v>
      </c>
      <c r="E499" s="19">
        <f t="shared" si="154"/>
        <v>1206077012.6500001</v>
      </c>
      <c r="F499" s="19">
        <f t="shared" si="155"/>
        <v>1210127074.6500001</v>
      </c>
      <c r="G499" s="20">
        <f t="shared" si="156"/>
        <v>0</v>
      </c>
      <c r="H499" s="18"/>
      <c r="I499" s="18"/>
      <c r="J499" s="18"/>
      <c r="K499" s="19">
        <f t="shared" si="157"/>
        <v>0</v>
      </c>
      <c r="L499" s="18"/>
      <c r="M499" s="18"/>
      <c r="N499" s="18"/>
      <c r="O499" s="19">
        <f t="shared" si="158"/>
        <v>0</v>
      </c>
      <c r="P499" s="21">
        <f t="shared" si="159"/>
        <v>0</v>
      </c>
      <c r="Q499" s="18"/>
      <c r="R499" s="18"/>
      <c r="S499" s="19">
        <f t="shared" si="160"/>
        <v>0</v>
      </c>
      <c r="T499" s="20">
        <f t="shared" si="161"/>
        <v>0.03</v>
      </c>
      <c r="U499" s="19">
        <f t="shared" si="162"/>
        <v>0</v>
      </c>
      <c r="V499" s="18"/>
      <c r="W499" s="19">
        <f t="shared" si="163"/>
        <v>0</v>
      </c>
      <c r="X499" s="19">
        <f t="shared" si="164"/>
        <v>0</v>
      </c>
      <c r="Y499" s="18"/>
      <c r="Z499" s="18"/>
      <c r="AA499" s="19">
        <f t="shared" si="165"/>
        <v>0</v>
      </c>
      <c r="AB499" s="17">
        <v>0</v>
      </c>
      <c r="AC499" s="18"/>
      <c r="AD499" s="18"/>
      <c r="AE499" s="22">
        <f t="shared" si="166"/>
        <v>0</v>
      </c>
      <c r="AF499" s="23">
        <f t="shared" si="167"/>
        <v>0</v>
      </c>
      <c r="AG499" s="23">
        <f t="shared" si="168"/>
        <v>0</v>
      </c>
      <c r="AH499" s="18"/>
      <c r="AI499" s="24">
        <f t="shared" si="169"/>
        <v>0</v>
      </c>
      <c r="AJ499" s="25">
        <v>0</v>
      </c>
      <c r="AK499" s="24">
        <f t="shared" si="170"/>
        <v>0</v>
      </c>
      <c r="AL499" s="22">
        <f t="shared" si="171"/>
        <v>0</v>
      </c>
      <c r="AM499" s="22">
        <f t="shared" si="172"/>
        <v>0</v>
      </c>
      <c r="AN499" s="22">
        <f t="shared" si="173"/>
        <v>0</v>
      </c>
      <c r="AO499" s="26" t="str">
        <f t="shared" si="174"/>
        <v/>
      </c>
      <c r="AP499" s="26" t="str">
        <f t="shared" si="175"/>
        <v>pre-launch</v>
      </c>
      <c r="AQ499" s="18"/>
      <c r="AR499" s="18"/>
    </row>
    <row r="500" spans="1:44" x14ac:dyDescent="0.25">
      <c r="A500" s="43">
        <v>45561</v>
      </c>
      <c r="B500" s="17">
        <v>1652072513.3499999</v>
      </c>
      <c r="C500" s="17">
        <v>0</v>
      </c>
      <c r="D500" s="17">
        <v>2720909</v>
      </c>
      <c r="E500" s="19">
        <f t="shared" si="154"/>
        <v>1652072513.3499999</v>
      </c>
      <c r="F500" s="19">
        <f t="shared" si="155"/>
        <v>1654793422.3499999</v>
      </c>
      <c r="G500" s="20">
        <f t="shared" si="156"/>
        <v>0</v>
      </c>
      <c r="H500" s="18"/>
      <c r="I500" s="18"/>
      <c r="J500" s="18"/>
      <c r="K500" s="19">
        <f t="shared" si="157"/>
        <v>0</v>
      </c>
      <c r="L500" s="18"/>
      <c r="M500" s="18"/>
      <c r="N500" s="18"/>
      <c r="O500" s="19">
        <f t="shared" si="158"/>
        <v>0</v>
      </c>
      <c r="P500" s="21">
        <f t="shared" si="159"/>
        <v>0</v>
      </c>
      <c r="Q500" s="18"/>
      <c r="R500" s="18"/>
      <c r="S500" s="19">
        <f t="shared" si="160"/>
        <v>0</v>
      </c>
      <c r="T500" s="20">
        <f t="shared" si="161"/>
        <v>0.03</v>
      </c>
      <c r="U500" s="19">
        <f t="shared" si="162"/>
        <v>0</v>
      </c>
      <c r="V500" s="18"/>
      <c r="W500" s="19">
        <f t="shared" si="163"/>
        <v>0</v>
      </c>
      <c r="X500" s="19">
        <f t="shared" si="164"/>
        <v>0</v>
      </c>
      <c r="Y500" s="18"/>
      <c r="Z500" s="18"/>
      <c r="AA500" s="19">
        <f t="shared" si="165"/>
        <v>0</v>
      </c>
      <c r="AB500" s="17">
        <v>0</v>
      </c>
      <c r="AC500" s="18"/>
      <c r="AD500" s="18"/>
      <c r="AE500" s="22">
        <f t="shared" si="166"/>
        <v>0</v>
      </c>
      <c r="AF500" s="23">
        <f t="shared" si="167"/>
        <v>0</v>
      </c>
      <c r="AG500" s="23">
        <f t="shared" si="168"/>
        <v>0</v>
      </c>
      <c r="AH500" s="18"/>
      <c r="AI500" s="24">
        <f t="shared" si="169"/>
        <v>0</v>
      </c>
      <c r="AJ500" s="25">
        <v>0</v>
      </c>
      <c r="AK500" s="24">
        <f t="shared" si="170"/>
        <v>0</v>
      </c>
      <c r="AL500" s="22">
        <f t="shared" si="171"/>
        <v>0</v>
      </c>
      <c r="AM500" s="22">
        <f t="shared" si="172"/>
        <v>0</v>
      </c>
      <c r="AN500" s="22">
        <f t="shared" si="173"/>
        <v>0</v>
      </c>
      <c r="AO500" s="26" t="str">
        <f t="shared" si="174"/>
        <v/>
      </c>
      <c r="AP500" s="26" t="str">
        <f t="shared" si="175"/>
        <v>pre-launch</v>
      </c>
      <c r="AQ500" s="18"/>
      <c r="AR500" s="18"/>
    </row>
    <row r="501" spans="1:44" x14ac:dyDescent="0.25">
      <c r="A501" s="43">
        <v>45562</v>
      </c>
      <c r="B501" s="17">
        <v>1360871284.6900001</v>
      </c>
      <c r="C501" s="17">
        <v>0</v>
      </c>
      <c r="D501" s="17">
        <v>3014452</v>
      </c>
      <c r="E501" s="19">
        <f t="shared" si="154"/>
        <v>1360871284.6900001</v>
      </c>
      <c r="F501" s="19">
        <f t="shared" si="155"/>
        <v>1363885736.6900001</v>
      </c>
      <c r="G501" s="20">
        <f t="shared" si="156"/>
        <v>0</v>
      </c>
      <c r="H501" s="18"/>
      <c r="I501" s="18"/>
      <c r="J501" s="18"/>
      <c r="K501" s="19">
        <f t="shared" si="157"/>
        <v>0</v>
      </c>
      <c r="L501" s="18"/>
      <c r="M501" s="18"/>
      <c r="N501" s="18"/>
      <c r="O501" s="19">
        <f t="shared" si="158"/>
        <v>0</v>
      </c>
      <c r="P501" s="21">
        <f t="shared" si="159"/>
        <v>0</v>
      </c>
      <c r="Q501" s="18"/>
      <c r="R501" s="18"/>
      <c r="S501" s="19">
        <f t="shared" si="160"/>
        <v>0</v>
      </c>
      <c r="T501" s="20">
        <f t="shared" si="161"/>
        <v>0.03</v>
      </c>
      <c r="U501" s="19">
        <f t="shared" si="162"/>
        <v>0</v>
      </c>
      <c r="V501" s="18"/>
      <c r="W501" s="19">
        <f t="shared" si="163"/>
        <v>0</v>
      </c>
      <c r="X501" s="19">
        <f t="shared" si="164"/>
        <v>0</v>
      </c>
      <c r="Y501" s="18"/>
      <c r="Z501" s="18"/>
      <c r="AA501" s="19">
        <f t="shared" si="165"/>
        <v>0</v>
      </c>
      <c r="AB501" s="17">
        <v>0</v>
      </c>
      <c r="AC501" s="18"/>
      <c r="AD501" s="18"/>
      <c r="AE501" s="22">
        <f t="shared" si="166"/>
        <v>0</v>
      </c>
      <c r="AF501" s="23">
        <f t="shared" si="167"/>
        <v>0</v>
      </c>
      <c r="AG501" s="23">
        <f t="shared" si="168"/>
        <v>0</v>
      </c>
      <c r="AH501" s="18"/>
      <c r="AI501" s="24">
        <f t="shared" si="169"/>
        <v>0</v>
      </c>
      <c r="AJ501" s="25">
        <v>0</v>
      </c>
      <c r="AK501" s="24">
        <f t="shared" si="170"/>
        <v>0</v>
      </c>
      <c r="AL501" s="22">
        <f t="shared" si="171"/>
        <v>0</v>
      </c>
      <c r="AM501" s="22">
        <f t="shared" si="172"/>
        <v>0</v>
      </c>
      <c r="AN501" s="22">
        <f t="shared" si="173"/>
        <v>0</v>
      </c>
      <c r="AO501" s="26" t="str">
        <f t="shared" si="174"/>
        <v/>
      </c>
      <c r="AP501" s="26" t="str">
        <f t="shared" si="175"/>
        <v>pre-launch</v>
      </c>
      <c r="AQ501" s="18"/>
      <c r="AR501" s="18"/>
    </row>
    <row r="502" spans="1:44" x14ac:dyDescent="0.25">
      <c r="A502" s="43">
        <v>45563</v>
      </c>
      <c r="B502" s="17">
        <v>625879224.55999994</v>
      </c>
      <c r="C502" s="17">
        <v>0</v>
      </c>
      <c r="D502" s="17">
        <v>2447124</v>
      </c>
      <c r="E502" s="19">
        <f t="shared" si="154"/>
        <v>625879224.55999994</v>
      </c>
      <c r="F502" s="19">
        <f t="shared" si="155"/>
        <v>628326348.55999994</v>
      </c>
      <c r="G502" s="20">
        <f t="shared" si="156"/>
        <v>0</v>
      </c>
      <c r="H502" s="18"/>
      <c r="I502" s="18"/>
      <c r="J502" s="18"/>
      <c r="K502" s="19">
        <f t="shared" si="157"/>
        <v>0</v>
      </c>
      <c r="L502" s="18"/>
      <c r="M502" s="18"/>
      <c r="N502" s="18"/>
      <c r="O502" s="19">
        <f t="shared" si="158"/>
        <v>0</v>
      </c>
      <c r="P502" s="21">
        <f t="shared" si="159"/>
        <v>0</v>
      </c>
      <c r="Q502" s="18"/>
      <c r="R502" s="18"/>
      <c r="S502" s="19">
        <f t="shared" si="160"/>
        <v>0</v>
      </c>
      <c r="T502" s="20">
        <f t="shared" si="161"/>
        <v>0.03</v>
      </c>
      <c r="U502" s="19">
        <f t="shared" si="162"/>
        <v>0</v>
      </c>
      <c r="V502" s="18"/>
      <c r="W502" s="19">
        <f t="shared" si="163"/>
        <v>0</v>
      </c>
      <c r="X502" s="19">
        <f t="shared" si="164"/>
        <v>0</v>
      </c>
      <c r="Y502" s="18"/>
      <c r="Z502" s="18"/>
      <c r="AA502" s="19">
        <f t="shared" si="165"/>
        <v>0</v>
      </c>
      <c r="AB502" s="17">
        <v>0</v>
      </c>
      <c r="AC502" s="18"/>
      <c r="AD502" s="18"/>
      <c r="AE502" s="22">
        <f t="shared" si="166"/>
        <v>0</v>
      </c>
      <c r="AF502" s="23">
        <f t="shared" si="167"/>
        <v>0</v>
      </c>
      <c r="AG502" s="23">
        <f t="shared" si="168"/>
        <v>0</v>
      </c>
      <c r="AH502" s="18"/>
      <c r="AI502" s="24">
        <f t="shared" si="169"/>
        <v>0</v>
      </c>
      <c r="AJ502" s="25">
        <v>0</v>
      </c>
      <c r="AK502" s="24">
        <f t="shared" si="170"/>
        <v>0</v>
      </c>
      <c r="AL502" s="22">
        <f t="shared" si="171"/>
        <v>0</v>
      </c>
      <c r="AM502" s="22">
        <f t="shared" si="172"/>
        <v>0</v>
      </c>
      <c r="AN502" s="22">
        <f t="shared" si="173"/>
        <v>0</v>
      </c>
      <c r="AO502" s="26" t="str">
        <f t="shared" si="174"/>
        <v/>
      </c>
      <c r="AP502" s="26" t="str">
        <f t="shared" si="175"/>
        <v>pre-launch</v>
      </c>
      <c r="AQ502" s="18"/>
      <c r="AR502" s="18"/>
    </row>
    <row r="503" spans="1:44" x14ac:dyDescent="0.25">
      <c r="A503" s="43">
        <v>45564</v>
      </c>
      <c r="B503" s="17">
        <v>566532655.25</v>
      </c>
      <c r="C503" s="17">
        <v>0</v>
      </c>
      <c r="D503" s="17">
        <v>1971820</v>
      </c>
      <c r="E503" s="19">
        <f t="shared" si="154"/>
        <v>566532655.25</v>
      </c>
      <c r="F503" s="19">
        <f t="shared" si="155"/>
        <v>568504475.25</v>
      </c>
      <c r="G503" s="20">
        <f t="shared" si="156"/>
        <v>0</v>
      </c>
      <c r="H503" s="18"/>
      <c r="I503" s="18"/>
      <c r="J503" s="18"/>
      <c r="K503" s="19">
        <f t="shared" si="157"/>
        <v>0</v>
      </c>
      <c r="L503" s="18"/>
      <c r="M503" s="18"/>
      <c r="N503" s="18"/>
      <c r="O503" s="19">
        <f t="shared" si="158"/>
        <v>0</v>
      </c>
      <c r="P503" s="21">
        <f t="shared" si="159"/>
        <v>0</v>
      </c>
      <c r="Q503" s="18"/>
      <c r="R503" s="18"/>
      <c r="S503" s="19">
        <f t="shared" si="160"/>
        <v>0</v>
      </c>
      <c r="T503" s="20">
        <f t="shared" si="161"/>
        <v>0.03</v>
      </c>
      <c r="U503" s="19">
        <f t="shared" si="162"/>
        <v>0</v>
      </c>
      <c r="V503" s="18"/>
      <c r="W503" s="19">
        <f t="shared" si="163"/>
        <v>0</v>
      </c>
      <c r="X503" s="19">
        <f t="shared" si="164"/>
        <v>0</v>
      </c>
      <c r="Y503" s="18"/>
      <c r="Z503" s="18"/>
      <c r="AA503" s="19">
        <f t="shared" si="165"/>
        <v>0</v>
      </c>
      <c r="AB503" s="17">
        <v>0</v>
      </c>
      <c r="AC503" s="18"/>
      <c r="AD503" s="18"/>
      <c r="AE503" s="22">
        <f t="shared" si="166"/>
        <v>0</v>
      </c>
      <c r="AF503" s="23">
        <f t="shared" si="167"/>
        <v>0</v>
      </c>
      <c r="AG503" s="23">
        <f t="shared" si="168"/>
        <v>0</v>
      </c>
      <c r="AH503" s="18"/>
      <c r="AI503" s="24">
        <f t="shared" si="169"/>
        <v>0</v>
      </c>
      <c r="AJ503" s="25">
        <v>0</v>
      </c>
      <c r="AK503" s="24">
        <f t="shared" si="170"/>
        <v>0</v>
      </c>
      <c r="AL503" s="22">
        <f t="shared" si="171"/>
        <v>0</v>
      </c>
      <c r="AM503" s="22">
        <f t="shared" si="172"/>
        <v>0</v>
      </c>
      <c r="AN503" s="22">
        <f t="shared" si="173"/>
        <v>0</v>
      </c>
      <c r="AO503" s="26" t="str">
        <f t="shared" si="174"/>
        <v/>
      </c>
      <c r="AP503" s="26" t="str">
        <f t="shared" si="175"/>
        <v>pre-launch</v>
      </c>
      <c r="AQ503" s="18"/>
      <c r="AR503" s="18"/>
    </row>
    <row r="504" spans="1:44" x14ac:dyDescent="0.25">
      <c r="A504" s="43">
        <v>45565</v>
      </c>
      <c r="B504" s="17">
        <v>1441213199.6800001</v>
      </c>
      <c r="C504" s="17">
        <v>0</v>
      </c>
      <c r="D504" s="17">
        <v>2992524</v>
      </c>
      <c r="E504" s="19">
        <f t="shared" si="154"/>
        <v>1441213199.6800001</v>
      </c>
      <c r="F504" s="19">
        <f t="shared" si="155"/>
        <v>1444205723.6800001</v>
      </c>
      <c r="G504" s="20">
        <f t="shared" si="156"/>
        <v>0</v>
      </c>
      <c r="H504" s="18"/>
      <c r="I504" s="18"/>
      <c r="J504" s="18"/>
      <c r="K504" s="19">
        <f t="shared" si="157"/>
        <v>0</v>
      </c>
      <c r="L504" s="18"/>
      <c r="M504" s="18"/>
      <c r="N504" s="18"/>
      <c r="O504" s="19">
        <f t="shared" si="158"/>
        <v>0</v>
      </c>
      <c r="P504" s="21">
        <f t="shared" si="159"/>
        <v>0</v>
      </c>
      <c r="Q504" s="18"/>
      <c r="R504" s="18"/>
      <c r="S504" s="19">
        <f t="shared" si="160"/>
        <v>0</v>
      </c>
      <c r="T504" s="20">
        <f t="shared" si="161"/>
        <v>0.03</v>
      </c>
      <c r="U504" s="19">
        <f t="shared" si="162"/>
        <v>0</v>
      </c>
      <c r="V504" s="18"/>
      <c r="W504" s="19">
        <f t="shared" si="163"/>
        <v>0</v>
      </c>
      <c r="X504" s="19">
        <f t="shared" si="164"/>
        <v>0</v>
      </c>
      <c r="Y504" s="18"/>
      <c r="Z504" s="18"/>
      <c r="AA504" s="19">
        <f t="shared" si="165"/>
        <v>0</v>
      </c>
      <c r="AB504" s="17">
        <v>0</v>
      </c>
      <c r="AC504" s="18"/>
      <c r="AD504" s="18"/>
      <c r="AE504" s="22">
        <f t="shared" si="166"/>
        <v>0</v>
      </c>
      <c r="AF504" s="23">
        <f t="shared" si="167"/>
        <v>0</v>
      </c>
      <c r="AG504" s="23">
        <f t="shared" si="168"/>
        <v>0</v>
      </c>
      <c r="AH504" s="18"/>
      <c r="AI504" s="24">
        <f t="shared" si="169"/>
        <v>0</v>
      </c>
      <c r="AJ504" s="25">
        <v>0</v>
      </c>
      <c r="AK504" s="24">
        <f t="shared" si="170"/>
        <v>0</v>
      </c>
      <c r="AL504" s="22">
        <f t="shared" si="171"/>
        <v>0</v>
      </c>
      <c r="AM504" s="22">
        <f t="shared" si="172"/>
        <v>0</v>
      </c>
      <c r="AN504" s="22">
        <f t="shared" si="173"/>
        <v>0</v>
      </c>
      <c r="AO504" s="26" t="str">
        <f t="shared" si="174"/>
        <v/>
      </c>
      <c r="AP504" s="26" t="str">
        <f t="shared" si="175"/>
        <v>pre-launch</v>
      </c>
      <c r="AQ504" s="18"/>
      <c r="AR504" s="18"/>
    </row>
    <row r="505" spans="1:44" x14ac:dyDescent="0.25">
      <c r="A505" s="43">
        <v>45566</v>
      </c>
      <c r="B505" s="17">
        <v>3030524021.2399998</v>
      </c>
      <c r="C505" s="17">
        <v>0</v>
      </c>
      <c r="D505" s="17">
        <v>4385358</v>
      </c>
      <c r="E505" s="19">
        <f t="shared" si="154"/>
        <v>3030524021.2399998</v>
      </c>
      <c r="F505" s="19">
        <f t="shared" si="155"/>
        <v>3034909379.2399998</v>
      </c>
      <c r="G505" s="20">
        <f t="shared" si="156"/>
        <v>0</v>
      </c>
      <c r="H505" s="18"/>
      <c r="I505" s="18"/>
      <c r="J505" s="18"/>
      <c r="K505" s="19">
        <f t="shared" si="157"/>
        <v>0</v>
      </c>
      <c r="L505" s="18"/>
      <c r="M505" s="18"/>
      <c r="N505" s="18"/>
      <c r="O505" s="19">
        <f t="shared" si="158"/>
        <v>0</v>
      </c>
      <c r="P505" s="21">
        <f t="shared" si="159"/>
        <v>0</v>
      </c>
      <c r="Q505" s="18"/>
      <c r="R505" s="18"/>
      <c r="S505" s="19">
        <f t="shared" si="160"/>
        <v>0</v>
      </c>
      <c r="T505" s="20">
        <f t="shared" si="161"/>
        <v>0.03</v>
      </c>
      <c r="U505" s="19">
        <f t="shared" si="162"/>
        <v>0</v>
      </c>
      <c r="V505" s="18"/>
      <c r="W505" s="19">
        <f t="shared" si="163"/>
        <v>0</v>
      </c>
      <c r="X505" s="19">
        <f t="shared" si="164"/>
        <v>0</v>
      </c>
      <c r="Y505" s="18"/>
      <c r="Z505" s="18"/>
      <c r="AA505" s="19">
        <f t="shared" si="165"/>
        <v>0</v>
      </c>
      <c r="AB505" s="17">
        <v>0</v>
      </c>
      <c r="AC505" s="18"/>
      <c r="AD505" s="18"/>
      <c r="AE505" s="22">
        <f t="shared" si="166"/>
        <v>0</v>
      </c>
      <c r="AF505" s="23">
        <f t="shared" si="167"/>
        <v>0</v>
      </c>
      <c r="AG505" s="23">
        <f t="shared" si="168"/>
        <v>0</v>
      </c>
      <c r="AH505" s="18"/>
      <c r="AI505" s="24">
        <f t="shared" si="169"/>
        <v>0</v>
      </c>
      <c r="AJ505" s="25">
        <v>0</v>
      </c>
      <c r="AK505" s="24">
        <f t="shared" si="170"/>
        <v>0</v>
      </c>
      <c r="AL505" s="22">
        <f t="shared" si="171"/>
        <v>0</v>
      </c>
      <c r="AM505" s="22">
        <f t="shared" si="172"/>
        <v>0</v>
      </c>
      <c r="AN505" s="22">
        <f t="shared" si="173"/>
        <v>0</v>
      </c>
      <c r="AO505" s="26" t="str">
        <f t="shared" si="174"/>
        <v/>
      </c>
      <c r="AP505" s="26" t="str">
        <f t="shared" si="175"/>
        <v>pre-launch</v>
      </c>
      <c r="AQ505" s="18"/>
      <c r="AR505" s="18"/>
    </row>
    <row r="506" spans="1:44" x14ac:dyDescent="0.25">
      <c r="A506" s="43">
        <v>45567</v>
      </c>
      <c r="B506" s="17">
        <v>1714483327.24</v>
      </c>
      <c r="C506" s="17">
        <v>0</v>
      </c>
      <c r="D506" s="17">
        <v>2766600</v>
      </c>
      <c r="E506" s="19">
        <f t="shared" si="154"/>
        <v>1714483327.24</v>
      </c>
      <c r="F506" s="19">
        <f t="shared" si="155"/>
        <v>1717249927.24</v>
      </c>
      <c r="G506" s="20">
        <f t="shared" si="156"/>
        <v>0</v>
      </c>
      <c r="H506" s="18"/>
      <c r="I506" s="18"/>
      <c r="J506" s="18"/>
      <c r="K506" s="19">
        <f t="shared" si="157"/>
        <v>0</v>
      </c>
      <c r="L506" s="18"/>
      <c r="M506" s="18"/>
      <c r="N506" s="18"/>
      <c r="O506" s="19">
        <f t="shared" si="158"/>
        <v>0</v>
      </c>
      <c r="P506" s="21">
        <f t="shared" si="159"/>
        <v>0</v>
      </c>
      <c r="Q506" s="18"/>
      <c r="R506" s="18"/>
      <c r="S506" s="19">
        <f t="shared" si="160"/>
        <v>0</v>
      </c>
      <c r="T506" s="20">
        <f t="shared" si="161"/>
        <v>0.03</v>
      </c>
      <c r="U506" s="19">
        <f t="shared" si="162"/>
        <v>0</v>
      </c>
      <c r="V506" s="18"/>
      <c r="W506" s="19">
        <f t="shared" si="163"/>
        <v>0</v>
      </c>
      <c r="X506" s="19">
        <f t="shared" si="164"/>
        <v>0</v>
      </c>
      <c r="Y506" s="18"/>
      <c r="Z506" s="18"/>
      <c r="AA506" s="19">
        <f t="shared" si="165"/>
        <v>0</v>
      </c>
      <c r="AB506" s="17">
        <v>0</v>
      </c>
      <c r="AC506" s="18"/>
      <c r="AD506" s="18"/>
      <c r="AE506" s="22">
        <f t="shared" si="166"/>
        <v>0</v>
      </c>
      <c r="AF506" s="23">
        <f t="shared" si="167"/>
        <v>0</v>
      </c>
      <c r="AG506" s="23">
        <f t="shared" si="168"/>
        <v>0</v>
      </c>
      <c r="AH506" s="18"/>
      <c r="AI506" s="24">
        <f t="shared" si="169"/>
        <v>0</v>
      </c>
      <c r="AJ506" s="25">
        <v>0</v>
      </c>
      <c r="AK506" s="24">
        <f t="shared" si="170"/>
        <v>0</v>
      </c>
      <c r="AL506" s="22">
        <f t="shared" si="171"/>
        <v>0</v>
      </c>
      <c r="AM506" s="22">
        <f t="shared" si="172"/>
        <v>0</v>
      </c>
      <c r="AN506" s="22">
        <f t="shared" si="173"/>
        <v>0</v>
      </c>
      <c r="AO506" s="26" t="str">
        <f t="shared" si="174"/>
        <v/>
      </c>
      <c r="AP506" s="26" t="str">
        <f t="shared" si="175"/>
        <v>pre-launch</v>
      </c>
      <c r="AQ506" s="18"/>
      <c r="AR506" s="18"/>
    </row>
    <row r="507" spans="1:44" x14ac:dyDescent="0.25">
      <c r="A507" s="43">
        <v>45568</v>
      </c>
      <c r="B507" s="17">
        <v>1954885565.74</v>
      </c>
      <c r="C507" s="17">
        <v>0</v>
      </c>
      <c r="D507" s="17">
        <v>1033881</v>
      </c>
      <c r="E507" s="19">
        <f t="shared" si="154"/>
        <v>1954885565.74</v>
      </c>
      <c r="F507" s="19">
        <f t="shared" si="155"/>
        <v>1955919446.74</v>
      </c>
      <c r="G507" s="20">
        <f t="shared" si="156"/>
        <v>0</v>
      </c>
      <c r="H507" s="18"/>
      <c r="I507" s="18"/>
      <c r="J507" s="18"/>
      <c r="K507" s="19">
        <f t="shared" si="157"/>
        <v>0</v>
      </c>
      <c r="L507" s="18"/>
      <c r="M507" s="18"/>
      <c r="N507" s="18"/>
      <c r="O507" s="19">
        <f t="shared" si="158"/>
        <v>0</v>
      </c>
      <c r="P507" s="21">
        <f t="shared" si="159"/>
        <v>0</v>
      </c>
      <c r="Q507" s="18"/>
      <c r="R507" s="18"/>
      <c r="S507" s="19">
        <f t="shared" si="160"/>
        <v>0</v>
      </c>
      <c r="T507" s="20">
        <f t="shared" si="161"/>
        <v>0.03</v>
      </c>
      <c r="U507" s="19">
        <f t="shared" si="162"/>
        <v>0</v>
      </c>
      <c r="V507" s="18"/>
      <c r="W507" s="19">
        <f t="shared" si="163"/>
        <v>0</v>
      </c>
      <c r="X507" s="19">
        <f t="shared" si="164"/>
        <v>0</v>
      </c>
      <c r="Y507" s="18"/>
      <c r="Z507" s="18"/>
      <c r="AA507" s="19">
        <f t="shared" si="165"/>
        <v>0</v>
      </c>
      <c r="AB507" s="17">
        <v>0</v>
      </c>
      <c r="AC507" s="18"/>
      <c r="AD507" s="18"/>
      <c r="AE507" s="22">
        <f t="shared" si="166"/>
        <v>0</v>
      </c>
      <c r="AF507" s="23">
        <f t="shared" si="167"/>
        <v>0</v>
      </c>
      <c r="AG507" s="23">
        <f t="shared" si="168"/>
        <v>0</v>
      </c>
      <c r="AH507" s="18"/>
      <c r="AI507" s="24">
        <f t="shared" si="169"/>
        <v>0</v>
      </c>
      <c r="AJ507" s="25">
        <v>0</v>
      </c>
      <c r="AK507" s="24">
        <f t="shared" si="170"/>
        <v>0</v>
      </c>
      <c r="AL507" s="22">
        <f t="shared" si="171"/>
        <v>0</v>
      </c>
      <c r="AM507" s="22">
        <f t="shared" si="172"/>
        <v>0</v>
      </c>
      <c r="AN507" s="22">
        <f t="shared" si="173"/>
        <v>0</v>
      </c>
      <c r="AO507" s="26" t="str">
        <f t="shared" si="174"/>
        <v/>
      </c>
      <c r="AP507" s="26" t="str">
        <f t="shared" si="175"/>
        <v>pre-launch</v>
      </c>
      <c r="AQ507" s="18"/>
      <c r="AR507" s="18"/>
    </row>
    <row r="508" spans="1:44" x14ac:dyDescent="0.25">
      <c r="A508" s="43">
        <v>45569</v>
      </c>
      <c r="B508" s="17">
        <v>1095521303.8499999</v>
      </c>
      <c r="C508" s="17">
        <v>0</v>
      </c>
      <c r="D508" s="17">
        <v>2839854</v>
      </c>
      <c r="E508" s="19">
        <f t="shared" si="154"/>
        <v>1095521303.8499999</v>
      </c>
      <c r="F508" s="19">
        <f t="shared" si="155"/>
        <v>1098361157.8499999</v>
      </c>
      <c r="G508" s="20">
        <f t="shared" si="156"/>
        <v>0</v>
      </c>
      <c r="H508" s="18"/>
      <c r="I508" s="18"/>
      <c r="J508" s="18"/>
      <c r="K508" s="19">
        <f t="shared" si="157"/>
        <v>0</v>
      </c>
      <c r="L508" s="18"/>
      <c r="M508" s="18"/>
      <c r="N508" s="18"/>
      <c r="O508" s="19">
        <f t="shared" si="158"/>
        <v>0</v>
      </c>
      <c r="P508" s="21">
        <f t="shared" si="159"/>
        <v>0</v>
      </c>
      <c r="Q508" s="18"/>
      <c r="R508" s="18"/>
      <c r="S508" s="19">
        <f t="shared" si="160"/>
        <v>0</v>
      </c>
      <c r="T508" s="20">
        <f t="shared" si="161"/>
        <v>0.03</v>
      </c>
      <c r="U508" s="19">
        <f t="shared" si="162"/>
        <v>0</v>
      </c>
      <c r="V508" s="18"/>
      <c r="W508" s="19">
        <f t="shared" si="163"/>
        <v>0</v>
      </c>
      <c r="X508" s="19">
        <f t="shared" si="164"/>
        <v>0</v>
      </c>
      <c r="Y508" s="18"/>
      <c r="Z508" s="18"/>
      <c r="AA508" s="19">
        <f t="shared" si="165"/>
        <v>0</v>
      </c>
      <c r="AB508" s="17">
        <v>0</v>
      </c>
      <c r="AC508" s="18"/>
      <c r="AD508" s="18"/>
      <c r="AE508" s="22">
        <f t="shared" si="166"/>
        <v>0</v>
      </c>
      <c r="AF508" s="23">
        <f t="shared" si="167"/>
        <v>0</v>
      </c>
      <c r="AG508" s="23">
        <f t="shared" si="168"/>
        <v>0</v>
      </c>
      <c r="AH508" s="18"/>
      <c r="AI508" s="24">
        <f t="shared" si="169"/>
        <v>0</v>
      </c>
      <c r="AJ508" s="25">
        <v>0</v>
      </c>
      <c r="AK508" s="24">
        <f t="shared" si="170"/>
        <v>0</v>
      </c>
      <c r="AL508" s="22">
        <f t="shared" si="171"/>
        <v>0</v>
      </c>
      <c r="AM508" s="22">
        <f t="shared" si="172"/>
        <v>0</v>
      </c>
      <c r="AN508" s="22">
        <f t="shared" si="173"/>
        <v>0</v>
      </c>
      <c r="AO508" s="26" t="str">
        <f t="shared" si="174"/>
        <v/>
      </c>
      <c r="AP508" s="26" t="str">
        <f t="shared" si="175"/>
        <v>pre-launch</v>
      </c>
      <c r="AQ508" s="18"/>
      <c r="AR508" s="18"/>
    </row>
    <row r="509" spans="1:44" x14ac:dyDescent="0.25">
      <c r="A509" s="43">
        <v>45570</v>
      </c>
      <c r="B509" s="17">
        <v>464723672.19999999</v>
      </c>
      <c r="C509" s="17">
        <v>0</v>
      </c>
      <c r="D509" s="17">
        <v>729557</v>
      </c>
      <c r="E509" s="19">
        <f t="shared" si="154"/>
        <v>464723672.19999999</v>
      </c>
      <c r="F509" s="19">
        <f t="shared" si="155"/>
        <v>465453229.19999999</v>
      </c>
      <c r="G509" s="20">
        <f t="shared" si="156"/>
        <v>0</v>
      </c>
      <c r="H509" s="18"/>
      <c r="I509" s="18"/>
      <c r="J509" s="18"/>
      <c r="K509" s="19">
        <f t="shared" si="157"/>
        <v>0</v>
      </c>
      <c r="L509" s="18"/>
      <c r="M509" s="18"/>
      <c r="N509" s="18"/>
      <c r="O509" s="19">
        <f t="shared" si="158"/>
        <v>0</v>
      </c>
      <c r="P509" s="21">
        <f t="shared" si="159"/>
        <v>0</v>
      </c>
      <c r="Q509" s="18"/>
      <c r="R509" s="18"/>
      <c r="S509" s="19">
        <f t="shared" si="160"/>
        <v>0</v>
      </c>
      <c r="T509" s="20">
        <f t="shared" si="161"/>
        <v>0.03</v>
      </c>
      <c r="U509" s="19">
        <f t="shared" si="162"/>
        <v>0</v>
      </c>
      <c r="V509" s="18"/>
      <c r="W509" s="19">
        <f t="shared" si="163"/>
        <v>0</v>
      </c>
      <c r="X509" s="19">
        <f t="shared" si="164"/>
        <v>0</v>
      </c>
      <c r="Y509" s="18"/>
      <c r="Z509" s="18"/>
      <c r="AA509" s="19">
        <f t="shared" si="165"/>
        <v>0</v>
      </c>
      <c r="AB509" s="17">
        <v>0</v>
      </c>
      <c r="AC509" s="18"/>
      <c r="AD509" s="18"/>
      <c r="AE509" s="22">
        <f t="shared" si="166"/>
        <v>0</v>
      </c>
      <c r="AF509" s="23">
        <f t="shared" si="167"/>
        <v>0</v>
      </c>
      <c r="AG509" s="23">
        <f t="shared" si="168"/>
        <v>0</v>
      </c>
      <c r="AH509" s="18"/>
      <c r="AI509" s="24">
        <f t="shared" si="169"/>
        <v>0</v>
      </c>
      <c r="AJ509" s="25">
        <v>0</v>
      </c>
      <c r="AK509" s="24">
        <f t="shared" si="170"/>
        <v>0</v>
      </c>
      <c r="AL509" s="22">
        <f t="shared" si="171"/>
        <v>0</v>
      </c>
      <c r="AM509" s="22">
        <f t="shared" si="172"/>
        <v>0</v>
      </c>
      <c r="AN509" s="22">
        <f t="shared" si="173"/>
        <v>0</v>
      </c>
      <c r="AO509" s="26" t="str">
        <f t="shared" si="174"/>
        <v/>
      </c>
      <c r="AP509" s="26" t="str">
        <f t="shared" si="175"/>
        <v>pre-launch</v>
      </c>
      <c r="AQ509" s="18"/>
      <c r="AR509" s="18"/>
    </row>
    <row r="510" spans="1:44" x14ac:dyDescent="0.25">
      <c r="A510" s="43">
        <v>45571</v>
      </c>
      <c r="B510" s="17">
        <v>562267864.48000002</v>
      </c>
      <c r="C510" s="17">
        <v>0</v>
      </c>
      <c r="D510" s="17">
        <v>716965</v>
      </c>
      <c r="E510" s="19">
        <f t="shared" si="154"/>
        <v>562267864.48000002</v>
      </c>
      <c r="F510" s="19">
        <f t="shared" si="155"/>
        <v>562984829.48000002</v>
      </c>
      <c r="G510" s="20">
        <f t="shared" si="156"/>
        <v>0</v>
      </c>
      <c r="H510" s="18"/>
      <c r="I510" s="18"/>
      <c r="J510" s="18"/>
      <c r="K510" s="19">
        <f t="shared" si="157"/>
        <v>0</v>
      </c>
      <c r="L510" s="18"/>
      <c r="M510" s="18"/>
      <c r="N510" s="18"/>
      <c r="O510" s="19">
        <f t="shared" si="158"/>
        <v>0</v>
      </c>
      <c r="P510" s="21">
        <f t="shared" si="159"/>
        <v>0</v>
      </c>
      <c r="Q510" s="18"/>
      <c r="R510" s="18"/>
      <c r="S510" s="19">
        <f t="shared" si="160"/>
        <v>0</v>
      </c>
      <c r="T510" s="20">
        <f t="shared" si="161"/>
        <v>0.03</v>
      </c>
      <c r="U510" s="19">
        <f t="shared" si="162"/>
        <v>0</v>
      </c>
      <c r="V510" s="18"/>
      <c r="W510" s="19">
        <f t="shared" si="163"/>
        <v>0</v>
      </c>
      <c r="X510" s="19">
        <f t="shared" si="164"/>
        <v>0</v>
      </c>
      <c r="Y510" s="18"/>
      <c r="Z510" s="18"/>
      <c r="AA510" s="19">
        <f t="shared" si="165"/>
        <v>0</v>
      </c>
      <c r="AB510" s="17">
        <v>0</v>
      </c>
      <c r="AC510" s="18"/>
      <c r="AD510" s="18"/>
      <c r="AE510" s="22">
        <f t="shared" si="166"/>
        <v>0</v>
      </c>
      <c r="AF510" s="23">
        <f t="shared" si="167"/>
        <v>0</v>
      </c>
      <c r="AG510" s="23">
        <f t="shared" si="168"/>
        <v>0</v>
      </c>
      <c r="AH510" s="18"/>
      <c r="AI510" s="24">
        <f t="shared" si="169"/>
        <v>0</v>
      </c>
      <c r="AJ510" s="25">
        <v>0</v>
      </c>
      <c r="AK510" s="24">
        <f t="shared" si="170"/>
        <v>0</v>
      </c>
      <c r="AL510" s="22">
        <f t="shared" si="171"/>
        <v>0</v>
      </c>
      <c r="AM510" s="22">
        <f t="shared" si="172"/>
        <v>0</v>
      </c>
      <c r="AN510" s="22">
        <f t="shared" si="173"/>
        <v>0</v>
      </c>
      <c r="AO510" s="26" t="str">
        <f t="shared" si="174"/>
        <v/>
      </c>
      <c r="AP510" s="26" t="str">
        <f t="shared" si="175"/>
        <v>pre-launch</v>
      </c>
      <c r="AQ510" s="18"/>
      <c r="AR510" s="18"/>
    </row>
    <row r="511" spans="1:44" x14ac:dyDescent="0.25">
      <c r="A511" s="43">
        <v>45572</v>
      </c>
      <c r="B511" s="17">
        <v>1093912855.72</v>
      </c>
      <c r="C511" s="17">
        <v>0</v>
      </c>
      <c r="D511" s="17">
        <v>1688548</v>
      </c>
      <c r="E511" s="19">
        <f t="shared" si="154"/>
        <v>1093912855.72</v>
      </c>
      <c r="F511" s="19">
        <f t="shared" si="155"/>
        <v>1095601403.72</v>
      </c>
      <c r="G511" s="20">
        <f t="shared" si="156"/>
        <v>0</v>
      </c>
      <c r="H511" s="18"/>
      <c r="I511" s="18"/>
      <c r="J511" s="18"/>
      <c r="K511" s="19">
        <f t="shared" si="157"/>
        <v>0</v>
      </c>
      <c r="L511" s="18"/>
      <c r="M511" s="18"/>
      <c r="N511" s="18"/>
      <c r="O511" s="19">
        <f t="shared" si="158"/>
        <v>0</v>
      </c>
      <c r="P511" s="21">
        <f t="shared" si="159"/>
        <v>0</v>
      </c>
      <c r="Q511" s="18"/>
      <c r="R511" s="18"/>
      <c r="S511" s="19">
        <f t="shared" si="160"/>
        <v>0</v>
      </c>
      <c r="T511" s="20">
        <f t="shared" si="161"/>
        <v>0.03</v>
      </c>
      <c r="U511" s="19">
        <f t="shared" si="162"/>
        <v>0</v>
      </c>
      <c r="V511" s="18"/>
      <c r="W511" s="19">
        <f t="shared" si="163"/>
        <v>0</v>
      </c>
      <c r="X511" s="19">
        <f t="shared" si="164"/>
        <v>0</v>
      </c>
      <c r="Y511" s="18"/>
      <c r="Z511" s="18"/>
      <c r="AA511" s="19">
        <f t="shared" si="165"/>
        <v>0</v>
      </c>
      <c r="AB511" s="17">
        <v>0</v>
      </c>
      <c r="AC511" s="18"/>
      <c r="AD511" s="18"/>
      <c r="AE511" s="22">
        <f t="shared" si="166"/>
        <v>0</v>
      </c>
      <c r="AF511" s="23">
        <f t="shared" si="167"/>
        <v>0</v>
      </c>
      <c r="AG511" s="23">
        <f t="shared" si="168"/>
        <v>0</v>
      </c>
      <c r="AH511" s="18"/>
      <c r="AI511" s="24">
        <f t="shared" si="169"/>
        <v>0</v>
      </c>
      <c r="AJ511" s="25">
        <v>0</v>
      </c>
      <c r="AK511" s="24">
        <f t="shared" si="170"/>
        <v>0</v>
      </c>
      <c r="AL511" s="22">
        <f t="shared" si="171"/>
        <v>0</v>
      </c>
      <c r="AM511" s="22">
        <f t="shared" si="172"/>
        <v>0</v>
      </c>
      <c r="AN511" s="22">
        <f t="shared" si="173"/>
        <v>0</v>
      </c>
      <c r="AO511" s="26" t="str">
        <f t="shared" si="174"/>
        <v/>
      </c>
      <c r="AP511" s="26" t="str">
        <f t="shared" si="175"/>
        <v>pre-launch</v>
      </c>
      <c r="AQ511" s="18"/>
      <c r="AR511" s="18"/>
    </row>
    <row r="512" spans="1:44" x14ac:dyDescent="0.25">
      <c r="A512" s="43">
        <v>45573</v>
      </c>
      <c r="B512" s="17">
        <v>1217819875.48</v>
      </c>
      <c r="C512" s="17">
        <v>0</v>
      </c>
      <c r="D512" s="17">
        <v>1807968</v>
      </c>
      <c r="E512" s="19">
        <f t="shared" si="154"/>
        <v>1217819875.48</v>
      </c>
      <c r="F512" s="19">
        <f t="shared" si="155"/>
        <v>1219627843.48</v>
      </c>
      <c r="G512" s="20">
        <f t="shared" si="156"/>
        <v>0</v>
      </c>
      <c r="H512" s="18"/>
      <c r="I512" s="18"/>
      <c r="J512" s="18"/>
      <c r="K512" s="19">
        <f t="shared" si="157"/>
        <v>0</v>
      </c>
      <c r="L512" s="18"/>
      <c r="M512" s="18"/>
      <c r="N512" s="18"/>
      <c r="O512" s="19">
        <f t="shared" si="158"/>
        <v>0</v>
      </c>
      <c r="P512" s="21">
        <f t="shared" si="159"/>
        <v>0</v>
      </c>
      <c r="Q512" s="18"/>
      <c r="R512" s="18"/>
      <c r="S512" s="19">
        <f t="shared" si="160"/>
        <v>0</v>
      </c>
      <c r="T512" s="20">
        <f t="shared" si="161"/>
        <v>0.03</v>
      </c>
      <c r="U512" s="19">
        <f t="shared" si="162"/>
        <v>0</v>
      </c>
      <c r="V512" s="18"/>
      <c r="W512" s="19">
        <f t="shared" si="163"/>
        <v>0</v>
      </c>
      <c r="X512" s="19">
        <f t="shared" si="164"/>
        <v>0</v>
      </c>
      <c r="Y512" s="18"/>
      <c r="Z512" s="18"/>
      <c r="AA512" s="19">
        <f t="shared" si="165"/>
        <v>0</v>
      </c>
      <c r="AB512" s="17">
        <v>0</v>
      </c>
      <c r="AC512" s="18"/>
      <c r="AD512" s="18"/>
      <c r="AE512" s="22">
        <f t="shared" si="166"/>
        <v>0</v>
      </c>
      <c r="AF512" s="23">
        <f t="shared" si="167"/>
        <v>0</v>
      </c>
      <c r="AG512" s="23">
        <f t="shared" si="168"/>
        <v>0</v>
      </c>
      <c r="AH512" s="18"/>
      <c r="AI512" s="24">
        <f t="shared" si="169"/>
        <v>0</v>
      </c>
      <c r="AJ512" s="25">
        <v>0</v>
      </c>
      <c r="AK512" s="24">
        <f t="shared" si="170"/>
        <v>0</v>
      </c>
      <c r="AL512" s="22">
        <f t="shared" si="171"/>
        <v>0</v>
      </c>
      <c r="AM512" s="22">
        <f t="shared" si="172"/>
        <v>0</v>
      </c>
      <c r="AN512" s="22">
        <f t="shared" si="173"/>
        <v>0</v>
      </c>
      <c r="AO512" s="26" t="str">
        <f t="shared" si="174"/>
        <v/>
      </c>
      <c r="AP512" s="26" t="str">
        <f t="shared" si="175"/>
        <v>pre-launch</v>
      </c>
      <c r="AQ512" s="18"/>
      <c r="AR512" s="18"/>
    </row>
    <row r="513" spans="1:44" x14ac:dyDescent="0.25">
      <c r="A513" s="43">
        <v>45574</v>
      </c>
      <c r="B513" s="17">
        <v>1065322485.58</v>
      </c>
      <c r="C513" s="17">
        <v>0</v>
      </c>
      <c r="D513" s="17">
        <v>1152790</v>
      </c>
      <c r="E513" s="19">
        <f t="shared" si="154"/>
        <v>1065322485.58</v>
      </c>
      <c r="F513" s="19">
        <f t="shared" si="155"/>
        <v>1066475275.58</v>
      </c>
      <c r="G513" s="20">
        <f t="shared" si="156"/>
        <v>0</v>
      </c>
      <c r="H513" s="18"/>
      <c r="I513" s="18"/>
      <c r="J513" s="18"/>
      <c r="K513" s="19">
        <f t="shared" si="157"/>
        <v>0</v>
      </c>
      <c r="L513" s="18"/>
      <c r="M513" s="18"/>
      <c r="N513" s="18"/>
      <c r="O513" s="19">
        <f t="shared" si="158"/>
        <v>0</v>
      </c>
      <c r="P513" s="21">
        <f t="shared" si="159"/>
        <v>0</v>
      </c>
      <c r="Q513" s="18"/>
      <c r="R513" s="18"/>
      <c r="S513" s="19">
        <f t="shared" si="160"/>
        <v>0</v>
      </c>
      <c r="T513" s="20">
        <f t="shared" si="161"/>
        <v>0.03</v>
      </c>
      <c r="U513" s="19">
        <f t="shared" si="162"/>
        <v>0</v>
      </c>
      <c r="V513" s="18"/>
      <c r="W513" s="19">
        <f t="shared" si="163"/>
        <v>0</v>
      </c>
      <c r="X513" s="19">
        <f t="shared" si="164"/>
        <v>0</v>
      </c>
      <c r="Y513" s="18"/>
      <c r="Z513" s="18"/>
      <c r="AA513" s="19">
        <f t="shared" si="165"/>
        <v>0</v>
      </c>
      <c r="AB513" s="17">
        <v>0</v>
      </c>
      <c r="AC513" s="18"/>
      <c r="AD513" s="18"/>
      <c r="AE513" s="22">
        <f t="shared" si="166"/>
        <v>0</v>
      </c>
      <c r="AF513" s="23">
        <f t="shared" si="167"/>
        <v>0</v>
      </c>
      <c r="AG513" s="23">
        <f t="shared" si="168"/>
        <v>0</v>
      </c>
      <c r="AH513" s="18"/>
      <c r="AI513" s="24">
        <f t="shared" si="169"/>
        <v>0</v>
      </c>
      <c r="AJ513" s="25">
        <v>0</v>
      </c>
      <c r="AK513" s="24">
        <f t="shared" si="170"/>
        <v>0</v>
      </c>
      <c r="AL513" s="22">
        <f t="shared" si="171"/>
        <v>0</v>
      </c>
      <c r="AM513" s="22">
        <f t="shared" si="172"/>
        <v>0</v>
      </c>
      <c r="AN513" s="22">
        <f t="shared" si="173"/>
        <v>0</v>
      </c>
      <c r="AO513" s="26" t="str">
        <f t="shared" si="174"/>
        <v/>
      </c>
      <c r="AP513" s="26" t="str">
        <f t="shared" si="175"/>
        <v>pre-launch</v>
      </c>
      <c r="AQ513" s="18"/>
      <c r="AR513" s="18"/>
    </row>
    <row r="514" spans="1:44" x14ac:dyDescent="0.25">
      <c r="A514" s="43">
        <v>45575</v>
      </c>
      <c r="B514" s="17">
        <v>1325469991.0599999</v>
      </c>
      <c r="C514" s="17">
        <v>0</v>
      </c>
      <c r="D514" s="17">
        <v>1076444</v>
      </c>
      <c r="E514" s="19">
        <f t="shared" si="154"/>
        <v>1325469991.0599999</v>
      </c>
      <c r="F514" s="19">
        <f t="shared" si="155"/>
        <v>1326546435.0599999</v>
      </c>
      <c r="G514" s="20">
        <f t="shared" si="156"/>
        <v>0</v>
      </c>
      <c r="H514" s="18"/>
      <c r="I514" s="18"/>
      <c r="J514" s="18"/>
      <c r="K514" s="19">
        <f t="shared" si="157"/>
        <v>0</v>
      </c>
      <c r="L514" s="18"/>
      <c r="M514" s="18"/>
      <c r="N514" s="18"/>
      <c r="O514" s="19">
        <f t="shared" si="158"/>
        <v>0</v>
      </c>
      <c r="P514" s="21">
        <f t="shared" si="159"/>
        <v>0</v>
      </c>
      <c r="Q514" s="18"/>
      <c r="R514" s="18"/>
      <c r="S514" s="19">
        <f t="shared" si="160"/>
        <v>0</v>
      </c>
      <c r="T514" s="20">
        <f t="shared" si="161"/>
        <v>0.03</v>
      </c>
      <c r="U514" s="19">
        <f t="shared" si="162"/>
        <v>0</v>
      </c>
      <c r="V514" s="18"/>
      <c r="W514" s="19">
        <f t="shared" si="163"/>
        <v>0</v>
      </c>
      <c r="X514" s="19">
        <f t="shared" si="164"/>
        <v>0</v>
      </c>
      <c r="Y514" s="18"/>
      <c r="Z514" s="18"/>
      <c r="AA514" s="19">
        <f t="shared" si="165"/>
        <v>0</v>
      </c>
      <c r="AB514" s="17">
        <v>0</v>
      </c>
      <c r="AC514" s="18"/>
      <c r="AD514" s="18"/>
      <c r="AE514" s="22">
        <f t="shared" si="166"/>
        <v>0</v>
      </c>
      <c r="AF514" s="23">
        <f t="shared" si="167"/>
        <v>0</v>
      </c>
      <c r="AG514" s="23">
        <f t="shared" si="168"/>
        <v>0</v>
      </c>
      <c r="AH514" s="18"/>
      <c r="AI514" s="24">
        <f t="shared" si="169"/>
        <v>0</v>
      </c>
      <c r="AJ514" s="25">
        <v>0</v>
      </c>
      <c r="AK514" s="24">
        <f t="shared" si="170"/>
        <v>0</v>
      </c>
      <c r="AL514" s="22">
        <f t="shared" si="171"/>
        <v>0</v>
      </c>
      <c r="AM514" s="22">
        <f t="shared" si="172"/>
        <v>0</v>
      </c>
      <c r="AN514" s="22">
        <f t="shared" si="173"/>
        <v>0</v>
      </c>
      <c r="AO514" s="26" t="str">
        <f t="shared" si="174"/>
        <v/>
      </c>
      <c r="AP514" s="26" t="str">
        <f t="shared" si="175"/>
        <v>pre-launch</v>
      </c>
      <c r="AQ514" s="18"/>
      <c r="AR514" s="18"/>
    </row>
    <row r="515" spans="1:44" x14ac:dyDescent="0.25">
      <c r="A515" s="43">
        <v>45576</v>
      </c>
      <c r="B515" s="17">
        <v>966555122.88999999</v>
      </c>
      <c r="C515" s="17">
        <v>0</v>
      </c>
      <c r="D515" s="17">
        <v>784798</v>
      </c>
      <c r="E515" s="19">
        <f t="shared" si="154"/>
        <v>966555122.88999999</v>
      </c>
      <c r="F515" s="19">
        <f t="shared" si="155"/>
        <v>967339920.88999999</v>
      </c>
      <c r="G515" s="20">
        <f t="shared" si="156"/>
        <v>0</v>
      </c>
      <c r="H515" s="18"/>
      <c r="I515" s="18"/>
      <c r="J515" s="18"/>
      <c r="K515" s="19">
        <f t="shared" si="157"/>
        <v>0</v>
      </c>
      <c r="L515" s="18"/>
      <c r="M515" s="18"/>
      <c r="N515" s="18"/>
      <c r="O515" s="19">
        <f t="shared" si="158"/>
        <v>0</v>
      </c>
      <c r="P515" s="21">
        <f t="shared" si="159"/>
        <v>0</v>
      </c>
      <c r="Q515" s="18"/>
      <c r="R515" s="18"/>
      <c r="S515" s="19">
        <f t="shared" si="160"/>
        <v>0</v>
      </c>
      <c r="T515" s="20">
        <f t="shared" si="161"/>
        <v>0.03</v>
      </c>
      <c r="U515" s="19">
        <f t="shared" si="162"/>
        <v>0</v>
      </c>
      <c r="V515" s="18"/>
      <c r="W515" s="19">
        <f t="shared" si="163"/>
        <v>0</v>
      </c>
      <c r="X515" s="19">
        <f t="shared" si="164"/>
        <v>0</v>
      </c>
      <c r="Y515" s="18"/>
      <c r="Z515" s="18"/>
      <c r="AA515" s="19">
        <f t="shared" si="165"/>
        <v>0</v>
      </c>
      <c r="AB515" s="17">
        <v>0</v>
      </c>
      <c r="AC515" s="18"/>
      <c r="AD515" s="18"/>
      <c r="AE515" s="22">
        <f t="shared" si="166"/>
        <v>0</v>
      </c>
      <c r="AF515" s="23">
        <f t="shared" si="167"/>
        <v>0</v>
      </c>
      <c r="AG515" s="23">
        <f t="shared" si="168"/>
        <v>0</v>
      </c>
      <c r="AH515" s="18"/>
      <c r="AI515" s="24">
        <f t="shared" si="169"/>
        <v>0</v>
      </c>
      <c r="AJ515" s="25">
        <v>0</v>
      </c>
      <c r="AK515" s="24">
        <f t="shared" si="170"/>
        <v>0</v>
      </c>
      <c r="AL515" s="22">
        <f t="shared" si="171"/>
        <v>0</v>
      </c>
      <c r="AM515" s="22">
        <f t="shared" si="172"/>
        <v>0</v>
      </c>
      <c r="AN515" s="22">
        <f t="shared" si="173"/>
        <v>0</v>
      </c>
      <c r="AO515" s="26" t="str">
        <f t="shared" si="174"/>
        <v/>
      </c>
      <c r="AP515" s="26" t="str">
        <f t="shared" si="175"/>
        <v>pre-launch</v>
      </c>
      <c r="AQ515" s="18"/>
      <c r="AR515" s="18"/>
    </row>
    <row r="516" spans="1:44" x14ac:dyDescent="0.25">
      <c r="A516" s="43">
        <v>45577</v>
      </c>
      <c r="B516" s="17">
        <v>490461531.50999999</v>
      </c>
      <c r="C516" s="17">
        <v>0</v>
      </c>
      <c r="D516" s="17">
        <v>505798</v>
      </c>
      <c r="E516" s="19">
        <f t="shared" si="154"/>
        <v>490461531.50999999</v>
      </c>
      <c r="F516" s="19">
        <f t="shared" si="155"/>
        <v>490967329.50999999</v>
      </c>
      <c r="G516" s="20">
        <f t="shared" si="156"/>
        <v>0</v>
      </c>
      <c r="H516" s="18"/>
      <c r="I516" s="18"/>
      <c r="J516" s="18"/>
      <c r="K516" s="19">
        <f t="shared" si="157"/>
        <v>0</v>
      </c>
      <c r="L516" s="18"/>
      <c r="M516" s="18"/>
      <c r="N516" s="18"/>
      <c r="O516" s="19">
        <f t="shared" si="158"/>
        <v>0</v>
      </c>
      <c r="P516" s="21">
        <f t="shared" si="159"/>
        <v>0</v>
      </c>
      <c r="Q516" s="18"/>
      <c r="R516" s="18"/>
      <c r="S516" s="19">
        <f t="shared" si="160"/>
        <v>0</v>
      </c>
      <c r="T516" s="20">
        <f t="shared" si="161"/>
        <v>0.03</v>
      </c>
      <c r="U516" s="19">
        <f t="shared" si="162"/>
        <v>0</v>
      </c>
      <c r="V516" s="18"/>
      <c r="W516" s="19">
        <f t="shared" si="163"/>
        <v>0</v>
      </c>
      <c r="X516" s="19">
        <f t="shared" si="164"/>
        <v>0</v>
      </c>
      <c r="Y516" s="18"/>
      <c r="Z516" s="18"/>
      <c r="AA516" s="19">
        <f t="shared" si="165"/>
        <v>0</v>
      </c>
      <c r="AB516" s="17">
        <v>0</v>
      </c>
      <c r="AC516" s="18"/>
      <c r="AD516" s="18"/>
      <c r="AE516" s="22">
        <f t="shared" si="166"/>
        <v>0</v>
      </c>
      <c r="AF516" s="23">
        <f t="shared" si="167"/>
        <v>0</v>
      </c>
      <c r="AG516" s="23">
        <f t="shared" si="168"/>
        <v>0</v>
      </c>
      <c r="AH516" s="18"/>
      <c r="AI516" s="24">
        <f t="shared" si="169"/>
        <v>0</v>
      </c>
      <c r="AJ516" s="25">
        <v>0</v>
      </c>
      <c r="AK516" s="24">
        <f t="shared" si="170"/>
        <v>0</v>
      </c>
      <c r="AL516" s="22">
        <f t="shared" si="171"/>
        <v>0</v>
      </c>
      <c r="AM516" s="22">
        <f t="shared" si="172"/>
        <v>0</v>
      </c>
      <c r="AN516" s="22">
        <f t="shared" si="173"/>
        <v>0</v>
      </c>
      <c r="AO516" s="26" t="str">
        <f t="shared" si="174"/>
        <v/>
      </c>
      <c r="AP516" s="26" t="str">
        <f t="shared" si="175"/>
        <v>pre-launch</v>
      </c>
      <c r="AQ516" s="18"/>
      <c r="AR516" s="18"/>
    </row>
    <row r="517" spans="1:44" x14ac:dyDescent="0.25">
      <c r="A517" s="43">
        <v>45578</v>
      </c>
      <c r="B517" s="17">
        <v>567187624.82000005</v>
      </c>
      <c r="C517" s="17">
        <v>0</v>
      </c>
      <c r="D517" s="17">
        <v>688605</v>
      </c>
      <c r="E517" s="19">
        <f t="shared" ref="E517:E580" si="176">B517+C517</f>
        <v>567187624.82000005</v>
      </c>
      <c r="F517" s="19">
        <f t="shared" ref="F517:F580" si="177">E517+D517</f>
        <v>567876229.82000005</v>
      </c>
      <c r="G517" s="20">
        <f t="shared" ref="G517:G580" si="178">IFERROR(C517/E517,0)</f>
        <v>0</v>
      </c>
      <c r="H517" s="18"/>
      <c r="I517" s="18"/>
      <c r="J517" s="18"/>
      <c r="K517" s="19">
        <f t="shared" ref="K517:K580" si="179">H517+I517</f>
        <v>0</v>
      </c>
      <c r="L517" s="18"/>
      <c r="M517" s="18"/>
      <c r="N517" s="18"/>
      <c r="O517" s="19">
        <f t="shared" ref="O517:O580" si="180">IF(H517=0,0,H517-L517)</f>
        <v>0</v>
      </c>
      <c r="P517" s="21">
        <f t="shared" ref="P517:P580" si="181">IF(B517=0,0,O517/B517*10000)</f>
        <v>0</v>
      </c>
      <c r="Q517" s="18"/>
      <c r="R517" s="18"/>
      <c r="S517" s="19">
        <f t="shared" ref="S517:S580" si="182">Q517+R517</f>
        <v>0</v>
      </c>
      <c r="T517" s="20">
        <f t="shared" ref="T517:T580" si="183">IF(A517&lt;HlpChangeDate,HlpSharePre,HlpSharePost)</f>
        <v>0.03</v>
      </c>
      <c r="U517" s="19">
        <f t="shared" ref="U517:U580" si="184">S517*T517/(1-T517)</f>
        <v>0</v>
      </c>
      <c r="V517" s="18"/>
      <c r="W517" s="19">
        <f t="shared" ref="W517:W580" si="185">U517-V517</f>
        <v>0</v>
      </c>
      <c r="X517" s="19">
        <f t="shared" ref="X517:X580" si="186">Y517+Z517</f>
        <v>0</v>
      </c>
      <c r="Y517" s="18"/>
      <c r="Z517" s="18"/>
      <c r="AA517" s="19">
        <f t="shared" ref="AA517:AA580" si="187">X517-V517</f>
        <v>0</v>
      </c>
      <c r="AB517" s="17">
        <v>0</v>
      </c>
      <c r="AC517" s="18"/>
      <c r="AD517" s="18"/>
      <c r="AE517" s="22">
        <f t="shared" ref="AE517:AE580" si="188">IFERROR(AB517/AD517,0)</f>
        <v>0</v>
      </c>
      <c r="AF517" s="23">
        <f t="shared" ref="AF517:AF580" si="189">K517-S517-X517</f>
        <v>0</v>
      </c>
      <c r="AG517" s="23">
        <f t="shared" ref="AG517:AG580" si="190">S517-AB517</f>
        <v>0</v>
      </c>
      <c r="AH517" s="18"/>
      <c r="AI517" s="24">
        <f t="shared" ref="AI517:AI580" si="191">IFERROR(AH517/S517,0)</f>
        <v>0</v>
      </c>
      <c r="AJ517" s="25">
        <v>0</v>
      </c>
      <c r="AK517" s="24">
        <f t="shared" ref="AK517:AK580" si="192">IF(AJ517&gt;0,AprCoef/SQRT(AJ517),0)</f>
        <v>0</v>
      </c>
      <c r="AL517" s="22">
        <f t="shared" ref="AL517:AL580" si="193">AJ517*AK517/365</f>
        <v>0</v>
      </c>
      <c r="AM517" s="22">
        <f t="shared" ref="AM517:AM580" si="194">AE517</f>
        <v>0</v>
      </c>
      <c r="AN517" s="22">
        <f t="shared" ref="AN517:AN580" si="195">AL517-AM517</f>
        <v>0</v>
      </c>
      <c r="AO517" s="26" t="str">
        <f t="shared" ref="AO517:AO580" si="196">IF(A517&gt;=Hip3LaunchDate,"YES","")</f>
        <v/>
      </c>
      <c r="AP517" s="26" t="str">
        <f t="shared" ref="AP517:AP580" si="197">IF(A517&lt;Hip4LaunchDate,"pre-launch","live (zero-fee)")</f>
        <v>pre-launch</v>
      </c>
      <c r="AQ517" s="18"/>
      <c r="AR517" s="18"/>
    </row>
    <row r="518" spans="1:44" x14ac:dyDescent="0.25">
      <c r="A518" s="43">
        <v>45579</v>
      </c>
      <c r="B518" s="17">
        <v>1270512626.21</v>
      </c>
      <c r="C518" s="17">
        <v>0</v>
      </c>
      <c r="D518" s="17">
        <v>4557275</v>
      </c>
      <c r="E518" s="19">
        <f t="shared" si="176"/>
        <v>1270512626.21</v>
      </c>
      <c r="F518" s="19">
        <f t="shared" si="177"/>
        <v>1275069901.21</v>
      </c>
      <c r="G518" s="20">
        <f t="shared" si="178"/>
        <v>0</v>
      </c>
      <c r="H518" s="18"/>
      <c r="I518" s="18"/>
      <c r="J518" s="18"/>
      <c r="K518" s="19">
        <f t="shared" si="179"/>
        <v>0</v>
      </c>
      <c r="L518" s="18"/>
      <c r="M518" s="18"/>
      <c r="N518" s="18"/>
      <c r="O518" s="19">
        <f t="shared" si="180"/>
        <v>0</v>
      </c>
      <c r="P518" s="21">
        <f t="shared" si="181"/>
        <v>0</v>
      </c>
      <c r="Q518" s="18"/>
      <c r="R518" s="18"/>
      <c r="S518" s="19">
        <f t="shared" si="182"/>
        <v>0</v>
      </c>
      <c r="T518" s="20">
        <f t="shared" si="183"/>
        <v>0.03</v>
      </c>
      <c r="U518" s="19">
        <f t="shared" si="184"/>
        <v>0</v>
      </c>
      <c r="V518" s="18"/>
      <c r="W518" s="19">
        <f t="shared" si="185"/>
        <v>0</v>
      </c>
      <c r="X518" s="19">
        <f t="shared" si="186"/>
        <v>0</v>
      </c>
      <c r="Y518" s="18"/>
      <c r="Z518" s="18"/>
      <c r="AA518" s="19">
        <f t="shared" si="187"/>
        <v>0</v>
      </c>
      <c r="AB518" s="17">
        <v>0</v>
      </c>
      <c r="AC518" s="18"/>
      <c r="AD518" s="18"/>
      <c r="AE518" s="22">
        <f t="shared" si="188"/>
        <v>0</v>
      </c>
      <c r="AF518" s="23">
        <f t="shared" si="189"/>
        <v>0</v>
      </c>
      <c r="AG518" s="23">
        <f t="shared" si="190"/>
        <v>0</v>
      </c>
      <c r="AH518" s="18"/>
      <c r="AI518" s="24">
        <f t="shared" si="191"/>
        <v>0</v>
      </c>
      <c r="AJ518" s="25">
        <v>0</v>
      </c>
      <c r="AK518" s="24">
        <f t="shared" si="192"/>
        <v>0</v>
      </c>
      <c r="AL518" s="22">
        <f t="shared" si="193"/>
        <v>0</v>
      </c>
      <c r="AM518" s="22">
        <f t="shared" si="194"/>
        <v>0</v>
      </c>
      <c r="AN518" s="22">
        <f t="shared" si="195"/>
        <v>0</v>
      </c>
      <c r="AO518" s="26" t="str">
        <f t="shared" si="196"/>
        <v/>
      </c>
      <c r="AP518" s="26" t="str">
        <f t="shared" si="197"/>
        <v>pre-launch</v>
      </c>
      <c r="AQ518" s="18"/>
      <c r="AR518" s="18"/>
    </row>
    <row r="519" spans="1:44" x14ac:dyDescent="0.25">
      <c r="A519" s="43">
        <v>45580</v>
      </c>
      <c r="B519" s="17">
        <v>1725236870.0999999</v>
      </c>
      <c r="C519" s="17">
        <v>0</v>
      </c>
      <c r="D519" s="17">
        <v>2239387</v>
      </c>
      <c r="E519" s="19">
        <f t="shared" si="176"/>
        <v>1725236870.0999999</v>
      </c>
      <c r="F519" s="19">
        <f t="shared" si="177"/>
        <v>1727476257.0999999</v>
      </c>
      <c r="G519" s="20">
        <f t="shared" si="178"/>
        <v>0</v>
      </c>
      <c r="H519" s="18"/>
      <c r="I519" s="18"/>
      <c r="J519" s="18"/>
      <c r="K519" s="19">
        <f t="shared" si="179"/>
        <v>0</v>
      </c>
      <c r="L519" s="18"/>
      <c r="M519" s="18"/>
      <c r="N519" s="18"/>
      <c r="O519" s="19">
        <f t="shared" si="180"/>
        <v>0</v>
      </c>
      <c r="P519" s="21">
        <f t="shared" si="181"/>
        <v>0</v>
      </c>
      <c r="Q519" s="18"/>
      <c r="R519" s="18"/>
      <c r="S519" s="19">
        <f t="shared" si="182"/>
        <v>0</v>
      </c>
      <c r="T519" s="20">
        <f t="shared" si="183"/>
        <v>0.03</v>
      </c>
      <c r="U519" s="19">
        <f t="shared" si="184"/>
        <v>0</v>
      </c>
      <c r="V519" s="18"/>
      <c r="W519" s="19">
        <f t="shared" si="185"/>
        <v>0</v>
      </c>
      <c r="X519" s="19">
        <f t="shared" si="186"/>
        <v>0</v>
      </c>
      <c r="Y519" s="18"/>
      <c r="Z519" s="18"/>
      <c r="AA519" s="19">
        <f t="shared" si="187"/>
        <v>0</v>
      </c>
      <c r="AB519" s="17">
        <v>0</v>
      </c>
      <c r="AC519" s="18"/>
      <c r="AD519" s="18"/>
      <c r="AE519" s="22">
        <f t="shared" si="188"/>
        <v>0</v>
      </c>
      <c r="AF519" s="23">
        <f t="shared" si="189"/>
        <v>0</v>
      </c>
      <c r="AG519" s="23">
        <f t="shared" si="190"/>
        <v>0</v>
      </c>
      <c r="AH519" s="18"/>
      <c r="AI519" s="24">
        <f t="shared" si="191"/>
        <v>0</v>
      </c>
      <c r="AJ519" s="25">
        <v>0</v>
      </c>
      <c r="AK519" s="24">
        <f t="shared" si="192"/>
        <v>0</v>
      </c>
      <c r="AL519" s="22">
        <f t="shared" si="193"/>
        <v>0</v>
      </c>
      <c r="AM519" s="22">
        <f t="shared" si="194"/>
        <v>0</v>
      </c>
      <c r="AN519" s="22">
        <f t="shared" si="195"/>
        <v>0</v>
      </c>
      <c r="AO519" s="26" t="str">
        <f t="shared" si="196"/>
        <v/>
      </c>
      <c r="AP519" s="26" t="str">
        <f t="shared" si="197"/>
        <v>pre-launch</v>
      </c>
      <c r="AQ519" s="18"/>
      <c r="AR519" s="18"/>
    </row>
    <row r="520" spans="1:44" x14ac:dyDescent="0.25">
      <c r="A520" s="43">
        <v>45581</v>
      </c>
      <c r="B520" s="17">
        <v>1136851721.8499999</v>
      </c>
      <c r="C520" s="17">
        <v>0</v>
      </c>
      <c r="D520" s="17">
        <v>1422618</v>
      </c>
      <c r="E520" s="19">
        <f t="shared" si="176"/>
        <v>1136851721.8499999</v>
      </c>
      <c r="F520" s="19">
        <f t="shared" si="177"/>
        <v>1138274339.8499999</v>
      </c>
      <c r="G520" s="20">
        <f t="shared" si="178"/>
        <v>0</v>
      </c>
      <c r="H520" s="18"/>
      <c r="I520" s="18"/>
      <c r="J520" s="18"/>
      <c r="K520" s="19">
        <f t="shared" si="179"/>
        <v>0</v>
      </c>
      <c r="L520" s="18"/>
      <c r="M520" s="18"/>
      <c r="N520" s="18"/>
      <c r="O520" s="19">
        <f t="shared" si="180"/>
        <v>0</v>
      </c>
      <c r="P520" s="21">
        <f t="shared" si="181"/>
        <v>0</v>
      </c>
      <c r="Q520" s="18"/>
      <c r="R520" s="18"/>
      <c r="S520" s="19">
        <f t="shared" si="182"/>
        <v>0</v>
      </c>
      <c r="T520" s="20">
        <f t="shared" si="183"/>
        <v>0.03</v>
      </c>
      <c r="U520" s="19">
        <f t="shared" si="184"/>
        <v>0</v>
      </c>
      <c r="V520" s="18"/>
      <c r="W520" s="19">
        <f t="shared" si="185"/>
        <v>0</v>
      </c>
      <c r="X520" s="19">
        <f t="shared" si="186"/>
        <v>0</v>
      </c>
      <c r="Y520" s="18"/>
      <c r="Z520" s="18"/>
      <c r="AA520" s="19">
        <f t="shared" si="187"/>
        <v>0</v>
      </c>
      <c r="AB520" s="17">
        <v>0</v>
      </c>
      <c r="AC520" s="18"/>
      <c r="AD520" s="18"/>
      <c r="AE520" s="22">
        <f t="shared" si="188"/>
        <v>0</v>
      </c>
      <c r="AF520" s="23">
        <f t="shared" si="189"/>
        <v>0</v>
      </c>
      <c r="AG520" s="23">
        <f t="shared" si="190"/>
        <v>0</v>
      </c>
      <c r="AH520" s="18"/>
      <c r="AI520" s="24">
        <f t="shared" si="191"/>
        <v>0</v>
      </c>
      <c r="AJ520" s="25">
        <v>0</v>
      </c>
      <c r="AK520" s="24">
        <f t="shared" si="192"/>
        <v>0</v>
      </c>
      <c r="AL520" s="22">
        <f t="shared" si="193"/>
        <v>0</v>
      </c>
      <c r="AM520" s="22">
        <f t="shared" si="194"/>
        <v>0</v>
      </c>
      <c r="AN520" s="22">
        <f t="shared" si="195"/>
        <v>0</v>
      </c>
      <c r="AO520" s="26" t="str">
        <f t="shared" si="196"/>
        <v/>
      </c>
      <c r="AP520" s="26" t="str">
        <f t="shared" si="197"/>
        <v>pre-launch</v>
      </c>
      <c r="AQ520" s="18"/>
      <c r="AR520" s="18"/>
    </row>
    <row r="521" spans="1:44" x14ac:dyDescent="0.25">
      <c r="A521" s="43">
        <v>45582</v>
      </c>
      <c r="B521" s="17">
        <v>913373231.94000006</v>
      </c>
      <c r="C521" s="17">
        <v>0</v>
      </c>
      <c r="D521" s="17">
        <v>1202840</v>
      </c>
      <c r="E521" s="19">
        <f t="shared" si="176"/>
        <v>913373231.94000006</v>
      </c>
      <c r="F521" s="19">
        <f t="shared" si="177"/>
        <v>914576071.94000006</v>
      </c>
      <c r="G521" s="20">
        <f t="shared" si="178"/>
        <v>0</v>
      </c>
      <c r="H521" s="18"/>
      <c r="I521" s="18"/>
      <c r="J521" s="18"/>
      <c r="K521" s="19">
        <f t="shared" si="179"/>
        <v>0</v>
      </c>
      <c r="L521" s="18"/>
      <c r="M521" s="18"/>
      <c r="N521" s="18"/>
      <c r="O521" s="19">
        <f t="shared" si="180"/>
        <v>0</v>
      </c>
      <c r="P521" s="21">
        <f t="shared" si="181"/>
        <v>0</v>
      </c>
      <c r="Q521" s="18"/>
      <c r="R521" s="18"/>
      <c r="S521" s="19">
        <f t="shared" si="182"/>
        <v>0</v>
      </c>
      <c r="T521" s="20">
        <f t="shared" si="183"/>
        <v>0.03</v>
      </c>
      <c r="U521" s="19">
        <f t="shared" si="184"/>
        <v>0</v>
      </c>
      <c r="V521" s="18"/>
      <c r="W521" s="19">
        <f t="shared" si="185"/>
        <v>0</v>
      </c>
      <c r="X521" s="19">
        <f t="shared" si="186"/>
        <v>0</v>
      </c>
      <c r="Y521" s="18"/>
      <c r="Z521" s="18"/>
      <c r="AA521" s="19">
        <f t="shared" si="187"/>
        <v>0</v>
      </c>
      <c r="AB521" s="17">
        <v>0</v>
      </c>
      <c r="AC521" s="18"/>
      <c r="AD521" s="18"/>
      <c r="AE521" s="22">
        <f t="shared" si="188"/>
        <v>0</v>
      </c>
      <c r="AF521" s="23">
        <f t="shared" si="189"/>
        <v>0</v>
      </c>
      <c r="AG521" s="23">
        <f t="shared" si="190"/>
        <v>0</v>
      </c>
      <c r="AH521" s="18"/>
      <c r="AI521" s="24">
        <f t="shared" si="191"/>
        <v>0</v>
      </c>
      <c r="AJ521" s="25">
        <v>0</v>
      </c>
      <c r="AK521" s="24">
        <f t="shared" si="192"/>
        <v>0</v>
      </c>
      <c r="AL521" s="22">
        <f t="shared" si="193"/>
        <v>0</v>
      </c>
      <c r="AM521" s="22">
        <f t="shared" si="194"/>
        <v>0</v>
      </c>
      <c r="AN521" s="22">
        <f t="shared" si="195"/>
        <v>0</v>
      </c>
      <c r="AO521" s="26" t="str">
        <f t="shared" si="196"/>
        <v/>
      </c>
      <c r="AP521" s="26" t="str">
        <f t="shared" si="197"/>
        <v>pre-launch</v>
      </c>
      <c r="AQ521" s="18"/>
      <c r="AR521" s="18"/>
    </row>
    <row r="522" spans="1:44" x14ac:dyDescent="0.25">
      <c r="A522" s="43">
        <v>45583</v>
      </c>
      <c r="B522" s="17">
        <v>1083055809.76</v>
      </c>
      <c r="C522" s="17">
        <v>0</v>
      </c>
      <c r="D522" s="17">
        <v>1118816</v>
      </c>
      <c r="E522" s="19">
        <f t="shared" si="176"/>
        <v>1083055809.76</v>
      </c>
      <c r="F522" s="19">
        <f t="shared" si="177"/>
        <v>1084174625.76</v>
      </c>
      <c r="G522" s="20">
        <f t="shared" si="178"/>
        <v>0</v>
      </c>
      <c r="H522" s="18"/>
      <c r="I522" s="18"/>
      <c r="J522" s="18"/>
      <c r="K522" s="19">
        <f t="shared" si="179"/>
        <v>0</v>
      </c>
      <c r="L522" s="18"/>
      <c r="M522" s="18"/>
      <c r="N522" s="18"/>
      <c r="O522" s="19">
        <f t="shared" si="180"/>
        <v>0</v>
      </c>
      <c r="P522" s="21">
        <f t="shared" si="181"/>
        <v>0</v>
      </c>
      <c r="Q522" s="18"/>
      <c r="R522" s="18"/>
      <c r="S522" s="19">
        <f t="shared" si="182"/>
        <v>0</v>
      </c>
      <c r="T522" s="20">
        <f t="shared" si="183"/>
        <v>0.03</v>
      </c>
      <c r="U522" s="19">
        <f t="shared" si="184"/>
        <v>0</v>
      </c>
      <c r="V522" s="18"/>
      <c r="W522" s="19">
        <f t="shared" si="185"/>
        <v>0</v>
      </c>
      <c r="X522" s="19">
        <f t="shared" si="186"/>
        <v>0</v>
      </c>
      <c r="Y522" s="18"/>
      <c r="Z522" s="18"/>
      <c r="AA522" s="19">
        <f t="shared" si="187"/>
        <v>0</v>
      </c>
      <c r="AB522" s="17">
        <v>0</v>
      </c>
      <c r="AC522" s="18"/>
      <c r="AD522" s="18"/>
      <c r="AE522" s="22">
        <f t="shared" si="188"/>
        <v>0</v>
      </c>
      <c r="AF522" s="23">
        <f t="shared" si="189"/>
        <v>0</v>
      </c>
      <c r="AG522" s="23">
        <f t="shared" si="190"/>
        <v>0</v>
      </c>
      <c r="AH522" s="18"/>
      <c r="AI522" s="24">
        <f t="shared" si="191"/>
        <v>0</v>
      </c>
      <c r="AJ522" s="25">
        <v>0</v>
      </c>
      <c r="AK522" s="24">
        <f t="shared" si="192"/>
        <v>0</v>
      </c>
      <c r="AL522" s="22">
        <f t="shared" si="193"/>
        <v>0</v>
      </c>
      <c r="AM522" s="22">
        <f t="shared" si="194"/>
        <v>0</v>
      </c>
      <c r="AN522" s="22">
        <f t="shared" si="195"/>
        <v>0</v>
      </c>
      <c r="AO522" s="26" t="str">
        <f t="shared" si="196"/>
        <v/>
      </c>
      <c r="AP522" s="26" t="str">
        <f t="shared" si="197"/>
        <v>pre-launch</v>
      </c>
      <c r="AQ522" s="18"/>
      <c r="AR522" s="18"/>
    </row>
    <row r="523" spans="1:44" x14ac:dyDescent="0.25">
      <c r="A523" s="43">
        <v>45584</v>
      </c>
      <c r="B523" s="17">
        <v>484320301.60000002</v>
      </c>
      <c r="C523" s="17">
        <v>0</v>
      </c>
      <c r="D523" s="17">
        <v>1089138</v>
      </c>
      <c r="E523" s="19">
        <f t="shared" si="176"/>
        <v>484320301.60000002</v>
      </c>
      <c r="F523" s="19">
        <f t="shared" si="177"/>
        <v>485409439.60000002</v>
      </c>
      <c r="G523" s="20">
        <f t="shared" si="178"/>
        <v>0</v>
      </c>
      <c r="H523" s="18"/>
      <c r="I523" s="18"/>
      <c r="J523" s="18"/>
      <c r="K523" s="19">
        <f t="shared" si="179"/>
        <v>0</v>
      </c>
      <c r="L523" s="18"/>
      <c r="M523" s="18"/>
      <c r="N523" s="18"/>
      <c r="O523" s="19">
        <f t="shared" si="180"/>
        <v>0</v>
      </c>
      <c r="P523" s="21">
        <f t="shared" si="181"/>
        <v>0</v>
      </c>
      <c r="Q523" s="18"/>
      <c r="R523" s="18"/>
      <c r="S523" s="19">
        <f t="shared" si="182"/>
        <v>0</v>
      </c>
      <c r="T523" s="20">
        <f t="shared" si="183"/>
        <v>0.03</v>
      </c>
      <c r="U523" s="19">
        <f t="shared" si="184"/>
        <v>0</v>
      </c>
      <c r="V523" s="18"/>
      <c r="W523" s="19">
        <f t="shared" si="185"/>
        <v>0</v>
      </c>
      <c r="X523" s="19">
        <f t="shared" si="186"/>
        <v>0</v>
      </c>
      <c r="Y523" s="18"/>
      <c r="Z523" s="18"/>
      <c r="AA523" s="19">
        <f t="shared" si="187"/>
        <v>0</v>
      </c>
      <c r="AB523" s="17">
        <v>0</v>
      </c>
      <c r="AC523" s="18"/>
      <c r="AD523" s="18"/>
      <c r="AE523" s="22">
        <f t="shared" si="188"/>
        <v>0</v>
      </c>
      <c r="AF523" s="23">
        <f t="shared" si="189"/>
        <v>0</v>
      </c>
      <c r="AG523" s="23">
        <f t="shared" si="190"/>
        <v>0</v>
      </c>
      <c r="AH523" s="18"/>
      <c r="AI523" s="24">
        <f t="shared" si="191"/>
        <v>0</v>
      </c>
      <c r="AJ523" s="25">
        <v>0</v>
      </c>
      <c r="AK523" s="24">
        <f t="shared" si="192"/>
        <v>0</v>
      </c>
      <c r="AL523" s="22">
        <f t="shared" si="193"/>
        <v>0</v>
      </c>
      <c r="AM523" s="22">
        <f t="shared" si="194"/>
        <v>0</v>
      </c>
      <c r="AN523" s="22">
        <f t="shared" si="195"/>
        <v>0</v>
      </c>
      <c r="AO523" s="26" t="str">
        <f t="shared" si="196"/>
        <v/>
      </c>
      <c r="AP523" s="26" t="str">
        <f t="shared" si="197"/>
        <v>pre-launch</v>
      </c>
      <c r="AQ523" s="18"/>
      <c r="AR523" s="18"/>
    </row>
    <row r="524" spans="1:44" x14ac:dyDescent="0.25">
      <c r="A524" s="43">
        <v>45585</v>
      </c>
      <c r="B524" s="17">
        <v>700882203.33000004</v>
      </c>
      <c r="C524" s="17">
        <v>0</v>
      </c>
      <c r="D524" s="17">
        <v>1521785</v>
      </c>
      <c r="E524" s="19">
        <f t="shared" si="176"/>
        <v>700882203.33000004</v>
      </c>
      <c r="F524" s="19">
        <f t="shared" si="177"/>
        <v>702403988.33000004</v>
      </c>
      <c r="G524" s="20">
        <f t="shared" si="178"/>
        <v>0</v>
      </c>
      <c r="H524" s="18"/>
      <c r="I524" s="18"/>
      <c r="J524" s="18"/>
      <c r="K524" s="19">
        <f t="shared" si="179"/>
        <v>0</v>
      </c>
      <c r="L524" s="18"/>
      <c r="M524" s="18"/>
      <c r="N524" s="18"/>
      <c r="O524" s="19">
        <f t="shared" si="180"/>
        <v>0</v>
      </c>
      <c r="P524" s="21">
        <f t="shared" si="181"/>
        <v>0</v>
      </c>
      <c r="Q524" s="18"/>
      <c r="R524" s="18"/>
      <c r="S524" s="19">
        <f t="shared" si="182"/>
        <v>0</v>
      </c>
      <c r="T524" s="20">
        <f t="shared" si="183"/>
        <v>0.03</v>
      </c>
      <c r="U524" s="19">
        <f t="shared" si="184"/>
        <v>0</v>
      </c>
      <c r="V524" s="18"/>
      <c r="W524" s="19">
        <f t="shared" si="185"/>
        <v>0</v>
      </c>
      <c r="X524" s="19">
        <f t="shared" si="186"/>
        <v>0</v>
      </c>
      <c r="Y524" s="18"/>
      <c r="Z524" s="18"/>
      <c r="AA524" s="19">
        <f t="shared" si="187"/>
        <v>0</v>
      </c>
      <c r="AB524" s="17">
        <v>0</v>
      </c>
      <c r="AC524" s="18"/>
      <c r="AD524" s="18"/>
      <c r="AE524" s="22">
        <f t="shared" si="188"/>
        <v>0</v>
      </c>
      <c r="AF524" s="23">
        <f t="shared" si="189"/>
        <v>0</v>
      </c>
      <c r="AG524" s="23">
        <f t="shared" si="190"/>
        <v>0</v>
      </c>
      <c r="AH524" s="18"/>
      <c r="AI524" s="24">
        <f t="shared" si="191"/>
        <v>0</v>
      </c>
      <c r="AJ524" s="25">
        <v>0</v>
      </c>
      <c r="AK524" s="24">
        <f t="shared" si="192"/>
        <v>0</v>
      </c>
      <c r="AL524" s="22">
        <f t="shared" si="193"/>
        <v>0</v>
      </c>
      <c r="AM524" s="22">
        <f t="shared" si="194"/>
        <v>0</v>
      </c>
      <c r="AN524" s="22">
        <f t="shared" si="195"/>
        <v>0</v>
      </c>
      <c r="AO524" s="26" t="str">
        <f t="shared" si="196"/>
        <v/>
      </c>
      <c r="AP524" s="26" t="str">
        <f t="shared" si="197"/>
        <v>pre-launch</v>
      </c>
      <c r="AQ524" s="18"/>
      <c r="AR524" s="18"/>
    </row>
    <row r="525" spans="1:44" x14ac:dyDescent="0.25">
      <c r="A525" s="43">
        <v>45586</v>
      </c>
      <c r="B525" s="17">
        <v>1271612376.8499999</v>
      </c>
      <c r="C525" s="17">
        <v>0</v>
      </c>
      <c r="D525" s="17">
        <v>1649536</v>
      </c>
      <c r="E525" s="19">
        <f t="shared" si="176"/>
        <v>1271612376.8499999</v>
      </c>
      <c r="F525" s="19">
        <f t="shared" si="177"/>
        <v>1273261912.8499999</v>
      </c>
      <c r="G525" s="20">
        <f t="shared" si="178"/>
        <v>0</v>
      </c>
      <c r="H525" s="18"/>
      <c r="I525" s="18"/>
      <c r="J525" s="18"/>
      <c r="K525" s="19">
        <f t="shared" si="179"/>
        <v>0</v>
      </c>
      <c r="L525" s="18"/>
      <c r="M525" s="18"/>
      <c r="N525" s="18"/>
      <c r="O525" s="19">
        <f t="shared" si="180"/>
        <v>0</v>
      </c>
      <c r="P525" s="21">
        <f t="shared" si="181"/>
        <v>0</v>
      </c>
      <c r="Q525" s="18"/>
      <c r="R525" s="18"/>
      <c r="S525" s="19">
        <f t="shared" si="182"/>
        <v>0</v>
      </c>
      <c r="T525" s="20">
        <f t="shared" si="183"/>
        <v>0.03</v>
      </c>
      <c r="U525" s="19">
        <f t="shared" si="184"/>
        <v>0</v>
      </c>
      <c r="V525" s="18"/>
      <c r="W525" s="19">
        <f t="shared" si="185"/>
        <v>0</v>
      </c>
      <c r="X525" s="19">
        <f t="shared" si="186"/>
        <v>0</v>
      </c>
      <c r="Y525" s="18"/>
      <c r="Z525" s="18"/>
      <c r="AA525" s="19">
        <f t="shared" si="187"/>
        <v>0</v>
      </c>
      <c r="AB525" s="17">
        <v>0</v>
      </c>
      <c r="AC525" s="18"/>
      <c r="AD525" s="18"/>
      <c r="AE525" s="22">
        <f t="shared" si="188"/>
        <v>0</v>
      </c>
      <c r="AF525" s="23">
        <f t="shared" si="189"/>
        <v>0</v>
      </c>
      <c r="AG525" s="23">
        <f t="shared" si="190"/>
        <v>0</v>
      </c>
      <c r="AH525" s="18"/>
      <c r="AI525" s="24">
        <f t="shared" si="191"/>
        <v>0</v>
      </c>
      <c r="AJ525" s="25">
        <v>0</v>
      </c>
      <c r="AK525" s="24">
        <f t="shared" si="192"/>
        <v>0</v>
      </c>
      <c r="AL525" s="22">
        <f t="shared" si="193"/>
        <v>0</v>
      </c>
      <c r="AM525" s="22">
        <f t="shared" si="194"/>
        <v>0</v>
      </c>
      <c r="AN525" s="22">
        <f t="shared" si="195"/>
        <v>0</v>
      </c>
      <c r="AO525" s="26" t="str">
        <f t="shared" si="196"/>
        <v/>
      </c>
      <c r="AP525" s="26" t="str">
        <f t="shared" si="197"/>
        <v>pre-launch</v>
      </c>
      <c r="AQ525" s="18"/>
      <c r="AR525" s="18"/>
    </row>
    <row r="526" spans="1:44" x14ac:dyDescent="0.25">
      <c r="A526" s="43">
        <v>45587</v>
      </c>
      <c r="B526" s="17">
        <v>1214898262.6900001</v>
      </c>
      <c r="C526" s="17">
        <v>0</v>
      </c>
      <c r="D526" s="17">
        <v>1733268</v>
      </c>
      <c r="E526" s="19">
        <f t="shared" si="176"/>
        <v>1214898262.6900001</v>
      </c>
      <c r="F526" s="19">
        <f t="shared" si="177"/>
        <v>1216631530.6900001</v>
      </c>
      <c r="G526" s="20">
        <f t="shared" si="178"/>
        <v>0</v>
      </c>
      <c r="H526" s="18"/>
      <c r="I526" s="18"/>
      <c r="J526" s="18"/>
      <c r="K526" s="19">
        <f t="shared" si="179"/>
        <v>0</v>
      </c>
      <c r="L526" s="18"/>
      <c r="M526" s="18"/>
      <c r="N526" s="18"/>
      <c r="O526" s="19">
        <f t="shared" si="180"/>
        <v>0</v>
      </c>
      <c r="P526" s="21">
        <f t="shared" si="181"/>
        <v>0</v>
      </c>
      <c r="Q526" s="18"/>
      <c r="R526" s="18"/>
      <c r="S526" s="19">
        <f t="shared" si="182"/>
        <v>0</v>
      </c>
      <c r="T526" s="20">
        <f t="shared" si="183"/>
        <v>0.03</v>
      </c>
      <c r="U526" s="19">
        <f t="shared" si="184"/>
        <v>0</v>
      </c>
      <c r="V526" s="18"/>
      <c r="W526" s="19">
        <f t="shared" si="185"/>
        <v>0</v>
      </c>
      <c r="X526" s="19">
        <f t="shared" si="186"/>
        <v>0</v>
      </c>
      <c r="Y526" s="18"/>
      <c r="Z526" s="18"/>
      <c r="AA526" s="19">
        <f t="shared" si="187"/>
        <v>0</v>
      </c>
      <c r="AB526" s="17">
        <v>0</v>
      </c>
      <c r="AC526" s="18"/>
      <c r="AD526" s="18"/>
      <c r="AE526" s="22">
        <f t="shared" si="188"/>
        <v>0</v>
      </c>
      <c r="AF526" s="23">
        <f t="shared" si="189"/>
        <v>0</v>
      </c>
      <c r="AG526" s="23">
        <f t="shared" si="190"/>
        <v>0</v>
      </c>
      <c r="AH526" s="18"/>
      <c r="AI526" s="24">
        <f t="shared" si="191"/>
        <v>0</v>
      </c>
      <c r="AJ526" s="25">
        <v>0</v>
      </c>
      <c r="AK526" s="24">
        <f t="shared" si="192"/>
        <v>0</v>
      </c>
      <c r="AL526" s="22">
        <f t="shared" si="193"/>
        <v>0</v>
      </c>
      <c r="AM526" s="22">
        <f t="shared" si="194"/>
        <v>0</v>
      </c>
      <c r="AN526" s="22">
        <f t="shared" si="195"/>
        <v>0</v>
      </c>
      <c r="AO526" s="26" t="str">
        <f t="shared" si="196"/>
        <v/>
      </c>
      <c r="AP526" s="26" t="str">
        <f t="shared" si="197"/>
        <v>pre-launch</v>
      </c>
      <c r="AQ526" s="18"/>
      <c r="AR526" s="18"/>
    </row>
    <row r="527" spans="1:44" x14ac:dyDescent="0.25">
      <c r="A527" s="43">
        <v>45588</v>
      </c>
      <c r="B527" s="17">
        <v>1251965098.1900001</v>
      </c>
      <c r="C527" s="17">
        <v>0</v>
      </c>
      <c r="D527" s="17">
        <v>2008139</v>
      </c>
      <c r="E527" s="19">
        <f t="shared" si="176"/>
        <v>1251965098.1900001</v>
      </c>
      <c r="F527" s="19">
        <f t="shared" si="177"/>
        <v>1253973237.1900001</v>
      </c>
      <c r="G527" s="20">
        <f t="shared" si="178"/>
        <v>0</v>
      </c>
      <c r="H527" s="18"/>
      <c r="I527" s="18"/>
      <c r="J527" s="18"/>
      <c r="K527" s="19">
        <f t="shared" si="179"/>
        <v>0</v>
      </c>
      <c r="L527" s="18"/>
      <c r="M527" s="18"/>
      <c r="N527" s="18"/>
      <c r="O527" s="19">
        <f t="shared" si="180"/>
        <v>0</v>
      </c>
      <c r="P527" s="21">
        <f t="shared" si="181"/>
        <v>0</v>
      </c>
      <c r="Q527" s="18"/>
      <c r="R527" s="18"/>
      <c r="S527" s="19">
        <f t="shared" si="182"/>
        <v>0</v>
      </c>
      <c r="T527" s="20">
        <f t="shared" si="183"/>
        <v>0.03</v>
      </c>
      <c r="U527" s="19">
        <f t="shared" si="184"/>
        <v>0</v>
      </c>
      <c r="V527" s="18"/>
      <c r="W527" s="19">
        <f t="shared" si="185"/>
        <v>0</v>
      </c>
      <c r="X527" s="19">
        <f t="shared" si="186"/>
        <v>0</v>
      </c>
      <c r="Y527" s="18"/>
      <c r="Z527" s="18"/>
      <c r="AA527" s="19">
        <f t="shared" si="187"/>
        <v>0</v>
      </c>
      <c r="AB527" s="17">
        <v>0</v>
      </c>
      <c r="AC527" s="18"/>
      <c r="AD527" s="18"/>
      <c r="AE527" s="22">
        <f t="shared" si="188"/>
        <v>0</v>
      </c>
      <c r="AF527" s="23">
        <f t="shared" si="189"/>
        <v>0</v>
      </c>
      <c r="AG527" s="23">
        <f t="shared" si="190"/>
        <v>0</v>
      </c>
      <c r="AH527" s="18"/>
      <c r="AI527" s="24">
        <f t="shared" si="191"/>
        <v>0</v>
      </c>
      <c r="AJ527" s="25">
        <v>0</v>
      </c>
      <c r="AK527" s="24">
        <f t="shared" si="192"/>
        <v>0</v>
      </c>
      <c r="AL527" s="22">
        <f t="shared" si="193"/>
        <v>0</v>
      </c>
      <c r="AM527" s="22">
        <f t="shared" si="194"/>
        <v>0</v>
      </c>
      <c r="AN527" s="22">
        <f t="shared" si="195"/>
        <v>0</v>
      </c>
      <c r="AO527" s="26" t="str">
        <f t="shared" si="196"/>
        <v/>
      </c>
      <c r="AP527" s="26" t="str">
        <f t="shared" si="197"/>
        <v>pre-launch</v>
      </c>
      <c r="AQ527" s="18"/>
      <c r="AR527" s="18"/>
    </row>
    <row r="528" spans="1:44" x14ac:dyDescent="0.25">
      <c r="A528" s="43">
        <v>45589</v>
      </c>
      <c r="B528" s="17">
        <v>929070387.19000006</v>
      </c>
      <c r="C528" s="17">
        <v>0</v>
      </c>
      <c r="D528" s="17">
        <v>4982618</v>
      </c>
      <c r="E528" s="19">
        <f t="shared" si="176"/>
        <v>929070387.19000006</v>
      </c>
      <c r="F528" s="19">
        <f t="shared" si="177"/>
        <v>934053005.19000006</v>
      </c>
      <c r="G528" s="20">
        <f t="shared" si="178"/>
        <v>0</v>
      </c>
      <c r="H528" s="18"/>
      <c r="I528" s="18"/>
      <c r="J528" s="18"/>
      <c r="K528" s="19">
        <f t="shared" si="179"/>
        <v>0</v>
      </c>
      <c r="L528" s="18"/>
      <c r="M528" s="18"/>
      <c r="N528" s="18"/>
      <c r="O528" s="19">
        <f t="shared" si="180"/>
        <v>0</v>
      </c>
      <c r="P528" s="21">
        <f t="shared" si="181"/>
        <v>0</v>
      </c>
      <c r="Q528" s="18"/>
      <c r="R528" s="18"/>
      <c r="S528" s="19">
        <f t="shared" si="182"/>
        <v>0</v>
      </c>
      <c r="T528" s="20">
        <f t="shared" si="183"/>
        <v>0.03</v>
      </c>
      <c r="U528" s="19">
        <f t="shared" si="184"/>
        <v>0</v>
      </c>
      <c r="V528" s="18"/>
      <c r="W528" s="19">
        <f t="shared" si="185"/>
        <v>0</v>
      </c>
      <c r="X528" s="19">
        <f t="shared" si="186"/>
        <v>0</v>
      </c>
      <c r="Y528" s="18"/>
      <c r="Z528" s="18"/>
      <c r="AA528" s="19">
        <f t="shared" si="187"/>
        <v>0</v>
      </c>
      <c r="AB528" s="17">
        <v>0</v>
      </c>
      <c r="AC528" s="18"/>
      <c r="AD528" s="18"/>
      <c r="AE528" s="22">
        <f t="shared" si="188"/>
        <v>0</v>
      </c>
      <c r="AF528" s="23">
        <f t="shared" si="189"/>
        <v>0</v>
      </c>
      <c r="AG528" s="23">
        <f t="shared" si="190"/>
        <v>0</v>
      </c>
      <c r="AH528" s="18"/>
      <c r="AI528" s="24">
        <f t="shared" si="191"/>
        <v>0</v>
      </c>
      <c r="AJ528" s="25">
        <v>0</v>
      </c>
      <c r="AK528" s="24">
        <f t="shared" si="192"/>
        <v>0</v>
      </c>
      <c r="AL528" s="22">
        <f t="shared" si="193"/>
        <v>0</v>
      </c>
      <c r="AM528" s="22">
        <f t="shared" si="194"/>
        <v>0</v>
      </c>
      <c r="AN528" s="22">
        <f t="shared" si="195"/>
        <v>0</v>
      </c>
      <c r="AO528" s="26" t="str">
        <f t="shared" si="196"/>
        <v/>
      </c>
      <c r="AP528" s="26" t="str">
        <f t="shared" si="197"/>
        <v>pre-launch</v>
      </c>
      <c r="AQ528" s="18"/>
      <c r="AR528" s="18"/>
    </row>
    <row r="529" spans="1:44" x14ac:dyDescent="0.25">
      <c r="A529" s="43">
        <v>45590</v>
      </c>
      <c r="B529" s="17">
        <v>1756796491.0899999</v>
      </c>
      <c r="C529" s="17">
        <v>0</v>
      </c>
      <c r="D529" s="17">
        <v>6977162</v>
      </c>
      <c r="E529" s="19">
        <f t="shared" si="176"/>
        <v>1756796491.0899999</v>
      </c>
      <c r="F529" s="19">
        <f t="shared" si="177"/>
        <v>1763773653.0899999</v>
      </c>
      <c r="G529" s="20">
        <f t="shared" si="178"/>
        <v>0</v>
      </c>
      <c r="H529" s="18"/>
      <c r="I529" s="18"/>
      <c r="J529" s="18"/>
      <c r="K529" s="19">
        <f t="shared" si="179"/>
        <v>0</v>
      </c>
      <c r="L529" s="18"/>
      <c r="M529" s="18"/>
      <c r="N529" s="18"/>
      <c r="O529" s="19">
        <f t="shared" si="180"/>
        <v>0</v>
      </c>
      <c r="P529" s="21">
        <f t="shared" si="181"/>
        <v>0</v>
      </c>
      <c r="Q529" s="18"/>
      <c r="R529" s="18"/>
      <c r="S529" s="19">
        <f t="shared" si="182"/>
        <v>0</v>
      </c>
      <c r="T529" s="20">
        <f t="shared" si="183"/>
        <v>0.03</v>
      </c>
      <c r="U529" s="19">
        <f t="shared" si="184"/>
        <v>0</v>
      </c>
      <c r="V529" s="18"/>
      <c r="W529" s="19">
        <f t="shared" si="185"/>
        <v>0</v>
      </c>
      <c r="X529" s="19">
        <f t="shared" si="186"/>
        <v>0</v>
      </c>
      <c r="Y529" s="18"/>
      <c r="Z529" s="18"/>
      <c r="AA529" s="19">
        <f t="shared" si="187"/>
        <v>0</v>
      </c>
      <c r="AB529" s="17">
        <v>0</v>
      </c>
      <c r="AC529" s="18"/>
      <c r="AD529" s="18"/>
      <c r="AE529" s="22">
        <f t="shared" si="188"/>
        <v>0</v>
      </c>
      <c r="AF529" s="23">
        <f t="shared" si="189"/>
        <v>0</v>
      </c>
      <c r="AG529" s="23">
        <f t="shared" si="190"/>
        <v>0</v>
      </c>
      <c r="AH529" s="18"/>
      <c r="AI529" s="24">
        <f t="shared" si="191"/>
        <v>0</v>
      </c>
      <c r="AJ529" s="25">
        <v>0</v>
      </c>
      <c r="AK529" s="24">
        <f t="shared" si="192"/>
        <v>0</v>
      </c>
      <c r="AL529" s="22">
        <f t="shared" si="193"/>
        <v>0</v>
      </c>
      <c r="AM529" s="22">
        <f t="shared" si="194"/>
        <v>0</v>
      </c>
      <c r="AN529" s="22">
        <f t="shared" si="195"/>
        <v>0</v>
      </c>
      <c r="AO529" s="26" t="str">
        <f t="shared" si="196"/>
        <v/>
      </c>
      <c r="AP529" s="26" t="str">
        <f t="shared" si="197"/>
        <v>pre-launch</v>
      </c>
      <c r="AQ529" s="18"/>
      <c r="AR529" s="18"/>
    </row>
    <row r="530" spans="1:44" x14ac:dyDescent="0.25">
      <c r="A530" s="43">
        <v>45591</v>
      </c>
      <c r="B530" s="17">
        <v>1493843407.23</v>
      </c>
      <c r="C530" s="17">
        <v>0</v>
      </c>
      <c r="D530" s="17">
        <v>4934407</v>
      </c>
      <c r="E530" s="19">
        <f t="shared" si="176"/>
        <v>1493843407.23</v>
      </c>
      <c r="F530" s="19">
        <f t="shared" si="177"/>
        <v>1498777814.23</v>
      </c>
      <c r="G530" s="20">
        <f t="shared" si="178"/>
        <v>0</v>
      </c>
      <c r="H530" s="18"/>
      <c r="I530" s="18"/>
      <c r="J530" s="18"/>
      <c r="K530" s="19">
        <f t="shared" si="179"/>
        <v>0</v>
      </c>
      <c r="L530" s="18"/>
      <c r="M530" s="18"/>
      <c r="N530" s="18"/>
      <c r="O530" s="19">
        <f t="shared" si="180"/>
        <v>0</v>
      </c>
      <c r="P530" s="21">
        <f t="shared" si="181"/>
        <v>0</v>
      </c>
      <c r="Q530" s="18"/>
      <c r="R530" s="18"/>
      <c r="S530" s="19">
        <f t="shared" si="182"/>
        <v>0</v>
      </c>
      <c r="T530" s="20">
        <f t="shared" si="183"/>
        <v>0.03</v>
      </c>
      <c r="U530" s="19">
        <f t="shared" si="184"/>
        <v>0</v>
      </c>
      <c r="V530" s="18"/>
      <c r="W530" s="19">
        <f t="shared" si="185"/>
        <v>0</v>
      </c>
      <c r="X530" s="19">
        <f t="shared" si="186"/>
        <v>0</v>
      </c>
      <c r="Y530" s="18"/>
      <c r="Z530" s="18"/>
      <c r="AA530" s="19">
        <f t="shared" si="187"/>
        <v>0</v>
      </c>
      <c r="AB530" s="17">
        <v>0</v>
      </c>
      <c r="AC530" s="18"/>
      <c r="AD530" s="18"/>
      <c r="AE530" s="22">
        <f t="shared" si="188"/>
        <v>0</v>
      </c>
      <c r="AF530" s="23">
        <f t="shared" si="189"/>
        <v>0</v>
      </c>
      <c r="AG530" s="23">
        <f t="shared" si="190"/>
        <v>0</v>
      </c>
      <c r="AH530" s="18"/>
      <c r="AI530" s="24">
        <f t="shared" si="191"/>
        <v>0</v>
      </c>
      <c r="AJ530" s="25">
        <v>0</v>
      </c>
      <c r="AK530" s="24">
        <f t="shared" si="192"/>
        <v>0</v>
      </c>
      <c r="AL530" s="22">
        <f t="shared" si="193"/>
        <v>0</v>
      </c>
      <c r="AM530" s="22">
        <f t="shared" si="194"/>
        <v>0</v>
      </c>
      <c r="AN530" s="22">
        <f t="shared" si="195"/>
        <v>0</v>
      </c>
      <c r="AO530" s="26" t="str">
        <f t="shared" si="196"/>
        <v/>
      </c>
      <c r="AP530" s="26" t="str">
        <f t="shared" si="197"/>
        <v>pre-launch</v>
      </c>
      <c r="AQ530" s="18"/>
      <c r="AR530" s="18"/>
    </row>
    <row r="531" spans="1:44" x14ac:dyDescent="0.25">
      <c r="A531" s="43">
        <v>45592</v>
      </c>
      <c r="B531" s="17">
        <v>438451324.95999998</v>
      </c>
      <c r="C531" s="17">
        <v>0</v>
      </c>
      <c r="D531" s="17">
        <v>3344874</v>
      </c>
      <c r="E531" s="19">
        <f t="shared" si="176"/>
        <v>438451324.95999998</v>
      </c>
      <c r="F531" s="19">
        <f t="shared" si="177"/>
        <v>441796198.95999998</v>
      </c>
      <c r="G531" s="20">
        <f t="shared" si="178"/>
        <v>0</v>
      </c>
      <c r="H531" s="18"/>
      <c r="I531" s="18"/>
      <c r="J531" s="18"/>
      <c r="K531" s="19">
        <f t="shared" si="179"/>
        <v>0</v>
      </c>
      <c r="L531" s="18"/>
      <c r="M531" s="18"/>
      <c r="N531" s="18"/>
      <c r="O531" s="19">
        <f t="shared" si="180"/>
        <v>0</v>
      </c>
      <c r="P531" s="21">
        <f t="shared" si="181"/>
        <v>0</v>
      </c>
      <c r="Q531" s="18"/>
      <c r="R531" s="18"/>
      <c r="S531" s="19">
        <f t="shared" si="182"/>
        <v>0</v>
      </c>
      <c r="T531" s="20">
        <f t="shared" si="183"/>
        <v>0.03</v>
      </c>
      <c r="U531" s="19">
        <f t="shared" si="184"/>
        <v>0</v>
      </c>
      <c r="V531" s="18"/>
      <c r="W531" s="19">
        <f t="shared" si="185"/>
        <v>0</v>
      </c>
      <c r="X531" s="19">
        <f t="shared" si="186"/>
        <v>0</v>
      </c>
      <c r="Y531" s="18"/>
      <c r="Z531" s="18"/>
      <c r="AA531" s="19">
        <f t="shared" si="187"/>
        <v>0</v>
      </c>
      <c r="AB531" s="17">
        <v>0</v>
      </c>
      <c r="AC531" s="18"/>
      <c r="AD531" s="18"/>
      <c r="AE531" s="22">
        <f t="shared" si="188"/>
        <v>0</v>
      </c>
      <c r="AF531" s="23">
        <f t="shared" si="189"/>
        <v>0</v>
      </c>
      <c r="AG531" s="23">
        <f t="shared" si="190"/>
        <v>0</v>
      </c>
      <c r="AH531" s="18"/>
      <c r="AI531" s="24">
        <f t="shared" si="191"/>
        <v>0</v>
      </c>
      <c r="AJ531" s="25">
        <v>0</v>
      </c>
      <c r="AK531" s="24">
        <f t="shared" si="192"/>
        <v>0</v>
      </c>
      <c r="AL531" s="22">
        <f t="shared" si="193"/>
        <v>0</v>
      </c>
      <c r="AM531" s="22">
        <f t="shared" si="194"/>
        <v>0</v>
      </c>
      <c r="AN531" s="22">
        <f t="shared" si="195"/>
        <v>0</v>
      </c>
      <c r="AO531" s="26" t="str">
        <f t="shared" si="196"/>
        <v/>
      </c>
      <c r="AP531" s="26" t="str">
        <f t="shared" si="197"/>
        <v>pre-launch</v>
      </c>
      <c r="AQ531" s="18"/>
      <c r="AR531" s="18"/>
    </row>
    <row r="532" spans="1:44" x14ac:dyDescent="0.25">
      <c r="A532" s="43">
        <v>45593</v>
      </c>
      <c r="B532" s="17">
        <v>1045299068.62</v>
      </c>
      <c r="C532" s="17">
        <v>0</v>
      </c>
      <c r="D532" s="17">
        <v>14706402</v>
      </c>
      <c r="E532" s="19">
        <f t="shared" si="176"/>
        <v>1045299068.62</v>
      </c>
      <c r="F532" s="19">
        <f t="shared" si="177"/>
        <v>1060005470.62</v>
      </c>
      <c r="G532" s="20">
        <f t="shared" si="178"/>
        <v>0</v>
      </c>
      <c r="H532" s="18"/>
      <c r="I532" s="18"/>
      <c r="J532" s="18"/>
      <c r="K532" s="19">
        <f t="shared" si="179"/>
        <v>0</v>
      </c>
      <c r="L532" s="18"/>
      <c r="M532" s="18"/>
      <c r="N532" s="18"/>
      <c r="O532" s="19">
        <f t="shared" si="180"/>
        <v>0</v>
      </c>
      <c r="P532" s="21">
        <f t="shared" si="181"/>
        <v>0</v>
      </c>
      <c r="Q532" s="18"/>
      <c r="R532" s="18"/>
      <c r="S532" s="19">
        <f t="shared" si="182"/>
        <v>0</v>
      </c>
      <c r="T532" s="20">
        <f t="shared" si="183"/>
        <v>0.03</v>
      </c>
      <c r="U532" s="19">
        <f t="shared" si="184"/>
        <v>0</v>
      </c>
      <c r="V532" s="18"/>
      <c r="W532" s="19">
        <f t="shared" si="185"/>
        <v>0</v>
      </c>
      <c r="X532" s="19">
        <f t="shared" si="186"/>
        <v>0</v>
      </c>
      <c r="Y532" s="18"/>
      <c r="Z532" s="18"/>
      <c r="AA532" s="19">
        <f t="shared" si="187"/>
        <v>0</v>
      </c>
      <c r="AB532" s="17">
        <v>0</v>
      </c>
      <c r="AC532" s="18"/>
      <c r="AD532" s="18"/>
      <c r="AE532" s="22">
        <f t="shared" si="188"/>
        <v>0</v>
      </c>
      <c r="AF532" s="23">
        <f t="shared" si="189"/>
        <v>0</v>
      </c>
      <c r="AG532" s="23">
        <f t="shared" si="190"/>
        <v>0</v>
      </c>
      <c r="AH532" s="18"/>
      <c r="AI532" s="24">
        <f t="shared" si="191"/>
        <v>0</v>
      </c>
      <c r="AJ532" s="25">
        <v>0</v>
      </c>
      <c r="AK532" s="24">
        <f t="shared" si="192"/>
        <v>0</v>
      </c>
      <c r="AL532" s="22">
        <f t="shared" si="193"/>
        <v>0</v>
      </c>
      <c r="AM532" s="22">
        <f t="shared" si="194"/>
        <v>0</v>
      </c>
      <c r="AN532" s="22">
        <f t="shared" si="195"/>
        <v>0</v>
      </c>
      <c r="AO532" s="26" t="str">
        <f t="shared" si="196"/>
        <v/>
      </c>
      <c r="AP532" s="26" t="str">
        <f t="shared" si="197"/>
        <v>pre-launch</v>
      </c>
      <c r="AQ532" s="18"/>
      <c r="AR532" s="18"/>
    </row>
    <row r="533" spans="1:44" x14ac:dyDescent="0.25">
      <c r="A533" s="43">
        <v>45594</v>
      </c>
      <c r="B533" s="17">
        <v>1399157863.22</v>
      </c>
      <c r="C533" s="17">
        <v>0</v>
      </c>
      <c r="D533" s="17">
        <v>7873216</v>
      </c>
      <c r="E533" s="19">
        <f t="shared" si="176"/>
        <v>1399157863.22</v>
      </c>
      <c r="F533" s="19">
        <f t="shared" si="177"/>
        <v>1407031079.22</v>
      </c>
      <c r="G533" s="20">
        <f t="shared" si="178"/>
        <v>0</v>
      </c>
      <c r="H533" s="18"/>
      <c r="I533" s="18"/>
      <c r="J533" s="18"/>
      <c r="K533" s="19">
        <f t="shared" si="179"/>
        <v>0</v>
      </c>
      <c r="L533" s="18"/>
      <c r="M533" s="18"/>
      <c r="N533" s="18"/>
      <c r="O533" s="19">
        <f t="shared" si="180"/>
        <v>0</v>
      </c>
      <c r="P533" s="21">
        <f t="shared" si="181"/>
        <v>0</v>
      </c>
      <c r="Q533" s="18"/>
      <c r="R533" s="18"/>
      <c r="S533" s="19">
        <f t="shared" si="182"/>
        <v>0</v>
      </c>
      <c r="T533" s="20">
        <f t="shared" si="183"/>
        <v>0.03</v>
      </c>
      <c r="U533" s="19">
        <f t="shared" si="184"/>
        <v>0</v>
      </c>
      <c r="V533" s="18"/>
      <c r="W533" s="19">
        <f t="shared" si="185"/>
        <v>0</v>
      </c>
      <c r="X533" s="19">
        <f t="shared" si="186"/>
        <v>0</v>
      </c>
      <c r="Y533" s="18"/>
      <c r="Z533" s="18"/>
      <c r="AA533" s="19">
        <f t="shared" si="187"/>
        <v>0</v>
      </c>
      <c r="AB533" s="17">
        <v>0</v>
      </c>
      <c r="AC533" s="18"/>
      <c r="AD533" s="18"/>
      <c r="AE533" s="22">
        <f t="shared" si="188"/>
        <v>0</v>
      </c>
      <c r="AF533" s="23">
        <f t="shared" si="189"/>
        <v>0</v>
      </c>
      <c r="AG533" s="23">
        <f t="shared" si="190"/>
        <v>0</v>
      </c>
      <c r="AH533" s="18"/>
      <c r="AI533" s="24">
        <f t="shared" si="191"/>
        <v>0</v>
      </c>
      <c r="AJ533" s="25">
        <v>0</v>
      </c>
      <c r="AK533" s="24">
        <f t="shared" si="192"/>
        <v>0</v>
      </c>
      <c r="AL533" s="22">
        <f t="shared" si="193"/>
        <v>0</v>
      </c>
      <c r="AM533" s="22">
        <f t="shared" si="194"/>
        <v>0</v>
      </c>
      <c r="AN533" s="22">
        <f t="shared" si="195"/>
        <v>0</v>
      </c>
      <c r="AO533" s="26" t="str">
        <f t="shared" si="196"/>
        <v/>
      </c>
      <c r="AP533" s="26" t="str">
        <f t="shared" si="197"/>
        <v>pre-launch</v>
      </c>
      <c r="AQ533" s="18"/>
      <c r="AR533" s="18"/>
    </row>
    <row r="534" spans="1:44" x14ac:dyDescent="0.25">
      <c r="A534" s="43">
        <v>45595</v>
      </c>
      <c r="B534" s="17">
        <v>1138072312.05</v>
      </c>
      <c r="C534" s="17">
        <v>0</v>
      </c>
      <c r="D534" s="17">
        <v>6536359</v>
      </c>
      <c r="E534" s="19">
        <f t="shared" si="176"/>
        <v>1138072312.05</v>
      </c>
      <c r="F534" s="19">
        <f t="shared" si="177"/>
        <v>1144608671.05</v>
      </c>
      <c r="G534" s="20">
        <f t="shared" si="178"/>
        <v>0</v>
      </c>
      <c r="H534" s="18"/>
      <c r="I534" s="18"/>
      <c r="J534" s="18"/>
      <c r="K534" s="19">
        <f t="shared" si="179"/>
        <v>0</v>
      </c>
      <c r="L534" s="18"/>
      <c r="M534" s="18"/>
      <c r="N534" s="18"/>
      <c r="O534" s="19">
        <f t="shared" si="180"/>
        <v>0</v>
      </c>
      <c r="P534" s="21">
        <f t="shared" si="181"/>
        <v>0</v>
      </c>
      <c r="Q534" s="18"/>
      <c r="R534" s="18"/>
      <c r="S534" s="19">
        <f t="shared" si="182"/>
        <v>0</v>
      </c>
      <c r="T534" s="20">
        <f t="shared" si="183"/>
        <v>0.03</v>
      </c>
      <c r="U534" s="19">
        <f t="shared" si="184"/>
        <v>0</v>
      </c>
      <c r="V534" s="18"/>
      <c r="W534" s="19">
        <f t="shared" si="185"/>
        <v>0</v>
      </c>
      <c r="X534" s="19">
        <f t="shared" si="186"/>
        <v>0</v>
      </c>
      <c r="Y534" s="18"/>
      <c r="Z534" s="18"/>
      <c r="AA534" s="19">
        <f t="shared" si="187"/>
        <v>0</v>
      </c>
      <c r="AB534" s="17">
        <v>0</v>
      </c>
      <c r="AC534" s="18"/>
      <c r="AD534" s="18"/>
      <c r="AE534" s="22">
        <f t="shared" si="188"/>
        <v>0</v>
      </c>
      <c r="AF534" s="23">
        <f t="shared" si="189"/>
        <v>0</v>
      </c>
      <c r="AG534" s="23">
        <f t="shared" si="190"/>
        <v>0</v>
      </c>
      <c r="AH534" s="18"/>
      <c r="AI534" s="24">
        <f t="shared" si="191"/>
        <v>0</v>
      </c>
      <c r="AJ534" s="25">
        <v>0</v>
      </c>
      <c r="AK534" s="24">
        <f t="shared" si="192"/>
        <v>0</v>
      </c>
      <c r="AL534" s="22">
        <f t="shared" si="193"/>
        <v>0</v>
      </c>
      <c r="AM534" s="22">
        <f t="shared" si="194"/>
        <v>0</v>
      </c>
      <c r="AN534" s="22">
        <f t="shared" si="195"/>
        <v>0</v>
      </c>
      <c r="AO534" s="26" t="str">
        <f t="shared" si="196"/>
        <v/>
      </c>
      <c r="AP534" s="26" t="str">
        <f t="shared" si="197"/>
        <v>pre-launch</v>
      </c>
      <c r="AQ534" s="18"/>
      <c r="AR534" s="18"/>
    </row>
    <row r="535" spans="1:44" x14ac:dyDescent="0.25">
      <c r="A535" s="43">
        <v>45596</v>
      </c>
      <c r="B535" s="17">
        <v>1067358457.49</v>
      </c>
      <c r="C535" s="17">
        <v>0</v>
      </c>
      <c r="D535" s="17">
        <v>5354091</v>
      </c>
      <c r="E535" s="19">
        <f t="shared" si="176"/>
        <v>1067358457.49</v>
      </c>
      <c r="F535" s="19">
        <f t="shared" si="177"/>
        <v>1072712548.49</v>
      </c>
      <c r="G535" s="20">
        <f t="shared" si="178"/>
        <v>0</v>
      </c>
      <c r="H535" s="18"/>
      <c r="I535" s="18"/>
      <c r="J535" s="18"/>
      <c r="K535" s="19">
        <f t="shared" si="179"/>
        <v>0</v>
      </c>
      <c r="L535" s="18"/>
      <c r="M535" s="18"/>
      <c r="N535" s="18"/>
      <c r="O535" s="19">
        <f t="shared" si="180"/>
        <v>0</v>
      </c>
      <c r="P535" s="21">
        <f t="shared" si="181"/>
        <v>0</v>
      </c>
      <c r="Q535" s="18"/>
      <c r="R535" s="18"/>
      <c r="S535" s="19">
        <f t="shared" si="182"/>
        <v>0</v>
      </c>
      <c r="T535" s="20">
        <f t="shared" si="183"/>
        <v>0.03</v>
      </c>
      <c r="U535" s="19">
        <f t="shared" si="184"/>
        <v>0</v>
      </c>
      <c r="V535" s="18"/>
      <c r="W535" s="19">
        <f t="shared" si="185"/>
        <v>0</v>
      </c>
      <c r="X535" s="19">
        <f t="shared" si="186"/>
        <v>0</v>
      </c>
      <c r="Y535" s="18"/>
      <c r="Z535" s="18"/>
      <c r="AA535" s="19">
        <f t="shared" si="187"/>
        <v>0</v>
      </c>
      <c r="AB535" s="17">
        <v>0</v>
      </c>
      <c r="AC535" s="18"/>
      <c r="AD535" s="18"/>
      <c r="AE535" s="22">
        <f t="shared" si="188"/>
        <v>0</v>
      </c>
      <c r="AF535" s="23">
        <f t="shared" si="189"/>
        <v>0</v>
      </c>
      <c r="AG535" s="23">
        <f t="shared" si="190"/>
        <v>0</v>
      </c>
      <c r="AH535" s="18"/>
      <c r="AI535" s="24">
        <f t="shared" si="191"/>
        <v>0</v>
      </c>
      <c r="AJ535" s="25">
        <v>0</v>
      </c>
      <c r="AK535" s="24">
        <f t="shared" si="192"/>
        <v>0</v>
      </c>
      <c r="AL535" s="22">
        <f t="shared" si="193"/>
        <v>0</v>
      </c>
      <c r="AM535" s="22">
        <f t="shared" si="194"/>
        <v>0</v>
      </c>
      <c r="AN535" s="22">
        <f t="shared" si="195"/>
        <v>0</v>
      </c>
      <c r="AO535" s="26" t="str">
        <f t="shared" si="196"/>
        <v/>
      </c>
      <c r="AP535" s="26" t="str">
        <f t="shared" si="197"/>
        <v>pre-launch</v>
      </c>
      <c r="AQ535" s="18"/>
      <c r="AR535" s="18"/>
    </row>
    <row r="536" spans="1:44" x14ac:dyDescent="0.25">
      <c r="A536" s="43">
        <v>45597</v>
      </c>
      <c r="B536" s="17">
        <v>1488728710.4300001</v>
      </c>
      <c r="C536" s="17">
        <v>0</v>
      </c>
      <c r="D536" s="17">
        <v>4298140</v>
      </c>
      <c r="E536" s="19">
        <f t="shared" si="176"/>
        <v>1488728710.4300001</v>
      </c>
      <c r="F536" s="19">
        <f t="shared" si="177"/>
        <v>1493026850.4300001</v>
      </c>
      <c r="G536" s="20">
        <f t="shared" si="178"/>
        <v>0</v>
      </c>
      <c r="H536" s="18"/>
      <c r="I536" s="18"/>
      <c r="J536" s="18"/>
      <c r="K536" s="19">
        <f t="shared" si="179"/>
        <v>0</v>
      </c>
      <c r="L536" s="18"/>
      <c r="M536" s="18"/>
      <c r="N536" s="18"/>
      <c r="O536" s="19">
        <f t="shared" si="180"/>
        <v>0</v>
      </c>
      <c r="P536" s="21">
        <f t="shared" si="181"/>
        <v>0</v>
      </c>
      <c r="Q536" s="18"/>
      <c r="R536" s="18"/>
      <c r="S536" s="19">
        <f t="shared" si="182"/>
        <v>0</v>
      </c>
      <c r="T536" s="20">
        <f t="shared" si="183"/>
        <v>0.03</v>
      </c>
      <c r="U536" s="19">
        <f t="shared" si="184"/>
        <v>0</v>
      </c>
      <c r="V536" s="18"/>
      <c r="W536" s="19">
        <f t="shared" si="185"/>
        <v>0</v>
      </c>
      <c r="X536" s="19">
        <f t="shared" si="186"/>
        <v>0</v>
      </c>
      <c r="Y536" s="18"/>
      <c r="Z536" s="18"/>
      <c r="AA536" s="19">
        <f t="shared" si="187"/>
        <v>0</v>
      </c>
      <c r="AB536" s="17">
        <v>0</v>
      </c>
      <c r="AC536" s="18"/>
      <c r="AD536" s="18"/>
      <c r="AE536" s="22">
        <f t="shared" si="188"/>
        <v>0</v>
      </c>
      <c r="AF536" s="23">
        <f t="shared" si="189"/>
        <v>0</v>
      </c>
      <c r="AG536" s="23">
        <f t="shared" si="190"/>
        <v>0</v>
      </c>
      <c r="AH536" s="18"/>
      <c r="AI536" s="24">
        <f t="shared" si="191"/>
        <v>0</v>
      </c>
      <c r="AJ536" s="25">
        <v>0</v>
      </c>
      <c r="AK536" s="24">
        <f t="shared" si="192"/>
        <v>0</v>
      </c>
      <c r="AL536" s="22">
        <f t="shared" si="193"/>
        <v>0</v>
      </c>
      <c r="AM536" s="22">
        <f t="shared" si="194"/>
        <v>0</v>
      </c>
      <c r="AN536" s="22">
        <f t="shared" si="195"/>
        <v>0</v>
      </c>
      <c r="AO536" s="26" t="str">
        <f t="shared" si="196"/>
        <v/>
      </c>
      <c r="AP536" s="26" t="str">
        <f t="shared" si="197"/>
        <v>pre-launch</v>
      </c>
      <c r="AQ536" s="18"/>
      <c r="AR536" s="18"/>
    </row>
    <row r="537" spans="1:44" x14ac:dyDescent="0.25">
      <c r="A537" s="43">
        <v>45598</v>
      </c>
      <c r="B537" s="17">
        <v>466867376.95999998</v>
      </c>
      <c r="C537" s="17">
        <v>0</v>
      </c>
      <c r="D537" s="17">
        <v>4870484</v>
      </c>
      <c r="E537" s="19">
        <f t="shared" si="176"/>
        <v>466867376.95999998</v>
      </c>
      <c r="F537" s="19">
        <f t="shared" si="177"/>
        <v>471737860.95999998</v>
      </c>
      <c r="G537" s="20">
        <f t="shared" si="178"/>
        <v>0</v>
      </c>
      <c r="H537" s="18"/>
      <c r="I537" s="18"/>
      <c r="J537" s="18"/>
      <c r="K537" s="19">
        <f t="shared" si="179"/>
        <v>0</v>
      </c>
      <c r="L537" s="18"/>
      <c r="M537" s="18"/>
      <c r="N537" s="18"/>
      <c r="O537" s="19">
        <f t="shared" si="180"/>
        <v>0</v>
      </c>
      <c r="P537" s="21">
        <f t="shared" si="181"/>
        <v>0</v>
      </c>
      <c r="Q537" s="18"/>
      <c r="R537" s="18"/>
      <c r="S537" s="19">
        <f t="shared" si="182"/>
        <v>0</v>
      </c>
      <c r="T537" s="20">
        <f t="shared" si="183"/>
        <v>0.03</v>
      </c>
      <c r="U537" s="19">
        <f t="shared" si="184"/>
        <v>0</v>
      </c>
      <c r="V537" s="18"/>
      <c r="W537" s="19">
        <f t="shared" si="185"/>
        <v>0</v>
      </c>
      <c r="X537" s="19">
        <f t="shared" si="186"/>
        <v>0</v>
      </c>
      <c r="Y537" s="18"/>
      <c r="Z537" s="18"/>
      <c r="AA537" s="19">
        <f t="shared" si="187"/>
        <v>0</v>
      </c>
      <c r="AB537" s="17">
        <v>0</v>
      </c>
      <c r="AC537" s="18"/>
      <c r="AD537" s="18"/>
      <c r="AE537" s="22">
        <f t="shared" si="188"/>
        <v>0</v>
      </c>
      <c r="AF537" s="23">
        <f t="shared" si="189"/>
        <v>0</v>
      </c>
      <c r="AG537" s="23">
        <f t="shared" si="190"/>
        <v>0</v>
      </c>
      <c r="AH537" s="18"/>
      <c r="AI537" s="24">
        <f t="shared" si="191"/>
        <v>0</v>
      </c>
      <c r="AJ537" s="25">
        <v>0</v>
      </c>
      <c r="AK537" s="24">
        <f t="shared" si="192"/>
        <v>0</v>
      </c>
      <c r="AL537" s="22">
        <f t="shared" si="193"/>
        <v>0</v>
      </c>
      <c r="AM537" s="22">
        <f t="shared" si="194"/>
        <v>0</v>
      </c>
      <c r="AN537" s="22">
        <f t="shared" si="195"/>
        <v>0</v>
      </c>
      <c r="AO537" s="26" t="str">
        <f t="shared" si="196"/>
        <v/>
      </c>
      <c r="AP537" s="26" t="str">
        <f t="shared" si="197"/>
        <v>pre-launch</v>
      </c>
      <c r="AQ537" s="18"/>
      <c r="AR537" s="18"/>
    </row>
    <row r="538" spans="1:44" x14ac:dyDescent="0.25">
      <c r="A538" s="43">
        <v>45599</v>
      </c>
      <c r="B538" s="17">
        <v>834666914.24000001</v>
      </c>
      <c r="C538" s="17">
        <v>0</v>
      </c>
      <c r="D538" s="17">
        <v>2907953</v>
      </c>
      <c r="E538" s="19">
        <f t="shared" si="176"/>
        <v>834666914.24000001</v>
      </c>
      <c r="F538" s="19">
        <f t="shared" si="177"/>
        <v>837574867.24000001</v>
      </c>
      <c r="G538" s="20">
        <f t="shared" si="178"/>
        <v>0</v>
      </c>
      <c r="H538" s="18"/>
      <c r="I538" s="18"/>
      <c r="J538" s="18"/>
      <c r="K538" s="19">
        <f t="shared" si="179"/>
        <v>0</v>
      </c>
      <c r="L538" s="18"/>
      <c r="M538" s="18"/>
      <c r="N538" s="18"/>
      <c r="O538" s="19">
        <f t="shared" si="180"/>
        <v>0</v>
      </c>
      <c r="P538" s="21">
        <f t="shared" si="181"/>
        <v>0</v>
      </c>
      <c r="Q538" s="18"/>
      <c r="R538" s="18"/>
      <c r="S538" s="19">
        <f t="shared" si="182"/>
        <v>0</v>
      </c>
      <c r="T538" s="20">
        <f t="shared" si="183"/>
        <v>0.03</v>
      </c>
      <c r="U538" s="19">
        <f t="shared" si="184"/>
        <v>0</v>
      </c>
      <c r="V538" s="18"/>
      <c r="W538" s="19">
        <f t="shared" si="185"/>
        <v>0</v>
      </c>
      <c r="X538" s="19">
        <f t="shared" si="186"/>
        <v>0</v>
      </c>
      <c r="Y538" s="18"/>
      <c r="Z538" s="18"/>
      <c r="AA538" s="19">
        <f t="shared" si="187"/>
        <v>0</v>
      </c>
      <c r="AB538" s="17">
        <v>0</v>
      </c>
      <c r="AC538" s="18"/>
      <c r="AD538" s="18"/>
      <c r="AE538" s="22">
        <f t="shared" si="188"/>
        <v>0</v>
      </c>
      <c r="AF538" s="23">
        <f t="shared" si="189"/>
        <v>0</v>
      </c>
      <c r="AG538" s="23">
        <f t="shared" si="190"/>
        <v>0</v>
      </c>
      <c r="AH538" s="18"/>
      <c r="AI538" s="24">
        <f t="shared" si="191"/>
        <v>0</v>
      </c>
      <c r="AJ538" s="25">
        <v>0</v>
      </c>
      <c r="AK538" s="24">
        <f t="shared" si="192"/>
        <v>0</v>
      </c>
      <c r="AL538" s="22">
        <f t="shared" si="193"/>
        <v>0</v>
      </c>
      <c r="AM538" s="22">
        <f t="shared" si="194"/>
        <v>0</v>
      </c>
      <c r="AN538" s="22">
        <f t="shared" si="195"/>
        <v>0</v>
      </c>
      <c r="AO538" s="26" t="str">
        <f t="shared" si="196"/>
        <v/>
      </c>
      <c r="AP538" s="26" t="str">
        <f t="shared" si="197"/>
        <v>pre-launch</v>
      </c>
      <c r="AQ538" s="18"/>
      <c r="AR538" s="18"/>
    </row>
    <row r="539" spans="1:44" x14ac:dyDescent="0.25">
      <c r="A539" s="43">
        <v>45600</v>
      </c>
      <c r="B539" s="17">
        <v>845027503.57000005</v>
      </c>
      <c r="C539" s="17">
        <v>0</v>
      </c>
      <c r="D539" s="17">
        <v>5175448</v>
      </c>
      <c r="E539" s="19">
        <f t="shared" si="176"/>
        <v>845027503.57000005</v>
      </c>
      <c r="F539" s="19">
        <f t="shared" si="177"/>
        <v>850202951.57000005</v>
      </c>
      <c r="G539" s="20">
        <f t="shared" si="178"/>
        <v>0</v>
      </c>
      <c r="H539" s="18"/>
      <c r="I539" s="18"/>
      <c r="J539" s="18"/>
      <c r="K539" s="19">
        <f t="shared" si="179"/>
        <v>0</v>
      </c>
      <c r="L539" s="18"/>
      <c r="M539" s="18"/>
      <c r="N539" s="18"/>
      <c r="O539" s="19">
        <f t="shared" si="180"/>
        <v>0</v>
      </c>
      <c r="P539" s="21">
        <f t="shared" si="181"/>
        <v>0</v>
      </c>
      <c r="Q539" s="18"/>
      <c r="R539" s="18"/>
      <c r="S539" s="19">
        <f t="shared" si="182"/>
        <v>0</v>
      </c>
      <c r="T539" s="20">
        <f t="shared" si="183"/>
        <v>0.03</v>
      </c>
      <c r="U539" s="19">
        <f t="shared" si="184"/>
        <v>0</v>
      </c>
      <c r="V539" s="18"/>
      <c r="W539" s="19">
        <f t="shared" si="185"/>
        <v>0</v>
      </c>
      <c r="X539" s="19">
        <f t="shared" si="186"/>
        <v>0</v>
      </c>
      <c r="Y539" s="18"/>
      <c r="Z539" s="18"/>
      <c r="AA539" s="19">
        <f t="shared" si="187"/>
        <v>0</v>
      </c>
      <c r="AB539" s="17">
        <v>0</v>
      </c>
      <c r="AC539" s="18"/>
      <c r="AD539" s="18"/>
      <c r="AE539" s="22">
        <f t="shared" si="188"/>
        <v>0</v>
      </c>
      <c r="AF539" s="23">
        <f t="shared" si="189"/>
        <v>0</v>
      </c>
      <c r="AG539" s="23">
        <f t="shared" si="190"/>
        <v>0</v>
      </c>
      <c r="AH539" s="18"/>
      <c r="AI539" s="24">
        <f t="shared" si="191"/>
        <v>0</v>
      </c>
      <c r="AJ539" s="25">
        <v>0</v>
      </c>
      <c r="AK539" s="24">
        <f t="shared" si="192"/>
        <v>0</v>
      </c>
      <c r="AL539" s="22">
        <f t="shared" si="193"/>
        <v>0</v>
      </c>
      <c r="AM539" s="22">
        <f t="shared" si="194"/>
        <v>0</v>
      </c>
      <c r="AN539" s="22">
        <f t="shared" si="195"/>
        <v>0</v>
      </c>
      <c r="AO539" s="26" t="str">
        <f t="shared" si="196"/>
        <v/>
      </c>
      <c r="AP539" s="26" t="str">
        <f t="shared" si="197"/>
        <v>pre-launch</v>
      </c>
      <c r="AQ539" s="18"/>
      <c r="AR539" s="18"/>
    </row>
    <row r="540" spans="1:44" x14ac:dyDescent="0.25">
      <c r="A540" s="43">
        <v>45601</v>
      </c>
      <c r="B540" s="17">
        <v>1132081366.24</v>
      </c>
      <c r="C540" s="17">
        <v>0</v>
      </c>
      <c r="D540" s="17">
        <v>1917874</v>
      </c>
      <c r="E540" s="19">
        <f t="shared" si="176"/>
        <v>1132081366.24</v>
      </c>
      <c r="F540" s="19">
        <f t="shared" si="177"/>
        <v>1133999240.24</v>
      </c>
      <c r="G540" s="20">
        <f t="shared" si="178"/>
        <v>0</v>
      </c>
      <c r="H540" s="18"/>
      <c r="I540" s="18"/>
      <c r="J540" s="18"/>
      <c r="K540" s="19">
        <f t="shared" si="179"/>
        <v>0</v>
      </c>
      <c r="L540" s="18"/>
      <c r="M540" s="18"/>
      <c r="N540" s="18"/>
      <c r="O540" s="19">
        <f t="shared" si="180"/>
        <v>0</v>
      </c>
      <c r="P540" s="21">
        <f t="shared" si="181"/>
        <v>0</v>
      </c>
      <c r="Q540" s="18"/>
      <c r="R540" s="18"/>
      <c r="S540" s="19">
        <f t="shared" si="182"/>
        <v>0</v>
      </c>
      <c r="T540" s="20">
        <f t="shared" si="183"/>
        <v>0.03</v>
      </c>
      <c r="U540" s="19">
        <f t="shared" si="184"/>
        <v>0</v>
      </c>
      <c r="V540" s="18"/>
      <c r="W540" s="19">
        <f t="shared" si="185"/>
        <v>0</v>
      </c>
      <c r="X540" s="19">
        <f t="shared" si="186"/>
        <v>0</v>
      </c>
      <c r="Y540" s="18"/>
      <c r="Z540" s="18"/>
      <c r="AA540" s="19">
        <f t="shared" si="187"/>
        <v>0</v>
      </c>
      <c r="AB540" s="17">
        <v>0</v>
      </c>
      <c r="AC540" s="18"/>
      <c r="AD540" s="18"/>
      <c r="AE540" s="22">
        <f t="shared" si="188"/>
        <v>0</v>
      </c>
      <c r="AF540" s="23">
        <f t="shared" si="189"/>
        <v>0</v>
      </c>
      <c r="AG540" s="23">
        <f t="shared" si="190"/>
        <v>0</v>
      </c>
      <c r="AH540" s="18"/>
      <c r="AI540" s="24">
        <f t="shared" si="191"/>
        <v>0</v>
      </c>
      <c r="AJ540" s="25">
        <v>0</v>
      </c>
      <c r="AK540" s="24">
        <f t="shared" si="192"/>
        <v>0</v>
      </c>
      <c r="AL540" s="22">
        <f t="shared" si="193"/>
        <v>0</v>
      </c>
      <c r="AM540" s="22">
        <f t="shared" si="194"/>
        <v>0</v>
      </c>
      <c r="AN540" s="22">
        <f t="shared" si="195"/>
        <v>0</v>
      </c>
      <c r="AO540" s="26" t="str">
        <f t="shared" si="196"/>
        <v/>
      </c>
      <c r="AP540" s="26" t="str">
        <f t="shared" si="197"/>
        <v>pre-launch</v>
      </c>
      <c r="AQ540" s="18"/>
      <c r="AR540" s="18"/>
    </row>
    <row r="541" spans="1:44" x14ac:dyDescent="0.25">
      <c r="A541" s="43">
        <v>45602</v>
      </c>
      <c r="B541" s="17">
        <v>3130348674.46</v>
      </c>
      <c r="C541" s="17">
        <v>0</v>
      </c>
      <c r="D541" s="17">
        <v>8102440</v>
      </c>
      <c r="E541" s="19">
        <f t="shared" si="176"/>
        <v>3130348674.46</v>
      </c>
      <c r="F541" s="19">
        <f t="shared" si="177"/>
        <v>3138451114.46</v>
      </c>
      <c r="G541" s="20">
        <f t="shared" si="178"/>
        <v>0</v>
      </c>
      <c r="H541" s="18"/>
      <c r="I541" s="18"/>
      <c r="J541" s="18"/>
      <c r="K541" s="19">
        <f t="shared" si="179"/>
        <v>0</v>
      </c>
      <c r="L541" s="18"/>
      <c r="M541" s="18"/>
      <c r="N541" s="18"/>
      <c r="O541" s="19">
        <f t="shared" si="180"/>
        <v>0</v>
      </c>
      <c r="P541" s="21">
        <f t="shared" si="181"/>
        <v>0</v>
      </c>
      <c r="Q541" s="18"/>
      <c r="R541" s="18"/>
      <c r="S541" s="19">
        <f t="shared" si="182"/>
        <v>0</v>
      </c>
      <c r="T541" s="20">
        <f t="shared" si="183"/>
        <v>0.03</v>
      </c>
      <c r="U541" s="19">
        <f t="shared" si="184"/>
        <v>0</v>
      </c>
      <c r="V541" s="18"/>
      <c r="W541" s="19">
        <f t="shared" si="185"/>
        <v>0</v>
      </c>
      <c r="X541" s="19">
        <f t="shared" si="186"/>
        <v>0</v>
      </c>
      <c r="Y541" s="18"/>
      <c r="Z541" s="18"/>
      <c r="AA541" s="19">
        <f t="shared" si="187"/>
        <v>0</v>
      </c>
      <c r="AB541" s="17">
        <v>0</v>
      </c>
      <c r="AC541" s="18"/>
      <c r="AD541" s="18"/>
      <c r="AE541" s="22">
        <f t="shared" si="188"/>
        <v>0</v>
      </c>
      <c r="AF541" s="23">
        <f t="shared" si="189"/>
        <v>0</v>
      </c>
      <c r="AG541" s="23">
        <f t="shared" si="190"/>
        <v>0</v>
      </c>
      <c r="AH541" s="18"/>
      <c r="AI541" s="24">
        <f t="shared" si="191"/>
        <v>0</v>
      </c>
      <c r="AJ541" s="25">
        <v>0</v>
      </c>
      <c r="AK541" s="24">
        <f t="shared" si="192"/>
        <v>0</v>
      </c>
      <c r="AL541" s="22">
        <f t="shared" si="193"/>
        <v>0</v>
      </c>
      <c r="AM541" s="22">
        <f t="shared" si="194"/>
        <v>0</v>
      </c>
      <c r="AN541" s="22">
        <f t="shared" si="195"/>
        <v>0</v>
      </c>
      <c r="AO541" s="26" t="str">
        <f t="shared" si="196"/>
        <v/>
      </c>
      <c r="AP541" s="26" t="str">
        <f t="shared" si="197"/>
        <v>pre-launch</v>
      </c>
      <c r="AQ541" s="18"/>
      <c r="AR541" s="18"/>
    </row>
    <row r="542" spans="1:44" x14ac:dyDescent="0.25">
      <c r="A542" s="43">
        <v>45603</v>
      </c>
      <c r="B542" s="17">
        <v>2120202625.76</v>
      </c>
      <c r="C542" s="17">
        <v>0</v>
      </c>
      <c r="D542" s="17">
        <v>6039848</v>
      </c>
      <c r="E542" s="19">
        <f t="shared" si="176"/>
        <v>2120202625.76</v>
      </c>
      <c r="F542" s="19">
        <f t="shared" si="177"/>
        <v>2126242473.76</v>
      </c>
      <c r="G542" s="20">
        <f t="shared" si="178"/>
        <v>0</v>
      </c>
      <c r="H542" s="18"/>
      <c r="I542" s="18"/>
      <c r="J542" s="18"/>
      <c r="K542" s="19">
        <f t="shared" si="179"/>
        <v>0</v>
      </c>
      <c r="L542" s="18"/>
      <c r="M542" s="18"/>
      <c r="N542" s="18"/>
      <c r="O542" s="19">
        <f t="shared" si="180"/>
        <v>0</v>
      </c>
      <c r="P542" s="21">
        <f t="shared" si="181"/>
        <v>0</v>
      </c>
      <c r="Q542" s="18"/>
      <c r="R542" s="18"/>
      <c r="S542" s="19">
        <f t="shared" si="182"/>
        <v>0</v>
      </c>
      <c r="T542" s="20">
        <f t="shared" si="183"/>
        <v>0.03</v>
      </c>
      <c r="U542" s="19">
        <f t="shared" si="184"/>
        <v>0</v>
      </c>
      <c r="V542" s="18"/>
      <c r="W542" s="19">
        <f t="shared" si="185"/>
        <v>0</v>
      </c>
      <c r="X542" s="19">
        <f t="shared" si="186"/>
        <v>0</v>
      </c>
      <c r="Y542" s="18"/>
      <c r="Z542" s="18"/>
      <c r="AA542" s="19">
        <f t="shared" si="187"/>
        <v>0</v>
      </c>
      <c r="AB542" s="17">
        <v>0</v>
      </c>
      <c r="AC542" s="18"/>
      <c r="AD542" s="18"/>
      <c r="AE542" s="22">
        <f t="shared" si="188"/>
        <v>0</v>
      </c>
      <c r="AF542" s="23">
        <f t="shared" si="189"/>
        <v>0</v>
      </c>
      <c r="AG542" s="23">
        <f t="shared" si="190"/>
        <v>0</v>
      </c>
      <c r="AH542" s="18"/>
      <c r="AI542" s="24">
        <f t="shared" si="191"/>
        <v>0</v>
      </c>
      <c r="AJ542" s="25">
        <v>0</v>
      </c>
      <c r="AK542" s="24">
        <f t="shared" si="192"/>
        <v>0</v>
      </c>
      <c r="AL542" s="22">
        <f t="shared" si="193"/>
        <v>0</v>
      </c>
      <c r="AM542" s="22">
        <f t="shared" si="194"/>
        <v>0</v>
      </c>
      <c r="AN542" s="22">
        <f t="shared" si="195"/>
        <v>0</v>
      </c>
      <c r="AO542" s="26" t="str">
        <f t="shared" si="196"/>
        <v/>
      </c>
      <c r="AP542" s="26" t="str">
        <f t="shared" si="197"/>
        <v>pre-launch</v>
      </c>
      <c r="AQ542" s="18"/>
      <c r="AR542" s="18"/>
    </row>
    <row r="543" spans="1:44" x14ac:dyDescent="0.25">
      <c r="A543" s="43">
        <v>45604</v>
      </c>
      <c r="B543" s="17">
        <v>1607657792.0799999</v>
      </c>
      <c r="C543" s="17">
        <v>0</v>
      </c>
      <c r="D543" s="17">
        <v>6984501</v>
      </c>
      <c r="E543" s="19">
        <f t="shared" si="176"/>
        <v>1607657792.0799999</v>
      </c>
      <c r="F543" s="19">
        <f t="shared" si="177"/>
        <v>1614642293.0799999</v>
      </c>
      <c r="G543" s="20">
        <f t="shared" si="178"/>
        <v>0</v>
      </c>
      <c r="H543" s="18"/>
      <c r="I543" s="18"/>
      <c r="J543" s="18"/>
      <c r="K543" s="19">
        <f t="shared" si="179"/>
        <v>0</v>
      </c>
      <c r="L543" s="18"/>
      <c r="M543" s="18"/>
      <c r="N543" s="18"/>
      <c r="O543" s="19">
        <f t="shared" si="180"/>
        <v>0</v>
      </c>
      <c r="P543" s="21">
        <f t="shared" si="181"/>
        <v>0</v>
      </c>
      <c r="Q543" s="18"/>
      <c r="R543" s="18"/>
      <c r="S543" s="19">
        <f t="shared" si="182"/>
        <v>0</v>
      </c>
      <c r="T543" s="20">
        <f t="shared" si="183"/>
        <v>0.03</v>
      </c>
      <c r="U543" s="19">
        <f t="shared" si="184"/>
        <v>0</v>
      </c>
      <c r="V543" s="18"/>
      <c r="W543" s="19">
        <f t="shared" si="185"/>
        <v>0</v>
      </c>
      <c r="X543" s="19">
        <f t="shared" si="186"/>
        <v>0</v>
      </c>
      <c r="Y543" s="18"/>
      <c r="Z543" s="18"/>
      <c r="AA543" s="19">
        <f t="shared" si="187"/>
        <v>0</v>
      </c>
      <c r="AB543" s="17">
        <v>0</v>
      </c>
      <c r="AC543" s="18"/>
      <c r="AD543" s="18"/>
      <c r="AE543" s="22">
        <f t="shared" si="188"/>
        <v>0</v>
      </c>
      <c r="AF543" s="23">
        <f t="shared" si="189"/>
        <v>0</v>
      </c>
      <c r="AG543" s="23">
        <f t="shared" si="190"/>
        <v>0</v>
      </c>
      <c r="AH543" s="18"/>
      <c r="AI543" s="24">
        <f t="shared" si="191"/>
        <v>0</v>
      </c>
      <c r="AJ543" s="25">
        <v>0</v>
      </c>
      <c r="AK543" s="24">
        <f t="shared" si="192"/>
        <v>0</v>
      </c>
      <c r="AL543" s="22">
        <f t="shared" si="193"/>
        <v>0</v>
      </c>
      <c r="AM543" s="22">
        <f t="shared" si="194"/>
        <v>0</v>
      </c>
      <c r="AN543" s="22">
        <f t="shared" si="195"/>
        <v>0</v>
      </c>
      <c r="AO543" s="26" t="str">
        <f t="shared" si="196"/>
        <v/>
      </c>
      <c r="AP543" s="26" t="str">
        <f t="shared" si="197"/>
        <v>pre-launch</v>
      </c>
      <c r="AQ543" s="18"/>
      <c r="AR543" s="18"/>
    </row>
    <row r="544" spans="1:44" x14ac:dyDescent="0.25">
      <c r="A544" s="43">
        <v>45605</v>
      </c>
      <c r="B544" s="17">
        <v>1283375052.02</v>
      </c>
      <c r="C544" s="17">
        <v>0</v>
      </c>
      <c r="D544" s="17">
        <v>6997081</v>
      </c>
      <c r="E544" s="19">
        <f t="shared" si="176"/>
        <v>1283375052.02</v>
      </c>
      <c r="F544" s="19">
        <f t="shared" si="177"/>
        <v>1290372133.02</v>
      </c>
      <c r="G544" s="20">
        <f t="shared" si="178"/>
        <v>0</v>
      </c>
      <c r="H544" s="18"/>
      <c r="I544" s="18"/>
      <c r="J544" s="18"/>
      <c r="K544" s="19">
        <f t="shared" si="179"/>
        <v>0</v>
      </c>
      <c r="L544" s="18"/>
      <c r="M544" s="18"/>
      <c r="N544" s="18"/>
      <c r="O544" s="19">
        <f t="shared" si="180"/>
        <v>0</v>
      </c>
      <c r="P544" s="21">
        <f t="shared" si="181"/>
        <v>0</v>
      </c>
      <c r="Q544" s="18"/>
      <c r="R544" s="18"/>
      <c r="S544" s="19">
        <f t="shared" si="182"/>
        <v>0</v>
      </c>
      <c r="T544" s="20">
        <f t="shared" si="183"/>
        <v>0.03</v>
      </c>
      <c r="U544" s="19">
        <f t="shared" si="184"/>
        <v>0</v>
      </c>
      <c r="V544" s="18"/>
      <c r="W544" s="19">
        <f t="shared" si="185"/>
        <v>0</v>
      </c>
      <c r="X544" s="19">
        <f t="shared" si="186"/>
        <v>0</v>
      </c>
      <c r="Y544" s="18"/>
      <c r="Z544" s="18"/>
      <c r="AA544" s="19">
        <f t="shared" si="187"/>
        <v>0</v>
      </c>
      <c r="AB544" s="17">
        <v>0</v>
      </c>
      <c r="AC544" s="18"/>
      <c r="AD544" s="18"/>
      <c r="AE544" s="22">
        <f t="shared" si="188"/>
        <v>0</v>
      </c>
      <c r="AF544" s="23">
        <f t="shared" si="189"/>
        <v>0</v>
      </c>
      <c r="AG544" s="23">
        <f t="shared" si="190"/>
        <v>0</v>
      </c>
      <c r="AH544" s="18"/>
      <c r="AI544" s="24">
        <f t="shared" si="191"/>
        <v>0</v>
      </c>
      <c r="AJ544" s="25">
        <v>0</v>
      </c>
      <c r="AK544" s="24">
        <f t="shared" si="192"/>
        <v>0</v>
      </c>
      <c r="AL544" s="22">
        <f t="shared" si="193"/>
        <v>0</v>
      </c>
      <c r="AM544" s="22">
        <f t="shared" si="194"/>
        <v>0</v>
      </c>
      <c r="AN544" s="22">
        <f t="shared" si="195"/>
        <v>0</v>
      </c>
      <c r="AO544" s="26" t="str">
        <f t="shared" si="196"/>
        <v/>
      </c>
      <c r="AP544" s="26" t="str">
        <f t="shared" si="197"/>
        <v>pre-launch</v>
      </c>
      <c r="AQ544" s="18"/>
      <c r="AR544" s="18"/>
    </row>
    <row r="545" spans="1:44" x14ac:dyDescent="0.25">
      <c r="A545" s="43">
        <v>45606</v>
      </c>
      <c r="B545" s="17">
        <v>2158793556.5900002</v>
      </c>
      <c r="C545" s="17">
        <v>0</v>
      </c>
      <c r="D545" s="17">
        <v>6664630</v>
      </c>
      <c r="E545" s="19">
        <f t="shared" si="176"/>
        <v>2158793556.5900002</v>
      </c>
      <c r="F545" s="19">
        <f t="shared" si="177"/>
        <v>2165458186.5900002</v>
      </c>
      <c r="G545" s="20">
        <f t="shared" si="178"/>
        <v>0</v>
      </c>
      <c r="H545" s="18"/>
      <c r="I545" s="18"/>
      <c r="J545" s="18"/>
      <c r="K545" s="19">
        <f t="shared" si="179"/>
        <v>0</v>
      </c>
      <c r="L545" s="18"/>
      <c r="M545" s="18"/>
      <c r="N545" s="18"/>
      <c r="O545" s="19">
        <f t="shared" si="180"/>
        <v>0</v>
      </c>
      <c r="P545" s="21">
        <f t="shared" si="181"/>
        <v>0</v>
      </c>
      <c r="Q545" s="18"/>
      <c r="R545" s="18"/>
      <c r="S545" s="19">
        <f t="shared" si="182"/>
        <v>0</v>
      </c>
      <c r="T545" s="20">
        <f t="shared" si="183"/>
        <v>0.03</v>
      </c>
      <c r="U545" s="19">
        <f t="shared" si="184"/>
        <v>0</v>
      </c>
      <c r="V545" s="18"/>
      <c r="W545" s="19">
        <f t="shared" si="185"/>
        <v>0</v>
      </c>
      <c r="X545" s="19">
        <f t="shared" si="186"/>
        <v>0</v>
      </c>
      <c r="Y545" s="18"/>
      <c r="Z545" s="18"/>
      <c r="AA545" s="19">
        <f t="shared" si="187"/>
        <v>0</v>
      </c>
      <c r="AB545" s="17">
        <v>0</v>
      </c>
      <c r="AC545" s="18"/>
      <c r="AD545" s="18"/>
      <c r="AE545" s="22">
        <f t="shared" si="188"/>
        <v>0</v>
      </c>
      <c r="AF545" s="23">
        <f t="shared" si="189"/>
        <v>0</v>
      </c>
      <c r="AG545" s="23">
        <f t="shared" si="190"/>
        <v>0</v>
      </c>
      <c r="AH545" s="18"/>
      <c r="AI545" s="24">
        <f t="shared" si="191"/>
        <v>0</v>
      </c>
      <c r="AJ545" s="25">
        <v>0</v>
      </c>
      <c r="AK545" s="24">
        <f t="shared" si="192"/>
        <v>0</v>
      </c>
      <c r="AL545" s="22">
        <f t="shared" si="193"/>
        <v>0</v>
      </c>
      <c r="AM545" s="22">
        <f t="shared" si="194"/>
        <v>0</v>
      </c>
      <c r="AN545" s="22">
        <f t="shared" si="195"/>
        <v>0</v>
      </c>
      <c r="AO545" s="26" t="str">
        <f t="shared" si="196"/>
        <v/>
      </c>
      <c r="AP545" s="26" t="str">
        <f t="shared" si="197"/>
        <v>pre-launch</v>
      </c>
      <c r="AQ545" s="18"/>
      <c r="AR545" s="18"/>
    </row>
    <row r="546" spans="1:44" x14ac:dyDescent="0.25">
      <c r="A546" s="43">
        <v>45607</v>
      </c>
      <c r="B546" s="17">
        <v>3828035246</v>
      </c>
      <c r="C546" s="17">
        <v>0</v>
      </c>
      <c r="D546" s="17">
        <v>6928825</v>
      </c>
      <c r="E546" s="19">
        <f t="shared" si="176"/>
        <v>3828035246</v>
      </c>
      <c r="F546" s="19">
        <f t="shared" si="177"/>
        <v>3834964071</v>
      </c>
      <c r="G546" s="20">
        <f t="shared" si="178"/>
        <v>0</v>
      </c>
      <c r="H546" s="18"/>
      <c r="I546" s="18"/>
      <c r="J546" s="18"/>
      <c r="K546" s="19">
        <f t="shared" si="179"/>
        <v>0</v>
      </c>
      <c r="L546" s="18"/>
      <c r="M546" s="18"/>
      <c r="N546" s="18"/>
      <c r="O546" s="19">
        <f t="shared" si="180"/>
        <v>0</v>
      </c>
      <c r="P546" s="21">
        <f t="shared" si="181"/>
        <v>0</v>
      </c>
      <c r="Q546" s="18"/>
      <c r="R546" s="18"/>
      <c r="S546" s="19">
        <f t="shared" si="182"/>
        <v>0</v>
      </c>
      <c r="T546" s="20">
        <f t="shared" si="183"/>
        <v>0.03</v>
      </c>
      <c r="U546" s="19">
        <f t="shared" si="184"/>
        <v>0</v>
      </c>
      <c r="V546" s="18"/>
      <c r="W546" s="19">
        <f t="shared" si="185"/>
        <v>0</v>
      </c>
      <c r="X546" s="19">
        <f t="shared" si="186"/>
        <v>0</v>
      </c>
      <c r="Y546" s="18"/>
      <c r="Z546" s="18"/>
      <c r="AA546" s="19">
        <f t="shared" si="187"/>
        <v>0</v>
      </c>
      <c r="AB546" s="17">
        <v>0</v>
      </c>
      <c r="AC546" s="18"/>
      <c r="AD546" s="18"/>
      <c r="AE546" s="22">
        <f t="shared" si="188"/>
        <v>0</v>
      </c>
      <c r="AF546" s="23">
        <f t="shared" si="189"/>
        <v>0</v>
      </c>
      <c r="AG546" s="23">
        <f t="shared" si="190"/>
        <v>0</v>
      </c>
      <c r="AH546" s="18"/>
      <c r="AI546" s="24">
        <f t="shared" si="191"/>
        <v>0</v>
      </c>
      <c r="AJ546" s="25">
        <v>0</v>
      </c>
      <c r="AK546" s="24">
        <f t="shared" si="192"/>
        <v>0</v>
      </c>
      <c r="AL546" s="22">
        <f t="shared" si="193"/>
        <v>0</v>
      </c>
      <c r="AM546" s="22">
        <f t="shared" si="194"/>
        <v>0</v>
      </c>
      <c r="AN546" s="22">
        <f t="shared" si="195"/>
        <v>0</v>
      </c>
      <c r="AO546" s="26" t="str">
        <f t="shared" si="196"/>
        <v/>
      </c>
      <c r="AP546" s="26" t="str">
        <f t="shared" si="197"/>
        <v>pre-launch</v>
      </c>
      <c r="AQ546" s="18"/>
      <c r="AR546" s="18"/>
    </row>
    <row r="547" spans="1:44" x14ac:dyDescent="0.25">
      <c r="A547" s="43">
        <v>45608</v>
      </c>
      <c r="B547" s="17">
        <v>5145147194.75</v>
      </c>
      <c r="C547" s="17">
        <v>0</v>
      </c>
      <c r="D547" s="17">
        <v>6714088</v>
      </c>
      <c r="E547" s="19">
        <f t="shared" si="176"/>
        <v>5145147194.75</v>
      </c>
      <c r="F547" s="19">
        <f t="shared" si="177"/>
        <v>5151861282.75</v>
      </c>
      <c r="G547" s="20">
        <f t="shared" si="178"/>
        <v>0</v>
      </c>
      <c r="H547" s="18"/>
      <c r="I547" s="18"/>
      <c r="J547" s="18"/>
      <c r="K547" s="19">
        <f t="shared" si="179"/>
        <v>0</v>
      </c>
      <c r="L547" s="18"/>
      <c r="M547" s="18"/>
      <c r="N547" s="18"/>
      <c r="O547" s="19">
        <f t="shared" si="180"/>
        <v>0</v>
      </c>
      <c r="P547" s="21">
        <f t="shared" si="181"/>
        <v>0</v>
      </c>
      <c r="Q547" s="18"/>
      <c r="R547" s="18"/>
      <c r="S547" s="19">
        <f t="shared" si="182"/>
        <v>0</v>
      </c>
      <c r="T547" s="20">
        <f t="shared" si="183"/>
        <v>0.03</v>
      </c>
      <c r="U547" s="19">
        <f t="shared" si="184"/>
        <v>0</v>
      </c>
      <c r="V547" s="18"/>
      <c r="W547" s="19">
        <f t="shared" si="185"/>
        <v>0</v>
      </c>
      <c r="X547" s="19">
        <f t="shared" si="186"/>
        <v>0</v>
      </c>
      <c r="Y547" s="18"/>
      <c r="Z547" s="18"/>
      <c r="AA547" s="19">
        <f t="shared" si="187"/>
        <v>0</v>
      </c>
      <c r="AB547" s="17">
        <v>0</v>
      </c>
      <c r="AC547" s="18"/>
      <c r="AD547" s="18"/>
      <c r="AE547" s="22">
        <f t="shared" si="188"/>
        <v>0</v>
      </c>
      <c r="AF547" s="23">
        <f t="shared" si="189"/>
        <v>0</v>
      </c>
      <c r="AG547" s="23">
        <f t="shared" si="190"/>
        <v>0</v>
      </c>
      <c r="AH547" s="18"/>
      <c r="AI547" s="24">
        <f t="shared" si="191"/>
        <v>0</v>
      </c>
      <c r="AJ547" s="25">
        <v>0</v>
      </c>
      <c r="AK547" s="24">
        <f t="shared" si="192"/>
        <v>0</v>
      </c>
      <c r="AL547" s="22">
        <f t="shared" si="193"/>
        <v>0</v>
      </c>
      <c r="AM547" s="22">
        <f t="shared" si="194"/>
        <v>0</v>
      </c>
      <c r="AN547" s="22">
        <f t="shared" si="195"/>
        <v>0</v>
      </c>
      <c r="AO547" s="26" t="str">
        <f t="shared" si="196"/>
        <v/>
      </c>
      <c r="AP547" s="26" t="str">
        <f t="shared" si="197"/>
        <v>pre-launch</v>
      </c>
      <c r="AQ547" s="18"/>
      <c r="AR547" s="18"/>
    </row>
    <row r="548" spans="1:44" x14ac:dyDescent="0.25">
      <c r="A548" s="43">
        <v>45609</v>
      </c>
      <c r="B548" s="17">
        <v>5204983602.8999996</v>
      </c>
      <c r="C548" s="17">
        <v>0</v>
      </c>
      <c r="D548" s="17">
        <v>6228064</v>
      </c>
      <c r="E548" s="19">
        <f t="shared" si="176"/>
        <v>5204983602.8999996</v>
      </c>
      <c r="F548" s="19">
        <f t="shared" si="177"/>
        <v>5211211666.8999996</v>
      </c>
      <c r="G548" s="20">
        <f t="shared" si="178"/>
        <v>0</v>
      </c>
      <c r="H548" s="18"/>
      <c r="I548" s="18"/>
      <c r="J548" s="18"/>
      <c r="K548" s="19">
        <f t="shared" si="179"/>
        <v>0</v>
      </c>
      <c r="L548" s="18"/>
      <c r="M548" s="18"/>
      <c r="N548" s="18"/>
      <c r="O548" s="19">
        <f t="shared" si="180"/>
        <v>0</v>
      </c>
      <c r="P548" s="21">
        <f t="shared" si="181"/>
        <v>0</v>
      </c>
      <c r="Q548" s="18"/>
      <c r="R548" s="18"/>
      <c r="S548" s="19">
        <f t="shared" si="182"/>
        <v>0</v>
      </c>
      <c r="T548" s="20">
        <f t="shared" si="183"/>
        <v>0.03</v>
      </c>
      <c r="U548" s="19">
        <f t="shared" si="184"/>
        <v>0</v>
      </c>
      <c r="V548" s="18"/>
      <c r="W548" s="19">
        <f t="shared" si="185"/>
        <v>0</v>
      </c>
      <c r="X548" s="19">
        <f t="shared" si="186"/>
        <v>0</v>
      </c>
      <c r="Y548" s="18"/>
      <c r="Z548" s="18"/>
      <c r="AA548" s="19">
        <f t="shared" si="187"/>
        <v>0</v>
      </c>
      <c r="AB548" s="17">
        <v>0</v>
      </c>
      <c r="AC548" s="18"/>
      <c r="AD548" s="18"/>
      <c r="AE548" s="22">
        <f t="shared" si="188"/>
        <v>0</v>
      </c>
      <c r="AF548" s="23">
        <f t="shared" si="189"/>
        <v>0</v>
      </c>
      <c r="AG548" s="23">
        <f t="shared" si="190"/>
        <v>0</v>
      </c>
      <c r="AH548" s="18"/>
      <c r="AI548" s="24">
        <f t="shared" si="191"/>
        <v>0</v>
      </c>
      <c r="AJ548" s="25">
        <v>0</v>
      </c>
      <c r="AK548" s="24">
        <f t="shared" si="192"/>
        <v>0</v>
      </c>
      <c r="AL548" s="22">
        <f t="shared" si="193"/>
        <v>0</v>
      </c>
      <c r="AM548" s="22">
        <f t="shared" si="194"/>
        <v>0</v>
      </c>
      <c r="AN548" s="22">
        <f t="shared" si="195"/>
        <v>0</v>
      </c>
      <c r="AO548" s="26" t="str">
        <f t="shared" si="196"/>
        <v/>
      </c>
      <c r="AP548" s="26" t="str">
        <f t="shared" si="197"/>
        <v>pre-launch</v>
      </c>
      <c r="AQ548" s="18"/>
      <c r="AR548" s="18"/>
    </row>
    <row r="549" spans="1:44" x14ac:dyDescent="0.25">
      <c r="A549" s="43">
        <v>45610</v>
      </c>
      <c r="B549" s="17">
        <v>4293882546.5300002</v>
      </c>
      <c r="C549" s="17">
        <v>0</v>
      </c>
      <c r="D549" s="17">
        <v>10786342</v>
      </c>
      <c r="E549" s="19">
        <f t="shared" si="176"/>
        <v>4293882546.5300002</v>
      </c>
      <c r="F549" s="19">
        <f t="shared" si="177"/>
        <v>4304668888.5300007</v>
      </c>
      <c r="G549" s="20">
        <f t="shared" si="178"/>
        <v>0</v>
      </c>
      <c r="H549" s="18"/>
      <c r="I549" s="18"/>
      <c r="J549" s="18"/>
      <c r="K549" s="19">
        <f t="shared" si="179"/>
        <v>0</v>
      </c>
      <c r="L549" s="18"/>
      <c r="M549" s="18"/>
      <c r="N549" s="18"/>
      <c r="O549" s="19">
        <f t="shared" si="180"/>
        <v>0</v>
      </c>
      <c r="P549" s="21">
        <f t="shared" si="181"/>
        <v>0</v>
      </c>
      <c r="Q549" s="18"/>
      <c r="R549" s="18"/>
      <c r="S549" s="19">
        <f t="shared" si="182"/>
        <v>0</v>
      </c>
      <c r="T549" s="20">
        <f t="shared" si="183"/>
        <v>0.03</v>
      </c>
      <c r="U549" s="19">
        <f t="shared" si="184"/>
        <v>0</v>
      </c>
      <c r="V549" s="18"/>
      <c r="W549" s="19">
        <f t="shared" si="185"/>
        <v>0</v>
      </c>
      <c r="X549" s="19">
        <f t="shared" si="186"/>
        <v>0</v>
      </c>
      <c r="Y549" s="18"/>
      <c r="Z549" s="18"/>
      <c r="AA549" s="19">
        <f t="shared" si="187"/>
        <v>0</v>
      </c>
      <c r="AB549" s="17">
        <v>0</v>
      </c>
      <c r="AC549" s="18"/>
      <c r="AD549" s="18"/>
      <c r="AE549" s="22">
        <f t="shared" si="188"/>
        <v>0</v>
      </c>
      <c r="AF549" s="23">
        <f t="shared" si="189"/>
        <v>0</v>
      </c>
      <c r="AG549" s="23">
        <f t="shared" si="190"/>
        <v>0</v>
      </c>
      <c r="AH549" s="18"/>
      <c r="AI549" s="24">
        <f t="shared" si="191"/>
        <v>0</v>
      </c>
      <c r="AJ549" s="25">
        <v>0</v>
      </c>
      <c r="AK549" s="24">
        <f t="shared" si="192"/>
        <v>0</v>
      </c>
      <c r="AL549" s="22">
        <f t="shared" si="193"/>
        <v>0</v>
      </c>
      <c r="AM549" s="22">
        <f t="shared" si="194"/>
        <v>0</v>
      </c>
      <c r="AN549" s="22">
        <f t="shared" si="195"/>
        <v>0</v>
      </c>
      <c r="AO549" s="26" t="str">
        <f t="shared" si="196"/>
        <v/>
      </c>
      <c r="AP549" s="26" t="str">
        <f t="shared" si="197"/>
        <v>pre-launch</v>
      </c>
      <c r="AQ549" s="18"/>
      <c r="AR549" s="18"/>
    </row>
    <row r="550" spans="1:44" x14ac:dyDescent="0.25">
      <c r="A550" s="43">
        <v>45611</v>
      </c>
      <c r="B550" s="17">
        <v>3064535634.4200001</v>
      </c>
      <c r="C550" s="17">
        <v>0</v>
      </c>
      <c r="D550" s="17">
        <v>7253770</v>
      </c>
      <c r="E550" s="19">
        <f t="shared" si="176"/>
        <v>3064535634.4200001</v>
      </c>
      <c r="F550" s="19">
        <f t="shared" si="177"/>
        <v>3071789404.4200001</v>
      </c>
      <c r="G550" s="20">
        <f t="shared" si="178"/>
        <v>0</v>
      </c>
      <c r="H550" s="18"/>
      <c r="I550" s="18"/>
      <c r="J550" s="18"/>
      <c r="K550" s="19">
        <f t="shared" si="179"/>
        <v>0</v>
      </c>
      <c r="L550" s="18"/>
      <c r="M550" s="18"/>
      <c r="N550" s="18"/>
      <c r="O550" s="19">
        <f t="shared" si="180"/>
        <v>0</v>
      </c>
      <c r="P550" s="21">
        <f t="shared" si="181"/>
        <v>0</v>
      </c>
      <c r="Q550" s="18"/>
      <c r="R550" s="18"/>
      <c r="S550" s="19">
        <f t="shared" si="182"/>
        <v>0</v>
      </c>
      <c r="T550" s="20">
        <f t="shared" si="183"/>
        <v>0.03</v>
      </c>
      <c r="U550" s="19">
        <f t="shared" si="184"/>
        <v>0</v>
      </c>
      <c r="V550" s="18"/>
      <c r="W550" s="19">
        <f t="shared" si="185"/>
        <v>0</v>
      </c>
      <c r="X550" s="19">
        <f t="shared" si="186"/>
        <v>0</v>
      </c>
      <c r="Y550" s="18"/>
      <c r="Z550" s="18"/>
      <c r="AA550" s="19">
        <f t="shared" si="187"/>
        <v>0</v>
      </c>
      <c r="AB550" s="17">
        <v>0</v>
      </c>
      <c r="AC550" s="18"/>
      <c r="AD550" s="18"/>
      <c r="AE550" s="22">
        <f t="shared" si="188"/>
        <v>0</v>
      </c>
      <c r="AF550" s="23">
        <f t="shared" si="189"/>
        <v>0</v>
      </c>
      <c r="AG550" s="23">
        <f t="shared" si="190"/>
        <v>0</v>
      </c>
      <c r="AH550" s="18"/>
      <c r="AI550" s="24">
        <f t="shared" si="191"/>
        <v>0</v>
      </c>
      <c r="AJ550" s="25">
        <v>0</v>
      </c>
      <c r="AK550" s="24">
        <f t="shared" si="192"/>
        <v>0</v>
      </c>
      <c r="AL550" s="22">
        <f t="shared" si="193"/>
        <v>0</v>
      </c>
      <c r="AM550" s="22">
        <f t="shared" si="194"/>
        <v>0</v>
      </c>
      <c r="AN550" s="22">
        <f t="shared" si="195"/>
        <v>0</v>
      </c>
      <c r="AO550" s="26" t="str">
        <f t="shared" si="196"/>
        <v/>
      </c>
      <c r="AP550" s="26" t="str">
        <f t="shared" si="197"/>
        <v>pre-launch</v>
      </c>
      <c r="AQ550" s="18"/>
      <c r="AR550" s="18"/>
    </row>
    <row r="551" spans="1:44" x14ac:dyDescent="0.25">
      <c r="A551" s="43">
        <v>45612</v>
      </c>
      <c r="B551" s="17">
        <v>1789570859.99</v>
      </c>
      <c r="C551" s="17">
        <v>0</v>
      </c>
      <c r="D551" s="17">
        <v>11390237</v>
      </c>
      <c r="E551" s="19">
        <f t="shared" si="176"/>
        <v>1789570859.99</v>
      </c>
      <c r="F551" s="19">
        <f t="shared" si="177"/>
        <v>1800961096.99</v>
      </c>
      <c r="G551" s="20">
        <f t="shared" si="178"/>
        <v>0</v>
      </c>
      <c r="H551" s="18"/>
      <c r="I551" s="18"/>
      <c r="J551" s="18"/>
      <c r="K551" s="19">
        <f t="shared" si="179"/>
        <v>0</v>
      </c>
      <c r="L551" s="18"/>
      <c r="M551" s="18"/>
      <c r="N551" s="18"/>
      <c r="O551" s="19">
        <f t="shared" si="180"/>
        <v>0</v>
      </c>
      <c r="P551" s="21">
        <f t="shared" si="181"/>
        <v>0</v>
      </c>
      <c r="Q551" s="18"/>
      <c r="R551" s="18"/>
      <c r="S551" s="19">
        <f t="shared" si="182"/>
        <v>0</v>
      </c>
      <c r="T551" s="20">
        <f t="shared" si="183"/>
        <v>0.03</v>
      </c>
      <c r="U551" s="19">
        <f t="shared" si="184"/>
        <v>0</v>
      </c>
      <c r="V551" s="18"/>
      <c r="W551" s="19">
        <f t="shared" si="185"/>
        <v>0</v>
      </c>
      <c r="X551" s="19">
        <f t="shared" si="186"/>
        <v>0</v>
      </c>
      <c r="Y551" s="18"/>
      <c r="Z551" s="18"/>
      <c r="AA551" s="19">
        <f t="shared" si="187"/>
        <v>0</v>
      </c>
      <c r="AB551" s="17">
        <v>0</v>
      </c>
      <c r="AC551" s="18"/>
      <c r="AD551" s="18"/>
      <c r="AE551" s="22">
        <f t="shared" si="188"/>
        <v>0</v>
      </c>
      <c r="AF551" s="23">
        <f t="shared" si="189"/>
        <v>0</v>
      </c>
      <c r="AG551" s="23">
        <f t="shared" si="190"/>
        <v>0</v>
      </c>
      <c r="AH551" s="18"/>
      <c r="AI551" s="24">
        <f t="shared" si="191"/>
        <v>0</v>
      </c>
      <c r="AJ551" s="25">
        <v>0</v>
      </c>
      <c r="AK551" s="24">
        <f t="shared" si="192"/>
        <v>0</v>
      </c>
      <c r="AL551" s="22">
        <f t="shared" si="193"/>
        <v>0</v>
      </c>
      <c r="AM551" s="22">
        <f t="shared" si="194"/>
        <v>0</v>
      </c>
      <c r="AN551" s="22">
        <f t="shared" si="195"/>
        <v>0</v>
      </c>
      <c r="AO551" s="26" t="str">
        <f t="shared" si="196"/>
        <v/>
      </c>
      <c r="AP551" s="26" t="str">
        <f t="shared" si="197"/>
        <v>pre-launch</v>
      </c>
      <c r="AQ551" s="18"/>
      <c r="AR551" s="18"/>
    </row>
    <row r="552" spans="1:44" x14ac:dyDescent="0.25">
      <c r="A552" s="43">
        <v>45613</v>
      </c>
      <c r="B552" s="17">
        <v>2117966761.96</v>
      </c>
      <c r="C552" s="17">
        <v>0</v>
      </c>
      <c r="D552" s="17">
        <v>5605038</v>
      </c>
      <c r="E552" s="19">
        <f t="shared" si="176"/>
        <v>2117966761.96</v>
      </c>
      <c r="F552" s="19">
        <f t="shared" si="177"/>
        <v>2123571799.96</v>
      </c>
      <c r="G552" s="20">
        <f t="shared" si="178"/>
        <v>0</v>
      </c>
      <c r="H552" s="18"/>
      <c r="I552" s="18"/>
      <c r="J552" s="18"/>
      <c r="K552" s="19">
        <f t="shared" si="179"/>
        <v>0</v>
      </c>
      <c r="L552" s="18"/>
      <c r="M552" s="18"/>
      <c r="N552" s="18"/>
      <c r="O552" s="19">
        <f t="shared" si="180"/>
        <v>0</v>
      </c>
      <c r="P552" s="21">
        <f t="shared" si="181"/>
        <v>0</v>
      </c>
      <c r="Q552" s="18"/>
      <c r="R552" s="18"/>
      <c r="S552" s="19">
        <f t="shared" si="182"/>
        <v>0</v>
      </c>
      <c r="T552" s="20">
        <f t="shared" si="183"/>
        <v>0.03</v>
      </c>
      <c r="U552" s="19">
        <f t="shared" si="184"/>
        <v>0</v>
      </c>
      <c r="V552" s="18"/>
      <c r="W552" s="19">
        <f t="shared" si="185"/>
        <v>0</v>
      </c>
      <c r="X552" s="19">
        <f t="shared" si="186"/>
        <v>0</v>
      </c>
      <c r="Y552" s="18"/>
      <c r="Z552" s="18"/>
      <c r="AA552" s="19">
        <f t="shared" si="187"/>
        <v>0</v>
      </c>
      <c r="AB552" s="17">
        <v>0</v>
      </c>
      <c r="AC552" s="18"/>
      <c r="AD552" s="18"/>
      <c r="AE552" s="22">
        <f t="shared" si="188"/>
        <v>0</v>
      </c>
      <c r="AF552" s="23">
        <f t="shared" si="189"/>
        <v>0</v>
      </c>
      <c r="AG552" s="23">
        <f t="shared" si="190"/>
        <v>0</v>
      </c>
      <c r="AH552" s="18"/>
      <c r="AI552" s="24">
        <f t="shared" si="191"/>
        <v>0</v>
      </c>
      <c r="AJ552" s="25">
        <v>0</v>
      </c>
      <c r="AK552" s="24">
        <f t="shared" si="192"/>
        <v>0</v>
      </c>
      <c r="AL552" s="22">
        <f t="shared" si="193"/>
        <v>0</v>
      </c>
      <c r="AM552" s="22">
        <f t="shared" si="194"/>
        <v>0</v>
      </c>
      <c r="AN552" s="22">
        <f t="shared" si="195"/>
        <v>0</v>
      </c>
      <c r="AO552" s="26" t="str">
        <f t="shared" si="196"/>
        <v/>
      </c>
      <c r="AP552" s="26" t="str">
        <f t="shared" si="197"/>
        <v>pre-launch</v>
      </c>
      <c r="AQ552" s="18"/>
      <c r="AR552" s="18"/>
    </row>
    <row r="553" spans="1:44" x14ac:dyDescent="0.25">
      <c r="A553" s="43">
        <v>45614</v>
      </c>
      <c r="B553" s="17">
        <v>2621891478.3099999</v>
      </c>
      <c r="C553" s="17">
        <v>0</v>
      </c>
      <c r="D553" s="17">
        <v>8046777</v>
      </c>
      <c r="E553" s="19">
        <f t="shared" si="176"/>
        <v>2621891478.3099999</v>
      </c>
      <c r="F553" s="19">
        <f t="shared" si="177"/>
        <v>2629938255.3099999</v>
      </c>
      <c r="G553" s="20">
        <f t="shared" si="178"/>
        <v>0</v>
      </c>
      <c r="H553" s="18"/>
      <c r="I553" s="18"/>
      <c r="J553" s="18"/>
      <c r="K553" s="19">
        <f t="shared" si="179"/>
        <v>0</v>
      </c>
      <c r="L553" s="18"/>
      <c r="M553" s="18"/>
      <c r="N553" s="18"/>
      <c r="O553" s="19">
        <f t="shared" si="180"/>
        <v>0</v>
      </c>
      <c r="P553" s="21">
        <f t="shared" si="181"/>
        <v>0</v>
      </c>
      <c r="Q553" s="18"/>
      <c r="R553" s="18"/>
      <c r="S553" s="19">
        <f t="shared" si="182"/>
        <v>0</v>
      </c>
      <c r="T553" s="20">
        <f t="shared" si="183"/>
        <v>0.03</v>
      </c>
      <c r="U553" s="19">
        <f t="shared" si="184"/>
        <v>0</v>
      </c>
      <c r="V553" s="18"/>
      <c r="W553" s="19">
        <f t="shared" si="185"/>
        <v>0</v>
      </c>
      <c r="X553" s="19">
        <f t="shared" si="186"/>
        <v>0</v>
      </c>
      <c r="Y553" s="18"/>
      <c r="Z553" s="18"/>
      <c r="AA553" s="19">
        <f t="shared" si="187"/>
        <v>0</v>
      </c>
      <c r="AB553" s="17">
        <v>0</v>
      </c>
      <c r="AC553" s="18"/>
      <c r="AD553" s="18"/>
      <c r="AE553" s="22">
        <f t="shared" si="188"/>
        <v>0</v>
      </c>
      <c r="AF553" s="23">
        <f t="shared" si="189"/>
        <v>0</v>
      </c>
      <c r="AG553" s="23">
        <f t="shared" si="190"/>
        <v>0</v>
      </c>
      <c r="AH553" s="18"/>
      <c r="AI553" s="24">
        <f t="shared" si="191"/>
        <v>0</v>
      </c>
      <c r="AJ553" s="25">
        <v>0</v>
      </c>
      <c r="AK553" s="24">
        <f t="shared" si="192"/>
        <v>0</v>
      </c>
      <c r="AL553" s="22">
        <f t="shared" si="193"/>
        <v>0</v>
      </c>
      <c r="AM553" s="22">
        <f t="shared" si="194"/>
        <v>0</v>
      </c>
      <c r="AN553" s="22">
        <f t="shared" si="195"/>
        <v>0</v>
      </c>
      <c r="AO553" s="26" t="str">
        <f t="shared" si="196"/>
        <v/>
      </c>
      <c r="AP553" s="26" t="str">
        <f t="shared" si="197"/>
        <v>pre-launch</v>
      </c>
      <c r="AQ553" s="18"/>
      <c r="AR553" s="18"/>
    </row>
    <row r="554" spans="1:44" x14ac:dyDescent="0.25">
      <c r="A554" s="43">
        <v>45615</v>
      </c>
      <c r="B554" s="17">
        <v>2167569345.54</v>
      </c>
      <c r="C554" s="17">
        <v>0</v>
      </c>
      <c r="D554" s="17">
        <v>3811505</v>
      </c>
      <c r="E554" s="19">
        <f t="shared" si="176"/>
        <v>2167569345.54</v>
      </c>
      <c r="F554" s="19">
        <f t="shared" si="177"/>
        <v>2171380850.54</v>
      </c>
      <c r="G554" s="20">
        <f t="shared" si="178"/>
        <v>0</v>
      </c>
      <c r="H554" s="18"/>
      <c r="I554" s="18"/>
      <c r="J554" s="18"/>
      <c r="K554" s="19">
        <f t="shared" si="179"/>
        <v>0</v>
      </c>
      <c r="L554" s="18"/>
      <c r="M554" s="18"/>
      <c r="N554" s="18"/>
      <c r="O554" s="19">
        <f t="shared" si="180"/>
        <v>0</v>
      </c>
      <c r="P554" s="21">
        <f t="shared" si="181"/>
        <v>0</v>
      </c>
      <c r="Q554" s="18"/>
      <c r="R554" s="18"/>
      <c r="S554" s="19">
        <f t="shared" si="182"/>
        <v>0</v>
      </c>
      <c r="T554" s="20">
        <f t="shared" si="183"/>
        <v>0.03</v>
      </c>
      <c r="U554" s="19">
        <f t="shared" si="184"/>
        <v>0</v>
      </c>
      <c r="V554" s="18"/>
      <c r="W554" s="19">
        <f t="shared" si="185"/>
        <v>0</v>
      </c>
      <c r="X554" s="19">
        <f t="shared" si="186"/>
        <v>0</v>
      </c>
      <c r="Y554" s="18"/>
      <c r="Z554" s="18"/>
      <c r="AA554" s="19">
        <f t="shared" si="187"/>
        <v>0</v>
      </c>
      <c r="AB554" s="17">
        <v>0</v>
      </c>
      <c r="AC554" s="18"/>
      <c r="AD554" s="18"/>
      <c r="AE554" s="22">
        <f t="shared" si="188"/>
        <v>0</v>
      </c>
      <c r="AF554" s="23">
        <f t="shared" si="189"/>
        <v>0</v>
      </c>
      <c r="AG554" s="23">
        <f t="shared" si="190"/>
        <v>0</v>
      </c>
      <c r="AH554" s="18"/>
      <c r="AI554" s="24">
        <f t="shared" si="191"/>
        <v>0</v>
      </c>
      <c r="AJ554" s="25">
        <v>0</v>
      </c>
      <c r="AK554" s="24">
        <f t="shared" si="192"/>
        <v>0</v>
      </c>
      <c r="AL554" s="22">
        <f t="shared" si="193"/>
        <v>0</v>
      </c>
      <c r="AM554" s="22">
        <f t="shared" si="194"/>
        <v>0</v>
      </c>
      <c r="AN554" s="22">
        <f t="shared" si="195"/>
        <v>0</v>
      </c>
      <c r="AO554" s="26" t="str">
        <f t="shared" si="196"/>
        <v/>
      </c>
      <c r="AP554" s="26" t="str">
        <f t="shared" si="197"/>
        <v>pre-launch</v>
      </c>
      <c r="AQ554" s="18"/>
      <c r="AR554" s="18"/>
    </row>
    <row r="555" spans="1:44" x14ac:dyDescent="0.25">
      <c r="A555" s="43">
        <v>45616</v>
      </c>
      <c r="B555" s="17">
        <v>2541441481.5999999</v>
      </c>
      <c r="C555" s="17">
        <v>0</v>
      </c>
      <c r="D555" s="17">
        <v>5168491</v>
      </c>
      <c r="E555" s="19">
        <f t="shared" si="176"/>
        <v>2541441481.5999999</v>
      </c>
      <c r="F555" s="19">
        <f t="shared" si="177"/>
        <v>2546609972.5999999</v>
      </c>
      <c r="G555" s="20">
        <f t="shared" si="178"/>
        <v>0</v>
      </c>
      <c r="H555" s="18"/>
      <c r="I555" s="18"/>
      <c r="J555" s="18"/>
      <c r="K555" s="19">
        <f t="shared" si="179"/>
        <v>0</v>
      </c>
      <c r="L555" s="18"/>
      <c r="M555" s="18"/>
      <c r="N555" s="18"/>
      <c r="O555" s="19">
        <f t="shared" si="180"/>
        <v>0</v>
      </c>
      <c r="P555" s="21">
        <f t="shared" si="181"/>
        <v>0</v>
      </c>
      <c r="Q555" s="18"/>
      <c r="R555" s="18"/>
      <c r="S555" s="19">
        <f t="shared" si="182"/>
        <v>0</v>
      </c>
      <c r="T555" s="20">
        <f t="shared" si="183"/>
        <v>0.03</v>
      </c>
      <c r="U555" s="19">
        <f t="shared" si="184"/>
        <v>0</v>
      </c>
      <c r="V555" s="18"/>
      <c r="W555" s="19">
        <f t="shared" si="185"/>
        <v>0</v>
      </c>
      <c r="X555" s="19">
        <f t="shared" si="186"/>
        <v>0</v>
      </c>
      <c r="Y555" s="18"/>
      <c r="Z555" s="18"/>
      <c r="AA555" s="19">
        <f t="shared" si="187"/>
        <v>0</v>
      </c>
      <c r="AB555" s="17">
        <v>0</v>
      </c>
      <c r="AC555" s="18"/>
      <c r="AD555" s="18"/>
      <c r="AE555" s="22">
        <f t="shared" si="188"/>
        <v>0</v>
      </c>
      <c r="AF555" s="23">
        <f t="shared" si="189"/>
        <v>0</v>
      </c>
      <c r="AG555" s="23">
        <f t="shared" si="190"/>
        <v>0</v>
      </c>
      <c r="AH555" s="18"/>
      <c r="AI555" s="24">
        <f t="shared" si="191"/>
        <v>0</v>
      </c>
      <c r="AJ555" s="25">
        <v>0</v>
      </c>
      <c r="AK555" s="24">
        <f t="shared" si="192"/>
        <v>0</v>
      </c>
      <c r="AL555" s="22">
        <f t="shared" si="193"/>
        <v>0</v>
      </c>
      <c r="AM555" s="22">
        <f t="shared" si="194"/>
        <v>0</v>
      </c>
      <c r="AN555" s="22">
        <f t="shared" si="195"/>
        <v>0</v>
      </c>
      <c r="AO555" s="26" t="str">
        <f t="shared" si="196"/>
        <v/>
      </c>
      <c r="AP555" s="26" t="str">
        <f t="shared" si="197"/>
        <v>pre-launch</v>
      </c>
      <c r="AQ555" s="18"/>
      <c r="AR555" s="18"/>
    </row>
    <row r="556" spans="1:44" x14ac:dyDescent="0.25">
      <c r="A556" s="43">
        <v>45617</v>
      </c>
      <c r="B556" s="17">
        <v>3603835315.1599998</v>
      </c>
      <c r="C556" s="17">
        <v>0</v>
      </c>
      <c r="D556" s="17">
        <v>2853163</v>
      </c>
      <c r="E556" s="19">
        <f t="shared" si="176"/>
        <v>3603835315.1599998</v>
      </c>
      <c r="F556" s="19">
        <f t="shared" si="177"/>
        <v>3606688478.1599998</v>
      </c>
      <c r="G556" s="20">
        <f t="shared" si="178"/>
        <v>0</v>
      </c>
      <c r="H556" s="18"/>
      <c r="I556" s="18"/>
      <c r="J556" s="18"/>
      <c r="K556" s="19">
        <f t="shared" si="179"/>
        <v>0</v>
      </c>
      <c r="L556" s="18"/>
      <c r="M556" s="18"/>
      <c r="N556" s="18"/>
      <c r="O556" s="19">
        <f t="shared" si="180"/>
        <v>0</v>
      </c>
      <c r="P556" s="21">
        <f t="shared" si="181"/>
        <v>0</v>
      </c>
      <c r="Q556" s="18"/>
      <c r="R556" s="18"/>
      <c r="S556" s="19">
        <f t="shared" si="182"/>
        <v>0</v>
      </c>
      <c r="T556" s="20">
        <f t="shared" si="183"/>
        <v>0.03</v>
      </c>
      <c r="U556" s="19">
        <f t="shared" si="184"/>
        <v>0</v>
      </c>
      <c r="V556" s="18"/>
      <c r="W556" s="19">
        <f t="shared" si="185"/>
        <v>0</v>
      </c>
      <c r="X556" s="19">
        <f t="shared" si="186"/>
        <v>0</v>
      </c>
      <c r="Y556" s="18"/>
      <c r="Z556" s="18"/>
      <c r="AA556" s="19">
        <f t="shared" si="187"/>
        <v>0</v>
      </c>
      <c r="AB556" s="17">
        <v>0</v>
      </c>
      <c r="AC556" s="18"/>
      <c r="AD556" s="18"/>
      <c r="AE556" s="22">
        <f t="shared" si="188"/>
        <v>0</v>
      </c>
      <c r="AF556" s="23">
        <f t="shared" si="189"/>
        <v>0</v>
      </c>
      <c r="AG556" s="23">
        <f t="shared" si="190"/>
        <v>0</v>
      </c>
      <c r="AH556" s="18"/>
      <c r="AI556" s="24">
        <f t="shared" si="191"/>
        <v>0</v>
      </c>
      <c r="AJ556" s="25">
        <v>0</v>
      </c>
      <c r="AK556" s="24">
        <f t="shared" si="192"/>
        <v>0</v>
      </c>
      <c r="AL556" s="22">
        <f t="shared" si="193"/>
        <v>0</v>
      </c>
      <c r="AM556" s="22">
        <f t="shared" si="194"/>
        <v>0</v>
      </c>
      <c r="AN556" s="22">
        <f t="shared" si="195"/>
        <v>0</v>
      </c>
      <c r="AO556" s="26" t="str">
        <f t="shared" si="196"/>
        <v/>
      </c>
      <c r="AP556" s="26" t="str">
        <f t="shared" si="197"/>
        <v>pre-launch</v>
      </c>
      <c r="AQ556" s="18"/>
      <c r="AR556" s="18"/>
    </row>
    <row r="557" spans="1:44" x14ac:dyDescent="0.25">
      <c r="A557" s="43">
        <v>45618</v>
      </c>
      <c r="B557" s="17">
        <v>2806572942.1900001</v>
      </c>
      <c r="C557" s="17">
        <v>0</v>
      </c>
      <c r="D557" s="17">
        <v>2036353</v>
      </c>
      <c r="E557" s="19">
        <f t="shared" si="176"/>
        <v>2806572942.1900001</v>
      </c>
      <c r="F557" s="19">
        <f t="shared" si="177"/>
        <v>2808609295.1900001</v>
      </c>
      <c r="G557" s="20">
        <f t="shared" si="178"/>
        <v>0</v>
      </c>
      <c r="H557" s="18"/>
      <c r="I557" s="18"/>
      <c r="J557" s="18"/>
      <c r="K557" s="19">
        <f t="shared" si="179"/>
        <v>0</v>
      </c>
      <c r="L557" s="18"/>
      <c r="M557" s="18"/>
      <c r="N557" s="18"/>
      <c r="O557" s="19">
        <f t="shared" si="180"/>
        <v>0</v>
      </c>
      <c r="P557" s="21">
        <f t="shared" si="181"/>
        <v>0</v>
      </c>
      <c r="Q557" s="18"/>
      <c r="R557" s="18"/>
      <c r="S557" s="19">
        <f t="shared" si="182"/>
        <v>0</v>
      </c>
      <c r="T557" s="20">
        <f t="shared" si="183"/>
        <v>0.03</v>
      </c>
      <c r="U557" s="19">
        <f t="shared" si="184"/>
        <v>0</v>
      </c>
      <c r="V557" s="18"/>
      <c r="W557" s="19">
        <f t="shared" si="185"/>
        <v>0</v>
      </c>
      <c r="X557" s="19">
        <f t="shared" si="186"/>
        <v>0</v>
      </c>
      <c r="Y557" s="18"/>
      <c r="Z557" s="18"/>
      <c r="AA557" s="19">
        <f t="shared" si="187"/>
        <v>0</v>
      </c>
      <c r="AB557" s="17">
        <v>0</v>
      </c>
      <c r="AC557" s="18"/>
      <c r="AD557" s="18"/>
      <c r="AE557" s="22">
        <f t="shared" si="188"/>
        <v>0</v>
      </c>
      <c r="AF557" s="23">
        <f t="shared" si="189"/>
        <v>0</v>
      </c>
      <c r="AG557" s="23">
        <f t="shared" si="190"/>
        <v>0</v>
      </c>
      <c r="AH557" s="18"/>
      <c r="AI557" s="24">
        <f t="shared" si="191"/>
        <v>0</v>
      </c>
      <c r="AJ557" s="25">
        <v>0</v>
      </c>
      <c r="AK557" s="24">
        <f t="shared" si="192"/>
        <v>0</v>
      </c>
      <c r="AL557" s="22">
        <f t="shared" si="193"/>
        <v>0</v>
      </c>
      <c r="AM557" s="22">
        <f t="shared" si="194"/>
        <v>0</v>
      </c>
      <c r="AN557" s="22">
        <f t="shared" si="195"/>
        <v>0</v>
      </c>
      <c r="AO557" s="26" t="str">
        <f t="shared" si="196"/>
        <v/>
      </c>
      <c r="AP557" s="26" t="str">
        <f t="shared" si="197"/>
        <v>pre-launch</v>
      </c>
      <c r="AQ557" s="18"/>
      <c r="AR557" s="18"/>
    </row>
    <row r="558" spans="1:44" x14ac:dyDescent="0.25">
      <c r="A558" s="43">
        <v>45619</v>
      </c>
      <c r="B558" s="17">
        <v>2595619860.54</v>
      </c>
      <c r="C558" s="17">
        <v>0</v>
      </c>
      <c r="D558" s="17">
        <v>3106917</v>
      </c>
      <c r="E558" s="19">
        <f t="shared" si="176"/>
        <v>2595619860.54</v>
      </c>
      <c r="F558" s="19">
        <f t="shared" si="177"/>
        <v>2598726777.54</v>
      </c>
      <c r="G558" s="20">
        <f t="shared" si="178"/>
        <v>0</v>
      </c>
      <c r="H558" s="18"/>
      <c r="I558" s="18"/>
      <c r="J558" s="18"/>
      <c r="K558" s="19">
        <f t="shared" si="179"/>
        <v>0</v>
      </c>
      <c r="L558" s="18"/>
      <c r="M558" s="18"/>
      <c r="N558" s="18"/>
      <c r="O558" s="19">
        <f t="shared" si="180"/>
        <v>0</v>
      </c>
      <c r="P558" s="21">
        <f t="shared" si="181"/>
        <v>0</v>
      </c>
      <c r="Q558" s="18"/>
      <c r="R558" s="18"/>
      <c r="S558" s="19">
        <f t="shared" si="182"/>
        <v>0</v>
      </c>
      <c r="T558" s="20">
        <f t="shared" si="183"/>
        <v>0.03</v>
      </c>
      <c r="U558" s="19">
        <f t="shared" si="184"/>
        <v>0</v>
      </c>
      <c r="V558" s="18"/>
      <c r="W558" s="19">
        <f t="shared" si="185"/>
        <v>0</v>
      </c>
      <c r="X558" s="19">
        <f t="shared" si="186"/>
        <v>0</v>
      </c>
      <c r="Y558" s="18"/>
      <c r="Z558" s="18"/>
      <c r="AA558" s="19">
        <f t="shared" si="187"/>
        <v>0</v>
      </c>
      <c r="AB558" s="17">
        <v>0</v>
      </c>
      <c r="AC558" s="18"/>
      <c r="AD558" s="18"/>
      <c r="AE558" s="22">
        <f t="shared" si="188"/>
        <v>0</v>
      </c>
      <c r="AF558" s="23">
        <f t="shared" si="189"/>
        <v>0</v>
      </c>
      <c r="AG558" s="23">
        <f t="shared" si="190"/>
        <v>0</v>
      </c>
      <c r="AH558" s="18"/>
      <c r="AI558" s="24">
        <f t="shared" si="191"/>
        <v>0</v>
      </c>
      <c r="AJ558" s="25">
        <v>0</v>
      </c>
      <c r="AK558" s="24">
        <f t="shared" si="192"/>
        <v>0</v>
      </c>
      <c r="AL558" s="22">
        <f t="shared" si="193"/>
        <v>0</v>
      </c>
      <c r="AM558" s="22">
        <f t="shared" si="194"/>
        <v>0</v>
      </c>
      <c r="AN558" s="22">
        <f t="shared" si="195"/>
        <v>0</v>
      </c>
      <c r="AO558" s="26" t="str">
        <f t="shared" si="196"/>
        <v/>
      </c>
      <c r="AP558" s="26" t="str">
        <f t="shared" si="197"/>
        <v>pre-launch</v>
      </c>
      <c r="AQ558" s="18"/>
      <c r="AR558" s="18"/>
    </row>
    <row r="559" spans="1:44" x14ac:dyDescent="0.25">
      <c r="A559" s="43">
        <v>45620</v>
      </c>
      <c r="B559" s="17">
        <v>2210527846.9200001</v>
      </c>
      <c r="C559" s="17">
        <v>0</v>
      </c>
      <c r="D559" s="17">
        <v>2473310</v>
      </c>
      <c r="E559" s="19">
        <f t="shared" si="176"/>
        <v>2210527846.9200001</v>
      </c>
      <c r="F559" s="19">
        <f t="shared" si="177"/>
        <v>2213001156.9200001</v>
      </c>
      <c r="G559" s="20">
        <f t="shared" si="178"/>
        <v>0</v>
      </c>
      <c r="H559" s="18"/>
      <c r="I559" s="18"/>
      <c r="J559" s="18"/>
      <c r="K559" s="19">
        <f t="shared" si="179"/>
        <v>0</v>
      </c>
      <c r="L559" s="18"/>
      <c r="M559" s="18"/>
      <c r="N559" s="18"/>
      <c r="O559" s="19">
        <f t="shared" si="180"/>
        <v>0</v>
      </c>
      <c r="P559" s="21">
        <f t="shared" si="181"/>
        <v>0</v>
      </c>
      <c r="Q559" s="18"/>
      <c r="R559" s="18"/>
      <c r="S559" s="19">
        <f t="shared" si="182"/>
        <v>0</v>
      </c>
      <c r="T559" s="20">
        <f t="shared" si="183"/>
        <v>0.03</v>
      </c>
      <c r="U559" s="19">
        <f t="shared" si="184"/>
        <v>0</v>
      </c>
      <c r="V559" s="18"/>
      <c r="W559" s="19">
        <f t="shared" si="185"/>
        <v>0</v>
      </c>
      <c r="X559" s="19">
        <f t="shared" si="186"/>
        <v>0</v>
      </c>
      <c r="Y559" s="18"/>
      <c r="Z559" s="18"/>
      <c r="AA559" s="19">
        <f t="shared" si="187"/>
        <v>0</v>
      </c>
      <c r="AB559" s="17">
        <v>0</v>
      </c>
      <c r="AC559" s="18"/>
      <c r="AD559" s="18"/>
      <c r="AE559" s="22">
        <f t="shared" si="188"/>
        <v>0</v>
      </c>
      <c r="AF559" s="23">
        <f t="shared" si="189"/>
        <v>0</v>
      </c>
      <c r="AG559" s="23">
        <f t="shared" si="190"/>
        <v>0</v>
      </c>
      <c r="AH559" s="18"/>
      <c r="AI559" s="24">
        <f t="shared" si="191"/>
        <v>0</v>
      </c>
      <c r="AJ559" s="25">
        <v>0</v>
      </c>
      <c r="AK559" s="24">
        <f t="shared" si="192"/>
        <v>0</v>
      </c>
      <c r="AL559" s="22">
        <f t="shared" si="193"/>
        <v>0</v>
      </c>
      <c r="AM559" s="22">
        <f t="shared" si="194"/>
        <v>0</v>
      </c>
      <c r="AN559" s="22">
        <f t="shared" si="195"/>
        <v>0</v>
      </c>
      <c r="AO559" s="26" t="str">
        <f t="shared" si="196"/>
        <v/>
      </c>
      <c r="AP559" s="26" t="str">
        <f t="shared" si="197"/>
        <v>pre-launch</v>
      </c>
      <c r="AQ559" s="18"/>
      <c r="AR559" s="18"/>
    </row>
    <row r="560" spans="1:44" x14ac:dyDescent="0.25">
      <c r="A560" s="43">
        <v>45621</v>
      </c>
      <c r="B560" s="17">
        <v>3269150813.6599998</v>
      </c>
      <c r="C560" s="17">
        <v>0</v>
      </c>
      <c r="D560" s="17">
        <v>5628946</v>
      </c>
      <c r="E560" s="19">
        <f t="shared" si="176"/>
        <v>3269150813.6599998</v>
      </c>
      <c r="F560" s="19">
        <f t="shared" si="177"/>
        <v>3274779759.6599998</v>
      </c>
      <c r="G560" s="20">
        <f t="shared" si="178"/>
        <v>0</v>
      </c>
      <c r="H560" s="18"/>
      <c r="I560" s="18"/>
      <c r="J560" s="18"/>
      <c r="K560" s="19">
        <f t="shared" si="179"/>
        <v>0</v>
      </c>
      <c r="L560" s="18"/>
      <c r="M560" s="18"/>
      <c r="N560" s="18"/>
      <c r="O560" s="19">
        <f t="shared" si="180"/>
        <v>0</v>
      </c>
      <c r="P560" s="21">
        <f t="shared" si="181"/>
        <v>0</v>
      </c>
      <c r="Q560" s="18"/>
      <c r="R560" s="18"/>
      <c r="S560" s="19">
        <f t="shared" si="182"/>
        <v>0</v>
      </c>
      <c r="T560" s="20">
        <f t="shared" si="183"/>
        <v>0.03</v>
      </c>
      <c r="U560" s="19">
        <f t="shared" si="184"/>
        <v>0</v>
      </c>
      <c r="V560" s="18"/>
      <c r="W560" s="19">
        <f t="shared" si="185"/>
        <v>0</v>
      </c>
      <c r="X560" s="19">
        <f t="shared" si="186"/>
        <v>0</v>
      </c>
      <c r="Y560" s="18"/>
      <c r="Z560" s="18"/>
      <c r="AA560" s="19">
        <f t="shared" si="187"/>
        <v>0</v>
      </c>
      <c r="AB560" s="17">
        <v>0</v>
      </c>
      <c r="AC560" s="18"/>
      <c r="AD560" s="18"/>
      <c r="AE560" s="22">
        <f t="shared" si="188"/>
        <v>0</v>
      </c>
      <c r="AF560" s="23">
        <f t="shared" si="189"/>
        <v>0</v>
      </c>
      <c r="AG560" s="23">
        <f t="shared" si="190"/>
        <v>0</v>
      </c>
      <c r="AH560" s="17">
        <v>4585090.2362289997</v>
      </c>
      <c r="AI560" s="24">
        <f t="shared" si="191"/>
        <v>0</v>
      </c>
      <c r="AJ560" s="25">
        <v>0</v>
      </c>
      <c r="AK560" s="24">
        <f t="shared" si="192"/>
        <v>0</v>
      </c>
      <c r="AL560" s="22">
        <f t="shared" si="193"/>
        <v>0</v>
      </c>
      <c r="AM560" s="22">
        <f t="shared" si="194"/>
        <v>0</v>
      </c>
      <c r="AN560" s="22">
        <f t="shared" si="195"/>
        <v>0</v>
      </c>
      <c r="AO560" s="26" t="str">
        <f t="shared" si="196"/>
        <v/>
      </c>
      <c r="AP560" s="26" t="str">
        <f t="shared" si="197"/>
        <v>pre-launch</v>
      </c>
      <c r="AQ560" s="18"/>
      <c r="AR560" s="18"/>
    </row>
    <row r="561" spans="1:44" x14ac:dyDescent="0.25">
      <c r="A561" s="43">
        <v>45622</v>
      </c>
      <c r="B561" s="17">
        <v>3393816223.04</v>
      </c>
      <c r="C561" s="17">
        <v>0</v>
      </c>
      <c r="D561" s="17">
        <v>7041832</v>
      </c>
      <c r="E561" s="19">
        <f t="shared" si="176"/>
        <v>3393816223.04</v>
      </c>
      <c r="F561" s="19">
        <f t="shared" si="177"/>
        <v>3400858055.04</v>
      </c>
      <c r="G561" s="20">
        <f t="shared" si="178"/>
        <v>0</v>
      </c>
      <c r="H561" s="18"/>
      <c r="I561" s="18"/>
      <c r="J561" s="18"/>
      <c r="K561" s="19">
        <f t="shared" si="179"/>
        <v>0</v>
      </c>
      <c r="L561" s="18"/>
      <c r="M561" s="18"/>
      <c r="N561" s="18"/>
      <c r="O561" s="19">
        <f t="shared" si="180"/>
        <v>0</v>
      </c>
      <c r="P561" s="21">
        <f t="shared" si="181"/>
        <v>0</v>
      </c>
      <c r="Q561" s="18"/>
      <c r="R561" s="18"/>
      <c r="S561" s="19">
        <f t="shared" si="182"/>
        <v>0</v>
      </c>
      <c r="T561" s="20">
        <f t="shared" si="183"/>
        <v>0.03</v>
      </c>
      <c r="U561" s="19">
        <f t="shared" si="184"/>
        <v>0</v>
      </c>
      <c r="V561" s="18"/>
      <c r="W561" s="19">
        <f t="shared" si="185"/>
        <v>0</v>
      </c>
      <c r="X561" s="19">
        <f t="shared" si="186"/>
        <v>0</v>
      </c>
      <c r="Y561" s="18"/>
      <c r="Z561" s="18"/>
      <c r="AA561" s="19">
        <f t="shared" si="187"/>
        <v>0</v>
      </c>
      <c r="AB561" s="17">
        <v>0</v>
      </c>
      <c r="AC561" s="18"/>
      <c r="AD561" s="18"/>
      <c r="AE561" s="22">
        <f t="shared" si="188"/>
        <v>0</v>
      </c>
      <c r="AF561" s="23">
        <f t="shared" si="189"/>
        <v>0</v>
      </c>
      <c r="AG561" s="23">
        <f t="shared" si="190"/>
        <v>0</v>
      </c>
      <c r="AH561" s="18"/>
      <c r="AI561" s="24">
        <f t="shared" si="191"/>
        <v>0</v>
      </c>
      <c r="AJ561" s="25">
        <v>0</v>
      </c>
      <c r="AK561" s="24">
        <f t="shared" si="192"/>
        <v>0</v>
      </c>
      <c r="AL561" s="22">
        <f t="shared" si="193"/>
        <v>0</v>
      </c>
      <c r="AM561" s="22">
        <f t="shared" si="194"/>
        <v>0</v>
      </c>
      <c r="AN561" s="22">
        <f t="shared" si="195"/>
        <v>0</v>
      </c>
      <c r="AO561" s="26" t="str">
        <f t="shared" si="196"/>
        <v/>
      </c>
      <c r="AP561" s="26" t="str">
        <f t="shared" si="197"/>
        <v>pre-launch</v>
      </c>
      <c r="AQ561" s="18"/>
      <c r="AR561" s="18"/>
    </row>
    <row r="562" spans="1:44" x14ac:dyDescent="0.25">
      <c r="A562" s="43">
        <v>45623</v>
      </c>
      <c r="B562" s="17">
        <v>2210855930.2600002</v>
      </c>
      <c r="C562" s="17">
        <v>0</v>
      </c>
      <c r="D562" s="17">
        <v>4131241</v>
      </c>
      <c r="E562" s="19">
        <f t="shared" si="176"/>
        <v>2210855930.2600002</v>
      </c>
      <c r="F562" s="19">
        <f t="shared" si="177"/>
        <v>2214987171.2600002</v>
      </c>
      <c r="G562" s="20">
        <f t="shared" si="178"/>
        <v>0</v>
      </c>
      <c r="H562" s="18"/>
      <c r="I562" s="18"/>
      <c r="J562" s="18"/>
      <c r="K562" s="19">
        <f t="shared" si="179"/>
        <v>0</v>
      </c>
      <c r="L562" s="18"/>
      <c r="M562" s="18"/>
      <c r="N562" s="18"/>
      <c r="O562" s="19">
        <f t="shared" si="180"/>
        <v>0</v>
      </c>
      <c r="P562" s="21">
        <f t="shared" si="181"/>
        <v>0</v>
      </c>
      <c r="Q562" s="18"/>
      <c r="R562" s="18"/>
      <c r="S562" s="19">
        <f t="shared" si="182"/>
        <v>0</v>
      </c>
      <c r="T562" s="20">
        <f t="shared" si="183"/>
        <v>0.03</v>
      </c>
      <c r="U562" s="19">
        <f t="shared" si="184"/>
        <v>0</v>
      </c>
      <c r="V562" s="18"/>
      <c r="W562" s="19">
        <f t="shared" si="185"/>
        <v>0</v>
      </c>
      <c r="X562" s="19">
        <f t="shared" si="186"/>
        <v>0</v>
      </c>
      <c r="Y562" s="18"/>
      <c r="Z562" s="18"/>
      <c r="AA562" s="19">
        <f t="shared" si="187"/>
        <v>0</v>
      </c>
      <c r="AB562" s="17">
        <v>0</v>
      </c>
      <c r="AC562" s="18"/>
      <c r="AD562" s="18"/>
      <c r="AE562" s="22">
        <f t="shared" si="188"/>
        <v>0</v>
      </c>
      <c r="AF562" s="23">
        <f t="shared" si="189"/>
        <v>0</v>
      </c>
      <c r="AG562" s="23">
        <f t="shared" si="190"/>
        <v>0</v>
      </c>
      <c r="AH562" s="18"/>
      <c r="AI562" s="24">
        <f t="shared" si="191"/>
        <v>0</v>
      </c>
      <c r="AJ562" s="25">
        <v>0</v>
      </c>
      <c r="AK562" s="24">
        <f t="shared" si="192"/>
        <v>0</v>
      </c>
      <c r="AL562" s="22">
        <f t="shared" si="193"/>
        <v>0</v>
      </c>
      <c r="AM562" s="22">
        <f t="shared" si="194"/>
        <v>0</v>
      </c>
      <c r="AN562" s="22">
        <f t="shared" si="195"/>
        <v>0</v>
      </c>
      <c r="AO562" s="26" t="str">
        <f t="shared" si="196"/>
        <v/>
      </c>
      <c r="AP562" s="26" t="str">
        <f t="shared" si="197"/>
        <v>pre-launch</v>
      </c>
      <c r="AQ562" s="18"/>
      <c r="AR562" s="18"/>
    </row>
    <row r="563" spans="1:44" x14ac:dyDescent="0.25">
      <c r="A563" s="43">
        <v>45624</v>
      </c>
      <c r="B563" s="17">
        <v>1765339288.54</v>
      </c>
      <c r="C563" s="17">
        <v>0</v>
      </c>
      <c r="D563" s="17">
        <v>19036485</v>
      </c>
      <c r="E563" s="19">
        <f t="shared" si="176"/>
        <v>1765339288.54</v>
      </c>
      <c r="F563" s="19">
        <f t="shared" si="177"/>
        <v>1784375773.54</v>
      </c>
      <c r="G563" s="20">
        <f t="shared" si="178"/>
        <v>0</v>
      </c>
      <c r="H563" s="18"/>
      <c r="I563" s="18"/>
      <c r="J563" s="18"/>
      <c r="K563" s="19">
        <f t="shared" si="179"/>
        <v>0</v>
      </c>
      <c r="L563" s="18"/>
      <c r="M563" s="18"/>
      <c r="N563" s="18"/>
      <c r="O563" s="19">
        <f t="shared" si="180"/>
        <v>0</v>
      </c>
      <c r="P563" s="21">
        <f t="shared" si="181"/>
        <v>0</v>
      </c>
      <c r="Q563" s="18"/>
      <c r="R563" s="18"/>
      <c r="S563" s="19">
        <f t="shared" si="182"/>
        <v>0</v>
      </c>
      <c r="T563" s="20">
        <f t="shared" si="183"/>
        <v>0.03</v>
      </c>
      <c r="U563" s="19">
        <f t="shared" si="184"/>
        <v>0</v>
      </c>
      <c r="V563" s="18"/>
      <c r="W563" s="19">
        <f t="shared" si="185"/>
        <v>0</v>
      </c>
      <c r="X563" s="19">
        <f t="shared" si="186"/>
        <v>0</v>
      </c>
      <c r="Y563" s="18"/>
      <c r="Z563" s="18"/>
      <c r="AA563" s="19">
        <f t="shared" si="187"/>
        <v>0</v>
      </c>
      <c r="AB563" s="17">
        <v>0</v>
      </c>
      <c r="AC563" s="18"/>
      <c r="AD563" s="18"/>
      <c r="AE563" s="22">
        <f t="shared" si="188"/>
        <v>0</v>
      </c>
      <c r="AF563" s="23">
        <f t="shared" si="189"/>
        <v>0</v>
      </c>
      <c r="AG563" s="23">
        <f t="shared" si="190"/>
        <v>0</v>
      </c>
      <c r="AH563" s="18"/>
      <c r="AI563" s="24">
        <f t="shared" si="191"/>
        <v>0</v>
      </c>
      <c r="AJ563" s="25">
        <v>0</v>
      </c>
      <c r="AK563" s="24">
        <f t="shared" si="192"/>
        <v>0</v>
      </c>
      <c r="AL563" s="22">
        <f t="shared" si="193"/>
        <v>0</v>
      </c>
      <c r="AM563" s="22">
        <f t="shared" si="194"/>
        <v>0</v>
      </c>
      <c r="AN563" s="22">
        <f t="shared" si="195"/>
        <v>0</v>
      </c>
      <c r="AO563" s="26" t="str">
        <f t="shared" si="196"/>
        <v/>
      </c>
      <c r="AP563" s="26" t="str">
        <f t="shared" si="197"/>
        <v>pre-launch</v>
      </c>
      <c r="AQ563" s="18"/>
      <c r="AR563" s="18"/>
    </row>
    <row r="564" spans="1:44" x14ac:dyDescent="0.25">
      <c r="A564" s="43">
        <v>45625</v>
      </c>
      <c r="B564" s="17">
        <v>1814687232.6099999</v>
      </c>
      <c r="C564" s="17">
        <v>0</v>
      </c>
      <c r="D564" s="17">
        <v>951196324</v>
      </c>
      <c r="E564" s="19">
        <f t="shared" si="176"/>
        <v>1814687232.6099999</v>
      </c>
      <c r="F564" s="19">
        <f t="shared" si="177"/>
        <v>2765883556.6099997</v>
      </c>
      <c r="G564" s="20">
        <f t="shared" si="178"/>
        <v>0</v>
      </c>
      <c r="H564" s="18"/>
      <c r="I564" s="18"/>
      <c r="J564" s="18"/>
      <c r="K564" s="19">
        <f t="shared" si="179"/>
        <v>0</v>
      </c>
      <c r="L564" s="18"/>
      <c r="M564" s="18"/>
      <c r="N564" s="18"/>
      <c r="O564" s="19">
        <f t="shared" si="180"/>
        <v>0</v>
      </c>
      <c r="P564" s="21">
        <f t="shared" si="181"/>
        <v>0</v>
      </c>
      <c r="Q564" s="18"/>
      <c r="R564" s="18"/>
      <c r="S564" s="19">
        <f t="shared" si="182"/>
        <v>0</v>
      </c>
      <c r="T564" s="20">
        <f t="shared" si="183"/>
        <v>0.03</v>
      </c>
      <c r="U564" s="19">
        <f t="shared" si="184"/>
        <v>0</v>
      </c>
      <c r="V564" s="18"/>
      <c r="W564" s="19">
        <f t="shared" si="185"/>
        <v>0</v>
      </c>
      <c r="X564" s="19">
        <f t="shared" si="186"/>
        <v>0</v>
      </c>
      <c r="Y564" s="18"/>
      <c r="Z564" s="18"/>
      <c r="AA564" s="19">
        <f t="shared" si="187"/>
        <v>0</v>
      </c>
      <c r="AB564" s="17">
        <v>0</v>
      </c>
      <c r="AC564" s="27">
        <v>6.2519999999999998</v>
      </c>
      <c r="AD564" s="27">
        <v>4.2154999999999996</v>
      </c>
      <c r="AE564" s="22">
        <f t="shared" si="188"/>
        <v>0</v>
      </c>
      <c r="AF564" s="23">
        <f t="shared" si="189"/>
        <v>0</v>
      </c>
      <c r="AG564" s="23">
        <f t="shared" si="190"/>
        <v>0</v>
      </c>
      <c r="AH564" s="17">
        <v>2497425.0684730099</v>
      </c>
      <c r="AI564" s="24">
        <f t="shared" si="191"/>
        <v>0</v>
      </c>
      <c r="AJ564" s="25">
        <v>0</v>
      </c>
      <c r="AK564" s="24">
        <f t="shared" si="192"/>
        <v>0</v>
      </c>
      <c r="AL564" s="22">
        <f t="shared" si="193"/>
        <v>0</v>
      </c>
      <c r="AM564" s="22">
        <f t="shared" si="194"/>
        <v>0</v>
      </c>
      <c r="AN564" s="22">
        <f t="shared" si="195"/>
        <v>0</v>
      </c>
      <c r="AO564" s="26" t="str">
        <f t="shared" si="196"/>
        <v/>
      </c>
      <c r="AP564" s="26" t="str">
        <f t="shared" si="197"/>
        <v>pre-launch</v>
      </c>
      <c r="AQ564" s="18"/>
      <c r="AR564" s="18"/>
    </row>
    <row r="565" spans="1:44" x14ac:dyDescent="0.25">
      <c r="A565" s="43">
        <v>45626</v>
      </c>
      <c r="B565" s="17">
        <v>1927839626.8299999</v>
      </c>
      <c r="C565" s="17">
        <v>0</v>
      </c>
      <c r="D565" s="17">
        <v>460835741</v>
      </c>
      <c r="E565" s="19">
        <f t="shared" si="176"/>
        <v>1927839626.8299999</v>
      </c>
      <c r="F565" s="19">
        <f t="shared" si="177"/>
        <v>2388675367.8299999</v>
      </c>
      <c r="G565" s="20">
        <f t="shared" si="178"/>
        <v>0</v>
      </c>
      <c r="H565" s="18"/>
      <c r="I565" s="18"/>
      <c r="J565" s="18"/>
      <c r="K565" s="19">
        <f t="shared" si="179"/>
        <v>0</v>
      </c>
      <c r="L565" s="18"/>
      <c r="M565" s="18"/>
      <c r="N565" s="18"/>
      <c r="O565" s="19">
        <f t="shared" si="180"/>
        <v>0</v>
      </c>
      <c r="P565" s="21">
        <f t="shared" si="181"/>
        <v>0</v>
      </c>
      <c r="Q565" s="18"/>
      <c r="R565" s="18"/>
      <c r="S565" s="19">
        <f t="shared" si="182"/>
        <v>0</v>
      </c>
      <c r="T565" s="20">
        <f t="shared" si="183"/>
        <v>0.03</v>
      </c>
      <c r="U565" s="19">
        <f t="shared" si="184"/>
        <v>0</v>
      </c>
      <c r="V565" s="18"/>
      <c r="W565" s="19">
        <f t="shared" si="185"/>
        <v>0</v>
      </c>
      <c r="X565" s="19">
        <f t="shared" si="186"/>
        <v>0</v>
      </c>
      <c r="Y565" s="18"/>
      <c r="Z565" s="18"/>
      <c r="AA565" s="19">
        <f t="shared" si="187"/>
        <v>0</v>
      </c>
      <c r="AB565" s="17">
        <v>0</v>
      </c>
      <c r="AC565" s="27">
        <v>8.4984999999999999</v>
      </c>
      <c r="AD565" s="27">
        <v>7.4546749999999999</v>
      </c>
      <c r="AE565" s="22">
        <f t="shared" si="188"/>
        <v>0</v>
      </c>
      <c r="AF565" s="23">
        <f t="shared" si="189"/>
        <v>0</v>
      </c>
      <c r="AG565" s="23">
        <f t="shared" si="190"/>
        <v>0</v>
      </c>
      <c r="AH565" s="18"/>
      <c r="AI565" s="24">
        <f t="shared" si="191"/>
        <v>0</v>
      </c>
      <c r="AJ565" s="25">
        <v>0</v>
      </c>
      <c r="AK565" s="24">
        <f t="shared" si="192"/>
        <v>0</v>
      </c>
      <c r="AL565" s="22">
        <f t="shared" si="193"/>
        <v>0</v>
      </c>
      <c r="AM565" s="22">
        <f t="shared" si="194"/>
        <v>0</v>
      </c>
      <c r="AN565" s="22">
        <f t="shared" si="195"/>
        <v>0</v>
      </c>
      <c r="AO565" s="26" t="str">
        <f t="shared" si="196"/>
        <v/>
      </c>
      <c r="AP565" s="26" t="str">
        <f t="shared" si="197"/>
        <v>pre-launch</v>
      </c>
      <c r="AQ565" s="18"/>
      <c r="AR565" s="18"/>
    </row>
    <row r="566" spans="1:44" x14ac:dyDescent="0.25">
      <c r="A566" s="43">
        <v>45627</v>
      </c>
      <c r="B566" s="17">
        <v>2230952304.3899999</v>
      </c>
      <c r="C566" s="17">
        <v>0</v>
      </c>
      <c r="D566" s="17">
        <v>382137710</v>
      </c>
      <c r="E566" s="19">
        <f t="shared" si="176"/>
        <v>2230952304.3899999</v>
      </c>
      <c r="F566" s="19">
        <f t="shared" si="177"/>
        <v>2613090014.3899999</v>
      </c>
      <c r="G566" s="20">
        <f t="shared" si="178"/>
        <v>0</v>
      </c>
      <c r="H566" s="18"/>
      <c r="I566" s="18"/>
      <c r="J566" s="18"/>
      <c r="K566" s="19">
        <f t="shared" si="179"/>
        <v>0</v>
      </c>
      <c r="L566" s="18"/>
      <c r="M566" s="18"/>
      <c r="N566" s="18"/>
      <c r="O566" s="19">
        <f t="shared" si="180"/>
        <v>0</v>
      </c>
      <c r="P566" s="21">
        <f t="shared" si="181"/>
        <v>0</v>
      </c>
      <c r="Q566" s="18"/>
      <c r="R566" s="18"/>
      <c r="S566" s="19">
        <f t="shared" si="182"/>
        <v>0</v>
      </c>
      <c r="T566" s="20">
        <f t="shared" si="183"/>
        <v>0.03</v>
      </c>
      <c r="U566" s="19">
        <f t="shared" si="184"/>
        <v>0</v>
      </c>
      <c r="V566" s="18"/>
      <c r="W566" s="19">
        <f t="shared" si="185"/>
        <v>0</v>
      </c>
      <c r="X566" s="19">
        <f t="shared" si="186"/>
        <v>0</v>
      </c>
      <c r="Y566" s="18"/>
      <c r="Z566" s="18"/>
      <c r="AA566" s="19">
        <f t="shared" si="187"/>
        <v>0</v>
      </c>
      <c r="AB566" s="17">
        <v>0</v>
      </c>
      <c r="AC566" s="27">
        <v>9.4686000000000003</v>
      </c>
      <c r="AD566" s="27">
        <v>8.9833499999999997</v>
      </c>
      <c r="AE566" s="22">
        <f t="shared" si="188"/>
        <v>0</v>
      </c>
      <c r="AF566" s="23">
        <f t="shared" si="189"/>
        <v>0</v>
      </c>
      <c r="AG566" s="23">
        <f t="shared" si="190"/>
        <v>0</v>
      </c>
      <c r="AH566" s="18"/>
      <c r="AI566" s="24">
        <f t="shared" si="191"/>
        <v>0</v>
      </c>
      <c r="AJ566" s="25">
        <v>0</v>
      </c>
      <c r="AK566" s="24">
        <f t="shared" si="192"/>
        <v>0</v>
      </c>
      <c r="AL566" s="22">
        <f t="shared" si="193"/>
        <v>0</v>
      </c>
      <c r="AM566" s="22">
        <f t="shared" si="194"/>
        <v>0</v>
      </c>
      <c r="AN566" s="22">
        <f t="shared" si="195"/>
        <v>0</v>
      </c>
      <c r="AO566" s="26" t="str">
        <f t="shared" si="196"/>
        <v/>
      </c>
      <c r="AP566" s="26" t="str">
        <f t="shared" si="197"/>
        <v>pre-launch</v>
      </c>
      <c r="AQ566" s="18"/>
      <c r="AR566" s="18"/>
    </row>
    <row r="567" spans="1:44" x14ac:dyDescent="0.25">
      <c r="A567" s="43">
        <v>45628</v>
      </c>
      <c r="B567" s="17">
        <v>5333125840.96</v>
      </c>
      <c r="C567" s="17">
        <v>0</v>
      </c>
      <c r="D567" s="17">
        <v>320571512</v>
      </c>
      <c r="E567" s="19">
        <f t="shared" si="176"/>
        <v>5333125840.96</v>
      </c>
      <c r="F567" s="19">
        <f t="shared" si="177"/>
        <v>5653697352.96</v>
      </c>
      <c r="G567" s="20">
        <f t="shared" si="178"/>
        <v>0</v>
      </c>
      <c r="H567" s="18"/>
      <c r="I567" s="18"/>
      <c r="J567" s="18"/>
      <c r="K567" s="19">
        <f t="shared" si="179"/>
        <v>0</v>
      </c>
      <c r="L567" s="18"/>
      <c r="M567" s="18"/>
      <c r="N567" s="18"/>
      <c r="O567" s="19">
        <f t="shared" si="180"/>
        <v>0</v>
      </c>
      <c r="P567" s="21">
        <f t="shared" si="181"/>
        <v>0</v>
      </c>
      <c r="Q567" s="18"/>
      <c r="R567" s="18"/>
      <c r="S567" s="19">
        <f t="shared" si="182"/>
        <v>0</v>
      </c>
      <c r="T567" s="20">
        <f t="shared" si="183"/>
        <v>0.03</v>
      </c>
      <c r="U567" s="19">
        <f t="shared" si="184"/>
        <v>0</v>
      </c>
      <c r="V567" s="18"/>
      <c r="W567" s="19">
        <f t="shared" si="185"/>
        <v>0</v>
      </c>
      <c r="X567" s="19">
        <f t="shared" si="186"/>
        <v>0</v>
      </c>
      <c r="Y567" s="18"/>
      <c r="Z567" s="18"/>
      <c r="AA567" s="19">
        <f t="shared" si="187"/>
        <v>0</v>
      </c>
      <c r="AB567" s="17">
        <v>0</v>
      </c>
      <c r="AC567" s="27">
        <v>8.4276999999999997</v>
      </c>
      <c r="AD567" s="27">
        <v>8.6818500000000007</v>
      </c>
      <c r="AE567" s="22">
        <f t="shared" si="188"/>
        <v>0</v>
      </c>
      <c r="AF567" s="23">
        <f t="shared" si="189"/>
        <v>0</v>
      </c>
      <c r="AG567" s="23">
        <f t="shared" si="190"/>
        <v>0</v>
      </c>
      <c r="AH567" s="17">
        <v>2313969.6800899999</v>
      </c>
      <c r="AI567" s="24">
        <f t="shared" si="191"/>
        <v>0</v>
      </c>
      <c r="AJ567" s="25">
        <v>0</v>
      </c>
      <c r="AK567" s="24">
        <f t="shared" si="192"/>
        <v>0</v>
      </c>
      <c r="AL567" s="22">
        <f t="shared" si="193"/>
        <v>0</v>
      </c>
      <c r="AM567" s="22">
        <f t="shared" si="194"/>
        <v>0</v>
      </c>
      <c r="AN567" s="22">
        <f t="shared" si="195"/>
        <v>0</v>
      </c>
      <c r="AO567" s="26" t="str">
        <f t="shared" si="196"/>
        <v/>
      </c>
      <c r="AP567" s="26" t="str">
        <f t="shared" si="197"/>
        <v>pre-launch</v>
      </c>
      <c r="AQ567" s="18"/>
      <c r="AR567" s="18"/>
    </row>
    <row r="568" spans="1:44" x14ac:dyDescent="0.25">
      <c r="A568" s="43">
        <v>45629</v>
      </c>
      <c r="B568" s="17">
        <v>4881981857.21</v>
      </c>
      <c r="C568" s="17">
        <v>0</v>
      </c>
      <c r="D568" s="17">
        <v>302890343</v>
      </c>
      <c r="E568" s="19">
        <f t="shared" si="176"/>
        <v>4881981857.21</v>
      </c>
      <c r="F568" s="19">
        <f t="shared" si="177"/>
        <v>5184872200.21</v>
      </c>
      <c r="G568" s="20">
        <f t="shared" si="178"/>
        <v>0</v>
      </c>
      <c r="H568" s="18"/>
      <c r="I568" s="18"/>
      <c r="J568" s="18"/>
      <c r="K568" s="19">
        <f t="shared" si="179"/>
        <v>0</v>
      </c>
      <c r="L568" s="18"/>
      <c r="M568" s="18"/>
      <c r="N568" s="18"/>
      <c r="O568" s="19">
        <f t="shared" si="180"/>
        <v>0</v>
      </c>
      <c r="P568" s="21">
        <f t="shared" si="181"/>
        <v>0</v>
      </c>
      <c r="Q568" s="18"/>
      <c r="R568" s="18"/>
      <c r="S568" s="19">
        <f t="shared" si="182"/>
        <v>0</v>
      </c>
      <c r="T568" s="20">
        <f t="shared" si="183"/>
        <v>0.03</v>
      </c>
      <c r="U568" s="19">
        <f t="shared" si="184"/>
        <v>0</v>
      </c>
      <c r="V568" s="18"/>
      <c r="W568" s="19">
        <f t="shared" si="185"/>
        <v>0</v>
      </c>
      <c r="X568" s="19">
        <f t="shared" si="186"/>
        <v>0</v>
      </c>
      <c r="Y568" s="18"/>
      <c r="Z568" s="18"/>
      <c r="AA568" s="19">
        <f t="shared" si="187"/>
        <v>0</v>
      </c>
      <c r="AB568" s="17">
        <v>0</v>
      </c>
      <c r="AC568" s="27">
        <v>11.082000000000001</v>
      </c>
      <c r="AD568" s="27">
        <v>9.7600499999999997</v>
      </c>
      <c r="AE568" s="22">
        <f t="shared" si="188"/>
        <v>0</v>
      </c>
      <c r="AF568" s="23">
        <f t="shared" si="189"/>
        <v>0</v>
      </c>
      <c r="AG568" s="23">
        <f t="shared" si="190"/>
        <v>0</v>
      </c>
      <c r="AH568" s="18"/>
      <c r="AI568" s="24">
        <f t="shared" si="191"/>
        <v>0</v>
      </c>
      <c r="AJ568" s="25">
        <v>0</v>
      </c>
      <c r="AK568" s="24">
        <f t="shared" si="192"/>
        <v>0</v>
      </c>
      <c r="AL568" s="22">
        <f t="shared" si="193"/>
        <v>0</v>
      </c>
      <c r="AM568" s="22">
        <f t="shared" si="194"/>
        <v>0</v>
      </c>
      <c r="AN568" s="22">
        <f t="shared" si="195"/>
        <v>0</v>
      </c>
      <c r="AO568" s="26" t="str">
        <f t="shared" si="196"/>
        <v/>
      </c>
      <c r="AP568" s="26" t="str">
        <f t="shared" si="197"/>
        <v>pre-launch</v>
      </c>
      <c r="AQ568" s="18"/>
      <c r="AR568" s="18"/>
    </row>
    <row r="569" spans="1:44" x14ac:dyDescent="0.25">
      <c r="A569" s="43">
        <v>45630</v>
      </c>
      <c r="B569" s="17">
        <v>6225918535.2600002</v>
      </c>
      <c r="C569" s="17">
        <v>0</v>
      </c>
      <c r="D569" s="17">
        <v>318696984</v>
      </c>
      <c r="E569" s="19">
        <f t="shared" si="176"/>
        <v>6225918535.2600002</v>
      </c>
      <c r="F569" s="19">
        <f t="shared" si="177"/>
        <v>6544615519.2600002</v>
      </c>
      <c r="G569" s="20">
        <f t="shared" si="178"/>
        <v>0</v>
      </c>
      <c r="H569" s="18"/>
      <c r="I569" s="18"/>
      <c r="J569" s="18"/>
      <c r="K569" s="19">
        <f t="shared" si="179"/>
        <v>0</v>
      </c>
      <c r="L569" s="18"/>
      <c r="M569" s="18"/>
      <c r="N569" s="18"/>
      <c r="O569" s="19">
        <f t="shared" si="180"/>
        <v>0</v>
      </c>
      <c r="P569" s="21">
        <f t="shared" si="181"/>
        <v>0</v>
      </c>
      <c r="Q569" s="18"/>
      <c r="R569" s="18"/>
      <c r="S569" s="19">
        <f t="shared" si="182"/>
        <v>0</v>
      </c>
      <c r="T569" s="20">
        <f t="shared" si="183"/>
        <v>0.03</v>
      </c>
      <c r="U569" s="19">
        <f t="shared" si="184"/>
        <v>0</v>
      </c>
      <c r="V569" s="18"/>
      <c r="W569" s="19">
        <f t="shared" si="185"/>
        <v>0</v>
      </c>
      <c r="X569" s="19">
        <f t="shared" si="186"/>
        <v>0</v>
      </c>
      <c r="Y569" s="18"/>
      <c r="Z569" s="18"/>
      <c r="AA569" s="19">
        <f t="shared" si="187"/>
        <v>0</v>
      </c>
      <c r="AB569" s="17">
        <v>0</v>
      </c>
      <c r="AC569" s="27">
        <v>11.403</v>
      </c>
      <c r="AD569" s="27">
        <v>11.6015</v>
      </c>
      <c r="AE569" s="22">
        <f t="shared" si="188"/>
        <v>0</v>
      </c>
      <c r="AF569" s="23">
        <f t="shared" si="189"/>
        <v>0</v>
      </c>
      <c r="AG569" s="23">
        <f t="shared" si="190"/>
        <v>0</v>
      </c>
      <c r="AH569" s="18"/>
      <c r="AI569" s="24">
        <f t="shared" si="191"/>
        <v>0</v>
      </c>
      <c r="AJ569" s="25">
        <v>0</v>
      </c>
      <c r="AK569" s="24">
        <f t="shared" si="192"/>
        <v>0</v>
      </c>
      <c r="AL569" s="22">
        <f t="shared" si="193"/>
        <v>0</v>
      </c>
      <c r="AM569" s="22">
        <f t="shared" si="194"/>
        <v>0</v>
      </c>
      <c r="AN569" s="22">
        <f t="shared" si="195"/>
        <v>0</v>
      </c>
      <c r="AO569" s="26" t="str">
        <f t="shared" si="196"/>
        <v/>
      </c>
      <c r="AP569" s="26" t="str">
        <f t="shared" si="197"/>
        <v>pre-launch</v>
      </c>
      <c r="AQ569" s="18"/>
      <c r="AR569" s="18"/>
    </row>
    <row r="570" spans="1:44" x14ac:dyDescent="0.25">
      <c r="A570" s="43">
        <v>45631</v>
      </c>
      <c r="B570" s="17">
        <v>9789562819.4699993</v>
      </c>
      <c r="C570" s="17">
        <v>0</v>
      </c>
      <c r="D570" s="17">
        <v>323114172</v>
      </c>
      <c r="E570" s="19">
        <f t="shared" si="176"/>
        <v>9789562819.4699993</v>
      </c>
      <c r="F570" s="19">
        <f t="shared" si="177"/>
        <v>10112676991.469999</v>
      </c>
      <c r="G570" s="20">
        <f t="shared" si="178"/>
        <v>0</v>
      </c>
      <c r="H570" s="18"/>
      <c r="I570" s="18"/>
      <c r="J570" s="18"/>
      <c r="K570" s="19">
        <f t="shared" si="179"/>
        <v>0</v>
      </c>
      <c r="L570" s="18"/>
      <c r="M570" s="18"/>
      <c r="N570" s="18"/>
      <c r="O570" s="19">
        <f t="shared" si="180"/>
        <v>0</v>
      </c>
      <c r="P570" s="21">
        <f t="shared" si="181"/>
        <v>0</v>
      </c>
      <c r="Q570" s="18"/>
      <c r="R570" s="18"/>
      <c r="S570" s="19">
        <f t="shared" si="182"/>
        <v>0</v>
      </c>
      <c r="T570" s="20">
        <f t="shared" si="183"/>
        <v>0.03</v>
      </c>
      <c r="U570" s="19">
        <f t="shared" si="184"/>
        <v>0</v>
      </c>
      <c r="V570" s="18"/>
      <c r="W570" s="19">
        <f t="shared" si="185"/>
        <v>0</v>
      </c>
      <c r="X570" s="19">
        <f t="shared" si="186"/>
        <v>0</v>
      </c>
      <c r="Y570" s="18"/>
      <c r="Z570" s="18"/>
      <c r="AA570" s="19">
        <f t="shared" si="187"/>
        <v>0</v>
      </c>
      <c r="AB570" s="17">
        <v>0</v>
      </c>
      <c r="AC570" s="27">
        <v>12.71</v>
      </c>
      <c r="AD570" s="27">
        <v>12.115</v>
      </c>
      <c r="AE570" s="22">
        <f t="shared" si="188"/>
        <v>0</v>
      </c>
      <c r="AF570" s="23">
        <f t="shared" si="189"/>
        <v>0</v>
      </c>
      <c r="AG570" s="23">
        <f t="shared" si="190"/>
        <v>0</v>
      </c>
      <c r="AH570" s="18"/>
      <c r="AI570" s="24">
        <f t="shared" si="191"/>
        <v>0</v>
      </c>
      <c r="AJ570" s="25">
        <v>0</v>
      </c>
      <c r="AK570" s="24">
        <f t="shared" si="192"/>
        <v>0</v>
      </c>
      <c r="AL570" s="22">
        <f t="shared" si="193"/>
        <v>0</v>
      </c>
      <c r="AM570" s="22">
        <f t="shared" si="194"/>
        <v>0</v>
      </c>
      <c r="AN570" s="22">
        <f t="shared" si="195"/>
        <v>0</v>
      </c>
      <c r="AO570" s="26" t="str">
        <f t="shared" si="196"/>
        <v/>
      </c>
      <c r="AP570" s="26" t="str">
        <f t="shared" si="197"/>
        <v>pre-launch</v>
      </c>
      <c r="AQ570" s="18"/>
      <c r="AR570" s="18"/>
    </row>
    <row r="571" spans="1:44" x14ac:dyDescent="0.25">
      <c r="A571" s="43">
        <v>45632</v>
      </c>
      <c r="B571" s="17">
        <v>7811474439.54</v>
      </c>
      <c r="C571" s="17">
        <v>0</v>
      </c>
      <c r="D571" s="17">
        <v>218646771</v>
      </c>
      <c r="E571" s="19">
        <f t="shared" si="176"/>
        <v>7811474439.54</v>
      </c>
      <c r="F571" s="19">
        <f t="shared" si="177"/>
        <v>8030121210.54</v>
      </c>
      <c r="G571" s="20">
        <f t="shared" si="178"/>
        <v>0</v>
      </c>
      <c r="H571" s="18"/>
      <c r="I571" s="18"/>
      <c r="J571" s="18"/>
      <c r="K571" s="19">
        <f t="shared" si="179"/>
        <v>0</v>
      </c>
      <c r="L571" s="18"/>
      <c r="M571" s="18"/>
      <c r="N571" s="18"/>
      <c r="O571" s="19">
        <f t="shared" si="180"/>
        <v>0</v>
      </c>
      <c r="P571" s="21">
        <f t="shared" si="181"/>
        <v>0</v>
      </c>
      <c r="Q571" s="18"/>
      <c r="R571" s="18"/>
      <c r="S571" s="19">
        <f t="shared" si="182"/>
        <v>0</v>
      </c>
      <c r="T571" s="20">
        <f t="shared" si="183"/>
        <v>0.03</v>
      </c>
      <c r="U571" s="19">
        <f t="shared" si="184"/>
        <v>0</v>
      </c>
      <c r="V571" s="18"/>
      <c r="W571" s="19">
        <f t="shared" si="185"/>
        <v>0</v>
      </c>
      <c r="X571" s="19">
        <f t="shared" si="186"/>
        <v>0</v>
      </c>
      <c r="Y571" s="18"/>
      <c r="Z571" s="18"/>
      <c r="AA571" s="19">
        <f t="shared" si="187"/>
        <v>0</v>
      </c>
      <c r="AB571" s="17">
        <v>0</v>
      </c>
      <c r="AC571" s="27">
        <v>13.829000000000001</v>
      </c>
      <c r="AD571" s="27">
        <v>13.298500000000001</v>
      </c>
      <c r="AE571" s="22">
        <f t="shared" si="188"/>
        <v>0</v>
      </c>
      <c r="AF571" s="23">
        <f t="shared" si="189"/>
        <v>0</v>
      </c>
      <c r="AG571" s="23">
        <f t="shared" si="190"/>
        <v>0</v>
      </c>
      <c r="AH571" s="18"/>
      <c r="AI571" s="24">
        <f t="shared" si="191"/>
        <v>0</v>
      </c>
      <c r="AJ571" s="25">
        <v>0</v>
      </c>
      <c r="AK571" s="24">
        <f t="shared" si="192"/>
        <v>0</v>
      </c>
      <c r="AL571" s="22">
        <f t="shared" si="193"/>
        <v>0</v>
      </c>
      <c r="AM571" s="22">
        <f t="shared" si="194"/>
        <v>0</v>
      </c>
      <c r="AN571" s="22">
        <f t="shared" si="195"/>
        <v>0</v>
      </c>
      <c r="AO571" s="26" t="str">
        <f t="shared" si="196"/>
        <v/>
      </c>
      <c r="AP571" s="26" t="str">
        <f t="shared" si="197"/>
        <v>pre-launch</v>
      </c>
      <c r="AQ571" s="18"/>
      <c r="AR571" s="18"/>
    </row>
    <row r="572" spans="1:44" x14ac:dyDescent="0.25">
      <c r="A572" s="43">
        <v>45633</v>
      </c>
      <c r="B572" s="17">
        <v>2862437941.0999999</v>
      </c>
      <c r="C572" s="17">
        <v>0</v>
      </c>
      <c r="D572" s="17">
        <v>182104753</v>
      </c>
      <c r="E572" s="19">
        <f t="shared" si="176"/>
        <v>2862437941.0999999</v>
      </c>
      <c r="F572" s="19">
        <f t="shared" si="177"/>
        <v>3044542694.0999999</v>
      </c>
      <c r="G572" s="20">
        <f t="shared" si="178"/>
        <v>0</v>
      </c>
      <c r="H572" s="18"/>
      <c r="I572" s="18"/>
      <c r="J572" s="18"/>
      <c r="K572" s="19">
        <f t="shared" si="179"/>
        <v>0</v>
      </c>
      <c r="L572" s="18"/>
      <c r="M572" s="18"/>
      <c r="N572" s="18"/>
      <c r="O572" s="19">
        <f t="shared" si="180"/>
        <v>0</v>
      </c>
      <c r="P572" s="21">
        <f t="shared" si="181"/>
        <v>0</v>
      </c>
      <c r="Q572" s="18"/>
      <c r="R572" s="18"/>
      <c r="S572" s="19">
        <f t="shared" si="182"/>
        <v>0</v>
      </c>
      <c r="T572" s="20">
        <f t="shared" si="183"/>
        <v>0.03</v>
      </c>
      <c r="U572" s="19">
        <f t="shared" si="184"/>
        <v>0</v>
      </c>
      <c r="V572" s="18"/>
      <c r="W572" s="19">
        <f t="shared" si="185"/>
        <v>0</v>
      </c>
      <c r="X572" s="19">
        <f t="shared" si="186"/>
        <v>0</v>
      </c>
      <c r="Y572" s="18"/>
      <c r="Z572" s="18"/>
      <c r="AA572" s="19">
        <f t="shared" si="187"/>
        <v>0</v>
      </c>
      <c r="AB572" s="17">
        <v>0</v>
      </c>
      <c r="AC572" s="27">
        <v>14.117000000000001</v>
      </c>
      <c r="AD572" s="27">
        <v>14.111499999999999</v>
      </c>
      <c r="AE572" s="22">
        <f t="shared" si="188"/>
        <v>0</v>
      </c>
      <c r="AF572" s="23">
        <f t="shared" si="189"/>
        <v>0</v>
      </c>
      <c r="AG572" s="23">
        <f t="shared" si="190"/>
        <v>0</v>
      </c>
      <c r="AH572" s="18"/>
      <c r="AI572" s="24">
        <f t="shared" si="191"/>
        <v>0</v>
      </c>
      <c r="AJ572" s="25">
        <v>0</v>
      </c>
      <c r="AK572" s="24">
        <f t="shared" si="192"/>
        <v>0</v>
      </c>
      <c r="AL572" s="22">
        <f t="shared" si="193"/>
        <v>0</v>
      </c>
      <c r="AM572" s="22">
        <f t="shared" si="194"/>
        <v>0</v>
      </c>
      <c r="AN572" s="22">
        <f t="shared" si="195"/>
        <v>0</v>
      </c>
      <c r="AO572" s="26" t="str">
        <f t="shared" si="196"/>
        <v/>
      </c>
      <c r="AP572" s="26" t="str">
        <f t="shared" si="197"/>
        <v>pre-launch</v>
      </c>
      <c r="AQ572" s="18"/>
      <c r="AR572" s="18"/>
    </row>
    <row r="573" spans="1:44" x14ac:dyDescent="0.25">
      <c r="A573" s="43">
        <v>45634</v>
      </c>
      <c r="B573" s="17">
        <v>3252798817.79</v>
      </c>
      <c r="C573" s="17">
        <v>0</v>
      </c>
      <c r="D573" s="17">
        <v>136064768</v>
      </c>
      <c r="E573" s="19">
        <f t="shared" si="176"/>
        <v>3252798817.79</v>
      </c>
      <c r="F573" s="19">
        <f t="shared" si="177"/>
        <v>3388863585.79</v>
      </c>
      <c r="G573" s="20">
        <f t="shared" si="178"/>
        <v>0</v>
      </c>
      <c r="H573" s="18"/>
      <c r="I573" s="18"/>
      <c r="J573" s="18"/>
      <c r="K573" s="19">
        <f t="shared" si="179"/>
        <v>0</v>
      </c>
      <c r="L573" s="18"/>
      <c r="M573" s="18"/>
      <c r="N573" s="18"/>
      <c r="O573" s="19">
        <f t="shared" si="180"/>
        <v>0</v>
      </c>
      <c r="P573" s="21">
        <f t="shared" si="181"/>
        <v>0</v>
      </c>
      <c r="Q573" s="18"/>
      <c r="R573" s="18"/>
      <c r="S573" s="19">
        <f t="shared" si="182"/>
        <v>0</v>
      </c>
      <c r="T573" s="20">
        <f t="shared" si="183"/>
        <v>0.03</v>
      </c>
      <c r="U573" s="19">
        <f t="shared" si="184"/>
        <v>0</v>
      </c>
      <c r="V573" s="18"/>
      <c r="W573" s="19">
        <f t="shared" si="185"/>
        <v>0</v>
      </c>
      <c r="X573" s="19">
        <f t="shared" si="186"/>
        <v>0</v>
      </c>
      <c r="Y573" s="18"/>
      <c r="Z573" s="18"/>
      <c r="AA573" s="19">
        <f t="shared" si="187"/>
        <v>0</v>
      </c>
      <c r="AB573" s="17">
        <v>0</v>
      </c>
      <c r="AC573" s="27">
        <v>14.02</v>
      </c>
      <c r="AD573" s="27">
        <v>14.07775</v>
      </c>
      <c r="AE573" s="22">
        <f t="shared" si="188"/>
        <v>0</v>
      </c>
      <c r="AF573" s="23">
        <f t="shared" si="189"/>
        <v>0</v>
      </c>
      <c r="AG573" s="23">
        <f t="shared" si="190"/>
        <v>0</v>
      </c>
      <c r="AH573" s="18"/>
      <c r="AI573" s="24">
        <f t="shared" si="191"/>
        <v>0</v>
      </c>
      <c r="AJ573" s="25">
        <v>0</v>
      </c>
      <c r="AK573" s="24">
        <f t="shared" si="192"/>
        <v>0</v>
      </c>
      <c r="AL573" s="22">
        <f t="shared" si="193"/>
        <v>0</v>
      </c>
      <c r="AM573" s="22">
        <f t="shared" si="194"/>
        <v>0</v>
      </c>
      <c r="AN573" s="22">
        <f t="shared" si="195"/>
        <v>0</v>
      </c>
      <c r="AO573" s="26" t="str">
        <f t="shared" si="196"/>
        <v/>
      </c>
      <c r="AP573" s="26" t="str">
        <f t="shared" si="197"/>
        <v>pre-launch</v>
      </c>
      <c r="AQ573" s="18"/>
      <c r="AR573" s="18"/>
    </row>
    <row r="574" spans="1:44" x14ac:dyDescent="0.25">
      <c r="A574" s="43">
        <v>45635</v>
      </c>
      <c r="B574" s="17">
        <v>5306358931.6800003</v>
      </c>
      <c r="C574" s="17">
        <v>0</v>
      </c>
      <c r="D574" s="17">
        <v>270676721</v>
      </c>
      <c r="E574" s="19">
        <f t="shared" si="176"/>
        <v>5306358931.6800003</v>
      </c>
      <c r="F574" s="19">
        <f t="shared" si="177"/>
        <v>5577035652.6800003</v>
      </c>
      <c r="G574" s="20">
        <f t="shared" si="178"/>
        <v>0</v>
      </c>
      <c r="H574" s="18"/>
      <c r="I574" s="18"/>
      <c r="J574" s="18"/>
      <c r="K574" s="19">
        <f t="shared" si="179"/>
        <v>0</v>
      </c>
      <c r="L574" s="18"/>
      <c r="M574" s="18"/>
      <c r="N574" s="18"/>
      <c r="O574" s="19">
        <f t="shared" si="180"/>
        <v>0</v>
      </c>
      <c r="P574" s="21">
        <f t="shared" si="181"/>
        <v>0</v>
      </c>
      <c r="Q574" s="18"/>
      <c r="R574" s="18"/>
      <c r="S574" s="19">
        <f t="shared" si="182"/>
        <v>0</v>
      </c>
      <c r="T574" s="20">
        <f t="shared" si="183"/>
        <v>0.03</v>
      </c>
      <c r="U574" s="19">
        <f t="shared" si="184"/>
        <v>0</v>
      </c>
      <c r="V574" s="18"/>
      <c r="W574" s="19">
        <f t="shared" si="185"/>
        <v>0</v>
      </c>
      <c r="X574" s="19">
        <f t="shared" si="186"/>
        <v>0</v>
      </c>
      <c r="Y574" s="18"/>
      <c r="Z574" s="18"/>
      <c r="AA574" s="19">
        <f t="shared" si="187"/>
        <v>0</v>
      </c>
      <c r="AB574" s="17">
        <v>0</v>
      </c>
      <c r="AC574" s="27">
        <v>13.541</v>
      </c>
      <c r="AD574" s="27">
        <v>13.487500000000001</v>
      </c>
      <c r="AE574" s="22">
        <f t="shared" si="188"/>
        <v>0</v>
      </c>
      <c r="AF574" s="23">
        <f t="shared" si="189"/>
        <v>0</v>
      </c>
      <c r="AG574" s="23">
        <f t="shared" si="190"/>
        <v>0</v>
      </c>
      <c r="AH574" s="18"/>
      <c r="AI574" s="24">
        <f t="shared" si="191"/>
        <v>0</v>
      </c>
      <c r="AJ574" s="25">
        <v>0</v>
      </c>
      <c r="AK574" s="24">
        <f t="shared" si="192"/>
        <v>0</v>
      </c>
      <c r="AL574" s="22">
        <f t="shared" si="193"/>
        <v>0</v>
      </c>
      <c r="AM574" s="22">
        <f t="shared" si="194"/>
        <v>0</v>
      </c>
      <c r="AN574" s="22">
        <f t="shared" si="195"/>
        <v>0</v>
      </c>
      <c r="AO574" s="26" t="str">
        <f t="shared" si="196"/>
        <v/>
      </c>
      <c r="AP574" s="26" t="str">
        <f t="shared" si="197"/>
        <v>pre-launch</v>
      </c>
      <c r="AQ574" s="18"/>
      <c r="AR574" s="18"/>
    </row>
    <row r="575" spans="1:44" x14ac:dyDescent="0.25">
      <c r="A575" s="43">
        <v>45636</v>
      </c>
      <c r="B575" s="17">
        <v>10009953606.92</v>
      </c>
      <c r="C575" s="17">
        <v>0</v>
      </c>
      <c r="D575" s="17">
        <v>208129108</v>
      </c>
      <c r="E575" s="19">
        <f t="shared" si="176"/>
        <v>10009953606.92</v>
      </c>
      <c r="F575" s="19">
        <f t="shared" si="177"/>
        <v>10218082714.92</v>
      </c>
      <c r="G575" s="20">
        <f t="shared" si="178"/>
        <v>0</v>
      </c>
      <c r="H575" s="18"/>
      <c r="I575" s="18"/>
      <c r="J575" s="18"/>
      <c r="K575" s="19">
        <f t="shared" si="179"/>
        <v>0</v>
      </c>
      <c r="L575" s="18"/>
      <c r="M575" s="18"/>
      <c r="N575" s="18"/>
      <c r="O575" s="19">
        <f t="shared" si="180"/>
        <v>0</v>
      </c>
      <c r="P575" s="21">
        <f t="shared" si="181"/>
        <v>0</v>
      </c>
      <c r="Q575" s="18"/>
      <c r="R575" s="18"/>
      <c r="S575" s="19">
        <f t="shared" si="182"/>
        <v>0</v>
      </c>
      <c r="T575" s="20">
        <f t="shared" si="183"/>
        <v>0.03</v>
      </c>
      <c r="U575" s="19">
        <f t="shared" si="184"/>
        <v>0</v>
      </c>
      <c r="V575" s="18"/>
      <c r="W575" s="19">
        <f t="shared" si="185"/>
        <v>0</v>
      </c>
      <c r="X575" s="19">
        <f t="shared" si="186"/>
        <v>0</v>
      </c>
      <c r="Y575" s="18"/>
      <c r="Z575" s="18"/>
      <c r="AA575" s="19">
        <f t="shared" si="187"/>
        <v>0</v>
      </c>
      <c r="AB575" s="17">
        <v>0</v>
      </c>
      <c r="AC575" s="27">
        <v>13.561999999999999</v>
      </c>
      <c r="AD575" s="27">
        <v>13.54725</v>
      </c>
      <c r="AE575" s="22">
        <f t="shared" si="188"/>
        <v>0</v>
      </c>
      <c r="AF575" s="23">
        <f t="shared" si="189"/>
        <v>0</v>
      </c>
      <c r="AG575" s="23">
        <f t="shared" si="190"/>
        <v>0</v>
      </c>
      <c r="AH575" s="18"/>
      <c r="AI575" s="24">
        <f t="shared" si="191"/>
        <v>0</v>
      </c>
      <c r="AJ575" s="25">
        <v>0</v>
      </c>
      <c r="AK575" s="24">
        <f t="shared" si="192"/>
        <v>0</v>
      </c>
      <c r="AL575" s="22">
        <f t="shared" si="193"/>
        <v>0</v>
      </c>
      <c r="AM575" s="22">
        <f t="shared" si="194"/>
        <v>0</v>
      </c>
      <c r="AN575" s="22">
        <f t="shared" si="195"/>
        <v>0</v>
      </c>
      <c r="AO575" s="26" t="str">
        <f t="shared" si="196"/>
        <v/>
      </c>
      <c r="AP575" s="26" t="str">
        <f t="shared" si="197"/>
        <v>pre-launch</v>
      </c>
      <c r="AQ575" s="18"/>
      <c r="AR575" s="18"/>
    </row>
    <row r="576" spans="1:44" x14ac:dyDescent="0.25">
      <c r="A576" s="43">
        <v>45637</v>
      </c>
      <c r="B576" s="17">
        <v>3979399218.48</v>
      </c>
      <c r="C576" s="17">
        <v>0</v>
      </c>
      <c r="D576" s="17">
        <v>211797447</v>
      </c>
      <c r="E576" s="19">
        <f t="shared" si="176"/>
        <v>3979399218.48</v>
      </c>
      <c r="F576" s="19">
        <f t="shared" si="177"/>
        <v>4191196665.48</v>
      </c>
      <c r="G576" s="20">
        <f t="shared" si="178"/>
        <v>0</v>
      </c>
      <c r="H576" s="18"/>
      <c r="I576" s="18"/>
      <c r="J576" s="18"/>
      <c r="K576" s="19">
        <f t="shared" si="179"/>
        <v>0</v>
      </c>
      <c r="L576" s="18"/>
      <c r="M576" s="18"/>
      <c r="N576" s="18"/>
      <c r="O576" s="19">
        <f t="shared" si="180"/>
        <v>0</v>
      </c>
      <c r="P576" s="21">
        <f t="shared" si="181"/>
        <v>0</v>
      </c>
      <c r="Q576" s="18"/>
      <c r="R576" s="18"/>
      <c r="S576" s="19">
        <f t="shared" si="182"/>
        <v>0</v>
      </c>
      <c r="T576" s="20">
        <f t="shared" si="183"/>
        <v>0.03</v>
      </c>
      <c r="U576" s="19">
        <f t="shared" si="184"/>
        <v>0</v>
      </c>
      <c r="V576" s="18"/>
      <c r="W576" s="19">
        <f t="shared" si="185"/>
        <v>0</v>
      </c>
      <c r="X576" s="19">
        <f t="shared" si="186"/>
        <v>0</v>
      </c>
      <c r="Y576" s="18"/>
      <c r="Z576" s="18"/>
      <c r="AA576" s="19">
        <f t="shared" si="187"/>
        <v>0</v>
      </c>
      <c r="AB576" s="17">
        <v>0</v>
      </c>
      <c r="AC576" s="27">
        <v>16.114999999999998</v>
      </c>
      <c r="AD576" s="27">
        <v>14.80575</v>
      </c>
      <c r="AE576" s="22">
        <f t="shared" si="188"/>
        <v>0</v>
      </c>
      <c r="AF576" s="23">
        <f t="shared" si="189"/>
        <v>0</v>
      </c>
      <c r="AG576" s="23">
        <f t="shared" si="190"/>
        <v>0</v>
      </c>
      <c r="AH576" s="18"/>
      <c r="AI576" s="24">
        <f t="shared" si="191"/>
        <v>0</v>
      </c>
      <c r="AJ576" s="25">
        <v>0</v>
      </c>
      <c r="AK576" s="24">
        <f t="shared" si="192"/>
        <v>0</v>
      </c>
      <c r="AL576" s="22">
        <f t="shared" si="193"/>
        <v>0</v>
      </c>
      <c r="AM576" s="22">
        <f t="shared" si="194"/>
        <v>0</v>
      </c>
      <c r="AN576" s="22">
        <f t="shared" si="195"/>
        <v>0</v>
      </c>
      <c r="AO576" s="26" t="str">
        <f t="shared" si="196"/>
        <v/>
      </c>
      <c r="AP576" s="26" t="str">
        <f t="shared" si="197"/>
        <v>pre-launch</v>
      </c>
      <c r="AQ576" s="18"/>
      <c r="AR576" s="18"/>
    </row>
    <row r="577" spans="1:44" x14ac:dyDescent="0.25">
      <c r="A577" s="43">
        <v>45638</v>
      </c>
      <c r="B577" s="17">
        <v>4839045908.1199999</v>
      </c>
      <c r="C577" s="17">
        <v>0</v>
      </c>
      <c r="D577" s="17">
        <v>324908474</v>
      </c>
      <c r="E577" s="19">
        <f t="shared" si="176"/>
        <v>4839045908.1199999</v>
      </c>
      <c r="F577" s="19">
        <f t="shared" si="177"/>
        <v>5163954382.1199999</v>
      </c>
      <c r="G577" s="20">
        <f t="shared" si="178"/>
        <v>0</v>
      </c>
      <c r="H577" s="18"/>
      <c r="I577" s="18"/>
      <c r="J577" s="18"/>
      <c r="K577" s="19">
        <f t="shared" si="179"/>
        <v>0</v>
      </c>
      <c r="L577" s="18"/>
      <c r="M577" s="18"/>
      <c r="N577" s="18"/>
      <c r="O577" s="19">
        <f t="shared" si="180"/>
        <v>0</v>
      </c>
      <c r="P577" s="21">
        <f t="shared" si="181"/>
        <v>0</v>
      </c>
      <c r="Q577" s="18"/>
      <c r="R577" s="18"/>
      <c r="S577" s="19">
        <f t="shared" si="182"/>
        <v>0</v>
      </c>
      <c r="T577" s="20">
        <f t="shared" si="183"/>
        <v>0.03</v>
      </c>
      <c r="U577" s="19">
        <f t="shared" si="184"/>
        <v>0</v>
      </c>
      <c r="V577" s="18"/>
      <c r="W577" s="19">
        <f t="shared" si="185"/>
        <v>0</v>
      </c>
      <c r="X577" s="19">
        <f t="shared" si="186"/>
        <v>0</v>
      </c>
      <c r="Y577" s="18"/>
      <c r="Z577" s="18"/>
      <c r="AA577" s="19">
        <f t="shared" si="187"/>
        <v>0</v>
      </c>
      <c r="AB577" s="17">
        <v>0</v>
      </c>
      <c r="AC577" s="27">
        <v>18.041</v>
      </c>
      <c r="AD577" s="27">
        <v>17.127500000000001</v>
      </c>
      <c r="AE577" s="22">
        <f t="shared" si="188"/>
        <v>0</v>
      </c>
      <c r="AF577" s="23">
        <f t="shared" si="189"/>
        <v>0</v>
      </c>
      <c r="AG577" s="23">
        <f t="shared" si="190"/>
        <v>0</v>
      </c>
      <c r="AH577" s="18"/>
      <c r="AI577" s="24">
        <f t="shared" si="191"/>
        <v>0</v>
      </c>
      <c r="AJ577" s="25">
        <v>0</v>
      </c>
      <c r="AK577" s="24">
        <f t="shared" si="192"/>
        <v>0</v>
      </c>
      <c r="AL577" s="22">
        <f t="shared" si="193"/>
        <v>0</v>
      </c>
      <c r="AM577" s="22">
        <f t="shared" si="194"/>
        <v>0</v>
      </c>
      <c r="AN577" s="22">
        <f t="shared" si="195"/>
        <v>0</v>
      </c>
      <c r="AO577" s="26" t="str">
        <f t="shared" si="196"/>
        <v/>
      </c>
      <c r="AP577" s="26" t="str">
        <f t="shared" si="197"/>
        <v>pre-launch</v>
      </c>
      <c r="AQ577" s="18"/>
      <c r="AR577" s="18"/>
    </row>
    <row r="578" spans="1:44" x14ac:dyDescent="0.25">
      <c r="A578" s="43">
        <v>45639</v>
      </c>
      <c r="B578" s="17">
        <v>4253319332.02</v>
      </c>
      <c r="C578" s="17">
        <v>0</v>
      </c>
      <c r="D578" s="17">
        <v>334237923</v>
      </c>
      <c r="E578" s="19">
        <f t="shared" si="176"/>
        <v>4253319332.02</v>
      </c>
      <c r="F578" s="19">
        <f t="shared" si="177"/>
        <v>4587557255.0200005</v>
      </c>
      <c r="G578" s="20">
        <f t="shared" si="178"/>
        <v>0</v>
      </c>
      <c r="H578" s="18"/>
      <c r="I578" s="18"/>
      <c r="J578" s="18"/>
      <c r="K578" s="19">
        <f t="shared" si="179"/>
        <v>0</v>
      </c>
      <c r="L578" s="18"/>
      <c r="M578" s="18"/>
      <c r="N578" s="18"/>
      <c r="O578" s="19">
        <f t="shared" si="180"/>
        <v>0</v>
      </c>
      <c r="P578" s="21">
        <f t="shared" si="181"/>
        <v>0</v>
      </c>
      <c r="Q578" s="18"/>
      <c r="R578" s="18"/>
      <c r="S578" s="19">
        <f t="shared" si="182"/>
        <v>0</v>
      </c>
      <c r="T578" s="20">
        <f t="shared" si="183"/>
        <v>0.03</v>
      </c>
      <c r="U578" s="19">
        <f t="shared" si="184"/>
        <v>0</v>
      </c>
      <c r="V578" s="18"/>
      <c r="W578" s="19">
        <f t="shared" si="185"/>
        <v>0</v>
      </c>
      <c r="X578" s="19">
        <f t="shared" si="186"/>
        <v>0</v>
      </c>
      <c r="Y578" s="18"/>
      <c r="Z578" s="18"/>
      <c r="AA578" s="19">
        <f t="shared" si="187"/>
        <v>0</v>
      </c>
      <c r="AB578" s="17">
        <v>0</v>
      </c>
      <c r="AC578" s="27">
        <v>19.48</v>
      </c>
      <c r="AD578" s="27">
        <v>18.50825</v>
      </c>
      <c r="AE578" s="22">
        <f t="shared" si="188"/>
        <v>0</v>
      </c>
      <c r="AF578" s="23">
        <f t="shared" si="189"/>
        <v>0</v>
      </c>
      <c r="AG578" s="23">
        <f t="shared" si="190"/>
        <v>0</v>
      </c>
      <c r="AH578" s="18"/>
      <c r="AI578" s="24">
        <f t="shared" si="191"/>
        <v>0</v>
      </c>
      <c r="AJ578" s="25">
        <v>0</v>
      </c>
      <c r="AK578" s="24">
        <f t="shared" si="192"/>
        <v>0</v>
      </c>
      <c r="AL578" s="22">
        <f t="shared" si="193"/>
        <v>0</v>
      </c>
      <c r="AM578" s="22">
        <f t="shared" si="194"/>
        <v>0</v>
      </c>
      <c r="AN578" s="22">
        <f t="shared" si="195"/>
        <v>0</v>
      </c>
      <c r="AO578" s="26" t="str">
        <f t="shared" si="196"/>
        <v/>
      </c>
      <c r="AP578" s="26" t="str">
        <f t="shared" si="197"/>
        <v>pre-launch</v>
      </c>
      <c r="AQ578" s="18"/>
      <c r="AR578" s="18"/>
    </row>
    <row r="579" spans="1:44" x14ac:dyDescent="0.25">
      <c r="A579" s="43">
        <v>45640</v>
      </c>
      <c r="B579" s="17">
        <v>3170522123.29</v>
      </c>
      <c r="C579" s="17">
        <v>0</v>
      </c>
      <c r="D579" s="17">
        <v>546075604</v>
      </c>
      <c r="E579" s="19">
        <f t="shared" si="176"/>
        <v>3170522123.29</v>
      </c>
      <c r="F579" s="19">
        <f t="shared" si="177"/>
        <v>3716597727.29</v>
      </c>
      <c r="G579" s="20">
        <f t="shared" si="178"/>
        <v>0</v>
      </c>
      <c r="H579" s="18"/>
      <c r="I579" s="18"/>
      <c r="J579" s="18"/>
      <c r="K579" s="19">
        <f t="shared" si="179"/>
        <v>0</v>
      </c>
      <c r="L579" s="18"/>
      <c r="M579" s="18"/>
      <c r="N579" s="18"/>
      <c r="O579" s="19">
        <f t="shared" si="180"/>
        <v>0</v>
      </c>
      <c r="P579" s="21">
        <f t="shared" si="181"/>
        <v>0</v>
      </c>
      <c r="Q579" s="18"/>
      <c r="R579" s="18"/>
      <c r="S579" s="19">
        <f t="shared" si="182"/>
        <v>0</v>
      </c>
      <c r="T579" s="20">
        <f t="shared" si="183"/>
        <v>0.03</v>
      </c>
      <c r="U579" s="19">
        <f t="shared" si="184"/>
        <v>0</v>
      </c>
      <c r="V579" s="18"/>
      <c r="W579" s="19">
        <f t="shared" si="185"/>
        <v>0</v>
      </c>
      <c r="X579" s="19">
        <f t="shared" si="186"/>
        <v>0</v>
      </c>
      <c r="Y579" s="18"/>
      <c r="Z579" s="18"/>
      <c r="AA579" s="19">
        <f t="shared" si="187"/>
        <v>0</v>
      </c>
      <c r="AB579" s="17">
        <v>0</v>
      </c>
      <c r="AC579" s="27">
        <v>24.151</v>
      </c>
      <c r="AD579" s="27">
        <v>21.750499999999999</v>
      </c>
      <c r="AE579" s="22">
        <f t="shared" si="188"/>
        <v>0</v>
      </c>
      <c r="AF579" s="23">
        <f t="shared" si="189"/>
        <v>0</v>
      </c>
      <c r="AG579" s="23">
        <f t="shared" si="190"/>
        <v>0</v>
      </c>
      <c r="AH579" s="18"/>
      <c r="AI579" s="24">
        <f t="shared" si="191"/>
        <v>0</v>
      </c>
      <c r="AJ579" s="25">
        <v>0</v>
      </c>
      <c r="AK579" s="24">
        <f t="shared" si="192"/>
        <v>0</v>
      </c>
      <c r="AL579" s="22">
        <f t="shared" si="193"/>
        <v>0</v>
      </c>
      <c r="AM579" s="22">
        <f t="shared" si="194"/>
        <v>0</v>
      </c>
      <c r="AN579" s="22">
        <f t="shared" si="195"/>
        <v>0</v>
      </c>
      <c r="AO579" s="26" t="str">
        <f t="shared" si="196"/>
        <v/>
      </c>
      <c r="AP579" s="26" t="str">
        <f t="shared" si="197"/>
        <v>pre-launch</v>
      </c>
      <c r="AQ579" s="18"/>
      <c r="AR579" s="18"/>
    </row>
    <row r="580" spans="1:44" x14ac:dyDescent="0.25">
      <c r="A580" s="43">
        <v>45641</v>
      </c>
      <c r="B580" s="17">
        <v>3786628958.9099998</v>
      </c>
      <c r="C580" s="17">
        <v>0</v>
      </c>
      <c r="D580" s="17">
        <v>517821521</v>
      </c>
      <c r="E580" s="19">
        <f t="shared" si="176"/>
        <v>3786628958.9099998</v>
      </c>
      <c r="F580" s="19">
        <f t="shared" si="177"/>
        <v>4304450479.9099998</v>
      </c>
      <c r="G580" s="20">
        <f t="shared" si="178"/>
        <v>0</v>
      </c>
      <c r="H580" s="18"/>
      <c r="I580" s="18"/>
      <c r="J580" s="18"/>
      <c r="K580" s="19">
        <f t="shared" si="179"/>
        <v>0</v>
      </c>
      <c r="L580" s="18"/>
      <c r="M580" s="18"/>
      <c r="N580" s="18"/>
      <c r="O580" s="19">
        <f t="shared" si="180"/>
        <v>0</v>
      </c>
      <c r="P580" s="21">
        <f t="shared" si="181"/>
        <v>0</v>
      </c>
      <c r="Q580" s="18"/>
      <c r="R580" s="18"/>
      <c r="S580" s="19">
        <f t="shared" si="182"/>
        <v>0</v>
      </c>
      <c r="T580" s="20">
        <f t="shared" si="183"/>
        <v>0.03</v>
      </c>
      <c r="U580" s="19">
        <f t="shared" si="184"/>
        <v>0</v>
      </c>
      <c r="V580" s="18"/>
      <c r="W580" s="19">
        <f t="shared" si="185"/>
        <v>0</v>
      </c>
      <c r="X580" s="19">
        <f t="shared" si="186"/>
        <v>0</v>
      </c>
      <c r="Y580" s="18"/>
      <c r="Z580" s="18"/>
      <c r="AA580" s="19">
        <f t="shared" si="187"/>
        <v>0</v>
      </c>
      <c r="AB580" s="17">
        <v>0</v>
      </c>
      <c r="AC580" s="27">
        <v>23.89</v>
      </c>
      <c r="AD580" s="27">
        <v>23.553750000000001</v>
      </c>
      <c r="AE580" s="22">
        <f t="shared" si="188"/>
        <v>0</v>
      </c>
      <c r="AF580" s="23">
        <f t="shared" si="189"/>
        <v>0</v>
      </c>
      <c r="AG580" s="23">
        <f t="shared" si="190"/>
        <v>0</v>
      </c>
      <c r="AH580" s="18"/>
      <c r="AI580" s="24">
        <f t="shared" si="191"/>
        <v>0</v>
      </c>
      <c r="AJ580" s="25">
        <v>0</v>
      </c>
      <c r="AK580" s="24">
        <f t="shared" si="192"/>
        <v>0</v>
      </c>
      <c r="AL580" s="22">
        <f t="shared" si="193"/>
        <v>0</v>
      </c>
      <c r="AM580" s="22">
        <f t="shared" si="194"/>
        <v>0</v>
      </c>
      <c r="AN580" s="22">
        <f t="shared" si="195"/>
        <v>0</v>
      </c>
      <c r="AO580" s="26" t="str">
        <f t="shared" si="196"/>
        <v/>
      </c>
      <c r="AP580" s="26" t="str">
        <f t="shared" si="197"/>
        <v>pre-launch</v>
      </c>
      <c r="AQ580" s="18"/>
      <c r="AR580" s="18"/>
    </row>
    <row r="581" spans="1:44" x14ac:dyDescent="0.25">
      <c r="A581" s="43">
        <v>45642</v>
      </c>
      <c r="B581" s="17">
        <v>6267294832.5600004</v>
      </c>
      <c r="C581" s="17">
        <v>0</v>
      </c>
      <c r="D581" s="17">
        <v>552491542</v>
      </c>
      <c r="E581" s="19">
        <f t="shared" ref="E581:E644" si="198">B581+C581</f>
        <v>6267294832.5600004</v>
      </c>
      <c r="F581" s="19">
        <f t="shared" ref="F581:F644" si="199">E581+D581</f>
        <v>6819786374.5600004</v>
      </c>
      <c r="G581" s="20">
        <f t="shared" ref="G581:G644" si="200">IFERROR(C581/E581,0)</f>
        <v>0</v>
      </c>
      <c r="H581" s="18"/>
      <c r="I581" s="18"/>
      <c r="J581" s="18"/>
      <c r="K581" s="19">
        <f t="shared" ref="K581:K644" si="201">H581+I581</f>
        <v>0</v>
      </c>
      <c r="L581" s="18"/>
      <c r="M581" s="18"/>
      <c r="N581" s="18"/>
      <c r="O581" s="19">
        <f t="shared" ref="O581:O644" si="202">IF(H581=0,0,H581-L581)</f>
        <v>0</v>
      </c>
      <c r="P581" s="21">
        <f t="shared" ref="P581:P644" si="203">IF(B581=0,0,O581/B581*10000)</f>
        <v>0</v>
      </c>
      <c r="Q581" s="18"/>
      <c r="R581" s="18"/>
      <c r="S581" s="19">
        <f t="shared" ref="S581:S644" si="204">Q581+R581</f>
        <v>0</v>
      </c>
      <c r="T581" s="20">
        <f t="shared" ref="T581:T644" si="205">IF(A581&lt;HlpChangeDate,HlpSharePre,HlpSharePost)</f>
        <v>0.03</v>
      </c>
      <c r="U581" s="19">
        <f t="shared" ref="U581:U644" si="206">S581*T581/(1-T581)</f>
        <v>0</v>
      </c>
      <c r="V581" s="18"/>
      <c r="W581" s="19">
        <f t="shared" ref="W581:W644" si="207">U581-V581</f>
        <v>0</v>
      </c>
      <c r="X581" s="19">
        <f t="shared" ref="X581:X644" si="208">Y581+Z581</f>
        <v>0</v>
      </c>
      <c r="Y581" s="18"/>
      <c r="Z581" s="18"/>
      <c r="AA581" s="19">
        <f t="shared" ref="AA581:AA644" si="209">X581-V581</f>
        <v>0</v>
      </c>
      <c r="AB581" s="17">
        <v>0</v>
      </c>
      <c r="AC581" s="27">
        <v>27.242999999999999</v>
      </c>
      <c r="AD581" s="27">
        <v>25.658000000000001</v>
      </c>
      <c r="AE581" s="22">
        <f t="shared" ref="AE581:AE644" si="210">IFERROR(AB581/AD581,0)</f>
        <v>0</v>
      </c>
      <c r="AF581" s="23">
        <f t="shared" ref="AF581:AF644" si="211">K581-S581-X581</f>
        <v>0</v>
      </c>
      <c r="AG581" s="23">
        <f t="shared" ref="AG581:AG644" si="212">S581-AB581</f>
        <v>0</v>
      </c>
      <c r="AH581" s="18"/>
      <c r="AI581" s="24">
        <f t="shared" ref="AI581:AI644" si="213">IFERROR(AH581/S581,0)</f>
        <v>0</v>
      </c>
      <c r="AJ581" s="25">
        <v>0</v>
      </c>
      <c r="AK581" s="24">
        <f t="shared" ref="AK581:AK644" si="214">IF(AJ581&gt;0,AprCoef/SQRT(AJ581),0)</f>
        <v>0</v>
      </c>
      <c r="AL581" s="22">
        <f t="shared" ref="AL581:AL644" si="215">AJ581*AK581/365</f>
        <v>0</v>
      </c>
      <c r="AM581" s="22">
        <f t="shared" ref="AM581:AM644" si="216">AE581</f>
        <v>0</v>
      </c>
      <c r="AN581" s="22">
        <f t="shared" ref="AN581:AN644" si="217">AL581-AM581</f>
        <v>0</v>
      </c>
      <c r="AO581" s="26" t="str">
        <f t="shared" ref="AO581:AO644" si="218">IF(A581&gt;=Hip3LaunchDate,"YES","")</f>
        <v/>
      </c>
      <c r="AP581" s="26" t="str">
        <f t="shared" ref="AP581:AP644" si="219">IF(A581&lt;Hip4LaunchDate,"pre-launch","live (zero-fee)")</f>
        <v>pre-launch</v>
      </c>
      <c r="AQ581" s="18"/>
      <c r="AR581" s="18"/>
    </row>
    <row r="582" spans="1:44" x14ac:dyDescent="0.25">
      <c r="A582" s="43">
        <v>45643</v>
      </c>
      <c r="B582" s="17">
        <v>5593864857.2700005</v>
      </c>
      <c r="C582" s="17">
        <v>0</v>
      </c>
      <c r="D582" s="17">
        <v>533018011</v>
      </c>
      <c r="E582" s="19">
        <f t="shared" si="198"/>
        <v>5593864857.2700005</v>
      </c>
      <c r="F582" s="19">
        <f t="shared" si="199"/>
        <v>6126882868.2700005</v>
      </c>
      <c r="G582" s="20">
        <f t="shared" si="200"/>
        <v>0</v>
      </c>
      <c r="H582" s="18"/>
      <c r="I582" s="18"/>
      <c r="J582" s="18"/>
      <c r="K582" s="19">
        <f t="shared" si="201"/>
        <v>0</v>
      </c>
      <c r="L582" s="18"/>
      <c r="M582" s="18"/>
      <c r="N582" s="18"/>
      <c r="O582" s="19">
        <f t="shared" si="202"/>
        <v>0</v>
      </c>
      <c r="P582" s="21">
        <f t="shared" si="203"/>
        <v>0</v>
      </c>
      <c r="Q582" s="18"/>
      <c r="R582" s="18"/>
      <c r="S582" s="19">
        <f t="shared" si="204"/>
        <v>0</v>
      </c>
      <c r="T582" s="20">
        <f t="shared" si="205"/>
        <v>0.03</v>
      </c>
      <c r="U582" s="19">
        <f t="shared" si="206"/>
        <v>0</v>
      </c>
      <c r="V582" s="18"/>
      <c r="W582" s="19">
        <f t="shared" si="207"/>
        <v>0</v>
      </c>
      <c r="X582" s="19">
        <f t="shared" si="208"/>
        <v>0</v>
      </c>
      <c r="Y582" s="18"/>
      <c r="Z582" s="18"/>
      <c r="AA582" s="19">
        <f t="shared" si="209"/>
        <v>0</v>
      </c>
      <c r="AB582" s="17">
        <v>0</v>
      </c>
      <c r="AC582" s="27">
        <v>25.582999999999998</v>
      </c>
      <c r="AD582" s="27">
        <v>26.381250000000001</v>
      </c>
      <c r="AE582" s="22">
        <f t="shared" si="210"/>
        <v>0</v>
      </c>
      <c r="AF582" s="23">
        <f t="shared" si="211"/>
        <v>0</v>
      </c>
      <c r="AG582" s="23">
        <f t="shared" si="212"/>
        <v>0</v>
      </c>
      <c r="AH582" s="18"/>
      <c r="AI582" s="24">
        <f t="shared" si="213"/>
        <v>0</v>
      </c>
      <c r="AJ582" s="25">
        <v>0</v>
      </c>
      <c r="AK582" s="24">
        <f t="shared" si="214"/>
        <v>0</v>
      </c>
      <c r="AL582" s="22">
        <f t="shared" si="215"/>
        <v>0</v>
      </c>
      <c r="AM582" s="22">
        <f t="shared" si="216"/>
        <v>0</v>
      </c>
      <c r="AN582" s="22">
        <f t="shared" si="217"/>
        <v>0</v>
      </c>
      <c r="AO582" s="26" t="str">
        <f t="shared" si="218"/>
        <v/>
      </c>
      <c r="AP582" s="26" t="str">
        <f t="shared" si="219"/>
        <v>pre-launch</v>
      </c>
      <c r="AQ582" s="18"/>
      <c r="AR582" s="18"/>
    </row>
    <row r="583" spans="1:44" x14ac:dyDescent="0.25">
      <c r="A583" s="43">
        <v>45644</v>
      </c>
      <c r="B583" s="17">
        <v>8540539048.4200001</v>
      </c>
      <c r="C583" s="17">
        <v>0</v>
      </c>
      <c r="D583" s="17">
        <v>472394527</v>
      </c>
      <c r="E583" s="19">
        <f t="shared" si="198"/>
        <v>8540539048.4200001</v>
      </c>
      <c r="F583" s="19">
        <f t="shared" si="199"/>
        <v>9012933575.4200001</v>
      </c>
      <c r="G583" s="20">
        <f t="shared" si="200"/>
        <v>0</v>
      </c>
      <c r="H583" s="18"/>
      <c r="I583" s="18"/>
      <c r="J583" s="18"/>
      <c r="K583" s="19">
        <f t="shared" si="201"/>
        <v>0</v>
      </c>
      <c r="L583" s="18"/>
      <c r="M583" s="18"/>
      <c r="N583" s="18"/>
      <c r="O583" s="19">
        <f t="shared" si="202"/>
        <v>0</v>
      </c>
      <c r="P583" s="21">
        <f t="shared" si="203"/>
        <v>0</v>
      </c>
      <c r="Q583" s="18"/>
      <c r="R583" s="18"/>
      <c r="S583" s="19">
        <f t="shared" si="204"/>
        <v>0</v>
      </c>
      <c r="T583" s="20">
        <f t="shared" si="205"/>
        <v>0.03</v>
      </c>
      <c r="U583" s="19">
        <f t="shared" si="206"/>
        <v>0</v>
      </c>
      <c r="V583" s="18"/>
      <c r="W583" s="19">
        <f t="shared" si="207"/>
        <v>0</v>
      </c>
      <c r="X583" s="19">
        <f t="shared" si="208"/>
        <v>0</v>
      </c>
      <c r="Y583" s="18"/>
      <c r="Z583" s="18"/>
      <c r="AA583" s="19">
        <f t="shared" si="209"/>
        <v>0</v>
      </c>
      <c r="AB583" s="17">
        <v>0</v>
      </c>
      <c r="AC583" s="27">
        <v>23.218</v>
      </c>
      <c r="AD583" s="27">
        <v>24.742750000000001</v>
      </c>
      <c r="AE583" s="22">
        <f t="shared" si="210"/>
        <v>0</v>
      </c>
      <c r="AF583" s="23">
        <f t="shared" si="211"/>
        <v>0</v>
      </c>
      <c r="AG583" s="23">
        <f t="shared" si="212"/>
        <v>0</v>
      </c>
      <c r="AH583" s="17">
        <v>23328960.239018001</v>
      </c>
      <c r="AI583" s="24">
        <f t="shared" si="213"/>
        <v>0</v>
      </c>
      <c r="AJ583" s="25">
        <v>0</v>
      </c>
      <c r="AK583" s="24">
        <f t="shared" si="214"/>
        <v>0</v>
      </c>
      <c r="AL583" s="22">
        <f t="shared" si="215"/>
        <v>0</v>
      </c>
      <c r="AM583" s="22">
        <f t="shared" si="216"/>
        <v>0</v>
      </c>
      <c r="AN583" s="22">
        <f t="shared" si="217"/>
        <v>0</v>
      </c>
      <c r="AO583" s="26" t="str">
        <f t="shared" si="218"/>
        <v/>
      </c>
      <c r="AP583" s="26" t="str">
        <f t="shared" si="219"/>
        <v>pre-launch</v>
      </c>
      <c r="AQ583" s="18"/>
      <c r="AR583" s="18"/>
    </row>
    <row r="584" spans="1:44" x14ac:dyDescent="0.25">
      <c r="A584" s="43">
        <v>45645</v>
      </c>
      <c r="B584" s="17">
        <v>11512982470.23</v>
      </c>
      <c r="C584" s="17">
        <v>0</v>
      </c>
      <c r="D584" s="17">
        <v>564194362</v>
      </c>
      <c r="E584" s="19">
        <f t="shared" si="198"/>
        <v>11512982470.23</v>
      </c>
      <c r="F584" s="19">
        <f t="shared" si="199"/>
        <v>12077176832.23</v>
      </c>
      <c r="G584" s="20">
        <f t="shared" si="200"/>
        <v>0</v>
      </c>
      <c r="H584" s="18"/>
      <c r="I584" s="18"/>
      <c r="J584" s="18"/>
      <c r="K584" s="19">
        <f t="shared" si="201"/>
        <v>0</v>
      </c>
      <c r="L584" s="18"/>
      <c r="M584" s="18"/>
      <c r="N584" s="18"/>
      <c r="O584" s="19">
        <f t="shared" si="202"/>
        <v>0</v>
      </c>
      <c r="P584" s="21">
        <f t="shared" si="203"/>
        <v>0</v>
      </c>
      <c r="Q584" s="18"/>
      <c r="R584" s="18"/>
      <c r="S584" s="19">
        <f t="shared" si="204"/>
        <v>0</v>
      </c>
      <c r="T584" s="20">
        <f t="shared" si="205"/>
        <v>0.03</v>
      </c>
      <c r="U584" s="19">
        <f t="shared" si="206"/>
        <v>0</v>
      </c>
      <c r="V584" s="18"/>
      <c r="W584" s="19">
        <f t="shared" si="207"/>
        <v>0</v>
      </c>
      <c r="X584" s="19">
        <f t="shared" si="208"/>
        <v>0</v>
      </c>
      <c r="Y584" s="18"/>
      <c r="Z584" s="18"/>
      <c r="AA584" s="19">
        <f t="shared" si="209"/>
        <v>0</v>
      </c>
      <c r="AB584" s="17">
        <v>0</v>
      </c>
      <c r="AC584" s="27">
        <v>24.92</v>
      </c>
      <c r="AD584" s="27">
        <v>24.346250000000001</v>
      </c>
      <c r="AE584" s="22">
        <f t="shared" si="210"/>
        <v>0</v>
      </c>
      <c r="AF584" s="23">
        <f t="shared" si="211"/>
        <v>0</v>
      </c>
      <c r="AG584" s="23">
        <f t="shared" si="212"/>
        <v>0</v>
      </c>
      <c r="AH584" s="18"/>
      <c r="AI584" s="24">
        <f t="shared" si="213"/>
        <v>0</v>
      </c>
      <c r="AJ584" s="25">
        <v>0</v>
      </c>
      <c r="AK584" s="24">
        <f t="shared" si="214"/>
        <v>0</v>
      </c>
      <c r="AL584" s="22">
        <f t="shared" si="215"/>
        <v>0</v>
      </c>
      <c r="AM584" s="22">
        <f t="shared" si="216"/>
        <v>0</v>
      </c>
      <c r="AN584" s="22">
        <f t="shared" si="217"/>
        <v>0</v>
      </c>
      <c r="AO584" s="26" t="str">
        <f t="shared" si="218"/>
        <v/>
      </c>
      <c r="AP584" s="26" t="str">
        <f t="shared" si="219"/>
        <v>pre-launch</v>
      </c>
      <c r="AQ584" s="18"/>
      <c r="AR584" s="18"/>
    </row>
    <row r="585" spans="1:44" x14ac:dyDescent="0.25">
      <c r="A585" s="43">
        <v>45646</v>
      </c>
      <c r="B585" s="17">
        <v>9878521130.9899998</v>
      </c>
      <c r="C585" s="17">
        <v>0</v>
      </c>
      <c r="D585" s="17">
        <v>703781781</v>
      </c>
      <c r="E585" s="19">
        <f t="shared" si="198"/>
        <v>9878521130.9899998</v>
      </c>
      <c r="F585" s="19">
        <f t="shared" si="199"/>
        <v>10582302911.99</v>
      </c>
      <c r="G585" s="20">
        <f t="shared" si="200"/>
        <v>0</v>
      </c>
      <c r="H585" s="18"/>
      <c r="I585" s="18"/>
      <c r="J585" s="18"/>
      <c r="K585" s="19">
        <f t="shared" si="201"/>
        <v>0</v>
      </c>
      <c r="L585" s="18"/>
      <c r="M585" s="18"/>
      <c r="N585" s="18"/>
      <c r="O585" s="19">
        <f t="shared" si="202"/>
        <v>0</v>
      </c>
      <c r="P585" s="21">
        <f t="shared" si="203"/>
        <v>0</v>
      </c>
      <c r="Q585" s="18"/>
      <c r="R585" s="18"/>
      <c r="S585" s="19">
        <f t="shared" si="204"/>
        <v>0</v>
      </c>
      <c r="T585" s="20">
        <f t="shared" si="205"/>
        <v>0.03</v>
      </c>
      <c r="U585" s="19">
        <f t="shared" si="206"/>
        <v>0</v>
      </c>
      <c r="V585" s="18"/>
      <c r="W585" s="19">
        <f t="shared" si="207"/>
        <v>0</v>
      </c>
      <c r="X585" s="19">
        <f t="shared" si="208"/>
        <v>0</v>
      </c>
      <c r="Y585" s="18"/>
      <c r="Z585" s="18"/>
      <c r="AA585" s="19">
        <f t="shared" si="209"/>
        <v>0</v>
      </c>
      <c r="AB585" s="17">
        <v>0</v>
      </c>
      <c r="AC585" s="27">
        <v>29.748999999999999</v>
      </c>
      <c r="AD585" s="27">
        <v>27.357500000000002</v>
      </c>
      <c r="AE585" s="22">
        <f t="shared" si="210"/>
        <v>0</v>
      </c>
      <c r="AF585" s="23">
        <f t="shared" si="211"/>
        <v>0</v>
      </c>
      <c r="AG585" s="23">
        <f t="shared" si="212"/>
        <v>0</v>
      </c>
      <c r="AH585" s="18"/>
      <c r="AI585" s="24">
        <f t="shared" si="213"/>
        <v>0</v>
      </c>
      <c r="AJ585" s="25">
        <v>0</v>
      </c>
      <c r="AK585" s="24">
        <f t="shared" si="214"/>
        <v>0</v>
      </c>
      <c r="AL585" s="22">
        <f t="shared" si="215"/>
        <v>0</v>
      </c>
      <c r="AM585" s="22">
        <f t="shared" si="216"/>
        <v>0</v>
      </c>
      <c r="AN585" s="22">
        <f t="shared" si="217"/>
        <v>0</v>
      </c>
      <c r="AO585" s="26" t="str">
        <f t="shared" si="218"/>
        <v/>
      </c>
      <c r="AP585" s="26" t="str">
        <f t="shared" si="219"/>
        <v>pre-launch</v>
      </c>
      <c r="AQ585" s="18"/>
      <c r="AR585" s="18"/>
    </row>
    <row r="586" spans="1:44" x14ac:dyDescent="0.25">
      <c r="A586" s="43">
        <v>45647</v>
      </c>
      <c r="B586" s="17">
        <v>5203028237.29</v>
      </c>
      <c r="C586" s="17">
        <v>0</v>
      </c>
      <c r="D586" s="17">
        <v>527191283</v>
      </c>
      <c r="E586" s="19">
        <f t="shared" si="198"/>
        <v>5203028237.29</v>
      </c>
      <c r="F586" s="19">
        <f t="shared" si="199"/>
        <v>5730219520.29</v>
      </c>
      <c r="G586" s="20">
        <f t="shared" si="200"/>
        <v>0</v>
      </c>
      <c r="H586" s="18"/>
      <c r="I586" s="18"/>
      <c r="J586" s="18"/>
      <c r="K586" s="19">
        <f t="shared" si="201"/>
        <v>0</v>
      </c>
      <c r="L586" s="18"/>
      <c r="M586" s="18"/>
      <c r="N586" s="18"/>
      <c r="O586" s="19">
        <f t="shared" si="202"/>
        <v>0</v>
      </c>
      <c r="P586" s="21">
        <f t="shared" si="203"/>
        <v>0</v>
      </c>
      <c r="Q586" s="18"/>
      <c r="R586" s="18"/>
      <c r="S586" s="19">
        <f t="shared" si="204"/>
        <v>0</v>
      </c>
      <c r="T586" s="20">
        <f t="shared" si="205"/>
        <v>0.03</v>
      </c>
      <c r="U586" s="19">
        <f t="shared" si="206"/>
        <v>0</v>
      </c>
      <c r="V586" s="18"/>
      <c r="W586" s="19">
        <f t="shared" si="207"/>
        <v>0</v>
      </c>
      <c r="X586" s="19">
        <f t="shared" si="208"/>
        <v>0</v>
      </c>
      <c r="Y586" s="18"/>
      <c r="Z586" s="18"/>
      <c r="AA586" s="19">
        <f t="shared" si="209"/>
        <v>0</v>
      </c>
      <c r="AB586" s="17">
        <v>0</v>
      </c>
      <c r="AC586" s="27">
        <v>32.029000000000003</v>
      </c>
      <c r="AD586" s="27">
        <v>31.49625</v>
      </c>
      <c r="AE586" s="22">
        <f t="shared" si="210"/>
        <v>0</v>
      </c>
      <c r="AF586" s="23">
        <f t="shared" si="211"/>
        <v>0</v>
      </c>
      <c r="AG586" s="23">
        <f t="shared" si="212"/>
        <v>0</v>
      </c>
      <c r="AH586" s="18"/>
      <c r="AI586" s="24">
        <f t="shared" si="213"/>
        <v>0</v>
      </c>
      <c r="AJ586" s="25">
        <v>0</v>
      </c>
      <c r="AK586" s="24">
        <f t="shared" si="214"/>
        <v>0</v>
      </c>
      <c r="AL586" s="22">
        <f t="shared" si="215"/>
        <v>0</v>
      </c>
      <c r="AM586" s="22">
        <f t="shared" si="216"/>
        <v>0</v>
      </c>
      <c r="AN586" s="22">
        <f t="shared" si="217"/>
        <v>0</v>
      </c>
      <c r="AO586" s="26" t="str">
        <f t="shared" si="218"/>
        <v/>
      </c>
      <c r="AP586" s="26" t="str">
        <f t="shared" si="219"/>
        <v>pre-launch</v>
      </c>
      <c r="AQ586" s="18"/>
      <c r="AR586" s="18"/>
    </row>
    <row r="587" spans="1:44" x14ac:dyDescent="0.25">
      <c r="A587" s="43">
        <v>45648</v>
      </c>
      <c r="B587" s="17">
        <v>4686731737.8500004</v>
      </c>
      <c r="C587" s="17">
        <v>0</v>
      </c>
      <c r="D587" s="17">
        <v>471634786</v>
      </c>
      <c r="E587" s="19">
        <f t="shared" si="198"/>
        <v>4686731737.8500004</v>
      </c>
      <c r="F587" s="19">
        <f t="shared" si="199"/>
        <v>5158366523.8500004</v>
      </c>
      <c r="G587" s="20">
        <f t="shared" si="200"/>
        <v>0</v>
      </c>
      <c r="H587" s="18"/>
      <c r="I587" s="18"/>
      <c r="J587" s="18"/>
      <c r="K587" s="19">
        <f t="shared" si="201"/>
        <v>0</v>
      </c>
      <c r="L587" s="18"/>
      <c r="M587" s="18"/>
      <c r="N587" s="18"/>
      <c r="O587" s="19">
        <f t="shared" si="202"/>
        <v>0</v>
      </c>
      <c r="P587" s="21">
        <f t="shared" si="203"/>
        <v>0</v>
      </c>
      <c r="Q587" s="18"/>
      <c r="R587" s="18"/>
      <c r="S587" s="19">
        <f t="shared" si="204"/>
        <v>0</v>
      </c>
      <c r="T587" s="20">
        <f t="shared" si="205"/>
        <v>0.03</v>
      </c>
      <c r="U587" s="19">
        <f t="shared" si="206"/>
        <v>0</v>
      </c>
      <c r="V587" s="18"/>
      <c r="W587" s="19">
        <f t="shared" si="207"/>
        <v>0</v>
      </c>
      <c r="X587" s="19">
        <f t="shared" si="208"/>
        <v>0</v>
      </c>
      <c r="Y587" s="18"/>
      <c r="Z587" s="18"/>
      <c r="AA587" s="19">
        <f t="shared" si="209"/>
        <v>0</v>
      </c>
      <c r="AB587" s="17">
        <v>0</v>
      </c>
      <c r="AC587" s="27">
        <v>28.459</v>
      </c>
      <c r="AD587" s="27">
        <v>30.707000000000001</v>
      </c>
      <c r="AE587" s="22">
        <f t="shared" si="210"/>
        <v>0</v>
      </c>
      <c r="AF587" s="23">
        <f t="shared" si="211"/>
        <v>0</v>
      </c>
      <c r="AG587" s="23">
        <f t="shared" si="212"/>
        <v>0</v>
      </c>
      <c r="AH587" s="17">
        <v>10580501.087874999</v>
      </c>
      <c r="AI587" s="24">
        <f t="shared" si="213"/>
        <v>0</v>
      </c>
      <c r="AJ587" s="25">
        <v>0</v>
      </c>
      <c r="AK587" s="24">
        <f t="shared" si="214"/>
        <v>0</v>
      </c>
      <c r="AL587" s="22">
        <f t="shared" si="215"/>
        <v>0</v>
      </c>
      <c r="AM587" s="22">
        <f t="shared" si="216"/>
        <v>0</v>
      </c>
      <c r="AN587" s="22">
        <f t="shared" si="217"/>
        <v>0</v>
      </c>
      <c r="AO587" s="26" t="str">
        <f t="shared" si="218"/>
        <v/>
      </c>
      <c r="AP587" s="26" t="str">
        <f t="shared" si="219"/>
        <v>pre-launch</v>
      </c>
      <c r="AQ587" s="18"/>
      <c r="AR587" s="18"/>
    </row>
    <row r="588" spans="1:44" x14ac:dyDescent="0.25">
      <c r="A588" s="43">
        <v>45649</v>
      </c>
      <c r="B588" s="17">
        <v>6168463521.7799997</v>
      </c>
      <c r="C588" s="17">
        <v>0</v>
      </c>
      <c r="D588" s="17">
        <v>375034673</v>
      </c>
      <c r="E588" s="19">
        <f t="shared" si="198"/>
        <v>6168463521.7799997</v>
      </c>
      <c r="F588" s="19">
        <f t="shared" si="199"/>
        <v>6543498194.7799997</v>
      </c>
      <c r="G588" s="20">
        <f t="shared" si="200"/>
        <v>0</v>
      </c>
      <c r="H588" s="17">
        <v>1372264</v>
      </c>
      <c r="I588" s="17">
        <v>96254</v>
      </c>
      <c r="J588" s="17">
        <v>0</v>
      </c>
      <c r="K588" s="19">
        <f t="shared" si="201"/>
        <v>1468518</v>
      </c>
      <c r="L588" s="18"/>
      <c r="M588" s="18"/>
      <c r="N588" s="18"/>
      <c r="O588" s="19">
        <f t="shared" si="202"/>
        <v>1372264</v>
      </c>
      <c r="P588" s="21">
        <f t="shared" si="203"/>
        <v>2.2246447517355397</v>
      </c>
      <c r="Q588" s="17">
        <v>1331096</v>
      </c>
      <c r="R588" s="17">
        <v>93366</v>
      </c>
      <c r="S588" s="19">
        <f t="shared" si="204"/>
        <v>1424462</v>
      </c>
      <c r="T588" s="20">
        <f t="shared" si="205"/>
        <v>0.03</v>
      </c>
      <c r="U588" s="19">
        <f t="shared" si="206"/>
        <v>44055.525773195877</v>
      </c>
      <c r="V588" s="17">
        <v>0</v>
      </c>
      <c r="W588" s="19">
        <f t="shared" si="207"/>
        <v>44055.525773195877</v>
      </c>
      <c r="X588" s="19">
        <f t="shared" si="208"/>
        <v>44056</v>
      </c>
      <c r="Y588" s="17">
        <v>41168</v>
      </c>
      <c r="Z588" s="17">
        <v>2888</v>
      </c>
      <c r="AA588" s="19">
        <f t="shared" si="209"/>
        <v>44056</v>
      </c>
      <c r="AB588" s="17">
        <v>1424462</v>
      </c>
      <c r="AC588" s="27">
        <v>28.623000000000001</v>
      </c>
      <c r="AD588" s="27">
        <v>28.015499999999999</v>
      </c>
      <c r="AE588" s="22">
        <f t="shared" si="210"/>
        <v>50845.496243151116</v>
      </c>
      <c r="AF588" s="23">
        <f t="shared" si="211"/>
        <v>0</v>
      </c>
      <c r="AG588" s="23">
        <f t="shared" si="212"/>
        <v>0</v>
      </c>
      <c r="AH588" s="17">
        <v>1461253.22964099</v>
      </c>
      <c r="AI588" s="24">
        <f t="shared" si="213"/>
        <v>1.0258281580280766</v>
      </c>
      <c r="AJ588" s="25">
        <v>0</v>
      </c>
      <c r="AK588" s="24">
        <f t="shared" si="214"/>
        <v>0</v>
      </c>
      <c r="AL588" s="22">
        <f t="shared" si="215"/>
        <v>0</v>
      </c>
      <c r="AM588" s="22">
        <f t="shared" si="216"/>
        <v>50845.496243151116</v>
      </c>
      <c r="AN588" s="22">
        <f t="shared" si="217"/>
        <v>-50845.496243151116</v>
      </c>
      <c r="AO588" s="26" t="str">
        <f t="shared" si="218"/>
        <v/>
      </c>
      <c r="AP588" s="26" t="str">
        <f t="shared" si="219"/>
        <v>pre-launch</v>
      </c>
      <c r="AQ588" s="18"/>
      <c r="AR588" s="18"/>
    </row>
    <row r="589" spans="1:44" x14ac:dyDescent="0.25">
      <c r="A589" s="43">
        <v>45650</v>
      </c>
      <c r="B589" s="17">
        <v>4401565232.7299995</v>
      </c>
      <c r="C589" s="17">
        <v>0</v>
      </c>
      <c r="D589" s="17">
        <v>319403848</v>
      </c>
      <c r="E589" s="19">
        <f t="shared" si="198"/>
        <v>4401565232.7299995</v>
      </c>
      <c r="F589" s="19">
        <f t="shared" si="199"/>
        <v>4720969080.7299995</v>
      </c>
      <c r="G589" s="20">
        <f t="shared" si="200"/>
        <v>0</v>
      </c>
      <c r="H589" s="17">
        <v>1296670</v>
      </c>
      <c r="I589" s="17">
        <v>47315</v>
      </c>
      <c r="J589" s="17">
        <v>40320</v>
      </c>
      <c r="K589" s="19">
        <f t="shared" si="201"/>
        <v>1343985</v>
      </c>
      <c r="L589" s="18"/>
      <c r="M589" s="18"/>
      <c r="N589" s="18"/>
      <c r="O589" s="19">
        <f t="shared" si="202"/>
        <v>1296670</v>
      </c>
      <c r="P589" s="21">
        <f t="shared" si="203"/>
        <v>2.9459293034168241</v>
      </c>
      <c r="Q589" s="17">
        <v>1257770</v>
      </c>
      <c r="R589" s="17">
        <v>45895</v>
      </c>
      <c r="S589" s="19">
        <f t="shared" si="204"/>
        <v>1303665</v>
      </c>
      <c r="T589" s="20">
        <f t="shared" si="205"/>
        <v>0.03</v>
      </c>
      <c r="U589" s="19">
        <f t="shared" si="206"/>
        <v>40319.536082474224</v>
      </c>
      <c r="V589" s="17">
        <v>40320</v>
      </c>
      <c r="W589" s="19">
        <f t="shared" si="207"/>
        <v>-0.46391752577619627</v>
      </c>
      <c r="X589" s="19">
        <f t="shared" si="208"/>
        <v>40319</v>
      </c>
      <c r="Y589" s="17">
        <v>38900</v>
      </c>
      <c r="Z589" s="17">
        <v>1419</v>
      </c>
      <c r="AA589" s="19">
        <f t="shared" si="209"/>
        <v>-1</v>
      </c>
      <c r="AB589" s="17">
        <v>1303665</v>
      </c>
      <c r="AC589" s="27">
        <v>29.783000000000001</v>
      </c>
      <c r="AD589" s="27">
        <v>29.311</v>
      </c>
      <c r="AE589" s="22">
        <f t="shared" si="210"/>
        <v>44476.988161441099</v>
      </c>
      <c r="AF589" s="23">
        <f t="shared" si="211"/>
        <v>1</v>
      </c>
      <c r="AG589" s="23">
        <f t="shared" si="212"/>
        <v>0</v>
      </c>
      <c r="AH589" s="17">
        <v>1368596.35482401</v>
      </c>
      <c r="AI589" s="24">
        <f t="shared" si="213"/>
        <v>1.0498067792139929</v>
      </c>
      <c r="AJ589" s="25">
        <v>0</v>
      </c>
      <c r="AK589" s="24">
        <f t="shared" si="214"/>
        <v>0</v>
      </c>
      <c r="AL589" s="22">
        <f t="shared" si="215"/>
        <v>0</v>
      </c>
      <c r="AM589" s="22">
        <f t="shared" si="216"/>
        <v>44476.988161441099</v>
      </c>
      <c r="AN589" s="22">
        <f t="shared" si="217"/>
        <v>-44476.988161441099</v>
      </c>
      <c r="AO589" s="26" t="str">
        <f t="shared" si="218"/>
        <v/>
      </c>
      <c r="AP589" s="26" t="str">
        <f t="shared" si="219"/>
        <v>pre-launch</v>
      </c>
      <c r="AQ589" s="18"/>
      <c r="AR589" s="18"/>
    </row>
    <row r="590" spans="1:44" x14ac:dyDescent="0.25">
      <c r="A590" s="43">
        <v>45651</v>
      </c>
      <c r="B590" s="17">
        <v>3090026719.5599999</v>
      </c>
      <c r="C590" s="17">
        <v>0</v>
      </c>
      <c r="D590" s="17">
        <v>310480616</v>
      </c>
      <c r="E590" s="19">
        <f t="shared" si="198"/>
        <v>3090026719.5599999</v>
      </c>
      <c r="F590" s="19">
        <f t="shared" si="199"/>
        <v>3400507335.5599999</v>
      </c>
      <c r="G590" s="20">
        <f t="shared" si="200"/>
        <v>0</v>
      </c>
      <c r="H590" s="17">
        <v>1002334</v>
      </c>
      <c r="I590" s="17">
        <v>43561</v>
      </c>
      <c r="J590" s="17">
        <v>31377</v>
      </c>
      <c r="K590" s="19">
        <f t="shared" si="201"/>
        <v>1045895</v>
      </c>
      <c r="L590" s="18"/>
      <c r="M590" s="18"/>
      <c r="N590" s="18"/>
      <c r="O590" s="19">
        <f t="shared" si="202"/>
        <v>1002334</v>
      </c>
      <c r="P590" s="21">
        <f t="shared" si="203"/>
        <v>3.2437713035139253</v>
      </c>
      <c r="Q590" s="17">
        <v>972264</v>
      </c>
      <c r="R590" s="17">
        <v>42254</v>
      </c>
      <c r="S590" s="19">
        <f t="shared" si="204"/>
        <v>1014518</v>
      </c>
      <c r="T590" s="20">
        <f t="shared" si="205"/>
        <v>0.03</v>
      </c>
      <c r="U590" s="19">
        <f t="shared" si="206"/>
        <v>31376.84536082474</v>
      </c>
      <c r="V590" s="17">
        <v>31377</v>
      </c>
      <c r="W590" s="19">
        <f t="shared" si="207"/>
        <v>-0.15463917525994475</v>
      </c>
      <c r="X590" s="19">
        <f t="shared" si="208"/>
        <v>31377</v>
      </c>
      <c r="Y590" s="17">
        <v>30070</v>
      </c>
      <c r="Z590" s="17">
        <v>1307</v>
      </c>
      <c r="AA590" s="19">
        <f t="shared" si="209"/>
        <v>0</v>
      </c>
      <c r="AB590" s="17">
        <v>1014518</v>
      </c>
      <c r="AC590" s="27">
        <v>26.544</v>
      </c>
      <c r="AD590" s="27">
        <v>28.2515</v>
      </c>
      <c r="AE590" s="22">
        <f t="shared" si="210"/>
        <v>35910.234854786475</v>
      </c>
      <c r="AF590" s="23">
        <f t="shared" si="211"/>
        <v>0</v>
      </c>
      <c r="AG590" s="23">
        <f t="shared" si="212"/>
        <v>0</v>
      </c>
      <c r="AH590" s="17">
        <v>1047430.85459</v>
      </c>
      <c r="AI590" s="24">
        <f t="shared" si="213"/>
        <v>1.0324418636140511</v>
      </c>
      <c r="AJ590" s="25">
        <v>0</v>
      </c>
      <c r="AK590" s="24">
        <f t="shared" si="214"/>
        <v>0</v>
      </c>
      <c r="AL590" s="22">
        <f t="shared" si="215"/>
        <v>0</v>
      </c>
      <c r="AM590" s="22">
        <f t="shared" si="216"/>
        <v>35910.234854786475</v>
      </c>
      <c r="AN590" s="22">
        <f t="shared" si="217"/>
        <v>-35910.234854786475</v>
      </c>
      <c r="AO590" s="26" t="str">
        <f t="shared" si="218"/>
        <v/>
      </c>
      <c r="AP590" s="26" t="str">
        <f t="shared" si="219"/>
        <v>pre-launch</v>
      </c>
      <c r="AQ590" s="18"/>
      <c r="AR590" s="18"/>
    </row>
    <row r="591" spans="1:44" x14ac:dyDescent="0.25">
      <c r="A591" s="43">
        <v>45652</v>
      </c>
      <c r="B591" s="17">
        <v>3897465234.4400001</v>
      </c>
      <c r="C591" s="17">
        <v>0</v>
      </c>
      <c r="D591" s="17">
        <v>214091088</v>
      </c>
      <c r="E591" s="19">
        <f t="shared" si="198"/>
        <v>3897465234.4400001</v>
      </c>
      <c r="F591" s="19">
        <f t="shared" si="199"/>
        <v>4111556322.4400001</v>
      </c>
      <c r="G591" s="20">
        <f t="shared" si="200"/>
        <v>0</v>
      </c>
      <c r="H591" s="17">
        <v>1269042</v>
      </c>
      <c r="I591" s="17">
        <v>44254</v>
      </c>
      <c r="J591" s="17">
        <v>39399</v>
      </c>
      <c r="K591" s="19">
        <f t="shared" si="201"/>
        <v>1313296</v>
      </c>
      <c r="L591" s="18"/>
      <c r="M591" s="18"/>
      <c r="N591" s="18"/>
      <c r="O591" s="19">
        <f t="shared" si="202"/>
        <v>1269042</v>
      </c>
      <c r="P591" s="21">
        <f t="shared" si="203"/>
        <v>3.2560700959846791</v>
      </c>
      <c r="Q591" s="17">
        <v>1230971</v>
      </c>
      <c r="R591" s="17">
        <v>42926</v>
      </c>
      <c r="S591" s="19">
        <f t="shared" si="204"/>
        <v>1273897</v>
      </c>
      <c r="T591" s="20">
        <f t="shared" si="205"/>
        <v>0.03</v>
      </c>
      <c r="U591" s="19">
        <f t="shared" si="206"/>
        <v>39398.876288659791</v>
      </c>
      <c r="V591" s="17">
        <v>39399</v>
      </c>
      <c r="W591" s="19">
        <f t="shared" si="207"/>
        <v>-0.12371134020941099</v>
      </c>
      <c r="X591" s="19">
        <f t="shared" si="208"/>
        <v>39399</v>
      </c>
      <c r="Y591" s="17">
        <v>38071</v>
      </c>
      <c r="Z591" s="17">
        <v>1328</v>
      </c>
      <c r="AA591" s="19">
        <f t="shared" si="209"/>
        <v>0</v>
      </c>
      <c r="AB591" s="17">
        <v>1273897</v>
      </c>
      <c r="AC591" s="27">
        <v>27.216999999999999</v>
      </c>
      <c r="AD591" s="27">
        <v>26.22475</v>
      </c>
      <c r="AE591" s="22">
        <f t="shared" si="210"/>
        <v>48576.135139515151</v>
      </c>
      <c r="AF591" s="23">
        <f t="shared" si="211"/>
        <v>0</v>
      </c>
      <c r="AG591" s="23">
        <f t="shared" si="212"/>
        <v>0</v>
      </c>
      <c r="AH591" s="17">
        <v>1019237.99825001</v>
      </c>
      <c r="AI591" s="24">
        <f t="shared" si="213"/>
        <v>0.80009451176194779</v>
      </c>
      <c r="AJ591" s="25">
        <v>0</v>
      </c>
      <c r="AK591" s="24">
        <f t="shared" si="214"/>
        <v>0</v>
      </c>
      <c r="AL591" s="22">
        <f t="shared" si="215"/>
        <v>0</v>
      </c>
      <c r="AM591" s="22">
        <f t="shared" si="216"/>
        <v>48576.135139515151</v>
      </c>
      <c r="AN591" s="22">
        <f t="shared" si="217"/>
        <v>-48576.135139515151</v>
      </c>
      <c r="AO591" s="26" t="str">
        <f t="shared" si="218"/>
        <v/>
      </c>
      <c r="AP591" s="26" t="str">
        <f t="shared" si="219"/>
        <v>pre-launch</v>
      </c>
      <c r="AQ591" s="18"/>
      <c r="AR591" s="18"/>
    </row>
    <row r="592" spans="1:44" x14ac:dyDescent="0.25">
      <c r="A592" s="43">
        <v>45653</v>
      </c>
      <c r="B592" s="17">
        <v>3889473140.9400001</v>
      </c>
      <c r="C592" s="17">
        <v>0</v>
      </c>
      <c r="D592" s="17">
        <v>216391282</v>
      </c>
      <c r="E592" s="19">
        <f t="shared" si="198"/>
        <v>3889473140.9400001</v>
      </c>
      <c r="F592" s="19">
        <f t="shared" si="199"/>
        <v>4105864422.9400001</v>
      </c>
      <c r="G592" s="20">
        <f t="shared" si="200"/>
        <v>0</v>
      </c>
      <c r="H592" s="17">
        <v>1268921</v>
      </c>
      <c r="I592" s="17">
        <v>28523</v>
      </c>
      <c r="J592" s="17">
        <v>38923</v>
      </c>
      <c r="K592" s="19">
        <f t="shared" si="201"/>
        <v>1297444</v>
      </c>
      <c r="L592" s="18"/>
      <c r="M592" s="18"/>
      <c r="N592" s="18"/>
      <c r="O592" s="19">
        <f t="shared" si="202"/>
        <v>1268921</v>
      </c>
      <c r="P592" s="21">
        <f t="shared" si="203"/>
        <v>3.2624495761226151</v>
      </c>
      <c r="Q592" s="17">
        <v>1230853</v>
      </c>
      <c r="R592" s="17">
        <v>27667</v>
      </c>
      <c r="S592" s="19">
        <f t="shared" si="204"/>
        <v>1258520</v>
      </c>
      <c r="T592" s="20">
        <f t="shared" si="205"/>
        <v>0.03</v>
      </c>
      <c r="U592" s="19">
        <f t="shared" si="206"/>
        <v>38923.298969072166</v>
      </c>
      <c r="V592" s="17">
        <v>38923</v>
      </c>
      <c r="W592" s="19">
        <f t="shared" si="207"/>
        <v>0.2989690721660736</v>
      </c>
      <c r="X592" s="19">
        <f t="shared" si="208"/>
        <v>38924</v>
      </c>
      <c r="Y592" s="17">
        <v>38068</v>
      </c>
      <c r="Z592" s="17">
        <v>856</v>
      </c>
      <c r="AA592" s="19">
        <f t="shared" si="209"/>
        <v>1</v>
      </c>
      <c r="AB592" s="17">
        <v>1258520</v>
      </c>
      <c r="AC592" s="27">
        <v>27.111000000000001</v>
      </c>
      <c r="AD592" s="27">
        <v>27.216249999999999</v>
      </c>
      <c r="AE592" s="22">
        <f t="shared" si="210"/>
        <v>46241.491755844399</v>
      </c>
      <c r="AF592" s="23">
        <f t="shared" si="211"/>
        <v>0</v>
      </c>
      <c r="AG592" s="23">
        <f t="shared" si="212"/>
        <v>0</v>
      </c>
      <c r="AH592" s="17">
        <v>1633333.4135789899</v>
      </c>
      <c r="AI592" s="24">
        <f t="shared" si="213"/>
        <v>1.2978207843967438</v>
      </c>
      <c r="AJ592" s="25">
        <v>0</v>
      </c>
      <c r="AK592" s="24">
        <f t="shared" si="214"/>
        <v>0</v>
      </c>
      <c r="AL592" s="22">
        <f t="shared" si="215"/>
        <v>0</v>
      </c>
      <c r="AM592" s="22">
        <f t="shared" si="216"/>
        <v>46241.491755844399</v>
      </c>
      <c r="AN592" s="22">
        <f t="shared" si="217"/>
        <v>-46241.491755844399</v>
      </c>
      <c r="AO592" s="26" t="str">
        <f t="shared" si="218"/>
        <v/>
      </c>
      <c r="AP592" s="26" t="str">
        <f t="shared" si="219"/>
        <v>pre-launch</v>
      </c>
      <c r="AQ592" s="18"/>
      <c r="AR592" s="18"/>
    </row>
    <row r="593" spans="1:44" x14ac:dyDescent="0.25">
      <c r="A593" s="43">
        <v>45654</v>
      </c>
      <c r="B593" s="17">
        <v>2077191362.01</v>
      </c>
      <c r="C593" s="17">
        <v>0</v>
      </c>
      <c r="D593" s="17">
        <v>212391739</v>
      </c>
      <c r="E593" s="19">
        <f t="shared" si="198"/>
        <v>2077191362.01</v>
      </c>
      <c r="F593" s="19">
        <f t="shared" si="199"/>
        <v>2289583101.0100002</v>
      </c>
      <c r="G593" s="20">
        <f t="shared" si="200"/>
        <v>0</v>
      </c>
      <c r="H593" s="17">
        <v>950246</v>
      </c>
      <c r="I593" s="17">
        <v>28430</v>
      </c>
      <c r="J593" s="17">
        <v>29360</v>
      </c>
      <c r="K593" s="19">
        <f t="shared" si="201"/>
        <v>978676</v>
      </c>
      <c r="L593" s="18"/>
      <c r="M593" s="18"/>
      <c r="N593" s="18"/>
      <c r="O593" s="19">
        <f t="shared" si="202"/>
        <v>950246</v>
      </c>
      <c r="P593" s="21">
        <f t="shared" si="203"/>
        <v>4.5746675890298905</v>
      </c>
      <c r="Q593" s="17">
        <v>921738</v>
      </c>
      <c r="R593" s="17">
        <v>27577</v>
      </c>
      <c r="S593" s="19">
        <f t="shared" si="204"/>
        <v>949315</v>
      </c>
      <c r="T593" s="20">
        <f t="shared" si="205"/>
        <v>0.03</v>
      </c>
      <c r="U593" s="19">
        <f t="shared" si="206"/>
        <v>29360.257731958765</v>
      </c>
      <c r="V593" s="17">
        <v>29360</v>
      </c>
      <c r="W593" s="19">
        <f t="shared" si="207"/>
        <v>0.25773195876536192</v>
      </c>
      <c r="X593" s="19">
        <f t="shared" si="208"/>
        <v>29360</v>
      </c>
      <c r="Y593" s="17">
        <v>28507</v>
      </c>
      <c r="Z593" s="17">
        <v>853</v>
      </c>
      <c r="AA593" s="19">
        <f t="shared" si="209"/>
        <v>0</v>
      </c>
      <c r="AB593" s="17">
        <v>949315</v>
      </c>
      <c r="AC593" s="27">
        <v>29.265000000000001</v>
      </c>
      <c r="AD593" s="27">
        <v>27.85575</v>
      </c>
      <c r="AE593" s="22">
        <f t="shared" si="210"/>
        <v>34079.678342891501</v>
      </c>
      <c r="AF593" s="23">
        <f t="shared" si="211"/>
        <v>1</v>
      </c>
      <c r="AG593" s="23">
        <f t="shared" si="212"/>
        <v>0</v>
      </c>
      <c r="AH593" s="17">
        <v>978675.74712701095</v>
      </c>
      <c r="AI593" s="24">
        <f t="shared" si="213"/>
        <v>1.0309283505759532</v>
      </c>
      <c r="AJ593" s="25">
        <v>0</v>
      </c>
      <c r="AK593" s="24">
        <f t="shared" si="214"/>
        <v>0</v>
      </c>
      <c r="AL593" s="22">
        <f t="shared" si="215"/>
        <v>0</v>
      </c>
      <c r="AM593" s="22">
        <f t="shared" si="216"/>
        <v>34079.678342891501</v>
      </c>
      <c r="AN593" s="22">
        <f t="shared" si="217"/>
        <v>-34079.678342891501</v>
      </c>
      <c r="AO593" s="26" t="str">
        <f t="shared" si="218"/>
        <v/>
      </c>
      <c r="AP593" s="26" t="str">
        <f t="shared" si="219"/>
        <v>pre-launch</v>
      </c>
      <c r="AQ593" s="18"/>
      <c r="AR593" s="18"/>
    </row>
    <row r="594" spans="1:44" x14ac:dyDescent="0.25">
      <c r="A594" s="43">
        <v>45655</v>
      </c>
      <c r="B594" s="17">
        <v>1965931599.6700001</v>
      </c>
      <c r="C594" s="17">
        <v>0</v>
      </c>
      <c r="D594" s="17">
        <v>342862746</v>
      </c>
      <c r="E594" s="19">
        <f t="shared" si="198"/>
        <v>1965931599.6700001</v>
      </c>
      <c r="F594" s="19">
        <f t="shared" si="199"/>
        <v>2308794345.6700001</v>
      </c>
      <c r="G594" s="20">
        <f t="shared" si="200"/>
        <v>0</v>
      </c>
      <c r="H594" s="17">
        <v>454244</v>
      </c>
      <c r="I594" s="17">
        <v>31496</v>
      </c>
      <c r="J594" s="17">
        <v>14412</v>
      </c>
      <c r="K594" s="19">
        <f t="shared" si="201"/>
        <v>485740</v>
      </c>
      <c r="L594" s="18"/>
      <c r="M594" s="18"/>
      <c r="N594" s="18"/>
      <c r="O594" s="19">
        <f t="shared" si="202"/>
        <v>454244</v>
      </c>
      <c r="P594" s="21">
        <f t="shared" si="203"/>
        <v>2.3105788628467496</v>
      </c>
      <c r="Q594" s="17">
        <v>440616</v>
      </c>
      <c r="R594" s="17">
        <v>30551</v>
      </c>
      <c r="S594" s="19">
        <f t="shared" si="204"/>
        <v>471167</v>
      </c>
      <c r="T594" s="20">
        <f t="shared" si="205"/>
        <v>0.03</v>
      </c>
      <c r="U594" s="19">
        <f t="shared" si="206"/>
        <v>14572.175257731958</v>
      </c>
      <c r="V594" s="17">
        <v>14412</v>
      </c>
      <c r="W594" s="19">
        <f t="shared" si="207"/>
        <v>160.17525773195848</v>
      </c>
      <c r="X594" s="19">
        <f t="shared" si="208"/>
        <v>14572</v>
      </c>
      <c r="Y594" s="17">
        <v>13627</v>
      </c>
      <c r="Z594" s="17">
        <v>945</v>
      </c>
      <c r="AA594" s="19">
        <f t="shared" si="209"/>
        <v>160</v>
      </c>
      <c r="AB594" s="17">
        <v>471167</v>
      </c>
      <c r="AC594" s="27">
        <v>27.446000000000002</v>
      </c>
      <c r="AD594" s="27">
        <v>28.206250000000001</v>
      </c>
      <c r="AE594" s="22">
        <f t="shared" si="210"/>
        <v>16704.34744072679</v>
      </c>
      <c r="AF594" s="23">
        <f t="shared" si="211"/>
        <v>1</v>
      </c>
      <c r="AG594" s="23">
        <f t="shared" si="212"/>
        <v>0</v>
      </c>
      <c r="AH594" s="17">
        <v>480409.76129999798</v>
      </c>
      <c r="AI594" s="24">
        <f t="shared" si="213"/>
        <v>1.0196167416223929</v>
      </c>
      <c r="AJ594" s="25">
        <v>0</v>
      </c>
      <c r="AK594" s="24">
        <f t="shared" si="214"/>
        <v>0</v>
      </c>
      <c r="AL594" s="22">
        <f t="shared" si="215"/>
        <v>0</v>
      </c>
      <c r="AM594" s="22">
        <f t="shared" si="216"/>
        <v>16704.34744072679</v>
      </c>
      <c r="AN594" s="22">
        <f t="shared" si="217"/>
        <v>-16704.34744072679</v>
      </c>
      <c r="AO594" s="26" t="str">
        <f t="shared" si="218"/>
        <v/>
      </c>
      <c r="AP594" s="26" t="str">
        <f t="shared" si="219"/>
        <v>pre-launch</v>
      </c>
      <c r="AQ594" s="18"/>
      <c r="AR594" s="18"/>
    </row>
    <row r="595" spans="1:44" x14ac:dyDescent="0.25">
      <c r="A595" s="43">
        <v>45656</v>
      </c>
      <c r="B595" s="17">
        <v>4697171101.9799995</v>
      </c>
      <c r="C595" s="17">
        <v>0</v>
      </c>
      <c r="D595" s="17">
        <v>267028183</v>
      </c>
      <c r="E595" s="19">
        <f t="shared" si="198"/>
        <v>4697171101.9799995</v>
      </c>
      <c r="F595" s="19">
        <f t="shared" si="199"/>
        <v>4964199284.9799995</v>
      </c>
      <c r="G595" s="20">
        <f t="shared" si="200"/>
        <v>0</v>
      </c>
      <c r="H595" s="17">
        <v>1483664</v>
      </c>
      <c r="I595" s="17">
        <v>49113</v>
      </c>
      <c r="J595" s="17">
        <v>45905</v>
      </c>
      <c r="K595" s="19">
        <f t="shared" si="201"/>
        <v>1532777</v>
      </c>
      <c r="L595" s="18"/>
      <c r="M595" s="18"/>
      <c r="N595" s="18"/>
      <c r="O595" s="19">
        <f t="shared" si="202"/>
        <v>1483664</v>
      </c>
      <c r="P595" s="21">
        <f t="shared" si="203"/>
        <v>3.1586330746491029</v>
      </c>
      <c r="Q595" s="17">
        <v>1439154</v>
      </c>
      <c r="R595" s="17">
        <v>47640</v>
      </c>
      <c r="S595" s="19">
        <f t="shared" si="204"/>
        <v>1486794</v>
      </c>
      <c r="T595" s="20">
        <f t="shared" si="205"/>
        <v>0.03</v>
      </c>
      <c r="U595" s="19">
        <f t="shared" si="206"/>
        <v>45983.319587628866</v>
      </c>
      <c r="V595" s="17">
        <v>45905</v>
      </c>
      <c r="W595" s="19">
        <f t="shared" si="207"/>
        <v>78.319587628866429</v>
      </c>
      <c r="X595" s="19">
        <f t="shared" si="208"/>
        <v>45983</v>
      </c>
      <c r="Y595" s="17">
        <v>44510</v>
      </c>
      <c r="Z595" s="17">
        <v>1473</v>
      </c>
      <c r="AA595" s="19">
        <f t="shared" si="209"/>
        <v>78</v>
      </c>
      <c r="AB595" s="17">
        <v>1486794</v>
      </c>
      <c r="AC595" s="27">
        <v>26.952999999999999</v>
      </c>
      <c r="AD595" s="27">
        <v>27.524750000000001</v>
      </c>
      <c r="AE595" s="22">
        <f t="shared" si="210"/>
        <v>54016.621404372425</v>
      </c>
      <c r="AF595" s="23">
        <f t="shared" si="211"/>
        <v>0</v>
      </c>
      <c r="AG595" s="23">
        <f t="shared" si="212"/>
        <v>0</v>
      </c>
      <c r="AH595" s="17">
        <v>1530159.4148500001</v>
      </c>
      <c r="AI595" s="24">
        <f t="shared" si="213"/>
        <v>1.0291670633927767</v>
      </c>
      <c r="AJ595" s="25">
        <v>301000000</v>
      </c>
      <c r="AK595" s="24">
        <f t="shared" si="214"/>
        <v>2.7320905799180738E-2</v>
      </c>
      <c r="AL595" s="22">
        <f t="shared" si="215"/>
        <v>22530.390809735349</v>
      </c>
      <c r="AM595" s="22">
        <f t="shared" si="216"/>
        <v>54016.621404372425</v>
      </c>
      <c r="AN595" s="22">
        <f t="shared" si="217"/>
        <v>-31486.230594637076</v>
      </c>
      <c r="AO595" s="26" t="str">
        <f t="shared" si="218"/>
        <v/>
      </c>
      <c r="AP595" s="26" t="str">
        <f t="shared" si="219"/>
        <v>pre-launch</v>
      </c>
      <c r="AQ595" s="18"/>
      <c r="AR595" s="18"/>
    </row>
    <row r="596" spans="1:44" x14ac:dyDescent="0.25">
      <c r="A596" s="43">
        <v>45657</v>
      </c>
      <c r="B596" s="17">
        <v>3450514508.2800002</v>
      </c>
      <c r="C596" s="17">
        <v>0</v>
      </c>
      <c r="D596" s="17">
        <v>225503235</v>
      </c>
      <c r="E596" s="19">
        <f t="shared" si="198"/>
        <v>3450514508.2800002</v>
      </c>
      <c r="F596" s="19">
        <f t="shared" si="199"/>
        <v>3676017743.2800002</v>
      </c>
      <c r="G596" s="20">
        <f t="shared" si="200"/>
        <v>0</v>
      </c>
      <c r="H596" s="17">
        <v>1326087</v>
      </c>
      <c r="I596" s="17">
        <v>42962</v>
      </c>
      <c r="J596" s="17">
        <v>41146</v>
      </c>
      <c r="K596" s="19">
        <f t="shared" si="201"/>
        <v>1369049</v>
      </c>
      <c r="L596" s="18"/>
      <c r="M596" s="18"/>
      <c r="N596" s="18"/>
      <c r="O596" s="19">
        <f t="shared" si="202"/>
        <v>1326087</v>
      </c>
      <c r="P596" s="21">
        <f t="shared" si="203"/>
        <v>3.8431572938408625</v>
      </c>
      <c r="Q596" s="17">
        <v>1286304</v>
      </c>
      <c r="R596" s="17">
        <v>41673</v>
      </c>
      <c r="S596" s="19">
        <f t="shared" si="204"/>
        <v>1327977</v>
      </c>
      <c r="T596" s="20">
        <f t="shared" si="205"/>
        <v>0.03</v>
      </c>
      <c r="U596" s="19">
        <f t="shared" si="206"/>
        <v>41071.453608247422</v>
      </c>
      <c r="V596" s="17">
        <v>41146</v>
      </c>
      <c r="W596" s="19">
        <f t="shared" si="207"/>
        <v>-74.54639175257762</v>
      </c>
      <c r="X596" s="19">
        <f t="shared" si="208"/>
        <v>41072</v>
      </c>
      <c r="Y596" s="17">
        <v>39783</v>
      </c>
      <c r="Z596" s="17">
        <v>1289</v>
      </c>
      <c r="AA596" s="19">
        <f t="shared" si="209"/>
        <v>-74</v>
      </c>
      <c r="AB596" s="17">
        <v>1327977</v>
      </c>
      <c r="AC596" s="27">
        <v>24.007000000000001</v>
      </c>
      <c r="AD596" s="27">
        <v>25.272500000000001</v>
      </c>
      <c r="AE596" s="22">
        <f t="shared" si="210"/>
        <v>52546.325056880007</v>
      </c>
      <c r="AF596" s="23">
        <f t="shared" si="211"/>
        <v>0</v>
      </c>
      <c r="AG596" s="23">
        <f t="shared" si="212"/>
        <v>0</v>
      </c>
      <c r="AH596" s="17">
        <v>1371530.621852</v>
      </c>
      <c r="AI596" s="24">
        <f t="shared" si="213"/>
        <v>1.0327969700168</v>
      </c>
      <c r="AJ596" s="25">
        <v>301716981.13207603</v>
      </c>
      <c r="AK596" s="24">
        <f t="shared" si="214"/>
        <v>2.7288424655751146E-2</v>
      </c>
      <c r="AL596" s="22">
        <f t="shared" si="215"/>
        <v>22557.208512283141</v>
      </c>
      <c r="AM596" s="22">
        <f t="shared" si="216"/>
        <v>52546.325056880007</v>
      </c>
      <c r="AN596" s="22">
        <f t="shared" si="217"/>
        <v>-29989.116544596865</v>
      </c>
      <c r="AO596" s="26" t="str">
        <f t="shared" si="218"/>
        <v/>
      </c>
      <c r="AP596" s="26" t="str">
        <f t="shared" si="219"/>
        <v>pre-launch</v>
      </c>
      <c r="AQ596" s="18"/>
      <c r="AR596" s="18"/>
    </row>
    <row r="597" spans="1:44" x14ac:dyDescent="0.25">
      <c r="A597" s="43">
        <v>45658</v>
      </c>
      <c r="B597" s="17">
        <v>2157256818.4400001</v>
      </c>
      <c r="C597" s="17">
        <v>0</v>
      </c>
      <c r="D597" s="17">
        <v>256438336</v>
      </c>
      <c r="E597" s="19">
        <f t="shared" si="198"/>
        <v>2157256818.4400001</v>
      </c>
      <c r="F597" s="19">
        <f t="shared" si="199"/>
        <v>2413695154.4400001</v>
      </c>
      <c r="G597" s="20">
        <f t="shared" si="200"/>
        <v>0</v>
      </c>
      <c r="H597" s="17">
        <v>483299</v>
      </c>
      <c r="I597" s="17">
        <v>30141</v>
      </c>
      <c r="J597" s="17">
        <v>15396</v>
      </c>
      <c r="K597" s="19">
        <f t="shared" si="201"/>
        <v>513440</v>
      </c>
      <c r="L597" s="18"/>
      <c r="M597" s="18"/>
      <c r="N597" s="18"/>
      <c r="O597" s="19">
        <f t="shared" si="202"/>
        <v>483299</v>
      </c>
      <c r="P597" s="21">
        <f t="shared" si="203"/>
        <v>2.2403405837859078</v>
      </c>
      <c r="Q597" s="17">
        <v>468800</v>
      </c>
      <c r="R597" s="17">
        <v>29237</v>
      </c>
      <c r="S597" s="19">
        <f t="shared" si="204"/>
        <v>498037</v>
      </c>
      <c r="T597" s="20">
        <f t="shared" si="205"/>
        <v>0.03</v>
      </c>
      <c r="U597" s="19">
        <f t="shared" si="206"/>
        <v>15403.206185567009</v>
      </c>
      <c r="V597" s="17">
        <v>15396</v>
      </c>
      <c r="W597" s="19">
        <f t="shared" si="207"/>
        <v>7.2061855670090154</v>
      </c>
      <c r="X597" s="19">
        <f t="shared" si="208"/>
        <v>15403</v>
      </c>
      <c r="Y597" s="17">
        <v>14499</v>
      </c>
      <c r="Z597" s="17">
        <v>904</v>
      </c>
      <c r="AA597" s="19">
        <f t="shared" si="209"/>
        <v>7</v>
      </c>
      <c r="AB597" s="17">
        <v>498037</v>
      </c>
      <c r="AC597" s="27">
        <v>26.315000000000001</v>
      </c>
      <c r="AD597" s="27">
        <v>25.052</v>
      </c>
      <c r="AE597" s="22">
        <f t="shared" si="210"/>
        <v>19880.129330991538</v>
      </c>
      <c r="AF597" s="23">
        <f t="shared" si="211"/>
        <v>0</v>
      </c>
      <c r="AG597" s="23">
        <f t="shared" si="212"/>
        <v>0</v>
      </c>
      <c r="AH597" s="17">
        <v>513195.55957099801</v>
      </c>
      <c r="AI597" s="24">
        <f t="shared" si="213"/>
        <v>1.0304366132857559</v>
      </c>
      <c r="AJ597" s="25">
        <v>302433962.26415098</v>
      </c>
      <c r="AK597" s="24">
        <f t="shared" si="214"/>
        <v>2.7256059085608068E-2</v>
      </c>
      <c r="AL597" s="22">
        <f t="shared" si="215"/>
        <v>22583.994369770575</v>
      </c>
      <c r="AM597" s="22">
        <f t="shared" si="216"/>
        <v>19880.129330991538</v>
      </c>
      <c r="AN597" s="22">
        <f t="shared" si="217"/>
        <v>2703.8650387790367</v>
      </c>
      <c r="AO597" s="26" t="str">
        <f t="shared" si="218"/>
        <v/>
      </c>
      <c r="AP597" s="26" t="str">
        <f t="shared" si="219"/>
        <v>pre-launch</v>
      </c>
      <c r="AQ597" s="18"/>
      <c r="AR597" s="18"/>
    </row>
    <row r="598" spans="1:44" x14ac:dyDescent="0.25">
      <c r="A598" s="43">
        <v>45659</v>
      </c>
      <c r="B598" s="17">
        <v>3645816158.6300001</v>
      </c>
      <c r="C598" s="17">
        <v>0</v>
      </c>
      <c r="D598" s="17">
        <v>267239456</v>
      </c>
      <c r="E598" s="19">
        <f t="shared" si="198"/>
        <v>3645816158.6300001</v>
      </c>
      <c r="F598" s="19">
        <f t="shared" si="199"/>
        <v>3913055614.6300001</v>
      </c>
      <c r="G598" s="20">
        <f t="shared" si="200"/>
        <v>0</v>
      </c>
      <c r="H598" s="17">
        <v>1267839</v>
      </c>
      <c r="I598" s="17">
        <v>41666</v>
      </c>
      <c r="J598" s="17">
        <v>39456</v>
      </c>
      <c r="K598" s="19">
        <f t="shared" si="201"/>
        <v>1309505</v>
      </c>
      <c r="L598" s="18"/>
      <c r="M598" s="18"/>
      <c r="N598" s="18"/>
      <c r="O598" s="19">
        <f t="shared" si="202"/>
        <v>1267839</v>
      </c>
      <c r="P598" s="21">
        <f t="shared" si="203"/>
        <v>3.4775176389486955</v>
      </c>
      <c r="Q598" s="17">
        <v>1229804</v>
      </c>
      <c r="R598" s="17">
        <v>40416</v>
      </c>
      <c r="S598" s="19">
        <f t="shared" si="204"/>
        <v>1270220</v>
      </c>
      <c r="T598" s="20">
        <f t="shared" si="205"/>
        <v>0.03</v>
      </c>
      <c r="U598" s="19">
        <f t="shared" si="206"/>
        <v>39285.154639175256</v>
      </c>
      <c r="V598" s="17">
        <v>39456</v>
      </c>
      <c r="W598" s="19">
        <f t="shared" si="207"/>
        <v>-170.84536082474369</v>
      </c>
      <c r="X598" s="19">
        <f t="shared" si="208"/>
        <v>39285</v>
      </c>
      <c r="Y598" s="17">
        <v>38035</v>
      </c>
      <c r="Z598" s="17">
        <v>1250</v>
      </c>
      <c r="AA598" s="19">
        <f t="shared" si="209"/>
        <v>-171</v>
      </c>
      <c r="AB598" s="17">
        <v>1270220</v>
      </c>
      <c r="AC598" s="27">
        <v>23.163</v>
      </c>
      <c r="AD598" s="27">
        <v>24.7135</v>
      </c>
      <c r="AE598" s="22">
        <f t="shared" si="210"/>
        <v>51397.819005806545</v>
      </c>
      <c r="AF598" s="23">
        <f t="shared" si="211"/>
        <v>0</v>
      </c>
      <c r="AG598" s="23">
        <f t="shared" si="212"/>
        <v>0</v>
      </c>
      <c r="AH598" s="17">
        <v>1315214.8122709999</v>
      </c>
      <c r="AI598" s="24">
        <f t="shared" si="213"/>
        <v>1.0354228497984601</v>
      </c>
      <c r="AJ598" s="25">
        <v>303150943.39622599</v>
      </c>
      <c r="AK598" s="24">
        <f t="shared" si="214"/>
        <v>2.7223808404991775E-2</v>
      </c>
      <c r="AL598" s="22">
        <f t="shared" si="215"/>
        <v>22610.748495373598</v>
      </c>
      <c r="AM598" s="22">
        <f t="shared" si="216"/>
        <v>51397.819005806545</v>
      </c>
      <c r="AN598" s="22">
        <f t="shared" si="217"/>
        <v>-28787.070510432946</v>
      </c>
      <c r="AO598" s="26" t="str">
        <f t="shared" si="218"/>
        <v/>
      </c>
      <c r="AP598" s="26" t="str">
        <f t="shared" si="219"/>
        <v>pre-launch</v>
      </c>
      <c r="AQ598" s="18"/>
      <c r="AR598" s="18"/>
    </row>
    <row r="599" spans="1:44" x14ac:dyDescent="0.25">
      <c r="A599" s="43">
        <v>45660</v>
      </c>
      <c r="B599" s="17">
        <v>3573160271.4000001</v>
      </c>
      <c r="C599" s="17">
        <v>0</v>
      </c>
      <c r="D599" s="17">
        <v>176550030</v>
      </c>
      <c r="E599" s="19">
        <f t="shared" si="198"/>
        <v>3573160271.4000001</v>
      </c>
      <c r="F599" s="19">
        <f t="shared" si="199"/>
        <v>3749710301.4000001</v>
      </c>
      <c r="G599" s="20">
        <f t="shared" si="200"/>
        <v>0</v>
      </c>
      <c r="H599" s="17">
        <v>1374850</v>
      </c>
      <c r="I599" s="17">
        <v>37005</v>
      </c>
      <c r="J599" s="17">
        <v>42237</v>
      </c>
      <c r="K599" s="19">
        <f t="shared" si="201"/>
        <v>1411855</v>
      </c>
      <c r="L599" s="18"/>
      <c r="M599" s="18"/>
      <c r="N599" s="18"/>
      <c r="O599" s="19">
        <f t="shared" si="202"/>
        <v>1374850</v>
      </c>
      <c r="P599" s="21">
        <f t="shared" si="203"/>
        <v>3.8477143356945476</v>
      </c>
      <c r="Q599" s="17">
        <v>1333605</v>
      </c>
      <c r="R599" s="17">
        <v>35895</v>
      </c>
      <c r="S599" s="19">
        <f t="shared" si="204"/>
        <v>1369500</v>
      </c>
      <c r="T599" s="20">
        <f t="shared" si="205"/>
        <v>0.03</v>
      </c>
      <c r="U599" s="19">
        <f t="shared" si="206"/>
        <v>42355.670103092787</v>
      </c>
      <c r="V599" s="17">
        <v>42237</v>
      </c>
      <c r="W599" s="19">
        <f t="shared" si="207"/>
        <v>118.67010309278703</v>
      </c>
      <c r="X599" s="19">
        <f t="shared" si="208"/>
        <v>42356</v>
      </c>
      <c r="Y599" s="17">
        <v>41246</v>
      </c>
      <c r="Z599" s="17">
        <v>1110</v>
      </c>
      <c r="AA599" s="19">
        <f t="shared" si="209"/>
        <v>119</v>
      </c>
      <c r="AB599" s="17">
        <v>1369500</v>
      </c>
      <c r="AC599" s="27">
        <v>24.442</v>
      </c>
      <c r="AD599" s="27">
        <v>23.553000000000001</v>
      </c>
      <c r="AE599" s="22">
        <f t="shared" si="210"/>
        <v>58145.459177174882</v>
      </c>
      <c r="AF599" s="23">
        <f t="shared" si="211"/>
        <v>-1</v>
      </c>
      <c r="AG599" s="23">
        <f t="shared" si="212"/>
        <v>0</v>
      </c>
      <c r="AH599" s="17">
        <v>1407906.33726302</v>
      </c>
      <c r="AI599" s="24">
        <f t="shared" si="213"/>
        <v>1.028044057877342</v>
      </c>
      <c r="AJ599" s="25">
        <v>303867924.52830201</v>
      </c>
      <c r="AK599" s="24">
        <f t="shared" si="214"/>
        <v>2.7191671935792559E-2</v>
      </c>
      <c r="AL599" s="22">
        <f t="shared" si="215"/>
        <v>22637.471001599348</v>
      </c>
      <c r="AM599" s="22">
        <f t="shared" si="216"/>
        <v>58145.459177174882</v>
      </c>
      <c r="AN599" s="22">
        <f t="shared" si="217"/>
        <v>-35507.988175575534</v>
      </c>
      <c r="AO599" s="26" t="str">
        <f t="shared" si="218"/>
        <v/>
      </c>
      <c r="AP599" s="26" t="str">
        <f t="shared" si="219"/>
        <v>pre-launch</v>
      </c>
      <c r="AQ599" s="18"/>
      <c r="AR599" s="18"/>
    </row>
    <row r="600" spans="1:44" x14ac:dyDescent="0.25">
      <c r="A600" s="43">
        <v>45661</v>
      </c>
      <c r="B600" s="17">
        <v>2506267603.4200001</v>
      </c>
      <c r="C600" s="17">
        <v>0</v>
      </c>
      <c r="D600" s="17">
        <v>119410641</v>
      </c>
      <c r="E600" s="19">
        <f t="shared" si="198"/>
        <v>2506267603.4200001</v>
      </c>
      <c r="F600" s="19">
        <f t="shared" si="199"/>
        <v>2625678244.4200001</v>
      </c>
      <c r="G600" s="20">
        <f t="shared" si="200"/>
        <v>0</v>
      </c>
      <c r="H600" s="17">
        <v>1049852</v>
      </c>
      <c r="I600" s="17">
        <v>25377</v>
      </c>
      <c r="J600" s="17">
        <v>32375</v>
      </c>
      <c r="K600" s="19">
        <f t="shared" si="201"/>
        <v>1075229</v>
      </c>
      <c r="L600" s="18"/>
      <c r="M600" s="18"/>
      <c r="N600" s="18"/>
      <c r="O600" s="19">
        <f t="shared" si="202"/>
        <v>1049852</v>
      </c>
      <c r="P600" s="21">
        <f t="shared" si="203"/>
        <v>4.1889062387727236</v>
      </c>
      <c r="Q600" s="17">
        <v>1018356</v>
      </c>
      <c r="R600" s="17">
        <v>24616</v>
      </c>
      <c r="S600" s="19">
        <f t="shared" si="204"/>
        <v>1042972</v>
      </c>
      <c r="T600" s="20">
        <f t="shared" si="205"/>
        <v>0.03</v>
      </c>
      <c r="U600" s="19">
        <f t="shared" si="206"/>
        <v>32256.865979381444</v>
      </c>
      <c r="V600" s="17">
        <v>32375</v>
      </c>
      <c r="W600" s="19">
        <f t="shared" si="207"/>
        <v>-118.13402061855595</v>
      </c>
      <c r="X600" s="19">
        <f t="shared" si="208"/>
        <v>32257</v>
      </c>
      <c r="Y600" s="17">
        <v>31496</v>
      </c>
      <c r="Z600" s="17">
        <v>761</v>
      </c>
      <c r="AA600" s="19">
        <f t="shared" si="209"/>
        <v>-118</v>
      </c>
      <c r="AB600" s="17">
        <v>1042972</v>
      </c>
      <c r="AC600" s="27">
        <v>25.021999999999998</v>
      </c>
      <c r="AD600" s="27">
        <v>24.50225</v>
      </c>
      <c r="AE600" s="22">
        <f t="shared" si="210"/>
        <v>42566.376557254946</v>
      </c>
      <c r="AF600" s="23">
        <f t="shared" si="211"/>
        <v>0</v>
      </c>
      <c r="AG600" s="23">
        <f t="shared" si="212"/>
        <v>0</v>
      </c>
      <c r="AH600" s="17">
        <v>1079177.15722698</v>
      </c>
      <c r="AI600" s="24">
        <f t="shared" si="213"/>
        <v>1.0347134508184113</v>
      </c>
      <c r="AJ600" s="25">
        <v>304584905.66037703</v>
      </c>
      <c r="AK600" s="24">
        <f t="shared" si="214"/>
        <v>2.7159649005491015E-2</v>
      </c>
      <c r="AL600" s="22">
        <f t="shared" si="215"/>
        <v>22664.162000291599</v>
      </c>
      <c r="AM600" s="22">
        <f t="shared" si="216"/>
        <v>42566.376557254946</v>
      </c>
      <c r="AN600" s="22">
        <f t="shared" si="217"/>
        <v>-19902.214556963347</v>
      </c>
      <c r="AO600" s="26" t="str">
        <f t="shared" si="218"/>
        <v/>
      </c>
      <c r="AP600" s="26" t="str">
        <f t="shared" si="219"/>
        <v>pre-launch</v>
      </c>
      <c r="AQ600" s="18"/>
      <c r="AR600" s="18"/>
    </row>
    <row r="601" spans="1:44" x14ac:dyDescent="0.25">
      <c r="A601" s="43">
        <v>45662</v>
      </c>
      <c r="B601" s="17">
        <v>2149149006.1500001</v>
      </c>
      <c r="C601" s="17">
        <v>0</v>
      </c>
      <c r="D601" s="17">
        <v>174388254</v>
      </c>
      <c r="E601" s="19">
        <f t="shared" si="198"/>
        <v>2149149006.1500001</v>
      </c>
      <c r="F601" s="19">
        <f t="shared" si="199"/>
        <v>2323537260.1500001</v>
      </c>
      <c r="G601" s="20">
        <f t="shared" si="200"/>
        <v>0</v>
      </c>
      <c r="H601" s="17">
        <v>996395</v>
      </c>
      <c r="I601" s="17">
        <v>19262</v>
      </c>
      <c r="J601" s="17">
        <v>30390</v>
      </c>
      <c r="K601" s="19">
        <f t="shared" si="201"/>
        <v>1015657</v>
      </c>
      <c r="L601" s="18"/>
      <c r="M601" s="18"/>
      <c r="N601" s="18"/>
      <c r="O601" s="19">
        <f t="shared" si="202"/>
        <v>996395</v>
      </c>
      <c r="P601" s="21">
        <f t="shared" si="203"/>
        <v>4.6362304202673625</v>
      </c>
      <c r="Q601" s="17">
        <v>966503</v>
      </c>
      <c r="R601" s="17">
        <v>18684</v>
      </c>
      <c r="S601" s="19">
        <f t="shared" si="204"/>
        <v>985187</v>
      </c>
      <c r="T601" s="20">
        <f t="shared" si="205"/>
        <v>0.03</v>
      </c>
      <c r="U601" s="19">
        <f t="shared" si="206"/>
        <v>30469.701030927838</v>
      </c>
      <c r="V601" s="17">
        <v>30390</v>
      </c>
      <c r="W601" s="19">
        <f t="shared" si="207"/>
        <v>79.701030927837564</v>
      </c>
      <c r="X601" s="19">
        <f t="shared" si="208"/>
        <v>30470</v>
      </c>
      <c r="Y601" s="17">
        <v>29892</v>
      </c>
      <c r="Z601" s="17">
        <v>578</v>
      </c>
      <c r="AA601" s="19">
        <f t="shared" si="209"/>
        <v>80</v>
      </c>
      <c r="AB601" s="17">
        <v>985187</v>
      </c>
      <c r="AC601" s="27">
        <v>24.401</v>
      </c>
      <c r="AD601" s="27">
        <v>24.847249999999999</v>
      </c>
      <c r="AE601" s="22">
        <f t="shared" si="210"/>
        <v>39649.739910855329</v>
      </c>
      <c r="AF601" s="23">
        <f t="shared" si="211"/>
        <v>0</v>
      </c>
      <c r="AG601" s="23">
        <f t="shared" si="212"/>
        <v>0</v>
      </c>
      <c r="AH601" s="17">
        <v>1013010.196435</v>
      </c>
      <c r="AI601" s="24">
        <f t="shared" si="213"/>
        <v>1.028241538342467</v>
      </c>
      <c r="AJ601" s="25">
        <v>305301886.79245299</v>
      </c>
      <c r="AK601" s="24">
        <f t="shared" si="214"/>
        <v>2.7127738947098579E-2</v>
      </c>
      <c r="AL601" s="22">
        <f t="shared" si="215"/>
        <v>22690.821602636461</v>
      </c>
      <c r="AM601" s="22">
        <f t="shared" si="216"/>
        <v>39649.739910855329</v>
      </c>
      <c r="AN601" s="22">
        <f t="shared" si="217"/>
        <v>-16958.918308218868</v>
      </c>
      <c r="AO601" s="26" t="str">
        <f t="shared" si="218"/>
        <v/>
      </c>
      <c r="AP601" s="26" t="str">
        <f t="shared" si="219"/>
        <v>pre-launch</v>
      </c>
      <c r="AQ601" s="18"/>
      <c r="AR601" s="18"/>
    </row>
    <row r="602" spans="1:44" x14ac:dyDescent="0.25">
      <c r="A602" s="43">
        <v>45663</v>
      </c>
      <c r="B602" s="17">
        <v>4404918704.1000004</v>
      </c>
      <c r="C602" s="17">
        <v>0</v>
      </c>
      <c r="D602" s="17">
        <v>194364069</v>
      </c>
      <c r="E602" s="19">
        <f t="shared" si="198"/>
        <v>4404918704.1000004</v>
      </c>
      <c r="F602" s="19">
        <f t="shared" si="199"/>
        <v>4599282773.1000004</v>
      </c>
      <c r="G602" s="20">
        <f t="shared" si="200"/>
        <v>0</v>
      </c>
      <c r="H602" s="17">
        <v>1045371</v>
      </c>
      <c r="I602" s="17">
        <v>23453</v>
      </c>
      <c r="J602" s="17">
        <v>32144</v>
      </c>
      <c r="K602" s="19">
        <f t="shared" si="201"/>
        <v>1068824</v>
      </c>
      <c r="L602" s="18"/>
      <c r="M602" s="18"/>
      <c r="N602" s="18"/>
      <c r="O602" s="19">
        <f t="shared" si="202"/>
        <v>1045371</v>
      </c>
      <c r="P602" s="21">
        <f t="shared" si="203"/>
        <v>2.3731902226186192</v>
      </c>
      <c r="Q602" s="17">
        <v>1014010</v>
      </c>
      <c r="R602" s="17">
        <v>22750</v>
      </c>
      <c r="S602" s="19">
        <f t="shared" si="204"/>
        <v>1036760</v>
      </c>
      <c r="T602" s="20">
        <f t="shared" si="205"/>
        <v>0.03</v>
      </c>
      <c r="U602" s="19">
        <f t="shared" si="206"/>
        <v>32064.742268041238</v>
      </c>
      <c r="V602" s="17">
        <v>32144</v>
      </c>
      <c r="W602" s="19">
        <f t="shared" si="207"/>
        <v>-79.257731958761724</v>
      </c>
      <c r="X602" s="19">
        <f t="shared" si="208"/>
        <v>32065</v>
      </c>
      <c r="Y602" s="17">
        <v>31361</v>
      </c>
      <c r="Z602" s="17">
        <v>704</v>
      </c>
      <c r="AA602" s="19">
        <f t="shared" si="209"/>
        <v>-79</v>
      </c>
      <c r="AB602" s="17">
        <v>1036760</v>
      </c>
      <c r="AC602" s="27">
        <v>25.231000000000002</v>
      </c>
      <c r="AD602" s="27">
        <v>24.989750000000001</v>
      </c>
      <c r="AE602" s="22">
        <f t="shared" si="210"/>
        <v>41487.409838033593</v>
      </c>
      <c r="AF602" s="23">
        <f t="shared" si="211"/>
        <v>-1</v>
      </c>
      <c r="AG602" s="23">
        <f t="shared" si="212"/>
        <v>0</v>
      </c>
      <c r="AH602" s="17">
        <v>1071471.7439309999</v>
      </c>
      <c r="AI602" s="24">
        <f t="shared" si="213"/>
        <v>1.0334809829960645</v>
      </c>
      <c r="AJ602" s="25">
        <v>306018867.924528</v>
      </c>
      <c r="AK602" s="24">
        <f t="shared" si="214"/>
        <v>2.709594109909956E-2</v>
      </c>
      <c r="AL602" s="22">
        <f t="shared" si="215"/>
        <v>22717.449919167502</v>
      </c>
      <c r="AM602" s="22">
        <f t="shared" si="216"/>
        <v>41487.409838033593</v>
      </c>
      <c r="AN602" s="22">
        <f t="shared" si="217"/>
        <v>-18769.95991886609</v>
      </c>
      <c r="AO602" s="26" t="str">
        <f t="shared" si="218"/>
        <v/>
      </c>
      <c r="AP602" s="26" t="str">
        <f t="shared" si="219"/>
        <v>pre-launch</v>
      </c>
      <c r="AQ602" s="18"/>
      <c r="AR602" s="18"/>
    </row>
    <row r="603" spans="1:44" x14ac:dyDescent="0.25">
      <c r="A603" s="43">
        <v>45664</v>
      </c>
      <c r="B603" s="17">
        <v>7004545546.8100004</v>
      </c>
      <c r="C603" s="17">
        <v>0</v>
      </c>
      <c r="D603" s="17">
        <v>298520602</v>
      </c>
      <c r="E603" s="19">
        <f t="shared" si="198"/>
        <v>7004545546.8100004</v>
      </c>
      <c r="F603" s="19">
        <f t="shared" si="199"/>
        <v>7303066148.8100004</v>
      </c>
      <c r="G603" s="20">
        <f t="shared" si="200"/>
        <v>0</v>
      </c>
      <c r="H603" s="17">
        <v>2149311</v>
      </c>
      <c r="I603" s="17">
        <v>30214</v>
      </c>
      <c r="J603" s="17">
        <v>65386</v>
      </c>
      <c r="K603" s="19">
        <f t="shared" si="201"/>
        <v>2179525</v>
      </c>
      <c r="L603" s="18"/>
      <c r="M603" s="18"/>
      <c r="N603" s="18"/>
      <c r="O603" s="19">
        <f t="shared" si="202"/>
        <v>2149311</v>
      </c>
      <c r="P603" s="21">
        <f t="shared" si="203"/>
        <v>3.0684517441375418</v>
      </c>
      <c r="Q603" s="17">
        <v>2084832</v>
      </c>
      <c r="R603" s="17">
        <v>29308</v>
      </c>
      <c r="S603" s="19">
        <f t="shared" si="204"/>
        <v>2114140</v>
      </c>
      <c r="T603" s="20">
        <f t="shared" si="205"/>
        <v>0.03</v>
      </c>
      <c r="U603" s="19">
        <f t="shared" si="206"/>
        <v>65385.773195876289</v>
      </c>
      <c r="V603" s="17">
        <v>65386</v>
      </c>
      <c r="W603" s="19">
        <f t="shared" si="207"/>
        <v>-0.22680412371119019</v>
      </c>
      <c r="X603" s="19">
        <f t="shared" si="208"/>
        <v>65385</v>
      </c>
      <c r="Y603" s="17">
        <v>64479</v>
      </c>
      <c r="Z603" s="17">
        <v>906</v>
      </c>
      <c r="AA603" s="19">
        <f t="shared" si="209"/>
        <v>-1</v>
      </c>
      <c r="AB603" s="17">
        <v>2114140</v>
      </c>
      <c r="AC603" s="27">
        <v>23.495999999999999</v>
      </c>
      <c r="AD603" s="27">
        <v>24.45975</v>
      </c>
      <c r="AE603" s="22">
        <f t="shared" si="210"/>
        <v>86433.426343278246</v>
      </c>
      <c r="AF603" s="23">
        <f t="shared" si="211"/>
        <v>0</v>
      </c>
      <c r="AG603" s="23">
        <f t="shared" si="212"/>
        <v>0</v>
      </c>
      <c r="AH603" s="17">
        <v>2179525.5004920098</v>
      </c>
      <c r="AI603" s="24">
        <f t="shared" si="213"/>
        <v>1.030927706061098</v>
      </c>
      <c r="AJ603" s="25">
        <v>306735849.05660403</v>
      </c>
      <c r="AK603" s="24">
        <f t="shared" si="214"/>
        <v>2.7064254805393199E-2</v>
      </c>
      <c r="AL603" s="22">
        <f t="shared" si="215"/>
        <v>22744.047059771394</v>
      </c>
      <c r="AM603" s="22">
        <f t="shared" si="216"/>
        <v>86433.426343278246</v>
      </c>
      <c r="AN603" s="22">
        <f t="shared" si="217"/>
        <v>-63689.379283506853</v>
      </c>
      <c r="AO603" s="26" t="str">
        <f t="shared" si="218"/>
        <v/>
      </c>
      <c r="AP603" s="26" t="str">
        <f t="shared" si="219"/>
        <v>pre-launch</v>
      </c>
      <c r="AQ603" s="18"/>
      <c r="AR603" s="18"/>
    </row>
    <row r="604" spans="1:44" x14ac:dyDescent="0.25">
      <c r="A604" s="43">
        <v>45665</v>
      </c>
      <c r="B604" s="17">
        <v>6019784666.9899998</v>
      </c>
      <c r="C604" s="17">
        <v>0</v>
      </c>
      <c r="D604" s="17">
        <v>325463853</v>
      </c>
      <c r="E604" s="19">
        <f t="shared" si="198"/>
        <v>6019784666.9899998</v>
      </c>
      <c r="F604" s="19">
        <f t="shared" si="199"/>
        <v>6345248519.9899998</v>
      </c>
      <c r="G604" s="20">
        <f t="shared" si="200"/>
        <v>0</v>
      </c>
      <c r="H604" s="17">
        <v>1767943</v>
      </c>
      <c r="I604" s="17">
        <v>45273</v>
      </c>
      <c r="J604" s="17">
        <v>54396</v>
      </c>
      <c r="K604" s="19">
        <f t="shared" si="201"/>
        <v>1813216</v>
      </c>
      <c r="L604" s="18"/>
      <c r="M604" s="18"/>
      <c r="N604" s="18"/>
      <c r="O604" s="19">
        <f t="shared" si="202"/>
        <v>1767943</v>
      </c>
      <c r="P604" s="21">
        <f t="shared" si="203"/>
        <v>2.9368874433244523</v>
      </c>
      <c r="Q604" s="17">
        <v>1714904</v>
      </c>
      <c r="R604" s="17">
        <v>43915</v>
      </c>
      <c r="S604" s="19">
        <f t="shared" si="204"/>
        <v>1758819</v>
      </c>
      <c r="T604" s="20">
        <f t="shared" si="205"/>
        <v>0.03</v>
      </c>
      <c r="U604" s="19">
        <f t="shared" si="206"/>
        <v>54396.463917525776</v>
      </c>
      <c r="V604" s="17">
        <v>54396</v>
      </c>
      <c r="W604" s="19">
        <f t="shared" si="207"/>
        <v>0.46391752577619627</v>
      </c>
      <c r="X604" s="19">
        <f t="shared" si="208"/>
        <v>54396</v>
      </c>
      <c r="Y604" s="17">
        <v>53038</v>
      </c>
      <c r="Z604" s="17">
        <v>1358</v>
      </c>
      <c r="AA604" s="19">
        <f t="shared" si="209"/>
        <v>0</v>
      </c>
      <c r="AB604" s="17">
        <v>1758819</v>
      </c>
      <c r="AC604" s="27">
        <v>22.5</v>
      </c>
      <c r="AD604" s="27">
        <v>22.510999999999999</v>
      </c>
      <c r="AE604" s="22">
        <f t="shared" si="210"/>
        <v>78131.535693660873</v>
      </c>
      <c r="AF604" s="23">
        <f t="shared" si="211"/>
        <v>1</v>
      </c>
      <c r="AG604" s="23">
        <f t="shared" si="212"/>
        <v>0</v>
      </c>
      <c r="AH604" s="17">
        <v>1813215.975389</v>
      </c>
      <c r="AI604" s="24">
        <f t="shared" si="213"/>
        <v>1.0309281258554746</v>
      </c>
      <c r="AJ604" s="25">
        <v>307452830.18867898</v>
      </c>
      <c r="AK604" s="24">
        <f t="shared" si="214"/>
        <v>2.7032679415237116E-2</v>
      </c>
      <c r="AL604" s="22">
        <f t="shared" si="215"/>
        <v>22770.613133692863</v>
      </c>
      <c r="AM604" s="22">
        <f t="shared" si="216"/>
        <v>78131.535693660873</v>
      </c>
      <c r="AN604" s="22">
        <f t="shared" si="217"/>
        <v>-55360.922559968007</v>
      </c>
      <c r="AO604" s="26" t="str">
        <f t="shared" si="218"/>
        <v/>
      </c>
      <c r="AP604" s="26" t="str">
        <f t="shared" si="219"/>
        <v>pre-launch</v>
      </c>
      <c r="AQ604" s="18"/>
      <c r="AR604" s="18"/>
    </row>
    <row r="605" spans="1:44" x14ac:dyDescent="0.25">
      <c r="A605" s="43">
        <v>45666</v>
      </c>
      <c r="B605" s="17">
        <v>7123327274.1300001</v>
      </c>
      <c r="C605" s="17">
        <v>0</v>
      </c>
      <c r="D605" s="17">
        <v>194078337</v>
      </c>
      <c r="E605" s="19">
        <f t="shared" si="198"/>
        <v>7123327274.1300001</v>
      </c>
      <c r="F605" s="19">
        <f t="shared" si="199"/>
        <v>7317405611.1300001</v>
      </c>
      <c r="G605" s="20">
        <f t="shared" si="200"/>
        <v>0</v>
      </c>
      <c r="H605" s="17">
        <v>1933268</v>
      </c>
      <c r="I605" s="17">
        <v>47391</v>
      </c>
      <c r="J605" s="17">
        <v>59189</v>
      </c>
      <c r="K605" s="19">
        <f t="shared" si="201"/>
        <v>1980659</v>
      </c>
      <c r="L605" s="18"/>
      <c r="M605" s="18"/>
      <c r="N605" s="18"/>
      <c r="O605" s="19">
        <f t="shared" si="202"/>
        <v>1933268</v>
      </c>
      <c r="P605" s="21">
        <f t="shared" si="203"/>
        <v>2.7139957573213112</v>
      </c>
      <c r="Q605" s="17">
        <v>1875270</v>
      </c>
      <c r="R605" s="17">
        <v>45969</v>
      </c>
      <c r="S605" s="19">
        <f t="shared" si="204"/>
        <v>1921239</v>
      </c>
      <c r="T605" s="20">
        <f t="shared" si="205"/>
        <v>0.03</v>
      </c>
      <c r="U605" s="19">
        <f t="shared" si="206"/>
        <v>59419.762886597935</v>
      </c>
      <c r="V605" s="17">
        <v>59189</v>
      </c>
      <c r="W605" s="19">
        <f t="shared" si="207"/>
        <v>230.76288659793499</v>
      </c>
      <c r="X605" s="19">
        <f t="shared" si="208"/>
        <v>59420</v>
      </c>
      <c r="Y605" s="17">
        <v>57998</v>
      </c>
      <c r="Z605" s="17">
        <v>1422</v>
      </c>
      <c r="AA605" s="19">
        <f t="shared" si="209"/>
        <v>231</v>
      </c>
      <c r="AB605" s="17">
        <v>1921239</v>
      </c>
      <c r="AC605" s="27">
        <v>20.273</v>
      </c>
      <c r="AD605" s="27">
        <v>21.393000000000001</v>
      </c>
      <c r="AE605" s="22">
        <f t="shared" si="210"/>
        <v>89806.899453092134</v>
      </c>
      <c r="AF605" s="23">
        <f t="shared" si="211"/>
        <v>0</v>
      </c>
      <c r="AG605" s="23">
        <f t="shared" si="212"/>
        <v>0</v>
      </c>
      <c r="AH605" s="17">
        <v>1972950.64523801</v>
      </c>
      <c r="AI605" s="24">
        <f t="shared" si="213"/>
        <v>1.0269157794725228</v>
      </c>
      <c r="AJ605" s="25">
        <v>308169811.320755</v>
      </c>
      <c r="AK605" s="24">
        <f t="shared" si="214"/>
        <v>2.7001214283190866E-2</v>
      </c>
      <c r="AL605" s="22">
        <f t="shared" si="215"/>
        <v>22797.148249540285</v>
      </c>
      <c r="AM605" s="22">
        <f t="shared" si="216"/>
        <v>89806.899453092134</v>
      </c>
      <c r="AN605" s="22">
        <f t="shared" si="217"/>
        <v>-67009.751203551845</v>
      </c>
      <c r="AO605" s="26" t="str">
        <f t="shared" si="218"/>
        <v/>
      </c>
      <c r="AP605" s="26" t="str">
        <f t="shared" si="219"/>
        <v>pre-launch</v>
      </c>
      <c r="AQ605" s="18"/>
      <c r="AR605" s="18"/>
    </row>
    <row r="606" spans="1:44" x14ac:dyDescent="0.25">
      <c r="A606" s="43">
        <v>45667</v>
      </c>
      <c r="B606" s="17">
        <v>5110006119.8699999</v>
      </c>
      <c r="C606" s="17">
        <v>0</v>
      </c>
      <c r="D606" s="17">
        <v>104484914</v>
      </c>
      <c r="E606" s="19">
        <f t="shared" si="198"/>
        <v>5110006119.8699999</v>
      </c>
      <c r="F606" s="19">
        <f t="shared" si="199"/>
        <v>5214491033.8699999</v>
      </c>
      <c r="G606" s="20">
        <f t="shared" si="200"/>
        <v>0</v>
      </c>
      <c r="H606" s="17">
        <v>1492881</v>
      </c>
      <c r="I606" s="17">
        <v>27771</v>
      </c>
      <c r="J606" s="17">
        <v>45851</v>
      </c>
      <c r="K606" s="19">
        <f t="shared" si="201"/>
        <v>1520652</v>
      </c>
      <c r="L606" s="18"/>
      <c r="M606" s="18"/>
      <c r="N606" s="18"/>
      <c r="O606" s="19">
        <f t="shared" si="202"/>
        <v>1492881</v>
      </c>
      <c r="P606" s="21">
        <f t="shared" si="203"/>
        <v>2.9214857379426769</v>
      </c>
      <c r="Q606" s="17">
        <v>1448094</v>
      </c>
      <c r="R606" s="17">
        <v>26938</v>
      </c>
      <c r="S606" s="19">
        <f t="shared" si="204"/>
        <v>1475032</v>
      </c>
      <c r="T606" s="20">
        <f t="shared" si="205"/>
        <v>0.03</v>
      </c>
      <c r="U606" s="19">
        <f t="shared" si="206"/>
        <v>45619.546391752578</v>
      </c>
      <c r="V606" s="17">
        <v>45851</v>
      </c>
      <c r="W606" s="19">
        <f t="shared" si="207"/>
        <v>-231.45360824742238</v>
      </c>
      <c r="X606" s="19">
        <f t="shared" si="208"/>
        <v>45619</v>
      </c>
      <c r="Y606" s="17">
        <v>44786</v>
      </c>
      <c r="Z606" s="17">
        <v>833</v>
      </c>
      <c r="AA606" s="19">
        <f t="shared" si="209"/>
        <v>-232</v>
      </c>
      <c r="AB606" s="17">
        <v>1475032</v>
      </c>
      <c r="AC606" s="27">
        <v>20.654</v>
      </c>
      <c r="AD606" s="27">
        <v>20.70975</v>
      </c>
      <c r="AE606" s="22">
        <f t="shared" si="210"/>
        <v>71224.036987409316</v>
      </c>
      <c r="AF606" s="23">
        <f t="shared" si="211"/>
        <v>1</v>
      </c>
      <c r="AG606" s="23">
        <f t="shared" si="212"/>
        <v>0</v>
      </c>
      <c r="AH606" s="17">
        <v>1528359.6532699801</v>
      </c>
      <c r="AI606" s="24">
        <f t="shared" si="213"/>
        <v>1.0361535568516345</v>
      </c>
      <c r="AJ606" s="25">
        <v>308886792.45283002</v>
      </c>
      <c r="AK606" s="24">
        <f t="shared" si="214"/>
        <v>2.696985876906088E-2</v>
      </c>
      <c r="AL606" s="22">
        <f t="shared" si="215"/>
        <v>22823.652515290538</v>
      </c>
      <c r="AM606" s="22">
        <f t="shared" si="216"/>
        <v>71224.036987409316</v>
      </c>
      <c r="AN606" s="22">
        <f t="shared" si="217"/>
        <v>-48400.384472118778</v>
      </c>
      <c r="AO606" s="26" t="str">
        <f t="shared" si="218"/>
        <v/>
      </c>
      <c r="AP606" s="26" t="str">
        <f t="shared" si="219"/>
        <v>pre-launch</v>
      </c>
      <c r="AQ606" s="18"/>
      <c r="AR606" s="18"/>
    </row>
    <row r="607" spans="1:44" x14ac:dyDescent="0.25">
      <c r="A607" s="43">
        <v>45668</v>
      </c>
      <c r="B607" s="17">
        <v>1975220110.6500001</v>
      </c>
      <c r="C607" s="17">
        <v>0</v>
      </c>
      <c r="D607" s="17">
        <v>104729289</v>
      </c>
      <c r="E607" s="19">
        <f t="shared" si="198"/>
        <v>1975220110.6500001</v>
      </c>
      <c r="F607" s="19">
        <f t="shared" si="199"/>
        <v>2079949399.6500001</v>
      </c>
      <c r="G607" s="20">
        <f t="shared" si="200"/>
        <v>0</v>
      </c>
      <c r="H607" s="17">
        <v>457618</v>
      </c>
      <c r="I607" s="17">
        <v>14961</v>
      </c>
      <c r="J607" s="17">
        <v>14177</v>
      </c>
      <c r="K607" s="19">
        <f t="shared" si="201"/>
        <v>472579</v>
      </c>
      <c r="L607" s="18"/>
      <c r="M607" s="18"/>
      <c r="N607" s="18"/>
      <c r="O607" s="19">
        <f t="shared" si="202"/>
        <v>457618</v>
      </c>
      <c r="P607" s="21">
        <f t="shared" si="203"/>
        <v>2.3167949613950025</v>
      </c>
      <c r="Q607" s="17">
        <v>443890</v>
      </c>
      <c r="R607" s="17">
        <v>14512</v>
      </c>
      <c r="S607" s="19">
        <f t="shared" si="204"/>
        <v>458402</v>
      </c>
      <c r="T607" s="20">
        <f t="shared" si="205"/>
        <v>0.03</v>
      </c>
      <c r="U607" s="19">
        <f t="shared" si="206"/>
        <v>14177.381443298969</v>
      </c>
      <c r="V607" s="17">
        <v>14177</v>
      </c>
      <c r="W607" s="19">
        <f t="shared" si="207"/>
        <v>0.38144329896931595</v>
      </c>
      <c r="X607" s="19">
        <f t="shared" si="208"/>
        <v>14178</v>
      </c>
      <c r="Y607" s="17">
        <v>13729</v>
      </c>
      <c r="Z607" s="17">
        <v>449</v>
      </c>
      <c r="AA607" s="19">
        <f t="shared" si="209"/>
        <v>1</v>
      </c>
      <c r="AB607" s="17">
        <v>458402</v>
      </c>
      <c r="AC607" s="27">
        <v>20.884</v>
      </c>
      <c r="AD607" s="27">
        <v>20.549250000000001</v>
      </c>
      <c r="AE607" s="22">
        <f t="shared" si="210"/>
        <v>22307.480808302007</v>
      </c>
      <c r="AF607" s="23">
        <f t="shared" si="211"/>
        <v>-1</v>
      </c>
      <c r="AG607" s="23">
        <f t="shared" si="212"/>
        <v>0</v>
      </c>
      <c r="AH607" s="17">
        <v>472579.05199000199</v>
      </c>
      <c r="AI607" s="24">
        <f t="shared" si="213"/>
        <v>1.0309271163520273</v>
      </c>
      <c r="AJ607" s="25">
        <v>309603773.58490598</v>
      </c>
      <c r="AK607" s="24">
        <f t="shared" si="214"/>
        <v>2.6938612237845376E-2</v>
      </c>
      <c r="AL607" s="22">
        <f t="shared" si="215"/>
        <v>22850.126038294402</v>
      </c>
      <c r="AM607" s="22">
        <f t="shared" si="216"/>
        <v>22307.480808302007</v>
      </c>
      <c r="AN607" s="22">
        <f t="shared" si="217"/>
        <v>542.64522999239489</v>
      </c>
      <c r="AO607" s="26" t="str">
        <f t="shared" si="218"/>
        <v/>
      </c>
      <c r="AP607" s="26" t="str">
        <f t="shared" si="219"/>
        <v>pre-launch</v>
      </c>
      <c r="AQ607" s="18"/>
      <c r="AR607" s="18"/>
    </row>
    <row r="608" spans="1:44" x14ac:dyDescent="0.25">
      <c r="A608" s="43">
        <v>45669</v>
      </c>
      <c r="B608" s="17">
        <v>1868823313.52</v>
      </c>
      <c r="C608" s="17">
        <v>0</v>
      </c>
      <c r="D608" s="17">
        <v>230154418</v>
      </c>
      <c r="E608" s="19">
        <f t="shared" si="198"/>
        <v>1868823313.52</v>
      </c>
      <c r="F608" s="19">
        <f t="shared" si="199"/>
        <v>2098977731.52</v>
      </c>
      <c r="G608" s="20">
        <f t="shared" si="200"/>
        <v>0</v>
      </c>
      <c r="H608" s="18"/>
      <c r="I608" s="18"/>
      <c r="J608" s="18"/>
      <c r="K608" s="19">
        <f t="shared" si="201"/>
        <v>0</v>
      </c>
      <c r="L608" s="18"/>
      <c r="M608" s="18"/>
      <c r="N608" s="18"/>
      <c r="O608" s="19">
        <f t="shared" si="202"/>
        <v>0</v>
      </c>
      <c r="P608" s="21">
        <f t="shared" si="203"/>
        <v>0</v>
      </c>
      <c r="Q608" s="18"/>
      <c r="R608" s="18"/>
      <c r="S608" s="19">
        <f t="shared" si="204"/>
        <v>0</v>
      </c>
      <c r="T608" s="20">
        <f t="shared" si="205"/>
        <v>0.03</v>
      </c>
      <c r="U608" s="19">
        <f t="shared" si="206"/>
        <v>0</v>
      </c>
      <c r="V608" s="18"/>
      <c r="W608" s="19">
        <f t="shared" si="207"/>
        <v>0</v>
      </c>
      <c r="X608" s="19">
        <f t="shared" si="208"/>
        <v>0</v>
      </c>
      <c r="Y608" s="18"/>
      <c r="Z608" s="18"/>
      <c r="AA608" s="19">
        <f t="shared" si="209"/>
        <v>0</v>
      </c>
      <c r="AB608" s="17">
        <v>0</v>
      </c>
      <c r="AC608" s="27">
        <v>21.117000000000001</v>
      </c>
      <c r="AD608" s="27">
        <v>20.987500000000001</v>
      </c>
      <c r="AE608" s="22">
        <f t="shared" si="210"/>
        <v>0</v>
      </c>
      <c r="AF608" s="23">
        <f t="shared" si="211"/>
        <v>0</v>
      </c>
      <c r="AG608" s="23">
        <f t="shared" si="212"/>
        <v>0</v>
      </c>
      <c r="AH608" s="17">
        <v>479173.59285000002</v>
      </c>
      <c r="AI608" s="24">
        <f t="shared" si="213"/>
        <v>0</v>
      </c>
      <c r="AJ608" s="25">
        <v>310320754.71698099</v>
      </c>
      <c r="AK608" s="24">
        <f t="shared" si="214"/>
        <v>2.6907474059680712E-2</v>
      </c>
      <c r="AL608" s="22">
        <f t="shared" si="215"/>
        <v>22876.56892528139</v>
      </c>
      <c r="AM608" s="22">
        <f t="shared" si="216"/>
        <v>0</v>
      </c>
      <c r="AN608" s="22">
        <f t="shared" si="217"/>
        <v>22876.56892528139</v>
      </c>
      <c r="AO608" s="26" t="str">
        <f t="shared" si="218"/>
        <v/>
      </c>
      <c r="AP608" s="26" t="str">
        <f t="shared" si="219"/>
        <v>pre-launch</v>
      </c>
      <c r="AQ608" s="18"/>
      <c r="AR608" s="18"/>
    </row>
    <row r="609" spans="1:44" x14ac:dyDescent="0.25">
      <c r="A609" s="43">
        <v>45670</v>
      </c>
      <c r="B609" s="17">
        <v>7614889367.8999996</v>
      </c>
      <c r="C609" s="17">
        <v>0</v>
      </c>
      <c r="D609" s="17">
        <v>195123318</v>
      </c>
      <c r="E609" s="19">
        <f t="shared" si="198"/>
        <v>7614889367.8999996</v>
      </c>
      <c r="F609" s="19">
        <f t="shared" si="199"/>
        <v>7810012685.8999996</v>
      </c>
      <c r="G609" s="20">
        <f t="shared" si="200"/>
        <v>0</v>
      </c>
      <c r="H609" s="18"/>
      <c r="I609" s="18"/>
      <c r="J609" s="18"/>
      <c r="K609" s="19">
        <f t="shared" si="201"/>
        <v>0</v>
      </c>
      <c r="L609" s="18"/>
      <c r="M609" s="18"/>
      <c r="N609" s="18"/>
      <c r="O609" s="19">
        <f t="shared" si="202"/>
        <v>0</v>
      </c>
      <c r="P609" s="21">
        <f t="shared" si="203"/>
        <v>0</v>
      </c>
      <c r="Q609" s="18"/>
      <c r="R609" s="18"/>
      <c r="S609" s="19">
        <f t="shared" si="204"/>
        <v>0</v>
      </c>
      <c r="T609" s="20">
        <f t="shared" si="205"/>
        <v>0.03</v>
      </c>
      <c r="U609" s="19">
        <f t="shared" si="206"/>
        <v>0</v>
      </c>
      <c r="V609" s="18"/>
      <c r="W609" s="19">
        <f t="shared" si="207"/>
        <v>0</v>
      </c>
      <c r="X609" s="19">
        <f t="shared" si="208"/>
        <v>0</v>
      </c>
      <c r="Y609" s="18"/>
      <c r="Z609" s="18"/>
      <c r="AA609" s="19">
        <f t="shared" si="209"/>
        <v>0</v>
      </c>
      <c r="AB609" s="17">
        <v>0</v>
      </c>
      <c r="AC609" s="27">
        <v>21.629000000000001</v>
      </c>
      <c r="AD609" s="27">
        <v>21.248750000000001</v>
      </c>
      <c r="AE609" s="22">
        <f t="shared" si="210"/>
        <v>0</v>
      </c>
      <c r="AF609" s="23">
        <f t="shared" si="211"/>
        <v>0</v>
      </c>
      <c r="AG609" s="23">
        <f t="shared" si="212"/>
        <v>0</v>
      </c>
      <c r="AH609" s="17">
        <v>2330484.77984002</v>
      </c>
      <c r="AI609" s="24">
        <f t="shared" si="213"/>
        <v>0</v>
      </c>
      <c r="AJ609" s="25">
        <v>311037735.84905702</v>
      </c>
      <c r="AK609" s="24">
        <f t="shared" si="214"/>
        <v>2.6876443609787717E-2</v>
      </c>
      <c r="AL609" s="22">
        <f t="shared" si="215"/>
        <v>22902.98128236501</v>
      </c>
      <c r="AM609" s="22">
        <f t="shared" si="216"/>
        <v>0</v>
      </c>
      <c r="AN609" s="22">
        <f t="shared" si="217"/>
        <v>22902.98128236501</v>
      </c>
      <c r="AO609" s="26" t="str">
        <f t="shared" si="218"/>
        <v/>
      </c>
      <c r="AP609" s="26" t="str">
        <f t="shared" si="219"/>
        <v>pre-launch</v>
      </c>
      <c r="AQ609" s="18"/>
      <c r="AR609" s="18"/>
    </row>
    <row r="610" spans="1:44" x14ac:dyDescent="0.25">
      <c r="A610" s="43">
        <v>45671</v>
      </c>
      <c r="B610" s="17">
        <v>4164534612.21</v>
      </c>
      <c r="C610" s="17">
        <v>0</v>
      </c>
      <c r="D610" s="17">
        <v>186174573</v>
      </c>
      <c r="E610" s="19">
        <f t="shared" si="198"/>
        <v>4164534612.21</v>
      </c>
      <c r="F610" s="19">
        <f t="shared" si="199"/>
        <v>4350709185.21</v>
      </c>
      <c r="G610" s="20">
        <f t="shared" si="200"/>
        <v>0</v>
      </c>
      <c r="H610" s="17">
        <v>1243879</v>
      </c>
      <c r="I610" s="17">
        <v>24324</v>
      </c>
      <c r="J610" s="17">
        <v>38194</v>
      </c>
      <c r="K610" s="19">
        <f t="shared" si="201"/>
        <v>1268203</v>
      </c>
      <c r="L610" s="18"/>
      <c r="M610" s="18"/>
      <c r="N610" s="18"/>
      <c r="O610" s="19">
        <f t="shared" si="202"/>
        <v>1243879</v>
      </c>
      <c r="P610" s="21">
        <f t="shared" si="203"/>
        <v>2.9868379442761044</v>
      </c>
      <c r="Q610" s="17">
        <v>1206563</v>
      </c>
      <c r="R610" s="17">
        <v>23594</v>
      </c>
      <c r="S610" s="19">
        <f t="shared" si="204"/>
        <v>1230157</v>
      </c>
      <c r="T610" s="20">
        <f t="shared" si="205"/>
        <v>0.03</v>
      </c>
      <c r="U610" s="19">
        <f t="shared" si="206"/>
        <v>38046.092783505155</v>
      </c>
      <c r="V610" s="17">
        <v>38194</v>
      </c>
      <c r="W610" s="19">
        <f t="shared" si="207"/>
        <v>-147.90721649484476</v>
      </c>
      <c r="X610" s="19">
        <f t="shared" si="208"/>
        <v>38046</v>
      </c>
      <c r="Y610" s="17">
        <v>37316</v>
      </c>
      <c r="Z610" s="17">
        <v>730</v>
      </c>
      <c r="AA610" s="19">
        <f t="shared" si="209"/>
        <v>-148</v>
      </c>
      <c r="AB610" s="17">
        <v>1230157</v>
      </c>
      <c r="AC610" s="27">
        <v>22.998999999999999</v>
      </c>
      <c r="AD610" s="27">
        <v>22.350249999999999</v>
      </c>
      <c r="AE610" s="22">
        <f t="shared" si="210"/>
        <v>55039.965995906088</v>
      </c>
      <c r="AF610" s="23">
        <f t="shared" si="211"/>
        <v>0</v>
      </c>
      <c r="AG610" s="23">
        <f t="shared" si="212"/>
        <v>0</v>
      </c>
      <c r="AH610" s="17">
        <v>1273120.8468899699</v>
      </c>
      <c r="AI610" s="24">
        <f t="shared" si="213"/>
        <v>1.0349254988509351</v>
      </c>
      <c r="AJ610" s="25">
        <v>311754716.98113197</v>
      </c>
      <c r="AK610" s="24">
        <f t="shared" si="214"/>
        <v>2.6845520268419385E-2</v>
      </c>
      <c r="AL610" s="22">
        <f t="shared" si="215"/>
        <v>22929.363215047473</v>
      </c>
      <c r="AM610" s="22">
        <f t="shared" si="216"/>
        <v>55039.965995906088</v>
      </c>
      <c r="AN610" s="22">
        <f t="shared" si="217"/>
        <v>-32110.602780858615</v>
      </c>
      <c r="AO610" s="26" t="str">
        <f t="shared" si="218"/>
        <v/>
      </c>
      <c r="AP610" s="26" t="str">
        <f t="shared" si="219"/>
        <v>pre-launch</v>
      </c>
      <c r="AQ610" s="18"/>
      <c r="AR610" s="18"/>
    </row>
    <row r="611" spans="1:44" x14ac:dyDescent="0.25">
      <c r="A611" s="43">
        <v>45672</v>
      </c>
      <c r="B611" s="17">
        <v>5315407561.3500004</v>
      </c>
      <c r="C611" s="17">
        <v>0</v>
      </c>
      <c r="D611" s="17">
        <v>125668891</v>
      </c>
      <c r="E611" s="19">
        <f t="shared" si="198"/>
        <v>5315407561.3500004</v>
      </c>
      <c r="F611" s="19">
        <f t="shared" si="199"/>
        <v>5441076452.3500004</v>
      </c>
      <c r="G611" s="20">
        <f t="shared" si="200"/>
        <v>0</v>
      </c>
      <c r="H611" s="17">
        <v>1245669</v>
      </c>
      <c r="I611" s="17">
        <v>23915</v>
      </c>
      <c r="J611" s="17">
        <v>37801</v>
      </c>
      <c r="K611" s="19">
        <f t="shared" si="201"/>
        <v>1269584</v>
      </c>
      <c r="L611" s="18"/>
      <c r="M611" s="18"/>
      <c r="N611" s="18"/>
      <c r="O611" s="19">
        <f t="shared" si="202"/>
        <v>1245669</v>
      </c>
      <c r="P611" s="21">
        <f t="shared" si="203"/>
        <v>2.3435060917203248</v>
      </c>
      <c r="Q611" s="17">
        <v>1208299</v>
      </c>
      <c r="R611" s="17">
        <v>23198</v>
      </c>
      <c r="S611" s="19">
        <f t="shared" si="204"/>
        <v>1231497</v>
      </c>
      <c r="T611" s="20">
        <f t="shared" si="205"/>
        <v>0.03</v>
      </c>
      <c r="U611" s="19">
        <f t="shared" si="206"/>
        <v>38087.536082474224</v>
      </c>
      <c r="V611" s="17">
        <v>37801</v>
      </c>
      <c r="W611" s="19">
        <f t="shared" si="207"/>
        <v>286.5360824742238</v>
      </c>
      <c r="X611" s="19">
        <f t="shared" si="208"/>
        <v>38087</v>
      </c>
      <c r="Y611" s="17">
        <v>37370</v>
      </c>
      <c r="Z611" s="17">
        <v>717</v>
      </c>
      <c r="AA611" s="19">
        <f t="shared" si="209"/>
        <v>286</v>
      </c>
      <c r="AB611" s="17">
        <v>1231497</v>
      </c>
      <c r="AC611" s="27">
        <v>24.376000000000001</v>
      </c>
      <c r="AD611" s="27">
        <v>23.4695</v>
      </c>
      <c r="AE611" s="22">
        <f t="shared" si="210"/>
        <v>52472.22991542214</v>
      </c>
      <c r="AF611" s="23">
        <f t="shared" si="211"/>
        <v>0</v>
      </c>
      <c r="AG611" s="23">
        <f t="shared" si="212"/>
        <v>0</v>
      </c>
      <c r="AH611" s="17">
        <v>1260041.50917602</v>
      </c>
      <c r="AI611" s="24">
        <f t="shared" si="213"/>
        <v>1.0231787078458332</v>
      </c>
      <c r="AJ611" s="25">
        <v>312471698.113208</v>
      </c>
      <c r="AK611" s="24">
        <f t="shared" si="214"/>
        <v>2.6814703420808522E-2</v>
      </c>
      <c r="AL611" s="22">
        <f t="shared" si="215"/>
        <v>22955.714828224893</v>
      </c>
      <c r="AM611" s="22">
        <f t="shared" si="216"/>
        <v>52472.22991542214</v>
      </c>
      <c r="AN611" s="22">
        <f t="shared" si="217"/>
        <v>-29516.515087197247</v>
      </c>
      <c r="AO611" s="26" t="str">
        <f t="shared" si="218"/>
        <v/>
      </c>
      <c r="AP611" s="26" t="str">
        <f t="shared" si="219"/>
        <v>pre-launch</v>
      </c>
      <c r="AQ611" s="18"/>
      <c r="AR611" s="18"/>
    </row>
    <row r="612" spans="1:44" x14ac:dyDescent="0.25">
      <c r="A612" s="43">
        <v>45673</v>
      </c>
      <c r="B612" s="17">
        <v>5713611240.0299997</v>
      </c>
      <c r="C612" s="17">
        <v>0</v>
      </c>
      <c r="D612" s="17">
        <v>148144621</v>
      </c>
      <c r="E612" s="19">
        <f t="shared" si="198"/>
        <v>5713611240.0299997</v>
      </c>
      <c r="F612" s="19">
        <f t="shared" si="199"/>
        <v>5861755861.0299997</v>
      </c>
      <c r="G612" s="20">
        <f t="shared" si="200"/>
        <v>0</v>
      </c>
      <c r="H612" s="17">
        <v>1677266</v>
      </c>
      <c r="I612" s="17">
        <v>18602</v>
      </c>
      <c r="J612" s="17">
        <v>51162</v>
      </c>
      <c r="K612" s="19">
        <f t="shared" si="201"/>
        <v>1695868</v>
      </c>
      <c r="L612" s="18"/>
      <c r="M612" s="18"/>
      <c r="N612" s="18"/>
      <c r="O612" s="19">
        <f t="shared" si="202"/>
        <v>1677266</v>
      </c>
      <c r="P612" s="21">
        <f t="shared" si="203"/>
        <v>2.9355619931733288</v>
      </c>
      <c r="Q612" s="17">
        <v>1626948</v>
      </c>
      <c r="R612" s="17">
        <v>18044</v>
      </c>
      <c r="S612" s="19">
        <f t="shared" si="204"/>
        <v>1644992</v>
      </c>
      <c r="T612" s="20">
        <f t="shared" si="205"/>
        <v>0.03</v>
      </c>
      <c r="U612" s="19">
        <f t="shared" si="206"/>
        <v>50876.041237113401</v>
      </c>
      <c r="V612" s="17">
        <v>51162</v>
      </c>
      <c r="W612" s="19">
        <f t="shared" si="207"/>
        <v>-285.95876288659929</v>
      </c>
      <c r="X612" s="19">
        <f t="shared" si="208"/>
        <v>50876</v>
      </c>
      <c r="Y612" s="17">
        <v>50318</v>
      </c>
      <c r="Z612" s="17">
        <v>558</v>
      </c>
      <c r="AA612" s="19">
        <f t="shared" si="209"/>
        <v>-286</v>
      </c>
      <c r="AB612" s="17">
        <v>1644992</v>
      </c>
      <c r="AC612" s="27">
        <v>23.469000000000001</v>
      </c>
      <c r="AD612" s="27">
        <v>23.84675</v>
      </c>
      <c r="AE612" s="22">
        <f t="shared" si="210"/>
        <v>68981.810938597497</v>
      </c>
      <c r="AF612" s="23">
        <f t="shared" si="211"/>
        <v>0</v>
      </c>
      <c r="AG612" s="23">
        <f t="shared" si="212"/>
        <v>0</v>
      </c>
      <c r="AH612" s="17">
        <v>1705410.0495849899</v>
      </c>
      <c r="AI612" s="24">
        <f t="shared" si="213"/>
        <v>1.0367284762387841</v>
      </c>
      <c r="AJ612" s="25">
        <v>313188679.24528301</v>
      </c>
      <c r="AK612" s="24">
        <f t="shared" si="214"/>
        <v>2.6783992457116775E-2</v>
      </c>
      <c r="AL612" s="22">
        <f t="shared" si="215"/>
        <v>22982.036226191849</v>
      </c>
      <c r="AM612" s="22">
        <f t="shared" si="216"/>
        <v>68981.810938597497</v>
      </c>
      <c r="AN612" s="22">
        <f t="shared" si="217"/>
        <v>-45999.774712405648</v>
      </c>
      <c r="AO612" s="26" t="str">
        <f t="shared" si="218"/>
        <v/>
      </c>
      <c r="AP612" s="26" t="str">
        <f t="shared" si="219"/>
        <v>pre-launch</v>
      </c>
      <c r="AQ612" s="18"/>
      <c r="AR612" s="18"/>
    </row>
    <row r="613" spans="1:44" x14ac:dyDescent="0.25">
      <c r="A613" s="43">
        <v>45674</v>
      </c>
      <c r="B613" s="17">
        <v>5461277249.1700001</v>
      </c>
      <c r="C613" s="17">
        <v>0</v>
      </c>
      <c r="D613" s="17">
        <v>342126938</v>
      </c>
      <c r="E613" s="19">
        <f t="shared" si="198"/>
        <v>5461277249.1700001</v>
      </c>
      <c r="F613" s="19">
        <f t="shared" si="199"/>
        <v>5803404187.1700001</v>
      </c>
      <c r="G613" s="20">
        <f t="shared" si="200"/>
        <v>0</v>
      </c>
      <c r="H613" s="17">
        <v>1677802</v>
      </c>
      <c r="I613" s="17">
        <v>20485</v>
      </c>
      <c r="J613" s="17">
        <v>50949</v>
      </c>
      <c r="K613" s="19">
        <f t="shared" si="201"/>
        <v>1698287</v>
      </c>
      <c r="L613" s="18"/>
      <c r="M613" s="18"/>
      <c r="N613" s="18"/>
      <c r="O613" s="19">
        <f t="shared" si="202"/>
        <v>1677802</v>
      </c>
      <c r="P613" s="21">
        <f t="shared" si="203"/>
        <v>3.0721787659745545</v>
      </c>
      <c r="Q613" s="17">
        <v>1627468</v>
      </c>
      <c r="R613" s="17">
        <v>19870</v>
      </c>
      <c r="S613" s="19">
        <f t="shared" si="204"/>
        <v>1647338</v>
      </c>
      <c r="T613" s="20">
        <f t="shared" si="205"/>
        <v>0.03</v>
      </c>
      <c r="U613" s="19">
        <f t="shared" si="206"/>
        <v>50948.597938144332</v>
      </c>
      <c r="V613" s="17">
        <v>50949</v>
      </c>
      <c r="W613" s="19">
        <f t="shared" si="207"/>
        <v>-0.4020618556678528</v>
      </c>
      <c r="X613" s="19">
        <f t="shared" si="208"/>
        <v>50949</v>
      </c>
      <c r="Y613" s="17">
        <v>50334</v>
      </c>
      <c r="Z613" s="17">
        <v>615</v>
      </c>
      <c r="AA613" s="19">
        <f t="shared" si="209"/>
        <v>0</v>
      </c>
      <c r="AB613" s="17">
        <v>1647338</v>
      </c>
      <c r="AC613" s="27">
        <v>23.09</v>
      </c>
      <c r="AD613" s="27">
        <v>23.368749999999999</v>
      </c>
      <c r="AE613" s="22">
        <f t="shared" si="210"/>
        <v>70493.201390746195</v>
      </c>
      <c r="AF613" s="23">
        <f t="shared" si="211"/>
        <v>0</v>
      </c>
      <c r="AG613" s="23">
        <f t="shared" si="212"/>
        <v>0</v>
      </c>
      <c r="AH613" s="17">
        <v>1698286.6694100201</v>
      </c>
      <c r="AI613" s="24">
        <f t="shared" si="213"/>
        <v>1.0309278784378313</v>
      </c>
      <c r="AJ613" s="25">
        <v>313905660.37735897</v>
      </c>
      <c r="AK613" s="24">
        <f t="shared" si="214"/>
        <v>2.6753386772383606E-2</v>
      </c>
      <c r="AL613" s="22">
        <f t="shared" si="215"/>
        <v>23008.327512646509</v>
      </c>
      <c r="AM613" s="22">
        <f t="shared" si="216"/>
        <v>70493.201390746195</v>
      </c>
      <c r="AN613" s="22">
        <f t="shared" si="217"/>
        <v>-47484.873878099686</v>
      </c>
      <c r="AO613" s="26" t="str">
        <f t="shared" si="218"/>
        <v/>
      </c>
      <c r="AP613" s="26" t="str">
        <f t="shared" si="219"/>
        <v>pre-launch</v>
      </c>
      <c r="AQ613" s="18"/>
      <c r="AR613" s="18"/>
    </row>
    <row r="614" spans="1:44" x14ac:dyDescent="0.25">
      <c r="A614" s="43">
        <v>45675</v>
      </c>
      <c r="B614" s="17">
        <v>9678960134.8099995</v>
      </c>
      <c r="C614" s="17">
        <v>0</v>
      </c>
      <c r="D614" s="17">
        <v>452915269</v>
      </c>
      <c r="E614" s="19">
        <f t="shared" si="198"/>
        <v>9678960134.8099995</v>
      </c>
      <c r="F614" s="19">
        <f t="shared" si="199"/>
        <v>10131875403.809999</v>
      </c>
      <c r="G614" s="20">
        <f t="shared" si="200"/>
        <v>0</v>
      </c>
      <c r="H614" s="17">
        <v>2787442</v>
      </c>
      <c r="I614" s="17">
        <v>52413</v>
      </c>
      <c r="J614" s="17">
        <v>84875</v>
      </c>
      <c r="K614" s="19">
        <f t="shared" si="201"/>
        <v>2839855</v>
      </c>
      <c r="L614" s="18"/>
      <c r="M614" s="18"/>
      <c r="N614" s="18"/>
      <c r="O614" s="19">
        <f t="shared" si="202"/>
        <v>2787442</v>
      </c>
      <c r="P614" s="21">
        <f t="shared" si="203"/>
        <v>2.8798982134197191</v>
      </c>
      <c r="Q614" s="17">
        <v>2703819</v>
      </c>
      <c r="R614" s="17">
        <v>50841</v>
      </c>
      <c r="S614" s="19">
        <f t="shared" si="204"/>
        <v>2754660</v>
      </c>
      <c r="T614" s="20">
        <f t="shared" si="205"/>
        <v>0.03</v>
      </c>
      <c r="U614" s="19">
        <f t="shared" si="206"/>
        <v>85195.670103092794</v>
      </c>
      <c r="V614" s="17">
        <v>84875</v>
      </c>
      <c r="W614" s="19">
        <f t="shared" si="207"/>
        <v>320.67010309279431</v>
      </c>
      <c r="X614" s="19">
        <f t="shared" si="208"/>
        <v>85195</v>
      </c>
      <c r="Y614" s="17">
        <v>83623</v>
      </c>
      <c r="Z614" s="17">
        <v>1572</v>
      </c>
      <c r="AA614" s="19">
        <f t="shared" si="209"/>
        <v>320</v>
      </c>
      <c r="AB614" s="17">
        <v>2754660</v>
      </c>
      <c r="AC614" s="27">
        <v>21.937000000000001</v>
      </c>
      <c r="AD614" s="27">
        <v>21.7835</v>
      </c>
      <c r="AE614" s="22">
        <f t="shared" si="210"/>
        <v>126456.26276769114</v>
      </c>
      <c r="AF614" s="23">
        <f t="shared" si="211"/>
        <v>0</v>
      </c>
      <c r="AG614" s="23">
        <f t="shared" si="212"/>
        <v>0</v>
      </c>
      <c r="AH614" s="17">
        <v>2829175.92003799</v>
      </c>
      <c r="AI614" s="24">
        <f t="shared" si="213"/>
        <v>1.0270508592849898</v>
      </c>
      <c r="AJ614" s="25">
        <v>314622641.50943398</v>
      </c>
      <c r="AK614" s="24">
        <f t="shared" si="214"/>
        <v>2.6722885766476568E-2</v>
      </c>
      <c r="AL614" s="22">
        <f t="shared" si="215"/>
        <v>23034.588790695103</v>
      </c>
      <c r="AM614" s="22">
        <f t="shared" si="216"/>
        <v>126456.26276769114</v>
      </c>
      <c r="AN614" s="22">
        <f t="shared" si="217"/>
        <v>-103421.67397699604</v>
      </c>
      <c r="AO614" s="26" t="str">
        <f t="shared" si="218"/>
        <v/>
      </c>
      <c r="AP614" s="26" t="str">
        <f t="shared" si="219"/>
        <v>pre-launch</v>
      </c>
      <c r="AQ614" s="18"/>
      <c r="AR614" s="18"/>
    </row>
    <row r="615" spans="1:44" x14ac:dyDescent="0.25">
      <c r="A615" s="43">
        <v>45676</v>
      </c>
      <c r="B615" s="17">
        <v>17750219553.23</v>
      </c>
      <c r="C615" s="17">
        <v>0</v>
      </c>
      <c r="D615" s="17">
        <v>234451715</v>
      </c>
      <c r="E615" s="19">
        <f t="shared" si="198"/>
        <v>17750219553.23</v>
      </c>
      <c r="F615" s="19">
        <f t="shared" si="199"/>
        <v>17984671268.23</v>
      </c>
      <c r="G615" s="20">
        <f t="shared" si="200"/>
        <v>0</v>
      </c>
      <c r="H615" s="17">
        <v>4250373</v>
      </c>
      <c r="I615" s="17">
        <v>61521</v>
      </c>
      <c r="J615" s="17">
        <v>128368</v>
      </c>
      <c r="K615" s="19">
        <f t="shared" si="201"/>
        <v>4311894</v>
      </c>
      <c r="L615" s="18"/>
      <c r="M615" s="18"/>
      <c r="N615" s="18"/>
      <c r="O615" s="19">
        <f t="shared" si="202"/>
        <v>4250373</v>
      </c>
      <c r="P615" s="21">
        <f t="shared" si="203"/>
        <v>2.3945467194103305</v>
      </c>
      <c r="Q615" s="17">
        <v>4122862</v>
      </c>
      <c r="R615" s="17">
        <v>59675</v>
      </c>
      <c r="S615" s="19">
        <f t="shared" si="204"/>
        <v>4182537</v>
      </c>
      <c r="T615" s="20">
        <f t="shared" si="205"/>
        <v>0.03</v>
      </c>
      <c r="U615" s="19">
        <f t="shared" si="206"/>
        <v>129356.81443298969</v>
      </c>
      <c r="V615" s="17">
        <v>128368</v>
      </c>
      <c r="W615" s="19">
        <f t="shared" si="207"/>
        <v>988.81443298968952</v>
      </c>
      <c r="X615" s="19">
        <f t="shared" si="208"/>
        <v>129357</v>
      </c>
      <c r="Y615" s="17">
        <v>127511</v>
      </c>
      <c r="Z615" s="17">
        <v>1846</v>
      </c>
      <c r="AA615" s="19">
        <f t="shared" si="209"/>
        <v>989</v>
      </c>
      <c r="AB615" s="17">
        <v>4182537</v>
      </c>
      <c r="AC615" s="27">
        <v>20.198</v>
      </c>
      <c r="AD615" s="27">
        <v>21.258749999999999</v>
      </c>
      <c r="AE615" s="22">
        <f t="shared" si="210"/>
        <v>196744.25824660435</v>
      </c>
      <c r="AF615" s="23">
        <f t="shared" si="211"/>
        <v>0</v>
      </c>
      <c r="AG615" s="23">
        <f t="shared" si="212"/>
        <v>0</v>
      </c>
      <c r="AH615" s="17">
        <v>4278948.0306130098</v>
      </c>
      <c r="AI615" s="24">
        <f t="shared" si="213"/>
        <v>1.0230508494277539</v>
      </c>
      <c r="AJ615" s="25">
        <v>315339622.641509</v>
      </c>
      <c r="AK615" s="24">
        <f t="shared" si="214"/>
        <v>2.6692488844041594E-2</v>
      </c>
      <c r="AL615" s="22">
        <f t="shared" si="215"/>
        <v>23060.82016285689</v>
      </c>
      <c r="AM615" s="22">
        <f t="shared" si="216"/>
        <v>196744.25824660435</v>
      </c>
      <c r="AN615" s="22">
        <f t="shared" si="217"/>
        <v>-173683.43808374746</v>
      </c>
      <c r="AO615" s="26" t="str">
        <f t="shared" si="218"/>
        <v/>
      </c>
      <c r="AP615" s="26" t="str">
        <f t="shared" si="219"/>
        <v>pre-launch</v>
      </c>
      <c r="AQ615" s="18"/>
      <c r="AR615" s="18"/>
    </row>
    <row r="616" spans="1:44" x14ac:dyDescent="0.25">
      <c r="A616" s="43">
        <v>45677</v>
      </c>
      <c r="B616" s="17">
        <v>16339004971.719999</v>
      </c>
      <c r="C616" s="17">
        <v>0</v>
      </c>
      <c r="D616" s="17">
        <v>255573062</v>
      </c>
      <c r="E616" s="19">
        <f t="shared" si="198"/>
        <v>16339004971.719999</v>
      </c>
      <c r="F616" s="19">
        <f t="shared" si="199"/>
        <v>16594578033.719999</v>
      </c>
      <c r="G616" s="20">
        <f t="shared" si="200"/>
        <v>0</v>
      </c>
      <c r="H616" s="17">
        <v>4044525</v>
      </c>
      <c r="I616" s="17">
        <v>34279</v>
      </c>
      <c r="J616" s="17">
        <v>122933</v>
      </c>
      <c r="K616" s="19">
        <f t="shared" si="201"/>
        <v>4078804</v>
      </c>
      <c r="L616" s="18"/>
      <c r="M616" s="18"/>
      <c r="N616" s="18"/>
      <c r="O616" s="19">
        <f t="shared" si="202"/>
        <v>4044525</v>
      </c>
      <c r="P616" s="21">
        <f t="shared" si="203"/>
        <v>2.4753802370464881</v>
      </c>
      <c r="Q616" s="17">
        <v>3923189</v>
      </c>
      <c r="R616" s="17">
        <v>33251</v>
      </c>
      <c r="S616" s="19">
        <f t="shared" si="204"/>
        <v>3956440</v>
      </c>
      <c r="T616" s="20">
        <f t="shared" si="205"/>
        <v>0.03</v>
      </c>
      <c r="U616" s="19">
        <f t="shared" si="206"/>
        <v>122364.1237113402</v>
      </c>
      <c r="V616" s="17">
        <v>122933</v>
      </c>
      <c r="W616" s="19">
        <f t="shared" si="207"/>
        <v>-568.87628865979786</v>
      </c>
      <c r="X616" s="19">
        <f t="shared" si="208"/>
        <v>122364</v>
      </c>
      <c r="Y616" s="17">
        <v>121336</v>
      </c>
      <c r="Z616" s="17">
        <v>1028</v>
      </c>
      <c r="AA616" s="19">
        <f t="shared" si="209"/>
        <v>-569</v>
      </c>
      <c r="AB616" s="17">
        <v>3956440</v>
      </c>
      <c r="AC616" s="27">
        <v>20.547000000000001</v>
      </c>
      <c r="AD616" s="27">
        <v>20.6965</v>
      </c>
      <c r="AE616" s="22">
        <f t="shared" si="210"/>
        <v>191164.68968183026</v>
      </c>
      <c r="AF616" s="23">
        <f t="shared" si="211"/>
        <v>0</v>
      </c>
      <c r="AG616" s="23">
        <f t="shared" si="212"/>
        <v>0</v>
      </c>
      <c r="AH616" s="17">
        <v>4097777.0376169998</v>
      </c>
      <c r="AI616" s="24">
        <f t="shared" si="213"/>
        <v>1.0357232859886665</v>
      </c>
      <c r="AJ616" s="25">
        <v>316056603.77358502</v>
      </c>
      <c r="AK616" s="24">
        <f t="shared" si="214"/>
        <v>2.66621954144543E-2</v>
      </c>
      <c r="AL616" s="22">
        <f t="shared" si="215"/>
        <v>23087.021731068708</v>
      </c>
      <c r="AM616" s="22">
        <f t="shared" si="216"/>
        <v>191164.68968183026</v>
      </c>
      <c r="AN616" s="22">
        <f t="shared" si="217"/>
        <v>-168077.66795076156</v>
      </c>
      <c r="AO616" s="26" t="str">
        <f t="shared" si="218"/>
        <v/>
      </c>
      <c r="AP616" s="26" t="str">
        <f t="shared" si="219"/>
        <v>pre-launch</v>
      </c>
      <c r="AQ616" s="18"/>
      <c r="AR616" s="18"/>
    </row>
    <row r="617" spans="1:44" x14ac:dyDescent="0.25">
      <c r="A617" s="43">
        <v>45678</v>
      </c>
      <c r="B617" s="17">
        <v>8341944948.3100004</v>
      </c>
      <c r="C617" s="17">
        <v>0</v>
      </c>
      <c r="D617" s="17">
        <v>217426990</v>
      </c>
      <c r="E617" s="19">
        <f t="shared" si="198"/>
        <v>8341944948.3100004</v>
      </c>
      <c r="F617" s="19">
        <f t="shared" si="199"/>
        <v>8559371938.3100004</v>
      </c>
      <c r="G617" s="20">
        <f t="shared" si="200"/>
        <v>0</v>
      </c>
      <c r="H617" s="17">
        <v>2031876</v>
      </c>
      <c r="I617" s="17">
        <v>34069</v>
      </c>
      <c r="J617" s="17">
        <v>62718</v>
      </c>
      <c r="K617" s="19">
        <f t="shared" si="201"/>
        <v>2065945</v>
      </c>
      <c r="L617" s="18"/>
      <c r="M617" s="18"/>
      <c r="N617" s="18"/>
      <c r="O617" s="19">
        <f t="shared" si="202"/>
        <v>2031876</v>
      </c>
      <c r="P617" s="21">
        <f t="shared" si="203"/>
        <v>2.4357341274610533</v>
      </c>
      <c r="Q617" s="17">
        <v>1970920</v>
      </c>
      <c r="R617" s="17">
        <v>33047</v>
      </c>
      <c r="S617" s="19">
        <f t="shared" si="204"/>
        <v>2003967</v>
      </c>
      <c r="T617" s="20">
        <f t="shared" si="205"/>
        <v>0.03</v>
      </c>
      <c r="U617" s="19">
        <f t="shared" si="206"/>
        <v>61978.360824742267</v>
      </c>
      <c r="V617" s="17">
        <v>62718</v>
      </c>
      <c r="W617" s="19">
        <f t="shared" si="207"/>
        <v>-739.63917525773286</v>
      </c>
      <c r="X617" s="19">
        <f t="shared" si="208"/>
        <v>61978</v>
      </c>
      <c r="Y617" s="17">
        <v>60956</v>
      </c>
      <c r="Z617" s="17">
        <v>1022</v>
      </c>
      <c r="AA617" s="19">
        <f t="shared" si="209"/>
        <v>-740</v>
      </c>
      <c r="AB617" s="17">
        <v>2003967</v>
      </c>
      <c r="AC617" s="27">
        <v>23.183</v>
      </c>
      <c r="AD617" s="27">
        <v>22.1905</v>
      </c>
      <c r="AE617" s="22">
        <f t="shared" si="210"/>
        <v>90307.428854690064</v>
      </c>
      <c r="AF617" s="23">
        <f t="shared" si="211"/>
        <v>0</v>
      </c>
      <c r="AG617" s="23">
        <f t="shared" si="212"/>
        <v>0</v>
      </c>
      <c r="AH617" s="17">
        <v>2090596.8647749999</v>
      </c>
      <c r="AI617" s="24">
        <f t="shared" si="213"/>
        <v>1.0432291872945012</v>
      </c>
      <c r="AJ617" s="25">
        <v>316773584.90565997</v>
      </c>
      <c r="AK617" s="24">
        <f t="shared" si="214"/>
        <v>2.6632004891771938E-2</v>
      </c>
      <c r="AL617" s="22">
        <f t="shared" si="215"/>
        <v>23113.193596689503</v>
      </c>
      <c r="AM617" s="22">
        <f t="shared" si="216"/>
        <v>90307.428854690064</v>
      </c>
      <c r="AN617" s="22">
        <f t="shared" si="217"/>
        <v>-67194.235258000554</v>
      </c>
      <c r="AO617" s="26" t="str">
        <f t="shared" si="218"/>
        <v/>
      </c>
      <c r="AP617" s="26" t="str">
        <f t="shared" si="219"/>
        <v>pre-launch</v>
      </c>
      <c r="AQ617" s="18"/>
      <c r="AR617" s="18"/>
    </row>
    <row r="618" spans="1:44" x14ac:dyDescent="0.25">
      <c r="A618" s="43">
        <v>45679</v>
      </c>
      <c r="B618" s="17">
        <v>5281551150.5600004</v>
      </c>
      <c r="C618" s="17">
        <v>0</v>
      </c>
      <c r="D618" s="17">
        <v>268190024</v>
      </c>
      <c r="E618" s="19">
        <f t="shared" si="198"/>
        <v>5281551150.5600004</v>
      </c>
      <c r="F618" s="19">
        <f t="shared" si="199"/>
        <v>5549741174.5600004</v>
      </c>
      <c r="G618" s="20">
        <f t="shared" si="200"/>
        <v>0</v>
      </c>
      <c r="H618" s="17">
        <v>1405006</v>
      </c>
      <c r="I618" s="17">
        <v>30418</v>
      </c>
      <c r="J618" s="17">
        <v>43063</v>
      </c>
      <c r="K618" s="19">
        <f t="shared" si="201"/>
        <v>1435424</v>
      </c>
      <c r="L618" s="18"/>
      <c r="M618" s="18"/>
      <c r="N618" s="18"/>
      <c r="O618" s="19">
        <f t="shared" si="202"/>
        <v>1405006</v>
      </c>
      <c r="P618" s="21">
        <f t="shared" si="203"/>
        <v>2.660214698197191</v>
      </c>
      <c r="Q618" s="17">
        <v>1362855</v>
      </c>
      <c r="R618" s="17">
        <v>29505</v>
      </c>
      <c r="S618" s="19">
        <f t="shared" si="204"/>
        <v>1392360</v>
      </c>
      <c r="T618" s="20">
        <f t="shared" si="205"/>
        <v>0.03</v>
      </c>
      <c r="U618" s="19">
        <f t="shared" si="206"/>
        <v>43062.680412371134</v>
      </c>
      <c r="V618" s="17">
        <v>43063</v>
      </c>
      <c r="W618" s="19">
        <f t="shared" si="207"/>
        <v>-0.31958762886642944</v>
      </c>
      <c r="X618" s="19">
        <f t="shared" si="208"/>
        <v>43063</v>
      </c>
      <c r="Y618" s="17">
        <v>42150</v>
      </c>
      <c r="Z618" s="17">
        <v>913</v>
      </c>
      <c r="AA618" s="19">
        <f t="shared" si="209"/>
        <v>0</v>
      </c>
      <c r="AB618" s="17">
        <v>1392360</v>
      </c>
      <c r="AC618" s="27">
        <v>24.3</v>
      </c>
      <c r="AD618" s="27">
        <v>24.387250000000002</v>
      </c>
      <c r="AE618" s="22">
        <f t="shared" si="210"/>
        <v>57093.768260053919</v>
      </c>
      <c r="AF618" s="23">
        <f t="shared" si="211"/>
        <v>1</v>
      </c>
      <c r="AG618" s="23">
        <f t="shared" si="212"/>
        <v>0</v>
      </c>
      <c r="AH618" s="17">
        <v>1435423.40743601</v>
      </c>
      <c r="AI618" s="24">
        <f t="shared" si="213"/>
        <v>1.0309283572036039</v>
      </c>
      <c r="AJ618" s="25">
        <v>317490566.037736</v>
      </c>
      <c r="AK618" s="24">
        <f t="shared" si="214"/>
        <v>2.6601916694685472E-2</v>
      </c>
      <c r="AL618" s="22">
        <f t="shared" si="215"/>
        <v>23139.33586050518</v>
      </c>
      <c r="AM618" s="22">
        <f t="shared" si="216"/>
        <v>57093.768260053919</v>
      </c>
      <c r="AN618" s="22">
        <f t="shared" si="217"/>
        <v>-33954.432399548736</v>
      </c>
      <c r="AO618" s="26" t="str">
        <f t="shared" si="218"/>
        <v/>
      </c>
      <c r="AP618" s="26" t="str">
        <f t="shared" si="219"/>
        <v>pre-launch</v>
      </c>
      <c r="AQ618" s="18"/>
      <c r="AR618" s="18"/>
    </row>
    <row r="619" spans="1:44" x14ac:dyDescent="0.25">
      <c r="A619" s="43">
        <v>45680</v>
      </c>
      <c r="B619" s="17">
        <v>11321580803.34</v>
      </c>
      <c r="C619" s="17">
        <v>0</v>
      </c>
      <c r="D619" s="17">
        <v>178140305</v>
      </c>
      <c r="E619" s="19">
        <f t="shared" si="198"/>
        <v>11321580803.34</v>
      </c>
      <c r="F619" s="19">
        <f t="shared" si="199"/>
        <v>11499721108.34</v>
      </c>
      <c r="G619" s="20">
        <f t="shared" si="200"/>
        <v>0</v>
      </c>
      <c r="H619" s="17">
        <v>2783278</v>
      </c>
      <c r="I619" s="17">
        <v>38159</v>
      </c>
      <c r="J619" s="17">
        <v>84643</v>
      </c>
      <c r="K619" s="19">
        <f t="shared" si="201"/>
        <v>2821437</v>
      </c>
      <c r="L619" s="18"/>
      <c r="M619" s="18"/>
      <c r="N619" s="18"/>
      <c r="O619" s="19">
        <f t="shared" si="202"/>
        <v>2783278</v>
      </c>
      <c r="P619" s="21">
        <f t="shared" si="203"/>
        <v>2.4583828427730694</v>
      </c>
      <c r="Q619" s="17">
        <v>2699780</v>
      </c>
      <c r="R619" s="17">
        <v>37014</v>
      </c>
      <c r="S619" s="19">
        <f t="shared" si="204"/>
        <v>2736794</v>
      </c>
      <c r="T619" s="20">
        <f t="shared" si="205"/>
        <v>0.03</v>
      </c>
      <c r="U619" s="19">
        <f t="shared" si="206"/>
        <v>84643.113402061848</v>
      </c>
      <c r="V619" s="17">
        <v>84643</v>
      </c>
      <c r="W619" s="19">
        <f t="shared" si="207"/>
        <v>0.11340206184831914</v>
      </c>
      <c r="X619" s="19">
        <f t="shared" si="208"/>
        <v>84643</v>
      </c>
      <c r="Y619" s="17">
        <v>83498</v>
      </c>
      <c r="Z619" s="17">
        <v>1145</v>
      </c>
      <c r="AA619" s="19">
        <f t="shared" si="209"/>
        <v>0</v>
      </c>
      <c r="AB619" s="17">
        <v>2736794</v>
      </c>
      <c r="AC619" s="27">
        <v>21.975000000000001</v>
      </c>
      <c r="AD619" s="27">
        <v>23.1755</v>
      </c>
      <c r="AE619" s="22">
        <f t="shared" si="210"/>
        <v>118089.96569653298</v>
      </c>
      <c r="AF619" s="23">
        <f t="shared" si="211"/>
        <v>0</v>
      </c>
      <c r="AG619" s="23">
        <f t="shared" si="212"/>
        <v>0</v>
      </c>
      <c r="AH619" s="17">
        <v>2821436.6453399998</v>
      </c>
      <c r="AI619" s="24">
        <f t="shared" si="213"/>
        <v>1.0309276640258638</v>
      </c>
      <c r="AJ619" s="25">
        <v>318207547.16981101</v>
      </c>
      <c r="AK619" s="24">
        <f t="shared" si="214"/>
        <v>2.6571930246472912E-2</v>
      </c>
      <c r="AL619" s="22">
        <f t="shared" si="215"/>
        <v>23165.448622732758</v>
      </c>
      <c r="AM619" s="22">
        <f t="shared" si="216"/>
        <v>118089.96569653298</v>
      </c>
      <c r="AN619" s="22">
        <f t="shared" si="217"/>
        <v>-94924.51707380022</v>
      </c>
      <c r="AO619" s="26" t="str">
        <f t="shared" si="218"/>
        <v/>
      </c>
      <c r="AP619" s="26" t="str">
        <f t="shared" si="219"/>
        <v>pre-launch</v>
      </c>
      <c r="AQ619" s="18"/>
      <c r="AR619" s="18"/>
    </row>
    <row r="620" spans="1:44" x14ac:dyDescent="0.25">
      <c r="A620" s="43">
        <v>45681</v>
      </c>
      <c r="B620" s="17">
        <v>5784731819.2600002</v>
      </c>
      <c r="C620" s="17">
        <v>0</v>
      </c>
      <c r="D620" s="17">
        <v>93192677</v>
      </c>
      <c r="E620" s="19">
        <f t="shared" si="198"/>
        <v>5784731819.2600002</v>
      </c>
      <c r="F620" s="19">
        <f t="shared" si="199"/>
        <v>5877924496.2600002</v>
      </c>
      <c r="G620" s="20">
        <f t="shared" si="200"/>
        <v>0</v>
      </c>
      <c r="H620" s="17">
        <v>1284164</v>
      </c>
      <c r="I620" s="17">
        <v>23999</v>
      </c>
      <c r="J620" s="17">
        <v>38987</v>
      </c>
      <c r="K620" s="19">
        <f t="shared" si="201"/>
        <v>1308163</v>
      </c>
      <c r="L620" s="18"/>
      <c r="M620" s="18"/>
      <c r="N620" s="18"/>
      <c r="O620" s="19">
        <f t="shared" si="202"/>
        <v>1284164</v>
      </c>
      <c r="P620" s="21">
        <f t="shared" si="203"/>
        <v>2.2199196784273294</v>
      </c>
      <c r="Q620" s="17">
        <v>1245639</v>
      </c>
      <c r="R620" s="17">
        <v>23279</v>
      </c>
      <c r="S620" s="19">
        <f t="shared" si="204"/>
        <v>1268918</v>
      </c>
      <c r="T620" s="20">
        <f t="shared" si="205"/>
        <v>0.03</v>
      </c>
      <c r="U620" s="19">
        <f t="shared" si="206"/>
        <v>39244.886597938144</v>
      </c>
      <c r="V620" s="17">
        <v>38987</v>
      </c>
      <c r="W620" s="19">
        <f t="shared" si="207"/>
        <v>257.8865979381444</v>
      </c>
      <c r="X620" s="19">
        <f t="shared" si="208"/>
        <v>39245</v>
      </c>
      <c r="Y620" s="17">
        <v>38525</v>
      </c>
      <c r="Z620" s="17">
        <v>720</v>
      </c>
      <c r="AA620" s="19">
        <f t="shared" si="209"/>
        <v>258</v>
      </c>
      <c r="AB620" s="17">
        <v>1268918</v>
      </c>
      <c r="AC620" s="27">
        <v>23.059000000000001</v>
      </c>
      <c r="AD620" s="27">
        <v>22.792000000000002</v>
      </c>
      <c r="AE620" s="22">
        <f t="shared" si="210"/>
        <v>55673.832923832917</v>
      </c>
      <c r="AF620" s="23">
        <f t="shared" si="211"/>
        <v>0</v>
      </c>
      <c r="AG620" s="23">
        <f t="shared" si="212"/>
        <v>0</v>
      </c>
      <c r="AH620" s="17">
        <v>1299579.91145301</v>
      </c>
      <c r="AI620" s="24">
        <f t="shared" si="213"/>
        <v>1.0241638241817124</v>
      </c>
      <c r="AJ620" s="25">
        <v>318924528.30188698</v>
      </c>
      <c r="AK620" s="24">
        <f t="shared" si="214"/>
        <v>2.6542044974952557E-2</v>
      </c>
      <c r="AL620" s="22">
        <f t="shared" si="215"/>
        <v>23191.531983025245</v>
      </c>
      <c r="AM620" s="22">
        <f t="shared" si="216"/>
        <v>55673.832923832917</v>
      </c>
      <c r="AN620" s="22">
        <f t="shared" si="217"/>
        <v>-32482.300940807672</v>
      </c>
      <c r="AO620" s="26" t="str">
        <f t="shared" si="218"/>
        <v/>
      </c>
      <c r="AP620" s="26" t="str">
        <f t="shared" si="219"/>
        <v>pre-launch</v>
      </c>
      <c r="AQ620" s="18"/>
      <c r="AR620" s="18"/>
    </row>
    <row r="621" spans="1:44" x14ac:dyDescent="0.25">
      <c r="A621" s="43">
        <v>45682</v>
      </c>
      <c r="B621" s="17">
        <v>3516728432.2800002</v>
      </c>
      <c r="C621" s="17">
        <v>0</v>
      </c>
      <c r="D621" s="17">
        <v>138875526</v>
      </c>
      <c r="E621" s="19">
        <f t="shared" si="198"/>
        <v>3516728432.2800002</v>
      </c>
      <c r="F621" s="19">
        <f t="shared" si="199"/>
        <v>3655603958.2800002</v>
      </c>
      <c r="G621" s="20">
        <f t="shared" si="200"/>
        <v>0</v>
      </c>
      <c r="H621" s="17">
        <v>1061042</v>
      </c>
      <c r="I621" s="17">
        <v>14317</v>
      </c>
      <c r="J621" s="17">
        <v>32324</v>
      </c>
      <c r="K621" s="19">
        <f t="shared" si="201"/>
        <v>1075359</v>
      </c>
      <c r="L621" s="18"/>
      <c r="M621" s="18"/>
      <c r="N621" s="18"/>
      <c r="O621" s="19">
        <f t="shared" si="202"/>
        <v>1061042</v>
      </c>
      <c r="P621" s="21">
        <f t="shared" si="203"/>
        <v>3.0171280507778495</v>
      </c>
      <c r="Q621" s="17">
        <v>1029211</v>
      </c>
      <c r="R621" s="17">
        <v>13888</v>
      </c>
      <c r="S621" s="19">
        <f t="shared" si="204"/>
        <v>1043099</v>
      </c>
      <c r="T621" s="20">
        <f t="shared" si="205"/>
        <v>0.03</v>
      </c>
      <c r="U621" s="19">
        <f t="shared" si="206"/>
        <v>32260.793814432989</v>
      </c>
      <c r="V621" s="17">
        <v>32324</v>
      </c>
      <c r="W621" s="19">
        <f t="shared" si="207"/>
        <v>-63.206185567010834</v>
      </c>
      <c r="X621" s="19">
        <f t="shared" si="208"/>
        <v>32261</v>
      </c>
      <c r="Y621" s="17">
        <v>31831</v>
      </c>
      <c r="Z621" s="17">
        <v>430</v>
      </c>
      <c r="AA621" s="19">
        <f t="shared" si="209"/>
        <v>-63</v>
      </c>
      <c r="AB621" s="17">
        <v>1043099</v>
      </c>
      <c r="AC621" s="27">
        <v>23.152000000000001</v>
      </c>
      <c r="AD621" s="27">
        <v>22.959250000000001</v>
      </c>
      <c r="AE621" s="22">
        <f t="shared" si="210"/>
        <v>45432.625194638327</v>
      </c>
      <c r="AF621" s="23">
        <f t="shared" si="211"/>
        <v>-1</v>
      </c>
      <c r="AG621" s="23">
        <f t="shared" si="212"/>
        <v>0</v>
      </c>
      <c r="AH621" s="17">
        <v>1077471.9243139899</v>
      </c>
      <c r="AI621" s="24">
        <f t="shared" si="213"/>
        <v>1.0329526960662314</v>
      </c>
      <c r="AJ621" s="25">
        <v>319641509.43396199</v>
      </c>
      <c r="AK621" s="24">
        <f t="shared" si="214"/>
        <v>2.6512260312437474E-2</v>
      </c>
      <c r="AL621" s="22">
        <f t="shared" si="215"/>
        <v>23217.586040475726</v>
      </c>
      <c r="AM621" s="22">
        <f t="shared" si="216"/>
        <v>45432.625194638327</v>
      </c>
      <c r="AN621" s="22">
        <f t="shared" si="217"/>
        <v>-22215.039154162601</v>
      </c>
      <c r="AO621" s="26" t="str">
        <f t="shared" si="218"/>
        <v/>
      </c>
      <c r="AP621" s="26" t="str">
        <f t="shared" si="219"/>
        <v>pre-launch</v>
      </c>
      <c r="AQ621" s="18"/>
      <c r="AR621" s="18"/>
    </row>
    <row r="622" spans="1:44" x14ac:dyDescent="0.25">
      <c r="A622" s="43">
        <v>45683</v>
      </c>
      <c r="B622" s="17">
        <v>3597386932.8600001</v>
      </c>
      <c r="C622" s="17">
        <v>0</v>
      </c>
      <c r="D622" s="17">
        <v>229716868</v>
      </c>
      <c r="E622" s="19">
        <f t="shared" si="198"/>
        <v>3597386932.8600001</v>
      </c>
      <c r="F622" s="19">
        <f t="shared" si="199"/>
        <v>3827103800.8600001</v>
      </c>
      <c r="G622" s="20">
        <f t="shared" si="200"/>
        <v>0</v>
      </c>
      <c r="H622" s="17">
        <v>1066098</v>
      </c>
      <c r="I622" s="17">
        <v>16865</v>
      </c>
      <c r="J622" s="17">
        <v>31448</v>
      </c>
      <c r="K622" s="19">
        <f t="shared" si="201"/>
        <v>1082963</v>
      </c>
      <c r="L622" s="18"/>
      <c r="M622" s="18"/>
      <c r="N622" s="18"/>
      <c r="O622" s="19">
        <f t="shared" si="202"/>
        <v>1066098</v>
      </c>
      <c r="P622" s="21">
        <f t="shared" si="203"/>
        <v>2.963534420670253</v>
      </c>
      <c r="Q622" s="17">
        <v>1034115</v>
      </c>
      <c r="R622" s="17">
        <v>16359</v>
      </c>
      <c r="S622" s="19">
        <f t="shared" si="204"/>
        <v>1050474</v>
      </c>
      <c r="T622" s="20">
        <f t="shared" si="205"/>
        <v>0.03</v>
      </c>
      <c r="U622" s="19">
        <f t="shared" si="206"/>
        <v>32488.886597938144</v>
      </c>
      <c r="V622" s="17">
        <v>31448</v>
      </c>
      <c r="W622" s="19">
        <f t="shared" si="207"/>
        <v>1040.8865979381444</v>
      </c>
      <c r="X622" s="19">
        <f t="shared" si="208"/>
        <v>32489</v>
      </c>
      <c r="Y622" s="17">
        <v>31983</v>
      </c>
      <c r="Z622" s="17">
        <v>506</v>
      </c>
      <c r="AA622" s="19">
        <f t="shared" si="209"/>
        <v>1041</v>
      </c>
      <c r="AB622" s="17">
        <v>1050474</v>
      </c>
      <c r="AC622" s="27">
        <v>22.088000000000001</v>
      </c>
      <c r="AD622" s="27">
        <v>23.05125</v>
      </c>
      <c r="AE622" s="22">
        <f t="shared" si="210"/>
        <v>45571.238002277532</v>
      </c>
      <c r="AF622" s="23">
        <f t="shared" si="211"/>
        <v>0</v>
      </c>
      <c r="AG622" s="23">
        <f t="shared" si="212"/>
        <v>0</v>
      </c>
      <c r="AH622" s="17">
        <v>1048253.304261</v>
      </c>
      <c r="AI622" s="24">
        <f t="shared" si="213"/>
        <v>0.99788600599443678</v>
      </c>
      <c r="AJ622" s="25">
        <v>320358490.56603801</v>
      </c>
      <c r="AK622" s="24">
        <f t="shared" si="214"/>
        <v>2.6482575695689851E-2</v>
      </c>
      <c r="AL622" s="22">
        <f t="shared" si="215"/>
        <v>23243.610893622041</v>
      </c>
      <c r="AM622" s="22">
        <f t="shared" si="216"/>
        <v>45571.238002277532</v>
      </c>
      <c r="AN622" s="22">
        <f t="shared" si="217"/>
        <v>-22327.627108655492</v>
      </c>
      <c r="AO622" s="26" t="str">
        <f t="shared" si="218"/>
        <v/>
      </c>
      <c r="AP622" s="26" t="str">
        <f t="shared" si="219"/>
        <v>pre-launch</v>
      </c>
      <c r="AQ622" s="18"/>
      <c r="AR622" s="18"/>
    </row>
    <row r="623" spans="1:44" x14ac:dyDescent="0.25">
      <c r="A623" s="43">
        <v>45684</v>
      </c>
      <c r="B623" s="17">
        <v>10972896197.41</v>
      </c>
      <c r="C623" s="17">
        <v>0</v>
      </c>
      <c r="D623" s="17">
        <v>185620600</v>
      </c>
      <c r="E623" s="19">
        <f t="shared" si="198"/>
        <v>10972896197.41</v>
      </c>
      <c r="F623" s="19">
        <f t="shared" si="199"/>
        <v>11158516797.41</v>
      </c>
      <c r="G623" s="20">
        <f t="shared" si="200"/>
        <v>0</v>
      </c>
      <c r="H623" s="17">
        <v>2661614</v>
      </c>
      <c r="I623" s="17">
        <v>37573</v>
      </c>
      <c r="J623" s="17">
        <v>81800</v>
      </c>
      <c r="K623" s="19">
        <f t="shared" si="201"/>
        <v>2699187</v>
      </c>
      <c r="L623" s="18"/>
      <c r="M623" s="18"/>
      <c r="N623" s="18"/>
      <c r="O623" s="19">
        <f t="shared" si="202"/>
        <v>2661614</v>
      </c>
      <c r="P623" s="21">
        <f t="shared" si="203"/>
        <v>2.4256257893228197</v>
      </c>
      <c r="Q623" s="17">
        <v>2581765</v>
      </c>
      <c r="R623" s="17">
        <v>36446</v>
      </c>
      <c r="S623" s="19">
        <f t="shared" si="204"/>
        <v>2618211</v>
      </c>
      <c r="T623" s="20">
        <f t="shared" si="205"/>
        <v>0.03</v>
      </c>
      <c r="U623" s="19">
        <f t="shared" si="206"/>
        <v>80975.597938144332</v>
      </c>
      <c r="V623" s="17">
        <v>81800</v>
      </c>
      <c r="W623" s="19">
        <f t="shared" si="207"/>
        <v>-824.40206185566785</v>
      </c>
      <c r="X623" s="19">
        <f t="shared" si="208"/>
        <v>80975</v>
      </c>
      <c r="Y623" s="17">
        <v>79848</v>
      </c>
      <c r="Z623" s="17">
        <v>1127</v>
      </c>
      <c r="AA623" s="19">
        <f t="shared" si="209"/>
        <v>-825</v>
      </c>
      <c r="AB623" s="17">
        <v>2618211</v>
      </c>
      <c r="AC623" s="27">
        <v>23.388999999999999</v>
      </c>
      <c r="AD623" s="27">
        <v>22.28275</v>
      </c>
      <c r="AE623" s="22">
        <f t="shared" si="210"/>
        <v>117499.45585710921</v>
      </c>
      <c r="AF623" s="23">
        <f t="shared" si="211"/>
        <v>1</v>
      </c>
      <c r="AG623" s="23">
        <f t="shared" si="212"/>
        <v>0</v>
      </c>
      <c r="AH623" s="17">
        <v>2726671.1536859898</v>
      </c>
      <c r="AI623" s="24">
        <f t="shared" si="213"/>
        <v>1.0414252914245605</v>
      </c>
      <c r="AJ623" s="25">
        <v>321075471.69811302</v>
      </c>
      <c r="AK623" s="24">
        <f t="shared" si="214"/>
        <v>2.6452990565876619E-2</v>
      </c>
      <c r="AL623" s="22">
        <f t="shared" si="215"/>
        <v>23269.606640450875</v>
      </c>
      <c r="AM623" s="22">
        <f t="shared" si="216"/>
        <v>117499.45585710921</v>
      </c>
      <c r="AN623" s="22">
        <f t="shared" si="217"/>
        <v>-94229.849216658331</v>
      </c>
      <c r="AO623" s="26" t="str">
        <f t="shared" si="218"/>
        <v/>
      </c>
      <c r="AP623" s="26" t="str">
        <f t="shared" si="219"/>
        <v>pre-launch</v>
      </c>
      <c r="AQ623" s="18"/>
      <c r="AR623" s="18"/>
    </row>
    <row r="624" spans="1:44" x14ac:dyDescent="0.25">
      <c r="A624" s="43">
        <v>45685</v>
      </c>
      <c r="B624" s="17">
        <v>6689142362.7299995</v>
      </c>
      <c r="C624" s="17">
        <v>0</v>
      </c>
      <c r="D624" s="17">
        <v>170638730</v>
      </c>
      <c r="E624" s="19">
        <f t="shared" si="198"/>
        <v>6689142362.7299995</v>
      </c>
      <c r="F624" s="19">
        <f t="shared" si="199"/>
        <v>6859781092.7299995</v>
      </c>
      <c r="G624" s="20">
        <f t="shared" si="200"/>
        <v>0</v>
      </c>
      <c r="H624" s="17">
        <v>1502080</v>
      </c>
      <c r="I624" s="17">
        <v>26779</v>
      </c>
      <c r="J624" s="17">
        <v>45813</v>
      </c>
      <c r="K624" s="19">
        <f t="shared" si="201"/>
        <v>1528859</v>
      </c>
      <c r="L624" s="18"/>
      <c r="M624" s="18"/>
      <c r="N624" s="18"/>
      <c r="O624" s="19">
        <f t="shared" si="202"/>
        <v>1502080</v>
      </c>
      <c r="P624" s="21">
        <f t="shared" si="203"/>
        <v>2.2455494569366068</v>
      </c>
      <c r="Q624" s="17">
        <v>1457018</v>
      </c>
      <c r="R624" s="17">
        <v>25976</v>
      </c>
      <c r="S624" s="19">
        <f t="shared" si="204"/>
        <v>1482994</v>
      </c>
      <c r="T624" s="20">
        <f t="shared" si="205"/>
        <v>0.03</v>
      </c>
      <c r="U624" s="19">
        <f t="shared" si="206"/>
        <v>45865.793814432989</v>
      </c>
      <c r="V624" s="17">
        <v>45813</v>
      </c>
      <c r="W624" s="19">
        <f t="shared" si="207"/>
        <v>52.793814432989166</v>
      </c>
      <c r="X624" s="19">
        <f t="shared" si="208"/>
        <v>45865</v>
      </c>
      <c r="Y624" s="17">
        <v>45062</v>
      </c>
      <c r="Z624" s="17">
        <v>803</v>
      </c>
      <c r="AA624" s="19">
        <f t="shared" si="209"/>
        <v>52</v>
      </c>
      <c r="AB624" s="17">
        <v>1482994</v>
      </c>
      <c r="AC624" s="27">
        <v>22.292999999999999</v>
      </c>
      <c r="AD624" s="27">
        <v>22.87</v>
      </c>
      <c r="AE624" s="22">
        <f t="shared" si="210"/>
        <v>64844.512461740269</v>
      </c>
      <c r="AF624" s="23">
        <f t="shared" si="211"/>
        <v>0</v>
      </c>
      <c r="AG624" s="23">
        <f t="shared" si="212"/>
        <v>0</v>
      </c>
      <c r="AH624" s="17">
        <v>1527101.37772</v>
      </c>
      <c r="AI624" s="24">
        <f t="shared" si="213"/>
        <v>1.0297421147489469</v>
      </c>
      <c r="AJ624" s="25">
        <v>321792452.83018899</v>
      </c>
      <c r="AK624" s="24">
        <f t="shared" si="214"/>
        <v>2.6423504368524923E-2</v>
      </c>
      <c r="AL624" s="22">
        <f t="shared" si="215"/>
        <v>23295.573378402325</v>
      </c>
      <c r="AM624" s="22">
        <f t="shared" si="216"/>
        <v>64844.512461740269</v>
      </c>
      <c r="AN624" s="22">
        <f t="shared" si="217"/>
        <v>-41548.939083337944</v>
      </c>
      <c r="AO624" s="26" t="str">
        <f t="shared" si="218"/>
        <v/>
      </c>
      <c r="AP624" s="26" t="str">
        <f t="shared" si="219"/>
        <v>pre-launch</v>
      </c>
      <c r="AQ624" s="18"/>
      <c r="AR624" s="18"/>
    </row>
    <row r="625" spans="1:44" x14ac:dyDescent="0.25">
      <c r="A625" s="43">
        <v>45686</v>
      </c>
      <c r="B625" s="17">
        <v>7487288904.7600002</v>
      </c>
      <c r="C625" s="17">
        <v>0</v>
      </c>
      <c r="D625" s="17">
        <v>283645800</v>
      </c>
      <c r="E625" s="19">
        <f t="shared" si="198"/>
        <v>7487288904.7600002</v>
      </c>
      <c r="F625" s="19">
        <f t="shared" si="199"/>
        <v>7770934704.7600002</v>
      </c>
      <c r="G625" s="20">
        <f t="shared" si="200"/>
        <v>0</v>
      </c>
      <c r="H625" s="17">
        <v>1858964</v>
      </c>
      <c r="I625" s="17">
        <v>20016</v>
      </c>
      <c r="J625" s="17">
        <v>56558</v>
      </c>
      <c r="K625" s="19">
        <f t="shared" si="201"/>
        <v>1878980</v>
      </c>
      <c r="L625" s="18"/>
      <c r="M625" s="18"/>
      <c r="N625" s="18"/>
      <c r="O625" s="19">
        <f t="shared" si="202"/>
        <v>1858964</v>
      </c>
      <c r="P625" s="21">
        <f t="shared" si="203"/>
        <v>2.4828265927045696</v>
      </c>
      <c r="Q625" s="17">
        <v>1803195</v>
      </c>
      <c r="R625" s="17">
        <v>19416</v>
      </c>
      <c r="S625" s="19">
        <f t="shared" si="204"/>
        <v>1822611</v>
      </c>
      <c r="T625" s="20">
        <f t="shared" si="205"/>
        <v>0.03</v>
      </c>
      <c r="U625" s="19">
        <f t="shared" si="206"/>
        <v>56369.412371134014</v>
      </c>
      <c r="V625" s="17">
        <v>56558</v>
      </c>
      <c r="W625" s="19">
        <f t="shared" si="207"/>
        <v>-188.58762886598561</v>
      </c>
      <c r="X625" s="19">
        <f t="shared" si="208"/>
        <v>56369</v>
      </c>
      <c r="Y625" s="17">
        <v>55769</v>
      </c>
      <c r="Z625" s="17">
        <v>600</v>
      </c>
      <c r="AA625" s="19">
        <f t="shared" si="209"/>
        <v>-189</v>
      </c>
      <c r="AB625" s="17">
        <v>1822611</v>
      </c>
      <c r="AC625" s="27">
        <v>23.75</v>
      </c>
      <c r="AD625" s="27">
        <v>23.097999999999999</v>
      </c>
      <c r="AE625" s="22">
        <f t="shared" si="210"/>
        <v>78907.740929950654</v>
      </c>
      <c r="AF625" s="23">
        <f t="shared" si="211"/>
        <v>0</v>
      </c>
      <c r="AG625" s="23">
        <f t="shared" si="212"/>
        <v>0</v>
      </c>
      <c r="AH625" s="17">
        <v>1885265.26595902</v>
      </c>
      <c r="AI625" s="24">
        <f t="shared" si="213"/>
        <v>1.0343761043684143</v>
      </c>
      <c r="AJ625" s="25">
        <v>322509433.962264</v>
      </c>
      <c r="AK625" s="24">
        <f t="shared" si="214"/>
        <v>2.639411655347881E-2</v>
      </c>
      <c r="AL625" s="22">
        <f t="shared" si="215"/>
        <v>23321.511204373899</v>
      </c>
      <c r="AM625" s="22">
        <f t="shared" si="216"/>
        <v>78907.740929950654</v>
      </c>
      <c r="AN625" s="22">
        <f t="shared" si="217"/>
        <v>-55586.229725576755</v>
      </c>
      <c r="AO625" s="26" t="str">
        <f t="shared" si="218"/>
        <v/>
      </c>
      <c r="AP625" s="26" t="str">
        <f t="shared" si="219"/>
        <v>pre-launch</v>
      </c>
      <c r="AQ625" s="18"/>
      <c r="AR625" s="18"/>
    </row>
    <row r="626" spans="1:44" x14ac:dyDescent="0.25">
      <c r="A626" s="43">
        <v>45687</v>
      </c>
      <c r="B626" s="17">
        <v>5319626690.7700005</v>
      </c>
      <c r="C626" s="17">
        <v>0</v>
      </c>
      <c r="D626" s="17">
        <v>212136745</v>
      </c>
      <c r="E626" s="19">
        <f t="shared" si="198"/>
        <v>5319626690.7700005</v>
      </c>
      <c r="F626" s="19">
        <f t="shared" si="199"/>
        <v>5531763435.7700005</v>
      </c>
      <c r="G626" s="20">
        <f t="shared" si="200"/>
        <v>0</v>
      </c>
      <c r="H626" s="17">
        <v>1410913</v>
      </c>
      <c r="I626" s="17">
        <v>38508</v>
      </c>
      <c r="J626" s="17">
        <v>43758</v>
      </c>
      <c r="K626" s="19">
        <f t="shared" si="201"/>
        <v>1449421</v>
      </c>
      <c r="L626" s="18"/>
      <c r="M626" s="18"/>
      <c r="N626" s="18"/>
      <c r="O626" s="19">
        <f t="shared" si="202"/>
        <v>1410913</v>
      </c>
      <c r="P626" s="21">
        <f t="shared" si="203"/>
        <v>2.6522782180337066</v>
      </c>
      <c r="Q626" s="17">
        <v>1368586</v>
      </c>
      <c r="R626" s="17">
        <v>37353</v>
      </c>
      <c r="S626" s="19">
        <f t="shared" si="204"/>
        <v>1405939</v>
      </c>
      <c r="T626" s="20">
        <f t="shared" si="205"/>
        <v>0.03</v>
      </c>
      <c r="U626" s="19">
        <f t="shared" si="206"/>
        <v>43482.649484536079</v>
      </c>
      <c r="V626" s="17">
        <v>43758</v>
      </c>
      <c r="W626" s="19">
        <f t="shared" si="207"/>
        <v>-275.3505154639206</v>
      </c>
      <c r="X626" s="19">
        <f t="shared" si="208"/>
        <v>43482</v>
      </c>
      <c r="Y626" s="17">
        <v>42327</v>
      </c>
      <c r="Z626" s="17">
        <v>1155</v>
      </c>
      <c r="AA626" s="19">
        <f t="shared" si="209"/>
        <v>-276</v>
      </c>
      <c r="AB626" s="17">
        <v>1405939</v>
      </c>
      <c r="AC626" s="27">
        <v>27.225999999999999</v>
      </c>
      <c r="AD626" s="27">
        <v>25.571999999999999</v>
      </c>
      <c r="AE626" s="22">
        <f t="shared" si="210"/>
        <v>54979.62615360551</v>
      </c>
      <c r="AF626" s="23">
        <f t="shared" si="211"/>
        <v>0</v>
      </c>
      <c r="AG626" s="23">
        <f t="shared" si="212"/>
        <v>0</v>
      </c>
      <c r="AH626" s="17">
        <v>1458590.51749697</v>
      </c>
      <c r="AI626" s="24">
        <f t="shared" si="213"/>
        <v>1.0374493612432474</v>
      </c>
      <c r="AJ626" s="25">
        <v>323226415.09434003</v>
      </c>
      <c r="AK626" s="24">
        <f t="shared" si="214"/>
        <v>2.6364826574855785E-2</v>
      </c>
      <c r="AL626" s="22">
        <f t="shared" si="215"/>
        <v>23347.420214724996</v>
      </c>
      <c r="AM626" s="22">
        <f t="shared" si="216"/>
        <v>54979.62615360551</v>
      </c>
      <c r="AN626" s="22">
        <f t="shared" si="217"/>
        <v>-31632.205938880514</v>
      </c>
      <c r="AO626" s="26" t="str">
        <f t="shared" si="218"/>
        <v/>
      </c>
      <c r="AP626" s="26" t="str">
        <f t="shared" si="219"/>
        <v>pre-launch</v>
      </c>
      <c r="AQ626" s="18"/>
      <c r="AR626" s="18"/>
    </row>
    <row r="627" spans="1:44" x14ac:dyDescent="0.25">
      <c r="A627" s="43">
        <v>45688</v>
      </c>
      <c r="B627" s="17">
        <v>7089116487.0600004</v>
      </c>
      <c r="C627" s="17">
        <v>0</v>
      </c>
      <c r="D627" s="17">
        <v>263781612</v>
      </c>
      <c r="E627" s="19">
        <f t="shared" si="198"/>
        <v>7089116487.0600004</v>
      </c>
      <c r="F627" s="19">
        <f t="shared" si="199"/>
        <v>7352898099.0600004</v>
      </c>
      <c r="G627" s="20">
        <f t="shared" si="200"/>
        <v>0</v>
      </c>
      <c r="H627" s="17">
        <v>1745764</v>
      </c>
      <c r="I627" s="17">
        <v>30778</v>
      </c>
      <c r="J627" s="17">
        <v>53296</v>
      </c>
      <c r="K627" s="19">
        <f t="shared" si="201"/>
        <v>1776542</v>
      </c>
      <c r="L627" s="18"/>
      <c r="M627" s="18"/>
      <c r="N627" s="18"/>
      <c r="O627" s="19">
        <f t="shared" si="202"/>
        <v>1745764</v>
      </c>
      <c r="P627" s="21">
        <f t="shared" si="203"/>
        <v>2.4625974240747786</v>
      </c>
      <c r="Q627" s="17">
        <v>1693391</v>
      </c>
      <c r="R627" s="17">
        <v>29855</v>
      </c>
      <c r="S627" s="19">
        <f t="shared" si="204"/>
        <v>1723246</v>
      </c>
      <c r="T627" s="20">
        <f t="shared" si="205"/>
        <v>0.03</v>
      </c>
      <c r="U627" s="19">
        <f t="shared" si="206"/>
        <v>53296.268041237112</v>
      </c>
      <c r="V627" s="17">
        <v>53296</v>
      </c>
      <c r="W627" s="19">
        <f t="shared" si="207"/>
        <v>0.26804123711190186</v>
      </c>
      <c r="X627" s="19">
        <f t="shared" si="208"/>
        <v>53296</v>
      </c>
      <c r="Y627" s="17">
        <v>52373</v>
      </c>
      <c r="Z627" s="17">
        <v>923</v>
      </c>
      <c r="AA627" s="19">
        <f t="shared" si="209"/>
        <v>0</v>
      </c>
      <c r="AB627" s="17">
        <v>1723246</v>
      </c>
      <c r="AC627" s="27">
        <v>26.93</v>
      </c>
      <c r="AD627" s="27">
        <v>27.01925</v>
      </c>
      <c r="AE627" s="22">
        <f t="shared" si="210"/>
        <v>63778.454250210496</v>
      </c>
      <c r="AF627" s="23">
        <f t="shared" si="211"/>
        <v>0</v>
      </c>
      <c r="AG627" s="23">
        <f t="shared" si="212"/>
        <v>0</v>
      </c>
      <c r="AH627" s="17">
        <v>1776541.5893360099</v>
      </c>
      <c r="AI627" s="24">
        <f t="shared" si="213"/>
        <v>1.0309274411987668</v>
      </c>
      <c r="AJ627" s="25">
        <v>323943396.22641498</v>
      </c>
      <c r="AK627" s="24">
        <f t="shared" si="214"/>
        <v>2.6335633891004556E-2</v>
      </c>
      <c r="AL627" s="22">
        <f t="shared" si="215"/>
        <v>23373.3005052808</v>
      </c>
      <c r="AM627" s="22">
        <f t="shared" si="216"/>
        <v>63778.454250210496</v>
      </c>
      <c r="AN627" s="22">
        <f t="shared" si="217"/>
        <v>-40405.153744929696</v>
      </c>
      <c r="AO627" s="26" t="str">
        <f t="shared" si="218"/>
        <v/>
      </c>
      <c r="AP627" s="26" t="str">
        <f t="shared" si="219"/>
        <v>pre-launch</v>
      </c>
      <c r="AQ627" s="18"/>
      <c r="AR627" s="18"/>
    </row>
    <row r="628" spans="1:44" x14ac:dyDescent="0.25">
      <c r="A628" s="43">
        <v>45689</v>
      </c>
      <c r="B628" s="17">
        <v>5335486362.6499996</v>
      </c>
      <c r="C628" s="17">
        <v>0</v>
      </c>
      <c r="D628" s="17">
        <v>305083845</v>
      </c>
      <c r="E628" s="19">
        <f t="shared" si="198"/>
        <v>5335486362.6499996</v>
      </c>
      <c r="F628" s="19">
        <f t="shared" si="199"/>
        <v>5640570207.6499996</v>
      </c>
      <c r="G628" s="20">
        <f t="shared" si="200"/>
        <v>0</v>
      </c>
      <c r="H628" s="17">
        <v>1393440</v>
      </c>
      <c r="I628" s="17">
        <v>40422</v>
      </c>
      <c r="J628" s="17">
        <v>42608</v>
      </c>
      <c r="K628" s="19">
        <f t="shared" si="201"/>
        <v>1433862</v>
      </c>
      <c r="L628" s="18"/>
      <c r="M628" s="18"/>
      <c r="N628" s="18"/>
      <c r="O628" s="19">
        <f t="shared" si="202"/>
        <v>1393440</v>
      </c>
      <c r="P628" s="21">
        <f t="shared" si="203"/>
        <v>2.6116456969218342</v>
      </c>
      <c r="Q628" s="17">
        <v>1351636</v>
      </c>
      <c r="R628" s="17">
        <v>39209</v>
      </c>
      <c r="S628" s="19">
        <f t="shared" si="204"/>
        <v>1390845</v>
      </c>
      <c r="T628" s="20">
        <f t="shared" si="205"/>
        <v>0.03</v>
      </c>
      <c r="U628" s="19">
        <f t="shared" si="206"/>
        <v>43015.824742268043</v>
      </c>
      <c r="V628" s="17">
        <v>42608</v>
      </c>
      <c r="W628" s="19">
        <f t="shared" si="207"/>
        <v>407.82474226804334</v>
      </c>
      <c r="X628" s="19">
        <f t="shared" si="208"/>
        <v>43016</v>
      </c>
      <c r="Y628" s="17">
        <v>41803</v>
      </c>
      <c r="Z628" s="17">
        <v>1213</v>
      </c>
      <c r="AA628" s="19">
        <f t="shared" si="209"/>
        <v>408</v>
      </c>
      <c r="AB628" s="17">
        <v>1390845</v>
      </c>
      <c r="AC628" s="27">
        <v>23.187999999999999</v>
      </c>
      <c r="AD628" s="27">
        <v>25.218250000000001</v>
      </c>
      <c r="AE628" s="22">
        <f t="shared" si="210"/>
        <v>55152.320244267539</v>
      </c>
      <c r="AF628" s="23">
        <f t="shared" si="211"/>
        <v>1</v>
      </c>
      <c r="AG628" s="23">
        <f t="shared" si="212"/>
        <v>0</v>
      </c>
      <c r="AH628" s="17">
        <v>1420260.5269890099</v>
      </c>
      <c r="AI628" s="24">
        <f t="shared" si="213"/>
        <v>1.0211493926275106</v>
      </c>
      <c r="AJ628" s="25">
        <v>324660377.358491</v>
      </c>
      <c r="AK628" s="24">
        <f t="shared" si="214"/>
        <v>2.6306537964462605E-2</v>
      </c>
      <c r="AL628" s="22">
        <f t="shared" si="215"/>
        <v>23399.152171336711</v>
      </c>
      <c r="AM628" s="22">
        <f t="shared" si="216"/>
        <v>55152.320244267539</v>
      </c>
      <c r="AN628" s="22">
        <f t="shared" si="217"/>
        <v>-31753.168072930828</v>
      </c>
      <c r="AO628" s="26" t="str">
        <f t="shared" si="218"/>
        <v/>
      </c>
      <c r="AP628" s="26" t="str">
        <f t="shared" si="219"/>
        <v>pre-launch</v>
      </c>
      <c r="AQ628" s="18"/>
      <c r="AR628" s="18"/>
    </row>
    <row r="629" spans="1:44" x14ac:dyDescent="0.25">
      <c r="A629" s="43">
        <v>45690</v>
      </c>
      <c r="B629" s="17">
        <v>9044821753.9300003</v>
      </c>
      <c r="C629" s="17">
        <v>0</v>
      </c>
      <c r="D629" s="17">
        <v>443687078</v>
      </c>
      <c r="E629" s="19">
        <f t="shared" si="198"/>
        <v>9044821753.9300003</v>
      </c>
      <c r="F629" s="19">
        <f t="shared" si="199"/>
        <v>9488508831.9300003</v>
      </c>
      <c r="G629" s="20">
        <f t="shared" si="200"/>
        <v>0</v>
      </c>
      <c r="H629" s="17">
        <v>2019665</v>
      </c>
      <c r="I629" s="17">
        <v>44496</v>
      </c>
      <c r="J629" s="17">
        <v>61607</v>
      </c>
      <c r="K629" s="19">
        <f t="shared" si="201"/>
        <v>2064161</v>
      </c>
      <c r="L629" s="18"/>
      <c r="M629" s="18"/>
      <c r="N629" s="18"/>
      <c r="O629" s="19">
        <f t="shared" si="202"/>
        <v>2019665</v>
      </c>
      <c r="P629" s="21">
        <f t="shared" si="203"/>
        <v>2.2329516876575815</v>
      </c>
      <c r="Q629" s="17">
        <v>1959076</v>
      </c>
      <c r="R629" s="17">
        <v>43161</v>
      </c>
      <c r="S629" s="19">
        <f t="shared" si="204"/>
        <v>2002237</v>
      </c>
      <c r="T629" s="20">
        <f t="shared" si="205"/>
        <v>0.03</v>
      </c>
      <c r="U629" s="19">
        <f t="shared" si="206"/>
        <v>61924.855670103098</v>
      </c>
      <c r="V629" s="17">
        <v>61607</v>
      </c>
      <c r="W629" s="19">
        <f t="shared" si="207"/>
        <v>317.85567010309751</v>
      </c>
      <c r="X629" s="19">
        <f t="shared" si="208"/>
        <v>61925</v>
      </c>
      <c r="Y629" s="17">
        <v>60590</v>
      </c>
      <c r="Z629" s="17">
        <v>1335</v>
      </c>
      <c r="AA629" s="19">
        <f t="shared" si="209"/>
        <v>318</v>
      </c>
      <c r="AB629" s="17">
        <v>2002237</v>
      </c>
      <c r="AC629" s="27">
        <v>22.311</v>
      </c>
      <c r="AD629" s="27">
        <v>22.601500000000001</v>
      </c>
      <c r="AE629" s="22">
        <f t="shared" si="210"/>
        <v>88588.677742627697</v>
      </c>
      <c r="AF629" s="23">
        <f t="shared" si="211"/>
        <v>-1</v>
      </c>
      <c r="AG629" s="23">
        <f t="shared" si="212"/>
        <v>0</v>
      </c>
      <c r="AH629" s="17">
        <v>2053558.557511</v>
      </c>
      <c r="AI629" s="24">
        <f t="shared" si="213"/>
        <v>1.0256321092413136</v>
      </c>
      <c r="AJ629" s="25">
        <v>325377358.49056602</v>
      </c>
      <c r="AK629" s="24">
        <f t="shared" si="214"/>
        <v>2.6277538261915017E-2</v>
      </c>
      <c r="AL629" s="22">
        <f t="shared" si="215"/>
        <v>23424.975307662156</v>
      </c>
      <c r="AM629" s="22">
        <f t="shared" si="216"/>
        <v>88588.677742627697</v>
      </c>
      <c r="AN629" s="22">
        <f t="shared" si="217"/>
        <v>-65163.70243496554</v>
      </c>
      <c r="AO629" s="26" t="str">
        <f t="shared" si="218"/>
        <v/>
      </c>
      <c r="AP629" s="26" t="str">
        <f t="shared" si="219"/>
        <v>pre-launch</v>
      </c>
      <c r="AQ629" s="18"/>
      <c r="AR629" s="18"/>
    </row>
    <row r="630" spans="1:44" x14ac:dyDescent="0.25">
      <c r="A630" s="43">
        <v>45691</v>
      </c>
      <c r="B630" s="17">
        <v>18072547242.34</v>
      </c>
      <c r="C630" s="17">
        <v>0</v>
      </c>
      <c r="D630" s="17">
        <v>263016289</v>
      </c>
      <c r="E630" s="19">
        <f t="shared" si="198"/>
        <v>18072547242.34</v>
      </c>
      <c r="F630" s="19">
        <f t="shared" si="199"/>
        <v>18335563531.34</v>
      </c>
      <c r="G630" s="20">
        <f t="shared" si="200"/>
        <v>0</v>
      </c>
      <c r="H630" s="17">
        <v>4197988</v>
      </c>
      <c r="I630" s="17">
        <v>63480</v>
      </c>
      <c r="J630" s="17">
        <v>128049</v>
      </c>
      <c r="K630" s="19">
        <f t="shared" si="201"/>
        <v>4261468</v>
      </c>
      <c r="L630" s="18"/>
      <c r="M630" s="18"/>
      <c r="N630" s="18"/>
      <c r="O630" s="19">
        <f t="shared" si="202"/>
        <v>4197988</v>
      </c>
      <c r="P630" s="21">
        <f t="shared" si="203"/>
        <v>2.3228535212596033</v>
      </c>
      <c r="Q630" s="17">
        <v>4072048</v>
      </c>
      <c r="R630" s="17">
        <v>61575</v>
      </c>
      <c r="S630" s="19">
        <f t="shared" si="204"/>
        <v>4133623</v>
      </c>
      <c r="T630" s="20">
        <f t="shared" si="205"/>
        <v>0.03</v>
      </c>
      <c r="U630" s="19">
        <f t="shared" si="206"/>
        <v>127844.01030927835</v>
      </c>
      <c r="V630" s="17">
        <v>128049</v>
      </c>
      <c r="W630" s="19">
        <f t="shared" si="207"/>
        <v>-204.98969072164618</v>
      </c>
      <c r="X630" s="19">
        <f t="shared" si="208"/>
        <v>127844</v>
      </c>
      <c r="Y630" s="17">
        <v>125940</v>
      </c>
      <c r="Z630" s="17">
        <v>1904</v>
      </c>
      <c r="AA630" s="19">
        <f t="shared" si="209"/>
        <v>-205</v>
      </c>
      <c r="AB630" s="17">
        <v>4133623</v>
      </c>
      <c r="AC630" s="27">
        <v>25.178999999999998</v>
      </c>
      <c r="AD630" s="27">
        <v>23.400500000000001</v>
      </c>
      <c r="AE630" s="22">
        <f t="shared" si="210"/>
        <v>176646.78105168694</v>
      </c>
      <c r="AF630" s="23">
        <f t="shared" si="211"/>
        <v>1</v>
      </c>
      <c r="AG630" s="23">
        <f t="shared" si="212"/>
        <v>0</v>
      </c>
      <c r="AH630" s="17">
        <v>4268312.5264009796</v>
      </c>
      <c r="AI630" s="24">
        <f t="shared" si="213"/>
        <v>1.0325838922419823</v>
      </c>
      <c r="AJ630" s="25">
        <v>326094339.62264198</v>
      </c>
      <c r="AK630" s="24">
        <f t="shared" si="214"/>
        <v>2.6248634254153039E-2</v>
      </c>
      <c r="AL630" s="22">
        <f t="shared" si="215"/>
        <v>23450.770008504915</v>
      </c>
      <c r="AM630" s="22">
        <f t="shared" si="216"/>
        <v>176646.78105168694</v>
      </c>
      <c r="AN630" s="22">
        <f t="shared" si="217"/>
        <v>-153196.01104318202</v>
      </c>
      <c r="AO630" s="26" t="str">
        <f t="shared" si="218"/>
        <v/>
      </c>
      <c r="AP630" s="26" t="str">
        <f t="shared" si="219"/>
        <v>pre-launch</v>
      </c>
      <c r="AQ630" s="18"/>
      <c r="AR630" s="18"/>
    </row>
    <row r="631" spans="1:44" x14ac:dyDescent="0.25">
      <c r="A631" s="43">
        <v>45692</v>
      </c>
      <c r="B631" s="17">
        <v>10231406265.73</v>
      </c>
      <c r="C631" s="17">
        <v>0</v>
      </c>
      <c r="D631" s="17">
        <v>208560749</v>
      </c>
      <c r="E631" s="19">
        <f t="shared" si="198"/>
        <v>10231406265.73</v>
      </c>
      <c r="F631" s="19">
        <f t="shared" si="199"/>
        <v>10439967014.73</v>
      </c>
      <c r="G631" s="20">
        <f t="shared" si="200"/>
        <v>0</v>
      </c>
      <c r="H631" s="17">
        <v>2474308</v>
      </c>
      <c r="I631" s="17">
        <v>37612</v>
      </c>
      <c r="J631" s="17">
        <v>75878</v>
      </c>
      <c r="K631" s="19">
        <f t="shared" si="201"/>
        <v>2511920</v>
      </c>
      <c r="L631" s="18"/>
      <c r="M631" s="18"/>
      <c r="N631" s="18"/>
      <c r="O631" s="19">
        <f t="shared" si="202"/>
        <v>2474308</v>
      </c>
      <c r="P631" s="21">
        <f t="shared" si="203"/>
        <v>2.4183459592330645</v>
      </c>
      <c r="Q631" s="17">
        <v>2400078</v>
      </c>
      <c r="R631" s="17">
        <v>36483</v>
      </c>
      <c r="S631" s="19">
        <f t="shared" si="204"/>
        <v>2436561</v>
      </c>
      <c r="T631" s="20">
        <f t="shared" si="205"/>
        <v>0.03</v>
      </c>
      <c r="U631" s="19">
        <f t="shared" si="206"/>
        <v>75357.556701030931</v>
      </c>
      <c r="V631" s="17">
        <v>75878</v>
      </c>
      <c r="W631" s="19">
        <f t="shared" si="207"/>
        <v>-520.44329896906856</v>
      </c>
      <c r="X631" s="19">
        <f t="shared" si="208"/>
        <v>75357</v>
      </c>
      <c r="Y631" s="17">
        <v>74229</v>
      </c>
      <c r="Z631" s="17">
        <v>1128</v>
      </c>
      <c r="AA631" s="19">
        <f t="shared" si="209"/>
        <v>-521</v>
      </c>
      <c r="AB631" s="17">
        <v>2436561</v>
      </c>
      <c r="AC631" s="27">
        <v>25.13</v>
      </c>
      <c r="AD631" s="27">
        <v>25.251999999999999</v>
      </c>
      <c r="AE631" s="22">
        <f t="shared" si="210"/>
        <v>96489.822588309835</v>
      </c>
      <c r="AF631" s="23">
        <f t="shared" si="211"/>
        <v>2</v>
      </c>
      <c r="AG631" s="23">
        <f t="shared" si="212"/>
        <v>0</v>
      </c>
      <c r="AH631" s="17">
        <v>2529278.0411359998</v>
      </c>
      <c r="AI631" s="24">
        <f t="shared" si="213"/>
        <v>1.038052419428859</v>
      </c>
      <c r="AJ631" s="25">
        <v>326811320.75471699</v>
      </c>
      <c r="AK631" s="24">
        <f t="shared" si="214"/>
        <v>2.6219825416033862E-2</v>
      </c>
      <c r="AL631" s="22">
        <f t="shared" si="215"/>
        <v>23476.536367594857</v>
      </c>
      <c r="AM631" s="22">
        <f t="shared" si="216"/>
        <v>96489.822588309835</v>
      </c>
      <c r="AN631" s="22">
        <f t="shared" si="217"/>
        <v>-73013.286220714974</v>
      </c>
      <c r="AO631" s="26" t="str">
        <f t="shared" si="218"/>
        <v/>
      </c>
      <c r="AP631" s="26" t="str">
        <f t="shared" si="219"/>
        <v>pre-launch</v>
      </c>
      <c r="AQ631" s="18"/>
      <c r="AR631" s="18"/>
    </row>
    <row r="632" spans="1:44" x14ac:dyDescent="0.25">
      <c r="A632" s="43">
        <v>45693</v>
      </c>
      <c r="B632" s="17">
        <v>5694608355.7600002</v>
      </c>
      <c r="C632" s="17">
        <v>0</v>
      </c>
      <c r="D632" s="17">
        <v>168626713</v>
      </c>
      <c r="E632" s="19">
        <f t="shared" si="198"/>
        <v>5694608355.7600002</v>
      </c>
      <c r="F632" s="19">
        <f t="shared" si="199"/>
        <v>5863235068.7600002</v>
      </c>
      <c r="G632" s="20">
        <f t="shared" si="200"/>
        <v>0</v>
      </c>
      <c r="H632" s="17">
        <v>1415160</v>
      </c>
      <c r="I632" s="17">
        <v>28216</v>
      </c>
      <c r="J632" s="17">
        <v>43013</v>
      </c>
      <c r="K632" s="19">
        <f t="shared" si="201"/>
        <v>1443376</v>
      </c>
      <c r="L632" s="18"/>
      <c r="M632" s="18"/>
      <c r="N632" s="18"/>
      <c r="O632" s="19">
        <f t="shared" si="202"/>
        <v>1415160</v>
      </c>
      <c r="P632" s="21">
        <f t="shared" si="203"/>
        <v>2.4850874925728466</v>
      </c>
      <c r="Q632" s="17">
        <v>1372705</v>
      </c>
      <c r="R632" s="17">
        <v>27369</v>
      </c>
      <c r="S632" s="19">
        <f t="shared" si="204"/>
        <v>1400074</v>
      </c>
      <c r="T632" s="20">
        <f t="shared" si="205"/>
        <v>0.03</v>
      </c>
      <c r="U632" s="19">
        <f t="shared" si="206"/>
        <v>43301.257731958765</v>
      </c>
      <c r="V632" s="17">
        <v>43013</v>
      </c>
      <c r="W632" s="19">
        <f t="shared" si="207"/>
        <v>288.25773195876536</v>
      </c>
      <c r="X632" s="19">
        <f t="shared" si="208"/>
        <v>43301</v>
      </c>
      <c r="Y632" s="17">
        <v>42455</v>
      </c>
      <c r="Z632" s="17">
        <v>846</v>
      </c>
      <c r="AA632" s="19">
        <f t="shared" si="209"/>
        <v>288</v>
      </c>
      <c r="AB632" s="17">
        <v>1400074</v>
      </c>
      <c r="AC632" s="27">
        <v>24.757000000000001</v>
      </c>
      <c r="AD632" s="27">
        <v>25.361999999999998</v>
      </c>
      <c r="AE632" s="22">
        <f t="shared" si="210"/>
        <v>55203.611702547125</v>
      </c>
      <c r="AF632" s="23">
        <f t="shared" si="211"/>
        <v>1</v>
      </c>
      <c r="AG632" s="23">
        <f t="shared" si="212"/>
        <v>0</v>
      </c>
      <c r="AH632" s="17">
        <v>1433752.88006902</v>
      </c>
      <c r="AI632" s="24">
        <f t="shared" si="213"/>
        <v>1.0240550714240961</v>
      </c>
      <c r="AJ632" s="25">
        <v>327528301.886792</v>
      </c>
      <c r="AK632" s="24">
        <f t="shared" si="214"/>
        <v>2.6191111226440272E-2</v>
      </c>
      <c r="AL632" s="22">
        <f t="shared" si="215"/>
        <v>23502.274478148152</v>
      </c>
      <c r="AM632" s="22">
        <f t="shared" si="216"/>
        <v>55203.611702547125</v>
      </c>
      <c r="AN632" s="22">
        <f t="shared" si="217"/>
        <v>-31701.337224398972</v>
      </c>
      <c r="AO632" s="26" t="str">
        <f t="shared" si="218"/>
        <v/>
      </c>
      <c r="AP632" s="26" t="str">
        <f t="shared" si="219"/>
        <v>pre-launch</v>
      </c>
      <c r="AQ632" s="18"/>
      <c r="AR632" s="18"/>
    </row>
    <row r="633" spans="1:44" x14ac:dyDescent="0.25">
      <c r="A633" s="43">
        <v>45694</v>
      </c>
      <c r="B633" s="17">
        <v>5904659695.4799995</v>
      </c>
      <c r="C633" s="17">
        <v>0</v>
      </c>
      <c r="D633" s="17">
        <v>178176120</v>
      </c>
      <c r="E633" s="19">
        <f t="shared" si="198"/>
        <v>5904659695.4799995</v>
      </c>
      <c r="F633" s="19">
        <f t="shared" si="199"/>
        <v>6082835815.4799995</v>
      </c>
      <c r="G633" s="20">
        <f t="shared" si="200"/>
        <v>0</v>
      </c>
      <c r="H633" s="17">
        <v>1316367</v>
      </c>
      <c r="I633" s="17">
        <v>24592</v>
      </c>
      <c r="J633" s="17">
        <v>40517</v>
      </c>
      <c r="K633" s="19">
        <f t="shared" si="201"/>
        <v>1340959</v>
      </c>
      <c r="L633" s="18"/>
      <c r="M633" s="18"/>
      <c r="N633" s="18"/>
      <c r="O633" s="19">
        <f t="shared" si="202"/>
        <v>1316367</v>
      </c>
      <c r="P633" s="21">
        <f t="shared" si="203"/>
        <v>2.2293697992581607</v>
      </c>
      <c r="Q633" s="17">
        <v>1276876</v>
      </c>
      <c r="R633" s="17">
        <v>23855</v>
      </c>
      <c r="S633" s="19">
        <f t="shared" si="204"/>
        <v>1300731</v>
      </c>
      <c r="T633" s="20">
        <f t="shared" si="205"/>
        <v>0.03</v>
      </c>
      <c r="U633" s="19">
        <f t="shared" si="206"/>
        <v>40228.793814432989</v>
      </c>
      <c r="V633" s="17">
        <v>40517</v>
      </c>
      <c r="W633" s="19">
        <f t="shared" si="207"/>
        <v>-288.20618556701083</v>
      </c>
      <c r="X633" s="19">
        <f t="shared" si="208"/>
        <v>40229</v>
      </c>
      <c r="Y633" s="17">
        <v>39491</v>
      </c>
      <c r="Z633" s="17">
        <v>738</v>
      </c>
      <c r="AA633" s="19">
        <f t="shared" si="209"/>
        <v>-288</v>
      </c>
      <c r="AB633" s="17">
        <v>1300731</v>
      </c>
      <c r="AC633" s="27">
        <v>23.835999999999999</v>
      </c>
      <c r="AD633" s="27">
        <v>24.579000000000001</v>
      </c>
      <c r="AE633" s="22">
        <f t="shared" si="210"/>
        <v>52920.419870621263</v>
      </c>
      <c r="AF633" s="23">
        <f t="shared" si="211"/>
        <v>-1</v>
      </c>
      <c r="AG633" s="23">
        <f t="shared" si="212"/>
        <v>0</v>
      </c>
      <c r="AH633" s="17">
        <v>1350582.1517030001</v>
      </c>
      <c r="AI633" s="24">
        <f t="shared" si="213"/>
        <v>1.0383254890542319</v>
      </c>
      <c r="AJ633" s="25">
        <v>328245283.01886803</v>
      </c>
      <c r="AK633" s="24">
        <f t="shared" si="214"/>
        <v>2.6162491168241181E-2</v>
      </c>
      <c r="AL633" s="22">
        <f t="shared" si="215"/>
        <v>23527.98443287113</v>
      </c>
      <c r="AM633" s="22">
        <f t="shared" si="216"/>
        <v>52920.419870621263</v>
      </c>
      <c r="AN633" s="22">
        <f t="shared" si="217"/>
        <v>-29392.435437750133</v>
      </c>
      <c r="AO633" s="26" t="str">
        <f t="shared" si="218"/>
        <v/>
      </c>
      <c r="AP633" s="26" t="str">
        <f t="shared" si="219"/>
        <v>pre-launch</v>
      </c>
      <c r="AQ633" s="18"/>
      <c r="AR633" s="18"/>
    </row>
    <row r="634" spans="1:44" x14ac:dyDescent="0.25">
      <c r="A634" s="43">
        <v>45695</v>
      </c>
      <c r="B634" s="17">
        <v>6189394336.9399996</v>
      </c>
      <c r="C634" s="17">
        <v>0</v>
      </c>
      <c r="D634" s="17">
        <v>86858735</v>
      </c>
      <c r="E634" s="19">
        <f t="shared" si="198"/>
        <v>6189394336.9399996</v>
      </c>
      <c r="F634" s="19">
        <f t="shared" si="199"/>
        <v>6276253071.9399996</v>
      </c>
      <c r="G634" s="20">
        <f t="shared" si="200"/>
        <v>0</v>
      </c>
      <c r="H634" s="17">
        <v>1531085</v>
      </c>
      <c r="I634" s="17">
        <v>26352</v>
      </c>
      <c r="J634" s="17">
        <v>46307</v>
      </c>
      <c r="K634" s="19">
        <f t="shared" si="201"/>
        <v>1557437</v>
      </c>
      <c r="L634" s="18"/>
      <c r="M634" s="18"/>
      <c r="N634" s="18"/>
      <c r="O634" s="19">
        <f t="shared" si="202"/>
        <v>1531085</v>
      </c>
      <c r="P634" s="21">
        <f t="shared" si="203"/>
        <v>2.4737234641232431</v>
      </c>
      <c r="Q634" s="17">
        <v>1485152</v>
      </c>
      <c r="R634" s="17">
        <v>25562</v>
      </c>
      <c r="S634" s="19">
        <f t="shared" si="204"/>
        <v>1510714</v>
      </c>
      <c r="T634" s="20">
        <f t="shared" si="205"/>
        <v>0.03</v>
      </c>
      <c r="U634" s="19">
        <f t="shared" si="206"/>
        <v>46723.113402061856</v>
      </c>
      <c r="V634" s="17">
        <v>46307</v>
      </c>
      <c r="W634" s="19">
        <f t="shared" si="207"/>
        <v>416.1134020618556</v>
      </c>
      <c r="X634" s="19">
        <f t="shared" si="208"/>
        <v>46724</v>
      </c>
      <c r="Y634" s="17">
        <v>45933</v>
      </c>
      <c r="Z634" s="17">
        <v>791</v>
      </c>
      <c r="AA634" s="19">
        <f t="shared" si="209"/>
        <v>417</v>
      </c>
      <c r="AB634" s="17">
        <v>1510714</v>
      </c>
      <c r="AC634" s="27">
        <v>22.835000000000001</v>
      </c>
      <c r="AD634" s="27">
        <v>23.452750000000002</v>
      </c>
      <c r="AE634" s="22">
        <f t="shared" si="210"/>
        <v>64415.217831597569</v>
      </c>
      <c r="AF634" s="23">
        <f t="shared" si="211"/>
        <v>-1</v>
      </c>
      <c r="AG634" s="23">
        <f t="shared" si="212"/>
        <v>0</v>
      </c>
      <c r="AH634" s="17">
        <v>1543559.6596369999</v>
      </c>
      <c r="AI634" s="24">
        <f t="shared" si="213"/>
        <v>1.0217418119094679</v>
      </c>
      <c r="AJ634" s="25">
        <v>328962264.15094298</v>
      </c>
      <c r="AK634" s="24">
        <f t="shared" si="214"/>
        <v>2.6133964728252617E-2</v>
      </c>
      <c r="AL634" s="22">
        <f t="shared" si="215"/>
        <v>23553.666323964011</v>
      </c>
      <c r="AM634" s="22">
        <f t="shared" si="216"/>
        <v>64415.217831597569</v>
      </c>
      <c r="AN634" s="22">
        <f t="shared" si="217"/>
        <v>-40861.551507633558</v>
      </c>
      <c r="AO634" s="26" t="str">
        <f t="shared" si="218"/>
        <v/>
      </c>
      <c r="AP634" s="26" t="str">
        <f t="shared" si="219"/>
        <v>pre-launch</v>
      </c>
      <c r="AQ634" s="18"/>
      <c r="AR634" s="18"/>
    </row>
    <row r="635" spans="1:44" x14ac:dyDescent="0.25">
      <c r="A635" s="43">
        <v>45696</v>
      </c>
      <c r="B635" s="17">
        <v>3006719558.7199998</v>
      </c>
      <c r="C635" s="17">
        <v>0</v>
      </c>
      <c r="D635" s="17">
        <v>75118825</v>
      </c>
      <c r="E635" s="19">
        <f t="shared" si="198"/>
        <v>3006719558.7199998</v>
      </c>
      <c r="F635" s="19">
        <f t="shared" si="199"/>
        <v>3081838383.7199998</v>
      </c>
      <c r="G635" s="20">
        <f t="shared" si="200"/>
        <v>0</v>
      </c>
      <c r="H635" s="17">
        <v>782416</v>
      </c>
      <c r="I635" s="17">
        <v>12064</v>
      </c>
      <c r="J635" s="17">
        <v>23942</v>
      </c>
      <c r="K635" s="19">
        <f t="shared" si="201"/>
        <v>794480</v>
      </c>
      <c r="L635" s="18"/>
      <c r="M635" s="18"/>
      <c r="N635" s="18"/>
      <c r="O635" s="19">
        <f t="shared" si="202"/>
        <v>782416</v>
      </c>
      <c r="P635" s="21">
        <f t="shared" si="203"/>
        <v>2.6022247327019912</v>
      </c>
      <c r="Q635" s="17">
        <v>758944</v>
      </c>
      <c r="R635" s="17">
        <v>11702</v>
      </c>
      <c r="S635" s="19">
        <f t="shared" si="204"/>
        <v>770646</v>
      </c>
      <c r="T635" s="20">
        <f t="shared" si="205"/>
        <v>0.03</v>
      </c>
      <c r="U635" s="19">
        <f t="shared" si="206"/>
        <v>23834.412371134018</v>
      </c>
      <c r="V635" s="17">
        <v>23942</v>
      </c>
      <c r="W635" s="19">
        <f t="shared" si="207"/>
        <v>-107.58762886598197</v>
      </c>
      <c r="X635" s="19">
        <f t="shared" si="208"/>
        <v>23834</v>
      </c>
      <c r="Y635" s="17">
        <v>23472</v>
      </c>
      <c r="Z635" s="17">
        <v>362</v>
      </c>
      <c r="AA635" s="19">
        <f t="shared" si="209"/>
        <v>-108</v>
      </c>
      <c r="AB635" s="17">
        <v>770646</v>
      </c>
      <c r="AC635" s="27">
        <v>23.370999999999999</v>
      </c>
      <c r="AD635" s="27">
        <v>23.0685</v>
      </c>
      <c r="AE635" s="22">
        <f t="shared" si="210"/>
        <v>33406.853501528058</v>
      </c>
      <c r="AF635" s="23">
        <f t="shared" si="211"/>
        <v>0</v>
      </c>
      <c r="AG635" s="23">
        <f t="shared" si="212"/>
        <v>0</v>
      </c>
      <c r="AH635" s="17">
        <v>798058.004082978</v>
      </c>
      <c r="AI635" s="24">
        <f t="shared" si="213"/>
        <v>1.0355701633213927</v>
      </c>
      <c r="AJ635" s="25">
        <v>329679245.28301901</v>
      </c>
      <c r="AK635" s="24">
        <f t="shared" si="214"/>
        <v>2.6105531397198789E-2</v>
      </c>
      <c r="AL635" s="22">
        <f t="shared" si="215"/>
        <v>23579.320243125076</v>
      </c>
      <c r="AM635" s="22">
        <f t="shared" si="216"/>
        <v>33406.853501528058</v>
      </c>
      <c r="AN635" s="22">
        <f t="shared" si="217"/>
        <v>-9827.533258402982</v>
      </c>
      <c r="AO635" s="26" t="str">
        <f t="shared" si="218"/>
        <v/>
      </c>
      <c r="AP635" s="26" t="str">
        <f t="shared" si="219"/>
        <v>pre-launch</v>
      </c>
      <c r="AQ635" s="18"/>
      <c r="AR635" s="18"/>
    </row>
    <row r="636" spans="1:44" x14ac:dyDescent="0.25">
      <c r="A636" s="43">
        <v>45697</v>
      </c>
      <c r="B636" s="17">
        <v>3754601891.2199998</v>
      </c>
      <c r="C636" s="17">
        <v>0</v>
      </c>
      <c r="D636" s="17">
        <v>91079022</v>
      </c>
      <c r="E636" s="19">
        <f t="shared" si="198"/>
        <v>3754601891.2199998</v>
      </c>
      <c r="F636" s="19">
        <f t="shared" si="199"/>
        <v>3845680913.2199998</v>
      </c>
      <c r="G636" s="20">
        <f t="shared" si="200"/>
        <v>0</v>
      </c>
      <c r="H636" s="17">
        <v>983799</v>
      </c>
      <c r="I636" s="17">
        <v>10683</v>
      </c>
      <c r="J636" s="17">
        <v>30143</v>
      </c>
      <c r="K636" s="19">
        <f t="shared" si="201"/>
        <v>994482</v>
      </c>
      <c r="L636" s="18"/>
      <c r="M636" s="18"/>
      <c r="N636" s="18"/>
      <c r="O636" s="19">
        <f t="shared" si="202"/>
        <v>983799</v>
      </c>
      <c r="P636" s="21">
        <f t="shared" si="203"/>
        <v>2.620248507040329</v>
      </c>
      <c r="Q636" s="17">
        <v>954285</v>
      </c>
      <c r="R636" s="17">
        <v>10362</v>
      </c>
      <c r="S636" s="19">
        <f t="shared" si="204"/>
        <v>964647</v>
      </c>
      <c r="T636" s="20">
        <f t="shared" si="205"/>
        <v>0.03</v>
      </c>
      <c r="U636" s="19">
        <f t="shared" si="206"/>
        <v>29834.443298969072</v>
      </c>
      <c r="V636" s="17">
        <v>30143</v>
      </c>
      <c r="W636" s="19">
        <f t="shared" si="207"/>
        <v>-308.5567010309278</v>
      </c>
      <c r="X636" s="19">
        <f t="shared" si="208"/>
        <v>29834</v>
      </c>
      <c r="Y636" s="17">
        <v>29514</v>
      </c>
      <c r="Z636" s="17">
        <v>320</v>
      </c>
      <c r="AA636" s="19">
        <f t="shared" si="209"/>
        <v>-309</v>
      </c>
      <c r="AB636" s="17">
        <v>964647</v>
      </c>
      <c r="AC636" s="27">
        <v>22.97</v>
      </c>
      <c r="AD636" s="27">
        <v>23.138999999999999</v>
      </c>
      <c r="AE636" s="22">
        <f t="shared" si="210"/>
        <v>41689.225982108132</v>
      </c>
      <c r="AF636" s="23">
        <f t="shared" si="211"/>
        <v>1</v>
      </c>
      <c r="AG636" s="23">
        <f t="shared" si="212"/>
        <v>0</v>
      </c>
      <c r="AH636" s="17">
        <v>1004781.83973101</v>
      </c>
      <c r="AI636" s="24">
        <f t="shared" si="213"/>
        <v>1.0416057269975545</v>
      </c>
      <c r="AJ636" s="25">
        <v>330396226.41509402</v>
      </c>
      <c r="AK636" s="24">
        <f t="shared" si="214"/>
        <v>2.6077190669674261E-2</v>
      </c>
      <c r="AL636" s="22">
        <f t="shared" si="215"/>
        <v>23604.946281554177</v>
      </c>
      <c r="AM636" s="22">
        <f t="shared" si="216"/>
        <v>41689.225982108132</v>
      </c>
      <c r="AN636" s="22">
        <f t="shared" si="217"/>
        <v>-18084.279700553954</v>
      </c>
      <c r="AO636" s="26" t="str">
        <f t="shared" si="218"/>
        <v/>
      </c>
      <c r="AP636" s="26" t="str">
        <f t="shared" si="219"/>
        <v>pre-launch</v>
      </c>
      <c r="AQ636" s="18"/>
      <c r="AR636" s="18"/>
    </row>
    <row r="637" spans="1:44" x14ac:dyDescent="0.25">
      <c r="A637" s="43">
        <v>45698</v>
      </c>
      <c r="B637" s="17">
        <v>5178632081.2399998</v>
      </c>
      <c r="C637" s="17">
        <v>0</v>
      </c>
      <c r="D637" s="17">
        <v>107918816</v>
      </c>
      <c r="E637" s="19">
        <f t="shared" si="198"/>
        <v>5178632081.2399998</v>
      </c>
      <c r="F637" s="19">
        <f t="shared" si="199"/>
        <v>5286550897.2399998</v>
      </c>
      <c r="G637" s="20">
        <f t="shared" si="200"/>
        <v>0</v>
      </c>
      <c r="H637" s="17">
        <v>1123138</v>
      </c>
      <c r="I637" s="17">
        <v>11999</v>
      </c>
      <c r="J637" s="17">
        <v>34054</v>
      </c>
      <c r="K637" s="19">
        <f t="shared" si="201"/>
        <v>1135137</v>
      </c>
      <c r="L637" s="18"/>
      <c r="M637" s="18"/>
      <c r="N637" s="18"/>
      <c r="O637" s="19">
        <f t="shared" si="202"/>
        <v>1123138</v>
      </c>
      <c r="P637" s="21">
        <f t="shared" si="203"/>
        <v>2.1687928054759005</v>
      </c>
      <c r="Q637" s="17">
        <v>1089443</v>
      </c>
      <c r="R637" s="17">
        <v>11639</v>
      </c>
      <c r="S637" s="19">
        <f t="shared" si="204"/>
        <v>1101082</v>
      </c>
      <c r="T637" s="20">
        <f t="shared" si="205"/>
        <v>0.03</v>
      </c>
      <c r="U637" s="19">
        <f t="shared" si="206"/>
        <v>34054.082474226801</v>
      </c>
      <c r="V637" s="17">
        <v>34054</v>
      </c>
      <c r="W637" s="19">
        <f t="shared" si="207"/>
        <v>8.2474226801423356E-2</v>
      </c>
      <c r="X637" s="19">
        <f t="shared" si="208"/>
        <v>34054</v>
      </c>
      <c r="Y637" s="17">
        <v>33694</v>
      </c>
      <c r="Z637" s="17">
        <v>360</v>
      </c>
      <c r="AA637" s="19">
        <f t="shared" si="209"/>
        <v>0</v>
      </c>
      <c r="AB637" s="17">
        <v>1101082</v>
      </c>
      <c r="AC637" s="27">
        <v>23.327999999999999</v>
      </c>
      <c r="AD637" s="27">
        <v>23.181000000000001</v>
      </c>
      <c r="AE637" s="22">
        <f t="shared" si="210"/>
        <v>47499.33134894957</v>
      </c>
      <c r="AF637" s="23">
        <f t="shared" si="211"/>
        <v>1</v>
      </c>
      <c r="AG637" s="23">
        <f t="shared" si="212"/>
        <v>0</v>
      </c>
      <c r="AH637" s="17">
        <v>1135136.3837679899</v>
      </c>
      <c r="AI637" s="24">
        <f t="shared" si="213"/>
        <v>1.0309281086858109</v>
      </c>
      <c r="AJ637" s="25">
        <v>331113207.54716998</v>
      </c>
      <c r="AK637" s="24">
        <f t="shared" si="214"/>
        <v>2.6048942044105856E-2</v>
      </c>
      <c r="AL637" s="22">
        <f t="shared" si="215"/>
        <v>23630.54452995678</v>
      </c>
      <c r="AM637" s="22">
        <f t="shared" si="216"/>
        <v>47499.33134894957</v>
      </c>
      <c r="AN637" s="22">
        <f t="shared" si="217"/>
        <v>-23868.78681899279</v>
      </c>
      <c r="AO637" s="26" t="str">
        <f t="shared" si="218"/>
        <v/>
      </c>
      <c r="AP637" s="26" t="str">
        <f t="shared" si="219"/>
        <v>pre-launch</v>
      </c>
      <c r="AQ637" s="18"/>
      <c r="AR637" s="18"/>
    </row>
    <row r="638" spans="1:44" x14ac:dyDescent="0.25">
      <c r="A638" s="43">
        <v>45699</v>
      </c>
      <c r="B638" s="17">
        <v>6593863802.8500004</v>
      </c>
      <c r="C638" s="17">
        <v>0</v>
      </c>
      <c r="D638" s="17">
        <v>142810624</v>
      </c>
      <c r="E638" s="19">
        <f t="shared" si="198"/>
        <v>6593863802.8500004</v>
      </c>
      <c r="F638" s="19">
        <f t="shared" si="199"/>
        <v>6736674426.8500004</v>
      </c>
      <c r="G638" s="20">
        <f t="shared" si="200"/>
        <v>0</v>
      </c>
      <c r="H638" s="17">
        <v>1538904</v>
      </c>
      <c r="I638" s="17">
        <v>15656</v>
      </c>
      <c r="J638" s="17">
        <v>46439</v>
      </c>
      <c r="K638" s="19">
        <f t="shared" si="201"/>
        <v>1554560</v>
      </c>
      <c r="L638" s="18"/>
      <c r="M638" s="18"/>
      <c r="N638" s="18"/>
      <c r="O638" s="19">
        <f t="shared" si="202"/>
        <v>1538904</v>
      </c>
      <c r="P638" s="21">
        <f t="shared" si="203"/>
        <v>2.3338425633463262</v>
      </c>
      <c r="Q638" s="17">
        <v>1492737</v>
      </c>
      <c r="R638" s="17">
        <v>15186</v>
      </c>
      <c r="S638" s="19">
        <f t="shared" si="204"/>
        <v>1507923</v>
      </c>
      <c r="T638" s="20">
        <f t="shared" si="205"/>
        <v>0.03</v>
      </c>
      <c r="U638" s="19">
        <f t="shared" si="206"/>
        <v>46636.793814432989</v>
      </c>
      <c r="V638" s="17">
        <v>46439</v>
      </c>
      <c r="W638" s="19">
        <f t="shared" si="207"/>
        <v>197.79381443298917</v>
      </c>
      <c r="X638" s="19">
        <f t="shared" si="208"/>
        <v>46637</v>
      </c>
      <c r="Y638" s="17">
        <v>46167</v>
      </c>
      <c r="Z638" s="17">
        <v>470</v>
      </c>
      <c r="AA638" s="19">
        <f t="shared" si="209"/>
        <v>198</v>
      </c>
      <c r="AB638" s="17">
        <v>1507923</v>
      </c>
      <c r="AC638" s="27">
        <v>23.501999999999999</v>
      </c>
      <c r="AD638" s="27">
        <v>23.64875</v>
      </c>
      <c r="AE638" s="22">
        <f t="shared" si="210"/>
        <v>63763.327871451984</v>
      </c>
      <c r="AF638" s="23">
        <f t="shared" si="211"/>
        <v>0</v>
      </c>
      <c r="AG638" s="23">
        <f t="shared" si="212"/>
        <v>0</v>
      </c>
      <c r="AH638" s="17">
        <v>1547969.9726790199</v>
      </c>
      <c r="AI638" s="24">
        <f t="shared" si="213"/>
        <v>1.0265577039935194</v>
      </c>
      <c r="AJ638" s="25">
        <v>331830188.679245</v>
      </c>
      <c r="AK638" s="24">
        <f t="shared" si="214"/>
        <v>2.6020785022715702E-2</v>
      </c>
      <c r="AL638" s="22">
        <f t="shared" si="215"/>
        <v>23656.115078547464</v>
      </c>
      <c r="AM638" s="22">
        <f t="shared" si="216"/>
        <v>63763.327871451984</v>
      </c>
      <c r="AN638" s="22">
        <f t="shared" si="217"/>
        <v>-40107.212792904524</v>
      </c>
      <c r="AO638" s="26" t="str">
        <f t="shared" si="218"/>
        <v/>
      </c>
      <c r="AP638" s="26" t="str">
        <f t="shared" si="219"/>
        <v>pre-launch</v>
      </c>
      <c r="AQ638" s="18"/>
      <c r="AR638" s="18"/>
    </row>
    <row r="639" spans="1:44" x14ac:dyDescent="0.25">
      <c r="A639" s="43">
        <v>45700</v>
      </c>
      <c r="B639" s="17">
        <v>7575580365.8500004</v>
      </c>
      <c r="C639" s="17">
        <v>0</v>
      </c>
      <c r="D639" s="17">
        <v>122695803</v>
      </c>
      <c r="E639" s="19">
        <f t="shared" si="198"/>
        <v>7575580365.8500004</v>
      </c>
      <c r="F639" s="19">
        <f t="shared" si="199"/>
        <v>7698276168.8500004</v>
      </c>
      <c r="G639" s="20">
        <f t="shared" si="200"/>
        <v>0</v>
      </c>
      <c r="H639" s="17">
        <v>1791221</v>
      </c>
      <c r="I639" s="17">
        <v>18209</v>
      </c>
      <c r="J639" s="17">
        <v>54104</v>
      </c>
      <c r="K639" s="19">
        <f t="shared" si="201"/>
        <v>1809430</v>
      </c>
      <c r="L639" s="18"/>
      <c r="M639" s="18"/>
      <c r="N639" s="18"/>
      <c r="O639" s="19">
        <f t="shared" si="202"/>
        <v>1791221</v>
      </c>
      <c r="P639" s="21">
        <f t="shared" si="203"/>
        <v>2.364467028921843</v>
      </c>
      <c r="Q639" s="17">
        <v>1737484</v>
      </c>
      <c r="R639" s="17">
        <v>17662</v>
      </c>
      <c r="S639" s="19">
        <f t="shared" si="204"/>
        <v>1755146</v>
      </c>
      <c r="T639" s="20">
        <f t="shared" si="205"/>
        <v>0.03</v>
      </c>
      <c r="U639" s="19">
        <f t="shared" si="206"/>
        <v>54282.865979381444</v>
      </c>
      <c r="V639" s="17">
        <v>54104</v>
      </c>
      <c r="W639" s="19">
        <f t="shared" si="207"/>
        <v>178.86597938144405</v>
      </c>
      <c r="X639" s="19">
        <f t="shared" si="208"/>
        <v>54283</v>
      </c>
      <c r="Y639" s="17">
        <v>53737</v>
      </c>
      <c r="Z639" s="17">
        <v>546</v>
      </c>
      <c r="AA639" s="19">
        <f t="shared" si="209"/>
        <v>179</v>
      </c>
      <c r="AB639" s="17">
        <v>1755146</v>
      </c>
      <c r="AC639" s="27">
        <v>25.841999999999999</v>
      </c>
      <c r="AD639" s="27">
        <v>24.423749999999998</v>
      </c>
      <c r="AE639" s="22">
        <f t="shared" si="210"/>
        <v>71862.265213163424</v>
      </c>
      <c r="AF639" s="23">
        <f t="shared" si="211"/>
        <v>1</v>
      </c>
      <c r="AG639" s="23">
        <f t="shared" si="212"/>
        <v>0</v>
      </c>
      <c r="AH639" s="17">
        <v>1803463.6049220001</v>
      </c>
      <c r="AI639" s="24">
        <f t="shared" si="213"/>
        <v>1.0275291086450928</v>
      </c>
      <c r="AJ639" s="25">
        <v>332547169.81132102</v>
      </c>
      <c r="AK639" s="24">
        <f t="shared" si="214"/>
        <v>2.5992719111484087E-2</v>
      </c>
      <c r="AL639" s="22">
        <f t="shared" si="215"/>
        <v>23681.658017053884</v>
      </c>
      <c r="AM639" s="22">
        <f t="shared" si="216"/>
        <v>71862.265213163424</v>
      </c>
      <c r="AN639" s="22">
        <f t="shared" si="217"/>
        <v>-48180.607196109544</v>
      </c>
      <c r="AO639" s="26" t="str">
        <f t="shared" si="218"/>
        <v/>
      </c>
      <c r="AP639" s="26" t="str">
        <f t="shared" si="219"/>
        <v>pre-launch</v>
      </c>
      <c r="AQ639" s="18"/>
      <c r="AR639" s="18"/>
    </row>
    <row r="640" spans="1:44" x14ac:dyDescent="0.25">
      <c r="A640" s="43">
        <v>45701</v>
      </c>
      <c r="B640" s="17">
        <v>5121162003.8900003</v>
      </c>
      <c r="C640" s="17">
        <v>0</v>
      </c>
      <c r="D640" s="17">
        <v>199613305</v>
      </c>
      <c r="E640" s="19">
        <f t="shared" si="198"/>
        <v>5121162003.8900003</v>
      </c>
      <c r="F640" s="19">
        <f t="shared" si="199"/>
        <v>5320775308.8900003</v>
      </c>
      <c r="G640" s="20">
        <f t="shared" si="200"/>
        <v>0</v>
      </c>
      <c r="H640" s="17">
        <v>1388068</v>
      </c>
      <c r="I640" s="17">
        <v>18585</v>
      </c>
      <c r="J640" s="17">
        <v>0</v>
      </c>
      <c r="K640" s="19">
        <f t="shared" si="201"/>
        <v>1406653</v>
      </c>
      <c r="L640" s="18"/>
      <c r="M640" s="18"/>
      <c r="N640" s="18"/>
      <c r="O640" s="19">
        <f t="shared" si="202"/>
        <v>1388068</v>
      </c>
      <c r="P640" s="21">
        <f t="shared" si="203"/>
        <v>2.710455164171008</v>
      </c>
      <c r="Q640" s="17">
        <v>1346426</v>
      </c>
      <c r="R640" s="17">
        <v>18028</v>
      </c>
      <c r="S640" s="19">
        <f t="shared" si="204"/>
        <v>1364454</v>
      </c>
      <c r="T640" s="20">
        <f t="shared" si="205"/>
        <v>0.03</v>
      </c>
      <c r="U640" s="19">
        <f t="shared" si="206"/>
        <v>42199.608247422679</v>
      </c>
      <c r="V640" s="17">
        <v>0</v>
      </c>
      <c r="W640" s="19">
        <f t="shared" si="207"/>
        <v>42199.608247422679</v>
      </c>
      <c r="X640" s="19">
        <f t="shared" si="208"/>
        <v>42200</v>
      </c>
      <c r="Y640" s="17">
        <v>41642</v>
      </c>
      <c r="Z640" s="17">
        <v>558</v>
      </c>
      <c r="AA640" s="19">
        <f t="shared" si="209"/>
        <v>42200</v>
      </c>
      <c r="AB640" s="17">
        <v>1364454</v>
      </c>
      <c r="AC640" s="27">
        <v>26.271000000000001</v>
      </c>
      <c r="AD640" s="27">
        <v>25.731750000000002</v>
      </c>
      <c r="AE640" s="22">
        <f t="shared" si="210"/>
        <v>53026.08644961963</v>
      </c>
      <c r="AF640" s="23">
        <f t="shared" si="211"/>
        <v>-1</v>
      </c>
      <c r="AG640" s="23">
        <f t="shared" si="212"/>
        <v>0</v>
      </c>
      <c r="AH640" s="17">
        <v>1225092.0435920099</v>
      </c>
      <c r="AI640" s="24">
        <f t="shared" si="213"/>
        <v>0.89786247362828642</v>
      </c>
      <c r="AJ640" s="25">
        <v>333264150.94339597</v>
      </c>
      <c r="AK640" s="24">
        <f t="shared" si="214"/>
        <v>2.5964743820113368E-2</v>
      </c>
      <c r="AL640" s="22">
        <f t="shared" si="215"/>
        <v>23707.173434720189</v>
      </c>
      <c r="AM640" s="22">
        <f t="shared" si="216"/>
        <v>53026.08644961963</v>
      </c>
      <c r="AN640" s="22">
        <f t="shared" si="217"/>
        <v>-29318.913014899441</v>
      </c>
      <c r="AO640" s="26" t="str">
        <f t="shared" si="218"/>
        <v/>
      </c>
      <c r="AP640" s="26" t="str">
        <f t="shared" si="219"/>
        <v>pre-launch</v>
      </c>
      <c r="AQ640" s="18"/>
      <c r="AR640" s="18"/>
    </row>
    <row r="641" spans="1:44" x14ac:dyDescent="0.25">
      <c r="A641" s="43">
        <v>45702</v>
      </c>
      <c r="B641" s="17">
        <v>5071294403.5799999</v>
      </c>
      <c r="C641" s="17">
        <v>0</v>
      </c>
      <c r="D641" s="17">
        <v>103410352</v>
      </c>
      <c r="E641" s="19">
        <f t="shared" si="198"/>
        <v>5071294403.5799999</v>
      </c>
      <c r="F641" s="19">
        <f t="shared" si="199"/>
        <v>5174704755.5799999</v>
      </c>
      <c r="G641" s="20">
        <f t="shared" si="200"/>
        <v>0</v>
      </c>
      <c r="H641" s="17">
        <v>1000308</v>
      </c>
      <c r="I641" s="17">
        <v>25753</v>
      </c>
      <c r="J641" s="17">
        <v>0</v>
      </c>
      <c r="K641" s="19">
        <f t="shared" si="201"/>
        <v>1026061</v>
      </c>
      <c r="L641" s="18"/>
      <c r="M641" s="18"/>
      <c r="N641" s="18"/>
      <c r="O641" s="19">
        <f t="shared" si="202"/>
        <v>1000308</v>
      </c>
      <c r="P641" s="21">
        <f t="shared" si="203"/>
        <v>1.9724904933419924</v>
      </c>
      <c r="Q641" s="17">
        <v>970299</v>
      </c>
      <c r="R641" s="17">
        <v>24980</v>
      </c>
      <c r="S641" s="19">
        <f t="shared" si="204"/>
        <v>995279</v>
      </c>
      <c r="T641" s="20">
        <f t="shared" si="205"/>
        <v>0.03</v>
      </c>
      <c r="U641" s="19">
        <f t="shared" si="206"/>
        <v>30781.82474226804</v>
      </c>
      <c r="V641" s="17">
        <v>0</v>
      </c>
      <c r="W641" s="19">
        <f t="shared" si="207"/>
        <v>30781.82474226804</v>
      </c>
      <c r="X641" s="19">
        <f t="shared" si="208"/>
        <v>30782</v>
      </c>
      <c r="Y641" s="17">
        <v>30009</v>
      </c>
      <c r="Z641" s="17">
        <v>773</v>
      </c>
      <c r="AA641" s="19">
        <f t="shared" si="209"/>
        <v>30782</v>
      </c>
      <c r="AB641" s="17">
        <v>995279</v>
      </c>
      <c r="AC641" s="27">
        <v>26.184000000000001</v>
      </c>
      <c r="AD641" s="27">
        <v>26.64575</v>
      </c>
      <c r="AE641" s="22">
        <f t="shared" si="210"/>
        <v>37352.260679470462</v>
      </c>
      <c r="AF641" s="23">
        <f t="shared" si="211"/>
        <v>0</v>
      </c>
      <c r="AG641" s="23">
        <f t="shared" si="212"/>
        <v>0</v>
      </c>
      <c r="AH641" s="17">
        <v>1220176.8617809999</v>
      </c>
      <c r="AI641" s="24">
        <f t="shared" si="213"/>
        <v>1.225964640850455</v>
      </c>
      <c r="AJ641" s="25">
        <v>333981132.075472</v>
      </c>
      <c r="AK641" s="24">
        <f t="shared" si="214"/>
        <v>2.5936858661991666E-2</v>
      </c>
      <c r="AL641" s="22">
        <f t="shared" si="215"/>
        <v>23732.661420310927</v>
      </c>
      <c r="AM641" s="22">
        <f t="shared" si="216"/>
        <v>37352.260679470462</v>
      </c>
      <c r="AN641" s="22">
        <f t="shared" si="217"/>
        <v>-13619.599259159535</v>
      </c>
      <c r="AO641" s="26" t="str">
        <f t="shared" si="218"/>
        <v/>
      </c>
      <c r="AP641" s="26" t="str">
        <f t="shared" si="219"/>
        <v>pre-launch</v>
      </c>
      <c r="AQ641" s="18"/>
      <c r="AR641" s="18"/>
    </row>
    <row r="642" spans="1:44" x14ac:dyDescent="0.25">
      <c r="A642" s="43">
        <v>45703</v>
      </c>
      <c r="B642" s="17">
        <v>2569566270.96</v>
      </c>
      <c r="C642" s="17">
        <v>0</v>
      </c>
      <c r="D642" s="17">
        <v>78021652</v>
      </c>
      <c r="E642" s="19">
        <f t="shared" si="198"/>
        <v>2569566270.96</v>
      </c>
      <c r="F642" s="19">
        <f t="shared" si="199"/>
        <v>2647587922.96</v>
      </c>
      <c r="G642" s="20">
        <f t="shared" si="200"/>
        <v>0</v>
      </c>
      <c r="H642" s="17">
        <v>724327</v>
      </c>
      <c r="I642" s="17">
        <v>17622</v>
      </c>
      <c r="J642" s="17">
        <v>0</v>
      </c>
      <c r="K642" s="19">
        <f t="shared" si="201"/>
        <v>741949</v>
      </c>
      <c r="L642" s="18"/>
      <c r="M642" s="18"/>
      <c r="N642" s="18"/>
      <c r="O642" s="19">
        <f t="shared" si="202"/>
        <v>724327</v>
      </c>
      <c r="P642" s="21">
        <f t="shared" si="203"/>
        <v>2.8188687257689935</v>
      </c>
      <c r="Q642" s="17">
        <v>702597</v>
      </c>
      <c r="R642" s="17">
        <v>17093</v>
      </c>
      <c r="S642" s="19">
        <f t="shared" si="204"/>
        <v>719690</v>
      </c>
      <c r="T642" s="20">
        <f t="shared" si="205"/>
        <v>0.03</v>
      </c>
      <c r="U642" s="19">
        <f t="shared" si="206"/>
        <v>22258.453608247422</v>
      </c>
      <c r="V642" s="17">
        <v>0</v>
      </c>
      <c r="W642" s="19">
        <f t="shared" si="207"/>
        <v>22258.453608247422</v>
      </c>
      <c r="X642" s="19">
        <f t="shared" si="208"/>
        <v>22259</v>
      </c>
      <c r="Y642" s="17">
        <v>21730</v>
      </c>
      <c r="Z642" s="17">
        <v>529</v>
      </c>
      <c r="AA642" s="19">
        <f t="shared" si="209"/>
        <v>22259</v>
      </c>
      <c r="AB642" s="17">
        <v>719690</v>
      </c>
      <c r="AC642" s="27">
        <v>25.719000000000001</v>
      </c>
      <c r="AD642" s="27">
        <v>26.024999999999999</v>
      </c>
      <c r="AE642" s="22">
        <f t="shared" si="210"/>
        <v>27653.794428434201</v>
      </c>
      <c r="AF642" s="23">
        <f t="shared" si="211"/>
        <v>0</v>
      </c>
      <c r="AG642" s="23">
        <f t="shared" si="212"/>
        <v>0</v>
      </c>
      <c r="AH642" s="17">
        <v>741948.98100197304</v>
      </c>
      <c r="AI642" s="24">
        <f t="shared" si="213"/>
        <v>1.030928567858346</v>
      </c>
      <c r="AJ642" s="25">
        <v>334698113.20754701</v>
      </c>
      <c r="AK642" s="24">
        <f t="shared" si="214"/>
        <v>2.5909063154157641E-2</v>
      </c>
      <c r="AL642" s="22">
        <f t="shared" si="215"/>
        <v>23758.122062114355</v>
      </c>
      <c r="AM642" s="22">
        <f t="shared" si="216"/>
        <v>27653.794428434201</v>
      </c>
      <c r="AN642" s="22">
        <f t="shared" si="217"/>
        <v>-3895.6723663198463</v>
      </c>
      <c r="AO642" s="26" t="str">
        <f t="shared" si="218"/>
        <v/>
      </c>
      <c r="AP642" s="26" t="str">
        <f t="shared" si="219"/>
        <v>pre-launch</v>
      </c>
      <c r="AQ642" s="18"/>
      <c r="AR642" s="18"/>
    </row>
    <row r="643" spans="1:44" x14ac:dyDescent="0.25">
      <c r="A643" s="43">
        <v>45704</v>
      </c>
      <c r="B643" s="17">
        <v>2576463334.9200001</v>
      </c>
      <c r="C643" s="17">
        <v>0</v>
      </c>
      <c r="D643" s="17">
        <v>120737014</v>
      </c>
      <c r="E643" s="19">
        <f t="shared" si="198"/>
        <v>2576463334.9200001</v>
      </c>
      <c r="F643" s="19">
        <f t="shared" si="199"/>
        <v>2697200348.9200001</v>
      </c>
      <c r="G643" s="20">
        <f t="shared" si="200"/>
        <v>0</v>
      </c>
      <c r="H643" s="17">
        <v>599409</v>
      </c>
      <c r="I643" s="17">
        <v>8856</v>
      </c>
      <c r="J643" s="17">
        <v>18248</v>
      </c>
      <c r="K643" s="19">
        <f t="shared" si="201"/>
        <v>608265</v>
      </c>
      <c r="L643" s="18"/>
      <c r="M643" s="18"/>
      <c r="N643" s="18"/>
      <c r="O643" s="19">
        <f t="shared" si="202"/>
        <v>599409</v>
      </c>
      <c r="P643" s="21">
        <f t="shared" si="203"/>
        <v>2.3264798372091402</v>
      </c>
      <c r="Q643" s="17">
        <v>581427</v>
      </c>
      <c r="R643" s="17">
        <v>8590</v>
      </c>
      <c r="S643" s="19">
        <f t="shared" si="204"/>
        <v>590017</v>
      </c>
      <c r="T643" s="20">
        <f t="shared" si="205"/>
        <v>0.03</v>
      </c>
      <c r="U643" s="19">
        <f t="shared" si="206"/>
        <v>18247.948453608245</v>
      </c>
      <c r="V643" s="17">
        <v>18248</v>
      </c>
      <c r="W643" s="19">
        <f t="shared" si="207"/>
        <v>-5.1546391754527576E-2</v>
      </c>
      <c r="X643" s="19">
        <f t="shared" si="208"/>
        <v>18248</v>
      </c>
      <c r="Y643" s="17">
        <v>17982</v>
      </c>
      <c r="Z643" s="17">
        <v>266</v>
      </c>
      <c r="AA643" s="19">
        <f t="shared" si="209"/>
        <v>0</v>
      </c>
      <c r="AB643" s="17">
        <v>590017</v>
      </c>
      <c r="AC643" s="27">
        <v>26.797000000000001</v>
      </c>
      <c r="AD643" s="27">
        <v>26.265250000000002</v>
      </c>
      <c r="AE643" s="22">
        <f t="shared" si="210"/>
        <v>22463.787704286078</v>
      </c>
      <c r="AF643" s="23">
        <f t="shared" si="211"/>
        <v>0</v>
      </c>
      <c r="AG643" s="23">
        <f t="shared" si="212"/>
        <v>0</v>
      </c>
      <c r="AH643" s="17">
        <v>608265.34559100901</v>
      </c>
      <c r="AI643" s="24">
        <f t="shared" si="213"/>
        <v>1.0309285081463908</v>
      </c>
      <c r="AJ643" s="25">
        <v>335415094.33962297</v>
      </c>
      <c r="AK643" s="24">
        <f t="shared" si="214"/>
        <v>2.5881356817265062E-2</v>
      </c>
      <c r="AL643" s="22">
        <f t="shared" si="215"/>
        <v>23783.555447946317</v>
      </c>
      <c r="AM643" s="22">
        <f t="shared" si="216"/>
        <v>22463.787704286078</v>
      </c>
      <c r="AN643" s="22">
        <f t="shared" si="217"/>
        <v>1319.7677436602389</v>
      </c>
      <c r="AO643" s="26" t="str">
        <f t="shared" si="218"/>
        <v/>
      </c>
      <c r="AP643" s="26" t="str">
        <f t="shared" si="219"/>
        <v>pre-launch</v>
      </c>
      <c r="AQ643" s="18"/>
      <c r="AR643" s="18"/>
    </row>
    <row r="644" spans="1:44" x14ac:dyDescent="0.25">
      <c r="A644" s="43">
        <v>45705</v>
      </c>
      <c r="B644" s="17">
        <v>5049366130.6499996</v>
      </c>
      <c r="C644" s="17">
        <v>0</v>
      </c>
      <c r="D644" s="17">
        <v>360271474</v>
      </c>
      <c r="E644" s="19">
        <f t="shared" si="198"/>
        <v>5049366130.6499996</v>
      </c>
      <c r="F644" s="19">
        <f t="shared" si="199"/>
        <v>5409637604.6499996</v>
      </c>
      <c r="G644" s="20">
        <f t="shared" si="200"/>
        <v>0</v>
      </c>
      <c r="H644" s="17">
        <v>1305683</v>
      </c>
      <c r="I644" s="17">
        <v>18954</v>
      </c>
      <c r="J644" s="17">
        <v>39606</v>
      </c>
      <c r="K644" s="19">
        <f t="shared" si="201"/>
        <v>1324637</v>
      </c>
      <c r="L644" s="18"/>
      <c r="M644" s="18"/>
      <c r="N644" s="18"/>
      <c r="O644" s="19">
        <f t="shared" si="202"/>
        <v>1305683</v>
      </c>
      <c r="P644" s="21">
        <f t="shared" si="203"/>
        <v>2.5858354617511581</v>
      </c>
      <c r="Q644" s="17">
        <v>1266513</v>
      </c>
      <c r="R644" s="17">
        <v>18385</v>
      </c>
      <c r="S644" s="19">
        <f t="shared" si="204"/>
        <v>1284898</v>
      </c>
      <c r="T644" s="20">
        <f t="shared" si="205"/>
        <v>0.03</v>
      </c>
      <c r="U644" s="19">
        <f t="shared" si="206"/>
        <v>39739.113402061848</v>
      </c>
      <c r="V644" s="17">
        <v>39606</v>
      </c>
      <c r="W644" s="19">
        <f t="shared" si="207"/>
        <v>133.11340206184832</v>
      </c>
      <c r="X644" s="19">
        <f t="shared" si="208"/>
        <v>39739</v>
      </c>
      <c r="Y644" s="17">
        <v>39170</v>
      </c>
      <c r="Z644" s="17">
        <v>569</v>
      </c>
      <c r="AA644" s="19">
        <f t="shared" si="209"/>
        <v>133</v>
      </c>
      <c r="AB644" s="17">
        <v>1284898</v>
      </c>
      <c r="AC644" s="27">
        <v>25.378</v>
      </c>
      <c r="AD644" s="27">
        <v>26.007000000000001</v>
      </c>
      <c r="AE644" s="22">
        <f t="shared" si="210"/>
        <v>49405.852270542542</v>
      </c>
      <c r="AF644" s="23">
        <f t="shared" si="211"/>
        <v>0</v>
      </c>
      <c r="AG644" s="23">
        <f t="shared" si="212"/>
        <v>0</v>
      </c>
      <c r="AH644" s="17">
        <v>1320213.4976580101</v>
      </c>
      <c r="AI644" s="24">
        <f t="shared" si="213"/>
        <v>1.0274850592482907</v>
      </c>
      <c r="AJ644" s="25">
        <v>336132075.47169799</v>
      </c>
      <c r="AK644" s="24">
        <f t="shared" si="214"/>
        <v>2.5853739175548347E-2</v>
      </c>
      <c r="AL644" s="22">
        <f t="shared" si="215"/>
        <v>23808.961665153456</v>
      </c>
      <c r="AM644" s="22">
        <f t="shared" si="216"/>
        <v>49405.852270542542</v>
      </c>
      <c r="AN644" s="22">
        <f t="shared" si="217"/>
        <v>-25596.890605389086</v>
      </c>
      <c r="AO644" s="26" t="str">
        <f t="shared" si="218"/>
        <v/>
      </c>
      <c r="AP644" s="26" t="str">
        <f t="shared" si="219"/>
        <v>pre-launch</v>
      </c>
      <c r="AQ644" s="18"/>
      <c r="AR644" s="18"/>
    </row>
    <row r="645" spans="1:44" x14ac:dyDescent="0.25">
      <c r="A645" s="43">
        <v>45706</v>
      </c>
      <c r="B645" s="17">
        <v>6787245917.8900003</v>
      </c>
      <c r="C645" s="17">
        <v>0</v>
      </c>
      <c r="D645" s="17">
        <v>146705782</v>
      </c>
      <c r="E645" s="19">
        <f t="shared" ref="E645:E708" si="220">B645+C645</f>
        <v>6787245917.8900003</v>
      </c>
      <c r="F645" s="19">
        <f t="shared" ref="F645:F708" si="221">E645+D645</f>
        <v>6933951699.8900003</v>
      </c>
      <c r="G645" s="20">
        <f t="shared" ref="G645:G708" si="222">IFERROR(C645/E645,0)</f>
        <v>0</v>
      </c>
      <c r="H645" s="17">
        <v>1594393</v>
      </c>
      <c r="I645" s="17">
        <v>55805</v>
      </c>
      <c r="J645" s="17">
        <v>49639</v>
      </c>
      <c r="K645" s="19">
        <f t="shared" ref="K645:K708" si="223">H645+I645</f>
        <v>1650198</v>
      </c>
      <c r="L645" s="18"/>
      <c r="M645" s="18"/>
      <c r="N645" s="18"/>
      <c r="O645" s="19">
        <f t="shared" ref="O645:O708" si="224">IF(H645=0,0,H645-L645)</f>
        <v>1594393</v>
      </c>
      <c r="P645" s="21">
        <f t="shared" ref="P645:P708" si="225">IF(B645=0,0,O645/B645*10000)</f>
        <v>2.3491015638573773</v>
      </c>
      <c r="Q645" s="17">
        <v>1546561</v>
      </c>
      <c r="R645" s="17">
        <v>54131</v>
      </c>
      <c r="S645" s="19">
        <f t="shared" ref="S645:S708" si="226">Q645+R645</f>
        <v>1600692</v>
      </c>
      <c r="T645" s="20">
        <f t="shared" ref="T645:T708" si="227">IF(A645&lt;HlpChangeDate,HlpSharePre,HlpSharePost)</f>
        <v>0.03</v>
      </c>
      <c r="U645" s="19">
        <f t="shared" ref="U645:U708" si="228">S645*T645/(1-T645)</f>
        <v>49505.938144329892</v>
      </c>
      <c r="V645" s="17">
        <v>49639</v>
      </c>
      <c r="W645" s="19">
        <f t="shared" ref="W645:W708" si="229">U645-V645</f>
        <v>-133.06185567010834</v>
      </c>
      <c r="X645" s="19">
        <f t="shared" ref="X645:X708" si="230">Y645+Z645</f>
        <v>49506</v>
      </c>
      <c r="Y645" s="17">
        <v>47832</v>
      </c>
      <c r="Z645" s="17">
        <v>1674</v>
      </c>
      <c r="AA645" s="19">
        <f t="shared" ref="AA645:AA708" si="231">X645-V645</f>
        <v>-133</v>
      </c>
      <c r="AB645" s="17">
        <v>1600692</v>
      </c>
      <c r="AC645" s="27">
        <v>24.087</v>
      </c>
      <c r="AD645" s="27">
        <v>24.836500000000001</v>
      </c>
      <c r="AE645" s="22">
        <f t="shared" ref="AE645:AE708" si="232">IFERROR(AB645/AD645,0)</f>
        <v>64449.177621645562</v>
      </c>
      <c r="AF645" s="23">
        <f t="shared" ref="AF645:AF708" si="233">K645-S645-X645</f>
        <v>0</v>
      </c>
      <c r="AG645" s="23">
        <f t="shared" ref="AG645:AG708" si="234">S645-AB645</f>
        <v>0</v>
      </c>
      <c r="AH645" s="17">
        <v>1654620.895641</v>
      </c>
      <c r="AI645" s="24">
        <f t="shared" ref="AI645:AI708" si="235">IFERROR(AH645/S645,0)</f>
        <v>1.033690988423132</v>
      </c>
      <c r="AJ645" s="25">
        <v>336849056.60377401</v>
      </c>
      <c r="AK645" s="24">
        <f t="shared" ref="AK645:AK708" si="236">IF(AJ645&gt;0,AprCoef/SQRT(AJ645),0)</f>
        <v>2.582620975678801E-2</v>
      </c>
      <c r="AL645" s="22">
        <f t="shared" ref="AL645:AL708" si="237">AJ645*AK645/365</f>
        <v>23834.340800617054</v>
      </c>
      <c r="AM645" s="22">
        <f t="shared" ref="AM645:AM708" si="238">AE645</f>
        <v>64449.177621645562</v>
      </c>
      <c r="AN645" s="22">
        <f t="shared" ref="AN645:AN708" si="239">AL645-AM645</f>
        <v>-40614.836821028512</v>
      </c>
      <c r="AO645" s="26" t="str">
        <f t="shared" ref="AO645:AO708" si="240">IF(A645&gt;=Hip3LaunchDate,"YES","")</f>
        <v/>
      </c>
      <c r="AP645" s="26" t="str">
        <f t="shared" ref="AP645:AP708" si="241">IF(A645&lt;Hip4LaunchDate,"pre-launch","live (zero-fee)")</f>
        <v>pre-launch</v>
      </c>
      <c r="AQ645" s="18"/>
      <c r="AR645" s="18"/>
    </row>
    <row r="646" spans="1:44" x14ac:dyDescent="0.25">
      <c r="A646" s="43">
        <v>45707</v>
      </c>
      <c r="B646" s="17">
        <v>3901859790.8600001</v>
      </c>
      <c r="C646" s="17">
        <v>0</v>
      </c>
      <c r="D646" s="17">
        <v>136622361</v>
      </c>
      <c r="E646" s="19">
        <f t="shared" si="220"/>
        <v>3901859790.8600001</v>
      </c>
      <c r="F646" s="19">
        <f t="shared" si="221"/>
        <v>4038482151.8600001</v>
      </c>
      <c r="G646" s="20">
        <f t="shared" si="222"/>
        <v>0</v>
      </c>
      <c r="H646" s="17">
        <v>987639</v>
      </c>
      <c r="I646" s="17">
        <v>22056</v>
      </c>
      <c r="J646" s="17">
        <v>30291</v>
      </c>
      <c r="K646" s="19">
        <f t="shared" si="223"/>
        <v>1009695</v>
      </c>
      <c r="L646" s="18"/>
      <c r="M646" s="18"/>
      <c r="N646" s="18"/>
      <c r="O646" s="19">
        <f t="shared" si="224"/>
        <v>987639</v>
      </c>
      <c r="P646" s="21">
        <f t="shared" si="225"/>
        <v>2.5312006400473881</v>
      </c>
      <c r="Q646" s="17">
        <v>958010</v>
      </c>
      <c r="R646" s="17">
        <v>21395</v>
      </c>
      <c r="S646" s="19">
        <f t="shared" si="226"/>
        <v>979405</v>
      </c>
      <c r="T646" s="20">
        <f t="shared" si="227"/>
        <v>0.03</v>
      </c>
      <c r="U646" s="19">
        <f t="shared" si="228"/>
        <v>30290.876288659791</v>
      </c>
      <c r="V646" s="17">
        <v>30291</v>
      </c>
      <c r="W646" s="19">
        <f t="shared" si="229"/>
        <v>-0.12371134020941099</v>
      </c>
      <c r="X646" s="19">
        <f t="shared" si="230"/>
        <v>30291</v>
      </c>
      <c r="Y646" s="17">
        <v>29629</v>
      </c>
      <c r="Z646" s="17">
        <v>662</v>
      </c>
      <c r="AA646" s="19">
        <f t="shared" si="231"/>
        <v>0</v>
      </c>
      <c r="AB646" s="17">
        <v>979405</v>
      </c>
      <c r="AC646" s="27">
        <v>24.062999999999999</v>
      </c>
      <c r="AD646" s="27">
        <v>23.790500000000002</v>
      </c>
      <c r="AE646" s="22">
        <f t="shared" si="232"/>
        <v>41167.903154620537</v>
      </c>
      <c r="AF646" s="23">
        <f t="shared" si="233"/>
        <v>-1</v>
      </c>
      <c r="AG646" s="23">
        <f t="shared" si="234"/>
        <v>0</v>
      </c>
      <c r="AH646" s="17">
        <v>1009695.90181899</v>
      </c>
      <c r="AI646" s="24">
        <f t="shared" si="235"/>
        <v>1.0309278611187302</v>
      </c>
      <c r="AJ646" s="25">
        <v>337566037.73584902</v>
      </c>
      <c r="AK646" s="24">
        <f t="shared" si="236"/>
        <v>2.5798768092277005E-2</v>
      </c>
      <c r="AL646" s="22">
        <f t="shared" si="237"/>
        <v>23859.692940756158</v>
      </c>
      <c r="AM646" s="22">
        <f t="shared" si="238"/>
        <v>41167.903154620537</v>
      </c>
      <c r="AN646" s="22">
        <f t="shared" si="239"/>
        <v>-17308.210213864379</v>
      </c>
      <c r="AO646" s="26" t="str">
        <f t="shared" si="240"/>
        <v/>
      </c>
      <c r="AP646" s="26" t="str">
        <f t="shared" si="241"/>
        <v>pre-launch</v>
      </c>
      <c r="AQ646" s="18"/>
      <c r="AR646" s="18"/>
    </row>
    <row r="647" spans="1:44" x14ac:dyDescent="0.25">
      <c r="A647" s="43">
        <v>45708</v>
      </c>
      <c r="B647" s="17">
        <v>5037378690.9700003</v>
      </c>
      <c r="C647" s="17">
        <v>0</v>
      </c>
      <c r="D647" s="17">
        <v>206747279</v>
      </c>
      <c r="E647" s="19">
        <f t="shared" si="220"/>
        <v>5037378690.9700003</v>
      </c>
      <c r="F647" s="19">
        <f t="shared" si="221"/>
        <v>5244125969.9700003</v>
      </c>
      <c r="G647" s="20">
        <f t="shared" si="222"/>
        <v>0</v>
      </c>
      <c r="H647" s="17">
        <v>1174903</v>
      </c>
      <c r="I647" s="17">
        <v>20113</v>
      </c>
      <c r="J647" s="17">
        <v>35850</v>
      </c>
      <c r="K647" s="19">
        <f t="shared" si="223"/>
        <v>1195016</v>
      </c>
      <c r="L647" s="18"/>
      <c r="M647" s="18"/>
      <c r="N647" s="18"/>
      <c r="O647" s="19">
        <f t="shared" si="224"/>
        <v>1174903</v>
      </c>
      <c r="P647" s="21">
        <f t="shared" si="225"/>
        <v>2.3323698138996973</v>
      </c>
      <c r="Q647" s="17">
        <v>1139656</v>
      </c>
      <c r="R647" s="17">
        <v>19510</v>
      </c>
      <c r="S647" s="19">
        <f t="shared" si="226"/>
        <v>1159166</v>
      </c>
      <c r="T647" s="20">
        <f t="shared" si="227"/>
        <v>0.03</v>
      </c>
      <c r="U647" s="19">
        <f t="shared" si="228"/>
        <v>35850.494845360823</v>
      </c>
      <c r="V647" s="17">
        <v>35850</v>
      </c>
      <c r="W647" s="19">
        <f t="shared" si="229"/>
        <v>0.49484536082309205</v>
      </c>
      <c r="X647" s="19">
        <f t="shared" si="230"/>
        <v>35850</v>
      </c>
      <c r="Y647" s="17">
        <v>35247</v>
      </c>
      <c r="Z647" s="17">
        <v>603</v>
      </c>
      <c r="AA647" s="19">
        <f t="shared" si="231"/>
        <v>0</v>
      </c>
      <c r="AB647" s="17">
        <v>1159166</v>
      </c>
      <c r="AC647" s="27">
        <v>24.448</v>
      </c>
      <c r="AD647" s="27">
        <v>24.44</v>
      </c>
      <c r="AE647" s="22">
        <f t="shared" si="232"/>
        <v>47429.050736497542</v>
      </c>
      <c r="AF647" s="23">
        <f t="shared" si="233"/>
        <v>0</v>
      </c>
      <c r="AG647" s="23">
        <f t="shared" si="234"/>
        <v>0</v>
      </c>
      <c r="AH647" s="17">
        <v>1124109.265169</v>
      </c>
      <c r="AI647" s="24">
        <f t="shared" si="235"/>
        <v>0.96975693314762512</v>
      </c>
      <c r="AJ647" s="25">
        <v>338283018.86792499</v>
      </c>
      <c r="AK647" s="24">
        <f t="shared" si="236"/>
        <v>2.5771413716786915E-2</v>
      </c>
      <c r="AL647" s="22">
        <f t="shared" si="237"/>
        <v>23885.018171531308</v>
      </c>
      <c r="AM647" s="22">
        <f t="shared" si="238"/>
        <v>47429.050736497542</v>
      </c>
      <c r="AN647" s="22">
        <f t="shared" si="239"/>
        <v>-23544.032564966234</v>
      </c>
      <c r="AO647" s="26" t="str">
        <f t="shared" si="240"/>
        <v/>
      </c>
      <c r="AP647" s="26" t="str">
        <f t="shared" si="241"/>
        <v>pre-launch</v>
      </c>
      <c r="AQ647" s="18"/>
      <c r="AR647" s="18"/>
    </row>
    <row r="648" spans="1:44" x14ac:dyDescent="0.25">
      <c r="A648" s="43">
        <v>45709</v>
      </c>
      <c r="B648" s="17">
        <v>10385529202.049999</v>
      </c>
      <c r="C648" s="17">
        <v>0</v>
      </c>
      <c r="D648" s="17">
        <v>71766053</v>
      </c>
      <c r="E648" s="19">
        <f t="shared" si="220"/>
        <v>10385529202.049999</v>
      </c>
      <c r="F648" s="19">
        <f t="shared" si="221"/>
        <v>10457295255.049999</v>
      </c>
      <c r="G648" s="20">
        <f t="shared" si="222"/>
        <v>0</v>
      </c>
      <c r="H648" s="17">
        <v>2360338</v>
      </c>
      <c r="I648" s="17">
        <v>27835</v>
      </c>
      <c r="J648" s="17">
        <v>0</v>
      </c>
      <c r="K648" s="19">
        <f t="shared" si="223"/>
        <v>2388173</v>
      </c>
      <c r="L648" s="18"/>
      <c r="M648" s="18"/>
      <c r="N648" s="18"/>
      <c r="O648" s="19">
        <f t="shared" si="224"/>
        <v>2360338</v>
      </c>
      <c r="P648" s="21">
        <f t="shared" si="225"/>
        <v>2.2727180811682595</v>
      </c>
      <c r="Q648" s="17">
        <v>2289528</v>
      </c>
      <c r="R648" s="17">
        <v>27000</v>
      </c>
      <c r="S648" s="19">
        <f t="shared" si="226"/>
        <v>2316528</v>
      </c>
      <c r="T648" s="20">
        <f t="shared" si="227"/>
        <v>0.03</v>
      </c>
      <c r="U648" s="19">
        <f t="shared" si="228"/>
        <v>71645.195876288664</v>
      </c>
      <c r="V648" s="17">
        <v>0</v>
      </c>
      <c r="W648" s="19">
        <f t="shared" si="229"/>
        <v>71645.195876288664</v>
      </c>
      <c r="X648" s="19">
        <f t="shared" si="230"/>
        <v>71645</v>
      </c>
      <c r="Y648" s="17">
        <v>70810</v>
      </c>
      <c r="Z648" s="17">
        <v>835</v>
      </c>
      <c r="AA648" s="19">
        <f t="shared" si="231"/>
        <v>71645</v>
      </c>
      <c r="AB648" s="17">
        <v>2316528</v>
      </c>
      <c r="AC648" s="27">
        <v>24.994</v>
      </c>
      <c r="AD648" s="27">
        <v>24.722999999999999</v>
      </c>
      <c r="AE648" s="22">
        <f t="shared" si="232"/>
        <v>93699.308336366943</v>
      </c>
      <c r="AF648" s="23">
        <f t="shared" si="233"/>
        <v>0</v>
      </c>
      <c r="AG648" s="23">
        <f t="shared" si="234"/>
        <v>0</v>
      </c>
      <c r="AH648" s="17">
        <v>2459079.7927290201</v>
      </c>
      <c r="AI648" s="24">
        <f t="shared" si="235"/>
        <v>1.0615368312962417</v>
      </c>
      <c r="AJ648" s="25">
        <v>339000000</v>
      </c>
      <c r="AK648" s="24">
        <f t="shared" si="236"/>
        <v>2.5744146168535143E-2</v>
      </c>
      <c r="AL648" s="22">
        <f t="shared" si="237"/>
        <v>23910.316578447706</v>
      </c>
      <c r="AM648" s="22">
        <f t="shared" si="238"/>
        <v>93699.308336366943</v>
      </c>
      <c r="AN648" s="22">
        <f t="shared" si="239"/>
        <v>-69788.991757919241</v>
      </c>
      <c r="AO648" s="26" t="str">
        <f t="shared" si="240"/>
        <v/>
      </c>
      <c r="AP648" s="26" t="str">
        <f t="shared" si="241"/>
        <v>pre-launch</v>
      </c>
      <c r="AQ648" s="18"/>
      <c r="AR648" s="18"/>
    </row>
    <row r="649" spans="1:44" x14ac:dyDescent="0.25">
      <c r="A649" s="43">
        <v>45710</v>
      </c>
      <c r="B649" s="17">
        <v>3022212830.2199998</v>
      </c>
      <c r="C649" s="17">
        <v>0</v>
      </c>
      <c r="D649" s="17">
        <v>87664629</v>
      </c>
      <c r="E649" s="19">
        <f t="shared" si="220"/>
        <v>3022212830.2199998</v>
      </c>
      <c r="F649" s="19">
        <f t="shared" si="221"/>
        <v>3109877459.2199998</v>
      </c>
      <c r="G649" s="20">
        <f t="shared" si="222"/>
        <v>0</v>
      </c>
      <c r="H649" s="17">
        <v>886199</v>
      </c>
      <c r="I649" s="17">
        <v>12423</v>
      </c>
      <c r="J649" s="17">
        <v>0</v>
      </c>
      <c r="K649" s="19">
        <f t="shared" si="223"/>
        <v>898622</v>
      </c>
      <c r="L649" s="18"/>
      <c r="M649" s="18"/>
      <c r="N649" s="18"/>
      <c r="O649" s="19">
        <f t="shared" si="224"/>
        <v>886199</v>
      </c>
      <c r="P649" s="21">
        <f t="shared" si="225"/>
        <v>2.9322852154508579</v>
      </c>
      <c r="Q649" s="17">
        <v>859613</v>
      </c>
      <c r="R649" s="17">
        <v>12051</v>
      </c>
      <c r="S649" s="19">
        <f t="shared" si="226"/>
        <v>871664</v>
      </c>
      <c r="T649" s="20">
        <f t="shared" si="227"/>
        <v>0.03</v>
      </c>
      <c r="U649" s="19">
        <f t="shared" si="228"/>
        <v>26958.680412371134</v>
      </c>
      <c r="V649" s="17">
        <v>0</v>
      </c>
      <c r="W649" s="19">
        <f t="shared" si="229"/>
        <v>26958.680412371134</v>
      </c>
      <c r="X649" s="19">
        <f t="shared" si="230"/>
        <v>26959</v>
      </c>
      <c r="Y649" s="17">
        <v>26586</v>
      </c>
      <c r="Z649" s="17">
        <v>373</v>
      </c>
      <c r="AA649" s="19">
        <f t="shared" si="231"/>
        <v>26959</v>
      </c>
      <c r="AB649" s="17">
        <v>871664</v>
      </c>
      <c r="AC649" s="27">
        <v>24.783000000000001</v>
      </c>
      <c r="AD649" s="27">
        <v>24.765499999999999</v>
      </c>
      <c r="AE649" s="22">
        <f t="shared" si="232"/>
        <v>35196.705093779652</v>
      </c>
      <c r="AF649" s="23">
        <f t="shared" si="233"/>
        <v>-1</v>
      </c>
      <c r="AG649" s="23">
        <f t="shared" si="234"/>
        <v>0</v>
      </c>
      <c r="AH649" s="17">
        <v>898622.79801997496</v>
      </c>
      <c r="AI649" s="24">
        <f t="shared" si="235"/>
        <v>1.0309279699746403</v>
      </c>
      <c r="AJ649" s="25">
        <v>339716981.13207603</v>
      </c>
      <c r="AK649" s="24">
        <f t="shared" si="236"/>
        <v>2.5716964989151846E-2</v>
      </c>
      <c r="AL649" s="22">
        <f t="shared" si="237"/>
        <v>23935.588246558786</v>
      </c>
      <c r="AM649" s="22">
        <f t="shared" si="238"/>
        <v>35196.705093779652</v>
      </c>
      <c r="AN649" s="22">
        <f t="shared" si="239"/>
        <v>-11261.116847220866</v>
      </c>
      <c r="AO649" s="26" t="str">
        <f t="shared" si="240"/>
        <v/>
      </c>
      <c r="AP649" s="26" t="str">
        <f t="shared" si="241"/>
        <v>pre-launch</v>
      </c>
      <c r="AQ649" s="18"/>
      <c r="AR649" s="18"/>
    </row>
    <row r="650" spans="1:44" x14ac:dyDescent="0.25">
      <c r="A650" s="43">
        <v>45711</v>
      </c>
      <c r="B650" s="17">
        <v>3357930484.6799998</v>
      </c>
      <c r="C650" s="17">
        <v>0</v>
      </c>
      <c r="D650" s="17">
        <v>313527932</v>
      </c>
      <c r="E650" s="19">
        <f t="shared" si="220"/>
        <v>3357930484.6799998</v>
      </c>
      <c r="F650" s="19">
        <f t="shared" si="221"/>
        <v>3671458416.6799998</v>
      </c>
      <c r="G650" s="20">
        <f t="shared" si="222"/>
        <v>0</v>
      </c>
      <c r="H650" s="17">
        <v>739684</v>
      </c>
      <c r="I650" s="17">
        <v>13884</v>
      </c>
      <c r="J650" s="17">
        <v>22607</v>
      </c>
      <c r="K650" s="19">
        <f t="shared" si="223"/>
        <v>753568</v>
      </c>
      <c r="L650" s="18"/>
      <c r="M650" s="18"/>
      <c r="N650" s="18"/>
      <c r="O650" s="19">
        <f t="shared" si="224"/>
        <v>739684</v>
      </c>
      <c r="P650" s="21">
        <f t="shared" si="225"/>
        <v>2.2027972388787838</v>
      </c>
      <c r="Q650" s="17">
        <v>717494</v>
      </c>
      <c r="R650" s="17">
        <v>13468</v>
      </c>
      <c r="S650" s="19">
        <f t="shared" si="226"/>
        <v>730962</v>
      </c>
      <c r="T650" s="20">
        <f t="shared" si="227"/>
        <v>0.03</v>
      </c>
      <c r="U650" s="19">
        <f t="shared" si="228"/>
        <v>22607.072164948455</v>
      </c>
      <c r="V650" s="17">
        <v>22607</v>
      </c>
      <c r="W650" s="19">
        <f t="shared" si="229"/>
        <v>7.2164948454883415E-2</v>
      </c>
      <c r="X650" s="19">
        <f t="shared" si="230"/>
        <v>22608</v>
      </c>
      <c r="Y650" s="17">
        <v>22191</v>
      </c>
      <c r="Z650" s="17">
        <v>417</v>
      </c>
      <c r="AA650" s="19">
        <f t="shared" si="231"/>
        <v>1</v>
      </c>
      <c r="AB650" s="17">
        <v>730962</v>
      </c>
      <c r="AC650" s="27">
        <v>23.132999999999999</v>
      </c>
      <c r="AD650" s="27">
        <v>23.862749999999998</v>
      </c>
      <c r="AE650" s="22">
        <f t="shared" si="232"/>
        <v>30631.926328692211</v>
      </c>
      <c r="AF650" s="23">
        <f t="shared" si="233"/>
        <v>-2</v>
      </c>
      <c r="AG650" s="23">
        <f t="shared" si="234"/>
        <v>0</v>
      </c>
      <c r="AH650" s="17">
        <v>753568.55020800198</v>
      </c>
      <c r="AI650" s="24">
        <f t="shared" si="235"/>
        <v>1.030927120983036</v>
      </c>
      <c r="AJ650" s="25">
        <v>340433962.26415098</v>
      </c>
      <c r="AK650" s="24">
        <f t="shared" si="236"/>
        <v>2.5689869723647906E-2</v>
      </c>
      <c r="AL650" s="22">
        <f t="shared" si="237"/>
        <v>23960.833260469331</v>
      </c>
      <c r="AM650" s="22">
        <f t="shared" si="238"/>
        <v>30631.926328692211</v>
      </c>
      <c r="AN650" s="22">
        <f t="shared" si="239"/>
        <v>-6671.0930682228791</v>
      </c>
      <c r="AO650" s="26" t="str">
        <f t="shared" si="240"/>
        <v/>
      </c>
      <c r="AP650" s="26" t="str">
        <f t="shared" si="241"/>
        <v>pre-launch</v>
      </c>
      <c r="AQ650" s="18"/>
      <c r="AR650" s="18"/>
    </row>
    <row r="651" spans="1:44" x14ac:dyDescent="0.25">
      <c r="A651" s="43">
        <v>45712</v>
      </c>
      <c r="B651" s="17">
        <v>9442757917.1499996</v>
      </c>
      <c r="C651" s="17">
        <v>0</v>
      </c>
      <c r="D651" s="17">
        <v>403523120</v>
      </c>
      <c r="E651" s="19">
        <f t="shared" si="220"/>
        <v>9442757917.1499996</v>
      </c>
      <c r="F651" s="19">
        <f t="shared" si="221"/>
        <v>9846281037.1499996</v>
      </c>
      <c r="G651" s="20">
        <f t="shared" si="222"/>
        <v>0</v>
      </c>
      <c r="H651" s="17">
        <v>1495241</v>
      </c>
      <c r="I651" s="17">
        <v>36499</v>
      </c>
      <c r="J651" s="17">
        <v>0</v>
      </c>
      <c r="K651" s="19">
        <f t="shared" si="223"/>
        <v>1531740</v>
      </c>
      <c r="L651" s="18"/>
      <c r="M651" s="18"/>
      <c r="N651" s="18"/>
      <c r="O651" s="19">
        <f t="shared" si="224"/>
        <v>1495241</v>
      </c>
      <c r="P651" s="21">
        <f t="shared" si="225"/>
        <v>1.5834791203154042</v>
      </c>
      <c r="Q651" s="17">
        <v>1450384</v>
      </c>
      <c r="R651" s="17">
        <v>35404</v>
      </c>
      <c r="S651" s="19">
        <f t="shared" si="226"/>
        <v>1485788</v>
      </c>
      <c r="T651" s="20">
        <f t="shared" si="227"/>
        <v>0.03</v>
      </c>
      <c r="U651" s="19">
        <f t="shared" si="228"/>
        <v>45952.206185567011</v>
      </c>
      <c r="V651" s="17">
        <v>0</v>
      </c>
      <c r="W651" s="19">
        <f t="shared" si="229"/>
        <v>45952.206185567011</v>
      </c>
      <c r="X651" s="19">
        <f t="shared" si="230"/>
        <v>45952</v>
      </c>
      <c r="Y651" s="17">
        <v>44857</v>
      </c>
      <c r="Z651" s="17">
        <v>1095</v>
      </c>
      <c r="AA651" s="19">
        <f t="shared" si="231"/>
        <v>45952</v>
      </c>
      <c r="AB651" s="17">
        <v>1485788</v>
      </c>
      <c r="AC651" s="27">
        <v>19.884</v>
      </c>
      <c r="AD651" s="27">
        <v>21.570499999999999</v>
      </c>
      <c r="AE651" s="22">
        <f t="shared" si="232"/>
        <v>68880.554460953615</v>
      </c>
      <c r="AF651" s="23">
        <f t="shared" si="233"/>
        <v>0</v>
      </c>
      <c r="AG651" s="23">
        <f t="shared" si="234"/>
        <v>0</v>
      </c>
      <c r="AH651" s="17">
        <v>1531740.1529520201</v>
      </c>
      <c r="AI651" s="24">
        <f t="shared" si="235"/>
        <v>1.0309277992230521</v>
      </c>
      <c r="AJ651" s="25">
        <v>341150943.39622599</v>
      </c>
      <c r="AK651" s="24">
        <f t="shared" si="236"/>
        <v>2.5662859920382634E-2</v>
      </c>
      <c r="AL651" s="22">
        <f t="shared" si="237"/>
        <v>23986.051704338995</v>
      </c>
      <c r="AM651" s="22">
        <f t="shared" si="238"/>
        <v>68880.554460953615</v>
      </c>
      <c r="AN651" s="22">
        <f t="shared" si="239"/>
        <v>-44894.502756614616</v>
      </c>
      <c r="AO651" s="26" t="str">
        <f t="shared" si="240"/>
        <v/>
      </c>
      <c r="AP651" s="26" t="str">
        <f t="shared" si="241"/>
        <v>pre-launch</v>
      </c>
      <c r="AQ651" s="18"/>
      <c r="AR651" s="18"/>
    </row>
    <row r="652" spans="1:44" x14ac:dyDescent="0.25">
      <c r="A652" s="43">
        <v>45713</v>
      </c>
      <c r="B652" s="17">
        <v>13212926718.16</v>
      </c>
      <c r="C652" s="17">
        <v>0</v>
      </c>
      <c r="D652" s="17">
        <v>252882738</v>
      </c>
      <c r="E652" s="19">
        <f t="shared" si="220"/>
        <v>13212926718.16</v>
      </c>
      <c r="F652" s="19">
        <f t="shared" si="221"/>
        <v>13465809456.16</v>
      </c>
      <c r="G652" s="20">
        <f t="shared" si="222"/>
        <v>0</v>
      </c>
      <c r="H652" s="17">
        <v>3778850</v>
      </c>
      <c r="I652" s="17">
        <v>76421</v>
      </c>
      <c r="J652" s="17">
        <v>0</v>
      </c>
      <c r="K652" s="19">
        <f t="shared" si="223"/>
        <v>3855271</v>
      </c>
      <c r="L652" s="18"/>
      <c r="M652" s="18"/>
      <c r="N652" s="18"/>
      <c r="O652" s="19">
        <f t="shared" si="224"/>
        <v>3778850</v>
      </c>
      <c r="P652" s="21">
        <f t="shared" si="225"/>
        <v>2.8599643974459532</v>
      </c>
      <c r="Q652" s="17">
        <v>3665484</v>
      </c>
      <c r="R652" s="17">
        <v>74128</v>
      </c>
      <c r="S652" s="19">
        <f t="shared" si="226"/>
        <v>3739612</v>
      </c>
      <c r="T652" s="20">
        <f t="shared" si="227"/>
        <v>0.03</v>
      </c>
      <c r="U652" s="19">
        <f t="shared" si="228"/>
        <v>115658.10309278351</v>
      </c>
      <c r="V652" s="17">
        <v>0</v>
      </c>
      <c r="W652" s="19">
        <f t="shared" si="229"/>
        <v>115658.10309278351</v>
      </c>
      <c r="X652" s="19">
        <f t="shared" si="230"/>
        <v>115658</v>
      </c>
      <c r="Y652" s="17">
        <v>113365</v>
      </c>
      <c r="Z652" s="17">
        <v>2293</v>
      </c>
      <c r="AA652" s="19">
        <f t="shared" si="231"/>
        <v>115658</v>
      </c>
      <c r="AB652" s="17">
        <v>3739612</v>
      </c>
      <c r="AC652" s="27">
        <v>20.198</v>
      </c>
      <c r="AD652" s="27">
        <v>19.483250000000002</v>
      </c>
      <c r="AE652" s="22">
        <f t="shared" si="232"/>
        <v>191939.84576495193</v>
      </c>
      <c r="AF652" s="23">
        <f t="shared" si="233"/>
        <v>1</v>
      </c>
      <c r="AG652" s="23">
        <f t="shared" si="234"/>
        <v>0</v>
      </c>
      <c r="AH652" s="17">
        <v>3846701.1518769902</v>
      </c>
      <c r="AI652" s="24">
        <f t="shared" si="235"/>
        <v>1.0286364339073117</v>
      </c>
      <c r="AJ652" s="25">
        <v>341867924.52830201</v>
      </c>
      <c r="AK652" s="24">
        <f t="shared" si="236"/>
        <v>2.5635935131032309E-2</v>
      </c>
      <c r="AL652" s="22">
        <f t="shared" si="237"/>
        <v>24011.243661885477</v>
      </c>
      <c r="AM652" s="22">
        <f t="shared" si="238"/>
        <v>191939.84576495193</v>
      </c>
      <c r="AN652" s="22">
        <f t="shared" si="239"/>
        <v>-167928.60210306646</v>
      </c>
      <c r="AO652" s="26" t="str">
        <f t="shared" si="240"/>
        <v/>
      </c>
      <c r="AP652" s="26" t="str">
        <f t="shared" si="241"/>
        <v>pre-launch</v>
      </c>
      <c r="AQ652" s="18"/>
      <c r="AR652" s="18"/>
    </row>
    <row r="653" spans="1:44" x14ac:dyDescent="0.25">
      <c r="A653" s="43">
        <v>45714</v>
      </c>
      <c r="B653" s="17">
        <v>9361694443.8099995</v>
      </c>
      <c r="C653" s="17">
        <v>0</v>
      </c>
      <c r="D653" s="17">
        <v>163029559</v>
      </c>
      <c r="E653" s="19">
        <f t="shared" si="220"/>
        <v>9361694443.8099995</v>
      </c>
      <c r="F653" s="19">
        <f t="shared" si="221"/>
        <v>9524724002.8099995</v>
      </c>
      <c r="G653" s="20">
        <f t="shared" si="222"/>
        <v>0</v>
      </c>
      <c r="H653" s="17">
        <v>2179082</v>
      </c>
      <c r="I653" s="17">
        <v>36925</v>
      </c>
      <c r="J653" s="17">
        <v>66507</v>
      </c>
      <c r="K653" s="19">
        <f t="shared" si="223"/>
        <v>2216007</v>
      </c>
      <c r="L653" s="18"/>
      <c r="M653" s="18"/>
      <c r="N653" s="18"/>
      <c r="O653" s="19">
        <f t="shared" si="224"/>
        <v>2179082</v>
      </c>
      <c r="P653" s="21">
        <f t="shared" si="225"/>
        <v>2.3276576832101377</v>
      </c>
      <c r="Q653" s="17">
        <v>2113710</v>
      </c>
      <c r="R653" s="17">
        <v>35817</v>
      </c>
      <c r="S653" s="19">
        <f t="shared" si="226"/>
        <v>2149527</v>
      </c>
      <c r="T653" s="20">
        <f t="shared" si="227"/>
        <v>0.03</v>
      </c>
      <c r="U653" s="19">
        <f t="shared" si="228"/>
        <v>66480.216494845357</v>
      </c>
      <c r="V653" s="17">
        <v>66507</v>
      </c>
      <c r="W653" s="19">
        <f t="shared" si="229"/>
        <v>-26.783505154642626</v>
      </c>
      <c r="X653" s="19">
        <f t="shared" si="230"/>
        <v>66480</v>
      </c>
      <c r="Y653" s="17">
        <v>65372</v>
      </c>
      <c r="Z653" s="17">
        <v>1108</v>
      </c>
      <c r="AA653" s="19">
        <f t="shared" si="231"/>
        <v>-27</v>
      </c>
      <c r="AB653" s="17">
        <v>2149527</v>
      </c>
      <c r="AC653" s="27">
        <v>19.571999999999999</v>
      </c>
      <c r="AD653" s="27">
        <v>19.89725</v>
      </c>
      <c r="AE653" s="22">
        <f t="shared" si="232"/>
        <v>108031.3611177424</v>
      </c>
      <c r="AF653" s="23">
        <f t="shared" si="233"/>
        <v>0</v>
      </c>
      <c r="AG653" s="23">
        <f t="shared" si="234"/>
        <v>0</v>
      </c>
      <c r="AH653" s="17">
        <v>2216900.8389240201</v>
      </c>
      <c r="AI653" s="24">
        <f t="shared" si="235"/>
        <v>1.0313435648512534</v>
      </c>
      <c r="AJ653" s="25">
        <v>342584905.66037703</v>
      </c>
      <c r="AK653" s="24">
        <f t="shared" si="236"/>
        <v>2.5609094910559006E-2</v>
      </c>
      <c r="AL653" s="22">
        <f t="shared" si="237"/>
        <v>24036.409216387667</v>
      </c>
      <c r="AM653" s="22">
        <f t="shared" si="238"/>
        <v>108031.3611177424</v>
      </c>
      <c r="AN653" s="22">
        <f t="shared" si="239"/>
        <v>-83994.95190135474</v>
      </c>
      <c r="AO653" s="26" t="str">
        <f t="shared" si="240"/>
        <v/>
      </c>
      <c r="AP653" s="26" t="str">
        <f t="shared" si="241"/>
        <v>pre-launch</v>
      </c>
      <c r="AQ653" s="18"/>
      <c r="AR653" s="18"/>
    </row>
    <row r="654" spans="1:44" x14ac:dyDescent="0.25">
      <c r="A654" s="43">
        <v>45715</v>
      </c>
      <c r="B654" s="17">
        <v>6796939578.9799995</v>
      </c>
      <c r="C654" s="17">
        <v>0</v>
      </c>
      <c r="D654" s="17">
        <v>214669060</v>
      </c>
      <c r="E654" s="19">
        <f t="shared" si="220"/>
        <v>6796939578.9799995</v>
      </c>
      <c r="F654" s="19">
        <f t="shared" si="221"/>
        <v>7011608638.9799995</v>
      </c>
      <c r="G654" s="20">
        <f t="shared" si="222"/>
        <v>0</v>
      </c>
      <c r="H654" s="17">
        <v>1537557</v>
      </c>
      <c r="I654" s="17">
        <v>21492</v>
      </c>
      <c r="J654" s="17">
        <v>46852</v>
      </c>
      <c r="K654" s="19">
        <f t="shared" si="223"/>
        <v>1559049</v>
      </c>
      <c r="L654" s="18"/>
      <c r="M654" s="18"/>
      <c r="N654" s="18"/>
      <c r="O654" s="19">
        <f t="shared" si="224"/>
        <v>1537557</v>
      </c>
      <c r="P654" s="21">
        <f t="shared" si="225"/>
        <v>2.2621313344538181</v>
      </c>
      <c r="Q654" s="17">
        <v>1491430</v>
      </c>
      <c r="R654" s="17">
        <v>20848</v>
      </c>
      <c r="S654" s="19">
        <f t="shared" si="226"/>
        <v>1512278</v>
      </c>
      <c r="T654" s="20">
        <f t="shared" si="227"/>
        <v>0.03</v>
      </c>
      <c r="U654" s="19">
        <f t="shared" si="228"/>
        <v>46771.484536082469</v>
      </c>
      <c r="V654" s="17">
        <v>46852</v>
      </c>
      <c r="W654" s="19">
        <f t="shared" si="229"/>
        <v>-80.515463917530724</v>
      </c>
      <c r="X654" s="19">
        <f t="shared" si="230"/>
        <v>46772</v>
      </c>
      <c r="Y654" s="17">
        <v>46127</v>
      </c>
      <c r="Z654" s="17">
        <v>645</v>
      </c>
      <c r="AA654" s="19">
        <f t="shared" si="231"/>
        <v>-80</v>
      </c>
      <c r="AB654" s="17">
        <v>1512278</v>
      </c>
      <c r="AC654" s="27">
        <v>20.872</v>
      </c>
      <c r="AD654" s="27">
        <v>20.305499999999999</v>
      </c>
      <c r="AE654" s="22">
        <f t="shared" si="232"/>
        <v>74476.274900888922</v>
      </c>
      <c r="AF654" s="23">
        <f t="shared" si="233"/>
        <v>-1</v>
      </c>
      <c r="AG654" s="23">
        <f t="shared" si="234"/>
        <v>0</v>
      </c>
      <c r="AH654" s="17">
        <v>1561749.5233739901</v>
      </c>
      <c r="AI654" s="24">
        <f t="shared" si="235"/>
        <v>1.0327132467535665</v>
      </c>
      <c r="AJ654" s="25">
        <v>343301886.79245299</v>
      </c>
      <c r="AK654" s="24">
        <f t="shared" si="236"/>
        <v>2.5582338817179442E-2</v>
      </c>
      <c r="AL654" s="22">
        <f t="shared" si="237"/>
        <v>24061.548450689075</v>
      </c>
      <c r="AM654" s="22">
        <f t="shared" si="238"/>
        <v>74476.274900888922</v>
      </c>
      <c r="AN654" s="22">
        <f t="shared" si="239"/>
        <v>-50414.726450199843</v>
      </c>
      <c r="AO654" s="26" t="str">
        <f t="shared" si="240"/>
        <v/>
      </c>
      <c r="AP654" s="26" t="str">
        <f t="shared" si="241"/>
        <v>pre-launch</v>
      </c>
      <c r="AQ654" s="18"/>
      <c r="AR654" s="18"/>
    </row>
    <row r="655" spans="1:44" x14ac:dyDescent="0.25">
      <c r="A655" s="43">
        <v>45716</v>
      </c>
      <c r="B655" s="17">
        <v>11157922813.23</v>
      </c>
      <c r="C655" s="17">
        <v>0</v>
      </c>
      <c r="D655" s="17">
        <v>87391052</v>
      </c>
      <c r="E655" s="19">
        <f t="shared" si="220"/>
        <v>11157922813.23</v>
      </c>
      <c r="F655" s="19">
        <f t="shared" si="221"/>
        <v>11245313865.23</v>
      </c>
      <c r="G655" s="20">
        <f t="shared" si="222"/>
        <v>0</v>
      </c>
      <c r="H655" s="17">
        <v>2474574</v>
      </c>
      <c r="I655" s="17">
        <v>33048</v>
      </c>
      <c r="J655" s="17">
        <v>74950</v>
      </c>
      <c r="K655" s="19">
        <f t="shared" si="223"/>
        <v>2507622</v>
      </c>
      <c r="L655" s="18"/>
      <c r="M655" s="18"/>
      <c r="N655" s="18"/>
      <c r="O655" s="19">
        <f t="shared" si="224"/>
        <v>2474574</v>
      </c>
      <c r="P655" s="21">
        <f t="shared" si="225"/>
        <v>2.2177730043677002</v>
      </c>
      <c r="Q655" s="17">
        <v>2400337</v>
      </c>
      <c r="R655" s="17">
        <v>32056</v>
      </c>
      <c r="S655" s="19">
        <f t="shared" si="226"/>
        <v>2432393</v>
      </c>
      <c r="T655" s="20">
        <f t="shared" si="227"/>
        <v>0.03</v>
      </c>
      <c r="U655" s="19">
        <f t="shared" si="228"/>
        <v>75228.649484536072</v>
      </c>
      <c r="V655" s="17">
        <v>74950</v>
      </c>
      <c r="W655" s="19">
        <f t="shared" si="229"/>
        <v>278.64948453607212</v>
      </c>
      <c r="X655" s="19">
        <f t="shared" si="230"/>
        <v>75228</v>
      </c>
      <c r="Y655" s="17">
        <v>74237</v>
      </c>
      <c r="Z655" s="17">
        <v>991</v>
      </c>
      <c r="AA655" s="19">
        <f t="shared" si="231"/>
        <v>278</v>
      </c>
      <c r="AB655" s="17">
        <v>2432393</v>
      </c>
      <c r="AC655" s="27">
        <v>19.946999999999999</v>
      </c>
      <c r="AD655" s="27">
        <v>20.044250000000002</v>
      </c>
      <c r="AE655" s="22">
        <f t="shared" si="232"/>
        <v>121351.16055726704</v>
      </c>
      <c r="AF655" s="23">
        <f t="shared" si="233"/>
        <v>1</v>
      </c>
      <c r="AG655" s="23">
        <f t="shared" si="234"/>
        <v>0</v>
      </c>
      <c r="AH655" s="17">
        <v>2498326.8791889902</v>
      </c>
      <c r="AI655" s="24">
        <f t="shared" si="235"/>
        <v>1.02710658976119</v>
      </c>
      <c r="AJ655" s="25">
        <v>344018867.924528</v>
      </c>
      <c r="AK655" s="24">
        <f t="shared" si="236"/>
        <v>2.555566641233474E-2</v>
      </c>
      <c r="AL655" s="22">
        <f t="shared" si="237"/>
        <v>24086.661447200771</v>
      </c>
      <c r="AM655" s="22">
        <f t="shared" si="238"/>
        <v>121351.16055726704</v>
      </c>
      <c r="AN655" s="22">
        <f t="shared" si="239"/>
        <v>-97264.499110066274</v>
      </c>
      <c r="AO655" s="26" t="str">
        <f t="shared" si="240"/>
        <v/>
      </c>
      <c r="AP655" s="26" t="str">
        <f t="shared" si="241"/>
        <v>pre-launch</v>
      </c>
      <c r="AQ655" s="18"/>
      <c r="AR655" s="18"/>
    </row>
    <row r="656" spans="1:44" x14ac:dyDescent="0.25">
      <c r="A656" s="43">
        <v>45717</v>
      </c>
      <c r="B656" s="17">
        <v>4300489522.6800003</v>
      </c>
      <c r="C656" s="17">
        <v>0</v>
      </c>
      <c r="D656" s="17">
        <v>230865213</v>
      </c>
      <c r="E656" s="19">
        <f t="shared" si="220"/>
        <v>4300489522.6800003</v>
      </c>
      <c r="F656" s="19">
        <f t="shared" si="221"/>
        <v>4531354735.6800003</v>
      </c>
      <c r="G656" s="20">
        <f t="shared" si="222"/>
        <v>0</v>
      </c>
      <c r="H656" s="17">
        <v>1004215</v>
      </c>
      <c r="I656" s="17">
        <v>12337</v>
      </c>
      <c r="J656" s="17">
        <v>30706</v>
      </c>
      <c r="K656" s="19">
        <f t="shared" si="223"/>
        <v>1016552</v>
      </c>
      <c r="L656" s="18"/>
      <c r="M656" s="18"/>
      <c r="N656" s="18"/>
      <c r="O656" s="19">
        <f t="shared" si="224"/>
        <v>1004215</v>
      </c>
      <c r="P656" s="21">
        <f t="shared" si="225"/>
        <v>2.3351178853103876</v>
      </c>
      <c r="Q656" s="17">
        <v>974089</v>
      </c>
      <c r="R656" s="17">
        <v>11966</v>
      </c>
      <c r="S656" s="19">
        <f t="shared" si="226"/>
        <v>986055</v>
      </c>
      <c r="T656" s="20">
        <f t="shared" si="227"/>
        <v>0.03</v>
      </c>
      <c r="U656" s="19">
        <f t="shared" si="228"/>
        <v>30496.546391752578</v>
      </c>
      <c r="V656" s="17">
        <v>30706</v>
      </c>
      <c r="W656" s="19">
        <f t="shared" si="229"/>
        <v>-209.45360824742238</v>
      </c>
      <c r="X656" s="19">
        <f t="shared" si="230"/>
        <v>30496</v>
      </c>
      <c r="Y656" s="17">
        <v>30126</v>
      </c>
      <c r="Z656" s="17">
        <v>370</v>
      </c>
      <c r="AA656" s="19">
        <f t="shared" si="231"/>
        <v>-210</v>
      </c>
      <c r="AB656" s="17">
        <v>986055</v>
      </c>
      <c r="AC656" s="27">
        <v>19.605</v>
      </c>
      <c r="AD656" s="27">
        <v>19.72925</v>
      </c>
      <c r="AE656" s="22">
        <f t="shared" si="232"/>
        <v>49979.345388192654</v>
      </c>
      <c r="AF656" s="23">
        <f t="shared" si="233"/>
        <v>1</v>
      </c>
      <c r="AG656" s="23">
        <f t="shared" si="234"/>
        <v>0</v>
      </c>
      <c r="AH656" s="17">
        <v>1023541.2631060201</v>
      </c>
      <c r="AI656" s="24">
        <f t="shared" si="235"/>
        <v>1.0380164018295328</v>
      </c>
      <c r="AJ656" s="25">
        <v>344735849.05660403</v>
      </c>
      <c r="AK656" s="24">
        <f t="shared" si="236"/>
        <v>2.5529077260659949E-2</v>
      </c>
      <c r="AL656" s="22">
        <f t="shared" si="237"/>
        <v>24111.748287904797</v>
      </c>
      <c r="AM656" s="22">
        <f t="shared" si="238"/>
        <v>49979.345388192654</v>
      </c>
      <c r="AN656" s="22">
        <f t="shared" si="239"/>
        <v>-25867.597100287858</v>
      </c>
      <c r="AO656" s="26" t="str">
        <f t="shared" si="240"/>
        <v/>
      </c>
      <c r="AP656" s="26" t="str">
        <f t="shared" si="241"/>
        <v>pre-launch</v>
      </c>
      <c r="AQ656" s="18"/>
      <c r="AR656" s="18"/>
    </row>
    <row r="657" spans="1:44" x14ac:dyDescent="0.25">
      <c r="A657" s="43">
        <v>45718</v>
      </c>
      <c r="B657" s="17">
        <v>11125716133.360001</v>
      </c>
      <c r="C657" s="17">
        <v>0</v>
      </c>
      <c r="D657" s="17">
        <v>260215664</v>
      </c>
      <c r="E657" s="19">
        <f t="shared" si="220"/>
        <v>11125716133.360001</v>
      </c>
      <c r="F657" s="19">
        <f t="shared" si="221"/>
        <v>11385931797.360001</v>
      </c>
      <c r="G657" s="20">
        <f t="shared" si="222"/>
        <v>0</v>
      </c>
      <c r="H657" s="17">
        <v>2590972</v>
      </c>
      <c r="I657" s="17">
        <v>31229</v>
      </c>
      <c r="J657" s="17">
        <v>78435</v>
      </c>
      <c r="K657" s="19">
        <f t="shared" si="223"/>
        <v>2622201</v>
      </c>
      <c r="L657" s="18"/>
      <c r="M657" s="18"/>
      <c r="N657" s="18"/>
      <c r="O657" s="19">
        <f t="shared" si="224"/>
        <v>2590972</v>
      </c>
      <c r="P657" s="21">
        <f t="shared" si="225"/>
        <v>2.328813686186975</v>
      </c>
      <c r="Q657" s="17">
        <v>2513243</v>
      </c>
      <c r="R657" s="17">
        <v>30292</v>
      </c>
      <c r="S657" s="19">
        <f t="shared" si="226"/>
        <v>2543535</v>
      </c>
      <c r="T657" s="20">
        <f t="shared" si="227"/>
        <v>0.03</v>
      </c>
      <c r="U657" s="19">
        <f t="shared" si="228"/>
        <v>78666.030927835061</v>
      </c>
      <c r="V657" s="17">
        <v>78435</v>
      </c>
      <c r="W657" s="19">
        <f t="shared" si="229"/>
        <v>231.03092783506145</v>
      </c>
      <c r="X657" s="19">
        <f t="shared" si="230"/>
        <v>78666</v>
      </c>
      <c r="Y657" s="17">
        <v>77729</v>
      </c>
      <c r="Z657" s="17">
        <v>937</v>
      </c>
      <c r="AA657" s="19">
        <f t="shared" si="231"/>
        <v>231</v>
      </c>
      <c r="AB657" s="17">
        <v>2543535</v>
      </c>
      <c r="AC657" s="27">
        <v>20.527000000000001</v>
      </c>
      <c r="AD657" s="27">
        <v>19.819749999999999</v>
      </c>
      <c r="AE657" s="22">
        <f t="shared" si="232"/>
        <v>128333.35435613467</v>
      </c>
      <c r="AF657" s="23">
        <f t="shared" si="233"/>
        <v>0</v>
      </c>
      <c r="AG657" s="23">
        <f t="shared" si="234"/>
        <v>0</v>
      </c>
      <c r="AH657" s="17">
        <v>2614494.1363789998</v>
      </c>
      <c r="AI657" s="24">
        <f t="shared" si="235"/>
        <v>1.0278978415390392</v>
      </c>
      <c r="AJ657" s="25">
        <v>345452830.18867898</v>
      </c>
      <c r="AK657" s="24">
        <f t="shared" si="236"/>
        <v>2.550257092995448E-2</v>
      </c>
      <c r="AL657" s="22">
        <f t="shared" si="237"/>
        <v>24136.809054357003</v>
      </c>
      <c r="AM657" s="22">
        <f t="shared" si="238"/>
        <v>128333.35435613467</v>
      </c>
      <c r="AN657" s="22">
        <f t="shared" si="239"/>
        <v>-104196.54530177767</v>
      </c>
      <c r="AO657" s="26" t="str">
        <f t="shared" si="240"/>
        <v/>
      </c>
      <c r="AP657" s="26" t="str">
        <f t="shared" si="241"/>
        <v>pre-launch</v>
      </c>
      <c r="AQ657" s="18"/>
      <c r="AR657" s="18"/>
    </row>
    <row r="658" spans="1:44" x14ac:dyDescent="0.25">
      <c r="A658" s="43">
        <v>45719</v>
      </c>
      <c r="B658" s="17">
        <v>11687296548.940001</v>
      </c>
      <c r="C658" s="17">
        <v>0</v>
      </c>
      <c r="D658" s="17">
        <v>277747349</v>
      </c>
      <c r="E658" s="19">
        <f t="shared" si="220"/>
        <v>11687296548.940001</v>
      </c>
      <c r="F658" s="19">
        <f t="shared" si="221"/>
        <v>11965043897.940001</v>
      </c>
      <c r="G658" s="20">
        <f t="shared" si="222"/>
        <v>0</v>
      </c>
      <c r="H658" s="17">
        <v>2348731</v>
      </c>
      <c r="I658" s="17">
        <v>31999</v>
      </c>
      <c r="J658" s="17">
        <v>0</v>
      </c>
      <c r="K658" s="19">
        <f t="shared" si="223"/>
        <v>2380730</v>
      </c>
      <c r="L658" s="18"/>
      <c r="M658" s="18"/>
      <c r="N658" s="18"/>
      <c r="O658" s="19">
        <f t="shared" si="224"/>
        <v>2348731</v>
      </c>
      <c r="P658" s="21">
        <f t="shared" si="225"/>
        <v>2.0096443948049068</v>
      </c>
      <c r="Q658" s="17">
        <v>2278269</v>
      </c>
      <c r="R658" s="17">
        <v>31039</v>
      </c>
      <c r="S658" s="19">
        <f t="shared" si="226"/>
        <v>2309308</v>
      </c>
      <c r="T658" s="20">
        <f t="shared" si="227"/>
        <v>0.03</v>
      </c>
      <c r="U658" s="19">
        <f t="shared" si="228"/>
        <v>71421.896907216491</v>
      </c>
      <c r="V658" s="17">
        <v>0</v>
      </c>
      <c r="W658" s="19">
        <f t="shared" si="229"/>
        <v>71421.896907216491</v>
      </c>
      <c r="X658" s="19">
        <f t="shared" si="230"/>
        <v>71422</v>
      </c>
      <c r="Y658" s="17">
        <v>70462</v>
      </c>
      <c r="Z658" s="17">
        <v>960</v>
      </c>
      <c r="AA658" s="19">
        <f t="shared" si="231"/>
        <v>71422</v>
      </c>
      <c r="AB658" s="17">
        <v>2309308</v>
      </c>
      <c r="AC658" s="27">
        <v>17.884</v>
      </c>
      <c r="AD658" s="27">
        <v>19.21</v>
      </c>
      <c r="AE658" s="22">
        <f t="shared" si="232"/>
        <v>120213.84695471109</v>
      </c>
      <c r="AF658" s="23">
        <f t="shared" si="233"/>
        <v>0</v>
      </c>
      <c r="AG658" s="23">
        <f t="shared" si="234"/>
        <v>0</v>
      </c>
      <c r="AH658" s="17">
        <v>2395717.1928619999</v>
      </c>
      <c r="AI658" s="24">
        <f t="shared" si="235"/>
        <v>1.0374177861342011</v>
      </c>
      <c r="AJ658" s="25">
        <v>346169811.320755</v>
      </c>
      <c r="AK658" s="24">
        <f t="shared" si="236"/>
        <v>2.5476146991152283E-2</v>
      </c>
      <c r="AL658" s="22">
        <f t="shared" si="237"/>
        <v>24161.843827690431</v>
      </c>
      <c r="AM658" s="22">
        <f t="shared" si="238"/>
        <v>120213.84695471109</v>
      </c>
      <c r="AN658" s="22">
        <f t="shared" si="239"/>
        <v>-96052.003127020653</v>
      </c>
      <c r="AO658" s="26" t="str">
        <f t="shared" si="240"/>
        <v/>
      </c>
      <c r="AP658" s="26" t="str">
        <f t="shared" si="241"/>
        <v>pre-launch</v>
      </c>
      <c r="AQ658" s="18"/>
      <c r="AR658" s="18"/>
    </row>
    <row r="659" spans="1:44" x14ac:dyDescent="0.25">
      <c r="A659" s="43">
        <v>45720</v>
      </c>
      <c r="B659" s="17">
        <v>10923024321.66</v>
      </c>
      <c r="C659" s="17">
        <v>0</v>
      </c>
      <c r="D659" s="17">
        <v>143679985</v>
      </c>
      <c r="E659" s="19">
        <f t="shared" si="220"/>
        <v>10923024321.66</v>
      </c>
      <c r="F659" s="19">
        <f t="shared" si="221"/>
        <v>11066704306.66</v>
      </c>
      <c r="G659" s="20">
        <f t="shared" si="222"/>
        <v>0</v>
      </c>
      <c r="H659" s="17">
        <v>2789913</v>
      </c>
      <c r="I659" s="17">
        <v>47916</v>
      </c>
      <c r="J659" s="17">
        <v>0</v>
      </c>
      <c r="K659" s="19">
        <f t="shared" si="223"/>
        <v>2837829</v>
      </c>
      <c r="L659" s="18"/>
      <c r="M659" s="18"/>
      <c r="N659" s="18"/>
      <c r="O659" s="19">
        <f t="shared" si="224"/>
        <v>2789913</v>
      </c>
      <c r="P659" s="21">
        <f t="shared" si="225"/>
        <v>2.5541580040865548</v>
      </c>
      <c r="Q659" s="17">
        <v>2706216</v>
      </c>
      <c r="R659" s="17">
        <v>46479</v>
      </c>
      <c r="S659" s="19">
        <f t="shared" si="226"/>
        <v>2752695</v>
      </c>
      <c r="T659" s="20">
        <f t="shared" si="227"/>
        <v>0.03</v>
      </c>
      <c r="U659" s="19">
        <f t="shared" si="228"/>
        <v>85134.896907216491</v>
      </c>
      <c r="V659" s="17">
        <v>0</v>
      </c>
      <c r="W659" s="19">
        <f t="shared" si="229"/>
        <v>85134.896907216491</v>
      </c>
      <c r="X659" s="19">
        <f t="shared" si="230"/>
        <v>85134</v>
      </c>
      <c r="Y659" s="17">
        <v>83697</v>
      </c>
      <c r="Z659" s="17">
        <v>1437</v>
      </c>
      <c r="AA659" s="19">
        <f t="shared" si="231"/>
        <v>85134</v>
      </c>
      <c r="AB659" s="17">
        <v>2752695</v>
      </c>
      <c r="AC659" s="27">
        <v>17.093</v>
      </c>
      <c r="AD659" s="27">
        <v>17.087499999999999</v>
      </c>
      <c r="AE659" s="22">
        <f t="shared" si="232"/>
        <v>161094.07461594735</v>
      </c>
      <c r="AF659" s="23">
        <f t="shared" si="233"/>
        <v>0</v>
      </c>
      <c r="AG659" s="23">
        <f t="shared" si="234"/>
        <v>0</v>
      </c>
      <c r="AH659" s="17">
        <v>2837829.1494629998</v>
      </c>
      <c r="AI659" s="24">
        <f t="shared" si="235"/>
        <v>1.0309275635197506</v>
      </c>
      <c r="AJ659" s="25">
        <v>346886792.45283002</v>
      </c>
      <c r="AK659" s="24">
        <f t="shared" si="236"/>
        <v>2.5449805018293022E-2</v>
      </c>
      <c r="AL659" s="22">
        <f t="shared" si="237"/>
        <v>24186.852688618092</v>
      </c>
      <c r="AM659" s="22">
        <f t="shared" si="238"/>
        <v>161094.07461594735</v>
      </c>
      <c r="AN659" s="22">
        <f t="shared" si="239"/>
        <v>-136907.22192732926</v>
      </c>
      <c r="AO659" s="26" t="str">
        <f t="shared" si="240"/>
        <v/>
      </c>
      <c r="AP659" s="26" t="str">
        <f t="shared" si="241"/>
        <v>pre-launch</v>
      </c>
      <c r="AQ659" s="18"/>
      <c r="AR659" s="18"/>
    </row>
    <row r="660" spans="1:44" x14ac:dyDescent="0.25">
      <c r="A660" s="43">
        <v>45721</v>
      </c>
      <c r="B660" s="17">
        <v>6393102152.21</v>
      </c>
      <c r="C660" s="17">
        <v>0</v>
      </c>
      <c r="D660" s="17">
        <v>171189803</v>
      </c>
      <c r="E660" s="19">
        <f t="shared" si="220"/>
        <v>6393102152.21</v>
      </c>
      <c r="F660" s="19">
        <f t="shared" si="221"/>
        <v>6564291955.21</v>
      </c>
      <c r="G660" s="20">
        <f t="shared" si="222"/>
        <v>0</v>
      </c>
      <c r="H660" s="17">
        <v>1450674</v>
      </c>
      <c r="I660" s="17">
        <v>20047</v>
      </c>
      <c r="J660" s="17">
        <v>44122</v>
      </c>
      <c r="K660" s="19">
        <f t="shared" si="223"/>
        <v>1470721</v>
      </c>
      <c r="L660" s="18"/>
      <c r="M660" s="18"/>
      <c r="N660" s="18"/>
      <c r="O660" s="19">
        <f t="shared" si="224"/>
        <v>1450674</v>
      </c>
      <c r="P660" s="21">
        <f t="shared" si="225"/>
        <v>2.2691237609874944</v>
      </c>
      <c r="Q660" s="17">
        <v>1407154</v>
      </c>
      <c r="R660" s="17">
        <v>19446</v>
      </c>
      <c r="S660" s="19">
        <f t="shared" si="226"/>
        <v>1426600</v>
      </c>
      <c r="T660" s="20">
        <f t="shared" si="227"/>
        <v>0.03</v>
      </c>
      <c r="U660" s="19">
        <f t="shared" si="228"/>
        <v>44121.649484536087</v>
      </c>
      <c r="V660" s="17">
        <v>44122</v>
      </c>
      <c r="W660" s="19">
        <f t="shared" si="229"/>
        <v>-0.35051546391332522</v>
      </c>
      <c r="X660" s="19">
        <f t="shared" si="230"/>
        <v>44121</v>
      </c>
      <c r="Y660" s="17">
        <v>43520</v>
      </c>
      <c r="Z660" s="17">
        <v>601</v>
      </c>
      <c r="AA660" s="19">
        <f t="shared" si="231"/>
        <v>-1</v>
      </c>
      <c r="AB660" s="17">
        <v>1426600</v>
      </c>
      <c r="AC660" s="27">
        <v>17.190999999999999</v>
      </c>
      <c r="AD660" s="27">
        <v>17.1265</v>
      </c>
      <c r="AE660" s="22">
        <f t="shared" si="232"/>
        <v>83297.813330219244</v>
      </c>
      <c r="AF660" s="23">
        <f t="shared" si="233"/>
        <v>0</v>
      </c>
      <c r="AG660" s="23">
        <f t="shared" si="234"/>
        <v>0</v>
      </c>
      <c r="AH660" s="17">
        <v>1470721.02791998</v>
      </c>
      <c r="AI660" s="24">
        <f t="shared" si="235"/>
        <v>1.030927399355096</v>
      </c>
      <c r="AJ660" s="25">
        <v>347603773.58490598</v>
      </c>
      <c r="AK660" s="24">
        <f t="shared" si="236"/>
        <v>2.5423544588492906E-2</v>
      </c>
      <c r="AL660" s="22">
        <f t="shared" si="237"/>
        <v>24211.835717436305</v>
      </c>
      <c r="AM660" s="22">
        <f t="shared" si="238"/>
        <v>83297.813330219244</v>
      </c>
      <c r="AN660" s="22">
        <f t="shared" si="239"/>
        <v>-59085.977612782939</v>
      </c>
      <c r="AO660" s="26" t="str">
        <f t="shared" si="240"/>
        <v/>
      </c>
      <c r="AP660" s="26" t="str">
        <f t="shared" si="241"/>
        <v>pre-launch</v>
      </c>
      <c r="AQ660" s="18"/>
      <c r="AR660" s="18"/>
    </row>
    <row r="661" spans="1:44" x14ac:dyDescent="0.25">
      <c r="A661" s="43">
        <v>45722</v>
      </c>
      <c r="B661" s="17">
        <v>6898925843.8199997</v>
      </c>
      <c r="C661" s="17">
        <v>0</v>
      </c>
      <c r="D661" s="17">
        <v>199378699</v>
      </c>
      <c r="E661" s="19">
        <f t="shared" si="220"/>
        <v>6898925843.8199997</v>
      </c>
      <c r="F661" s="19">
        <f t="shared" si="221"/>
        <v>7098304542.8199997</v>
      </c>
      <c r="G661" s="20">
        <f t="shared" si="222"/>
        <v>0</v>
      </c>
      <c r="H661" s="17">
        <v>1566336</v>
      </c>
      <c r="I661" s="17">
        <v>24157</v>
      </c>
      <c r="J661" s="17">
        <v>47715</v>
      </c>
      <c r="K661" s="19">
        <f t="shared" si="223"/>
        <v>1590493</v>
      </c>
      <c r="L661" s="18"/>
      <c r="M661" s="18"/>
      <c r="N661" s="18"/>
      <c r="O661" s="19">
        <f t="shared" si="224"/>
        <v>1566336</v>
      </c>
      <c r="P661" s="21">
        <f t="shared" si="225"/>
        <v>2.270405618873423</v>
      </c>
      <c r="Q661" s="17">
        <v>1519346</v>
      </c>
      <c r="R661" s="17">
        <v>23432</v>
      </c>
      <c r="S661" s="19">
        <f t="shared" si="226"/>
        <v>1542778</v>
      </c>
      <c r="T661" s="20">
        <f t="shared" si="227"/>
        <v>0.03</v>
      </c>
      <c r="U661" s="19">
        <f t="shared" si="228"/>
        <v>47714.783505154635</v>
      </c>
      <c r="V661" s="17">
        <v>47715</v>
      </c>
      <c r="W661" s="19">
        <f t="shared" si="229"/>
        <v>-0.21649484536465025</v>
      </c>
      <c r="X661" s="19">
        <f t="shared" si="230"/>
        <v>47715</v>
      </c>
      <c r="Y661" s="17">
        <v>46990</v>
      </c>
      <c r="Z661" s="17">
        <v>725</v>
      </c>
      <c r="AA661" s="19">
        <f t="shared" si="231"/>
        <v>0</v>
      </c>
      <c r="AB661" s="17">
        <v>1542778</v>
      </c>
      <c r="AC661" s="27">
        <v>15.38</v>
      </c>
      <c r="AD661" s="27">
        <v>16.260750000000002</v>
      </c>
      <c r="AE661" s="22">
        <f t="shared" si="232"/>
        <v>94877.419553218628</v>
      </c>
      <c r="AF661" s="23">
        <f t="shared" si="233"/>
        <v>0</v>
      </c>
      <c r="AG661" s="23">
        <f t="shared" si="234"/>
        <v>0</v>
      </c>
      <c r="AH661" s="17">
        <v>1590492.5237179999</v>
      </c>
      <c r="AI661" s="24">
        <f t="shared" si="235"/>
        <v>1.0309276666623455</v>
      </c>
      <c r="AJ661" s="25">
        <v>348320754.71698099</v>
      </c>
      <c r="AK661" s="24">
        <f t="shared" si="236"/>
        <v>2.5397365281916457E-2</v>
      </c>
      <c r="AL661" s="22">
        <f t="shared" si="237"/>
        <v>24236.792994027372</v>
      </c>
      <c r="AM661" s="22">
        <f t="shared" si="238"/>
        <v>94877.419553218628</v>
      </c>
      <c r="AN661" s="22">
        <f t="shared" si="239"/>
        <v>-70640.626559191252</v>
      </c>
      <c r="AO661" s="26" t="str">
        <f t="shared" si="240"/>
        <v/>
      </c>
      <c r="AP661" s="26" t="str">
        <f t="shared" si="241"/>
        <v>pre-launch</v>
      </c>
      <c r="AQ661" s="18"/>
      <c r="AR661" s="18"/>
    </row>
    <row r="662" spans="1:44" x14ac:dyDescent="0.25">
      <c r="A662" s="43">
        <v>45723</v>
      </c>
      <c r="B662" s="17">
        <v>10328312158.950001</v>
      </c>
      <c r="C662" s="17">
        <v>0</v>
      </c>
      <c r="D662" s="17">
        <v>149081874</v>
      </c>
      <c r="E662" s="19">
        <f t="shared" si="220"/>
        <v>10328312158.950001</v>
      </c>
      <c r="F662" s="19">
        <f t="shared" si="221"/>
        <v>10477394032.950001</v>
      </c>
      <c r="G662" s="20">
        <f t="shared" si="222"/>
        <v>0</v>
      </c>
      <c r="H662" s="17">
        <v>2332222</v>
      </c>
      <c r="I662" s="17">
        <v>23676</v>
      </c>
      <c r="J662" s="17">
        <v>70677</v>
      </c>
      <c r="K662" s="19">
        <f t="shared" si="223"/>
        <v>2355898</v>
      </c>
      <c r="L662" s="18"/>
      <c r="M662" s="18"/>
      <c r="N662" s="18"/>
      <c r="O662" s="19">
        <f t="shared" si="224"/>
        <v>2332222</v>
      </c>
      <c r="P662" s="21">
        <f t="shared" si="225"/>
        <v>2.2580862817735543</v>
      </c>
      <c r="Q662" s="17">
        <v>2262255</v>
      </c>
      <c r="R662" s="17">
        <v>22966</v>
      </c>
      <c r="S662" s="19">
        <f t="shared" si="226"/>
        <v>2285221</v>
      </c>
      <c r="T662" s="20">
        <f t="shared" si="227"/>
        <v>0.03</v>
      </c>
      <c r="U662" s="19">
        <f t="shared" si="228"/>
        <v>70676.938144329906</v>
      </c>
      <c r="V662" s="17">
        <v>70677</v>
      </c>
      <c r="W662" s="19">
        <f t="shared" si="229"/>
        <v>-6.1855670093791559E-2</v>
      </c>
      <c r="X662" s="19">
        <f t="shared" si="230"/>
        <v>70677</v>
      </c>
      <c r="Y662" s="17">
        <v>69967</v>
      </c>
      <c r="Z662" s="17">
        <v>710</v>
      </c>
      <c r="AA662" s="19">
        <f t="shared" si="231"/>
        <v>0</v>
      </c>
      <c r="AB662" s="17">
        <v>2285221</v>
      </c>
      <c r="AC662" s="27">
        <v>15.141</v>
      </c>
      <c r="AD662" s="27">
        <v>15.404500000000001</v>
      </c>
      <c r="AE662" s="22">
        <f t="shared" si="232"/>
        <v>148347.62569379076</v>
      </c>
      <c r="AF662" s="23">
        <f t="shared" si="233"/>
        <v>0</v>
      </c>
      <c r="AG662" s="23">
        <f t="shared" si="234"/>
        <v>0</v>
      </c>
      <c r="AH662" s="17">
        <v>2355898.0190960201</v>
      </c>
      <c r="AI662" s="24">
        <f t="shared" si="235"/>
        <v>1.0309278704755558</v>
      </c>
      <c r="AJ662" s="25">
        <v>349037735.84905702</v>
      </c>
      <c r="AK662" s="24">
        <f t="shared" si="236"/>
        <v>2.5371266681748068E-2</v>
      </c>
      <c r="AL662" s="22">
        <f t="shared" si="237"/>
        <v>24261.724597862914</v>
      </c>
      <c r="AM662" s="22">
        <f t="shared" si="238"/>
        <v>148347.62569379076</v>
      </c>
      <c r="AN662" s="22">
        <f t="shared" si="239"/>
        <v>-124085.90109592784</v>
      </c>
      <c r="AO662" s="26" t="str">
        <f t="shared" si="240"/>
        <v/>
      </c>
      <c r="AP662" s="26" t="str">
        <f t="shared" si="241"/>
        <v>pre-launch</v>
      </c>
      <c r="AQ662" s="18"/>
      <c r="AR662" s="18"/>
    </row>
    <row r="663" spans="1:44" x14ac:dyDescent="0.25">
      <c r="A663" s="43">
        <v>45724</v>
      </c>
      <c r="B663" s="17">
        <v>2704382867.5700002</v>
      </c>
      <c r="C663" s="17">
        <v>0</v>
      </c>
      <c r="D663" s="17">
        <v>67592094</v>
      </c>
      <c r="E663" s="19">
        <f t="shared" si="220"/>
        <v>2704382867.5700002</v>
      </c>
      <c r="F663" s="19">
        <f t="shared" si="221"/>
        <v>2771974961.5700002</v>
      </c>
      <c r="G663" s="20">
        <f t="shared" si="222"/>
        <v>0</v>
      </c>
      <c r="H663" s="17">
        <v>634401</v>
      </c>
      <c r="I663" s="17">
        <v>10892</v>
      </c>
      <c r="J663" s="17">
        <v>18033</v>
      </c>
      <c r="K663" s="19">
        <f t="shared" si="223"/>
        <v>645293</v>
      </c>
      <c r="L663" s="18"/>
      <c r="M663" s="18"/>
      <c r="N663" s="18"/>
      <c r="O663" s="19">
        <f t="shared" si="224"/>
        <v>634401</v>
      </c>
      <c r="P663" s="21">
        <f t="shared" si="225"/>
        <v>2.3458253918389724</v>
      </c>
      <c r="Q663" s="17">
        <v>615369</v>
      </c>
      <c r="R663" s="17">
        <v>10565</v>
      </c>
      <c r="S663" s="19">
        <f t="shared" si="226"/>
        <v>625934</v>
      </c>
      <c r="T663" s="20">
        <f t="shared" si="227"/>
        <v>0.03</v>
      </c>
      <c r="U663" s="19">
        <f t="shared" si="228"/>
        <v>19358.783505154639</v>
      </c>
      <c r="V663" s="17">
        <v>18033</v>
      </c>
      <c r="W663" s="19">
        <f t="shared" si="229"/>
        <v>1325.783505154639</v>
      </c>
      <c r="X663" s="19">
        <f t="shared" si="230"/>
        <v>19359</v>
      </c>
      <c r="Y663" s="17">
        <v>19032</v>
      </c>
      <c r="Z663" s="17">
        <v>327</v>
      </c>
      <c r="AA663" s="19">
        <f t="shared" si="231"/>
        <v>1326</v>
      </c>
      <c r="AB663" s="17">
        <v>625934</v>
      </c>
      <c r="AC663" s="27">
        <v>15.111000000000001</v>
      </c>
      <c r="AD663" s="27">
        <v>15.3225</v>
      </c>
      <c r="AE663" s="22">
        <f t="shared" si="232"/>
        <v>40850.644477076195</v>
      </c>
      <c r="AF663" s="23">
        <f t="shared" si="233"/>
        <v>0</v>
      </c>
      <c r="AG663" s="23">
        <f t="shared" si="234"/>
        <v>0</v>
      </c>
      <c r="AH663" s="17">
        <v>601095.68091899203</v>
      </c>
      <c r="AI663" s="24">
        <f t="shared" si="235"/>
        <v>0.96031799026573417</v>
      </c>
      <c r="AJ663" s="25">
        <v>349754716.98113197</v>
      </c>
      <c r="AK663" s="24">
        <f t="shared" si="236"/>
        <v>2.5345248374164388E-2</v>
      </c>
      <c r="AL663" s="22">
        <f t="shared" si="237"/>
        <v>24286.630608006471</v>
      </c>
      <c r="AM663" s="22">
        <f t="shared" si="238"/>
        <v>40850.644477076195</v>
      </c>
      <c r="AN663" s="22">
        <f t="shared" si="239"/>
        <v>-16564.013869069724</v>
      </c>
      <c r="AO663" s="26" t="str">
        <f t="shared" si="240"/>
        <v/>
      </c>
      <c r="AP663" s="26" t="str">
        <f t="shared" si="241"/>
        <v>pre-launch</v>
      </c>
      <c r="AQ663" s="18"/>
      <c r="AR663" s="18"/>
    </row>
    <row r="664" spans="1:44" x14ac:dyDescent="0.25">
      <c r="A664" s="43">
        <v>45725</v>
      </c>
      <c r="B664" s="17">
        <v>5412422029.1000004</v>
      </c>
      <c r="C664" s="17">
        <v>0</v>
      </c>
      <c r="D664" s="17">
        <v>118439528</v>
      </c>
      <c r="E664" s="19">
        <f t="shared" si="220"/>
        <v>5412422029.1000004</v>
      </c>
      <c r="F664" s="19">
        <f t="shared" si="221"/>
        <v>5530861557.1000004</v>
      </c>
      <c r="G664" s="20">
        <f t="shared" si="222"/>
        <v>0</v>
      </c>
      <c r="H664" s="17">
        <v>1210965</v>
      </c>
      <c r="I664" s="17">
        <v>17991</v>
      </c>
      <c r="J664" s="17">
        <v>37861</v>
      </c>
      <c r="K664" s="19">
        <f t="shared" si="223"/>
        <v>1228956</v>
      </c>
      <c r="L664" s="18"/>
      <c r="M664" s="18"/>
      <c r="N664" s="18"/>
      <c r="O664" s="19">
        <f t="shared" si="224"/>
        <v>1210965</v>
      </c>
      <c r="P664" s="21">
        <f t="shared" si="225"/>
        <v>2.2373809608512074</v>
      </c>
      <c r="Q664" s="17">
        <v>1174636</v>
      </c>
      <c r="R664" s="17">
        <v>17452</v>
      </c>
      <c r="S664" s="19">
        <f t="shared" si="226"/>
        <v>1192088</v>
      </c>
      <c r="T664" s="20">
        <f t="shared" si="227"/>
        <v>0.03</v>
      </c>
      <c r="U664" s="19">
        <f t="shared" si="228"/>
        <v>36868.701030927834</v>
      </c>
      <c r="V664" s="17">
        <v>37861</v>
      </c>
      <c r="W664" s="19">
        <f t="shared" si="229"/>
        <v>-992.29896907216607</v>
      </c>
      <c r="X664" s="19">
        <f t="shared" si="230"/>
        <v>36869</v>
      </c>
      <c r="Y664" s="17">
        <v>36329</v>
      </c>
      <c r="Z664" s="17">
        <v>540</v>
      </c>
      <c r="AA664" s="19">
        <f t="shared" si="231"/>
        <v>-992</v>
      </c>
      <c r="AB664" s="17">
        <v>1192088</v>
      </c>
      <c r="AC664" s="27">
        <v>14.42</v>
      </c>
      <c r="AD664" s="27">
        <v>14.826750000000001</v>
      </c>
      <c r="AE664" s="22">
        <f t="shared" si="232"/>
        <v>80401.166809988703</v>
      </c>
      <c r="AF664" s="23">
        <f t="shared" si="233"/>
        <v>-1</v>
      </c>
      <c r="AG664" s="23">
        <f t="shared" si="234"/>
        <v>0</v>
      </c>
      <c r="AH664" s="17">
        <v>1262038.7167189999</v>
      </c>
      <c r="AI664" s="24">
        <f t="shared" si="235"/>
        <v>1.0586791551622028</v>
      </c>
      <c r="AJ664" s="25">
        <v>350471698.113208</v>
      </c>
      <c r="AK664" s="24">
        <f t="shared" si="236"/>
        <v>2.531930994830647E-2</v>
      </c>
      <c r="AL664" s="22">
        <f t="shared" si="237"/>
        <v>24311.511103116736</v>
      </c>
      <c r="AM664" s="22">
        <f t="shared" si="238"/>
        <v>80401.166809988703</v>
      </c>
      <c r="AN664" s="22">
        <f t="shared" si="239"/>
        <v>-56089.65570687197</v>
      </c>
      <c r="AO664" s="26" t="str">
        <f t="shared" si="240"/>
        <v/>
      </c>
      <c r="AP664" s="26" t="str">
        <f t="shared" si="241"/>
        <v>pre-launch</v>
      </c>
      <c r="AQ664" s="18"/>
      <c r="AR664" s="18"/>
    </row>
    <row r="665" spans="1:44" x14ac:dyDescent="0.25">
      <c r="A665" s="43">
        <v>45726</v>
      </c>
      <c r="B665" s="17">
        <v>9662861733.8299999</v>
      </c>
      <c r="C665" s="17">
        <v>0</v>
      </c>
      <c r="D665" s="17">
        <v>169103609</v>
      </c>
      <c r="E665" s="19">
        <f t="shared" si="220"/>
        <v>9662861733.8299999</v>
      </c>
      <c r="F665" s="19">
        <f t="shared" si="221"/>
        <v>9831965342.8299999</v>
      </c>
      <c r="G665" s="20">
        <f t="shared" si="222"/>
        <v>0</v>
      </c>
      <c r="H665" s="17">
        <v>2172589</v>
      </c>
      <c r="I665" s="17">
        <v>24937</v>
      </c>
      <c r="J665" s="17">
        <v>65505</v>
      </c>
      <c r="K665" s="19">
        <f t="shared" si="223"/>
        <v>2197526</v>
      </c>
      <c r="L665" s="18"/>
      <c r="M665" s="18"/>
      <c r="N665" s="18"/>
      <c r="O665" s="19">
        <f t="shared" si="224"/>
        <v>2172589</v>
      </c>
      <c r="P665" s="21">
        <f t="shared" si="225"/>
        <v>2.2483908596080742</v>
      </c>
      <c r="Q665" s="17">
        <v>2107411</v>
      </c>
      <c r="R665" s="17">
        <v>24189</v>
      </c>
      <c r="S665" s="19">
        <f t="shared" si="226"/>
        <v>2131600</v>
      </c>
      <c r="T665" s="20">
        <f t="shared" si="227"/>
        <v>0.03</v>
      </c>
      <c r="U665" s="19">
        <f t="shared" si="228"/>
        <v>65925.773195876289</v>
      </c>
      <c r="V665" s="17">
        <v>65505</v>
      </c>
      <c r="W665" s="19">
        <f t="shared" si="229"/>
        <v>420.77319587628881</v>
      </c>
      <c r="X665" s="19">
        <f t="shared" si="230"/>
        <v>65926</v>
      </c>
      <c r="Y665" s="17">
        <v>65178</v>
      </c>
      <c r="Z665" s="17">
        <v>748</v>
      </c>
      <c r="AA665" s="19">
        <f t="shared" si="231"/>
        <v>421</v>
      </c>
      <c r="AB665" s="17">
        <v>2131600</v>
      </c>
      <c r="AC665" s="27">
        <v>13.458</v>
      </c>
      <c r="AD665" s="27">
        <v>14.107250000000001</v>
      </c>
      <c r="AE665" s="22">
        <f t="shared" si="232"/>
        <v>151099.61190168175</v>
      </c>
      <c r="AF665" s="23">
        <f t="shared" si="233"/>
        <v>0</v>
      </c>
      <c r="AG665" s="23">
        <f t="shared" si="234"/>
        <v>0</v>
      </c>
      <c r="AH665" s="17">
        <v>2183515.9079349898</v>
      </c>
      <c r="AI665" s="24">
        <f t="shared" si="235"/>
        <v>1.0243553705831252</v>
      </c>
      <c r="AJ665" s="25">
        <v>351188679.24528301</v>
      </c>
      <c r="AK665" s="24">
        <f t="shared" si="236"/>
        <v>2.529345099625285E-2</v>
      </c>
      <c r="AL665" s="22">
        <f t="shared" si="237"/>
        <v>24336.366161450209</v>
      </c>
      <c r="AM665" s="22">
        <f t="shared" si="238"/>
        <v>151099.61190168175</v>
      </c>
      <c r="AN665" s="22">
        <f t="shared" si="239"/>
        <v>-126763.24574023155</v>
      </c>
      <c r="AO665" s="26" t="str">
        <f t="shared" si="240"/>
        <v/>
      </c>
      <c r="AP665" s="26" t="str">
        <f t="shared" si="241"/>
        <v>pre-launch</v>
      </c>
      <c r="AQ665" s="18"/>
      <c r="AR665" s="18"/>
    </row>
    <row r="666" spans="1:44" x14ac:dyDescent="0.25">
      <c r="A666" s="43">
        <v>45727</v>
      </c>
      <c r="B666" s="17">
        <v>8230997836.54</v>
      </c>
      <c r="C666" s="17">
        <v>0</v>
      </c>
      <c r="D666" s="17">
        <v>165879349</v>
      </c>
      <c r="E666" s="19">
        <f t="shared" si="220"/>
        <v>8230997836.54</v>
      </c>
      <c r="F666" s="19">
        <f t="shared" si="221"/>
        <v>8396877185.54</v>
      </c>
      <c r="G666" s="20">
        <f t="shared" si="222"/>
        <v>0</v>
      </c>
      <c r="H666" s="17">
        <v>1863002</v>
      </c>
      <c r="I666" s="17">
        <v>24588</v>
      </c>
      <c r="J666" s="17">
        <v>57174</v>
      </c>
      <c r="K666" s="19">
        <f t="shared" si="223"/>
        <v>1887590</v>
      </c>
      <c r="L666" s="18"/>
      <c r="M666" s="18"/>
      <c r="N666" s="18"/>
      <c r="O666" s="19">
        <f t="shared" si="224"/>
        <v>1863002</v>
      </c>
      <c r="P666" s="21">
        <f t="shared" si="225"/>
        <v>2.2633975090232017</v>
      </c>
      <c r="Q666" s="17">
        <v>1807112</v>
      </c>
      <c r="R666" s="17">
        <v>23851</v>
      </c>
      <c r="S666" s="19">
        <f t="shared" si="226"/>
        <v>1830963</v>
      </c>
      <c r="T666" s="20">
        <f t="shared" si="227"/>
        <v>0.03</v>
      </c>
      <c r="U666" s="19">
        <f t="shared" si="228"/>
        <v>56627.721649484534</v>
      </c>
      <c r="V666" s="17">
        <v>57174</v>
      </c>
      <c r="W666" s="19">
        <f t="shared" si="229"/>
        <v>-546.27835051546572</v>
      </c>
      <c r="X666" s="19">
        <f t="shared" si="230"/>
        <v>56628</v>
      </c>
      <c r="Y666" s="17">
        <v>55890</v>
      </c>
      <c r="Z666" s="17">
        <v>738</v>
      </c>
      <c r="AA666" s="19">
        <f t="shared" si="231"/>
        <v>-546</v>
      </c>
      <c r="AB666" s="17">
        <v>1830963</v>
      </c>
      <c r="AC666" s="27">
        <v>13.772</v>
      </c>
      <c r="AD666" s="27">
        <v>13.728999999999999</v>
      </c>
      <c r="AE666" s="22">
        <f t="shared" si="232"/>
        <v>133364.62961614103</v>
      </c>
      <c r="AF666" s="23">
        <f t="shared" si="233"/>
        <v>-1</v>
      </c>
      <c r="AG666" s="23">
        <f t="shared" si="234"/>
        <v>0</v>
      </c>
      <c r="AH666" s="17">
        <v>1905813.5177710101</v>
      </c>
      <c r="AI666" s="24">
        <f t="shared" si="235"/>
        <v>1.0408804098012958</v>
      </c>
      <c r="AJ666" s="25">
        <v>351905660.37735897</v>
      </c>
      <c r="AK666" s="24">
        <f t="shared" si="236"/>
        <v>2.5267671112992263E-2</v>
      </c>
      <c r="AL666" s="22">
        <f t="shared" si="237"/>
        <v>24361.195860864274</v>
      </c>
      <c r="AM666" s="22">
        <f t="shared" si="238"/>
        <v>133364.62961614103</v>
      </c>
      <c r="AN666" s="22">
        <f t="shared" si="239"/>
        <v>-109003.43375527675</v>
      </c>
      <c r="AO666" s="26" t="str">
        <f t="shared" si="240"/>
        <v/>
      </c>
      <c r="AP666" s="26" t="str">
        <f t="shared" si="241"/>
        <v>pre-launch</v>
      </c>
      <c r="AQ666" s="18"/>
      <c r="AR666" s="18"/>
    </row>
    <row r="667" spans="1:44" x14ac:dyDescent="0.25">
      <c r="A667" s="43">
        <v>45728</v>
      </c>
      <c r="B667" s="17">
        <v>7385946216.2399998</v>
      </c>
      <c r="C667" s="17">
        <v>0</v>
      </c>
      <c r="D667" s="17">
        <v>179610161</v>
      </c>
      <c r="E667" s="19">
        <f t="shared" si="220"/>
        <v>7385946216.2399998</v>
      </c>
      <c r="F667" s="19">
        <f t="shared" si="221"/>
        <v>7565556377.2399998</v>
      </c>
      <c r="G667" s="20">
        <f t="shared" si="222"/>
        <v>0</v>
      </c>
      <c r="H667" s="17">
        <v>1540013</v>
      </c>
      <c r="I667" s="17">
        <v>26516</v>
      </c>
      <c r="J667" s="17">
        <v>46996</v>
      </c>
      <c r="K667" s="19">
        <f t="shared" si="223"/>
        <v>1566529</v>
      </c>
      <c r="L667" s="18"/>
      <c r="M667" s="18"/>
      <c r="N667" s="18"/>
      <c r="O667" s="19">
        <f t="shared" si="224"/>
        <v>1540013</v>
      </c>
      <c r="P667" s="21">
        <f t="shared" si="225"/>
        <v>2.0850585082976441</v>
      </c>
      <c r="Q667" s="17">
        <v>1493812</v>
      </c>
      <c r="R667" s="17">
        <v>25720</v>
      </c>
      <c r="S667" s="19">
        <f t="shared" si="226"/>
        <v>1519532</v>
      </c>
      <c r="T667" s="20">
        <f t="shared" si="227"/>
        <v>0.03</v>
      </c>
      <c r="U667" s="19">
        <f t="shared" si="228"/>
        <v>46995.83505154639</v>
      </c>
      <c r="V667" s="17">
        <v>46996</v>
      </c>
      <c r="W667" s="19">
        <f t="shared" si="229"/>
        <v>-0.16494845361012267</v>
      </c>
      <c r="X667" s="19">
        <f t="shared" si="230"/>
        <v>46995</v>
      </c>
      <c r="Y667" s="17">
        <v>46200</v>
      </c>
      <c r="Z667" s="17">
        <v>795</v>
      </c>
      <c r="AA667" s="19">
        <f t="shared" si="231"/>
        <v>-1</v>
      </c>
      <c r="AB667" s="17">
        <v>1519532</v>
      </c>
      <c r="AC667" s="27">
        <v>13.163</v>
      </c>
      <c r="AD667" s="27">
        <v>13.4095</v>
      </c>
      <c r="AE667" s="22">
        <f t="shared" si="232"/>
        <v>113317.57336216861</v>
      </c>
      <c r="AF667" s="23">
        <f t="shared" si="233"/>
        <v>2</v>
      </c>
      <c r="AG667" s="23">
        <f t="shared" si="234"/>
        <v>0</v>
      </c>
      <c r="AH667" s="17">
        <v>1566528.0346269901</v>
      </c>
      <c r="AI667" s="24">
        <f t="shared" si="235"/>
        <v>1.0309279663916193</v>
      </c>
      <c r="AJ667" s="25">
        <v>352622641.50943398</v>
      </c>
      <c r="AK667" s="24">
        <f t="shared" si="236"/>
        <v>2.5241969896397324E-2</v>
      </c>
      <c r="AL667" s="22">
        <f t="shared" si="237"/>
        <v>24386.000278819833</v>
      </c>
      <c r="AM667" s="22">
        <f t="shared" si="238"/>
        <v>113317.57336216861</v>
      </c>
      <c r="AN667" s="22">
        <f t="shared" si="239"/>
        <v>-88931.573083348776</v>
      </c>
      <c r="AO667" s="26" t="str">
        <f t="shared" si="240"/>
        <v/>
      </c>
      <c r="AP667" s="26" t="str">
        <f t="shared" si="241"/>
        <v>pre-launch</v>
      </c>
      <c r="AQ667" s="18"/>
      <c r="AR667" s="18"/>
    </row>
    <row r="668" spans="1:44" x14ac:dyDescent="0.25">
      <c r="A668" s="43">
        <v>45729</v>
      </c>
      <c r="B668" s="17">
        <v>4794383453.1300001</v>
      </c>
      <c r="C668" s="17">
        <v>0</v>
      </c>
      <c r="D668" s="17">
        <v>144019081</v>
      </c>
      <c r="E668" s="19">
        <f t="shared" si="220"/>
        <v>4794383453.1300001</v>
      </c>
      <c r="F668" s="19">
        <f t="shared" si="221"/>
        <v>4938402534.1300001</v>
      </c>
      <c r="G668" s="20">
        <f t="shared" si="222"/>
        <v>0</v>
      </c>
      <c r="H668" s="17">
        <v>1114147</v>
      </c>
      <c r="I668" s="17">
        <v>21681</v>
      </c>
      <c r="J668" s="17">
        <v>33865</v>
      </c>
      <c r="K668" s="19">
        <f t="shared" si="223"/>
        <v>1135828</v>
      </c>
      <c r="L668" s="18"/>
      <c r="M668" s="18"/>
      <c r="N668" s="18"/>
      <c r="O668" s="19">
        <f t="shared" si="224"/>
        <v>1114147</v>
      </c>
      <c r="P668" s="21">
        <f t="shared" si="225"/>
        <v>2.3238587628459966</v>
      </c>
      <c r="Q668" s="17">
        <v>1080722</v>
      </c>
      <c r="R668" s="17">
        <v>21030</v>
      </c>
      <c r="S668" s="19">
        <f t="shared" si="226"/>
        <v>1101752</v>
      </c>
      <c r="T668" s="20">
        <f t="shared" si="227"/>
        <v>0.03</v>
      </c>
      <c r="U668" s="19">
        <f t="shared" si="228"/>
        <v>34074.804123711336</v>
      </c>
      <c r="V668" s="17">
        <v>33865</v>
      </c>
      <c r="W668" s="19">
        <f t="shared" si="229"/>
        <v>209.80412371133571</v>
      </c>
      <c r="X668" s="19">
        <f t="shared" si="230"/>
        <v>34074</v>
      </c>
      <c r="Y668" s="17">
        <v>33424</v>
      </c>
      <c r="Z668" s="17">
        <v>650</v>
      </c>
      <c r="AA668" s="19">
        <f t="shared" si="231"/>
        <v>209</v>
      </c>
      <c r="AB668" s="17">
        <v>1101752</v>
      </c>
      <c r="AC668" s="27">
        <v>12.323</v>
      </c>
      <c r="AD668" s="27">
        <v>12.795</v>
      </c>
      <c r="AE668" s="22">
        <f t="shared" si="232"/>
        <v>86108.010941774133</v>
      </c>
      <c r="AF668" s="23">
        <f t="shared" si="233"/>
        <v>2</v>
      </c>
      <c r="AG668" s="23">
        <f t="shared" si="234"/>
        <v>0</v>
      </c>
      <c r="AH668" s="17">
        <v>1128839.83118001</v>
      </c>
      <c r="AI668" s="24">
        <f t="shared" si="235"/>
        <v>1.0245861420537561</v>
      </c>
      <c r="AJ668" s="25">
        <v>353339622.641509</v>
      </c>
      <c r="AK668" s="24">
        <f t="shared" si="236"/>
        <v>2.5216346947197914E-2</v>
      </c>
      <c r="AL668" s="22">
        <f t="shared" si="237"/>
        <v>24410.779492384321</v>
      </c>
      <c r="AM668" s="22">
        <f t="shared" si="238"/>
        <v>86108.010941774133</v>
      </c>
      <c r="AN668" s="22">
        <f t="shared" si="239"/>
        <v>-61697.231449389816</v>
      </c>
      <c r="AO668" s="26" t="str">
        <f t="shared" si="240"/>
        <v/>
      </c>
      <c r="AP668" s="26" t="str">
        <f t="shared" si="241"/>
        <v>pre-launch</v>
      </c>
      <c r="AQ668" s="18"/>
      <c r="AR668" s="18"/>
    </row>
    <row r="669" spans="1:44" x14ac:dyDescent="0.25">
      <c r="A669" s="43">
        <v>45730</v>
      </c>
      <c r="B669" s="17">
        <v>4206697098.3899999</v>
      </c>
      <c r="C669" s="17">
        <v>0</v>
      </c>
      <c r="D669" s="17">
        <v>129815493</v>
      </c>
      <c r="E669" s="19">
        <f t="shared" si="220"/>
        <v>4206697098.3899999</v>
      </c>
      <c r="F669" s="19">
        <f t="shared" si="221"/>
        <v>4336512591.3899994</v>
      </c>
      <c r="G669" s="20">
        <f t="shared" si="222"/>
        <v>0</v>
      </c>
      <c r="H669" s="17">
        <v>944786</v>
      </c>
      <c r="I669" s="17">
        <v>16728</v>
      </c>
      <c r="J669" s="17">
        <v>28909</v>
      </c>
      <c r="K669" s="19">
        <f t="shared" si="223"/>
        <v>961514</v>
      </c>
      <c r="L669" s="18"/>
      <c r="M669" s="18"/>
      <c r="N669" s="18"/>
      <c r="O669" s="19">
        <f t="shared" si="224"/>
        <v>944786</v>
      </c>
      <c r="P669" s="21">
        <f t="shared" si="225"/>
        <v>2.245909267775879</v>
      </c>
      <c r="Q669" s="17">
        <v>916442</v>
      </c>
      <c r="R669" s="17">
        <v>16226</v>
      </c>
      <c r="S669" s="19">
        <f t="shared" si="226"/>
        <v>932668</v>
      </c>
      <c r="T669" s="20">
        <f t="shared" si="227"/>
        <v>0.03</v>
      </c>
      <c r="U669" s="19">
        <f t="shared" si="228"/>
        <v>28845.402061855668</v>
      </c>
      <c r="V669" s="17">
        <v>28909</v>
      </c>
      <c r="W669" s="19">
        <f t="shared" si="229"/>
        <v>-63.597938144332147</v>
      </c>
      <c r="X669" s="19">
        <f t="shared" si="230"/>
        <v>28846</v>
      </c>
      <c r="Y669" s="17">
        <v>28344</v>
      </c>
      <c r="Z669" s="17">
        <v>502</v>
      </c>
      <c r="AA669" s="19">
        <f t="shared" si="231"/>
        <v>-63</v>
      </c>
      <c r="AB669" s="17">
        <v>932668</v>
      </c>
      <c r="AC669" s="27">
        <v>13.801</v>
      </c>
      <c r="AD669" s="27">
        <v>13.228249999999999</v>
      </c>
      <c r="AE669" s="22">
        <f t="shared" si="232"/>
        <v>70505.773628408904</v>
      </c>
      <c r="AF669" s="23">
        <f t="shared" si="233"/>
        <v>0</v>
      </c>
      <c r="AG669" s="23">
        <f t="shared" si="234"/>
        <v>0</v>
      </c>
      <c r="AH669" s="17">
        <v>963621.70241799997</v>
      </c>
      <c r="AI669" s="24">
        <f t="shared" si="235"/>
        <v>1.0331883397071626</v>
      </c>
      <c r="AJ669" s="25">
        <v>354056603.77358502</v>
      </c>
      <c r="AK669" s="24">
        <f t="shared" si="236"/>
        <v>2.5190801868955243E-2</v>
      </c>
      <c r="AL669" s="22">
        <f t="shared" si="237"/>
        <v>24435.533578234441</v>
      </c>
      <c r="AM669" s="22">
        <f t="shared" si="238"/>
        <v>70505.773628408904</v>
      </c>
      <c r="AN669" s="22">
        <f t="shared" si="239"/>
        <v>-46070.240050174463</v>
      </c>
      <c r="AO669" s="26" t="str">
        <f t="shared" si="240"/>
        <v/>
      </c>
      <c r="AP669" s="26" t="str">
        <f t="shared" si="241"/>
        <v>pre-launch</v>
      </c>
      <c r="AQ669" s="18"/>
      <c r="AR669" s="18"/>
    </row>
    <row r="670" spans="1:44" x14ac:dyDescent="0.25">
      <c r="A670" s="43">
        <v>45731</v>
      </c>
      <c r="B670" s="17">
        <v>2136911541.3599999</v>
      </c>
      <c r="C670" s="17">
        <v>0</v>
      </c>
      <c r="D670" s="17">
        <v>57862220</v>
      </c>
      <c r="E670" s="19">
        <f t="shared" si="220"/>
        <v>2136911541.3599999</v>
      </c>
      <c r="F670" s="19">
        <f t="shared" si="221"/>
        <v>2194773761.3599997</v>
      </c>
      <c r="G670" s="20">
        <f t="shared" si="222"/>
        <v>0</v>
      </c>
      <c r="H670" s="17">
        <v>614685</v>
      </c>
      <c r="I670" s="17">
        <v>7895</v>
      </c>
      <c r="J670" s="17">
        <v>18776</v>
      </c>
      <c r="K670" s="19">
        <f t="shared" si="223"/>
        <v>622580</v>
      </c>
      <c r="L670" s="18"/>
      <c r="M670" s="18"/>
      <c r="N670" s="18"/>
      <c r="O670" s="19">
        <f t="shared" si="224"/>
        <v>614685</v>
      </c>
      <c r="P670" s="21">
        <f t="shared" si="225"/>
        <v>2.8765112083619266</v>
      </c>
      <c r="Q670" s="17">
        <v>596245</v>
      </c>
      <c r="R670" s="17">
        <v>7658</v>
      </c>
      <c r="S670" s="19">
        <f t="shared" si="226"/>
        <v>603903</v>
      </c>
      <c r="T670" s="20">
        <f t="shared" si="227"/>
        <v>0.03</v>
      </c>
      <c r="U670" s="19">
        <f t="shared" si="228"/>
        <v>18677.412371134022</v>
      </c>
      <c r="V670" s="17">
        <v>18776</v>
      </c>
      <c r="W670" s="19">
        <f t="shared" si="229"/>
        <v>-98.587628865978331</v>
      </c>
      <c r="X670" s="19">
        <f t="shared" si="230"/>
        <v>18678</v>
      </c>
      <c r="Y670" s="17">
        <v>18441</v>
      </c>
      <c r="Z670" s="17">
        <v>237</v>
      </c>
      <c r="AA670" s="19">
        <f t="shared" si="231"/>
        <v>-98</v>
      </c>
      <c r="AB670" s="17">
        <v>603903</v>
      </c>
      <c r="AC670" s="27">
        <v>14.384</v>
      </c>
      <c r="AD670" s="27">
        <v>14.185499999999999</v>
      </c>
      <c r="AE670" s="22">
        <f t="shared" si="232"/>
        <v>42571.851538542884</v>
      </c>
      <c r="AF670" s="23">
        <f t="shared" si="233"/>
        <v>-1</v>
      </c>
      <c r="AG670" s="23">
        <f t="shared" si="234"/>
        <v>0</v>
      </c>
      <c r="AH670" s="17">
        <v>625850.63333001698</v>
      </c>
      <c r="AI670" s="24">
        <f t="shared" si="235"/>
        <v>1.03634297781269</v>
      </c>
      <c r="AJ670" s="25">
        <v>354773584.90565997</v>
      </c>
      <c r="AK670" s="24">
        <f t="shared" si="236"/>
        <v>2.5165334268036202E-2</v>
      </c>
      <c r="AL670" s="22">
        <f t="shared" si="237"/>
        <v>24460.262612658786</v>
      </c>
      <c r="AM670" s="22">
        <f t="shared" si="238"/>
        <v>42571.851538542884</v>
      </c>
      <c r="AN670" s="22">
        <f t="shared" si="239"/>
        <v>-18111.588925884098</v>
      </c>
      <c r="AO670" s="26" t="str">
        <f t="shared" si="240"/>
        <v/>
      </c>
      <c r="AP670" s="26" t="str">
        <f t="shared" si="241"/>
        <v>pre-launch</v>
      </c>
      <c r="AQ670" s="18"/>
      <c r="AR670" s="18"/>
    </row>
    <row r="671" spans="1:44" x14ac:dyDescent="0.25">
      <c r="A671" s="43">
        <v>45732</v>
      </c>
      <c r="B671" s="17">
        <v>3662298195.6599998</v>
      </c>
      <c r="C671" s="17">
        <v>0</v>
      </c>
      <c r="D671" s="17">
        <v>61473426</v>
      </c>
      <c r="E671" s="19">
        <f t="shared" si="220"/>
        <v>3662298195.6599998</v>
      </c>
      <c r="F671" s="19">
        <f t="shared" si="221"/>
        <v>3723771621.6599998</v>
      </c>
      <c r="G671" s="20">
        <f t="shared" si="222"/>
        <v>0</v>
      </c>
      <c r="H671" s="17">
        <v>832729</v>
      </c>
      <c r="I671" s="17">
        <v>10659</v>
      </c>
      <c r="J671" s="17">
        <v>25302</v>
      </c>
      <c r="K671" s="19">
        <f t="shared" si="223"/>
        <v>843388</v>
      </c>
      <c r="L671" s="18"/>
      <c r="M671" s="18"/>
      <c r="N671" s="18"/>
      <c r="O671" s="19">
        <f t="shared" si="224"/>
        <v>832729</v>
      </c>
      <c r="P671" s="21">
        <f t="shared" si="225"/>
        <v>2.2737880847245702</v>
      </c>
      <c r="Q671" s="17">
        <v>807747</v>
      </c>
      <c r="R671" s="17">
        <v>10339</v>
      </c>
      <c r="S671" s="19">
        <f t="shared" si="226"/>
        <v>818086</v>
      </c>
      <c r="T671" s="20">
        <f t="shared" si="227"/>
        <v>0.03</v>
      </c>
      <c r="U671" s="19">
        <f t="shared" si="228"/>
        <v>25301.628865979379</v>
      </c>
      <c r="V671" s="17">
        <v>25302</v>
      </c>
      <c r="W671" s="19">
        <f t="shared" si="229"/>
        <v>-0.37113402062095702</v>
      </c>
      <c r="X671" s="19">
        <f t="shared" si="230"/>
        <v>25302</v>
      </c>
      <c r="Y671" s="17">
        <v>24982</v>
      </c>
      <c r="Z671" s="17">
        <v>320</v>
      </c>
      <c r="AA671" s="19">
        <f t="shared" si="231"/>
        <v>0</v>
      </c>
      <c r="AB671" s="17">
        <v>818086</v>
      </c>
      <c r="AC671" s="27">
        <v>12.971</v>
      </c>
      <c r="AD671" s="27">
        <v>13.6435</v>
      </c>
      <c r="AE671" s="22">
        <f t="shared" si="232"/>
        <v>59961.593432770183</v>
      </c>
      <c r="AF671" s="23">
        <f t="shared" si="233"/>
        <v>0</v>
      </c>
      <c r="AG671" s="23">
        <f t="shared" si="234"/>
        <v>0</v>
      </c>
      <c r="AH671" s="17">
        <v>760552.45694899606</v>
      </c>
      <c r="AI671" s="24">
        <f t="shared" si="235"/>
        <v>0.92967298908549478</v>
      </c>
      <c r="AJ671" s="25">
        <v>355490566.037736</v>
      </c>
      <c r="AK671" s="24">
        <f t="shared" si="236"/>
        <v>2.5139943753587614E-2</v>
      </c>
      <c r="AL671" s="22">
        <f t="shared" si="237"/>
        <v>24484.966671560836</v>
      </c>
      <c r="AM671" s="22">
        <f t="shared" si="238"/>
        <v>59961.593432770183</v>
      </c>
      <c r="AN671" s="22">
        <f t="shared" si="239"/>
        <v>-35476.626761209351</v>
      </c>
      <c r="AO671" s="26" t="str">
        <f t="shared" si="240"/>
        <v/>
      </c>
      <c r="AP671" s="26" t="str">
        <f t="shared" si="241"/>
        <v>pre-launch</v>
      </c>
      <c r="AQ671" s="18"/>
      <c r="AR671" s="18"/>
    </row>
    <row r="672" spans="1:44" x14ac:dyDescent="0.25">
      <c r="A672" s="43">
        <v>45733</v>
      </c>
      <c r="B672" s="17">
        <v>3724551748.3099999</v>
      </c>
      <c r="C672" s="17">
        <v>0</v>
      </c>
      <c r="D672" s="17">
        <v>62237612</v>
      </c>
      <c r="E672" s="19">
        <f t="shared" si="220"/>
        <v>3724551748.3099999</v>
      </c>
      <c r="F672" s="19">
        <f t="shared" si="221"/>
        <v>3786789360.3099999</v>
      </c>
      <c r="G672" s="20">
        <f t="shared" si="222"/>
        <v>0</v>
      </c>
      <c r="H672" s="17">
        <v>801532</v>
      </c>
      <c r="I672" s="17">
        <v>8208</v>
      </c>
      <c r="J672" s="17">
        <v>24292</v>
      </c>
      <c r="K672" s="19">
        <f t="shared" si="223"/>
        <v>809740</v>
      </c>
      <c r="L672" s="18"/>
      <c r="M672" s="18"/>
      <c r="N672" s="18"/>
      <c r="O672" s="19">
        <f t="shared" si="224"/>
        <v>801532</v>
      </c>
      <c r="P672" s="21">
        <f t="shared" si="225"/>
        <v>2.1520227242478018</v>
      </c>
      <c r="Q672" s="17">
        <v>777486</v>
      </c>
      <c r="R672" s="17">
        <v>7961</v>
      </c>
      <c r="S672" s="19">
        <f t="shared" si="226"/>
        <v>785447</v>
      </c>
      <c r="T672" s="20">
        <f t="shared" si="227"/>
        <v>0.03</v>
      </c>
      <c r="U672" s="19">
        <f t="shared" si="228"/>
        <v>24292.17525773196</v>
      </c>
      <c r="V672" s="17">
        <v>24292</v>
      </c>
      <c r="W672" s="19">
        <f t="shared" si="229"/>
        <v>0.17525773196030059</v>
      </c>
      <c r="X672" s="19">
        <f t="shared" si="230"/>
        <v>24292</v>
      </c>
      <c r="Y672" s="17">
        <v>24046</v>
      </c>
      <c r="Z672" s="17">
        <v>246</v>
      </c>
      <c r="AA672" s="19">
        <f t="shared" si="231"/>
        <v>0</v>
      </c>
      <c r="AB672" s="17">
        <v>785447</v>
      </c>
      <c r="AC672" s="27">
        <v>13.241</v>
      </c>
      <c r="AD672" s="27">
        <v>13.307</v>
      </c>
      <c r="AE672" s="22">
        <f t="shared" si="232"/>
        <v>59025.099571654013</v>
      </c>
      <c r="AF672" s="23">
        <f t="shared" si="233"/>
        <v>1</v>
      </c>
      <c r="AG672" s="23">
        <f t="shared" si="234"/>
        <v>0</v>
      </c>
      <c r="AH672" s="17">
        <v>894181.87031599903</v>
      </c>
      <c r="AI672" s="24">
        <f t="shared" si="235"/>
        <v>1.1384369286737348</v>
      </c>
      <c r="AJ672" s="25">
        <v>356207547.16981101</v>
      </c>
      <c r="AK672" s="24">
        <f t="shared" si="236"/>
        <v>2.5114629937511353E-2</v>
      </c>
      <c r="AL672" s="22">
        <f t="shared" si="237"/>
        <v>24509.645830461435</v>
      </c>
      <c r="AM672" s="22">
        <f t="shared" si="238"/>
        <v>59025.099571654013</v>
      </c>
      <c r="AN672" s="22">
        <f t="shared" si="239"/>
        <v>-34515.453741192578</v>
      </c>
      <c r="AO672" s="26" t="str">
        <f t="shared" si="240"/>
        <v/>
      </c>
      <c r="AP672" s="26" t="str">
        <f t="shared" si="241"/>
        <v>pre-launch</v>
      </c>
      <c r="AQ672" s="18"/>
      <c r="AR672" s="18"/>
    </row>
    <row r="673" spans="1:44" x14ac:dyDescent="0.25">
      <c r="A673" s="43">
        <v>45734</v>
      </c>
      <c r="B673" s="17">
        <v>4923537604.5</v>
      </c>
      <c r="C673" s="17">
        <v>0</v>
      </c>
      <c r="D673" s="17">
        <v>57535112</v>
      </c>
      <c r="E673" s="19">
        <f t="shared" si="220"/>
        <v>4923537604.5</v>
      </c>
      <c r="F673" s="19">
        <f t="shared" si="221"/>
        <v>4981072716.5</v>
      </c>
      <c r="G673" s="20">
        <f t="shared" si="222"/>
        <v>0</v>
      </c>
      <c r="H673" s="17">
        <v>1117474</v>
      </c>
      <c r="I673" s="17">
        <v>8169</v>
      </c>
      <c r="J673" s="17">
        <v>33579</v>
      </c>
      <c r="K673" s="19">
        <f t="shared" si="223"/>
        <v>1125643</v>
      </c>
      <c r="L673" s="18"/>
      <c r="M673" s="18"/>
      <c r="N673" s="18"/>
      <c r="O673" s="19">
        <f t="shared" si="224"/>
        <v>1117474</v>
      </c>
      <c r="P673" s="21">
        <f t="shared" si="225"/>
        <v>2.2696566773018136</v>
      </c>
      <c r="Q673" s="17">
        <v>1083950</v>
      </c>
      <c r="R673" s="17">
        <v>7924</v>
      </c>
      <c r="S673" s="19">
        <f t="shared" si="226"/>
        <v>1091874</v>
      </c>
      <c r="T673" s="20">
        <f t="shared" si="227"/>
        <v>0.03</v>
      </c>
      <c r="U673" s="19">
        <f t="shared" si="228"/>
        <v>33769.298969072166</v>
      </c>
      <c r="V673" s="17">
        <v>33579</v>
      </c>
      <c r="W673" s="19">
        <f t="shared" si="229"/>
        <v>190.29896907216607</v>
      </c>
      <c r="X673" s="19">
        <f t="shared" si="230"/>
        <v>33769</v>
      </c>
      <c r="Y673" s="17">
        <v>33524</v>
      </c>
      <c r="Z673" s="17">
        <v>245</v>
      </c>
      <c r="AA673" s="19">
        <f t="shared" si="231"/>
        <v>190</v>
      </c>
      <c r="AB673" s="17">
        <v>1091874</v>
      </c>
      <c r="AC673" s="27">
        <v>14.170999999999999</v>
      </c>
      <c r="AD673" s="27">
        <v>13.64875</v>
      </c>
      <c r="AE673" s="22">
        <f t="shared" si="232"/>
        <v>79998.095063650515</v>
      </c>
      <c r="AF673" s="23">
        <f t="shared" si="233"/>
        <v>0</v>
      </c>
      <c r="AG673" s="23">
        <f t="shared" si="234"/>
        <v>0</v>
      </c>
      <c r="AH673" s="17">
        <v>1119293.97113499</v>
      </c>
      <c r="AI673" s="24">
        <f t="shared" si="235"/>
        <v>1.0251127613030349</v>
      </c>
      <c r="AJ673" s="25">
        <v>356924528.30188698</v>
      </c>
      <c r="AK673" s="24">
        <f t="shared" si="236"/>
        <v>2.5089392434439115E-2</v>
      </c>
      <c r="AL673" s="22">
        <f t="shared" si="237"/>
        <v>24534.300164501681</v>
      </c>
      <c r="AM673" s="22">
        <f t="shared" si="238"/>
        <v>79998.095063650515</v>
      </c>
      <c r="AN673" s="22">
        <f t="shared" si="239"/>
        <v>-55463.794899148837</v>
      </c>
      <c r="AO673" s="26" t="str">
        <f t="shared" si="240"/>
        <v/>
      </c>
      <c r="AP673" s="26" t="str">
        <f t="shared" si="241"/>
        <v>pre-launch</v>
      </c>
      <c r="AQ673" s="18"/>
      <c r="AR673" s="18"/>
    </row>
    <row r="674" spans="1:44" x14ac:dyDescent="0.25">
      <c r="A674" s="43">
        <v>45735</v>
      </c>
      <c r="B674" s="17">
        <v>5936470683.9899998</v>
      </c>
      <c r="C674" s="17">
        <v>0</v>
      </c>
      <c r="D674" s="17">
        <v>135305314</v>
      </c>
      <c r="E674" s="19">
        <f t="shared" si="220"/>
        <v>5936470683.9899998</v>
      </c>
      <c r="F674" s="19">
        <f t="shared" si="221"/>
        <v>6071775997.9899998</v>
      </c>
      <c r="G674" s="20">
        <f t="shared" si="222"/>
        <v>0</v>
      </c>
      <c r="H674" s="17">
        <v>1391797</v>
      </c>
      <c r="I674" s="17">
        <v>18478</v>
      </c>
      <c r="J674" s="17">
        <v>42499</v>
      </c>
      <c r="K674" s="19">
        <f t="shared" si="223"/>
        <v>1410275</v>
      </c>
      <c r="L674" s="18"/>
      <c r="M674" s="18"/>
      <c r="N674" s="18"/>
      <c r="O674" s="19">
        <f t="shared" si="224"/>
        <v>1391797</v>
      </c>
      <c r="P674" s="21">
        <f t="shared" si="225"/>
        <v>2.3444855943675784</v>
      </c>
      <c r="Q674" s="17">
        <v>1350043</v>
      </c>
      <c r="R674" s="17">
        <v>17924</v>
      </c>
      <c r="S674" s="19">
        <f t="shared" si="226"/>
        <v>1367967</v>
      </c>
      <c r="T674" s="20">
        <f t="shared" si="227"/>
        <v>0.03</v>
      </c>
      <c r="U674" s="19">
        <f t="shared" si="228"/>
        <v>42308.257731958765</v>
      </c>
      <c r="V674" s="17">
        <v>42499</v>
      </c>
      <c r="W674" s="19">
        <f t="shared" si="229"/>
        <v>-190.74226804123464</v>
      </c>
      <c r="X674" s="19">
        <f t="shared" si="230"/>
        <v>42308</v>
      </c>
      <c r="Y674" s="17">
        <v>41754</v>
      </c>
      <c r="Z674" s="17">
        <v>554</v>
      </c>
      <c r="AA674" s="19">
        <f t="shared" si="231"/>
        <v>-191</v>
      </c>
      <c r="AB674" s="17">
        <v>1367967</v>
      </c>
      <c r="AC674" s="27">
        <v>15.618</v>
      </c>
      <c r="AD674" s="27">
        <v>14.85075</v>
      </c>
      <c r="AE674" s="22">
        <f t="shared" si="232"/>
        <v>92114.337659714161</v>
      </c>
      <c r="AF674" s="23">
        <f t="shared" si="233"/>
        <v>0</v>
      </c>
      <c r="AG674" s="23">
        <f t="shared" si="234"/>
        <v>0</v>
      </c>
      <c r="AH674" s="17">
        <v>1416624.397508</v>
      </c>
      <c r="AI674" s="24">
        <f t="shared" si="235"/>
        <v>1.0355691310594481</v>
      </c>
      <c r="AJ674" s="25">
        <v>357641509.43396199</v>
      </c>
      <c r="AK674" s="24">
        <f t="shared" si="236"/>
        <v>2.5064230861708101E-2</v>
      </c>
      <c r="AL674" s="22">
        <f t="shared" si="237"/>
        <v>24558.929748445422</v>
      </c>
      <c r="AM674" s="22">
        <f t="shared" si="238"/>
        <v>92114.337659714161</v>
      </c>
      <c r="AN674" s="22">
        <f t="shared" si="239"/>
        <v>-67555.407911268732</v>
      </c>
      <c r="AO674" s="26" t="str">
        <f t="shared" si="240"/>
        <v/>
      </c>
      <c r="AP674" s="26" t="str">
        <f t="shared" si="241"/>
        <v>pre-launch</v>
      </c>
      <c r="AQ674" s="18"/>
      <c r="AR674" s="18"/>
    </row>
    <row r="675" spans="1:44" x14ac:dyDescent="0.25">
      <c r="A675" s="43">
        <v>45736</v>
      </c>
      <c r="B675" s="17">
        <v>4798349094.5500002</v>
      </c>
      <c r="C675" s="17">
        <v>0</v>
      </c>
      <c r="D675" s="17">
        <v>84104047</v>
      </c>
      <c r="E675" s="19">
        <f t="shared" si="220"/>
        <v>4798349094.5500002</v>
      </c>
      <c r="F675" s="19">
        <f t="shared" si="221"/>
        <v>4882453141.5500002</v>
      </c>
      <c r="G675" s="20">
        <f t="shared" si="222"/>
        <v>0</v>
      </c>
      <c r="H675" s="17">
        <v>1147968</v>
      </c>
      <c r="I675" s="17">
        <v>14033</v>
      </c>
      <c r="J675" s="17">
        <v>34860</v>
      </c>
      <c r="K675" s="19">
        <f t="shared" si="223"/>
        <v>1162001</v>
      </c>
      <c r="L675" s="18"/>
      <c r="M675" s="18"/>
      <c r="N675" s="18"/>
      <c r="O675" s="19">
        <f t="shared" si="224"/>
        <v>1147968</v>
      </c>
      <c r="P675" s="21">
        <f t="shared" si="225"/>
        <v>2.3924228466492159</v>
      </c>
      <c r="Q675" s="17">
        <v>1113529</v>
      </c>
      <c r="R675" s="17">
        <v>13612</v>
      </c>
      <c r="S675" s="19">
        <f t="shared" si="226"/>
        <v>1127141</v>
      </c>
      <c r="T675" s="20">
        <f t="shared" si="227"/>
        <v>0.03</v>
      </c>
      <c r="U675" s="19">
        <f t="shared" si="228"/>
        <v>34860.030927835047</v>
      </c>
      <c r="V675" s="17">
        <v>34860</v>
      </c>
      <c r="W675" s="19">
        <f t="shared" si="229"/>
        <v>3.092783504689578E-2</v>
      </c>
      <c r="X675" s="19">
        <f t="shared" si="230"/>
        <v>34860</v>
      </c>
      <c r="Y675" s="17">
        <v>34439</v>
      </c>
      <c r="Z675" s="17">
        <v>421</v>
      </c>
      <c r="AA675" s="19">
        <f t="shared" si="231"/>
        <v>0</v>
      </c>
      <c r="AB675" s="17">
        <v>1127141</v>
      </c>
      <c r="AC675" s="27">
        <v>14.147</v>
      </c>
      <c r="AD675" s="27">
        <v>14.878</v>
      </c>
      <c r="AE675" s="22">
        <f t="shared" si="232"/>
        <v>75758.90576690415</v>
      </c>
      <c r="AF675" s="23">
        <f t="shared" si="233"/>
        <v>0</v>
      </c>
      <c r="AG675" s="23">
        <f t="shared" si="234"/>
        <v>0</v>
      </c>
      <c r="AH675" s="17">
        <v>1162000.4816769999</v>
      </c>
      <c r="AI675" s="24">
        <f t="shared" si="235"/>
        <v>1.0309273477559595</v>
      </c>
      <c r="AJ675" s="25">
        <v>358358490.56603801</v>
      </c>
      <c r="AK675" s="24">
        <f t="shared" si="236"/>
        <v>2.5039144839336315E-2</v>
      </c>
      <c r="AL675" s="22">
        <f t="shared" si="237"/>
        <v>24583.534656682092</v>
      </c>
      <c r="AM675" s="22">
        <f t="shared" si="238"/>
        <v>75758.90576690415</v>
      </c>
      <c r="AN675" s="22">
        <f t="shared" si="239"/>
        <v>-51175.371110222055</v>
      </c>
      <c r="AO675" s="26" t="str">
        <f t="shared" si="240"/>
        <v/>
      </c>
      <c r="AP675" s="26" t="str">
        <f t="shared" si="241"/>
        <v>pre-launch</v>
      </c>
      <c r="AQ675" s="18"/>
      <c r="AR675" s="18"/>
    </row>
    <row r="676" spans="1:44" x14ac:dyDescent="0.25">
      <c r="A676" s="43">
        <v>45737</v>
      </c>
      <c r="B676" s="17">
        <v>3535282613.2800002</v>
      </c>
      <c r="C676" s="17">
        <v>0</v>
      </c>
      <c r="D676" s="17">
        <v>96389184</v>
      </c>
      <c r="E676" s="19">
        <f t="shared" si="220"/>
        <v>3535282613.2800002</v>
      </c>
      <c r="F676" s="19">
        <f t="shared" si="221"/>
        <v>3631671797.2800002</v>
      </c>
      <c r="G676" s="20">
        <f t="shared" si="222"/>
        <v>0</v>
      </c>
      <c r="H676" s="17">
        <v>846172</v>
      </c>
      <c r="I676" s="17">
        <v>12366</v>
      </c>
      <c r="J676" s="17">
        <v>25756</v>
      </c>
      <c r="K676" s="19">
        <f t="shared" si="223"/>
        <v>858538</v>
      </c>
      <c r="L676" s="18"/>
      <c r="M676" s="18"/>
      <c r="N676" s="18"/>
      <c r="O676" s="19">
        <f t="shared" si="224"/>
        <v>846172</v>
      </c>
      <c r="P676" s="21">
        <f t="shared" si="225"/>
        <v>2.3935059585375837</v>
      </c>
      <c r="Q676" s="17">
        <v>820786</v>
      </c>
      <c r="R676" s="17">
        <v>11995</v>
      </c>
      <c r="S676" s="19">
        <f t="shared" si="226"/>
        <v>832781</v>
      </c>
      <c r="T676" s="20">
        <f t="shared" si="227"/>
        <v>0.03</v>
      </c>
      <c r="U676" s="19">
        <f t="shared" si="228"/>
        <v>25756.113402061856</v>
      </c>
      <c r="V676" s="17">
        <v>25756</v>
      </c>
      <c r="W676" s="19">
        <f t="shared" si="229"/>
        <v>0.11340206185559509</v>
      </c>
      <c r="X676" s="19">
        <f t="shared" si="230"/>
        <v>25756</v>
      </c>
      <c r="Y676" s="17">
        <v>25385</v>
      </c>
      <c r="Z676" s="17">
        <v>371</v>
      </c>
      <c r="AA676" s="19">
        <f t="shared" si="231"/>
        <v>0</v>
      </c>
      <c r="AB676" s="17">
        <v>832781</v>
      </c>
      <c r="AC676" s="27">
        <v>15.930999999999999</v>
      </c>
      <c r="AD676" s="27">
        <v>14.976000000000001</v>
      </c>
      <c r="AE676" s="22">
        <f t="shared" si="232"/>
        <v>55607.705662393157</v>
      </c>
      <c r="AF676" s="23">
        <f t="shared" si="233"/>
        <v>1</v>
      </c>
      <c r="AG676" s="23">
        <f t="shared" si="234"/>
        <v>0</v>
      </c>
      <c r="AH676" s="17">
        <v>858538.01607802499</v>
      </c>
      <c r="AI676" s="24">
        <f t="shared" si="235"/>
        <v>1.0309289189811306</v>
      </c>
      <c r="AJ676" s="25">
        <v>359075471.69811302</v>
      </c>
      <c r="AK676" s="24">
        <f t="shared" si="236"/>
        <v>2.5014133989998796E-2</v>
      </c>
      <c r="AL676" s="22">
        <f t="shared" si="237"/>
        <v>24608.114963229091</v>
      </c>
      <c r="AM676" s="22">
        <f t="shared" si="238"/>
        <v>55607.705662393157</v>
      </c>
      <c r="AN676" s="22">
        <f t="shared" si="239"/>
        <v>-30999.590699164066</v>
      </c>
      <c r="AO676" s="26" t="str">
        <f t="shared" si="240"/>
        <v/>
      </c>
      <c r="AP676" s="26" t="str">
        <f t="shared" si="241"/>
        <v>pre-launch</v>
      </c>
      <c r="AQ676" s="18"/>
      <c r="AR676" s="18"/>
    </row>
    <row r="677" spans="1:44" x14ac:dyDescent="0.25">
      <c r="A677" s="43">
        <v>45738</v>
      </c>
      <c r="B677" s="17">
        <v>2045427812.0699999</v>
      </c>
      <c r="C677" s="17">
        <v>0</v>
      </c>
      <c r="D677" s="17">
        <v>50878685</v>
      </c>
      <c r="E677" s="19">
        <f t="shared" si="220"/>
        <v>2045427812.0699999</v>
      </c>
      <c r="F677" s="19">
        <f t="shared" si="221"/>
        <v>2096306497.0699999</v>
      </c>
      <c r="G677" s="20">
        <f t="shared" si="222"/>
        <v>0</v>
      </c>
      <c r="H677" s="17">
        <v>520879</v>
      </c>
      <c r="I677" s="17">
        <v>8437</v>
      </c>
      <c r="J677" s="17">
        <v>15880</v>
      </c>
      <c r="K677" s="19">
        <f t="shared" si="223"/>
        <v>529316</v>
      </c>
      <c r="L677" s="18"/>
      <c r="M677" s="18"/>
      <c r="N677" s="18"/>
      <c r="O677" s="19">
        <f t="shared" si="224"/>
        <v>520879</v>
      </c>
      <c r="P677" s="21">
        <f t="shared" si="225"/>
        <v>2.5465528381217402</v>
      </c>
      <c r="Q677" s="17">
        <v>505253</v>
      </c>
      <c r="R677" s="17">
        <v>8184</v>
      </c>
      <c r="S677" s="19">
        <f t="shared" si="226"/>
        <v>513437</v>
      </c>
      <c r="T677" s="20">
        <f t="shared" si="227"/>
        <v>0.03</v>
      </c>
      <c r="U677" s="19">
        <f t="shared" si="228"/>
        <v>15879.494845360823</v>
      </c>
      <c r="V677" s="17">
        <v>15880</v>
      </c>
      <c r="W677" s="19">
        <f t="shared" si="229"/>
        <v>-0.50515463917690795</v>
      </c>
      <c r="X677" s="19">
        <f t="shared" si="230"/>
        <v>15879</v>
      </c>
      <c r="Y677" s="17">
        <v>15626</v>
      </c>
      <c r="Z677" s="17">
        <v>253</v>
      </c>
      <c r="AA677" s="19">
        <f t="shared" si="231"/>
        <v>-1</v>
      </c>
      <c r="AB677" s="17">
        <v>513437</v>
      </c>
      <c r="AC677" s="27">
        <v>15.574999999999999</v>
      </c>
      <c r="AD677" s="27">
        <v>15.919</v>
      </c>
      <c r="AE677" s="22">
        <f t="shared" si="232"/>
        <v>32253.093787298196</v>
      </c>
      <c r="AF677" s="23">
        <f t="shared" si="233"/>
        <v>0</v>
      </c>
      <c r="AG677" s="23">
        <f t="shared" si="234"/>
        <v>0</v>
      </c>
      <c r="AH677" s="17">
        <v>529316.89914098405</v>
      </c>
      <c r="AI677" s="24">
        <f t="shared" si="235"/>
        <v>1.0309286224814029</v>
      </c>
      <c r="AJ677" s="25">
        <v>359792452.83018899</v>
      </c>
      <c r="AK677" s="24">
        <f t="shared" si="236"/>
        <v>2.4989197939003456E-2</v>
      </c>
      <c r="AL677" s="22">
        <f t="shared" si="237"/>
        <v>24632.670741734673</v>
      </c>
      <c r="AM677" s="22">
        <f t="shared" si="238"/>
        <v>32253.093787298196</v>
      </c>
      <c r="AN677" s="22">
        <f t="shared" si="239"/>
        <v>-7620.4230455635225</v>
      </c>
      <c r="AO677" s="26" t="str">
        <f t="shared" si="240"/>
        <v/>
      </c>
      <c r="AP677" s="26" t="str">
        <f t="shared" si="241"/>
        <v>pre-launch</v>
      </c>
      <c r="AQ677" s="18"/>
      <c r="AR677" s="18"/>
    </row>
    <row r="678" spans="1:44" x14ac:dyDescent="0.25">
      <c r="A678" s="43">
        <v>45739</v>
      </c>
      <c r="B678" s="17">
        <v>2462791312.6300001</v>
      </c>
      <c r="C678" s="17">
        <v>0</v>
      </c>
      <c r="D678" s="17">
        <v>48432865</v>
      </c>
      <c r="E678" s="19">
        <f t="shared" si="220"/>
        <v>2462791312.6300001</v>
      </c>
      <c r="F678" s="19">
        <f t="shared" si="221"/>
        <v>2511224177.6300001</v>
      </c>
      <c r="G678" s="20">
        <f t="shared" si="222"/>
        <v>0</v>
      </c>
      <c r="H678" s="17">
        <v>565355</v>
      </c>
      <c r="I678" s="17">
        <v>6558</v>
      </c>
      <c r="J678" s="17">
        <v>16775</v>
      </c>
      <c r="K678" s="19">
        <f t="shared" si="223"/>
        <v>571913</v>
      </c>
      <c r="L678" s="18"/>
      <c r="M678" s="18"/>
      <c r="N678" s="18"/>
      <c r="O678" s="19">
        <f t="shared" si="224"/>
        <v>565355</v>
      </c>
      <c r="P678" s="21">
        <f t="shared" si="225"/>
        <v>2.2955863012049558</v>
      </c>
      <c r="Q678" s="17">
        <v>548395</v>
      </c>
      <c r="R678" s="17">
        <v>6361</v>
      </c>
      <c r="S678" s="19">
        <f t="shared" si="226"/>
        <v>554756</v>
      </c>
      <c r="T678" s="20">
        <f t="shared" si="227"/>
        <v>0.03</v>
      </c>
      <c r="U678" s="19">
        <f t="shared" si="228"/>
        <v>17157.402061855671</v>
      </c>
      <c r="V678" s="17">
        <v>16775</v>
      </c>
      <c r="W678" s="19">
        <f t="shared" si="229"/>
        <v>382.40206185567149</v>
      </c>
      <c r="X678" s="19">
        <f t="shared" si="230"/>
        <v>17158</v>
      </c>
      <c r="Y678" s="17">
        <v>16961</v>
      </c>
      <c r="Z678" s="17">
        <v>197</v>
      </c>
      <c r="AA678" s="19">
        <f t="shared" si="231"/>
        <v>383</v>
      </c>
      <c r="AB678" s="17">
        <v>554756</v>
      </c>
      <c r="AC678" s="27">
        <v>16.291</v>
      </c>
      <c r="AD678" s="27">
        <v>15.919750000000001</v>
      </c>
      <c r="AE678" s="22">
        <f t="shared" si="232"/>
        <v>34847.029633003032</v>
      </c>
      <c r="AF678" s="23">
        <f t="shared" si="233"/>
        <v>-1</v>
      </c>
      <c r="AG678" s="23">
        <f t="shared" si="234"/>
        <v>0</v>
      </c>
      <c r="AH678" s="17">
        <v>559165.24424499297</v>
      </c>
      <c r="AI678" s="24">
        <f t="shared" si="235"/>
        <v>1.007948078515587</v>
      </c>
      <c r="AJ678" s="25">
        <v>360509433.962264</v>
      </c>
      <c r="AK678" s="24">
        <f t="shared" si="236"/>
        <v>2.4964336314267803E-2</v>
      </c>
      <c r="AL678" s="22">
        <f t="shared" si="237"/>
        <v>24657.202065480215</v>
      </c>
      <c r="AM678" s="22">
        <f t="shared" si="238"/>
        <v>34847.029633003032</v>
      </c>
      <c r="AN678" s="22">
        <f t="shared" si="239"/>
        <v>-10189.827567522818</v>
      </c>
      <c r="AO678" s="26" t="str">
        <f t="shared" si="240"/>
        <v/>
      </c>
      <c r="AP678" s="26" t="str">
        <f t="shared" si="241"/>
        <v>pre-launch</v>
      </c>
      <c r="AQ678" s="18"/>
      <c r="AR678" s="18"/>
    </row>
    <row r="679" spans="1:44" x14ac:dyDescent="0.25">
      <c r="A679" s="43">
        <v>45740</v>
      </c>
      <c r="B679" s="17">
        <v>5105825634.5500002</v>
      </c>
      <c r="C679" s="17">
        <v>0</v>
      </c>
      <c r="D679" s="17">
        <v>130689060</v>
      </c>
      <c r="E679" s="19">
        <f t="shared" si="220"/>
        <v>5105825634.5500002</v>
      </c>
      <c r="F679" s="19">
        <f t="shared" si="221"/>
        <v>5236514694.5500002</v>
      </c>
      <c r="G679" s="20">
        <f t="shared" si="222"/>
        <v>0</v>
      </c>
      <c r="H679" s="17">
        <v>1219711</v>
      </c>
      <c r="I679" s="17">
        <v>19185</v>
      </c>
      <c r="J679" s="17">
        <v>37549</v>
      </c>
      <c r="K679" s="19">
        <f t="shared" si="223"/>
        <v>1238896</v>
      </c>
      <c r="L679" s="18"/>
      <c r="M679" s="18"/>
      <c r="N679" s="18"/>
      <c r="O679" s="19">
        <f t="shared" si="224"/>
        <v>1219711</v>
      </c>
      <c r="P679" s="21">
        <f t="shared" si="225"/>
        <v>2.3888614443597205</v>
      </c>
      <c r="Q679" s="17">
        <v>1183120</v>
      </c>
      <c r="R679" s="17">
        <v>18609</v>
      </c>
      <c r="S679" s="19">
        <f t="shared" si="226"/>
        <v>1201729</v>
      </c>
      <c r="T679" s="20">
        <f t="shared" si="227"/>
        <v>0.03</v>
      </c>
      <c r="U679" s="19">
        <f t="shared" si="228"/>
        <v>37166.876288659791</v>
      </c>
      <c r="V679" s="17">
        <v>37549</v>
      </c>
      <c r="W679" s="19">
        <f t="shared" si="229"/>
        <v>-382.12371134020941</v>
      </c>
      <c r="X679" s="19">
        <f t="shared" si="230"/>
        <v>37167</v>
      </c>
      <c r="Y679" s="17">
        <v>36591</v>
      </c>
      <c r="Z679" s="17">
        <v>576</v>
      </c>
      <c r="AA679" s="19">
        <f t="shared" si="231"/>
        <v>-382</v>
      </c>
      <c r="AB679" s="17">
        <v>1201729</v>
      </c>
      <c r="AC679" s="27">
        <v>16.762</v>
      </c>
      <c r="AD679" s="27">
        <v>16.531500000000001</v>
      </c>
      <c r="AE679" s="22">
        <f t="shared" si="232"/>
        <v>72693.282521247311</v>
      </c>
      <c r="AF679" s="23">
        <f t="shared" si="233"/>
        <v>0</v>
      </c>
      <c r="AG679" s="23">
        <f t="shared" si="234"/>
        <v>0</v>
      </c>
      <c r="AH679" s="17">
        <v>1251644.41148102</v>
      </c>
      <c r="AI679" s="24">
        <f t="shared" si="235"/>
        <v>1.0415363293063744</v>
      </c>
      <c r="AJ679" s="25">
        <v>361226415.09434003</v>
      </c>
      <c r="AK679" s="24">
        <f t="shared" si="236"/>
        <v>2.4939548746295358E-2</v>
      </c>
      <c r="AL679" s="22">
        <f t="shared" si="237"/>
        <v>24681.709007383051</v>
      </c>
      <c r="AM679" s="22">
        <f t="shared" si="238"/>
        <v>72693.282521247311</v>
      </c>
      <c r="AN679" s="22">
        <f t="shared" si="239"/>
        <v>-48011.573513864263</v>
      </c>
      <c r="AO679" s="26" t="str">
        <f t="shared" si="240"/>
        <v/>
      </c>
      <c r="AP679" s="26" t="str">
        <f t="shared" si="241"/>
        <v>pre-launch</v>
      </c>
      <c r="AQ679" s="18"/>
      <c r="AR679" s="18"/>
    </row>
    <row r="680" spans="1:44" x14ac:dyDescent="0.25">
      <c r="A680" s="43">
        <v>45741</v>
      </c>
      <c r="B680" s="17">
        <v>3932030198.71</v>
      </c>
      <c r="C680" s="17">
        <v>0</v>
      </c>
      <c r="D680" s="17">
        <v>76294797</v>
      </c>
      <c r="E680" s="19">
        <f t="shared" si="220"/>
        <v>3932030198.71</v>
      </c>
      <c r="F680" s="19">
        <f t="shared" si="221"/>
        <v>4008324995.71</v>
      </c>
      <c r="G680" s="20">
        <f t="shared" si="222"/>
        <v>0</v>
      </c>
      <c r="H680" s="17">
        <v>971143</v>
      </c>
      <c r="I680" s="17">
        <v>11525</v>
      </c>
      <c r="J680" s="17">
        <v>29480</v>
      </c>
      <c r="K680" s="19">
        <f t="shared" si="223"/>
        <v>982668</v>
      </c>
      <c r="L680" s="18"/>
      <c r="M680" s="18"/>
      <c r="N680" s="18"/>
      <c r="O680" s="19">
        <f t="shared" si="224"/>
        <v>971143</v>
      </c>
      <c r="P680" s="21">
        <f t="shared" si="225"/>
        <v>2.4698258938057176</v>
      </c>
      <c r="Q680" s="17">
        <v>942009</v>
      </c>
      <c r="R680" s="17">
        <v>11179</v>
      </c>
      <c r="S680" s="19">
        <f t="shared" si="226"/>
        <v>953188</v>
      </c>
      <c r="T680" s="20">
        <f t="shared" si="227"/>
        <v>0.03</v>
      </c>
      <c r="U680" s="19">
        <f t="shared" si="228"/>
        <v>29480.041237113401</v>
      </c>
      <c r="V680" s="17">
        <v>29480</v>
      </c>
      <c r="W680" s="19">
        <f t="shared" si="229"/>
        <v>4.1237113400711678E-2</v>
      </c>
      <c r="X680" s="19">
        <f t="shared" si="230"/>
        <v>29480</v>
      </c>
      <c r="Y680" s="17">
        <v>29134</v>
      </c>
      <c r="Z680" s="17">
        <v>346</v>
      </c>
      <c r="AA680" s="19">
        <f t="shared" si="231"/>
        <v>0</v>
      </c>
      <c r="AB680" s="17">
        <v>953188</v>
      </c>
      <c r="AC680" s="27">
        <v>16.030999999999999</v>
      </c>
      <c r="AD680" s="27">
        <v>16.425249999999998</v>
      </c>
      <c r="AE680" s="22">
        <f t="shared" si="232"/>
        <v>58031.871661009733</v>
      </c>
      <c r="AF680" s="23">
        <f t="shared" si="233"/>
        <v>0</v>
      </c>
      <c r="AG680" s="23">
        <f t="shared" si="234"/>
        <v>0</v>
      </c>
      <c r="AH680" s="17">
        <v>982667.56640198804</v>
      </c>
      <c r="AI680" s="24">
        <f t="shared" si="235"/>
        <v>1.030927336896801</v>
      </c>
      <c r="AJ680" s="25">
        <v>361943396.22641498</v>
      </c>
      <c r="AK680" s="24">
        <f t="shared" si="236"/>
        <v>2.4914834868152838E-2</v>
      </c>
      <c r="AL680" s="22">
        <f t="shared" si="237"/>
        <v>24706.191639998746</v>
      </c>
      <c r="AM680" s="22">
        <f t="shared" si="238"/>
        <v>58031.871661009733</v>
      </c>
      <c r="AN680" s="22">
        <f t="shared" si="239"/>
        <v>-33325.680021010987</v>
      </c>
      <c r="AO680" s="26" t="str">
        <f t="shared" si="240"/>
        <v/>
      </c>
      <c r="AP680" s="26" t="str">
        <f t="shared" si="241"/>
        <v>pre-launch</v>
      </c>
      <c r="AQ680" s="18"/>
      <c r="AR680" s="18"/>
    </row>
    <row r="681" spans="1:44" x14ac:dyDescent="0.25">
      <c r="A681" s="43">
        <v>45742</v>
      </c>
      <c r="B681" s="17">
        <v>4546459279.5600004</v>
      </c>
      <c r="C681" s="17">
        <v>0</v>
      </c>
      <c r="D681" s="17">
        <v>388622924</v>
      </c>
      <c r="E681" s="19">
        <f t="shared" si="220"/>
        <v>4546459279.5600004</v>
      </c>
      <c r="F681" s="19">
        <f t="shared" si="221"/>
        <v>4935082203.5600004</v>
      </c>
      <c r="G681" s="20">
        <f t="shared" si="222"/>
        <v>0</v>
      </c>
      <c r="H681" s="17">
        <v>1069362</v>
      </c>
      <c r="I681" s="17">
        <v>62061</v>
      </c>
      <c r="J681" s="17">
        <v>33780</v>
      </c>
      <c r="K681" s="19">
        <f t="shared" si="223"/>
        <v>1131423</v>
      </c>
      <c r="L681" s="18"/>
      <c r="M681" s="18"/>
      <c r="N681" s="18"/>
      <c r="O681" s="19">
        <f t="shared" si="224"/>
        <v>1069362</v>
      </c>
      <c r="P681" s="21">
        <f t="shared" si="225"/>
        <v>2.3520764934762406</v>
      </c>
      <c r="Q681" s="17">
        <v>1037281</v>
      </c>
      <c r="R681" s="17">
        <v>60200</v>
      </c>
      <c r="S681" s="19">
        <f t="shared" si="226"/>
        <v>1097481</v>
      </c>
      <c r="T681" s="20">
        <f t="shared" si="227"/>
        <v>0.03</v>
      </c>
      <c r="U681" s="19">
        <f t="shared" si="228"/>
        <v>33942.711340206188</v>
      </c>
      <c r="V681" s="17">
        <v>33780</v>
      </c>
      <c r="W681" s="19">
        <f t="shared" si="229"/>
        <v>162.71134020618774</v>
      </c>
      <c r="X681" s="19">
        <f t="shared" si="230"/>
        <v>33943</v>
      </c>
      <c r="Y681" s="17">
        <v>32081</v>
      </c>
      <c r="Z681" s="17">
        <v>1862</v>
      </c>
      <c r="AA681" s="19">
        <f t="shared" si="231"/>
        <v>163</v>
      </c>
      <c r="AB681" s="17">
        <v>1097481</v>
      </c>
      <c r="AC681" s="27">
        <v>14.061</v>
      </c>
      <c r="AD681" s="27">
        <v>14.713749999999999</v>
      </c>
      <c r="AE681" s="22">
        <f t="shared" si="232"/>
        <v>74588.802990400145</v>
      </c>
      <c r="AF681" s="23">
        <f t="shared" si="233"/>
        <v>-1</v>
      </c>
      <c r="AG681" s="23">
        <f t="shared" si="234"/>
        <v>0</v>
      </c>
      <c r="AH681" s="17">
        <v>1126009.3261560199</v>
      </c>
      <c r="AI681" s="24">
        <f t="shared" si="235"/>
        <v>1.0259943690651774</v>
      </c>
      <c r="AJ681" s="25">
        <v>362660377.358491</v>
      </c>
      <c r="AK681" s="24">
        <f t="shared" si="236"/>
        <v>2.4890194315447083E-2</v>
      </c>
      <c r="AL681" s="22">
        <f t="shared" si="237"/>
        <v>24730.650035523853</v>
      </c>
      <c r="AM681" s="22">
        <f t="shared" si="238"/>
        <v>74588.802990400145</v>
      </c>
      <c r="AN681" s="22">
        <f t="shared" si="239"/>
        <v>-49858.152954876292</v>
      </c>
      <c r="AO681" s="26" t="str">
        <f t="shared" si="240"/>
        <v/>
      </c>
      <c r="AP681" s="26" t="str">
        <f t="shared" si="241"/>
        <v>pre-launch</v>
      </c>
      <c r="AQ681" s="18"/>
      <c r="AR681" s="18"/>
    </row>
    <row r="682" spans="1:44" x14ac:dyDescent="0.25">
      <c r="A682" s="43">
        <v>45743</v>
      </c>
      <c r="B682" s="17">
        <v>2968017787.6700001</v>
      </c>
      <c r="C682" s="17">
        <v>0</v>
      </c>
      <c r="D682" s="17">
        <v>87102845</v>
      </c>
      <c r="E682" s="19">
        <f t="shared" si="220"/>
        <v>2968017787.6700001</v>
      </c>
      <c r="F682" s="19">
        <f t="shared" si="221"/>
        <v>3055120632.6700001</v>
      </c>
      <c r="G682" s="20">
        <f t="shared" si="222"/>
        <v>0</v>
      </c>
      <c r="H682" s="17">
        <v>814575</v>
      </c>
      <c r="I682" s="17">
        <v>12229</v>
      </c>
      <c r="J682" s="17">
        <v>24870</v>
      </c>
      <c r="K682" s="19">
        <f t="shared" si="223"/>
        <v>826804</v>
      </c>
      <c r="L682" s="18"/>
      <c r="M682" s="18"/>
      <c r="N682" s="18"/>
      <c r="O682" s="19">
        <f t="shared" si="224"/>
        <v>814575</v>
      </c>
      <c r="P682" s="21">
        <f t="shared" si="225"/>
        <v>2.7445084843627923</v>
      </c>
      <c r="Q682" s="17">
        <v>790138</v>
      </c>
      <c r="R682" s="17">
        <v>11862</v>
      </c>
      <c r="S682" s="19">
        <f t="shared" si="226"/>
        <v>802000</v>
      </c>
      <c r="T682" s="20">
        <f t="shared" si="227"/>
        <v>0.03</v>
      </c>
      <c r="U682" s="19">
        <f t="shared" si="228"/>
        <v>24804.123711340206</v>
      </c>
      <c r="V682" s="17">
        <v>24870</v>
      </c>
      <c r="W682" s="19">
        <f t="shared" si="229"/>
        <v>-65.876288659794227</v>
      </c>
      <c r="X682" s="19">
        <f t="shared" si="230"/>
        <v>24804</v>
      </c>
      <c r="Y682" s="17">
        <v>24437</v>
      </c>
      <c r="Z682" s="17">
        <v>367</v>
      </c>
      <c r="AA682" s="19">
        <f t="shared" si="231"/>
        <v>-66</v>
      </c>
      <c r="AB682" s="17">
        <v>802000</v>
      </c>
      <c r="AC682" s="27">
        <v>14.586</v>
      </c>
      <c r="AD682" s="27">
        <v>14.432</v>
      </c>
      <c r="AE682" s="22">
        <f t="shared" si="232"/>
        <v>55570.953436807096</v>
      </c>
      <c r="AF682" s="23">
        <f t="shared" si="233"/>
        <v>0</v>
      </c>
      <c r="AG682" s="23">
        <f t="shared" si="234"/>
        <v>0</v>
      </c>
      <c r="AH682" s="17">
        <v>828989.26073497499</v>
      </c>
      <c r="AI682" s="24">
        <f t="shared" si="235"/>
        <v>1.0336524448067019</v>
      </c>
      <c r="AJ682" s="25">
        <v>363377358.49056602</v>
      </c>
      <c r="AK682" s="24">
        <f t="shared" si="236"/>
        <v>2.4865626726302759E-2</v>
      </c>
      <c r="AL682" s="22">
        <f t="shared" si="237"/>
        <v>24755.08426579813</v>
      </c>
      <c r="AM682" s="22">
        <f t="shared" si="238"/>
        <v>55570.953436807096</v>
      </c>
      <c r="AN682" s="22">
        <f t="shared" si="239"/>
        <v>-30815.869171008966</v>
      </c>
      <c r="AO682" s="26" t="str">
        <f t="shared" si="240"/>
        <v/>
      </c>
      <c r="AP682" s="26" t="str">
        <f t="shared" si="241"/>
        <v>pre-launch</v>
      </c>
      <c r="AQ682" s="18"/>
      <c r="AR682" s="18"/>
    </row>
    <row r="683" spans="1:44" x14ac:dyDescent="0.25">
      <c r="A683" s="43">
        <v>45744</v>
      </c>
      <c r="B683" s="17">
        <v>4696027441.7700005</v>
      </c>
      <c r="C683" s="17">
        <v>0</v>
      </c>
      <c r="D683" s="17">
        <v>108552416</v>
      </c>
      <c r="E683" s="19">
        <f t="shared" si="220"/>
        <v>4696027441.7700005</v>
      </c>
      <c r="F683" s="19">
        <f t="shared" si="221"/>
        <v>4804579857.7700005</v>
      </c>
      <c r="G683" s="20">
        <f t="shared" si="222"/>
        <v>0</v>
      </c>
      <c r="H683" s="17">
        <v>1082851</v>
      </c>
      <c r="I683" s="17">
        <v>18181</v>
      </c>
      <c r="J683" s="17">
        <v>33128</v>
      </c>
      <c r="K683" s="19">
        <f t="shared" si="223"/>
        <v>1101032</v>
      </c>
      <c r="L683" s="18"/>
      <c r="M683" s="18"/>
      <c r="N683" s="18"/>
      <c r="O683" s="19">
        <f t="shared" si="224"/>
        <v>1082851</v>
      </c>
      <c r="P683" s="21">
        <f t="shared" si="225"/>
        <v>2.3058872918167146</v>
      </c>
      <c r="Q683" s="17">
        <v>1050365</v>
      </c>
      <c r="R683" s="17">
        <v>17635</v>
      </c>
      <c r="S683" s="19">
        <f t="shared" si="226"/>
        <v>1068000</v>
      </c>
      <c r="T683" s="20">
        <f t="shared" si="227"/>
        <v>0.03</v>
      </c>
      <c r="U683" s="19">
        <f t="shared" si="228"/>
        <v>33030.927835051545</v>
      </c>
      <c r="V683" s="17">
        <v>33128</v>
      </c>
      <c r="W683" s="19">
        <f t="shared" si="229"/>
        <v>-97.072164948454883</v>
      </c>
      <c r="X683" s="19">
        <f t="shared" si="230"/>
        <v>33031</v>
      </c>
      <c r="Y683" s="17">
        <v>32486</v>
      </c>
      <c r="Z683" s="17">
        <v>545</v>
      </c>
      <c r="AA683" s="19">
        <f t="shared" si="231"/>
        <v>-97</v>
      </c>
      <c r="AB683" s="17">
        <v>1068000</v>
      </c>
      <c r="AC683" s="27">
        <v>13.388999999999999</v>
      </c>
      <c r="AD683" s="27">
        <v>13.971500000000001</v>
      </c>
      <c r="AE683" s="22">
        <f t="shared" si="232"/>
        <v>76441.326987080844</v>
      </c>
      <c r="AF683" s="23">
        <f t="shared" si="233"/>
        <v>1</v>
      </c>
      <c r="AG683" s="23">
        <f t="shared" si="234"/>
        <v>0</v>
      </c>
      <c r="AH683" s="17">
        <v>1104260.4579759799</v>
      </c>
      <c r="AI683" s="24">
        <f t="shared" si="235"/>
        <v>1.0339517396778839</v>
      </c>
      <c r="AJ683" s="25">
        <v>364094339.62264198</v>
      </c>
      <c r="AK683" s="24">
        <f t="shared" si="236"/>
        <v>2.4841131741339784E-2</v>
      </c>
      <c r="AL683" s="22">
        <f t="shared" si="237"/>
        <v>24779.494402307286</v>
      </c>
      <c r="AM683" s="22">
        <f t="shared" si="238"/>
        <v>76441.326987080844</v>
      </c>
      <c r="AN683" s="22">
        <f t="shared" si="239"/>
        <v>-51661.832584773554</v>
      </c>
      <c r="AO683" s="26" t="str">
        <f t="shared" si="240"/>
        <v/>
      </c>
      <c r="AP683" s="26" t="str">
        <f t="shared" si="241"/>
        <v>pre-launch</v>
      </c>
      <c r="AQ683" s="18"/>
      <c r="AR683" s="18"/>
    </row>
    <row r="684" spans="1:44" x14ac:dyDescent="0.25">
      <c r="A684" s="43">
        <v>45745</v>
      </c>
      <c r="B684" s="17">
        <v>3300437272.5799999</v>
      </c>
      <c r="C684" s="17">
        <v>0</v>
      </c>
      <c r="D684" s="17">
        <v>87727670</v>
      </c>
      <c r="E684" s="19">
        <f t="shared" si="220"/>
        <v>3300437272.5799999</v>
      </c>
      <c r="F684" s="19">
        <f t="shared" si="221"/>
        <v>3388164942.5799999</v>
      </c>
      <c r="G684" s="20">
        <f t="shared" si="222"/>
        <v>0</v>
      </c>
      <c r="H684" s="17">
        <v>781379</v>
      </c>
      <c r="I684" s="17">
        <v>12604</v>
      </c>
      <c r="J684" s="17">
        <v>23671</v>
      </c>
      <c r="K684" s="19">
        <f t="shared" si="223"/>
        <v>793983</v>
      </c>
      <c r="L684" s="18"/>
      <c r="M684" s="18"/>
      <c r="N684" s="18"/>
      <c r="O684" s="19">
        <f t="shared" si="224"/>
        <v>781379</v>
      </c>
      <c r="P684" s="21">
        <f t="shared" si="225"/>
        <v>2.3675014413747202</v>
      </c>
      <c r="Q684" s="17">
        <v>757937</v>
      </c>
      <c r="R684" s="17">
        <v>12226</v>
      </c>
      <c r="S684" s="19">
        <f t="shared" si="226"/>
        <v>770163</v>
      </c>
      <c r="T684" s="20">
        <f t="shared" si="227"/>
        <v>0.03</v>
      </c>
      <c r="U684" s="19">
        <f t="shared" si="228"/>
        <v>23819.474226804123</v>
      </c>
      <c r="V684" s="17">
        <v>23671</v>
      </c>
      <c r="W684" s="19">
        <f t="shared" si="229"/>
        <v>148.47422680412274</v>
      </c>
      <c r="X684" s="19">
        <f t="shared" si="230"/>
        <v>23819</v>
      </c>
      <c r="Y684" s="17">
        <v>23441</v>
      </c>
      <c r="Z684" s="17">
        <v>378</v>
      </c>
      <c r="AA684" s="19">
        <f t="shared" si="231"/>
        <v>148</v>
      </c>
      <c r="AB684" s="17">
        <v>770163</v>
      </c>
      <c r="AC684" s="27">
        <v>12.798999999999999</v>
      </c>
      <c r="AD684" s="27">
        <v>13.035500000000001</v>
      </c>
      <c r="AE684" s="22">
        <f t="shared" si="232"/>
        <v>59081.968470714586</v>
      </c>
      <c r="AF684" s="23">
        <f t="shared" si="233"/>
        <v>1</v>
      </c>
      <c r="AG684" s="23">
        <f t="shared" si="234"/>
        <v>0</v>
      </c>
      <c r="AH684" s="17">
        <v>789049.24218499695</v>
      </c>
      <c r="AI684" s="24">
        <f t="shared" si="235"/>
        <v>1.0245223961486036</v>
      </c>
      <c r="AJ684" s="25">
        <v>364811320.75471699</v>
      </c>
      <c r="AK684" s="24">
        <f t="shared" si="236"/>
        <v>2.4816709003651474E-2</v>
      </c>
      <c r="AL684" s="22">
        <f t="shared" si="237"/>
        <v>24803.880516185127</v>
      </c>
      <c r="AM684" s="22">
        <f t="shared" si="238"/>
        <v>59081.968470714586</v>
      </c>
      <c r="AN684" s="22">
        <f t="shared" si="239"/>
        <v>-34278.087954529459</v>
      </c>
      <c r="AO684" s="26" t="str">
        <f t="shared" si="240"/>
        <v/>
      </c>
      <c r="AP684" s="26" t="str">
        <f t="shared" si="241"/>
        <v>pre-launch</v>
      </c>
      <c r="AQ684" s="18"/>
      <c r="AR684" s="18"/>
    </row>
    <row r="685" spans="1:44" x14ac:dyDescent="0.25">
      <c r="A685" s="43">
        <v>45746</v>
      </c>
      <c r="B685" s="17">
        <v>2774062341.4299998</v>
      </c>
      <c r="C685" s="17">
        <v>0</v>
      </c>
      <c r="D685" s="17">
        <v>50858942</v>
      </c>
      <c r="E685" s="19">
        <f t="shared" si="220"/>
        <v>2774062341.4299998</v>
      </c>
      <c r="F685" s="19">
        <f t="shared" si="221"/>
        <v>2824921283.4299998</v>
      </c>
      <c r="G685" s="20">
        <f t="shared" si="222"/>
        <v>0</v>
      </c>
      <c r="H685" s="17">
        <v>666965</v>
      </c>
      <c r="I685" s="17">
        <v>7425</v>
      </c>
      <c r="J685" s="17">
        <v>20380</v>
      </c>
      <c r="K685" s="19">
        <f t="shared" si="223"/>
        <v>674390</v>
      </c>
      <c r="L685" s="18"/>
      <c r="M685" s="18"/>
      <c r="N685" s="18"/>
      <c r="O685" s="19">
        <f t="shared" si="224"/>
        <v>666965</v>
      </c>
      <c r="P685" s="21">
        <f t="shared" si="225"/>
        <v>2.4042898749571235</v>
      </c>
      <c r="Q685" s="17">
        <v>646956</v>
      </c>
      <c r="R685" s="17">
        <v>7203</v>
      </c>
      <c r="S685" s="19">
        <f t="shared" si="226"/>
        <v>654159</v>
      </c>
      <c r="T685" s="20">
        <f t="shared" si="227"/>
        <v>0.03</v>
      </c>
      <c r="U685" s="19">
        <f t="shared" si="228"/>
        <v>20231.721649484538</v>
      </c>
      <c r="V685" s="17">
        <v>20380</v>
      </c>
      <c r="W685" s="19">
        <f t="shared" si="229"/>
        <v>-148.27835051546208</v>
      </c>
      <c r="X685" s="19">
        <f t="shared" si="230"/>
        <v>20232</v>
      </c>
      <c r="Y685" s="17">
        <v>20009</v>
      </c>
      <c r="Z685" s="17">
        <v>223</v>
      </c>
      <c r="AA685" s="19">
        <f t="shared" si="231"/>
        <v>-148</v>
      </c>
      <c r="AB685" s="17">
        <v>654159</v>
      </c>
      <c r="AC685" s="27">
        <v>12.477</v>
      </c>
      <c r="AD685" s="27">
        <v>12.619</v>
      </c>
      <c r="AE685" s="22">
        <f t="shared" si="232"/>
        <v>51839.210714002693</v>
      </c>
      <c r="AF685" s="23">
        <f t="shared" si="233"/>
        <v>-1</v>
      </c>
      <c r="AG685" s="23">
        <f t="shared" si="234"/>
        <v>0</v>
      </c>
      <c r="AH685" s="17">
        <v>679323.60019701696</v>
      </c>
      <c r="AI685" s="24">
        <f t="shared" si="235"/>
        <v>1.0384686294876582</v>
      </c>
      <c r="AJ685" s="25">
        <v>365528301.88679302</v>
      </c>
      <c r="AK685" s="24">
        <f t="shared" si="236"/>
        <v>2.4792358158782488E-2</v>
      </c>
      <c r="AL685" s="22">
        <f t="shared" si="237"/>
        <v>24828.242678216277</v>
      </c>
      <c r="AM685" s="22">
        <f t="shared" si="238"/>
        <v>51839.210714002693</v>
      </c>
      <c r="AN685" s="22">
        <f t="shared" si="239"/>
        <v>-27010.968035786416</v>
      </c>
      <c r="AO685" s="26" t="str">
        <f t="shared" si="240"/>
        <v/>
      </c>
      <c r="AP685" s="26" t="str">
        <f t="shared" si="241"/>
        <v>pre-launch</v>
      </c>
      <c r="AQ685" s="18"/>
      <c r="AR685" s="18"/>
    </row>
    <row r="686" spans="1:44" x14ac:dyDescent="0.25">
      <c r="A686" s="43">
        <v>45747</v>
      </c>
      <c r="B686" s="17">
        <v>5786815779.4200001</v>
      </c>
      <c r="C686" s="17">
        <v>0</v>
      </c>
      <c r="D686" s="17">
        <v>90964477</v>
      </c>
      <c r="E686" s="19">
        <f t="shared" si="220"/>
        <v>5786815779.4200001</v>
      </c>
      <c r="F686" s="19">
        <f t="shared" si="221"/>
        <v>5877780256.4200001</v>
      </c>
      <c r="G686" s="20">
        <f t="shared" si="222"/>
        <v>0</v>
      </c>
      <c r="H686" s="17">
        <v>1290890</v>
      </c>
      <c r="I686" s="17">
        <v>12648</v>
      </c>
      <c r="J686" s="17">
        <v>39106</v>
      </c>
      <c r="K686" s="19">
        <f t="shared" si="223"/>
        <v>1303538</v>
      </c>
      <c r="L686" s="18"/>
      <c r="M686" s="18"/>
      <c r="N686" s="18"/>
      <c r="O686" s="19">
        <f t="shared" si="224"/>
        <v>1290890</v>
      </c>
      <c r="P686" s="21">
        <f t="shared" si="225"/>
        <v>2.2307432087105132</v>
      </c>
      <c r="Q686" s="17">
        <v>1252164</v>
      </c>
      <c r="R686" s="17">
        <v>12269</v>
      </c>
      <c r="S686" s="19">
        <f t="shared" si="226"/>
        <v>1264433</v>
      </c>
      <c r="T686" s="20">
        <f t="shared" si="227"/>
        <v>0.03</v>
      </c>
      <c r="U686" s="19">
        <f t="shared" si="228"/>
        <v>39106.175257731957</v>
      </c>
      <c r="V686" s="17">
        <v>39106</v>
      </c>
      <c r="W686" s="19">
        <f t="shared" si="229"/>
        <v>0.17525773195666261</v>
      </c>
      <c r="X686" s="19">
        <f t="shared" si="230"/>
        <v>39106</v>
      </c>
      <c r="Y686" s="17">
        <v>38727</v>
      </c>
      <c r="Z686" s="17">
        <v>379</v>
      </c>
      <c r="AA686" s="19">
        <f t="shared" si="231"/>
        <v>0</v>
      </c>
      <c r="AB686" s="17">
        <v>1264433</v>
      </c>
      <c r="AC686" s="27">
        <v>12.987</v>
      </c>
      <c r="AD686" s="27">
        <v>12.849</v>
      </c>
      <c r="AE686" s="22">
        <f t="shared" si="232"/>
        <v>98407.113394038446</v>
      </c>
      <c r="AF686" s="23">
        <f t="shared" si="233"/>
        <v>-1</v>
      </c>
      <c r="AG686" s="23">
        <f t="shared" si="234"/>
        <v>0</v>
      </c>
      <c r="AH686" s="17">
        <v>1303538.41759002</v>
      </c>
      <c r="AI686" s="24">
        <f t="shared" si="235"/>
        <v>1.0309272358361574</v>
      </c>
      <c r="AJ686" s="25">
        <v>366245283.01886803</v>
      </c>
      <c r="AK686" s="24">
        <f t="shared" si="236"/>
        <v>2.4768078854707443E-2</v>
      </c>
      <c r="AL686" s="22">
        <f t="shared" si="237"/>
        <v>24852.580958838273</v>
      </c>
      <c r="AM686" s="22">
        <f t="shared" si="238"/>
        <v>98407.113394038446</v>
      </c>
      <c r="AN686" s="22">
        <f t="shared" si="239"/>
        <v>-73554.532435200177</v>
      </c>
      <c r="AO686" s="26" t="str">
        <f t="shared" si="240"/>
        <v/>
      </c>
      <c r="AP686" s="26" t="str">
        <f t="shared" si="241"/>
        <v>pre-launch</v>
      </c>
      <c r="AQ686" s="18"/>
      <c r="AR686" s="18"/>
    </row>
    <row r="687" spans="1:44" x14ac:dyDescent="0.25">
      <c r="A687" s="43">
        <v>45748</v>
      </c>
      <c r="B687" s="17">
        <v>5024540120.0299997</v>
      </c>
      <c r="C687" s="17">
        <v>0</v>
      </c>
      <c r="D687" s="17">
        <v>67302035</v>
      </c>
      <c r="E687" s="19">
        <f t="shared" si="220"/>
        <v>5024540120.0299997</v>
      </c>
      <c r="F687" s="19">
        <f t="shared" si="221"/>
        <v>5091842155.0299997</v>
      </c>
      <c r="G687" s="20">
        <f t="shared" si="222"/>
        <v>0</v>
      </c>
      <c r="H687" s="17">
        <v>1172507</v>
      </c>
      <c r="I687" s="17">
        <v>9206</v>
      </c>
      <c r="J687" s="17">
        <v>35451</v>
      </c>
      <c r="K687" s="19">
        <f t="shared" si="223"/>
        <v>1181713</v>
      </c>
      <c r="L687" s="18"/>
      <c r="M687" s="18"/>
      <c r="N687" s="18"/>
      <c r="O687" s="19">
        <f t="shared" si="224"/>
        <v>1172507</v>
      </c>
      <c r="P687" s="21">
        <f t="shared" si="225"/>
        <v>2.3335608274394657</v>
      </c>
      <c r="Q687" s="17">
        <v>1137331</v>
      </c>
      <c r="R687" s="17">
        <v>8930</v>
      </c>
      <c r="S687" s="19">
        <f t="shared" si="226"/>
        <v>1146261</v>
      </c>
      <c r="T687" s="20">
        <f t="shared" si="227"/>
        <v>0.03</v>
      </c>
      <c r="U687" s="19">
        <f t="shared" si="228"/>
        <v>35451.371134020621</v>
      </c>
      <c r="V687" s="17">
        <v>35451</v>
      </c>
      <c r="W687" s="19">
        <f t="shared" si="229"/>
        <v>0.37113402062095702</v>
      </c>
      <c r="X687" s="19">
        <f t="shared" si="230"/>
        <v>35451</v>
      </c>
      <c r="Y687" s="17">
        <v>35175</v>
      </c>
      <c r="Z687" s="17">
        <v>276</v>
      </c>
      <c r="AA687" s="19">
        <f t="shared" si="231"/>
        <v>0</v>
      </c>
      <c r="AB687" s="17">
        <v>1146261</v>
      </c>
      <c r="AC687" s="27">
        <v>13.324</v>
      </c>
      <c r="AD687" s="27">
        <v>13.3125</v>
      </c>
      <c r="AE687" s="22">
        <f t="shared" si="232"/>
        <v>86104.112676056335</v>
      </c>
      <c r="AF687" s="23">
        <f t="shared" si="233"/>
        <v>1</v>
      </c>
      <c r="AG687" s="23">
        <f t="shared" si="234"/>
        <v>0</v>
      </c>
      <c r="AH687" s="17">
        <v>1181712.39591599</v>
      </c>
      <c r="AI687" s="24">
        <f t="shared" si="235"/>
        <v>1.0309278566713775</v>
      </c>
      <c r="AJ687" s="25">
        <v>366962264.15094298</v>
      </c>
      <c r="AK687" s="24">
        <f t="shared" si="236"/>
        <v>2.4743870741809327E-2</v>
      </c>
      <c r="AL687" s="22">
        <f t="shared" si="237"/>
        <v>24876.895428144177</v>
      </c>
      <c r="AM687" s="22">
        <f t="shared" si="238"/>
        <v>86104.112676056335</v>
      </c>
      <c r="AN687" s="22">
        <f t="shared" si="239"/>
        <v>-61227.217247912158</v>
      </c>
      <c r="AO687" s="26" t="str">
        <f t="shared" si="240"/>
        <v/>
      </c>
      <c r="AP687" s="26" t="str">
        <f t="shared" si="241"/>
        <v>pre-launch</v>
      </c>
      <c r="AQ687" s="18"/>
      <c r="AR687" s="18"/>
    </row>
    <row r="688" spans="1:44" x14ac:dyDescent="0.25">
      <c r="A688" s="43">
        <v>45749</v>
      </c>
      <c r="B688" s="17">
        <v>8109376458.2799997</v>
      </c>
      <c r="C688" s="17">
        <v>0</v>
      </c>
      <c r="D688" s="17">
        <v>148833454</v>
      </c>
      <c r="E688" s="19">
        <f t="shared" si="220"/>
        <v>8109376458.2799997</v>
      </c>
      <c r="F688" s="19">
        <f t="shared" si="221"/>
        <v>8258209912.2799997</v>
      </c>
      <c r="G688" s="20">
        <f t="shared" si="222"/>
        <v>0</v>
      </c>
      <c r="H688" s="17">
        <v>1872963</v>
      </c>
      <c r="I688" s="17">
        <v>22319</v>
      </c>
      <c r="J688" s="17">
        <v>56858</v>
      </c>
      <c r="K688" s="19">
        <f t="shared" si="223"/>
        <v>1895282</v>
      </c>
      <c r="L688" s="18"/>
      <c r="M688" s="18"/>
      <c r="N688" s="18"/>
      <c r="O688" s="19">
        <f t="shared" si="224"/>
        <v>1872963</v>
      </c>
      <c r="P688" s="21">
        <f t="shared" si="225"/>
        <v>2.3096264054773648</v>
      </c>
      <c r="Q688" s="17">
        <v>1816774</v>
      </c>
      <c r="R688" s="17">
        <v>21650</v>
      </c>
      <c r="S688" s="19">
        <f t="shared" si="226"/>
        <v>1838424</v>
      </c>
      <c r="T688" s="20">
        <f t="shared" si="227"/>
        <v>0.03</v>
      </c>
      <c r="U688" s="19">
        <f t="shared" si="228"/>
        <v>56858.47422680413</v>
      </c>
      <c r="V688" s="17">
        <v>56858</v>
      </c>
      <c r="W688" s="19">
        <f t="shared" si="229"/>
        <v>0.47422680413001217</v>
      </c>
      <c r="X688" s="19">
        <f t="shared" si="230"/>
        <v>56859</v>
      </c>
      <c r="Y688" s="17">
        <v>56189</v>
      </c>
      <c r="Z688" s="17">
        <v>670</v>
      </c>
      <c r="AA688" s="19">
        <f t="shared" si="231"/>
        <v>1</v>
      </c>
      <c r="AB688" s="17">
        <v>1838424</v>
      </c>
      <c r="AC688" s="27">
        <v>11.769</v>
      </c>
      <c r="AD688" s="27">
        <v>12.80325</v>
      </c>
      <c r="AE688" s="22">
        <f t="shared" si="232"/>
        <v>143590.4164958116</v>
      </c>
      <c r="AF688" s="23">
        <f t="shared" si="233"/>
        <v>-1</v>
      </c>
      <c r="AG688" s="23">
        <f t="shared" si="234"/>
        <v>0</v>
      </c>
      <c r="AH688" s="17">
        <v>1895282.27641797</v>
      </c>
      <c r="AI688" s="24">
        <f t="shared" si="235"/>
        <v>1.0309277274545861</v>
      </c>
      <c r="AJ688" s="25">
        <v>367679245.28301901</v>
      </c>
      <c r="AK688" s="24">
        <f t="shared" si="236"/>
        <v>2.4719733472858454E-2</v>
      </c>
      <c r="AL688" s="22">
        <f t="shared" si="237"/>
        <v>24901.186155884876</v>
      </c>
      <c r="AM688" s="22">
        <f t="shared" si="238"/>
        <v>143590.4164958116</v>
      </c>
      <c r="AN688" s="22">
        <f t="shared" si="239"/>
        <v>-118689.23033992673</v>
      </c>
      <c r="AO688" s="26" t="str">
        <f t="shared" si="240"/>
        <v/>
      </c>
      <c r="AP688" s="26" t="str">
        <f t="shared" si="241"/>
        <v>pre-launch</v>
      </c>
      <c r="AQ688" s="18"/>
      <c r="AR688" s="18"/>
    </row>
    <row r="689" spans="1:44" x14ac:dyDescent="0.25">
      <c r="A689" s="43">
        <v>45750</v>
      </c>
      <c r="B689" s="17">
        <v>5930229209.4099998</v>
      </c>
      <c r="C689" s="17">
        <v>0</v>
      </c>
      <c r="D689" s="17">
        <v>119560562</v>
      </c>
      <c r="E689" s="19">
        <f t="shared" si="220"/>
        <v>5930229209.4099998</v>
      </c>
      <c r="F689" s="19">
        <f t="shared" si="221"/>
        <v>6049789771.4099998</v>
      </c>
      <c r="G689" s="20">
        <f t="shared" si="222"/>
        <v>0</v>
      </c>
      <c r="H689" s="17">
        <v>1365034</v>
      </c>
      <c r="I689" s="17">
        <v>18496</v>
      </c>
      <c r="J689" s="17">
        <v>41506</v>
      </c>
      <c r="K689" s="19">
        <f t="shared" si="223"/>
        <v>1383530</v>
      </c>
      <c r="L689" s="18"/>
      <c r="M689" s="18"/>
      <c r="N689" s="18"/>
      <c r="O689" s="19">
        <f t="shared" si="224"/>
        <v>1365034</v>
      </c>
      <c r="P689" s="21">
        <f t="shared" si="225"/>
        <v>2.3018233390270719</v>
      </c>
      <c r="Q689" s="17">
        <v>1324083</v>
      </c>
      <c r="R689" s="17">
        <v>17941</v>
      </c>
      <c r="S689" s="19">
        <f t="shared" si="226"/>
        <v>1342024</v>
      </c>
      <c r="T689" s="20">
        <f t="shared" si="227"/>
        <v>0.03</v>
      </c>
      <c r="U689" s="19">
        <f t="shared" si="228"/>
        <v>41505.896907216498</v>
      </c>
      <c r="V689" s="17">
        <v>41506</v>
      </c>
      <c r="W689" s="19">
        <f t="shared" si="229"/>
        <v>-0.10309278350177919</v>
      </c>
      <c r="X689" s="19">
        <f t="shared" si="230"/>
        <v>41506</v>
      </c>
      <c r="Y689" s="17">
        <v>40951</v>
      </c>
      <c r="Z689" s="17">
        <v>555</v>
      </c>
      <c r="AA689" s="19">
        <f t="shared" si="231"/>
        <v>0</v>
      </c>
      <c r="AB689" s="17">
        <v>1342024</v>
      </c>
      <c r="AC689" s="27">
        <v>11.696999999999999</v>
      </c>
      <c r="AD689" s="27">
        <v>11.77075</v>
      </c>
      <c r="AE689" s="22">
        <f t="shared" si="232"/>
        <v>114013.46558205722</v>
      </c>
      <c r="AF689" s="23">
        <f t="shared" si="233"/>
        <v>0</v>
      </c>
      <c r="AG689" s="23">
        <f t="shared" si="234"/>
        <v>0</v>
      </c>
      <c r="AH689" s="17">
        <v>1383529.926862</v>
      </c>
      <c r="AI689" s="24">
        <f t="shared" si="235"/>
        <v>1.0309278573721483</v>
      </c>
      <c r="AJ689" s="25">
        <v>368396226.41509402</v>
      </c>
      <c r="AK689" s="24">
        <f t="shared" si="236"/>
        <v>2.4695666702991646E-2</v>
      </c>
      <c r="AL689" s="22">
        <f t="shared" si="237"/>
        <v>24925.453211471257</v>
      </c>
      <c r="AM689" s="22">
        <f t="shared" si="238"/>
        <v>114013.46558205722</v>
      </c>
      <c r="AN689" s="22">
        <f t="shared" si="239"/>
        <v>-89088.012370585959</v>
      </c>
      <c r="AO689" s="26" t="str">
        <f t="shared" si="240"/>
        <v/>
      </c>
      <c r="AP689" s="26" t="str">
        <f t="shared" si="241"/>
        <v>pre-launch</v>
      </c>
      <c r="AQ689" s="18"/>
      <c r="AR689" s="18"/>
    </row>
    <row r="690" spans="1:44" x14ac:dyDescent="0.25">
      <c r="A690" s="43">
        <v>45751</v>
      </c>
      <c r="B690" s="17">
        <v>7751080977.4700003</v>
      </c>
      <c r="C690" s="17">
        <v>0</v>
      </c>
      <c r="D690" s="17">
        <v>129690210</v>
      </c>
      <c r="E690" s="19">
        <f t="shared" si="220"/>
        <v>7751080977.4700003</v>
      </c>
      <c r="F690" s="19">
        <f t="shared" si="221"/>
        <v>7880771187.4700003</v>
      </c>
      <c r="G690" s="20">
        <f t="shared" si="222"/>
        <v>0</v>
      </c>
      <c r="H690" s="17">
        <v>1793407</v>
      </c>
      <c r="I690" s="17">
        <v>17493</v>
      </c>
      <c r="J690" s="17">
        <v>54241</v>
      </c>
      <c r="K690" s="19">
        <f t="shared" si="223"/>
        <v>1810900</v>
      </c>
      <c r="L690" s="18"/>
      <c r="M690" s="18"/>
      <c r="N690" s="18"/>
      <c r="O690" s="19">
        <f t="shared" si="224"/>
        <v>1793407</v>
      </c>
      <c r="P690" s="21">
        <f t="shared" si="225"/>
        <v>2.3137508241919811</v>
      </c>
      <c r="Q690" s="17">
        <v>1739605</v>
      </c>
      <c r="R690" s="17">
        <v>16969</v>
      </c>
      <c r="S690" s="19">
        <f t="shared" si="226"/>
        <v>1756574</v>
      </c>
      <c r="T690" s="20">
        <f t="shared" si="227"/>
        <v>0.03</v>
      </c>
      <c r="U690" s="19">
        <f t="shared" si="228"/>
        <v>54327.030927835054</v>
      </c>
      <c r="V690" s="17">
        <v>54241</v>
      </c>
      <c r="W690" s="19">
        <f t="shared" si="229"/>
        <v>86.030927835054172</v>
      </c>
      <c r="X690" s="19">
        <f t="shared" si="230"/>
        <v>54327</v>
      </c>
      <c r="Y690" s="17">
        <v>53802</v>
      </c>
      <c r="Z690" s="17">
        <v>525</v>
      </c>
      <c r="AA690" s="19">
        <f t="shared" si="231"/>
        <v>86</v>
      </c>
      <c r="AB690" s="17">
        <v>1756574</v>
      </c>
      <c r="AC690" s="27">
        <v>11.867000000000001</v>
      </c>
      <c r="AD690" s="27">
        <v>11.735749999999999</v>
      </c>
      <c r="AE690" s="22">
        <f t="shared" si="232"/>
        <v>149677.18296657648</v>
      </c>
      <c r="AF690" s="23">
        <f t="shared" si="233"/>
        <v>-1</v>
      </c>
      <c r="AG690" s="23">
        <f t="shared" si="234"/>
        <v>0</v>
      </c>
      <c r="AH690" s="17">
        <v>1808044.2626460199</v>
      </c>
      <c r="AI690" s="24">
        <f t="shared" si="235"/>
        <v>1.0293015054566559</v>
      </c>
      <c r="AJ690" s="25">
        <v>369113207.54716998</v>
      </c>
      <c r="AK690" s="24">
        <f t="shared" si="236"/>
        <v>2.4671670089691296E-2</v>
      </c>
      <c r="AL690" s="22">
        <f t="shared" si="237"/>
        <v>24949.696663976792</v>
      </c>
      <c r="AM690" s="22">
        <f t="shared" si="238"/>
        <v>149677.18296657648</v>
      </c>
      <c r="AN690" s="22">
        <f t="shared" si="239"/>
        <v>-124727.48630259969</v>
      </c>
      <c r="AO690" s="26" t="str">
        <f t="shared" si="240"/>
        <v/>
      </c>
      <c r="AP690" s="26" t="str">
        <f t="shared" si="241"/>
        <v>pre-launch</v>
      </c>
      <c r="AQ690" s="18"/>
      <c r="AR690" s="18"/>
    </row>
    <row r="691" spans="1:44" x14ac:dyDescent="0.25">
      <c r="A691" s="43">
        <v>45752</v>
      </c>
      <c r="B691" s="17">
        <v>2430774311.1500001</v>
      </c>
      <c r="C691" s="17">
        <v>0</v>
      </c>
      <c r="D691" s="17">
        <v>42672433</v>
      </c>
      <c r="E691" s="19">
        <f t="shared" si="220"/>
        <v>2430774311.1500001</v>
      </c>
      <c r="F691" s="19">
        <f t="shared" si="221"/>
        <v>2473446744.1500001</v>
      </c>
      <c r="G691" s="20">
        <f t="shared" si="222"/>
        <v>0</v>
      </c>
      <c r="H691" s="17">
        <v>539008</v>
      </c>
      <c r="I691" s="17">
        <v>6171</v>
      </c>
      <c r="J691" s="17">
        <v>16441</v>
      </c>
      <c r="K691" s="19">
        <f t="shared" si="223"/>
        <v>545179</v>
      </c>
      <c r="L691" s="18"/>
      <c r="M691" s="18"/>
      <c r="N691" s="18"/>
      <c r="O691" s="19">
        <f t="shared" si="224"/>
        <v>539008</v>
      </c>
      <c r="P691" s="21">
        <f t="shared" si="225"/>
        <v>2.2174333401811999</v>
      </c>
      <c r="Q691" s="17">
        <v>522837</v>
      </c>
      <c r="R691" s="17">
        <v>5986</v>
      </c>
      <c r="S691" s="19">
        <f t="shared" si="226"/>
        <v>528823</v>
      </c>
      <c r="T691" s="20">
        <f t="shared" si="227"/>
        <v>0.03</v>
      </c>
      <c r="U691" s="19">
        <f t="shared" si="228"/>
        <v>16355.350515463917</v>
      </c>
      <c r="V691" s="17">
        <v>16441</v>
      </c>
      <c r="W691" s="19">
        <f t="shared" si="229"/>
        <v>-85.649484536083037</v>
      </c>
      <c r="X691" s="19">
        <f t="shared" si="230"/>
        <v>16355</v>
      </c>
      <c r="Y691" s="17">
        <v>16170</v>
      </c>
      <c r="Z691" s="17">
        <v>185</v>
      </c>
      <c r="AA691" s="19">
        <f t="shared" si="231"/>
        <v>-86</v>
      </c>
      <c r="AB691" s="17">
        <v>528823</v>
      </c>
      <c r="AC691" s="27">
        <v>12.029</v>
      </c>
      <c r="AD691" s="27">
        <v>11.874499999999999</v>
      </c>
      <c r="AE691" s="22">
        <f t="shared" si="232"/>
        <v>44534.338287927916</v>
      </c>
      <c r="AF691" s="23">
        <f t="shared" si="233"/>
        <v>1</v>
      </c>
      <c r="AG691" s="23">
        <f t="shared" si="234"/>
        <v>0</v>
      </c>
      <c r="AH691" s="17">
        <v>548034.36097800697</v>
      </c>
      <c r="AI691" s="24">
        <f t="shared" si="235"/>
        <v>1.0363285276510419</v>
      </c>
      <c r="AJ691" s="25">
        <v>369830188.679245</v>
      </c>
      <c r="AK691" s="24">
        <f t="shared" si="236"/>
        <v>2.4647743292765166E-2</v>
      </c>
      <c r="AL691" s="22">
        <f t="shared" si="237"/>
        <v>24973.916582139551</v>
      </c>
      <c r="AM691" s="22">
        <f t="shared" si="238"/>
        <v>44534.338287927916</v>
      </c>
      <c r="AN691" s="22">
        <f t="shared" si="239"/>
        <v>-19560.421705788365</v>
      </c>
      <c r="AO691" s="26" t="str">
        <f t="shared" si="240"/>
        <v/>
      </c>
      <c r="AP691" s="26" t="str">
        <f t="shared" si="241"/>
        <v>pre-launch</v>
      </c>
      <c r="AQ691" s="18"/>
      <c r="AR691" s="18"/>
    </row>
    <row r="692" spans="1:44" x14ac:dyDescent="0.25">
      <c r="A692" s="43">
        <v>45753</v>
      </c>
      <c r="B692" s="17">
        <v>7538397804.3500004</v>
      </c>
      <c r="C692" s="17">
        <v>0</v>
      </c>
      <c r="D692" s="17">
        <v>148050393</v>
      </c>
      <c r="E692" s="19">
        <f t="shared" si="220"/>
        <v>7538397804.3500004</v>
      </c>
      <c r="F692" s="19">
        <f t="shared" si="221"/>
        <v>7686448197.3500004</v>
      </c>
      <c r="G692" s="20">
        <f t="shared" si="222"/>
        <v>0</v>
      </c>
      <c r="H692" s="17">
        <v>1754691</v>
      </c>
      <c r="I692" s="17">
        <v>18329</v>
      </c>
      <c r="J692" s="17">
        <v>52224</v>
      </c>
      <c r="K692" s="19">
        <f t="shared" si="223"/>
        <v>1773020</v>
      </c>
      <c r="L692" s="18"/>
      <c r="M692" s="18"/>
      <c r="N692" s="18"/>
      <c r="O692" s="19">
        <f t="shared" si="224"/>
        <v>1754691</v>
      </c>
      <c r="P692" s="21">
        <f t="shared" si="225"/>
        <v>2.3276710058833232</v>
      </c>
      <c r="Q692" s="17">
        <v>1702051</v>
      </c>
      <c r="R692" s="17">
        <v>17780</v>
      </c>
      <c r="S692" s="19">
        <f t="shared" si="226"/>
        <v>1719831</v>
      </c>
      <c r="T692" s="20">
        <f t="shared" si="227"/>
        <v>0.03</v>
      </c>
      <c r="U692" s="19">
        <f t="shared" si="228"/>
        <v>53190.649484536087</v>
      </c>
      <c r="V692" s="17">
        <v>52224</v>
      </c>
      <c r="W692" s="19">
        <f t="shared" si="229"/>
        <v>966.64948453608667</v>
      </c>
      <c r="X692" s="19">
        <f t="shared" si="230"/>
        <v>53191</v>
      </c>
      <c r="Y692" s="17">
        <v>52641</v>
      </c>
      <c r="Z692" s="17">
        <v>550</v>
      </c>
      <c r="AA692" s="19">
        <f t="shared" si="231"/>
        <v>967</v>
      </c>
      <c r="AB692" s="17">
        <v>1719831</v>
      </c>
      <c r="AC692" s="27">
        <v>10.254</v>
      </c>
      <c r="AD692" s="27">
        <v>11.093999999999999</v>
      </c>
      <c r="AE692" s="22">
        <f t="shared" si="232"/>
        <v>155023.52623039481</v>
      </c>
      <c r="AF692" s="23">
        <f t="shared" si="233"/>
        <v>-2</v>
      </c>
      <c r="AG692" s="23">
        <f t="shared" si="234"/>
        <v>0</v>
      </c>
      <c r="AH692" s="17">
        <v>1740788.6494119801</v>
      </c>
      <c r="AI692" s="24">
        <f t="shared" si="235"/>
        <v>1.0121858772239714</v>
      </c>
      <c r="AJ692" s="25">
        <v>370547169.81132102</v>
      </c>
      <c r="AK692" s="24">
        <f t="shared" si="236"/>
        <v>2.4623885974325868E-2</v>
      </c>
      <c r="AL692" s="22">
        <f t="shared" si="237"/>
        <v>24998.113034364749</v>
      </c>
      <c r="AM692" s="22">
        <f t="shared" si="238"/>
        <v>155023.52623039481</v>
      </c>
      <c r="AN692" s="22">
        <f t="shared" si="239"/>
        <v>-130025.41319603006</v>
      </c>
      <c r="AO692" s="26" t="str">
        <f t="shared" si="240"/>
        <v/>
      </c>
      <c r="AP692" s="26" t="str">
        <f t="shared" si="241"/>
        <v>pre-launch</v>
      </c>
      <c r="AQ692" s="18"/>
      <c r="AR692" s="18"/>
    </row>
    <row r="693" spans="1:44" x14ac:dyDescent="0.25">
      <c r="A693" s="43">
        <v>45754</v>
      </c>
      <c r="B693" s="17">
        <v>13309974115.709999</v>
      </c>
      <c r="C693" s="17">
        <v>0</v>
      </c>
      <c r="D693" s="17">
        <v>254918742</v>
      </c>
      <c r="E693" s="19">
        <f t="shared" si="220"/>
        <v>13309974115.709999</v>
      </c>
      <c r="F693" s="19">
        <f t="shared" si="221"/>
        <v>13564892857.709999</v>
      </c>
      <c r="G693" s="20">
        <f t="shared" si="222"/>
        <v>0</v>
      </c>
      <c r="H693" s="17">
        <v>3081123</v>
      </c>
      <c r="I693" s="17">
        <v>36051</v>
      </c>
      <c r="J693" s="17">
        <v>94251</v>
      </c>
      <c r="K693" s="19">
        <f t="shared" si="223"/>
        <v>3117174</v>
      </c>
      <c r="L693" s="18"/>
      <c r="M693" s="18"/>
      <c r="N693" s="18"/>
      <c r="O693" s="19">
        <f t="shared" si="224"/>
        <v>3081123</v>
      </c>
      <c r="P693" s="21">
        <f t="shared" si="225"/>
        <v>2.3148978151379689</v>
      </c>
      <c r="Q693" s="17">
        <v>2988690</v>
      </c>
      <c r="R693" s="17">
        <v>34970</v>
      </c>
      <c r="S693" s="19">
        <f t="shared" si="226"/>
        <v>3023660</v>
      </c>
      <c r="T693" s="20">
        <f t="shared" si="227"/>
        <v>0.03</v>
      </c>
      <c r="U693" s="19">
        <f t="shared" si="228"/>
        <v>93515.257731958773</v>
      </c>
      <c r="V693" s="17">
        <v>94251</v>
      </c>
      <c r="W693" s="19">
        <f t="shared" si="229"/>
        <v>-735.74226804122736</v>
      </c>
      <c r="X693" s="19">
        <f t="shared" si="230"/>
        <v>93516</v>
      </c>
      <c r="Y693" s="17">
        <v>92434</v>
      </c>
      <c r="Z693" s="17">
        <v>1082</v>
      </c>
      <c r="AA693" s="19">
        <f t="shared" si="231"/>
        <v>-735</v>
      </c>
      <c r="AB693" s="17">
        <v>3023660</v>
      </c>
      <c r="AC693" s="27">
        <v>11.489000000000001</v>
      </c>
      <c r="AD693" s="27">
        <v>10.743425</v>
      </c>
      <c r="AE693" s="22">
        <f t="shared" si="232"/>
        <v>281442.83596711478</v>
      </c>
      <c r="AF693" s="23">
        <f t="shared" si="233"/>
        <v>-2</v>
      </c>
      <c r="AG693" s="23">
        <f t="shared" si="234"/>
        <v>0</v>
      </c>
      <c r="AH693" s="17">
        <v>3141695.3651330499</v>
      </c>
      <c r="AI693" s="24">
        <f t="shared" si="235"/>
        <v>1.0390372479488599</v>
      </c>
      <c r="AJ693" s="25">
        <v>371264150.94339597</v>
      </c>
      <c r="AK693" s="24">
        <f t="shared" si="236"/>
        <v>2.4600097798771092E-2</v>
      </c>
      <c r="AL693" s="22">
        <f t="shared" si="237"/>
        <v>25022.28608872672</v>
      </c>
      <c r="AM693" s="22">
        <f t="shared" si="238"/>
        <v>281442.83596711478</v>
      </c>
      <c r="AN693" s="22">
        <f t="shared" si="239"/>
        <v>-256420.54987838806</v>
      </c>
      <c r="AO693" s="26" t="str">
        <f t="shared" si="240"/>
        <v/>
      </c>
      <c r="AP693" s="26" t="str">
        <f t="shared" si="241"/>
        <v>pre-launch</v>
      </c>
      <c r="AQ693" s="18"/>
      <c r="AR693" s="18"/>
    </row>
    <row r="694" spans="1:44" x14ac:dyDescent="0.25">
      <c r="A694" s="43">
        <v>45755</v>
      </c>
      <c r="B694" s="17">
        <v>7663480477.1899996</v>
      </c>
      <c r="C694" s="17">
        <v>0</v>
      </c>
      <c r="D694" s="17">
        <v>163870707</v>
      </c>
      <c r="E694" s="19">
        <f t="shared" si="220"/>
        <v>7663480477.1899996</v>
      </c>
      <c r="F694" s="19">
        <f t="shared" si="221"/>
        <v>7827351184.1899996</v>
      </c>
      <c r="G694" s="20">
        <f t="shared" si="222"/>
        <v>0</v>
      </c>
      <c r="H694" s="17">
        <v>1725681</v>
      </c>
      <c r="I694" s="17">
        <v>20897</v>
      </c>
      <c r="J694" s="17">
        <v>52629</v>
      </c>
      <c r="K694" s="19">
        <f t="shared" si="223"/>
        <v>1746578</v>
      </c>
      <c r="L694" s="18"/>
      <c r="M694" s="18"/>
      <c r="N694" s="18"/>
      <c r="O694" s="19">
        <f t="shared" si="224"/>
        <v>1725681</v>
      </c>
      <c r="P694" s="21">
        <f t="shared" si="225"/>
        <v>2.2518240962920317</v>
      </c>
      <c r="Q694" s="17">
        <v>1673910</v>
      </c>
      <c r="R694" s="17">
        <v>20270</v>
      </c>
      <c r="S694" s="19">
        <f t="shared" si="226"/>
        <v>1694180</v>
      </c>
      <c r="T694" s="20">
        <f t="shared" si="227"/>
        <v>0.03</v>
      </c>
      <c r="U694" s="19">
        <f t="shared" si="228"/>
        <v>52397.319587628866</v>
      </c>
      <c r="V694" s="17">
        <v>52629</v>
      </c>
      <c r="W694" s="19">
        <f t="shared" si="229"/>
        <v>-231.68041237113357</v>
      </c>
      <c r="X694" s="19">
        <f t="shared" si="230"/>
        <v>52397</v>
      </c>
      <c r="Y694" s="17">
        <v>51770</v>
      </c>
      <c r="Z694" s="17">
        <v>627</v>
      </c>
      <c r="AA694" s="19">
        <f t="shared" si="231"/>
        <v>-232</v>
      </c>
      <c r="AB694" s="17">
        <v>1694180</v>
      </c>
      <c r="AC694" s="27">
        <v>11.215999999999999</v>
      </c>
      <c r="AD694" s="27">
        <v>11.505750000000001</v>
      </c>
      <c r="AE694" s="22">
        <f t="shared" si="232"/>
        <v>147246.37681159418</v>
      </c>
      <c r="AF694" s="23">
        <f t="shared" si="233"/>
        <v>1</v>
      </c>
      <c r="AG694" s="23">
        <f t="shared" si="234"/>
        <v>0</v>
      </c>
      <c r="AH694" s="17">
        <v>1754289.21140701</v>
      </c>
      <c r="AI694" s="24">
        <f t="shared" si="235"/>
        <v>1.035479825878602</v>
      </c>
      <c r="AJ694" s="25">
        <v>371981132.075472</v>
      </c>
      <c r="AK694" s="24">
        <f t="shared" si="236"/>
        <v>2.4576378432763498E-2</v>
      </c>
      <c r="AL694" s="22">
        <f t="shared" si="237"/>
        <v>25046.435812971456</v>
      </c>
      <c r="AM694" s="22">
        <f t="shared" si="238"/>
        <v>147246.37681159418</v>
      </c>
      <c r="AN694" s="22">
        <f t="shared" si="239"/>
        <v>-122199.94099862273</v>
      </c>
      <c r="AO694" s="26" t="str">
        <f t="shared" si="240"/>
        <v/>
      </c>
      <c r="AP694" s="26" t="str">
        <f t="shared" si="241"/>
        <v>pre-launch</v>
      </c>
      <c r="AQ694" s="18"/>
      <c r="AR694" s="18"/>
    </row>
    <row r="695" spans="1:44" x14ac:dyDescent="0.25">
      <c r="A695" s="43">
        <v>45756</v>
      </c>
      <c r="B695" s="17">
        <v>12444620477.98</v>
      </c>
      <c r="C695" s="17">
        <v>0</v>
      </c>
      <c r="D695" s="17">
        <v>256513559</v>
      </c>
      <c r="E695" s="19">
        <f t="shared" si="220"/>
        <v>12444620477.98</v>
      </c>
      <c r="F695" s="19">
        <f t="shared" si="221"/>
        <v>12701134036.98</v>
      </c>
      <c r="G695" s="20">
        <f t="shared" si="222"/>
        <v>0</v>
      </c>
      <c r="H695" s="17">
        <v>2807531</v>
      </c>
      <c r="I695" s="17">
        <v>36874</v>
      </c>
      <c r="J695" s="17">
        <v>84970</v>
      </c>
      <c r="K695" s="19">
        <f t="shared" si="223"/>
        <v>2844405</v>
      </c>
      <c r="L695" s="18"/>
      <c r="M695" s="18"/>
      <c r="N695" s="18"/>
      <c r="O695" s="19">
        <f t="shared" si="224"/>
        <v>2807531</v>
      </c>
      <c r="P695" s="21">
        <f t="shared" si="225"/>
        <v>2.2560197837834877</v>
      </c>
      <c r="Q695" s="17">
        <v>2723305</v>
      </c>
      <c r="R695" s="17">
        <v>35768</v>
      </c>
      <c r="S695" s="19">
        <f t="shared" si="226"/>
        <v>2759073</v>
      </c>
      <c r="T695" s="20">
        <f t="shared" si="227"/>
        <v>0.03</v>
      </c>
      <c r="U695" s="19">
        <f t="shared" si="228"/>
        <v>85332.154639175264</v>
      </c>
      <c r="V695" s="17">
        <v>84970</v>
      </c>
      <c r="W695" s="19">
        <f t="shared" si="229"/>
        <v>362.15463917526358</v>
      </c>
      <c r="X695" s="19">
        <f t="shared" si="230"/>
        <v>85332</v>
      </c>
      <c r="Y695" s="17">
        <v>84226</v>
      </c>
      <c r="Z695" s="17">
        <v>1106</v>
      </c>
      <c r="AA695" s="19">
        <f t="shared" si="231"/>
        <v>362</v>
      </c>
      <c r="AB695" s="17">
        <v>2759073</v>
      </c>
      <c r="AC695" s="27">
        <v>13.577</v>
      </c>
      <c r="AD695" s="27">
        <v>12.58375</v>
      </c>
      <c r="AE695" s="22">
        <f t="shared" si="232"/>
        <v>219256.81931061886</v>
      </c>
      <c r="AF695" s="23">
        <f t="shared" si="233"/>
        <v>0</v>
      </c>
      <c r="AG695" s="23">
        <f t="shared" si="234"/>
        <v>0</v>
      </c>
      <c r="AH695" s="17">
        <v>2832320.7984209699</v>
      </c>
      <c r="AI695" s="24">
        <f t="shared" si="235"/>
        <v>1.0265479740554055</v>
      </c>
      <c r="AJ695" s="25">
        <v>372698113.20754701</v>
      </c>
      <c r="AK695" s="24">
        <f t="shared" si="236"/>
        <v>2.4552727545211369E-2</v>
      </c>
      <c r="AL695" s="22">
        <f t="shared" si="237"/>
        <v>25070.562274518477</v>
      </c>
      <c r="AM695" s="22">
        <f t="shared" si="238"/>
        <v>219256.81931061886</v>
      </c>
      <c r="AN695" s="22">
        <f t="shared" si="239"/>
        <v>-194186.25703610037</v>
      </c>
      <c r="AO695" s="26" t="str">
        <f t="shared" si="240"/>
        <v/>
      </c>
      <c r="AP695" s="26" t="str">
        <f t="shared" si="241"/>
        <v>pre-launch</v>
      </c>
      <c r="AQ695" s="18"/>
      <c r="AR695" s="18"/>
    </row>
    <row r="696" spans="1:44" x14ac:dyDescent="0.25">
      <c r="A696" s="43">
        <v>45757</v>
      </c>
      <c r="B696" s="17">
        <v>7229336568.3800001</v>
      </c>
      <c r="C696" s="17">
        <v>0</v>
      </c>
      <c r="D696" s="17">
        <v>165359677</v>
      </c>
      <c r="E696" s="19">
        <f t="shared" si="220"/>
        <v>7229336568.3800001</v>
      </c>
      <c r="F696" s="19">
        <f t="shared" si="221"/>
        <v>7394696245.3800001</v>
      </c>
      <c r="G696" s="20">
        <f t="shared" si="222"/>
        <v>0</v>
      </c>
      <c r="H696" s="17">
        <v>1649920</v>
      </c>
      <c r="I696" s="17">
        <v>22705</v>
      </c>
      <c r="J696" s="17">
        <v>50541</v>
      </c>
      <c r="K696" s="19">
        <f t="shared" si="223"/>
        <v>1672625</v>
      </c>
      <c r="L696" s="18"/>
      <c r="M696" s="18"/>
      <c r="N696" s="18"/>
      <c r="O696" s="19">
        <f t="shared" si="224"/>
        <v>1649920</v>
      </c>
      <c r="P696" s="21">
        <f t="shared" si="225"/>
        <v>2.2822564482839196</v>
      </c>
      <c r="Q696" s="17">
        <v>1600423</v>
      </c>
      <c r="R696" s="17">
        <v>22023</v>
      </c>
      <c r="S696" s="19">
        <f t="shared" si="226"/>
        <v>1622446</v>
      </c>
      <c r="T696" s="20">
        <f t="shared" si="227"/>
        <v>0.03</v>
      </c>
      <c r="U696" s="19">
        <f t="shared" si="228"/>
        <v>50178.742268041235</v>
      </c>
      <c r="V696" s="17">
        <v>50541</v>
      </c>
      <c r="W696" s="19">
        <f t="shared" si="229"/>
        <v>-362.25773195876536</v>
      </c>
      <c r="X696" s="19">
        <f t="shared" si="230"/>
        <v>50179</v>
      </c>
      <c r="Y696" s="17">
        <v>49498</v>
      </c>
      <c r="Z696" s="17">
        <v>681</v>
      </c>
      <c r="AA696" s="19">
        <f t="shared" si="231"/>
        <v>-362</v>
      </c>
      <c r="AB696" s="17">
        <v>1622446</v>
      </c>
      <c r="AC696" s="27">
        <v>14.172000000000001</v>
      </c>
      <c r="AD696" s="27">
        <v>13.834250000000001</v>
      </c>
      <c r="AE696" s="22">
        <f t="shared" si="232"/>
        <v>117277.48161266421</v>
      </c>
      <c r="AF696" s="23">
        <f t="shared" si="233"/>
        <v>0</v>
      </c>
      <c r="AG696" s="23">
        <f t="shared" si="234"/>
        <v>0</v>
      </c>
      <c r="AH696" s="17">
        <v>1684709.613406</v>
      </c>
      <c r="AI696" s="24">
        <f t="shared" si="235"/>
        <v>1.038376385658444</v>
      </c>
      <c r="AJ696" s="25">
        <v>373415094.33962297</v>
      </c>
      <c r="AK696" s="24">
        <f t="shared" si="236"/>
        <v>2.4529144807248947E-2</v>
      </c>
      <c r="AL696" s="22">
        <f t="shared" si="237"/>
        <v>25094.665540463397</v>
      </c>
      <c r="AM696" s="22">
        <f t="shared" si="238"/>
        <v>117277.48161266421</v>
      </c>
      <c r="AN696" s="22">
        <f t="shared" si="239"/>
        <v>-92182.816072200818</v>
      </c>
      <c r="AO696" s="26" t="str">
        <f t="shared" si="240"/>
        <v/>
      </c>
      <c r="AP696" s="26" t="str">
        <f t="shared" si="241"/>
        <v>pre-launch</v>
      </c>
      <c r="AQ696" s="18"/>
      <c r="AR696" s="18"/>
    </row>
    <row r="697" spans="1:44" x14ac:dyDescent="0.25">
      <c r="A697" s="43">
        <v>45758</v>
      </c>
      <c r="B697" s="17">
        <v>5544362890.1499996</v>
      </c>
      <c r="C697" s="17">
        <v>0</v>
      </c>
      <c r="D697" s="17">
        <v>187070232</v>
      </c>
      <c r="E697" s="19">
        <f t="shared" si="220"/>
        <v>5544362890.1499996</v>
      </c>
      <c r="F697" s="19">
        <f t="shared" si="221"/>
        <v>5731433122.1499996</v>
      </c>
      <c r="G697" s="20">
        <f t="shared" si="222"/>
        <v>0</v>
      </c>
      <c r="H697" s="17">
        <v>1303083</v>
      </c>
      <c r="I697" s="17">
        <v>24450</v>
      </c>
      <c r="J697" s="17">
        <v>39826</v>
      </c>
      <c r="K697" s="19">
        <f t="shared" si="223"/>
        <v>1327533</v>
      </c>
      <c r="L697" s="18"/>
      <c r="M697" s="18"/>
      <c r="N697" s="18"/>
      <c r="O697" s="19">
        <f t="shared" si="224"/>
        <v>1303083</v>
      </c>
      <c r="P697" s="21">
        <f t="shared" si="225"/>
        <v>2.3502844705836812</v>
      </c>
      <c r="Q697" s="17">
        <v>1263991</v>
      </c>
      <c r="R697" s="17">
        <v>23717</v>
      </c>
      <c r="S697" s="19">
        <f t="shared" si="226"/>
        <v>1287708</v>
      </c>
      <c r="T697" s="20">
        <f t="shared" si="227"/>
        <v>0.03</v>
      </c>
      <c r="U697" s="19">
        <f t="shared" si="228"/>
        <v>39826.0206185567</v>
      </c>
      <c r="V697" s="17">
        <v>39826</v>
      </c>
      <c r="W697" s="19">
        <f t="shared" si="229"/>
        <v>2.0618556700355839E-2</v>
      </c>
      <c r="X697" s="19">
        <f t="shared" si="230"/>
        <v>39826</v>
      </c>
      <c r="Y697" s="17">
        <v>39092</v>
      </c>
      <c r="Z697" s="17">
        <v>734</v>
      </c>
      <c r="AA697" s="19">
        <f t="shared" si="231"/>
        <v>0</v>
      </c>
      <c r="AB697" s="17">
        <v>1287708</v>
      </c>
      <c r="AC697" s="27">
        <v>15.694000000000001</v>
      </c>
      <c r="AD697" s="27">
        <v>14.907999999999999</v>
      </c>
      <c r="AE697" s="22">
        <f t="shared" si="232"/>
        <v>86376.978803327074</v>
      </c>
      <c r="AF697" s="23">
        <f t="shared" si="233"/>
        <v>-1</v>
      </c>
      <c r="AG697" s="23">
        <f t="shared" si="234"/>
        <v>0</v>
      </c>
      <c r="AH697" s="17">
        <v>1327533.6133570101</v>
      </c>
      <c r="AI697" s="24">
        <f t="shared" si="235"/>
        <v>1.0309275187829927</v>
      </c>
      <c r="AJ697" s="25">
        <v>374132075.47169799</v>
      </c>
      <c r="AK697" s="24">
        <f t="shared" si="236"/>
        <v>2.4505629892217478E-2</v>
      </c>
      <c r="AL697" s="22">
        <f t="shared" si="237"/>
        <v>25118.745677579744</v>
      </c>
      <c r="AM697" s="22">
        <f t="shared" si="238"/>
        <v>86376.978803327074</v>
      </c>
      <c r="AN697" s="22">
        <f t="shared" si="239"/>
        <v>-61258.233125747327</v>
      </c>
      <c r="AO697" s="26" t="str">
        <f t="shared" si="240"/>
        <v/>
      </c>
      <c r="AP697" s="26" t="str">
        <f t="shared" si="241"/>
        <v>pre-launch</v>
      </c>
      <c r="AQ697" s="18"/>
      <c r="AR697" s="18"/>
    </row>
    <row r="698" spans="1:44" x14ac:dyDescent="0.25">
      <c r="A698" s="43">
        <v>45759</v>
      </c>
      <c r="B698" s="17">
        <v>4949382648.1300001</v>
      </c>
      <c r="C698" s="17">
        <v>0</v>
      </c>
      <c r="D698" s="17">
        <v>121367900</v>
      </c>
      <c r="E698" s="19">
        <f t="shared" si="220"/>
        <v>4949382648.1300001</v>
      </c>
      <c r="F698" s="19">
        <f t="shared" si="221"/>
        <v>5070750548.1300001</v>
      </c>
      <c r="G698" s="20">
        <f t="shared" si="222"/>
        <v>0</v>
      </c>
      <c r="H698" s="17">
        <v>1132359</v>
      </c>
      <c r="I698" s="17">
        <v>15701</v>
      </c>
      <c r="J698" s="17">
        <v>34244</v>
      </c>
      <c r="K698" s="19">
        <f t="shared" si="223"/>
        <v>1148060</v>
      </c>
      <c r="L698" s="18"/>
      <c r="M698" s="18"/>
      <c r="N698" s="18"/>
      <c r="O698" s="19">
        <f t="shared" si="224"/>
        <v>1132359</v>
      </c>
      <c r="P698" s="21">
        <f t="shared" si="225"/>
        <v>2.2878792780910429</v>
      </c>
      <c r="Q698" s="17">
        <v>1098388</v>
      </c>
      <c r="R698" s="17">
        <v>15230</v>
      </c>
      <c r="S698" s="19">
        <f t="shared" si="226"/>
        <v>1113618</v>
      </c>
      <c r="T698" s="20">
        <f t="shared" si="227"/>
        <v>0.03</v>
      </c>
      <c r="U698" s="19">
        <f t="shared" si="228"/>
        <v>34441.793814432989</v>
      </c>
      <c r="V698" s="17">
        <v>34244</v>
      </c>
      <c r="W698" s="19">
        <f t="shared" si="229"/>
        <v>197.79381443298917</v>
      </c>
      <c r="X698" s="19">
        <f t="shared" si="230"/>
        <v>34442</v>
      </c>
      <c r="Y698" s="17">
        <v>33971</v>
      </c>
      <c r="Z698" s="17">
        <v>471</v>
      </c>
      <c r="AA698" s="19">
        <f t="shared" si="231"/>
        <v>198</v>
      </c>
      <c r="AB698" s="17">
        <v>1113618</v>
      </c>
      <c r="AC698" s="27">
        <v>16.332000000000001</v>
      </c>
      <c r="AD698" s="27">
        <v>15.987500000000001</v>
      </c>
      <c r="AE698" s="22">
        <f t="shared" si="232"/>
        <v>69655.543393275992</v>
      </c>
      <c r="AF698" s="23">
        <f t="shared" si="233"/>
        <v>0</v>
      </c>
      <c r="AG698" s="23">
        <f t="shared" si="234"/>
        <v>0</v>
      </c>
      <c r="AH698" s="17">
        <v>1141450.7652440099</v>
      </c>
      <c r="AI698" s="24">
        <f t="shared" si="235"/>
        <v>1.0249930992889931</v>
      </c>
      <c r="AJ698" s="25">
        <v>374849056.60377401</v>
      </c>
      <c r="AK698" s="24">
        <f t="shared" si="236"/>
        <v>2.4482182475645944E-2</v>
      </c>
      <c r="AL698" s="22">
        <f t="shared" si="237"/>
        <v>25142.802752321455</v>
      </c>
      <c r="AM698" s="22">
        <f t="shared" si="238"/>
        <v>69655.543393275992</v>
      </c>
      <c r="AN698" s="22">
        <f t="shared" si="239"/>
        <v>-44512.740640954537</v>
      </c>
      <c r="AO698" s="26" t="str">
        <f t="shared" si="240"/>
        <v/>
      </c>
      <c r="AP698" s="26" t="str">
        <f t="shared" si="241"/>
        <v>pre-launch</v>
      </c>
      <c r="AQ698" s="18"/>
      <c r="AR698" s="18"/>
    </row>
    <row r="699" spans="1:44" x14ac:dyDescent="0.25">
      <c r="A699" s="43">
        <v>45760</v>
      </c>
      <c r="B699" s="17">
        <v>6199138478.0100002</v>
      </c>
      <c r="C699" s="17">
        <v>0</v>
      </c>
      <c r="D699" s="17">
        <v>134246965</v>
      </c>
      <c r="E699" s="19">
        <f t="shared" si="220"/>
        <v>6199138478.0100002</v>
      </c>
      <c r="F699" s="19">
        <f t="shared" si="221"/>
        <v>6333385443.0100002</v>
      </c>
      <c r="G699" s="20">
        <f t="shared" si="222"/>
        <v>0</v>
      </c>
      <c r="H699" s="17">
        <v>1346423</v>
      </c>
      <c r="I699" s="17">
        <v>18682</v>
      </c>
      <c r="J699" s="17">
        <v>41151</v>
      </c>
      <c r="K699" s="19">
        <f t="shared" si="223"/>
        <v>1365105</v>
      </c>
      <c r="L699" s="18"/>
      <c r="M699" s="18"/>
      <c r="N699" s="18"/>
      <c r="O699" s="19">
        <f t="shared" si="224"/>
        <v>1346423</v>
      </c>
      <c r="P699" s="21">
        <f t="shared" si="225"/>
        <v>2.1719518039097241</v>
      </c>
      <c r="Q699" s="17">
        <v>1306031</v>
      </c>
      <c r="R699" s="17">
        <v>18121</v>
      </c>
      <c r="S699" s="19">
        <f t="shared" si="226"/>
        <v>1324152</v>
      </c>
      <c r="T699" s="20">
        <f t="shared" si="227"/>
        <v>0.03</v>
      </c>
      <c r="U699" s="19">
        <f t="shared" si="228"/>
        <v>40953.154639175256</v>
      </c>
      <c r="V699" s="17">
        <v>41151</v>
      </c>
      <c r="W699" s="19">
        <f t="shared" si="229"/>
        <v>-197.84536082474369</v>
      </c>
      <c r="X699" s="19">
        <f t="shared" si="230"/>
        <v>40953</v>
      </c>
      <c r="Y699" s="17">
        <v>40393</v>
      </c>
      <c r="Z699" s="17">
        <v>560</v>
      </c>
      <c r="AA699" s="19">
        <f t="shared" si="231"/>
        <v>-198</v>
      </c>
      <c r="AB699" s="17">
        <v>1324152</v>
      </c>
      <c r="AC699" s="27">
        <v>15.407</v>
      </c>
      <c r="AD699" s="27">
        <v>15.8895</v>
      </c>
      <c r="AE699" s="22">
        <f t="shared" si="232"/>
        <v>83335.03256867743</v>
      </c>
      <c r="AF699" s="23">
        <f t="shared" si="233"/>
        <v>0</v>
      </c>
      <c r="AG699" s="23">
        <f t="shared" si="234"/>
        <v>0</v>
      </c>
      <c r="AH699" s="17">
        <v>1371714.4877549999</v>
      </c>
      <c r="AI699" s="24">
        <f t="shared" si="235"/>
        <v>1.0359192054650825</v>
      </c>
      <c r="AJ699" s="25">
        <v>375566037.73584902</v>
      </c>
      <c r="AK699" s="24">
        <f t="shared" si="236"/>
        <v>2.4458802235232523E-2</v>
      </c>
      <c r="AL699" s="22">
        <f t="shared" si="237"/>
        <v>25166.836830824675</v>
      </c>
      <c r="AM699" s="22">
        <f t="shared" si="238"/>
        <v>83335.03256867743</v>
      </c>
      <c r="AN699" s="22">
        <f t="shared" si="239"/>
        <v>-58168.195737852759</v>
      </c>
      <c r="AO699" s="26" t="str">
        <f t="shared" si="240"/>
        <v/>
      </c>
      <c r="AP699" s="26" t="str">
        <f t="shared" si="241"/>
        <v>pre-launch</v>
      </c>
      <c r="AQ699" s="18"/>
      <c r="AR699" s="18"/>
    </row>
    <row r="700" spans="1:44" x14ac:dyDescent="0.25">
      <c r="A700" s="43">
        <v>45761</v>
      </c>
      <c r="B700" s="17">
        <v>6189611973.5299997</v>
      </c>
      <c r="C700" s="17">
        <v>0</v>
      </c>
      <c r="D700" s="17">
        <v>126974634</v>
      </c>
      <c r="E700" s="19">
        <f t="shared" si="220"/>
        <v>6189611973.5299997</v>
      </c>
      <c r="F700" s="19">
        <f t="shared" si="221"/>
        <v>6316586607.5299997</v>
      </c>
      <c r="G700" s="20">
        <f t="shared" si="222"/>
        <v>0</v>
      </c>
      <c r="H700" s="17">
        <v>1345964</v>
      </c>
      <c r="I700" s="17">
        <v>17486</v>
      </c>
      <c r="J700" s="17">
        <v>40691</v>
      </c>
      <c r="K700" s="19">
        <f t="shared" si="223"/>
        <v>1363450</v>
      </c>
      <c r="L700" s="18"/>
      <c r="M700" s="18"/>
      <c r="N700" s="18"/>
      <c r="O700" s="19">
        <f t="shared" si="224"/>
        <v>1345964</v>
      </c>
      <c r="P700" s="21">
        <f t="shared" si="225"/>
        <v>2.1745531153746667</v>
      </c>
      <c r="Q700" s="17">
        <v>1305585</v>
      </c>
      <c r="R700" s="17">
        <v>16961</v>
      </c>
      <c r="S700" s="19">
        <f t="shared" si="226"/>
        <v>1322546</v>
      </c>
      <c r="T700" s="20">
        <f t="shared" si="227"/>
        <v>0.03</v>
      </c>
      <c r="U700" s="19">
        <f t="shared" si="228"/>
        <v>40903.484536082469</v>
      </c>
      <c r="V700" s="17">
        <v>40691</v>
      </c>
      <c r="W700" s="19">
        <f t="shared" si="229"/>
        <v>212.48453608246928</v>
      </c>
      <c r="X700" s="19">
        <f t="shared" si="230"/>
        <v>40904</v>
      </c>
      <c r="Y700" s="17">
        <v>40379</v>
      </c>
      <c r="Z700" s="17">
        <v>525</v>
      </c>
      <c r="AA700" s="19">
        <f t="shared" si="231"/>
        <v>213</v>
      </c>
      <c r="AB700" s="17">
        <v>1322546</v>
      </c>
      <c r="AC700" s="27">
        <v>15.718999999999999</v>
      </c>
      <c r="AD700" s="27">
        <v>15.686249999999999</v>
      </c>
      <c r="AE700" s="22">
        <f t="shared" si="232"/>
        <v>84312.439238186314</v>
      </c>
      <c r="AF700" s="23">
        <f t="shared" si="233"/>
        <v>0</v>
      </c>
      <c r="AG700" s="23">
        <f t="shared" si="234"/>
        <v>0</v>
      </c>
      <c r="AH700" s="17">
        <v>1356370.6426939999</v>
      </c>
      <c r="AI700" s="24">
        <f t="shared" si="235"/>
        <v>1.0255753997925214</v>
      </c>
      <c r="AJ700" s="25">
        <v>376283018.86792499</v>
      </c>
      <c r="AK700" s="24">
        <f t="shared" si="236"/>
        <v>2.4435488850825735E-2</v>
      </c>
      <c r="AL700" s="22">
        <f t="shared" si="237"/>
        <v>25190.84797891022</v>
      </c>
      <c r="AM700" s="22">
        <f t="shared" si="238"/>
        <v>84312.439238186314</v>
      </c>
      <c r="AN700" s="22">
        <f t="shared" si="239"/>
        <v>-59121.591259276094</v>
      </c>
      <c r="AO700" s="26" t="str">
        <f t="shared" si="240"/>
        <v/>
      </c>
      <c r="AP700" s="26" t="str">
        <f t="shared" si="241"/>
        <v>pre-launch</v>
      </c>
      <c r="AQ700" s="18"/>
      <c r="AR700" s="18"/>
    </row>
    <row r="701" spans="1:44" x14ac:dyDescent="0.25">
      <c r="A701" s="43">
        <v>45762</v>
      </c>
      <c r="B701" s="17">
        <v>5704397495.46</v>
      </c>
      <c r="C701" s="17">
        <v>0</v>
      </c>
      <c r="D701" s="17">
        <v>120978471</v>
      </c>
      <c r="E701" s="19">
        <f t="shared" si="220"/>
        <v>5704397495.46</v>
      </c>
      <c r="F701" s="19">
        <f t="shared" si="221"/>
        <v>5825375966.46</v>
      </c>
      <c r="G701" s="20">
        <f t="shared" si="222"/>
        <v>0</v>
      </c>
      <c r="H701" s="17">
        <v>1220166</v>
      </c>
      <c r="I701" s="17">
        <v>16028</v>
      </c>
      <c r="J701" s="17">
        <v>37298</v>
      </c>
      <c r="K701" s="19">
        <f t="shared" si="223"/>
        <v>1236194</v>
      </c>
      <c r="L701" s="18"/>
      <c r="M701" s="18"/>
      <c r="N701" s="18"/>
      <c r="O701" s="19">
        <f t="shared" si="224"/>
        <v>1220166</v>
      </c>
      <c r="P701" s="21">
        <f t="shared" si="225"/>
        <v>2.1389918934841101</v>
      </c>
      <c r="Q701" s="17">
        <v>1183561</v>
      </c>
      <c r="R701" s="17">
        <v>15547</v>
      </c>
      <c r="S701" s="19">
        <f t="shared" si="226"/>
        <v>1199108</v>
      </c>
      <c r="T701" s="20">
        <f t="shared" si="227"/>
        <v>0.03</v>
      </c>
      <c r="U701" s="19">
        <f t="shared" si="228"/>
        <v>37085.81443298969</v>
      </c>
      <c r="V701" s="17">
        <v>37298</v>
      </c>
      <c r="W701" s="19">
        <f t="shared" si="229"/>
        <v>-212.18556701031048</v>
      </c>
      <c r="X701" s="19">
        <f t="shared" si="230"/>
        <v>37086</v>
      </c>
      <c r="Y701" s="17">
        <v>36605</v>
      </c>
      <c r="Z701" s="17">
        <v>481</v>
      </c>
      <c r="AA701" s="19">
        <f t="shared" si="231"/>
        <v>-212</v>
      </c>
      <c r="AB701" s="17">
        <v>1199108</v>
      </c>
      <c r="AC701" s="27">
        <v>15.042999999999999</v>
      </c>
      <c r="AD701" s="27">
        <v>15.594749999999999</v>
      </c>
      <c r="AE701" s="22">
        <f t="shared" si="232"/>
        <v>76891.774475384344</v>
      </c>
      <c r="AF701" s="23">
        <f t="shared" si="233"/>
        <v>0</v>
      </c>
      <c r="AG701" s="23">
        <f t="shared" si="234"/>
        <v>0</v>
      </c>
      <c r="AH701" s="17">
        <v>1243272.69848096</v>
      </c>
      <c r="AI701" s="24">
        <f t="shared" si="235"/>
        <v>1.0368312933288411</v>
      </c>
      <c r="AJ701" s="25">
        <v>377000000</v>
      </c>
      <c r="AK701" s="24">
        <f t="shared" si="236"/>
        <v>2.4412242004406264E-2</v>
      </c>
      <c r="AL701" s="22">
        <f t="shared" si="237"/>
        <v>25214.836262085377</v>
      </c>
      <c r="AM701" s="22">
        <f t="shared" si="238"/>
        <v>76891.774475384344</v>
      </c>
      <c r="AN701" s="22">
        <f t="shared" si="239"/>
        <v>-51676.93821329897</v>
      </c>
      <c r="AO701" s="26" t="str">
        <f t="shared" si="240"/>
        <v/>
      </c>
      <c r="AP701" s="26" t="str">
        <f t="shared" si="241"/>
        <v>pre-launch</v>
      </c>
      <c r="AQ701" s="18"/>
      <c r="AR701" s="18"/>
    </row>
    <row r="702" spans="1:44" x14ac:dyDescent="0.25">
      <c r="A702" s="43">
        <v>45763</v>
      </c>
      <c r="B702" s="17">
        <v>6826966423.2399998</v>
      </c>
      <c r="C702" s="17">
        <v>0</v>
      </c>
      <c r="D702" s="17">
        <v>155624952</v>
      </c>
      <c r="E702" s="19">
        <f t="shared" si="220"/>
        <v>6826966423.2399998</v>
      </c>
      <c r="F702" s="19">
        <f t="shared" si="221"/>
        <v>6982591375.2399998</v>
      </c>
      <c r="G702" s="20">
        <f t="shared" si="222"/>
        <v>0</v>
      </c>
      <c r="H702" s="17">
        <v>1484523</v>
      </c>
      <c r="I702" s="17">
        <v>21088</v>
      </c>
      <c r="J702" s="17">
        <v>44757</v>
      </c>
      <c r="K702" s="19">
        <f t="shared" si="223"/>
        <v>1505611</v>
      </c>
      <c r="L702" s="18"/>
      <c r="M702" s="18"/>
      <c r="N702" s="18"/>
      <c r="O702" s="19">
        <f t="shared" si="224"/>
        <v>1484523</v>
      </c>
      <c r="P702" s="21">
        <f t="shared" si="225"/>
        <v>2.1744987567925702</v>
      </c>
      <c r="Q702" s="17">
        <v>1439988</v>
      </c>
      <c r="R702" s="17">
        <v>20456</v>
      </c>
      <c r="S702" s="19">
        <f t="shared" si="226"/>
        <v>1460444</v>
      </c>
      <c r="T702" s="20">
        <f t="shared" si="227"/>
        <v>0.03</v>
      </c>
      <c r="U702" s="19">
        <f t="shared" si="228"/>
        <v>45168.371134020621</v>
      </c>
      <c r="V702" s="17">
        <v>44757</v>
      </c>
      <c r="W702" s="19">
        <f t="shared" si="229"/>
        <v>411.37113402062096</v>
      </c>
      <c r="X702" s="19">
        <f t="shared" si="230"/>
        <v>45169</v>
      </c>
      <c r="Y702" s="17">
        <v>44536</v>
      </c>
      <c r="Z702" s="17">
        <v>633</v>
      </c>
      <c r="AA702" s="19">
        <f t="shared" si="231"/>
        <v>412</v>
      </c>
      <c r="AB702" s="17">
        <v>1460444</v>
      </c>
      <c r="AC702" s="27">
        <v>15.759</v>
      </c>
      <c r="AD702" s="27">
        <v>15.43</v>
      </c>
      <c r="AE702" s="22">
        <f t="shared" si="232"/>
        <v>94649.643551523011</v>
      </c>
      <c r="AF702" s="23">
        <f t="shared" si="233"/>
        <v>-2</v>
      </c>
      <c r="AG702" s="23">
        <f t="shared" si="234"/>
        <v>0</v>
      </c>
      <c r="AH702" s="17">
        <v>1491909.01874602</v>
      </c>
      <c r="AI702" s="24">
        <f t="shared" si="235"/>
        <v>1.0215448307131394</v>
      </c>
      <c r="AJ702" s="25">
        <v>377136612.02185798</v>
      </c>
      <c r="AK702" s="24">
        <f t="shared" si="236"/>
        <v>2.4407820121591758E-2</v>
      </c>
      <c r="AL702" s="22">
        <f t="shared" si="237"/>
        <v>25219.404349304245</v>
      </c>
      <c r="AM702" s="22">
        <f t="shared" si="238"/>
        <v>94649.643551523011</v>
      </c>
      <c r="AN702" s="22">
        <f t="shared" si="239"/>
        <v>-69430.239202218771</v>
      </c>
      <c r="AO702" s="26" t="str">
        <f t="shared" si="240"/>
        <v/>
      </c>
      <c r="AP702" s="26" t="str">
        <f t="shared" si="241"/>
        <v>pre-launch</v>
      </c>
      <c r="AQ702" s="18"/>
      <c r="AR702" s="18"/>
    </row>
    <row r="703" spans="1:44" x14ac:dyDescent="0.25">
      <c r="A703" s="43">
        <v>45764</v>
      </c>
      <c r="B703" s="17">
        <v>4931816793.5100002</v>
      </c>
      <c r="C703" s="17">
        <v>0</v>
      </c>
      <c r="D703" s="17">
        <v>171271416</v>
      </c>
      <c r="E703" s="19">
        <f t="shared" si="220"/>
        <v>4931816793.5100002</v>
      </c>
      <c r="F703" s="19">
        <f t="shared" si="221"/>
        <v>5103088209.5100002</v>
      </c>
      <c r="G703" s="20">
        <f t="shared" si="222"/>
        <v>0</v>
      </c>
      <c r="H703" s="17">
        <v>1049568</v>
      </c>
      <c r="I703" s="17">
        <v>20603</v>
      </c>
      <c r="J703" s="17">
        <v>32413</v>
      </c>
      <c r="K703" s="19">
        <f t="shared" si="223"/>
        <v>1070171</v>
      </c>
      <c r="L703" s="18"/>
      <c r="M703" s="18"/>
      <c r="N703" s="18"/>
      <c r="O703" s="19">
        <f t="shared" si="224"/>
        <v>1049568</v>
      </c>
      <c r="P703" s="21">
        <f t="shared" si="225"/>
        <v>2.1281569124408142</v>
      </c>
      <c r="Q703" s="17">
        <v>1018081</v>
      </c>
      <c r="R703" s="17">
        <v>19985</v>
      </c>
      <c r="S703" s="19">
        <f t="shared" si="226"/>
        <v>1038066</v>
      </c>
      <c r="T703" s="20">
        <f t="shared" si="227"/>
        <v>0.03</v>
      </c>
      <c r="U703" s="19">
        <f t="shared" si="228"/>
        <v>32105.134020618556</v>
      </c>
      <c r="V703" s="17">
        <v>32413</v>
      </c>
      <c r="W703" s="19">
        <f t="shared" si="229"/>
        <v>-307.86597938144405</v>
      </c>
      <c r="X703" s="19">
        <f t="shared" si="230"/>
        <v>32105</v>
      </c>
      <c r="Y703" s="17">
        <v>31487</v>
      </c>
      <c r="Z703" s="17">
        <v>618</v>
      </c>
      <c r="AA703" s="19">
        <f t="shared" si="231"/>
        <v>-308</v>
      </c>
      <c r="AB703" s="17">
        <v>1038066</v>
      </c>
      <c r="AC703" s="27">
        <v>17.145</v>
      </c>
      <c r="AD703" s="27">
        <v>16.399249999999999</v>
      </c>
      <c r="AE703" s="22">
        <f t="shared" si="232"/>
        <v>63299.602115950431</v>
      </c>
      <c r="AF703" s="23">
        <f t="shared" si="233"/>
        <v>0</v>
      </c>
      <c r="AG703" s="23">
        <f t="shared" si="234"/>
        <v>0</v>
      </c>
      <c r="AH703" s="17">
        <v>1080430.70624101</v>
      </c>
      <c r="AI703" s="24">
        <f t="shared" si="235"/>
        <v>1.0408111875747881</v>
      </c>
      <c r="AJ703" s="25">
        <v>377273224.04371601</v>
      </c>
      <c r="AK703" s="24">
        <f t="shared" si="236"/>
        <v>2.4403400640764766E-2</v>
      </c>
      <c r="AL703" s="22">
        <f t="shared" si="237"/>
        <v>25223.971609237829</v>
      </c>
      <c r="AM703" s="22">
        <f t="shared" si="238"/>
        <v>63299.602115950431</v>
      </c>
      <c r="AN703" s="22">
        <f t="shared" si="239"/>
        <v>-38075.630506712601</v>
      </c>
      <c r="AO703" s="26" t="str">
        <f t="shared" si="240"/>
        <v/>
      </c>
      <c r="AP703" s="26" t="str">
        <f t="shared" si="241"/>
        <v>pre-launch</v>
      </c>
      <c r="AQ703" s="18"/>
      <c r="AR703" s="18"/>
    </row>
    <row r="704" spans="1:44" x14ac:dyDescent="0.25">
      <c r="A704" s="43">
        <v>45765</v>
      </c>
      <c r="B704" s="17">
        <v>2170024470.5</v>
      </c>
      <c r="C704" s="17">
        <v>0</v>
      </c>
      <c r="D704" s="17">
        <v>94799665</v>
      </c>
      <c r="E704" s="19">
        <f t="shared" si="220"/>
        <v>2170024470.5</v>
      </c>
      <c r="F704" s="19">
        <f t="shared" si="221"/>
        <v>2264824135.5</v>
      </c>
      <c r="G704" s="20">
        <f t="shared" si="222"/>
        <v>0</v>
      </c>
      <c r="H704" s="17">
        <v>499725</v>
      </c>
      <c r="I704" s="17">
        <v>12428</v>
      </c>
      <c r="J704" s="17">
        <v>15468</v>
      </c>
      <c r="K704" s="19">
        <f t="shared" si="223"/>
        <v>512153</v>
      </c>
      <c r="L704" s="18"/>
      <c r="M704" s="18"/>
      <c r="N704" s="18"/>
      <c r="O704" s="19">
        <f t="shared" si="224"/>
        <v>499725</v>
      </c>
      <c r="P704" s="21">
        <f t="shared" si="225"/>
        <v>2.3028542156709291</v>
      </c>
      <c r="Q704" s="17">
        <v>484733</v>
      </c>
      <c r="R704" s="17">
        <v>12055</v>
      </c>
      <c r="S704" s="19">
        <f t="shared" si="226"/>
        <v>496788</v>
      </c>
      <c r="T704" s="20">
        <f t="shared" si="227"/>
        <v>0.03</v>
      </c>
      <c r="U704" s="19">
        <f t="shared" si="228"/>
        <v>15364.577319587628</v>
      </c>
      <c r="V704" s="17">
        <v>15468</v>
      </c>
      <c r="W704" s="19">
        <f t="shared" si="229"/>
        <v>-103.42268041237185</v>
      </c>
      <c r="X704" s="19">
        <f t="shared" si="230"/>
        <v>15365</v>
      </c>
      <c r="Y704" s="17">
        <v>14992</v>
      </c>
      <c r="Z704" s="17">
        <v>373</v>
      </c>
      <c r="AA704" s="19">
        <f t="shared" si="231"/>
        <v>-103</v>
      </c>
      <c r="AB704" s="17">
        <v>496788</v>
      </c>
      <c r="AC704" s="27">
        <v>17.064</v>
      </c>
      <c r="AD704" s="27">
        <v>16.994250000000001</v>
      </c>
      <c r="AE704" s="22">
        <f t="shared" si="232"/>
        <v>29232.711064036364</v>
      </c>
      <c r="AF704" s="23">
        <f t="shared" si="233"/>
        <v>0</v>
      </c>
      <c r="AG704" s="23">
        <f t="shared" si="234"/>
        <v>0</v>
      </c>
      <c r="AH704" s="17">
        <v>515595.18807297997</v>
      </c>
      <c r="AI704" s="24">
        <f t="shared" si="235"/>
        <v>1.0378575731961721</v>
      </c>
      <c r="AJ704" s="25">
        <v>377409836.06557399</v>
      </c>
      <c r="AK704" s="24">
        <f t="shared" si="236"/>
        <v>2.4398983559751463E-2</v>
      </c>
      <c r="AL704" s="22">
        <f t="shared" si="237"/>
        <v>25228.538042335436</v>
      </c>
      <c r="AM704" s="22">
        <f t="shared" si="238"/>
        <v>29232.711064036364</v>
      </c>
      <c r="AN704" s="22">
        <f t="shared" si="239"/>
        <v>-4004.1730217009281</v>
      </c>
      <c r="AO704" s="26" t="str">
        <f t="shared" si="240"/>
        <v/>
      </c>
      <c r="AP704" s="26" t="str">
        <f t="shared" si="241"/>
        <v>pre-launch</v>
      </c>
      <c r="AQ704" s="18"/>
      <c r="AR704" s="18"/>
    </row>
    <row r="705" spans="1:44" x14ac:dyDescent="0.25">
      <c r="A705" s="43">
        <v>45766</v>
      </c>
      <c r="B705" s="17">
        <v>2477853939.3699999</v>
      </c>
      <c r="C705" s="17">
        <v>0</v>
      </c>
      <c r="D705" s="17">
        <v>93687537</v>
      </c>
      <c r="E705" s="19">
        <f t="shared" si="220"/>
        <v>2477853939.3699999</v>
      </c>
      <c r="F705" s="19">
        <f t="shared" si="221"/>
        <v>2571541476.3699999</v>
      </c>
      <c r="G705" s="20">
        <f t="shared" si="222"/>
        <v>0</v>
      </c>
      <c r="H705" s="17">
        <v>566871</v>
      </c>
      <c r="I705" s="17">
        <v>12659</v>
      </c>
      <c r="J705" s="17">
        <v>17386</v>
      </c>
      <c r="K705" s="19">
        <f t="shared" si="223"/>
        <v>579530</v>
      </c>
      <c r="L705" s="18"/>
      <c r="M705" s="18"/>
      <c r="N705" s="18"/>
      <c r="O705" s="19">
        <f t="shared" si="224"/>
        <v>566871</v>
      </c>
      <c r="P705" s="21">
        <f t="shared" si="225"/>
        <v>2.2877498588319871</v>
      </c>
      <c r="Q705" s="17">
        <v>549865</v>
      </c>
      <c r="R705" s="17">
        <v>12279</v>
      </c>
      <c r="S705" s="19">
        <f t="shared" si="226"/>
        <v>562144</v>
      </c>
      <c r="T705" s="20">
        <f t="shared" si="227"/>
        <v>0.03</v>
      </c>
      <c r="U705" s="19">
        <f t="shared" si="228"/>
        <v>17385.896907216495</v>
      </c>
      <c r="V705" s="17">
        <v>17386</v>
      </c>
      <c r="W705" s="19">
        <f t="shared" si="229"/>
        <v>-0.10309278350541717</v>
      </c>
      <c r="X705" s="19">
        <f t="shared" si="230"/>
        <v>17386</v>
      </c>
      <c r="Y705" s="17">
        <v>17006</v>
      </c>
      <c r="Z705" s="17">
        <v>380</v>
      </c>
      <c r="AA705" s="19">
        <f t="shared" si="231"/>
        <v>0</v>
      </c>
      <c r="AB705" s="17">
        <v>562144</v>
      </c>
      <c r="AC705" s="27">
        <v>18.07</v>
      </c>
      <c r="AD705" s="27">
        <v>17.518000000000001</v>
      </c>
      <c r="AE705" s="22">
        <f t="shared" si="232"/>
        <v>32089.507934695739</v>
      </c>
      <c r="AF705" s="23">
        <f t="shared" si="233"/>
        <v>0</v>
      </c>
      <c r="AG705" s="23">
        <f t="shared" si="234"/>
        <v>0</v>
      </c>
      <c r="AH705" s="17">
        <v>579530.25285100902</v>
      </c>
      <c r="AI705" s="24">
        <f t="shared" si="235"/>
        <v>1.0309284682412496</v>
      </c>
      <c r="AJ705" s="25">
        <v>377546448.08743203</v>
      </c>
      <c r="AK705" s="24">
        <f t="shared" si="236"/>
        <v>2.4394568876380772E-2</v>
      </c>
      <c r="AL705" s="22">
        <f t="shared" si="237"/>
        <v>25233.103649045966</v>
      </c>
      <c r="AM705" s="22">
        <f t="shared" si="238"/>
        <v>32089.507934695739</v>
      </c>
      <c r="AN705" s="22">
        <f t="shared" si="239"/>
        <v>-6856.4042856497726</v>
      </c>
      <c r="AO705" s="26" t="str">
        <f t="shared" si="240"/>
        <v/>
      </c>
      <c r="AP705" s="26" t="str">
        <f t="shared" si="241"/>
        <v>pre-launch</v>
      </c>
      <c r="AQ705" s="18"/>
      <c r="AR705" s="18"/>
    </row>
    <row r="706" spans="1:44" x14ac:dyDescent="0.25">
      <c r="A706" s="43">
        <v>45767</v>
      </c>
      <c r="B706" s="17">
        <v>2831191375.8600001</v>
      </c>
      <c r="C706" s="17">
        <v>0</v>
      </c>
      <c r="D706" s="17">
        <v>92510970</v>
      </c>
      <c r="E706" s="19">
        <f t="shared" si="220"/>
        <v>2831191375.8600001</v>
      </c>
      <c r="F706" s="19">
        <f t="shared" si="221"/>
        <v>2923702345.8600001</v>
      </c>
      <c r="G706" s="20">
        <f t="shared" si="222"/>
        <v>0</v>
      </c>
      <c r="H706" s="17">
        <v>651793</v>
      </c>
      <c r="I706" s="17">
        <v>10920</v>
      </c>
      <c r="J706" s="17">
        <v>19736</v>
      </c>
      <c r="K706" s="19">
        <f t="shared" si="223"/>
        <v>662713</v>
      </c>
      <c r="L706" s="18"/>
      <c r="M706" s="18"/>
      <c r="N706" s="18"/>
      <c r="O706" s="19">
        <f t="shared" si="224"/>
        <v>651793</v>
      </c>
      <c r="P706" s="21">
        <f t="shared" si="225"/>
        <v>2.3021863006417642</v>
      </c>
      <c r="Q706" s="17">
        <v>632239</v>
      </c>
      <c r="R706" s="17">
        <v>10592</v>
      </c>
      <c r="S706" s="19">
        <f t="shared" si="226"/>
        <v>642831</v>
      </c>
      <c r="T706" s="20">
        <f t="shared" si="227"/>
        <v>0.03</v>
      </c>
      <c r="U706" s="19">
        <f t="shared" si="228"/>
        <v>19881.371134020621</v>
      </c>
      <c r="V706" s="17">
        <v>19736</v>
      </c>
      <c r="W706" s="19">
        <f t="shared" si="229"/>
        <v>145.37113402062096</v>
      </c>
      <c r="X706" s="19">
        <f t="shared" si="230"/>
        <v>19882</v>
      </c>
      <c r="Y706" s="17">
        <v>19554</v>
      </c>
      <c r="Z706" s="17">
        <v>328</v>
      </c>
      <c r="AA706" s="19">
        <f t="shared" si="231"/>
        <v>146</v>
      </c>
      <c r="AB706" s="17">
        <v>642831</v>
      </c>
      <c r="AC706" s="27">
        <v>17.574999999999999</v>
      </c>
      <c r="AD706" s="27">
        <v>17.53725</v>
      </c>
      <c r="AE706" s="22">
        <f t="shared" si="232"/>
        <v>36655.176837873667</v>
      </c>
      <c r="AF706" s="23">
        <f t="shared" si="233"/>
        <v>0</v>
      </c>
      <c r="AG706" s="23">
        <f t="shared" si="234"/>
        <v>0</v>
      </c>
      <c r="AH706" s="17">
        <v>657878.84277498699</v>
      </c>
      <c r="AI706" s="24">
        <f t="shared" si="235"/>
        <v>1.0234087073818576</v>
      </c>
      <c r="AJ706" s="25">
        <v>377683060.10929</v>
      </c>
      <c r="AK706" s="24">
        <f t="shared" si="236"/>
        <v>2.4390156588484358E-2</v>
      </c>
      <c r="AL706" s="22">
        <f t="shared" si="237"/>
        <v>25237.668429817903</v>
      </c>
      <c r="AM706" s="22">
        <f t="shared" si="238"/>
        <v>36655.176837873667</v>
      </c>
      <c r="AN706" s="22">
        <f t="shared" si="239"/>
        <v>-11417.508408055764</v>
      </c>
      <c r="AO706" s="26" t="str">
        <f t="shared" si="240"/>
        <v/>
      </c>
      <c r="AP706" s="26" t="str">
        <f t="shared" si="241"/>
        <v>pre-launch</v>
      </c>
      <c r="AQ706" s="18"/>
      <c r="AR706" s="18"/>
    </row>
    <row r="707" spans="1:44" x14ac:dyDescent="0.25">
      <c r="A707" s="43">
        <v>45768</v>
      </c>
      <c r="B707" s="17">
        <v>6514487934.8000002</v>
      </c>
      <c r="C707" s="17">
        <v>0</v>
      </c>
      <c r="D707" s="17">
        <v>153905343</v>
      </c>
      <c r="E707" s="19">
        <f t="shared" si="220"/>
        <v>6514487934.8000002</v>
      </c>
      <c r="F707" s="19">
        <f t="shared" si="221"/>
        <v>6668393277.8000002</v>
      </c>
      <c r="G707" s="20">
        <f t="shared" si="222"/>
        <v>0</v>
      </c>
      <c r="H707" s="17">
        <v>1447172</v>
      </c>
      <c r="I707" s="17">
        <v>20816</v>
      </c>
      <c r="J707" s="17">
        <v>44185</v>
      </c>
      <c r="K707" s="19">
        <f t="shared" si="223"/>
        <v>1467988</v>
      </c>
      <c r="L707" s="18"/>
      <c r="M707" s="18"/>
      <c r="N707" s="18"/>
      <c r="O707" s="19">
        <f t="shared" si="224"/>
        <v>1447172</v>
      </c>
      <c r="P707" s="21">
        <f t="shared" si="225"/>
        <v>2.2214670047499738</v>
      </c>
      <c r="Q707" s="17">
        <v>1403757</v>
      </c>
      <c r="R707" s="17">
        <v>20191</v>
      </c>
      <c r="S707" s="19">
        <f t="shared" si="226"/>
        <v>1423948</v>
      </c>
      <c r="T707" s="20">
        <f t="shared" si="227"/>
        <v>0.03</v>
      </c>
      <c r="U707" s="19">
        <f t="shared" si="228"/>
        <v>44039.628865979379</v>
      </c>
      <c r="V707" s="17">
        <v>44185</v>
      </c>
      <c r="W707" s="19">
        <f t="shared" si="229"/>
        <v>-145.37113402062096</v>
      </c>
      <c r="X707" s="19">
        <f t="shared" si="230"/>
        <v>44039</v>
      </c>
      <c r="Y707" s="17">
        <v>43415</v>
      </c>
      <c r="Z707" s="17">
        <v>624</v>
      </c>
      <c r="AA707" s="19">
        <f t="shared" si="231"/>
        <v>-146</v>
      </c>
      <c r="AB707" s="17">
        <v>1423948</v>
      </c>
      <c r="AC707" s="27">
        <v>18.193999999999999</v>
      </c>
      <c r="AD707" s="27">
        <v>17.851749999999999</v>
      </c>
      <c r="AE707" s="22">
        <f t="shared" si="232"/>
        <v>79765.177083479211</v>
      </c>
      <c r="AF707" s="23">
        <f t="shared" si="233"/>
        <v>1</v>
      </c>
      <c r="AG707" s="23">
        <f t="shared" si="234"/>
        <v>0</v>
      </c>
      <c r="AH707" s="17">
        <v>1472821.4266580299</v>
      </c>
      <c r="AI707" s="24">
        <f t="shared" si="235"/>
        <v>1.0343224799346815</v>
      </c>
      <c r="AJ707" s="25">
        <v>377819672.13114798</v>
      </c>
      <c r="AK707" s="24">
        <f t="shared" si="236"/>
        <v>2.4385746693896645E-2</v>
      </c>
      <c r="AL707" s="22">
        <f t="shared" si="237"/>
        <v>25242.232385099331</v>
      </c>
      <c r="AM707" s="22">
        <f t="shared" si="238"/>
        <v>79765.177083479211</v>
      </c>
      <c r="AN707" s="22">
        <f t="shared" si="239"/>
        <v>-54522.944698379884</v>
      </c>
      <c r="AO707" s="26" t="str">
        <f t="shared" si="240"/>
        <v/>
      </c>
      <c r="AP707" s="26" t="str">
        <f t="shared" si="241"/>
        <v>pre-launch</v>
      </c>
      <c r="AQ707" s="18"/>
      <c r="AR707" s="18"/>
    </row>
    <row r="708" spans="1:44" x14ac:dyDescent="0.25">
      <c r="A708" s="43">
        <v>45769</v>
      </c>
      <c r="B708" s="17">
        <v>9749391466.0200005</v>
      </c>
      <c r="C708" s="17">
        <v>0</v>
      </c>
      <c r="D708" s="17">
        <v>167698100</v>
      </c>
      <c r="E708" s="19">
        <f t="shared" si="220"/>
        <v>9749391466.0200005</v>
      </c>
      <c r="F708" s="19">
        <f t="shared" si="221"/>
        <v>9917089566.0200005</v>
      </c>
      <c r="G708" s="20">
        <f t="shared" si="222"/>
        <v>0</v>
      </c>
      <c r="H708" s="17">
        <v>2191340</v>
      </c>
      <c r="I708" s="17">
        <v>20644</v>
      </c>
      <c r="J708" s="17">
        <v>65897</v>
      </c>
      <c r="K708" s="19">
        <f t="shared" si="223"/>
        <v>2211984</v>
      </c>
      <c r="L708" s="18"/>
      <c r="M708" s="18"/>
      <c r="N708" s="18"/>
      <c r="O708" s="19">
        <f t="shared" si="224"/>
        <v>2191340</v>
      </c>
      <c r="P708" s="21">
        <f t="shared" si="225"/>
        <v>2.247668490528437</v>
      </c>
      <c r="Q708" s="17">
        <v>2125599</v>
      </c>
      <c r="R708" s="17">
        <v>20024</v>
      </c>
      <c r="S708" s="19">
        <f t="shared" si="226"/>
        <v>2145623</v>
      </c>
      <c r="T708" s="20">
        <f t="shared" si="227"/>
        <v>0.03</v>
      </c>
      <c r="U708" s="19">
        <f t="shared" si="228"/>
        <v>66359.474226804115</v>
      </c>
      <c r="V708" s="17">
        <v>65897</v>
      </c>
      <c r="W708" s="19">
        <f t="shared" si="229"/>
        <v>462.47422680411546</v>
      </c>
      <c r="X708" s="19">
        <f t="shared" si="230"/>
        <v>66359</v>
      </c>
      <c r="Y708" s="17">
        <v>65740</v>
      </c>
      <c r="Z708" s="17">
        <v>619</v>
      </c>
      <c r="AA708" s="19">
        <f t="shared" si="231"/>
        <v>462</v>
      </c>
      <c r="AB708" s="17">
        <v>2145623</v>
      </c>
      <c r="AC708" s="27">
        <v>19.169</v>
      </c>
      <c r="AD708" s="27">
        <v>18.602250000000002</v>
      </c>
      <c r="AE708" s="22">
        <f t="shared" si="232"/>
        <v>115342.12259269711</v>
      </c>
      <c r="AF708" s="23">
        <f t="shared" si="233"/>
        <v>2</v>
      </c>
      <c r="AG708" s="23">
        <f t="shared" si="234"/>
        <v>0</v>
      </c>
      <c r="AH708" s="17">
        <v>2196561.4552670098</v>
      </c>
      <c r="AI708" s="24">
        <f t="shared" si="235"/>
        <v>1.0237406362939854</v>
      </c>
      <c r="AJ708" s="25">
        <v>377956284.15300602</v>
      </c>
      <c r="AK708" s="24">
        <f t="shared" si="236"/>
        <v>2.4381339190454779E-2</v>
      </c>
      <c r="AL708" s="22">
        <f t="shared" si="237"/>
        <v>25246.795515337937</v>
      </c>
      <c r="AM708" s="22">
        <f t="shared" si="238"/>
        <v>115342.12259269711</v>
      </c>
      <c r="AN708" s="22">
        <f t="shared" si="239"/>
        <v>-90095.327077359165</v>
      </c>
      <c r="AO708" s="26" t="str">
        <f t="shared" si="240"/>
        <v/>
      </c>
      <c r="AP708" s="26" t="str">
        <f t="shared" si="241"/>
        <v>pre-launch</v>
      </c>
      <c r="AQ708" s="18"/>
      <c r="AR708" s="18"/>
    </row>
    <row r="709" spans="1:44" x14ac:dyDescent="0.25">
      <c r="A709" s="43">
        <v>45770</v>
      </c>
      <c r="B709" s="17">
        <v>8586739199.5600004</v>
      </c>
      <c r="C709" s="17">
        <v>0</v>
      </c>
      <c r="D709" s="17">
        <v>169388947</v>
      </c>
      <c r="E709" s="19">
        <f t="shared" ref="E709:E772" si="242">B709+C709</f>
        <v>8586739199.5600004</v>
      </c>
      <c r="F709" s="19">
        <f t="shared" ref="F709:F772" si="243">E709+D709</f>
        <v>8756128146.5600014</v>
      </c>
      <c r="G709" s="20">
        <f t="shared" ref="G709:G772" si="244">IFERROR(C709/E709,0)</f>
        <v>0</v>
      </c>
      <c r="H709" s="17">
        <v>1944575</v>
      </c>
      <c r="I709" s="17">
        <v>24465</v>
      </c>
      <c r="J709" s="17">
        <v>59534</v>
      </c>
      <c r="K709" s="19">
        <f t="shared" ref="K709:K772" si="245">H709+I709</f>
        <v>1969040</v>
      </c>
      <c r="L709" s="18"/>
      <c r="M709" s="18"/>
      <c r="N709" s="18"/>
      <c r="O709" s="19">
        <f t="shared" ref="O709:O772" si="246">IF(H709=0,0,H709-L709)</f>
        <v>1944575</v>
      </c>
      <c r="P709" s="21">
        <f t="shared" ref="P709:P772" si="247">IF(B709=0,0,O709/B709*10000)</f>
        <v>2.2646256684954906</v>
      </c>
      <c r="Q709" s="17">
        <v>1886238</v>
      </c>
      <c r="R709" s="17">
        <v>23731</v>
      </c>
      <c r="S709" s="19">
        <f t="shared" ref="S709:S772" si="248">Q709+R709</f>
        <v>1909969</v>
      </c>
      <c r="T709" s="20">
        <f t="shared" ref="T709:T772" si="249">IF(A709&lt;HlpChangeDate,HlpSharePre,HlpSharePost)</f>
        <v>0.03</v>
      </c>
      <c r="U709" s="19">
        <f t="shared" ref="U709:U772" si="250">S709*T709/(1-T709)</f>
        <v>59071.206185567011</v>
      </c>
      <c r="V709" s="17">
        <v>59534</v>
      </c>
      <c r="W709" s="19">
        <f t="shared" ref="W709:W772" si="251">U709-V709</f>
        <v>-462.79381443298917</v>
      </c>
      <c r="X709" s="19">
        <f t="shared" ref="X709:X772" si="252">Y709+Z709</f>
        <v>59071</v>
      </c>
      <c r="Y709" s="17">
        <v>58337</v>
      </c>
      <c r="Z709" s="17">
        <v>734</v>
      </c>
      <c r="AA709" s="19">
        <f t="shared" ref="AA709:AA772" si="253">X709-V709</f>
        <v>-463</v>
      </c>
      <c r="AB709" s="17">
        <v>1909969</v>
      </c>
      <c r="AC709" s="27">
        <v>18.457000000000001</v>
      </c>
      <c r="AD709" s="27">
        <v>18.72775</v>
      </c>
      <c r="AE709" s="22">
        <f t="shared" ref="AE709:AE772" si="254">IFERROR(AB709/AD709,0)</f>
        <v>101986.03676362617</v>
      </c>
      <c r="AF709" s="23">
        <f t="shared" ref="AF709:AF772" si="255">K709-S709-X709</f>
        <v>0</v>
      </c>
      <c r="AG709" s="23">
        <f t="shared" ref="AG709:AG772" si="256">S709-AB709</f>
        <v>0</v>
      </c>
      <c r="AH709" s="17">
        <v>1984462.2070210001</v>
      </c>
      <c r="AI709" s="24">
        <f t="shared" ref="AI709:AI772" si="257">IFERROR(AH709/S709,0)</f>
        <v>1.0390023120904057</v>
      </c>
      <c r="AJ709" s="25">
        <v>378092896.17486298</v>
      </c>
      <c r="AK709" s="24">
        <f t="shared" ref="AK709:AK772" si="258">IF(AJ709&gt;0,AprCoef/SQRT(AJ709),0)</f>
        <v>2.4376934075998689E-2</v>
      </c>
      <c r="AL709" s="22">
        <f t="shared" ref="AL709:AL772" si="259">AJ709*AK709/365</f>
        <v>25251.357820980964</v>
      </c>
      <c r="AM709" s="22">
        <f t="shared" ref="AM709:AM772" si="260">AE709</f>
        <v>101986.03676362617</v>
      </c>
      <c r="AN709" s="22">
        <f t="shared" ref="AN709:AN772" si="261">AL709-AM709</f>
        <v>-76734.678942645201</v>
      </c>
      <c r="AO709" s="26" t="str">
        <f t="shared" ref="AO709:AO772" si="262">IF(A709&gt;=Hip3LaunchDate,"YES","")</f>
        <v/>
      </c>
      <c r="AP709" s="26" t="str">
        <f t="shared" ref="AP709:AP772" si="263">IF(A709&lt;Hip4LaunchDate,"pre-launch","live (zero-fee)")</f>
        <v>pre-launch</v>
      </c>
      <c r="AQ709" s="18"/>
      <c r="AR709" s="18"/>
    </row>
    <row r="710" spans="1:44" x14ac:dyDescent="0.25">
      <c r="A710" s="43">
        <v>45771</v>
      </c>
      <c r="B710" s="17">
        <v>5758061914.1099997</v>
      </c>
      <c r="C710" s="17">
        <v>0</v>
      </c>
      <c r="D710" s="17">
        <v>117675576</v>
      </c>
      <c r="E710" s="19">
        <f t="shared" si="242"/>
        <v>5758061914.1099997</v>
      </c>
      <c r="F710" s="19">
        <f t="shared" si="243"/>
        <v>5875737490.1099997</v>
      </c>
      <c r="G710" s="20">
        <f t="shared" si="244"/>
        <v>0</v>
      </c>
      <c r="H710" s="17">
        <v>1313444</v>
      </c>
      <c r="I710" s="17">
        <v>15562</v>
      </c>
      <c r="J710" s="17">
        <v>39870</v>
      </c>
      <c r="K710" s="19">
        <f t="shared" si="245"/>
        <v>1329006</v>
      </c>
      <c r="L710" s="18"/>
      <c r="M710" s="18"/>
      <c r="N710" s="18"/>
      <c r="O710" s="19">
        <f t="shared" si="246"/>
        <v>1313444</v>
      </c>
      <c r="P710" s="21">
        <f t="shared" si="247"/>
        <v>2.281052235269363</v>
      </c>
      <c r="Q710" s="17">
        <v>1274041</v>
      </c>
      <c r="R710" s="17">
        <v>15095</v>
      </c>
      <c r="S710" s="19">
        <f t="shared" si="248"/>
        <v>1289136</v>
      </c>
      <c r="T710" s="20">
        <f t="shared" si="249"/>
        <v>0.03</v>
      </c>
      <c r="U710" s="19">
        <f t="shared" si="250"/>
        <v>39870.18556701031</v>
      </c>
      <c r="V710" s="17">
        <v>39870</v>
      </c>
      <c r="W710" s="19">
        <f t="shared" si="251"/>
        <v>0.18556701031047851</v>
      </c>
      <c r="X710" s="19">
        <f t="shared" si="252"/>
        <v>39870</v>
      </c>
      <c r="Y710" s="17">
        <v>39403</v>
      </c>
      <c r="Z710" s="17">
        <v>467</v>
      </c>
      <c r="AA710" s="19">
        <f t="shared" si="253"/>
        <v>0</v>
      </c>
      <c r="AB710" s="17">
        <v>1289136</v>
      </c>
      <c r="AC710" s="27">
        <v>18.760999999999999</v>
      </c>
      <c r="AD710" s="27">
        <v>18.488</v>
      </c>
      <c r="AE710" s="22">
        <f t="shared" si="254"/>
        <v>69728.256166161838</v>
      </c>
      <c r="AF710" s="23">
        <f t="shared" si="255"/>
        <v>0</v>
      </c>
      <c r="AG710" s="23">
        <f t="shared" si="256"/>
        <v>0</v>
      </c>
      <c r="AH710" s="17">
        <v>1329006.4499029501</v>
      </c>
      <c r="AI710" s="24">
        <f t="shared" si="257"/>
        <v>1.0309280401004628</v>
      </c>
      <c r="AJ710" s="25">
        <v>378229508.19672102</v>
      </c>
      <c r="AK710" s="24">
        <f t="shared" si="258"/>
        <v>2.4372531348370929E-2</v>
      </c>
      <c r="AL710" s="22">
        <f t="shared" si="259"/>
        <v>25255.919302475351</v>
      </c>
      <c r="AM710" s="22">
        <f t="shared" si="260"/>
        <v>69728.256166161838</v>
      </c>
      <c r="AN710" s="22">
        <f t="shared" si="261"/>
        <v>-44472.336863686491</v>
      </c>
      <c r="AO710" s="26" t="str">
        <f t="shared" si="262"/>
        <v/>
      </c>
      <c r="AP710" s="26" t="str">
        <f t="shared" si="263"/>
        <v>pre-launch</v>
      </c>
      <c r="AQ710" s="18"/>
      <c r="AR710" s="18"/>
    </row>
    <row r="711" spans="1:44" x14ac:dyDescent="0.25">
      <c r="A711" s="43">
        <v>45772</v>
      </c>
      <c r="B711" s="17">
        <v>7060976063.8000002</v>
      </c>
      <c r="C711" s="17">
        <v>0</v>
      </c>
      <c r="D711" s="17">
        <v>114067436</v>
      </c>
      <c r="E711" s="19">
        <f t="shared" si="242"/>
        <v>7060976063.8000002</v>
      </c>
      <c r="F711" s="19">
        <f t="shared" si="243"/>
        <v>7175043499.8000002</v>
      </c>
      <c r="G711" s="20">
        <f t="shared" si="244"/>
        <v>0</v>
      </c>
      <c r="H711" s="17">
        <v>1604602</v>
      </c>
      <c r="I711" s="17">
        <v>16124</v>
      </c>
      <c r="J711" s="17">
        <v>48622</v>
      </c>
      <c r="K711" s="19">
        <f t="shared" si="245"/>
        <v>1620726</v>
      </c>
      <c r="L711" s="18"/>
      <c r="M711" s="18"/>
      <c r="N711" s="18"/>
      <c r="O711" s="19">
        <f t="shared" si="246"/>
        <v>1604602</v>
      </c>
      <c r="P711" s="21">
        <f t="shared" si="247"/>
        <v>2.2724931872045642</v>
      </c>
      <c r="Q711" s="17">
        <v>1556464</v>
      </c>
      <c r="R711" s="17">
        <v>15640</v>
      </c>
      <c r="S711" s="19">
        <f t="shared" si="248"/>
        <v>1572104</v>
      </c>
      <c r="T711" s="20">
        <f t="shared" si="249"/>
        <v>0.03</v>
      </c>
      <c r="U711" s="19">
        <f t="shared" si="250"/>
        <v>48621.773195876289</v>
      </c>
      <c r="V711" s="17">
        <v>48622</v>
      </c>
      <c r="W711" s="19">
        <f t="shared" si="251"/>
        <v>-0.22680412371119019</v>
      </c>
      <c r="X711" s="19">
        <f t="shared" si="252"/>
        <v>48622</v>
      </c>
      <c r="Y711" s="17">
        <v>48138</v>
      </c>
      <c r="Z711" s="17">
        <v>484</v>
      </c>
      <c r="AA711" s="19">
        <f t="shared" si="253"/>
        <v>0</v>
      </c>
      <c r="AB711" s="17">
        <v>1572104</v>
      </c>
      <c r="AC711" s="27">
        <v>18.391999999999999</v>
      </c>
      <c r="AD711" s="27">
        <v>18.625499999999999</v>
      </c>
      <c r="AE711" s="22">
        <f t="shared" si="254"/>
        <v>84406.002523422198</v>
      </c>
      <c r="AF711" s="23">
        <f t="shared" si="255"/>
        <v>0</v>
      </c>
      <c r="AG711" s="23">
        <f t="shared" si="256"/>
        <v>0</v>
      </c>
      <c r="AH711" s="17">
        <v>1620725.64153004</v>
      </c>
      <c r="AI711" s="24">
        <f t="shared" si="257"/>
        <v>1.0309277513001938</v>
      </c>
      <c r="AJ711" s="25">
        <v>378366120.21857899</v>
      </c>
      <c r="AK711" s="24">
        <f t="shared" si="258"/>
        <v>2.4368131005416883E-2</v>
      </c>
      <c r="AL711" s="22">
        <f t="shared" si="259"/>
        <v>25260.479960267527</v>
      </c>
      <c r="AM711" s="22">
        <f t="shared" si="260"/>
        <v>84406.002523422198</v>
      </c>
      <c r="AN711" s="22">
        <f t="shared" si="261"/>
        <v>-59145.522563154671</v>
      </c>
      <c r="AO711" s="26" t="str">
        <f t="shared" si="262"/>
        <v/>
      </c>
      <c r="AP711" s="26" t="str">
        <f t="shared" si="263"/>
        <v>pre-launch</v>
      </c>
      <c r="AQ711" s="18"/>
      <c r="AR711" s="18"/>
    </row>
    <row r="712" spans="1:44" x14ac:dyDescent="0.25">
      <c r="A712" s="43">
        <v>45773</v>
      </c>
      <c r="B712" s="17">
        <v>3839502376.3400002</v>
      </c>
      <c r="C712" s="17">
        <v>0</v>
      </c>
      <c r="D712" s="17">
        <v>89325385</v>
      </c>
      <c r="E712" s="19">
        <f t="shared" si="242"/>
        <v>3839502376.3400002</v>
      </c>
      <c r="F712" s="19">
        <f t="shared" si="243"/>
        <v>3928827761.3400002</v>
      </c>
      <c r="G712" s="20">
        <f t="shared" si="244"/>
        <v>0</v>
      </c>
      <c r="H712" s="17">
        <v>836905</v>
      </c>
      <c r="I712" s="17">
        <v>11829</v>
      </c>
      <c r="J712" s="17">
        <v>25331</v>
      </c>
      <c r="K712" s="19">
        <f t="shared" si="245"/>
        <v>848734</v>
      </c>
      <c r="L712" s="18"/>
      <c r="M712" s="18"/>
      <c r="N712" s="18"/>
      <c r="O712" s="19">
        <f t="shared" si="246"/>
        <v>836905</v>
      </c>
      <c r="P712" s="21">
        <f t="shared" si="247"/>
        <v>2.1797225733137284</v>
      </c>
      <c r="Q712" s="17">
        <v>811798</v>
      </c>
      <c r="R712" s="17">
        <v>11474</v>
      </c>
      <c r="S712" s="19">
        <f t="shared" si="248"/>
        <v>823272</v>
      </c>
      <c r="T712" s="20">
        <f t="shared" si="249"/>
        <v>0.03</v>
      </c>
      <c r="U712" s="19">
        <f t="shared" si="250"/>
        <v>25462.0206185567</v>
      </c>
      <c r="V712" s="17">
        <v>25331</v>
      </c>
      <c r="W712" s="19">
        <f t="shared" si="251"/>
        <v>131.02061855670036</v>
      </c>
      <c r="X712" s="19">
        <f t="shared" si="252"/>
        <v>25462</v>
      </c>
      <c r="Y712" s="17">
        <v>25107</v>
      </c>
      <c r="Z712" s="17">
        <v>355</v>
      </c>
      <c r="AA712" s="19">
        <f t="shared" si="253"/>
        <v>131</v>
      </c>
      <c r="AB712" s="17">
        <v>823272</v>
      </c>
      <c r="AC712" s="27">
        <v>17.908000000000001</v>
      </c>
      <c r="AD712" s="27">
        <v>18.058250000000001</v>
      </c>
      <c r="AE712" s="22">
        <f t="shared" si="254"/>
        <v>45589.799676048344</v>
      </c>
      <c r="AF712" s="23">
        <f t="shared" si="255"/>
        <v>0</v>
      </c>
      <c r="AG712" s="23">
        <f t="shared" si="256"/>
        <v>0</v>
      </c>
      <c r="AH712" s="17">
        <v>844372.66198497999</v>
      </c>
      <c r="AI712" s="24">
        <f t="shared" si="257"/>
        <v>1.0256302436922184</v>
      </c>
      <c r="AJ712" s="25">
        <v>378502732.24043697</v>
      </c>
      <c r="AK712" s="24">
        <f t="shared" si="258"/>
        <v>2.4363733044984619E-2</v>
      </c>
      <c r="AL712" s="22">
        <f t="shared" si="259"/>
        <v>25265.039794803557</v>
      </c>
      <c r="AM712" s="22">
        <f t="shared" si="260"/>
        <v>45589.799676048344</v>
      </c>
      <c r="AN712" s="22">
        <f t="shared" si="261"/>
        <v>-20324.759881244787</v>
      </c>
      <c r="AO712" s="26" t="str">
        <f t="shared" si="262"/>
        <v/>
      </c>
      <c r="AP712" s="26" t="str">
        <f t="shared" si="263"/>
        <v>pre-launch</v>
      </c>
      <c r="AQ712" s="18"/>
      <c r="AR712" s="18"/>
    </row>
    <row r="713" spans="1:44" x14ac:dyDescent="0.25">
      <c r="A713" s="43">
        <v>45774</v>
      </c>
      <c r="B713" s="17">
        <v>3382764141.4099998</v>
      </c>
      <c r="C713" s="17">
        <v>0</v>
      </c>
      <c r="D713" s="17">
        <v>65942651</v>
      </c>
      <c r="E713" s="19">
        <f t="shared" si="242"/>
        <v>3382764141.4099998</v>
      </c>
      <c r="F713" s="19">
        <f t="shared" si="243"/>
        <v>3448706792.4099998</v>
      </c>
      <c r="G713" s="20">
        <f t="shared" si="244"/>
        <v>0</v>
      </c>
      <c r="H713" s="17">
        <v>773066</v>
      </c>
      <c r="I713" s="17">
        <v>10180</v>
      </c>
      <c r="J713" s="17">
        <v>23467</v>
      </c>
      <c r="K713" s="19">
        <f t="shared" si="245"/>
        <v>783246</v>
      </c>
      <c r="L713" s="18"/>
      <c r="M713" s="18"/>
      <c r="N713" s="18"/>
      <c r="O713" s="19">
        <f t="shared" si="246"/>
        <v>773066</v>
      </c>
      <c r="P713" s="21">
        <f t="shared" si="247"/>
        <v>2.2853086046896887</v>
      </c>
      <c r="Q713" s="17">
        <v>749874</v>
      </c>
      <c r="R713" s="17">
        <v>9875</v>
      </c>
      <c r="S713" s="19">
        <f t="shared" si="248"/>
        <v>759749</v>
      </c>
      <c r="T713" s="20">
        <f t="shared" si="249"/>
        <v>0.03</v>
      </c>
      <c r="U713" s="19">
        <f t="shared" si="250"/>
        <v>23497.391752577318</v>
      </c>
      <c r="V713" s="17">
        <v>23467</v>
      </c>
      <c r="W713" s="19">
        <f t="shared" si="251"/>
        <v>30.391752577317675</v>
      </c>
      <c r="X713" s="19">
        <f t="shared" si="252"/>
        <v>23497</v>
      </c>
      <c r="Y713" s="17">
        <v>23192</v>
      </c>
      <c r="Z713" s="17">
        <v>305</v>
      </c>
      <c r="AA713" s="19">
        <f t="shared" si="253"/>
        <v>30</v>
      </c>
      <c r="AB713" s="17">
        <v>759749</v>
      </c>
      <c r="AC713" s="27">
        <v>17.393000000000001</v>
      </c>
      <c r="AD713" s="27">
        <v>17.725249999999999</v>
      </c>
      <c r="AE713" s="22">
        <f t="shared" si="254"/>
        <v>42862.526621627345</v>
      </c>
      <c r="AF713" s="23">
        <f t="shared" si="255"/>
        <v>0</v>
      </c>
      <c r="AG713" s="23">
        <f t="shared" si="256"/>
        <v>0</v>
      </c>
      <c r="AH713" s="17">
        <v>782235.08341503097</v>
      </c>
      <c r="AI713" s="24">
        <f t="shared" si="257"/>
        <v>1.0295967265702632</v>
      </c>
      <c r="AJ713" s="25">
        <v>378639344.26229501</v>
      </c>
      <c r="AK713" s="24">
        <f t="shared" si="258"/>
        <v>2.4359337464924923E-2</v>
      </c>
      <c r="AL713" s="22">
        <f t="shared" si="259"/>
        <v>25269.59880652912</v>
      </c>
      <c r="AM713" s="22">
        <f t="shared" si="260"/>
        <v>42862.526621627345</v>
      </c>
      <c r="AN713" s="22">
        <f t="shared" si="261"/>
        <v>-17592.927815098225</v>
      </c>
      <c r="AO713" s="26" t="str">
        <f t="shared" si="262"/>
        <v/>
      </c>
      <c r="AP713" s="26" t="str">
        <f t="shared" si="263"/>
        <v>pre-launch</v>
      </c>
      <c r="AQ713" s="18"/>
      <c r="AR713" s="18"/>
    </row>
    <row r="714" spans="1:44" x14ac:dyDescent="0.25">
      <c r="A714" s="43">
        <v>45775</v>
      </c>
      <c r="B714" s="17">
        <v>6671543330.5200005</v>
      </c>
      <c r="C714" s="17">
        <v>0</v>
      </c>
      <c r="D714" s="17">
        <v>156064089</v>
      </c>
      <c r="E714" s="19">
        <f t="shared" si="242"/>
        <v>6671543330.5200005</v>
      </c>
      <c r="F714" s="19">
        <f t="shared" si="243"/>
        <v>6827607419.5200005</v>
      </c>
      <c r="G714" s="20">
        <f t="shared" si="244"/>
        <v>0</v>
      </c>
      <c r="H714" s="17">
        <v>1495368</v>
      </c>
      <c r="I714" s="17">
        <v>19745</v>
      </c>
      <c r="J714" s="17">
        <v>45615</v>
      </c>
      <c r="K714" s="19">
        <f t="shared" si="245"/>
        <v>1515113</v>
      </c>
      <c r="L714" s="18"/>
      <c r="M714" s="18"/>
      <c r="N714" s="18"/>
      <c r="O714" s="19">
        <f t="shared" si="246"/>
        <v>1495368</v>
      </c>
      <c r="P714" s="21">
        <f t="shared" si="247"/>
        <v>2.2414124077695923</v>
      </c>
      <c r="Q714" s="17">
        <v>1450507</v>
      </c>
      <c r="R714" s="17">
        <v>19152</v>
      </c>
      <c r="S714" s="19">
        <f t="shared" si="248"/>
        <v>1469659</v>
      </c>
      <c r="T714" s="20">
        <f t="shared" si="249"/>
        <v>0.03</v>
      </c>
      <c r="U714" s="19">
        <f t="shared" si="250"/>
        <v>45453.371134020614</v>
      </c>
      <c r="V714" s="17">
        <v>45615</v>
      </c>
      <c r="W714" s="19">
        <f t="shared" si="251"/>
        <v>-161.62886597938632</v>
      </c>
      <c r="X714" s="19">
        <f t="shared" si="252"/>
        <v>45453</v>
      </c>
      <c r="Y714" s="17">
        <v>44861</v>
      </c>
      <c r="Z714" s="17">
        <v>592</v>
      </c>
      <c r="AA714" s="19">
        <f t="shared" si="253"/>
        <v>-162</v>
      </c>
      <c r="AB714" s="17">
        <v>1469659</v>
      </c>
      <c r="AC714" s="27">
        <v>18.677</v>
      </c>
      <c r="AD714" s="27">
        <v>17.934249999999999</v>
      </c>
      <c r="AE714" s="22">
        <f t="shared" si="254"/>
        <v>81947.056609559921</v>
      </c>
      <c r="AF714" s="23">
        <f t="shared" si="255"/>
        <v>1</v>
      </c>
      <c r="AG714" s="23">
        <f t="shared" si="256"/>
        <v>0</v>
      </c>
      <c r="AH714" s="17">
        <v>1520484.6616889799</v>
      </c>
      <c r="AI714" s="24">
        <f t="shared" si="257"/>
        <v>1.0345833024456557</v>
      </c>
      <c r="AJ714" s="25">
        <v>378775956.28415298</v>
      </c>
      <c r="AK714" s="24">
        <f t="shared" si="258"/>
        <v>2.4354944263091302E-2</v>
      </c>
      <c r="AL714" s="22">
        <f t="shared" si="259"/>
        <v>25274.156995889462</v>
      </c>
      <c r="AM714" s="22">
        <f t="shared" si="260"/>
        <v>81947.056609559921</v>
      </c>
      <c r="AN714" s="22">
        <f t="shared" si="261"/>
        <v>-56672.899613670459</v>
      </c>
      <c r="AO714" s="26" t="str">
        <f t="shared" si="262"/>
        <v/>
      </c>
      <c r="AP714" s="26" t="str">
        <f t="shared" si="263"/>
        <v>pre-launch</v>
      </c>
      <c r="AQ714" s="18"/>
      <c r="AR714" s="18"/>
    </row>
    <row r="715" spans="1:44" x14ac:dyDescent="0.25">
      <c r="A715" s="43">
        <v>45776</v>
      </c>
      <c r="B715" s="17">
        <v>4981695000.8999996</v>
      </c>
      <c r="C715" s="17">
        <v>0</v>
      </c>
      <c r="D715" s="17">
        <v>133602416</v>
      </c>
      <c r="E715" s="19">
        <f t="shared" si="242"/>
        <v>4981695000.8999996</v>
      </c>
      <c r="F715" s="19">
        <f t="shared" si="243"/>
        <v>5115297416.8999996</v>
      </c>
      <c r="G715" s="20">
        <f t="shared" si="244"/>
        <v>0</v>
      </c>
      <c r="H715" s="17">
        <v>1115354</v>
      </c>
      <c r="I715" s="17">
        <v>17990</v>
      </c>
      <c r="J715" s="17">
        <v>33807</v>
      </c>
      <c r="K715" s="19">
        <f t="shared" si="245"/>
        <v>1133344</v>
      </c>
      <c r="L715" s="18"/>
      <c r="M715" s="18"/>
      <c r="N715" s="18"/>
      <c r="O715" s="19">
        <f t="shared" si="246"/>
        <v>1115354</v>
      </c>
      <c r="P715" s="21">
        <f t="shared" si="247"/>
        <v>2.2389046294453969</v>
      </c>
      <c r="Q715" s="17">
        <v>1081893</v>
      </c>
      <c r="R715" s="17">
        <v>17450</v>
      </c>
      <c r="S715" s="19">
        <f t="shared" si="248"/>
        <v>1099343</v>
      </c>
      <c r="T715" s="20">
        <f t="shared" si="249"/>
        <v>0.03</v>
      </c>
      <c r="U715" s="19">
        <f t="shared" si="250"/>
        <v>34000.298969072166</v>
      </c>
      <c r="V715" s="17">
        <v>33807</v>
      </c>
      <c r="W715" s="19">
        <f t="shared" si="251"/>
        <v>193.29896907216607</v>
      </c>
      <c r="X715" s="19">
        <f t="shared" si="252"/>
        <v>34001</v>
      </c>
      <c r="Y715" s="17">
        <v>33461</v>
      </c>
      <c r="Z715" s="17">
        <v>540</v>
      </c>
      <c r="AA715" s="19">
        <f t="shared" si="253"/>
        <v>194</v>
      </c>
      <c r="AB715" s="17">
        <v>1099343</v>
      </c>
      <c r="AC715" s="27">
        <v>18.608000000000001</v>
      </c>
      <c r="AD715" s="27">
        <v>18.644749999999998</v>
      </c>
      <c r="AE715" s="22">
        <f t="shared" si="254"/>
        <v>58962.603413829638</v>
      </c>
      <c r="AF715" s="23">
        <f t="shared" si="255"/>
        <v>0</v>
      </c>
      <c r="AG715" s="23">
        <f t="shared" si="256"/>
        <v>0</v>
      </c>
      <c r="AH715" s="17">
        <v>1126903.88860697</v>
      </c>
      <c r="AI715" s="24">
        <f t="shared" si="257"/>
        <v>1.0250703271017052</v>
      </c>
      <c r="AJ715" s="25">
        <v>378912568.30601102</v>
      </c>
      <c r="AK715" s="24">
        <f t="shared" si="258"/>
        <v>2.4350553437339956E-2</v>
      </c>
      <c r="AL715" s="22">
        <f t="shared" si="259"/>
        <v>25278.714363329444</v>
      </c>
      <c r="AM715" s="22">
        <f t="shared" si="260"/>
        <v>58962.603413829638</v>
      </c>
      <c r="AN715" s="22">
        <f t="shared" si="261"/>
        <v>-33683.889050500191</v>
      </c>
      <c r="AO715" s="26" t="str">
        <f t="shared" si="262"/>
        <v/>
      </c>
      <c r="AP715" s="26" t="str">
        <f t="shared" si="263"/>
        <v>pre-launch</v>
      </c>
      <c r="AQ715" s="18"/>
      <c r="AR715" s="18"/>
    </row>
    <row r="716" spans="1:44" x14ac:dyDescent="0.25">
      <c r="A716" s="43">
        <v>45777</v>
      </c>
      <c r="B716" s="17">
        <v>5886017387.2399998</v>
      </c>
      <c r="C716" s="17">
        <v>0</v>
      </c>
      <c r="D716" s="17">
        <v>171764916</v>
      </c>
      <c r="E716" s="19">
        <f t="shared" si="242"/>
        <v>5886017387.2399998</v>
      </c>
      <c r="F716" s="19">
        <f t="shared" si="243"/>
        <v>6057782303.2399998</v>
      </c>
      <c r="G716" s="20">
        <f t="shared" si="244"/>
        <v>0</v>
      </c>
      <c r="H716" s="17">
        <v>1309702</v>
      </c>
      <c r="I716" s="17">
        <v>18830</v>
      </c>
      <c r="J716" s="17">
        <v>40049</v>
      </c>
      <c r="K716" s="19">
        <f t="shared" si="245"/>
        <v>1328532</v>
      </c>
      <c r="L716" s="18"/>
      <c r="M716" s="18"/>
      <c r="N716" s="18"/>
      <c r="O716" s="19">
        <f t="shared" si="246"/>
        <v>1309702</v>
      </c>
      <c r="P716" s="21">
        <f t="shared" si="247"/>
        <v>2.2251072564604328</v>
      </c>
      <c r="Q716" s="17">
        <v>1270411</v>
      </c>
      <c r="R716" s="17">
        <v>18265</v>
      </c>
      <c r="S716" s="19">
        <f t="shared" si="248"/>
        <v>1288676</v>
      </c>
      <c r="T716" s="20">
        <f t="shared" si="249"/>
        <v>0.03</v>
      </c>
      <c r="U716" s="19">
        <f t="shared" si="250"/>
        <v>39855.958762886599</v>
      </c>
      <c r="V716" s="17">
        <v>40049</v>
      </c>
      <c r="W716" s="19">
        <f t="shared" si="251"/>
        <v>-193.04123711340071</v>
      </c>
      <c r="X716" s="19">
        <f t="shared" si="252"/>
        <v>39856</v>
      </c>
      <c r="Y716" s="17">
        <v>39291</v>
      </c>
      <c r="Z716" s="17">
        <v>565</v>
      </c>
      <c r="AA716" s="19">
        <f t="shared" si="253"/>
        <v>-193</v>
      </c>
      <c r="AB716" s="17">
        <v>1288676</v>
      </c>
      <c r="AC716" s="27">
        <v>19.995999999999999</v>
      </c>
      <c r="AD716" s="27">
        <v>19.090250000000001</v>
      </c>
      <c r="AE716" s="22">
        <f t="shared" si="254"/>
        <v>67504.406699755113</v>
      </c>
      <c r="AF716" s="23">
        <f t="shared" si="255"/>
        <v>0</v>
      </c>
      <c r="AG716" s="23">
        <f t="shared" si="256"/>
        <v>0</v>
      </c>
      <c r="AH716" s="17">
        <v>1334971.5513490399</v>
      </c>
      <c r="AI716" s="24">
        <f t="shared" si="257"/>
        <v>1.0359248960553622</v>
      </c>
      <c r="AJ716" s="25">
        <v>379049180.327869</v>
      </c>
      <c r="AK716" s="24">
        <f t="shared" si="258"/>
        <v>2.4346164985529814E-2</v>
      </c>
      <c r="AL716" s="22">
        <f t="shared" si="259"/>
        <v>25283.270909293537</v>
      </c>
      <c r="AM716" s="22">
        <f t="shared" si="260"/>
        <v>67504.406699755113</v>
      </c>
      <c r="AN716" s="22">
        <f t="shared" si="261"/>
        <v>-42221.135790461572</v>
      </c>
      <c r="AO716" s="26" t="str">
        <f t="shared" si="262"/>
        <v/>
      </c>
      <c r="AP716" s="26" t="str">
        <f t="shared" si="263"/>
        <v>pre-launch</v>
      </c>
      <c r="AQ716" s="18"/>
      <c r="AR716" s="18"/>
    </row>
    <row r="717" spans="1:44" x14ac:dyDescent="0.25">
      <c r="A717" s="43">
        <v>45778</v>
      </c>
      <c r="B717" s="17">
        <v>5844761153.4099998</v>
      </c>
      <c r="C717" s="17">
        <v>0</v>
      </c>
      <c r="D717" s="17">
        <v>176430408</v>
      </c>
      <c r="E717" s="19">
        <f t="shared" si="242"/>
        <v>5844761153.4099998</v>
      </c>
      <c r="F717" s="19">
        <f t="shared" si="243"/>
        <v>6021191561.4099998</v>
      </c>
      <c r="G717" s="20">
        <f t="shared" si="244"/>
        <v>0</v>
      </c>
      <c r="H717" s="17">
        <v>1352114</v>
      </c>
      <c r="I717" s="17">
        <v>27300</v>
      </c>
      <c r="J717" s="17">
        <v>41191</v>
      </c>
      <c r="K717" s="19">
        <f t="shared" si="245"/>
        <v>1379414</v>
      </c>
      <c r="L717" s="18"/>
      <c r="M717" s="18"/>
      <c r="N717" s="18"/>
      <c r="O717" s="19">
        <f t="shared" si="246"/>
        <v>1352114</v>
      </c>
      <c r="P717" s="21">
        <f t="shared" si="247"/>
        <v>2.3133776804739719</v>
      </c>
      <c r="Q717" s="17">
        <v>1311550</v>
      </c>
      <c r="R717" s="17">
        <v>26481</v>
      </c>
      <c r="S717" s="19">
        <f t="shared" si="248"/>
        <v>1338031</v>
      </c>
      <c r="T717" s="20">
        <f t="shared" si="249"/>
        <v>0.03</v>
      </c>
      <c r="U717" s="19">
        <f t="shared" si="250"/>
        <v>41382.402061855675</v>
      </c>
      <c r="V717" s="17">
        <v>41191</v>
      </c>
      <c r="W717" s="19">
        <f t="shared" si="251"/>
        <v>191.40206185567513</v>
      </c>
      <c r="X717" s="19">
        <f t="shared" si="252"/>
        <v>41382</v>
      </c>
      <c r="Y717" s="17">
        <v>40563</v>
      </c>
      <c r="Z717" s="17">
        <v>819</v>
      </c>
      <c r="AA717" s="19">
        <f t="shared" si="253"/>
        <v>191</v>
      </c>
      <c r="AB717" s="17">
        <v>1338031</v>
      </c>
      <c r="AC717" s="27">
        <v>19.931000000000001</v>
      </c>
      <c r="AD717" s="27">
        <v>20.082750000000001</v>
      </c>
      <c r="AE717" s="22">
        <f t="shared" si="254"/>
        <v>66625.885399160965</v>
      </c>
      <c r="AF717" s="23">
        <f t="shared" si="255"/>
        <v>1</v>
      </c>
      <c r="AG717" s="23">
        <f t="shared" si="256"/>
        <v>0</v>
      </c>
      <c r="AH717" s="17">
        <v>1373022.2268689901</v>
      </c>
      <c r="AI717" s="24">
        <f t="shared" si="257"/>
        <v>1.0261512826451631</v>
      </c>
      <c r="AJ717" s="25">
        <v>379185792.34972697</v>
      </c>
      <c r="AK717" s="24">
        <f t="shared" si="258"/>
        <v>2.4341778905522485E-2</v>
      </c>
      <c r="AL717" s="22">
        <f t="shared" si="259"/>
        <v>25287.826634225788</v>
      </c>
      <c r="AM717" s="22">
        <f t="shared" si="260"/>
        <v>66625.885399160965</v>
      </c>
      <c r="AN717" s="22">
        <f t="shared" si="261"/>
        <v>-41338.05876493518</v>
      </c>
      <c r="AO717" s="26" t="str">
        <f t="shared" si="262"/>
        <v/>
      </c>
      <c r="AP717" s="26" t="str">
        <f t="shared" si="263"/>
        <v>pre-launch</v>
      </c>
      <c r="AQ717" s="18"/>
      <c r="AR717" s="18"/>
    </row>
    <row r="718" spans="1:44" x14ac:dyDescent="0.25">
      <c r="A718" s="43">
        <v>45779</v>
      </c>
      <c r="B718" s="17">
        <v>4184147211.79</v>
      </c>
      <c r="C718" s="17">
        <v>0</v>
      </c>
      <c r="D718" s="17">
        <v>128977405</v>
      </c>
      <c r="E718" s="19">
        <f t="shared" si="242"/>
        <v>4184147211.79</v>
      </c>
      <c r="F718" s="19">
        <f t="shared" si="243"/>
        <v>4313124616.79</v>
      </c>
      <c r="G718" s="20">
        <f t="shared" si="244"/>
        <v>0</v>
      </c>
      <c r="H718" s="17">
        <v>952374</v>
      </c>
      <c r="I718" s="17">
        <v>16323</v>
      </c>
      <c r="J718" s="17">
        <v>29253</v>
      </c>
      <c r="K718" s="19">
        <f t="shared" si="245"/>
        <v>968697</v>
      </c>
      <c r="L718" s="18"/>
      <c r="M718" s="18"/>
      <c r="N718" s="18"/>
      <c r="O718" s="19">
        <f t="shared" si="246"/>
        <v>952374</v>
      </c>
      <c r="P718" s="21">
        <f t="shared" si="247"/>
        <v>2.2761484044261659</v>
      </c>
      <c r="Q718" s="17">
        <v>923803</v>
      </c>
      <c r="R718" s="17">
        <v>15833</v>
      </c>
      <c r="S718" s="19">
        <f t="shared" si="248"/>
        <v>939636</v>
      </c>
      <c r="T718" s="20">
        <f t="shared" si="249"/>
        <v>0.03</v>
      </c>
      <c r="U718" s="19">
        <f t="shared" si="250"/>
        <v>29060.907216494845</v>
      </c>
      <c r="V718" s="17">
        <v>29253</v>
      </c>
      <c r="W718" s="19">
        <f t="shared" si="251"/>
        <v>-192.09278350515524</v>
      </c>
      <c r="X718" s="19">
        <f t="shared" si="252"/>
        <v>29061</v>
      </c>
      <c r="Y718" s="17">
        <v>28571</v>
      </c>
      <c r="Z718" s="17">
        <v>490</v>
      </c>
      <c r="AA718" s="19">
        <f t="shared" si="253"/>
        <v>-192</v>
      </c>
      <c r="AB718" s="17">
        <v>939636</v>
      </c>
      <c r="AC718" s="27">
        <v>20.803000000000001</v>
      </c>
      <c r="AD718" s="27">
        <v>20.513750000000002</v>
      </c>
      <c r="AE718" s="22">
        <f t="shared" si="254"/>
        <v>45805.179452806042</v>
      </c>
      <c r="AF718" s="23">
        <f t="shared" si="255"/>
        <v>0</v>
      </c>
      <c r="AG718" s="23">
        <f t="shared" si="256"/>
        <v>0</v>
      </c>
      <c r="AH718" s="17">
        <v>975088.21870499896</v>
      </c>
      <c r="AI718" s="24">
        <f t="shared" si="257"/>
        <v>1.0377297365203111</v>
      </c>
      <c r="AJ718" s="25">
        <v>379322404.37158501</v>
      </c>
      <c r="AK718" s="24">
        <f t="shared" si="258"/>
        <v>2.4337395195182271E-2</v>
      </c>
      <c r="AL718" s="22">
        <f t="shared" si="259"/>
        <v>25292.381538569862</v>
      </c>
      <c r="AM718" s="22">
        <f t="shared" si="260"/>
        <v>45805.179452806042</v>
      </c>
      <c r="AN718" s="22">
        <f t="shared" si="261"/>
        <v>-20512.79791423618</v>
      </c>
      <c r="AO718" s="26" t="str">
        <f t="shared" si="262"/>
        <v/>
      </c>
      <c r="AP718" s="26" t="str">
        <f t="shared" si="263"/>
        <v>pre-launch</v>
      </c>
      <c r="AQ718" s="18"/>
      <c r="AR718" s="18"/>
    </row>
    <row r="719" spans="1:44" x14ac:dyDescent="0.25">
      <c r="A719" s="43">
        <v>45780</v>
      </c>
      <c r="B719" s="17">
        <v>2551647647.3299999</v>
      </c>
      <c r="C719" s="17">
        <v>0</v>
      </c>
      <c r="D719" s="17">
        <v>102347437</v>
      </c>
      <c r="E719" s="19">
        <f t="shared" si="242"/>
        <v>2551647647.3299999</v>
      </c>
      <c r="F719" s="19">
        <f t="shared" si="243"/>
        <v>2653995084.3299999</v>
      </c>
      <c r="G719" s="20">
        <f t="shared" si="244"/>
        <v>0</v>
      </c>
      <c r="H719" s="17">
        <v>599536</v>
      </c>
      <c r="I719" s="17">
        <v>11691</v>
      </c>
      <c r="J719" s="17">
        <v>18229</v>
      </c>
      <c r="K719" s="19">
        <f t="shared" si="245"/>
        <v>611227</v>
      </c>
      <c r="L719" s="18"/>
      <c r="M719" s="18"/>
      <c r="N719" s="18"/>
      <c r="O719" s="19">
        <f t="shared" si="246"/>
        <v>599536</v>
      </c>
      <c r="P719" s="21">
        <f t="shared" si="247"/>
        <v>2.3496034047935423</v>
      </c>
      <c r="Q719" s="17">
        <v>581550</v>
      </c>
      <c r="R719" s="17">
        <v>11340</v>
      </c>
      <c r="S719" s="19">
        <f t="shared" si="248"/>
        <v>592890</v>
      </c>
      <c r="T719" s="20">
        <f t="shared" si="249"/>
        <v>0.03</v>
      </c>
      <c r="U719" s="19">
        <f t="shared" si="250"/>
        <v>18336.804123711343</v>
      </c>
      <c r="V719" s="17">
        <v>18229</v>
      </c>
      <c r="W719" s="19">
        <f t="shared" si="251"/>
        <v>107.80412371134298</v>
      </c>
      <c r="X719" s="19">
        <f t="shared" si="252"/>
        <v>18337</v>
      </c>
      <c r="Y719" s="17">
        <v>17986</v>
      </c>
      <c r="Z719" s="17">
        <v>351</v>
      </c>
      <c r="AA719" s="19">
        <f t="shared" si="253"/>
        <v>108</v>
      </c>
      <c r="AB719" s="17">
        <v>592890</v>
      </c>
      <c r="AC719" s="27">
        <v>20.952000000000002</v>
      </c>
      <c r="AD719" s="27">
        <v>20.822749999999999</v>
      </c>
      <c r="AE719" s="22">
        <f t="shared" si="254"/>
        <v>28473.184377663856</v>
      </c>
      <c r="AF719" s="23">
        <f t="shared" si="255"/>
        <v>0</v>
      </c>
      <c r="AG719" s="23">
        <f t="shared" si="256"/>
        <v>0</v>
      </c>
      <c r="AH719" s="17">
        <v>607648.58179402398</v>
      </c>
      <c r="AI719" s="24">
        <f t="shared" si="257"/>
        <v>1.0248926137968661</v>
      </c>
      <c r="AJ719" s="25">
        <v>379459016.39344299</v>
      </c>
      <c r="AK719" s="24">
        <f t="shared" si="258"/>
        <v>2.4333013852376181E-2</v>
      </c>
      <c r="AL719" s="22">
        <f t="shared" si="259"/>
        <v>25296.935622769008</v>
      </c>
      <c r="AM719" s="22">
        <f t="shared" si="260"/>
        <v>28473.184377663856</v>
      </c>
      <c r="AN719" s="22">
        <f t="shared" si="261"/>
        <v>-3176.2487548948484</v>
      </c>
      <c r="AO719" s="26" t="str">
        <f t="shared" si="262"/>
        <v/>
      </c>
      <c r="AP719" s="26" t="str">
        <f t="shared" si="263"/>
        <v>pre-launch</v>
      </c>
      <c r="AQ719" s="18"/>
      <c r="AR719" s="18"/>
    </row>
    <row r="720" spans="1:44" x14ac:dyDescent="0.25">
      <c r="A720" s="43">
        <v>45781</v>
      </c>
      <c r="B720" s="17">
        <v>3530006395.0500002</v>
      </c>
      <c r="C720" s="17">
        <v>0</v>
      </c>
      <c r="D720" s="17">
        <v>87201050</v>
      </c>
      <c r="E720" s="19">
        <f t="shared" si="242"/>
        <v>3530006395.0500002</v>
      </c>
      <c r="F720" s="19">
        <f t="shared" si="243"/>
        <v>3617207445.0500002</v>
      </c>
      <c r="G720" s="20">
        <f t="shared" si="244"/>
        <v>0</v>
      </c>
      <c r="H720" s="17">
        <v>805192</v>
      </c>
      <c r="I720" s="17">
        <v>12341</v>
      </c>
      <c r="J720" s="17">
        <v>24633</v>
      </c>
      <c r="K720" s="19">
        <f t="shared" si="245"/>
        <v>817533</v>
      </c>
      <c r="L720" s="18"/>
      <c r="M720" s="18"/>
      <c r="N720" s="18"/>
      <c r="O720" s="19">
        <f t="shared" si="246"/>
        <v>805192</v>
      </c>
      <c r="P720" s="21">
        <f t="shared" si="247"/>
        <v>2.2809930348259182</v>
      </c>
      <c r="Q720" s="17">
        <v>781036</v>
      </c>
      <c r="R720" s="17">
        <v>11971</v>
      </c>
      <c r="S720" s="19">
        <f t="shared" si="248"/>
        <v>793007</v>
      </c>
      <c r="T720" s="20">
        <f t="shared" si="249"/>
        <v>0.03</v>
      </c>
      <c r="U720" s="19">
        <f t="shared" si="250"/>
        <v>24525.98969072165</v>
      </c>
      <c r="V720" s="17">
        <v>24633</v>
      </c>
      <c r="W720" s="19">
        <f t="shared" si="251"/>
        <v>-107.01030927835018</v>
      </c>
      <c r="X720" s="19">
        <f t="shared" si="252"/>
        <v>24526</v>
      </c>
      <c r="Y720" s="17">
        <v>24156</v>
      </c>
      <c r="Z720" s="17">
        <v>370</v>
      </c>
      <c r="AA720" s="19">
        <f t="shared" si="253"/>
        <v>-107</v>
      </c>
      <c r="AB720" s="17">
        <v>793007</v>
      </c>
      <c r="AC720" s="27">
        <v>19.898</v>
      </c>
      <c r="AD720" s="27">
        <v>20.45825</v>
      </c>
      <c r="AE720" s="22">
        <f t="shared" si="254"/>
        <v>38762.210844036024</v>
      </c>
      <c r="AF720" s="23">
        <f t="shared" si="255"/>
        <v>0</v>
      </c>
      <c r="AG720" s="23">
        <f t="shared" si="256"/>
        <v>0</v>
      </c>
      <c r="AH720" s="17">
        <v>821111.05905795097</v>
      </c>
      <c r="AI720" s="24">
        <f t="shared" si="257"/>
        <v>1.0354398625206978</v>
      </c>
      <c r="AJ720" s="25">
        <v>379595628.41530102</v>
      </c>
      <c r="AK720" s="24">
        <f t="shared" si="258"/>
        <v>2.4328634874973904E-2</v>
      </c>
      <c r="AL720" s="22">
        <f t="shared" si="259"/>
        <v>25301.488887266107</v>
      </c>
      <c r="AM720" s="22">
        <f t="shared" si="260"/>
        <v>38762.210844036024</v>
      </c>
      <c r="AN720" s="22">
        <f t="shared" si="261"/>
        <v>-13460.721956769918</v>
      </c>
      <c r="AO720" s="26" t="str">
        <f t="shared" si="262"/>
        <v/>
      </c>
      <c r="AP720" s="26" t="str">
        <f t="shared" si="263"/>
        <v>pre-launch</v>
      </c>
      <c r="AQ720" s="18"/>
      <c r="AR720" s="18"/>
    </row>
    <row r="721" spans="1:44" x14ac:dyDescent="0.25">
      <c r="A721" s="43">
        <v>45782</v>
      </c>
      <c r="B721" s="17">
        <v>4567961400.6199999</v>
      </c>
      <c r="C721" s="17">
        <v>0</v>
      </c>
      <c r="D721" s="17">
        <v>103321597</v>
      </c>
      <c r="E721" s="19">
        <f t="shared" si="242"/>
        <v>4567961400.6199999</v>
      </c>
      <c r="F721" s="19">
        <f t="shared" si="243"/>
        <v>4671282997.6199999</v>
      </c>
      <c r="G721" s="20">
        <f t="shared" si="244"/>
        <v>0</v>
      </c>
      <c r="H721" s="17">
        <v>1294225</v>
      </c>
      <c r="I721" s="17">
        <v>27123</v>
      </c>
      <c r="J721" s="17">
        <v>39369</v>
      </c>
      <c r="K721" s="19">
        <f t="shared" si="245"/>
        <v>1321348</v>
      </c>
      <c r="L721" s="18"/>
      <c r="M721" s="18"/>
      <c r="N721" s="18"/>
      <c r="O721" s="19">
        <f t="shared" si="246"/>
        <v>1294225</v>
      </c>
      <c r="P721" s="21">
        <f t="shared" si="247"/>
        <v>2.8332660600510713</v>
      </c>
      <c r="Q721" s="17">
        <v>1255398</v>
      </c>
      <c r="R721" s="17">
        <v>26309</v>
      </c>
      <c r="S721" s="19">
        <f t="shared" si="248"/>
        <v>1281707</v>
      </c>
      <c r="T721" s="20">
        <f t="shared" si="249"/>
        <v>0.03</v>
      </c>
      <c r="U721" s="19">
        <f t="shared" si="250"/>
        <v>39640.422680412368</v>
      </c>
      <c r="V721" s="17">
        <v>39369</v>
      </c>
      <c r="W721" s="19">
        <f t="shared" si="251"/>
        <v>271.42268041236821</v>
      </c>
      <c r="X721" s="19">
        <f t="shared" si="252"/>
        <v>39641</v>
      </c>
      <c r="Y721" s="17">
        <v>38827</v>
      </c>
      <c r="Z721" s="17">
        <v>814</v>
      </c>
      <c r="AA721" s="19">
        <f t="shared" si="253"/>
        <v>272</v>
      </c>
      <c r="AB721" s="17">
        <v>1281707</v>
      </c>
      <c r="AC721" s="27">
        <v>20.276</v>
      </c>
      <c r="AD721" s="27">
        <v>20.15175</v>
      </c>
      <c r="AE721" s="22">
        <f t="shared" si="254"/>
        <v>63602.764027938021</v>
      </c>
      <c r="AF721" s="23">
        <f t="shared" si="255"/>
        <v>0</v>
      </c>
      <c r="AG721" s="23">
        <f t="shared" si="256"/>
        <v>0</v>
      </c>
      <c r="AH721" s="17">
        <v>1312295.5486010299</v>
      </c>
      <c r="AI721" s="24">
        <f t="shared" si="257"/>
        <v>1.0238654767439281</v>
      </c>
      <c r="AJ721" s="25">
        <v>379732240.437159</v>
      </c>
      <c r="AK721" s="24">
        <f t="shared" si="258"/>
        <v>2.4324258260847813E-2</v>
      </c>
      <c r="AL721" s="22">
        <f t="shared" si="259"/>
        <v>25306.041332503599</v>
      </c>
      <c r="AM721" s="22">
        <f t="shared" si="260"/>
        <v>63602.764027938021</v>
      </c>
      <c r="AN721" s="22">
        <f t="shared" si="261"/>
        <v>-38296.722695434422</v>
      </c>
      <c r="AO721" s="26" t="str">
        <f t="shared" si="262"/>
        <v/>
      </c>
      <c r="AP721" s="26" t="str">
        <f t="shared" si="263"/>
        <v>pre-launch</v>
      </c>
      <c r="AQ721" s="18"/>
      <c r="AR721" s="18"/>
    </row>
    <row r="722" spans="1:44" x14ac:dyDescent="0.25">
      <c r="A722" s="43">
        <v>45783</v>
      </c>
      <c r="B722" s="17">
        <v>4993697122.46</v>
      </c>
      <c r="C722" s="17">
        <v>0</v>
      </c>
      <c r="D722" s="17">
        <v>148487227</v>
      </c>
      <c r="E722" s="19">
        <f t="shared" si="242"/>
        <v>4993697122.46</v>
      </c>
      <c r="F722" s="19">
        <f t="shared" si="243"/>
        <v>5142184349.46</v>
      </c>
      <c r="G722" s="20">
        <f t="shared" si="244"/>
        <v>0</v>
      </c>
      <c r="H722" s="17">
        <v>1459620</v>
      </c>
      <c r="I722" s="17">
        <v>32941</v>
      </c>
      <c r="J722" s="17">
        <v>45048</v>
      </c>
      <c r="K722" s="19">
        <f t="shared" si="245"/>
        <v>1492561</v>
      </c>
      <c r="L722" s="18"/>
      <c r="M722" s="18"/>
      <c r="N722" s="18"/>
      <c r="O722" s="19">
        <f t="shared" si="246"/>
        <v>1459620</v>
      </c>
      <c r="P722" s="21">
        <f t="shared" si="247"/>
        <v>2.9229245671210444</v>
      </c>
      <c r="Q722" s="17">
        <v>1415832</v>
      </c>
      <c r="R722" s="17">
        <v>31953</v>
      </c>
      <c r="S722" s="19">
        <f t="shared" si="248"/>
        <v>1447785</v>
      </c>
      <c r="T722" s="20">
        <f t="shared" si="249"/>
        <v>0.03</v>
      </c>
      <c r="U722" s="19">
        <f t="shared" si="250"/>
        <v>44776.85567010309</v>
      </c>
      <c r="V722" s="17">
        <v>45048</v>
      </c>
      <c r="W722" s="19">
        <f t="shared" si="251"/>
        <v>-271.14432989690977</v>
      </c>
      <c r="X722" s="19">
        <f t="shared" si="252"/>
        <v>44777</v>
      </c>
      <c r="Y722" s="17">
        <v>43789</v>
      </c>
      <c r="Z722" s="17">
        <v>988</v>
      </c>
      <c r="AA722" s="19">
        <f t="shared" si="253"/>
        <v>-271</v>
      </c>
      <c r="AB722" s="17">
        <v>1447785</v>
      </c>
      <c r="AC722" s="27">
        <v>20.954999999999998</v>
      </c>
      <c r="AD722" s="27">
        <v>20.430499999999999</v>
      </c>
      <c r="AE722" s="22">
        <f t="shared" si="254"/>
        <v>70863.904456572287</v>
      </c>
      <c r="AF722" s="23">
        <f t="shared" si="255"/>
        <v>-1</v>
      </c>
      <c r="AG722" s="23">
        <f t="shared" si="256"/>
        <v>0</v>
      </c>
      <c r="AH722" s="17">
        <v>1501613.8551469999</v>
      </c>
      <c r="AI722" s="24">
        <f t="shared" si="257"/>
        <v>1.0371801442527724</v>
      </c>
      <c r="AJ722" s="25">
        <v>379868852.45901603</v>
      </c>
      <c r="AK722" s="24">
        <f t="shared" si="258"/>
        <v>2.4319884007872987E-2</v>
      </c>
      <c r="AL722" s="22">
        <f t="shared" si="259"/>
        <v>25310.592958923527</v>
      </c>
      <c r="AM722" s="22">
        <f t="shared" si="260"/>
        <v>70863.904456572287</v>
      </c>
      <c r="AN722" s="22">
        <f t="shared" si="261"/>
        <v>-45553.311497648756</v>
      </c>
      <c r="AO722" s="26" t="str">
        <f t="shared" si="262"/>
        <v/>
      </c>
      <c r="AP722" s="26" t="str">
        <f t="shared" si="263"/>
        <v>pre-launch</v>
      </c>
      <c r="AQ722" s="18"/>
      <c r="AR722" s="18"/>
    </row>
    <row r="723" spans="1:44" x14ac:dyDescent="0.25">
      <c r="A723" s="43">
        <v>45784</v>
      </c>
      <c r="B723" s="17">
        <v>5302496590.75</v>
      </c>
      <c r="C723" s="17">
        <v>0</v>
      </c>
      <c r="D723" s="17">
        <v>123317603</v>
      </c>
      <c r="E723" s="19">
        <f t="shared" si="242"/>
        <v>5302496590.75</v>
      </c>
      <c r="F723" s="19">
        <f t="shared" si="243"/>
        <v>5425814193.75</v>
      </c>
      <c r="G723" s="20">
        <f t="shared" si="244"/>
        <v>0</v>
      </c>
      <c r="H723" s="17">
        <v>1570917</v>
      </c>
      <c r="I723" s="17">
        <v>29262</v>
      </c>
      <c r="J723" s="17">
        <v>48005</v>
      </c>
      <c r="K723" s="19">
        <f t="shared" si="245"/>
        <v>1600179</v>
      </c>
      <c r="L723" s="18"/>
      <c r="M723" s="18"/>
      <c r="N723" s="18"/>
      <c r="O723" s="19">
        <f t="shared" si="246"/>
        <v>1570917</v>
      </c>
      <c r="P723" s="21">
        <f t="shared" si="247"/>
        <v>2.9625987930674085</v>
      </c>
      <c r="Q723" s="17">
        <v>1523790</v>
      </c>
      <c r="R723" s="17">
        <v>28385</v>
      </c>
      <c r="S723" s="19">
        <f t="shared" si="248"/>
        <v>1552175</v>
      </c>
      <c r="T723" s="20">
        <f t="shared" si="249"/>
        <v>0.03</v>
      </c>
      <c r="U723" s="19">
        <f t="shared" si="250"/>
        <v>48005.412371134022</v>
      </c>
      <c r="V723" s="17">
        <v>48005</v>
      </c>
      <c r="W723" s="19">
        <f t="shared" si="251"/>
        <v>0.41237113402166869</v>
      </c>
      <c r="X723" s="19">
        <f t="shared" si="252"/>
        <v>48006</v>
      </c>
      <c r="Y723" s="17">
        <v>47128</v>
      </c>
      <c r="Z723" s="17">
        <v>878</v>
      </c>
      <c r="AA723" s="19">
        <f t="shared" si="253"/>
        <v>1</v>
      </c>
      <c r="AB723" s="17">
        <v>1552175</v>
      </c>
      <c r="AC723" s="27">
        <v>21.045999999999999</v>
      </c>
      <c r="AD723" s="27">
        <v>21.028749999999999</v>
      </c>
      <c r="AE723" s="22">
        <f t="shared" si="254"/>
        <v>73812.04303631933</v>
      </c>
      <c r="AF723" s="23">
        <f t="shared" si="255"/>
        <v>-2</v>
      </c>
      <c r="AG723" s="23">
        <f t="shared" si="256"/>
        <v>0</v>
      </c>
      <c r="AH723" s="17">
        <v>1600179.8328459901</v>
      </c>
      <c r="AI723" s="24">
        <f t="shared" si="257"/>
        <v>1.0309274616882698</v>
      </c>
      <c r="AJ723" s="25">
        <v>380005464.480874</v>
      </c>
      <c r="AK723" s="24">
        <f t="shared" si="258"/>
        <v>2.4315512113927084E-2</v>
      </c>
      <c r="AL723" s="22">
        <f t="shared" si="259"/>
        <v>25315.143766967616</v>
      </c>
      <c r="AM723" s="22">
        <f t="shared" si="260"/>
        <v>73812.04303631933</v>
      </c>
      <c r="AN723" s="22">
        <f t="shared" si="261"/>
        <v>-48496.899269351714</v>
      </c>
      <c r="AO723" s="26" t="str">
        <f t="shared" si="262"/>
        <v/>
      </c>
      <c r="AP723" s="26" t="str">
        <f t="shared" si="263"/>
        <v>pre-launch</v>
      </c>
      <c r="AQ723" s="18"/>
      <c r="AR723" s="18"/>
    </row>
    <row r="724" spans="1:44" x14ac:dyDescent="0.25">
      <c r="A724" s="43">
        <v>45785</v>
      </c>
      <c r="B724" s="17">
        <v>10744450407.6</v>
      </c>
      <c r="C724" s="17">
        <v>0</v>
      </c>
      <c r="D724" s="17">
        <v>238514707</v>
      </c>
      <c r="E724" s="19">
        <f t="shared" si="242"/>
        <v>10744450407.6</v>
      </c>
      <c r="F724" s="19">
        <f t="shared" si="243"/>
        <v>10982965114.6</v>
      </c>
      <c r="G724" s="20">
        <f t="shared" si="244"/>
        <v>0</v>
      </c>
      <c r="H724" s="17">
        <v>3225869</v>
      </c>
      <c r="I724" s="17">
        <v>53413</v>
      </c>
      <c r="J724" s="17">
        <v>98378</v>
      </c>
      <c r="K724" s="19">
        <f t="shared" si="245"/>
        <v>3279282</v>
      </c>
      <c r="L724" s="18"/>
      <c r="M724" s="18"/>
      <c r="N724" s="18"/>
      <c r="O724" s="19">
        <f t="shared" si="246"/>
        <v>3225869</v>
      </c>
      <c r="P724" s="21">
        <f t="shared" si="247"/>
        <v>3.0023583130117175</v>
      </c>
      <c r="Q724" s="17">
        <v>3129093</v>
      </c>
      <c r="R724" s="17">
        <v>51811</v>
      </c>
      <c r="S724" s="19">
        <f t="shared" si="248"/>
        <v>3180904</v>
      </c>
      <c r="T724" s="20">
        <f t="shared" si="249"/>
        <v>0.03</v>
      </c>
      <c r="U724" s="19">
        <f t="shared" si="250"/>
        <v>98378.474226804115</v>
      </c>
      <c r="V724" s="17">
        <v>98378</v>
      </c>
      <c r="W724" s="19">
        <f t="shared" si="251"/>
        <v>0.47422680411546025</v>
      </c>
      <c r="X724" s="19">
        <f t="shared" si="252"/>
        <v>98378</v>
      </c>
      <c r="Y724" s="17">
        <v>96776</v>
      </c>
      <c r="Z724" s="17">
        <v>1602</v>
      </c>
      <c r="AA724" s="19">
        <f t="shared" si="253"/>
        <v>0</v>
      </c>
      <c r="AB724" s="17">
        <v>3180904</v>
      </c>
      <c r="AC724" s="27">
        <v>23.298999999999999</v>
      </c>
      <c r="AD724" s="27">
        <v>22.172750000000001</v>
      </c>
      <c r="AE724" s="22">
        <f t="shared" si="254"/>
        <v>143460.05795402013</v>
      </c>
      <c r="AF724" s="23">
        <f t="shared" si="255"/>
        <v>0</v>
      </c>
      <c r="AG724" s="23">
        <f t="shared" si="256"/>
        <v>0</v>
      </c>
      <c r="AH724" s="17">
        <v>3279282.2960900101</v>
      </c>
      <c r="AI724" s="24">
        <f t="shared" si="257"/>
        <v>1.0309277790496068</v>
      </c>
      <c r="AJ724" s="25">
        <v>380142076.50273198</v>
      </c>
      <c r="AK724" s="24">
        <f t="shared" si="258"/>
        <v>2.4311142576890533E-2</v>
      </c>
      <c r="AL724" s="22">
        <f t="shared" si="259"/>
        <v>25319.693757077112</v>
      </c>
      <c r="AM724" s="22">
        <f t="shared" si="260"/>
        <v>143460.05795402013</v>
      </c>
      <c r="AN724" s="22">
        <f t="shared" si="261"/>
        <v>-118140.36419694302</v>
      </c>
      <c r="AO724" s="26" t="str">
        <f t="shared" si="262"/>
        <v/>
      </c>
      <c r="AP724" s="26" t="str">
        <f t="shared" si="263"/>
        <v>pre-launch</v>
      </c>
      <c r="AQ724" s="18"/>
      <c r="AR724" s="18"/>
    </row>
    <row r="725" spans="1:44" x14ac:dyDescent="0.25">
      <c r="A725" s="43">
        <v>45786</v>
      </c>
      <c r="B725" s="17">
        <v>9205104235.4099998</v>
      </c>
      <c r="C725" s="17">
        <v>0</v>
      </c>
      <c r="D725" s="17">
        <v>187434250</v>
      </c>
      <c r="E725" s="19">
        <f t="shared" si="242"/>
        <v>9205104235.4099998</v>
      </c>
      <c r="F725" s="19">
        <f t="shared" si="243"/>
        <v>9392538485.4099998</v>
      </c>
      <c r="G725" s="20">
        <f t="shared" si="244"/>
        <v>0</v>
      </c>
      <c r="H725" s="17">
        <v>2787302</v>
      </c>
      <c r="I725" s="17">
        <v>63153</v>
      </c>
      <c r="J725" s="17">
        <v>85514</v>
      </c>
      <c r="K725" s="19">
        <f t="shared" si="245"/>
        <v>2850455</v>
      </c>
      <c r="L725" s="18"/>
      <c r="M725" s="18"/>
      <c r="N725" s="18"/>
      <c r="O725" s="19">
        <f t="shared" si="246"/>
        <v>2787302</v>
      </c>
      <c r="P725" s="21">
        <f t="shared" si="247"/>
        <v>3.0279961298839679</v>
      </c>
      <c r="Q725" s="17">
        <v>2703683</v>
      </c>
      <c r="R725" s="17">
        <v>61259</v>
      </c>
      <c r="S725" s="19">
        <f t="shared" si="248"/>
        <v>2764942</v>
      </c>
      <c r="T725" s="20">
        <f t="shared" si="249"/>
        <v>0.03</v>
      </c>
      <c r="U725" s="19">
        <f t="shared" si="250"/>
        <v>85513.67010309278</v>
      </c>
      <c r="V725" s="17">
        <v>85514</v>
      </c>
      <c r="W725" s="19">
        <f t="shared" si="251"/>
        <v>-0.32989690722024534</v>
      </c>
      <c r="X725" s="19">
        <f t="shared" si="252"/>
        <v>85514</v>
      </c>
      <c r="Y725" s="17">
        <v>83619</v>
      </c>
      <c r="Z725" s="17">
        <v>1895</v>
      </c>
      <c r="AA725" s="19">
        <f t="shared" si="253"/>
        <v>0</v>
      </c>
      <c r="AB725" s="17">
        <v>2764942</v>
      </c>
      <c r="AC725" s="27">
        <v>24.687999999999999</v>
      </c>
      <c r="AD725" s="27">
        <v>24.157499999999999</v>
      </c>
      <c r="AE725" s="22">
        <f t="shared" si="254"/>
        <v>114454.80699575701</v>
      </c>
      <c r="AF725" s="23">
        <f t="shared" si="255"/>
        <v>-1</v>
      </c>
      <c r="AG725" s="23">
        <f t="shared" si="256"/>
        <v>0</v>
      </c>
      <c r="AH725" s="17">
        <v>2850455.0365809798</v>
      </c>
      <c r="AI725" s="24">
        <f t="shared" si="257"/>
        <v>1.0309276059248187</v>
      </c>
      <c r="AJ725" s="25">
        <v>380278688.52459002</v>
      </c>
      <c r="AK725" s="24">
        <f t="shared" si="258"/>
        <v>2.4306775394646391E-2</v>
      </c>
      <c r="AL725" s="22">
        <f t="shared" si="259"/>
        <v>25324.242929692889</v>
      </c>
      <c r="AM725" s="22">
        <f t="shared" si="260"/>
        <v>114454.80699575701</v>
      </c>
      <c r="AN725" s="22">
        <f t="shared" si="261"/>
        <v>-89130.564066064122</v>
      </c>
      <c r="AO725" s="26" t="str">
        <f t="shared" si="262"/>
        <v/>
      </c>
      <c r="AP725" s="26" t="str">
        <f t="shared" si="263"/>
        <v>pre-launch</v>
      </c>
      <c r="AQ725" s="18"/>
      <c r="AR725" s="18"/>
    </row>
    <row r="726" spans="1:44" x14ac:dyDescent="0.25">
      <c r="A726" s="43">
        <v>45787</v>
      </c>
      <c r="B726" s="17">
        <v>5771644873.0699997</v>
      </c>
      <c r="C726" s="17">
        <v>0</v>
      </c>
      <c r="D726" s="17">
        <v>183465847</v>
      </c>
      <c r="E726" s="19">
        <f t="shared" si="242"/>
        <v>5771644873.0699997</v>
      </c>
      <c r="F726" s="19">
        <f t="shared" si="243"/>
        <v>5955110720.0699997</v>
      </c>
      <c r="G726" s="20">
        <f t="shared" si="244"/>
        <v>0</v>
      </c>
      <c r="H726" s="17">
        <v>1677142</v>
      </c>
      <c r="I726" s="17">
        <v>37161</v>
      </c>
      <c r="J726" s="17">
        <v>50509</v>
      </c>
      <c r="K726" s="19">
        <f t="shared" si="245"/>
        <v>1714303</v>
      </c>
      <c r="L726" s="18"/>
      <c r="M726" s="18"/>
      <c r="N726" s="18"/>
      <c r="O726" s="19">
        <f t="shared" si="246"/>
        <v>1677142</v>
      </c>
      <c r="P726" s="21">
        <f t="shared" si="247"/>
        <v>2.9058302041856399</v>
      </c>
      <c r="Q726" s="17">
        <v>1626828</v>
      </c>
      <c r="R726" s="17">
        <v>36046</v>
      </c>
      <c r="S726" s="19">
        <f t="shared" si="248"/>
        <v>1662874</v>
      </c>
      <c r="T726" s="20">
        <f t="shared" si="249"/>
        <v>0.03</v>
      </c>
      <c r="U726" s="19">
        <f t="shared" si="250"/>
        <v>51429.092783505155</v>
      </c>
      <c r="V726" s="17">
        <v>50509</v>
      </c>
      <c r="W726" s="19">
        <f t="shared" si="251"/>
        <v>920.09278350515524</v>
      </c>
      <c r="X726" s="19">
        <f t="shared" si="252"/>
        <v>51429</v>
      </c>
      <c r="Y726" s="17">
        <v>50314</v>
      </c>
      <c r="Z726" s="17">
        <v>1115</v>
      </c>
      <c r="AA726" s="19">
        <f t="shared" si="253"/>
        <v>920</v>
      </c>
      <c r="AB726" s="17">
        <v>1662874</v>
      </c>
      <c r="AC726" s="27">
        <v>26.222000000000001</v>
      </c>
      <c r="AD726" s="27">
        <v>25.3675</v>
      </c>
      <c r="AE726" s="22">
        <f t="shared" si="254"/>
        <v>65551.355080319307</v>
      </c>
      <c r="AF726" s="23">
        <f t="shared" si="255"/>
        <v>0</v>
      </c>
      <c r="AG726" s="23">
        <f t="shared" si="256"/>
        <v>0</v>
      </c>
      <c r="AH726" s="17">
        <v>1683620.3360289901</v>
      </c>
      <c r="AI726" s="24">
        <f t="shared" si="257"/>
        <v>1.0124761924409127</v>
      </c>
      <c r="AJ726" s="25">
        <v>380415300.54644799</v>
      </c>
      <c r="AK726" s="24">
        <f t="shared" si="258"/>
        <v>2.4302410565080375E-2</v>
      </c>
      <c r="AL726" s="22">
        <f t="shared" si="259"/>
        <v>25328.791285255407</v>
      </c>
      <c r="AM726" s="22">
        <f t="shared" si="260"/>
        <v>65551.355080319307</v>
      </c>
      <c r="AN726" s="22">
        <f t="shared" si="261"/>
        <v>-40222.563795063899</v>
      </c>
      <c r="AO726" s="26" t="str">
        <f t="shared" si="262"/>
        <v/>
      </c>
      <c r="AP726" s="26" t="str">
        <f t="shared" si="263"/>
        <v>pre-launch</v>
      </c>
      <c r="AQ726" s="18"/>
      <c r="AR726" s="18"/>
    </row>
    <row r="727" spans="1:44" x14ac:dyDescent="0.25">
      <c r="A727" s="43">
        <v>45788</v>
      </c>
      <c r="B727" s="17">
        <v>6586463067.0299997</v>
      </c>
      <c r="C727" s="17">
        <v>0</v>
      </c>
      <c r="D727" s="17">
        <v>203456685</v>
      </c>
      <c r="E727" s="19">
        <f t="shared" si="242"/>
        <v>6586463067.0299997</v>
      </c>
      <c r="F727" s="19">
        <f t="shared" si="243"/>
        <v>6789919752.0299997</v>
      </c>
      <c r="G727" s="20">
        <f t="shared" si="244"/>
        <v>0</v>
      </c>
      <c r="H727" s="17">
        <v>2012374</v>
      </c>
      <c r="I727" s="17">
        <v>46917</v>
      </c>
      <c r="J727" s="17">
        <v>62699</v>
      </c>
      <c r="K727" s="19">
        <f t="shared" si="245"/>
        <v>2059291</v>
      </c>
      <c r="L727" s="18"/>
      <c r="M727" s="18"/>
      <c r="N727" s="18"/>
      <c r="O727" s="19">
        <f t="shared" si="246"/>
        <v>2012374</v>
      </c>
      <c r="P727" s="21">
        <f t="shared" si="247"/>
        <v>3.0553181267703207</v>
      </c>
      <c r="Q727" s="17">
        <v>1952003</v>
      </c>
      <c r="R727" s="17">
        <v>45509</v>
      </c>
      <c r="S727" s="19">
        <f t="shared" si="248"/>
        <v>1997512</v>
      </c>
      <c r="T727" s="20">
        <f t="shared" si="249"/>
        <v>0.03</v>
      </c>
      <c r="U727" s="19">
        <f t="shared" si="250"/>
        <v>61778.721649484542</v>
      </c>
      <c r="V727" s="17">
        <v>62699</v>
      </c>
      <c r="W727" s="19">
        <f t="shared" si="251"/>
        <v>-920.27835051545844</v>
      </c>
      <c r="X727" s="19">
        <f t="shared" si="252"/>
        <v>61779</v>
      </c>
      <c r="Y727" s="17">
        <v>60371</v>
      </c>
      <c r="Z727" s="17">
        <v>1408</v>
      </c>
      <c r="AA727" s="19">
        <f t="shared" si="253"/>
        <v>-920</v>
      </c>
      <c r="AB727" s="17">
        <v>1997512</v>
      </c>
      <c r="AC727" s="27">
        <v>24.885000000000002</v>
      </c>
      <c r="AD727" s="27">
        <v>25.334250000000001</v>
      </c>
      <c r="AE727" s="22">
        <f t="shared" si="254"/>
        <v>78846.304903440992</v>
      </c>
      <c r="AF727" s="23">
        <f t="shared" si="255"/>
        <v>0</v>
      </c>
      <c r="AG727" s="23">
        <f t="shared" si="256"/>
        <v>0</v>
      </c>
      <c r="AH727" s="17">
        <v>2089973.3801200399</v>
      </c>
      <c r="AI727" s="24">
        <f t="shared" si="257"/>
        <v>1.046288272671223</v>
      </c>
      <c r="AJ727" s="25">
        <v>380551912.56830603</v>
      </c>
      <c r="AK727" s="24">
        <f t="shared" si="258"/>
        <v>2.4298048086080867E-2</v>
      </c>
      <c r="AL727" s="22">
        <f t="shared" si="259"/>
        <v>25333.338824204773</v>
      </c>
      <c r="AM727" s="22">
        <f t="shared" si="260"/>
        <v>78846.304903440992</v>
      </c>
      <c r="AN727" s="22">
        <f t="shared" si="261"/>
        <v>-53512.966079236219</v>
      </c>
      <c r="AO727" s="26" t="str">
        <f t="shared" si="262"/>
        <v/>
      </c>
      <c r="AP727" s="26" t="str">
        <f t="shared" si="263"/>
        <v>pre-launch</v>
      </c>
      <c r="AQ727" s="18"/>
      <c r="AR727" s="18"/>
    </row>
    <row r="728" spans="1:44" x14ac:dyDescent="0.25">
      <c r="A728" s="43">
        <v>45789</v>
      </c>
      <c r="B728" s="17">
        <v>11465187013.32</v>
      </c>
      <c r="C728" s="17">
        <v>0</v>
      </c>
      <c r="D728" s="17">
        <v>218167542</v>
      </c>
      <c r="E728" s="19">
        <f t="shared" si="242"/>
        <v>11465187013.32</v>
      </c>
      <c r="F728" s="19">
        <f t="shared" si="243"/>
        <v>11683354555.32</v>
      </c>
      <c r="G728" s="20">
        <f t="shared" si="244"/>
        <v>0</v>
      </c>
      <c r="H728" s="17">
        <v>3322653</v>
      </c>
      <c r="I728" s="17">
        <v>47049</v>
      </c>
      <c r="J728" s="17">
        <v>100768</v>
      </c>
      <c r="K728" s="19">
        <f t="shared" si="245"/>
        <v>3369702</v>
      </c>
      <c r="L728" s="18"/>
      <c r="M728" s="18"/>
      <c r="N728" s="18"/>
      <c r="O728" s="19">
        <f t="shared" si="246"/>
        <v>3322653</v>
      </c>
      <c r="P728" s="21">
        <f t="shared" si="247"/>
        <v>2.8980364612804097</v>
      </c>
      <c r="Q728" s="17">
        <v>3222974</v>
      </c>
      <c r="R728" s="17">
        <v>45638</v>
      </c>
      <c r="S728" s="19">
        <f t="shared" si="248"/>
        <v>3268612</v>
      </c>
      <c r="T728" s="20">
        <f t="shared" si="249"/>
        <v>0.03</v>
      </c>
      <c r="U728" s="19">
        <f t="shared" si="250"/>
        <v>101091.09278350516</v>
      </c>
      <c r="V728" s="17">
        <v>100768</v>
      </c>
      <c r="W728" s="19">
        <f t="shared" si="251"/>
        <v>323.09278350515524</v>
      </c>
      <c r="X728" s="19">
        <f t="shared" si="252"/>
        <v>101091</v>
      </c>
      <c r="Y728" s="17">
        <v>99680</v>
      </c>
      <c r="Z728" s="17">
        <v>1411</v>
      </c>
      <c r="AA728" s="19">
        <f t="shared" si="253"/>
        <v>323</v>
      </c>
      <c r="AB728" s="17">
        <v>3268612</v>
      </c>
      <c r="AC728" s="27">
        <v>24.821000000000002</v>
      </c>
      <c r="AD728" s="27">
        <v>24.66075</v>
      </c>
      <c r="AE728" s="22">
        <f t="shared" si="254"/>
        <v>132543.08972760357</v>
      </c>
      <c r="AF728" s="23">
        <f t="shared" si="255"/>
        <v>-1</v>
      </c>
      <c r="AG728" s="23">
        <f t="shared" si="256"/>
        <v>0</v>
      </c>
      <c r="AH728" s="17">
        <v>3358920.6162700099</v>
      </c>
      <c r="AI728" s="24">
        <f t="shared" si="257"/>
        <v>1.0276290414004507</v>
      </c>
      <c r="AJ728" s="25">
        <v>380688524.59016401</v>
      </c>
      <c r="AK728" s="24">
        <f t="shared" si="258"/>
        <v>2.4293687955538892E-2</v>
      </c>
      <c r="AL728" s="22">
        <f t="shared" si="259"/>
        <v>25337.885546980655</v>
      </c>
      <c r="AM728" s="22">
        <f t="shared" si="260"/>
        <v>132543.08972760357</v>
      </c>
      <c r="AN728" s="22">
        <f t="shared" si="261"/>
        <v>-107205.20418062291</v>
      </c>
      <c r="AO728" s="26" t="str">
        <f t="shared" si="262"/>
        <v/>
      </c>
      <c r="AP728" s="26" t="str">
        <f t="shared" si="263"/>
        <v>pre-launch</v>
      </c>
      <c r="AQ728" s="18"/>
      <c r="AR728" s="18"/>
    </row>
    <row r="729" spans="1:44" x14ac:dyDescent="0.25">
      <c r="A729" s="43">
        <v>45790</v>
      </c>
      <c r="B729" s="17">
        <v>8383620368.1199999</v>
      </c>
      <c r="C729" s="17">
        <v>0</v>
      </c>
      <c r="D729" s="17">
        <v>187661133</v>
      </c>
      <c r="E729" s="19">
        <f t="shared" si="242"/>
        <v>8383620368.1199999</v>
      </c>
      <c r="F729" s="19">
        <f t="shared" si="243"/>
        <v>8571281501.1199999</v>
      </c>
      <c r="G729" s="20">
        <f t="shared" si="244"/>
        <v>0</v>
      </c>
      <c r="H729" s="17">
        <v>2435583</v>
      </c>
      <c r="I729" s="17">
        <v>42000</v>
      </c>
      <c r="J729" s="17">
        <v>74651</v>
      </c>
      <c r="K729" s="19">
        <f t="shared" si="245"/>
        <v>2477583</v>
      </c>
      <c r="L729" s="18"/>
      <c r="M729" s="18"/>
      <c r="N729" s="18"/>
      <c r="O729" s="19">
        <f t="shared" si="246"/>
        <v>2435583</v>
      </c>
      <c r="P729" s="21">
        <f t="shared" si="247"/>
        <v>2.9051685227323478</v>
      </c>
      <c r="Q729" s="17">
        <v>2362515</v>
      </c>
      <c r="R729" s="17">
        <v>40740</v>
      </c>
      <c r="S729" s="19">
        <f t="shared" si="248"/>
        <v>2403255</v>
      </c>
      <c r="T729" s="20">
        <f t="shared" si="249"/>
        <v>0.03</v>
      </c>
      <c r="U729" s="19">
        <f t="shared" si="250"/>
        <v>74327.474226804115</v>
      </c>
      <c r="V729" s="17">
        <v>74651</v>
      </c>
      <c r="W729" s="19">
        <f t="shared" si="251"/>
        <v>-323.52577319588454</v>
      </c>
      <c r="X729" s="19">
        <f t="shared" si="252"/>
        <v>74327</v>
      </c>
      <c r="Y729" s="17">
        <v>73067</v>
      </c>
      <c r="Z729" s="17">
        <v>1260</v>
      </c>
      <c r="AA729" s="19">
        <f t="shared" si="253"/>
        <v>-324</v>
      </c>
      <c r="AB729" s="17">
        <v>2403255</v>
      </c>
      <c r="AC729" s="27">
        <v>25.8</v>
      </c>
      <c r="AD729" s="27">
        <v>25.1145</v>
      </c>
      <c r="AE729" s="22">
        <f t="shared" si="254"/>
        <v>95691.930956220516</v>
      </c>
      <c r="AF729" s="23">
        <f t="shared" si="255"/>
        <v>1</v>
      </c>
      <c r="AG729" s="23">
        <f t="shared" si="256"/>
        <v>0</v>
      </c>
      <c r="AH729" s="17">
        <v>2488364.6251229602</v>
      </c>
      <c r="AI729" s="24">
        <f t="shared" si="257"/>
        <v>1.0354143131390385</v>
      </c>
      <c r="AJ729" s="25">
        <v>380825136.61202198</v>
      </c>
      <c r="AK729" s="24">
        <f t="shared" si="258"/>
        <v>2.4289330171348128E-2</v>
      </c>
      <c r="AL729" s="22">
        <f t="shared" si="259"/>
        <v>25342.431454022349</v>
      </c>
      <c r="AM729" s="22">
        <f t="shared" si="260"/>
        <v>95691.930956220516</v>
      </c>
      <c r="AN729" s="22">
        <f t="shared" si="261"/>
        <v>-70349.499502198159</v>
      </c>
      <c r="AO729" s="26" t="str">
        <f t="shared" si="262"/>
        <v/>
      </c>
      <c r="AP729" s="26" t="str">
        <f t="shared" si="263"/>
        <v>pre-launch</v>
      </c>
      <c r="AQ729" s="18"/>
      <c r="AR729" s="18"/>
    </row>
    <row r="730" spans="1:44" x14ac:dyDescent="0.25">
      <c r="A730" s="43">
        <v>45791</v>
      </c>
      <c r="B730" s="17">
        <v>7000956820.5</v>
      </c>
      <c r="C730" s="17">
        <v>0</v>
      </c>
      <c r="D730" s="17">
        <v>164936595</v>
      </c>
      <c r="E730" s="19">
        <f t="shared" si="242"/>
        <v>7000956820.5</v>
      </c>
      <c r="F730" s="19">
        <f t="shared" si="243"/>
        <v>7165893415.5</v>
      </c>
      <c r="G730" s="20">
        <f t="shared" si="244"/>
        <v>0</v>
      </c>
      <c r="H730" s="17">
        <v>1980037</v>
      </c>
      <c r="I730" s="17">
        <v>35587</v>
      </c>
      <c r="J730" s="17">
        <v>60065</v>
      </c>
      <c r="K730" s="19">
        <f t="shared" si="245"/>
        <v>2015624</v>
      </c>
      <c r="L730" s="18"/>
      <c r="M730" s="18"/>
      <c r="N730" s="18"/>
      <c r="O730" s="19">
        <f t="shared" si="246"/>
        <v>1980037</v>
      </c>
      <c r="P730" s="21">
        <f t="shared" si="247"/>
        <v>2.8282376977417036</v>
      </c>
      <c r="Q730" s="17">
        <v>1920636</v>
      </c>
      <c r="R730" s="17">
        <v>34519</v>
      </c>
      <c r="S730" s="19">
        <f t="shared" si="248"/>
        <v>1955155</v>
      </c>
      <c r="T730" s="20">
        <f t="shared" si="249"/>
        <v>0.03</v>
      </c>
      <c r="U730" s="19">
        <f t="shared" si="250"/>
        <v>60468.711340206188</v>
      </c>
      <c r="V730" s="17">
        <v>60065</v>
      </c>
      <c r="W730" s="19">
        <f t="shared" si="251"/>
        <v>403.71134020618774</v>
      </c>
      <c r="X730" s="19">
        <f t="shared" si="252"/>
        <v>60469</v>
      </c>
      <c r="Y730" s="17">
        <v>59401</v>
      </c>
      <c r="Z730" s="17">
        <v>1068</v>
      </c>
      <c r="AA730" s="19">
        <f t="shared" si="253"/>
        <v>404</v>
      </c>
      <c r="AB730" s="17">
        <v>1955155</v>
      </c>
      <c r="AC730" s="27">
        <v>25.190999999999999</v>
      </c>
      <c r="AD730" s="27">
        <v>25.437999999999999</v>
      </c>
      <c r="AE730" s="22">
        <f t="shared" si="254"/>
        <v>76859.619466939228</v>
      </c>
      <c r="AF730" s="23">
        <f t="shared" si="255"/>
        <v>0</v>
      </c>
      <c r="AG730" s="23">
        <f t="shared" si="256"/>
        <v>0</v>
      </c>
      <c r="AH730" s="17">
        <v>2002157.03902</v>
      </c>
      <c r="AI730" s="24">
        <f t="shared" si="257"/>
        <v>1.0240400577038649</v>
      </c>
      <c r="AJ730" s="25">
        <v>380961748.63388002</v>
      </c>
      <c r="AK730" s="24">
        <f t="shared" si="258"/>
        <v>2.4284974731404892E-2</v>
      </c>
      <c r="AL730" s="22">
        <f t="shared" si="259"/>
        <v>25346.976545768761</v>
      </c>
      <c r="AM730" s="22">
        <f t="shared" si="260"/>
        <v>76859.619466939228</v>
      </c>
      <c r="AN730" s="22">
        <f t="shared" si="261"/>
        <v>-51512.642921170467</v>
      </c>
      <c r="AO730" s="26" t="str">
        <f t="shared" si="262"/>
        <v/>
      </c>
      <c r="AP730" s="26" t="str">
        <f t="shared" si="263"/>
        <v>pre-launch</v>
      </c>
      <c r="AQ730" s="18"/>
      <c r="AR730" s="18"/>
    </row>
    <row r="731" spans="1:44" x14ac:dyDescent="0.25">
      <c r="A731" s="43">
        <v>45792</v>
      </c>
      <c r="B731" s="17">
        <v>7691386938.5699997</v>
      </c>
      <c r="C731" s="17">
        <v>0</v>
      </c>
      <c r="D731" s="17">
        <v>176738006</v>
      </c>
      <c r="E731" s="19">
        <f t="shared" si="242"/>
        <v>7691386938.5699997</v>
      </c>
      <c r="F731" s="19">
        <f t="shared" si="243"/>
        <v>7868124944.5699997</v>
      </c>
      <c r="G731" s="20">
        <f t="shared" si="244"/>
        <v>0</v>
      </c>
      <c r="H731" s="17">
        <v>2154451</v>
      </c>
      <c r="I731" s="17">
        <v>36989</v>
      </c>
      <c r="J731" s="17">
        <v>66147</v>
      </c>
      <c r="K731" s="19">
        <f t="shared" si="245"/>
        <v>2191440</v>
      </c>
      <c r="L731" s="18"/>
      <c r="M731" s="18"/>
      <c r="N731" s="18"/>
      <c r="O731" s="19">
        <f t="shared" si="246"/>
        <v>2154451</v>
      </c>
      <c r="P731" s="21">
        <f t="shared" si="247"/>
        <v>2.8011215886124181</v>
      </c>
      <c r="Q731" s="17">
        <v>2089817</v>
      </c>
      <c r="R731" s="17">
        <v>35880</v>
      </c>
      <c r="S731" s="19">
        <f t="shared" si="248"/>
        <v>2125697</v>
      </c>
      <c r="T731" s="20">
        <f t="shared" si="249"/>
        <v>0.03</v>
      </c>
      <c r="U731" s="19">
        <f t="shared" si="250"/>
        <v>65743.206185567004</v>
      </c>
      <c r="V731" s="17">
        <v>66147</v>
      </c>
      <c r="W731" s="19">
        <f t="shared" si="251"/>
        <v>-403.79381443299644</v>
      </c>
      <c r="X731" s="19">
        <f t="shared" si="252"/>
        <v>65744</v>
      </c>
      <c r="Y731" s="17">
        <v>64634</v>
      </c>
      <c r="Z731" s="17">
        <v>1110</v>
      </c>
      <c r="AA731" s="19">
        <f t="shared" si="253"/>
        <v>-403</v>
      </c>
      <c r="AB731" s="17">
        <v>2125697</v>
      </c>
      <c r="AC731" s="27">
        <v>26.097999999999999</v>
      </c>
      <c r="AD731" s="27">
        <v>25.4345</v>
      </c>
      <c r="AE731" s="22">
        <f t="shared" si="254"/>
        <v>83575.340580707314</v>
      </c>
      <c r="AF731" s="23">
        <f t="shared" si="255"/>
        <v>-1</v>
      </c>
      <c r="AG731" s="23">
        <f t="shared" si="256"/>
        <v>0</v>
      </c>
      <c r="AH731" s="17">
        <v>2204907.2061449899</v>
      </c>
      <c r="AI731" s="24">
        <f t="shared" si="257"/>
        <v>1.0372631688076852</v>
      </c>
      <c r="AJ731" s="25">
        <v>381098360.655738</v>
      </c>
      <c r="AK731" s="24">
        <f t="shared" si="258"/>
        <v>2.4280621633608151E-2</v>
      </c>
      <c r="AL731" s="22">
        <f t="shared" si="259"/>
        <v>25351.520822658396</v>
      </c>
      <c r="AM731" s="22">
        <f t="shared" si="260"/>
        <v>83575.340580707314</v>
      </c>
      <c r="AN731" s="22">
        <f t="shared" si="261"/>
        <v>-58223.819758048921</v>
      </c>
      <c r="AO731" s="26" t="str">
        <f t="shared" si="262"/>
        <v/>
      </c>
      <c r="AP731" s="26" t="str">
        <f t="shared" si="263"/>
        <v>pre-launch</v>
      </c>
      <c r="AQ731" s="18"/>
      <c r="AR731" s="18"/>
    </row>
    <row r="732" spans="1:44" x14ac:dyDescent="0.25">
      <c r="A732" s="43">
        <v>45793</v>
      </c>
      <c r="B732" s="17">
        <v>6286215708.9099998</v>
      </c>
      <c r="C732" s="17">
        <v>0</v>
      </c>
      <c r="D732" s="17">
        <v>226665977</v>
      </c>
      <c r="E732" s="19">
        <f t="shared" si="242"/>
        <v>6286215708.9099998</v>
      </c>
      <c r="F732" s="19">
        <f t="shared" si="243"/>
        <v>6512881685.9099998</v>
      </c>
      <c r="G732" s="20">
        <f t="shared" si="244"/>
        <v>0</v>
      </c>
      <c r="H732" s="17">
        <v>1713351</v>
      </c>
      <c r="I732" s="17">
        <v>52053</v>
      </c>
      <c r="J732" s="17">
        <v>52040</v>
      </c>
      <c r="K732" s="19">
        <f t="shared" si="245"/>
        <v>1765404</v>
      </c>
      <c r="L732" s="18"/>
      <c r="M732" s="18"/>
      <c r="N732" s="18"/>
      <c r="O732" s="19">
        <f t="shared" si="246"/>
        <v>1713351</v>
      </c>
      <c r="P732" s="21">
        <f t="shared" si="247"/>
        <v>2.7255682581358425</v>
      </c>
      <c r="Q732" s="17">
        <v>1661950</v>
      </c>
      <c r="R732" s="17">
        <v>50491</v>
      </c>
      <c r="S732" s="19">
        <f t="shared" si="248"/>
        <v>1712441</v>
      </c>
      <c r="T732" s="20">
        <f t="shared" si="249"/>
        <v>0.03</v>
      </c>
      <c r="U732" s="19">
        <f t="shared" si="250"/>
        <v>52962.092783505155</v>
      </c>
      <c r="V732" s="17">
        <v>52040</v>
      </c>
      <c r="W732" s="19">
        <f t="shared" si="251"/>
        <v>922.09278350515524</v>
      </c>
      <c r="X732" s="19">
        <f t="shared" si="252"/>
        <v>52963</v>
      </c>
      <c r="Y732" s="17">
        <v>51401</v>
      </c>
      <c r="Z732" s="17">
        <v>1562</v>
      </c>
      <c r="AA732" s="19">
        <f t="shared" si="253"/>
        <v>923</v>
      </c>
      <c r="AB732" s="17">
        <v>1712441</v>
      </c>
      <c r="AC732" s="27">
        <v>26.8</v>
      </c>
      <c r="AD732" s="27">
        <v>26.708500000000001</v>
      </c>
      <c r="AE732" s="22">
        <f t="shared" si="254"/>
        <v>64115.955594660874</v>
      </c>
      <c r="AF732" s="23">
        <f t="shared" si="255"/>
        <v>0</v>
      </c>
      <c r="AG732" s="23">
        <f t="shared" si="256"/>
        <v>0</v>
      </c>
      <c r="AH732" s="17">
        <v>1734659.53543103</v>
      </c>
      <c r="AI732" s="24">
        <f t="shared" si="257"/>
        <v>1.0129747742731166</v>
      </c>
      <c r="AJ732" s="25">
        <v>381234972.67759597</v>
      </c>
      <c r="AK732" s="24">
        <f t="shared" si="258"/>
        <v>2.4276270875859495E-2</v>
      </c>
      <c r="AL732" s="22">
        <f t="shared" si="259"/>
        <v>25356.064285129349</v>
      </c>
      <c r="AM732" s="22">
        <f t="shared" si="260"/>
        <v>64115.955594660874</v>
      </c>
      <c r="AN732" s="22">
        <f t="shared" si="261"/>
        <v>-38759.891309531522</v>
      </c>
      <c r="AO732" s="26" t="str">
        <f t="shared" si="262"/>
        <v/>
      </c>
      <c r="AP732" s="26" t="str">
        <f t="shared" si="263"/>
        <v>pre-launch</v>
      </c>
      <c r="AQ732" s="18"/>
      <c r="AR732" s="18"/>
    </row>
    <row r="733" spans="1:44" x14ac:dyDescent="0.25">
      <c r="A733" s="43">
        <v>45794</v>
      </c>
      <c r="B733" s="17">
        <v>4365168405.25</v>
      </c>
      <c r="C733" s="17">
        <v>0</v>
      </c>
      <c r="D733" s="17">
        <v>181177333</v>
      </c>
      <c r="E733" s="19">
        <f t="shared" si="242"/>
        <v>4365168405.25</v>
      </c>
      <c r="F733" s="19">
        <f t="shared" si="243"/>
        <v>4546345738.25</v>
      </c>
      <c r="G733" s="20">
        <f t="shared" si="244"/>
        <v>0</v>
      </c>
      <c r="H733" s="17">
        <v>1169696</v>
      </c>
      <c r="I733" s="17">
        <v>44633</v>
      </c>
      <c r="J733" s="17">
        <v>37246</v>
      </c>
      <c r="K733" s="19">
        <f t="shared" si="245"/>
        <v>1214329</v>
      </c>
      <c r="L733" s="18"/>
      <c r="M733" s="18"/>
      <c r="N733" s="18"/>
      <c r="O733" s="19">
        <f t="shared" si="246"/>
        <v>1169696</v>
      </c>
      <c r="P733" s="21">
        <f t="shared" si="247"/>
        <v>2.6796125404765676</v>
      </c>
      <c r="Q733" s="17">
        <v>1134606</v>
      </c>
      <c r="R733" s="17">
        <v>43294</v>
      </c>
      <c r="S733" s="19">
        <f t="shared" si="248"/>
        <v>1177900</v>
      </c>
      <c r="T733" s="20">
        <f t="shared" si="249"/>
        <v>0.03</v>
      </c>
      <c r="U733" s="19">
        <f t="shared" si="250"/>
        <v>36429.896907216498</v>
      </c>
      <c r="V733" s="17">
        <v>37246</v>
      </c>
      <c r="W733" s="19">
        <f t="shared" si="251"/>
        <v>-816.10309278350178</v>
      </c>
      <c r="X733" s="19">
        <f t="shared" si="252"/>
        <v>36430</v>
      </c>
      <c r="Y733" s="17">
        <v>35091</v>
      </c>
      <c r="Z733" s="17">
        <v>1339</v>
      </c>
      <c r="AA733" s="19">
        <f t="shared" si="253"/>
        <v>-816</v>
      </c>
      <c r="AB733" s="17">
        <v>1177900</v>
      </c>
      <c r="AC733" s="27">
        <v>25.84</v>
      </c>
      <c r="AD733" s="27">
        <v>26.471</v>
      </c>
      <c r="AE733" s="22">
        <f t="shared" si="254"/>
        <v>44497.752257187109</v>
      </c>
      <c r="AF733" s="23">
        <f t="shared" si="255"/>
        <v>-1</v>
      </c>
      <c r="AG733" s="23">
        <f t="shared" si="256"/>
        <v>0</v>
      </c>
      <c r="AH733" s="17">
        <v>1241519.7095300001</v>
      </c>
      <c r="AI733" s="24">
        <f t="shared" si="257"/>
        <v>1.0540111295780628</v>
      </c>
      <c r="AJ733" s="25">
        <v>381371584.69945401</v>
      </c>
      <c r="AK733" s="24">
        <f t="shared" si="258"/>
        <v>2.4271922456063154E-2</v>
      </c>
      <c r="AL733" s="22">
        <f t="shared" si="259"/>
        <v>25360.606933619369</v>
      </c>
      <c r="AM733" s="22">
        <f t="shared" si="260"/>
        <v>44497.752257187109</v>
      </c>
      <c r="AN733" s="22">
        <f t="shared" si="261"/>
        <v>-19137.14532356774</v>
      </c>
      <c r="AO733" s="26" t="str">
        <f t="shared" si="262"/>
        <v/>
      </c>
      <c r="AP733" s="26" t="str">
        <f t="shared" si="263"/>
        <v>pre-launch</v>
      </c>
      <c r="AQ733" s="18"/>
      <c r="AR733" s="18"/>
    </row>
    <row r="734" spans="1:44" x14ac:dyDescent="0.25">
      <c r="A734" s="43">
        <v>45795</v>
      </c>
      <c r="B734" s="17">
        <v>7314944825.2200003</v>
      </c>
      <c r="C734" s="17">
        <v>0</v>
      </c>
      <c r="D734" s="17">
        <v>194262020</v>
      </c>
      <c r="E734" s="19">
        <f t="shared" si="242"/>
        <v>7314944825.2200003</v>
      </c>
      <c r="F734" s="19">
        <f t="shared" si="243"/>
        <v>7509206845.2200003</v>
      </c>
      <c r="G734" s="20">
        <f t="shared" si="244"/>
        <v>0</v>
      </c>
      <c r="H734" s="17">
        <v>2095160</v>
      </c>
      <c r="I734" s="17">
        <v>40738</v>
      </c>
      <c r="J734" s="17">
        <v>61380</v>
      </c>
      <c r="K734" s="19">
        <f t="shared" si="245"/>
        <v>2135898</v>
      </c>
      <c r="L734" s="18"/>
      <c r="M734" s="18"/>
      <c r="N734" s="18"/>
      <c r="O734" s="19">
        <f t="shared" si="246"/>
        <v>2095160</v>
      </c>
      <c r="P734" s="21">
        <f t="shared" si="247"/>
        <v>2.8642184596887743</v>
      </c>
      <c r="Q734" s="17">
        <v>2032305</v>
      </c>
      <c r="R734" s="17">
        <v>39516</v>
      </c>
      <c r="S734" s="19">
        <f t="shared" si="248"/>
        <v>2071821</v>
      </c>
      <c r="T734" s="20">
        <f t="shared" si="249"/>
        <v>0.03</v>
      </c>
      <c r="U734" s="19">
        <f t="shared" si="250"/>
        <v>64076.938144329899</v>
      </c>
      <c r="V734" s="17">
        <v>61380</v>
      </c>
      <c r="W734" s="19">
        <f t="shared" si="251"/>
        <v>2696.9381443298989</v>
      </c>
      <c r="X734" s="19">
        <f t="shared" si="252"/>
        <v>64077</v>
      </c>
      <c r="Y734" s="17">
        <v>62855</v>
      </c>
      <c r="Z734" s="17">
        <v>1222</v>
      </c>
      <c r="AA734" s="19">
        <f t="shared" si="253"/>
        <v>2697</v>
      </c>
      <c r="AB734" s="17">
        <v>2071821</v>
      </c>
      <c r="AC734" s="27">
        <v>27.055</v>
      </c>
      <c r="AD734" s="27">
        <v>26.5105</v>
      </c>
      <c r="AE734" s="22">
        <f t="shared" si="254"/>
        <v>78150.959053959756</v>
      </c>
      <c r="AF734" s="23">
        <f t="shared" si="255"/>
        <v>0</v>
      </c>
      <c r="AG734" s="23">
        <f t="shared" si="256"/>
        <v>0</v>
      </c>
      <c r="AH734" s="17">
        <v>2046014.3041489699</v>
      </c>
      <c r="AI734" s="24">
        <f t="shared" si="257"/>
        <v>0.98754395488267077</v>
      </c>
      <c r="AJ734" s="25">
        <v>381508196.72131199</v>
      </c>
      <c r="AK734" s="24">
        <f t="shared" si="258"/>
        <v>2.4267576372125985E-2</v>
      </c>
      <c r="AL734" s="22">
        <f t="shared" si="259"/>
        <v>25365.148768565763</v>
      </c>
      <c r="AM734" s="22">
        <f t="shared" si="260"/>
        <v>78150.959053959756</v>
      </c>
      <c r="AN734" s="22">
        <f t="shared" si="261"/>
        <v>-52785.810285393993</v>
      </c>
      <c r="AO734" s="26" t="str">
        <f t="shared" si="262"/>
        <v/>
      </c>
      <c r="AP734" s="26" t="str">
        <f t="shared" si="263"/>
        <v>pre-launch</v>
      </c>
      <c r="AQ734" s="18"/>
      <c r="AR734" s="18"/>
    </row>
    <row r="735" spans="1:44" x14ac:dyDescent="0.25">
      <c r="A735" s="43">
        <v>45796</v>
      </c>
      <c r="B735" s="17">
        <v>9535736914.4500008</v>
      </c>
      <c r="C735" s="17">
        <v>0</v>
      </c>
      <c r="D735" s="17">
        <v>233389144</v>
      </c>
      <c r="E735" s="19">
        <f t="shared" si="242"/>
        <v>9535736914.4500008</v>
      </c>
      <c r="F735" s="19">
        <f t="shared" si="243"/>
        <v>9769126058.4500008</v>
      </c>
      <c r="G735" s="20">
        <f t="shared" si="244"/>
        <v>0</v>
      </c>
      <c r="H735" s="17">
        <v>2617038</v>
      </c>
      <c r="I735" s="17">
        <v>51328</v>
      </c>
      <c r="J735" s="17">
        <v>82640</v>
      </c>
      <c r="K735" s="19">
        <f t="shared" si="245"/>
        <v>2668366</v>
      </c>
      <c r="L735" s="18"/>
      <c r="M735" s="18"/>
      <c r="N735" s="18"/>
      <c r="O735" s="19">
        <f t="shared" si="246"/>
        <v>2617038</v>
      </c>
      <c r="P735" s="21">
        <f t="shared" si="247"/>
        <v>2.7444528131163786</v>
      </c>
      <c r="Q735" s="17">
        <v>2538527</v>
      </c>
      <c r="R735" s="17">
        <v>49789</v>
      </c>
      <c r="S735" s="19">
        <f t="shared" si="248"/>
        <v>2588316</v>
      </c>
      <c r="T735" s="20">
        <f t="shared" si="249"/>
        <v>0.03</v>
      </c>
      <c r="U735" s="19">
        <f t="shared" si="250"/>
        <v>80051.010309278354</v>
      </c>
      <c r="V735" s="17">
        <v>82640</v>
      </c>
      <c r="W735" s="19">
        <f t="shared" si="251"/>
        <v>-2588.9896907216462</v>
      </c>
      <c r="X735" s="19">
        <f t="shared" si="252"/>
        <v>80051</v>
      </c>
      <c r="Y735" s="17">
        <v>78511</v>
      </c>
      <c r="Z735" s="17">
        <v>1540</v>
      </c>
      <c r="AA735" s="19">
        <f t="shared" si="253"/>
        <v>-2589</v>
      </c>
      <c r="AB735" s="17">
        <v>2588316</v>
      </c>
      <c r="AC735" s="27">
        <v>26.523</v>
      </c>
      <c r="AD735" s="27">
        <v>26.452500000000001</v>
      </c>
      <c r="AE735" s="22">
        <f t="shared" si="254"/>
        <v>97847.689254323792</v>
      </c>
      <c r="AF735" s="23">
        <f t="shared" si="255"/>
        <v>-1</v>
      </c>
      <c r="AG735" s="23">
        <f t="shared" si="256"/>
        <v>0</v>
      </c>
      <c r="AH735" s="17">
        <v>2754679.6958849998</v>
      </c>
      <c r="AI735" s="24">
        <f t="shared" si="257"/>
        <v>1.0642748782934541</v>
      </c>
      <c r="AJ735" s="25">
        <v>381644808.74316901</v>
      </c>
      <c r="AK735" s="24">
        <f t="shared" si="258"/>
        <v>2.4263232621957485E-2</v>
      </c>
      <c r="AL735" s="22">
        <f t="shared" si="259"/>
        <v>25369.689790405435</v>
      </c>
      <c r="AM735" s="22">
        <f t="shared" si="260"/>
        <v>97847.689254323792</v>
      </c>
      <c r="AN735" s="22">
        <f t="shared" si="261"/>
        <v>-72477.999463918357</v>
      </c>
      <c r="AO735" s="26" t="str">
        <f t="shared" si="262"/>
        <v/>
      </c>
      <c r="AP735" s="26" t="str">
        <f t="shared" si="263"/>
        <v>pre-launch</v>
      </c>
      <c r="AQ735" s="18"/>
      <c r="AR735" s="18"/>
    </row>
    <row r="736" spans="1:44" x14ac:dyDescent="0.25">
      <c r="A736" s="43">
        <v>45797</v>
      </c>
      <c r="B736" s="17">
        <v>11112341692.07</v>
      </c>
      <c r="C736" s="17">
        <v>0</v>
      </c>
      <c r="D736" s="17">
        <v>186962465</v>
      </c>
      <c r="E736" s="19">
        <f t="shared" si="242"/>
        <v>11112341692.07</v>
      </c>
      <c r="F736" s="19">
        <f t="shared" si="243"/>
        <v>11299304157.07</v>
      </c>
      <c r="G736" s="20">
        <f t="shared" si="244"/>
        <v>0</v>
      </c>
      <c r="H736" s="17">
        <v>3107938</v>
      </c>
      <c r="I736" s="17">
        <v>43659</v>
      </c>
      <c r="J736" s="17">
        <v>94762</v>
      </c>
      <c r="K736" s="19">
        <f t="shared" si="245"/>
        <v>3151597</v>
      </c>
      <c r="L736" s="18"/>
      <c r="M736" s="18"/>
      <c r="N736" s="18"/>
      <c r="O736" s="19">
        <f t="shared" si="246"/>
        <v>3107938</v>
      </c>
      <c r="P736" s="21">
        <f t="shared" si="247"/>
        <v>2.7968344441909032</v>
      </c>
      <c r="Q736" s="17">
        <v>3014700</v>
      </c>
      <c r="R736" s="17">
        <v>42349</v>
      </c>
      <c r="S736" s="19">
        <f t="shared" si="248"/>
        <v>3057049</v>
      </c>
      <c r="T736" s="20">
        <f t="shared" si="249"/>
        <v>0.03</v>
      </c>
      <c r="U736" s="19">
        <f t="shared" si="250"/>
        <v>94547.907216494845</v>
      </c>
      <c r="V736" s="17">
        <v>94762</v>
      </c>
      <c r="W736" s="19">
        <f t="shared" si="251"/>
        <v>-214.09278350515524</v>
      </c>
      <c r="X736" s="19">
        <f t="shared" si="252"/>
        <v>94548</v>
      </c>
      <c r="Y736" s="17">
        <v>93238</v>
      </c>
      <c r="Z736" s="17">
        <v>1310</v>
      </c>
      <c r="AA736" s="19">
        <f t="shared" si="253"/>
        <v>-214</v>
      </c>
      <c r="AB736" s="17">
        <v>3057049</v>
      </c>
      <c r="AC736" s="27">
        <v>26.504999999999999</v>
      </c>
      <c r="AD736" s="27">
        <v>26.378499999999999</v>
      </c>
      <c r="AE736" s="22">
        <f t="shared" si="254"/>
        <v>115891.69209773111</v>
      </c>
      <c r="AF736" s="23">
        <f t="shared" si="255"/>
        <v>0</v>
      </c>
      <c r="AG736" s="23">
        <f t="shared" si="256"/>
        <v>0</v>
      </c>
      <c r="AH736" s="17">
        <v>3158720.8408960099</v>
      </c>
      <c r="AI736" s="24">
        <f t="shared" si="257"/>
        <v>1.0332581652750774</v>
      </c>
      <c r="AJ736" s="25">
        <v>381781420.76502699</v>
      </c>
      <c r="AK736" s="24">
        <f t="shared" si="258"/>
        <v>2.4258891203469694E-2</v>
      </c>
      <c r="AL736" s="22">
        <f t="shared" si="259"/>
        <v>25374.229999575</v>
      </c>
      <c r="AM736" s="22">
        <f t="shared" si="260"/>
        <v>115891.69209773111</v>
      </c>
      <c r="AN736" s="22">
        <f t="shared" si="261"/>
        <v>-90517.462098156102</v>
      </c>
      <c r="AO736" s="26" t="str">
        <f t="shared" si="262"/>
        <v/>
      </c>
      <c r="AP736" s="26" t="str">
        <f t="shared" si="263"/>
        <v>pre-launch</v>
      </c>
      <c r="AQ736" s="18"/>
      <c r="AR736" s="18"/>
    </row>
    <row r="737" spans="1:44" x14ac:dyDescent="0.25">
      <c r="A737" s="43">
        <v>45798</v>
      </c>
      <c r="B737" s="17">
        <v>17607432132.959999</v>
      </c>
      <c r="C737" s="17">
        <v>0</v>
      </c>
      <c r="D737" s="17">
        <v>311374949</v>
      </c>
      <c r="E737" s="19">
        <f t="shared" si="242"/>
        <v>17607432132.959999</v>
      </c>
      <c r="F737" s="19">
        <f t="shared" si="243"/>
        <v>17918807081.959999</v>
      </c>
      <c r="G737" s="20">
        <f t="shared" si="244"/>
        <v>0</v>
      </c>
      <c r="H737" s="17">
        <v>4852801</v>
      </c>
      <c r="I737" s="17">
        <v>70408</v>
      </c>
      <c r="J737" s="17">
        <v>147696</v>
      </c>
      <c r="K737" s="19">
        <f t="shared" si="245"/>
        <v>4923209</v>
      </c>
      <c r="L737" s="18"/>
      <c r="M737" s="18"/>
      <c r="N737" s="18"/>
      <c r="O737" s="19">
        <f t="shared" si="246"/>
        <v>4852801</v>
      </c>
      <c r="P737" s="21">
        <f t="shared" si="247"/>
        <v>2.7561094447814818</v>
      </c>
      <c r="Q737" s="17">
        <v>4707217</v>
      </c>
      <c r="R737" s="17">
        <v>68295</v>
      </c>
      <c r="S737" s="19">
        <f t="shared" si="248"/>
        <v>4775512</v>
      </c>
      <c r="T737" s="20">
        <f t="shared" si="249"/>
        <v>0.03</v>
      </c>
      <c r="U737" s="19">
        <f t="shared" si="250"/>
        <v>147696.2474226804</v>
      </c>
      <c r="V737" s="17">
        <v>147696</v>
      </c>
      <c r="W737" s="19">
        <f t="shared" si="251"/>
        <v>0.24742268040427007</v>
      </c>
      <c r="X737" s="19">
        <f t="shared" si="252"/>
        <v>147696</v>
      </c>
      <c r="Y737" s="17">
        <v>145584</v>
      </c>
      <c r="Z737" s="17">
        <v>2112</v>
      </c>
      <c r="AA737" s="19">
        <f t="shared" si="253"/>
        <v>0</v>
      </c>
      <c r="AB737" s="17">
        <v>4775512</v>
      </c>
      <c r="AC737" s="27">
        <v>28.268000000000001</v>
      </c>
      <c r="AD737" s="27">
        <v>27.288499999999999</v>
      </c>
      <c r="AE737" s="22">
        <f t="shared" si="254"/>
        <v>175000.89781409752</v>
      </c>
      <c r="AF737" s="23">
        <f t="shared" si="255"/>
        <v>1</v>
      </c>
      <c r="AG737" s="23">
        <f t="shared" si="256"/>
        <v>0</v>
      </c>
      <c r="AH737" s="17">
        <v>4923208.6186609901</v>
      </c>
      <c r="AI737" s="24">
        <f t="shared" si="257"/>
        <v>1.0309279127894537</v>
      </c>
      <c r="AJ737" s="25">
        <v>381918032.78688502</v>
      </c>
      <c r="AK737" s="24">
        <f t="shared" si="258"/>
        <v>2.4254552114577353E-2</v>
      </c>
      <c r="AL737" s="22">
        <f t="shared" si="259"/>
        <v>25378.769396510586</v>
      </c>
      <c r="AM737" s="22">
        <f t="shared" si="260"/>
        <v>175000.89781409752</v>
      </c>
      <c r="AN737" s="22">
        <f t="shared" si="261"/>
        <v>-149622.12841758694</v>
      </c>
      <c r="AO737" s="26" t="str">
        <f t="shared" si="262"/>
        <v/>
      </c>
      <c r="AP737" s="26" t="str">
        <f t="shared" si="263"/>
        <v>pre-launch</v>
      </c>
      <c r="AQ737" s="18"/>
      <c r="AR737" s="18"/>
    </row>
    <row r="738" spans="1:44" x14ac:dyDescent="0.25">
      <c r="A738" s="43">
        <v>45799</v>
      </c>
      <c r="B738" s="17">
        <v>11653389156.530001</v>
      </c>
      <c r="C738" s="17">
        <v>0</v>
      </c>
      <c r="D738" s="17">
        <v>502129527</v>
      </c>
      <c r="E738" s="19">
        <f t="shared" si="242"/>
        <v>11653389156.530001</v>
      </c>
      <c r="F738" s="19">
        <f t="shared" si="243"/>
        <v>12155518683.530001</v>
      </c>
      <c r="G738" s="20">
        <f t="shared" si="244"/>
        <v>0</v>
      </c>
      <c r="H738" s="17">
        <v>3268952</v>
      </c>
      <c r="I738" s="17">
        <v>113648</v>
      </c>
      <c r="J738" s="17">
        <v>101478</v>
      </c>
      <c r="K738" s="19">
        <f t="shared" si="245"/>
        <v>3382600</v>
      </c>
      <c r="L738" s="18"/>
      <c r="M738" s="18"/>
      <c r="N738" s="18"/>
      <c r="O738" s="19">
        <f t="shared" si="246"/>
        <v>3268952</v>
      </c>
      <c r="P738" s="21">
        <f t="shared" si="247"/>
        <v>2.8051513221526938</v>
      </c>
      <c r="Q738" s="17">
        <v>3170883</v>
      </c>
      <c r="R738" s="17">
        <v>110239</v>
      </c>
      <c r="S738" s="19">
        <f t="shared" si="248"/>
        <v>3281122</v>
      </c>
      <c r="T738" s="20">
        <f t="shared" si="249"/>
        <v>0.03</v>
      </c>
      <c r="U738" s="19">
        <f t="shared" si="250"/>
        <v>101478</v>
      </c>
      <c r="V738" s="17">
        <v>101478</v>
      </c>
      <c r="W738" s="19">
        <f t="shared" si="251"/>
        <v>0</v>
      </c>
      <c r="X738" s="19">
        <f t="shared" si="252"/>
        <v>101478</v>
      </c>
      <c r="Y738" s="17">
        <v>98069</v>
      </c>
      <c r="Z738" s="17">
        <v>3409</v>
      </c>
      <c r="AA738" s="19">
        <f t="shared" si="253"/>
        <v>0</v>
      </c>
      <c r="AB738" s="17">
        <v>3281122</v>
      </c>
      <c r="AC738" s="27">
        <v>33.412999999999997</v>
      </c>
      <c r="AD738" s="27">
        <v>30.959499999999998</v>
      </c>
      <c r="AE738" s="22">
        <f t="shared" si="254"/>
        <v>105981.10434600043</v>
      </c>
      <c r="AF738" s="23">
        <f t="shared" si="255"/>
        <v>0</v>
      </c>
      <c r="AG738" s="23">
        <f t="shared" si="256"/>
        <v>0</v>
      </c>
      <c r="AH738" s="17">
        <v>3382599.8924890198</v>
      </c>
      <c r="AI738" s="24">
        <f t="shared" si="257"/>
        <v>1.030927802285017</v>
      </c>
      <c r="AJ738" s="25">
        <v>382054644.808743</v>
      </c>
      <c r="AK738" s="24">
        <f t="shared" si="258"/>
        <v>2.4250215353197779E-2</v>
      </c>
      <c r="AL738" s="22">
        <f t="shared" si="259"/>
        <v>25383.307981647955</v>
      </c>
      <c r="AM738" s="22">
        <f t="shared" si="260"/>
        <v>105981.10434600043</v>
      </c>
      <c r="AN738" s="22">
        <f t="shared" si="261"/>
        <v>-80597.796364352471</v>
      </c>
      <c r="AO738" s="26" t="str">
        <f t="shared" si="262"/>
        <v/>
      </c>
      <c r="AP738" s="26" t="str">
        <f t="shared" si="263"/>
        <v>pre-launch</v>
      </c>
      <c r="AQ738" s="18"/>
      <c r="AR738" s="18"/>
    </row>
    <row r="739" spans="1:44" x14ac:dyDescent="0.25">
      <c r="A739" s="43">
        <v>45800</v>
      </c>
      <c r="B739" s="17">
        <v>13132043868.870001</v>
      </c>
      <c r="C739" s="17">
        <v>0</v>
      </c>
      <c r="D739" s="17">
        <v>590232173</v>
      </c>
      <c r="E739" s="19">
        <f t="shared" si="242"/>
        <v>13132043868.870001</v>
      </c>
      <c r="F739" s="19">
        <f t="shared" si="243"/>
        <v>13722276041.870001</v>
      </c>
      <c r="G739" s="20">
        <f t="shared" si="244"/>
        <v>0</v>
      </c>
      <c r="H739" s="17">
        <v>3732017</v>
      </c>
      <c r="I739" s="17">
        <v>140903</v>
      </c>
      <c r="J739" s="17">
        <v>114494</v>
      </c>
      <c r="K739" s="19">
        <f t="shared" si="245"/>
        <v>3872920</v>
      </c>
      <c r="L739" s="18"/>
      <c r="M739" s="18"/>
      <c r="N739" s="18"/>
      <c r="O739" s="19">
        <f t="shared" si="246"/>
        <v>3732017</v>
      </c>
      <c r="P739" s="21">
        <f t="shared" si="247"/>
        <v>2.8419163363038145</v>
      </c>
      <c r="Q739" s="17">
        <v>3620057</v>
      </c>
      <c r="R739" s="17">
        <v>136676</v>
      </c>
      <c r="S739" s="19">
        <f t="shared" si="248"/>
        <v>3756733</v>
      </c>
      <c r="T739" s="20">
        <f t="shared" si="249"/>
        <v>0.03</v>
      </c>
      <c r="U739" s="19">
        <f t="shared" si="250"/>
        <v>116187.61855670103</v>
      </c>
      <c r="V739" s="17">
        <v>114494</v>
      </c>
      <c r="W739" s="19">
        <f t="shared" si="251"/>
        <v>1693.6185567010252</v>
      </c>
      <c r="X739" s="19">
        <f t="shared" si="252"/>
        <v>116188</v>
      </c>
      <c r="Y739" s="17">
        <v>111961</v>
      </c>
      <c r="Z739" s="17">
        <v>4227</v>
      </c>
      <c r="AA739" s="19">
        <f t="shared" si="253"/>
        <v>1694</v>
      </c>
      <c r="AB739" s="17">
        <v>3756733</v>
      </c>
      <c r="AC739" s="27">
        <v>33.04</v>
      </c>
      <c r="AD739" s="27">
        <v>34.076000000000001</v>
      </c>
      <c r="AE739" s="22">
        <f t="shared" si="254"/>
        <v>110245.71545956098</v>
      </c>
      <c r="AF739" s="23">
        <f t="shared" si="255"/>
        <v>-1</v>
      </c>
      <c r="AG739" s="23">
        <f t="shared" si="256"/>
        <v>0</v>
      </c>
      <c r="AH739" s="17">
        <v>3816462.74984902</v>
      </c>
      <c r="AI739" s="24">
        <f t="shared" si="257"/>
        <v>1.0158993864746364</v>
      </c>
      <c r="AJ739" s="25">
        <v>382191256.83060098</v>
      </c>
      <c r="AK739" s="24">
        <f t="shared" si="258"/>
        <v>2.4245880917250891E-2</v>
      </c>
      <c r="AL739" s="22">
        <f t="shared" si="259"/>
        <v>25387.845755422473</v>
      </c>
      <c r="AM739" s="22">
        <f t="shared" si="260"/>
        <v>110245.71545956098</v>
      </c>
      <c r="AN739" s="22">
        <f t="shared" si="261"/>
        <v>-84857.869704138502</v>
      </c>
      <c r="AO739" s="26" t="str">
        <f t="shared" si="262"/>
        <v/>
      </c>
      <c r="AP739" s="26" t="str">
        <f t="shared" si="263"/>
        <v>pre-launch</v>
      </c>
      <c r="AQ739" s="18"/>
      <c r="AR739" s="18"/>
    </row>
    <row r="740" spans="1:44" x14ac:dyDescent="0.25">
      <c r="A740" s="43">
        <v>45801</v>
      </c>
      <c r="B740" s="17">
        <v>7439669343.9700003</v>
      </c>
      <c r="C740" s="17">
        <v>0</v>
      </c>
      <c r="D740" s="17">
        <v>306849568</v>
      </c>
      <c r="E740" s="19">
        <f t="shared" si="242"/>
        <v>7439669343.9700003</v>
      </c>
      <c r="F740" s="19">
        <f t="shared" si="243"/>
        <v>7746518911.9700003</v>
      </c>
      <c r="G740" s="20">
        <f t="shared" si="244"/>
        <v>0</v>
      </c>
      <c r="H740" s="17">
        <v>1878354</v>
      </c>
      <c r="I740" s="17">
        <v>63652</v>
      </c>
      <c r="J740" s="17">
        <v>59954</v>
      </c>
      <c r="K740" s="19">
        <f t="shared" si="245"/>
        <v>1942006</v>
      </c>
      <c r="L740" s="18"/>
      <c r="M740" s="18"/>
      <c r="N740" s="18"/>
      <c r="O740" s="19">
        <f t="shared" si="246"/>
        <v>1878354</v>
      </c>
      <c r="P740" s="21">
        <f t="shared" si="247"/>
        <v>2.5247815637430757</v>
      </c>
      <c r="Q740" s="17">
        <v>1822003</v>
      </c>
      <c r="R740" s="17">
        <v>61742</v>
      </c>
      <c r="S740" s="19">
        <f t="shared" si="248"/>
        <v>1883745</v>
      </c>
      <c r="T740" s="20">
        <f t="shared" si="249"/>
        <v>0.03</v>
      </c>
      <c r="U740" s="19">
        <f t="shared" si="250"/>
        <v>58260.154639175256</v>
      </c>
      <c r="V740" s="17">
        <v>59954</v>
      </c>
      <c r="W740" s="19">
        <f t="shared" si="251"/>
        <v>-1693.8453608247437</v>
      </c>
      <c r="X740" s="19">
        <f t="shared" si="252"/>
        <v>58261</v>
      </c>
      <c r="Y740" s="17">
        <v>56351</v>
      </c>
      <c r="Z740" s="17">
        <v>1910</v>
      </c>
      <c r="AA740" s="19">
        <f t="shared" si="253"/>
        <v>-1693</v>
      </c>
      <c r="AB740" s="17">
        <v>1883745</v>
      </c>
      <c r="AC740" s="27">
        <v>34.795000000000002</v>
      </c>
      <c r="AD740" s="27">
        <v>34.088000000000001</v>
      </c>
      <c r="AE740" s="22">
        <f t="shared" si="254"/>
        <v>55261.235625440037</v>
      </c>
      <c r="AF740" s="23">
        <f t="shared" si="255"/>
        <v>0</v>
      </c>
      <c r="AG740" s="23">
        <f t="shared" si="256"/>
        <v>0</v>
      </c>
      <c r="AH740" s="17">
        <v>1998462.7257109899</v>
      </c>
      <c r="AI740" s="24">
        <f t="shared" si="257"/>
        <v>1.0608987552513689</v>
      </c>
      <c r="AJ740" s="25">
        <v>382327868.85245901</v>
      </c>
      <c r="AK740" s="24">
        <f t="shared" si="258"/>
        <v>2.4241548804659226E-2</v>
      </c>
      <c r="AL740" s="22">
        <f t="shared" si="259"/>
        <v>25392.382718269146</v>
      </c>
      <c r="AM740" s="22">
        <f t="shared" si="260"/>
        <v>55261.235625440037</v>
      </c>
      <c r="AN740" s="22">
        <f t="shared" si="261"/>
        <v>-29868.852907170891</v>
      </c>
      <c r="AO740" s="26" t="str">
        <f t="shared" si="262"/>
        <v/>
      </c>
      <c r="AP740" s="26" t="str">
        <f t="shared" si="263"/>
        <v>pre-launch</v>
      </c>
      <c r="AQ740" s="18"/>
      <c r="AR740" s="18"/>
    </row>
    <row r="741" spans="1:44" x14ac:dyDescent="0.25">
      <c r="A741" s="43">
        <v>45802</v>
      </c>
      <c r="B741" s="17">
        <v>9377129709.8799992</v>
      </c>
      <c r="C741" s="17">
        <v>0</v>
      </c>
      <c r="D741" s="17">
        <v>424503231</v>
      </c>
      <c r="E741" s="19">
        <f t="shared" si="242"/>
        <v>9377129709.8799992</v>
      </c>
      <c r="F741" s="19">
        <f t="shared" si="243"/>
        <v>9801632940.8799992</v>
      </c>
      <c r="G741" s="20">
        <f t="shared" si="244"/>
        <v>0</v>
      </c>
      <c r="H741" s="17">
        <v>2416707</v>
      </c>
      <c r="I741" s="17">
        <v>93250</v>
      </c>
      <c r="J741" s="17">
        <v>75299</v>
      </c>
      <c r="K741" s="19">
        <f t="shared" si="245"/>
        <v>2509957</v>
      </c>
      <c r="L741" s="18"/>
      <c r="M741" s="18"/>
      <c r="N741" s="18"/>
      <c r="O741" s="19">
        <f t="shared" si="246"/>
        <v>2416707</v>
      </c>
      <c r="P741" s="21">
        <f t="shared" si="247"/>
        <v>2.5772353318880632</v>
      </c>
      <c r="Q741" s="17">
        <v>2344206</v>
      </c>
      <c r="R741" s="17">
        <v>90452</v>
      </c>
      <c r="S741" s="19">
        <f t="shared" si="248"/>
        <v>2434658</v>
      </c>
      <c r="T741" s="20">
        <f t="shared" si="249"/>
        <v>0.03</v>
      </c>
      <c r="U741" s="19">
        <f t="shared" si="250"/>
        <v>75298.701030927827</v>
      </c>
      <c r="V741" s="17">
        <v>75299</v>
      </c>
      <c r="W741" s="19">
        <f t="shared" si="251"/>
        <v>-0.29896907217334956</v>
      </c>
      <c r="X741" s="19">
        <f t="shared" si="252"/>
        <v>75298</v>
      </c>
      <c r="Y741" s="17">
        <v>72501</v>
      </c>
      <c r="Z741" s="17">
        <v>2797</v>
      </c>
      <c r="AA741" s="19">
        <f t="shared" si="253"/>
        <v>-1</v>
      </c>
      <c r="AB741" s="17">
        <v>2434658</v>
      </c>
      <c r="AC741" s="27">
        <v>39.094000000000001</v>
      </c>
      <c r="AD741" s="27">
        <v>36.729750000000003</v>
      </c>
      <c r="AE741" s="22">
        <f t="shared" si="254"/>
        <v>66285.722064538961</v>
      </c>
      <c r="AF741" s="23">
        <f t="shared" si="255"/>
        <v>1</v>
      </c>
      <c r="AG741" s="23">
        <f t="shared" si="256"/>
        <v>0</v>
      </c>
      <c r="AH741" s="17">
        <v>2509956.5107579799</v>
      </c>
      <c r="AI741" s="24">
        <f t="shared" si="257"/>
        <v>1.0309277568997288</v>
      </c>
      <c r="AJ741" s="25">
        <v>382464480.87431699</v>
      </c>
      <c r="AK741" s="24">
        <f t="shared" si="258"/>
        <v>2.42372190133479E-2</v>
      </c>
      <c r="AL741" s="22">
        <f t="shared" si="259"/>
        <v>25396.918870622547</v>
      </c>
      <c r="AM741" s="22">
        <f t="shared" si="260"/>
        <v>66285.722064538961</v>
      </c>
      <c r="AN741" s="22">
        <f t="shared" si="261"/>
        <v>-40888.803193916414</v>
      </c>
      <c r="AO741" s="26" t="str">
        <f t="shared" si="262"/>
        <v/>
      </c>
      <c r="AP741" s="26" t="str">
        <f t="shared" si="263"/>
        <v>pre-launch</v>
      </c>
      <c r="AQ741" s="18"/>
      <c r="AR741" s="18"/>
    </row>
    <row r="742" spans="1:44" x14ac:dyDescent="0.25">
      <c r="A742" s="43">
        <v>45803</v>
      </c>
      <c r="B742" s="17">
        <v>7002792387.1599998</v>
      </c>
      <c r="C742" s="17">
        <v>0</v>
      </c>
      <c r="D742" s="17">
        <v>409113491</v>
      </c>
      <c r="E742" s="19">
        <f t="shared" si="242"/>
        <v>7002792387.1599998</v>
      </c>
      <c r="F742" s="19">
        <f t="shared" si="243"/>
        <v>7411905878.1599998</v>
      </c>
      <c r="G742" s="20">
        <f t="shared" si="244"/>
        <v>0</v>
      </c>
      <c r="H742" s="17">
        <v>1908799</v>
      </c>
      <c r="I742" s="17">
        <v>100179</v>
      </c>
      <c r="J742" s="17">
        <v>60269</v>
      </c>
      <c r="K742" s="19">
        <f t="shared" si="245"/>
        <v>2008978</v>
      </c>
      <c r="L742" s="18"/>
      <c r="M742" s="18"/>
      <c r="N742" s="18"/>
      <c r="O742" s="19">
        <f t="shared" si="246"/>
        <v>1908799</v>
      </c>
      <c r="P742" s="21">
        <f t="shared" si="247"/>
        <v>2.7257683713426757</v>
      </c>
      <c r="Q742" s="17">
        <v>1851535</v>
      </c>
      <c r="R742" s="17">
        <v>97173</v>
      </c>
      <c r="S742" s="19">
        <f t="shared" si="248"/>
        <v>1948708</v>
      </c>
      <c r="T742" s="20">
        <f t="shared" si="249"/>
        <v>0.03</v>
      </c>
      <c r="U742" s="19">
        <f t="shared" si="250"/>
        <v>60269.319587628866</v>
      </c>
      <c r="V742" s="17">
        <v>60269</v>
      </c>
      <c r="W742" s="19">
        <f t="shared" si="251"/>
        <v>0.31958762886642944</v>
      </c>
      <c r="X742" s="19">
        <f t="shared" si="252"/>
        <v>60269</v>
      </c>
      <c r="Y742" s="17">
        <v>57264</v>
      </c>
      <c r="Z742" s="17">
        <v>3005</v>
      </c>
      <c r="AA742" s="19">
        <f t="shared" si="253"/>
        <v>0</v>
      </c>
      <c r="AB742" s="17">
        <v>1948708</v>
      </c>
      <c r="AC742" s="27">
        <v>37.057000000000002</v>
      </c>
      <c r="AD742" s="27">
        <v>38.122500000000002</v>
      </c>
      <c r="AE742" s="22">
        <f t="shared" si="254"/>
        <v>51117.004393730735</v>
      </c>
      <c r="AF742" s="23">
        <f t="shared" si="255"/>
        <v>1</v>
      </c>
      <c r="AG742" s="23">
        <f t="shared" si="256"/>
        <v>0</v>
      </c>
      <c r="AH742" s="17">
        <v>2008977.1423380401</v>
      </c>
      <c r="AI742" s="24">
        <f t="shared" si="257"/>
        <v>1.0309277440940563</v>
      </c>
      <c r="AJ742" s="25">
        <v>382601092.89617503</v>
      </c>
      <c r="AK742" s="24">
        <f t="shared" si="258"/>
        <v>2.4232891541244632E-2</v>
      </c>
      <c r="AL742" s="22">
        <f t="shared" si="259"/>
        <v>25401.454212916909</v>
      </c>
      <c r="AM742" s="22">
        <f t="shared" si="260"/>
        <v>51117.004393730735</v>
      </c>
      <c r="AN742" s="22">
        <f t="shared" si="261"/>
        <v>-25715.550180813825</v>
      </c>
      <c r="AO742" s="26" t="str">
        <f t="shared" si="262"/>
        <v/>
      </c>
      <c r="AP742" s="26" t="str">
        <f t="shared" si="263"/>
        <v>pre-launch</v>
      </c>
      <c r="AQ742" s="18"/>
      <c r="AR742" s="18"/>
    </row>
    <row r="743" spans="1:44" x14ac:dyDescent="0.25">
      <c r="A743" s="43">
        <v>45804</v>
      </c>
      <c r="B743" s="17">
        <v>11173683374.34</v>
      </c>
      <c r="C743" s="17">
        <v>0</v>
      </c>
      <c r="D743" s="17">
        <v>403985493</v>
      </c>
      <c r="E743" s="19">
        <f t="shared" si="242"/>
        <v>11173683374.34</v>
      </c>
      <c r="F743" s="19">
        <f t="shared" si="243"/>
        <v>11577668867.34</v>
      </c>
      <c r="G743" s="20">
        <f t="shared" si="244"/>
        <v>0</v>
      </c>
      <c r="H743" s="17">
        <v>3020950</v>
      </c>
      <c r="I743" s="17">
        <v>87270</v>
      </c>
      <c r="J743" s="17">
        <v>93247</v>
      </c>
      <c r="K743" s="19">
        <f t="shared" si="245"/>
        <v>3108220</v>
      </c>
      <c r="L743" s="18"/>
      <c r="M743" s="18"/>
      <c r="N743" s="18"/>
      <c r="O743" s="19">
        <f t="shared" si="246"/>
        <v>3020950</v>
      </c>
      <c r="P743" s="21">
        <f t="shared" si="247"/>
        <v>2.7036295004899755</v>
      </c>
      <c r="Q743" s="17">
        <v>2930322</v>
      </c>
      <c r="R743" s="17">
        <v>84652</v>
      </c>
      <c r="S743" s="19">
        <f t="shared" si="248"/>
        <v>3014974</v>
      </c>
      <c r="T743" s="20">
        <f t="shared" si="249"/>
        <v>0.03</v>
      </c>
      <c r="U743" s="19">
        <f t="shared" si="250"/>
        <v>93246.61855670104</v>
      </c>
      <c r="V743" s="17">
        <v>93247</v>
      </c>
      <c r="W743" s="19">
        <f t="shared" si="251"/>
        <v>-0.381443298960221</v>
      </c>
      <c r="X743" s="19">
        <f t="shared" si="252"/>
        <v>93247</v>
      </c>
      <c r="Y743" s="17">
        <v>90629</v>
      </c>
      <c r="Z743" s="17">
        <v>2618</v>
      </c>
      <c r="AA743" s="19">
        <f t="shared" si="253"/>
        <v>0</v>
      </c>
      <c r="AB743" s="17">
        <v>3014974</v>
      </c>
      <c r="AC743" s="27">
        <v>35.726999999999997</v>
      </c>
      <c r="AD743" s="27">
        <v>36.797499999999999</v>
      </c>
      <c r="AE743" s="22">
        <f t="shared" si="254"/>
        <v>81934.207486921674</v>
      </c>
      <c r="AF743" s="23">
        <f t="shared" si="255"/>
        <v>-1</v>
      </c>
      <c r="AG743" s="23">
        <f t="shared" si="256"/>
        <v>0</v>
      </c>
      <c r="AH743" s="17">
        <v>3108220.95184201</v>
      </c>
      <c r="AI743" s="24">
        <f t="shared" si="257"/>
        <v>1.0309279455948908</v>
      </c>
      <c r="AJ743" s="25">
        <v>382737704.918033</v>
      </c>
      <c r="AK743" s="24">
        <f t="shared" si="258"/>
        <v>2.4228566386279723E-2</v>
      </c>
      <c r="AL743" s="22">
        <f t="shared" si="259"/>
        <v>25405.988745586033</v>
      </c>
      <c r="AM743" s="22">
        <f t="shared" si="260"/>
        <v>81934.207486921674</v>
      </c>
      <c r="AN743" s="22">
        <f t="shared" si="261"/>
        <v>-56528.218741335644</v>
      </c>
      <c r="AO743" s="26" t="str">
        <f t="shared" si="262"/>
        <v/>
      </c>
      <c r="AP743" s="26" t="str">
        <f t="shared" si="263"/>
        <v>pre-launch</v>
      </c>
      <c r="AQ743" s="18"/>
      <c r="AR743" s="18"/>
    </row>
    <row r="744" spans="1:44" x14ac:dyDescent="0.25">
      <c r="A744" s="43">
        <v>45805</v>
      </c>
      <c r="B744" s="17">
        <v>9155802237.6599998</v>
      </c>
      <c r="C744" s="17">
        <v>0</v>
      </c>
      <c r="D744" s="17">
        <v>334144664</v>
      </c>
      <c r="E744" s="19">
        <f t="shared" si="242"/>
        <v>9155802237.6599998</v>
      </c>
      <c r="F744" s="19">
        <f t="shared" si="243"/>
        <v>9489946901.6599998</v>
      </c>
      <c r="G744" s="20">
        <f t="shared" si="244"/>
        <v>0</v>
      </c>
      <c r="H744" s="17">
        <v>2445785</v>
      </c>
      <c r="I744" s="17">
        <v>82889</v>
      </c>
      <c r="J744" s="17">
        <v>75860</v>
      </c>
      <c r="K744" s="19">
        <f t="shared" si="245"/>
        <v>2528674</v>
      </c>
      <c r="L744" s="18"/>
      <c r="M744" s="18"/>
      <c r="N744" s="18"/>
      <c r="O744" s="19">
        <f t="shared" si="246"/>
        <v>2445785</v>
      </c>
      <c r="P744" s="21">
        <f t="shared" si="247"/>
        <v>2.6712951377869461</v>
      </c>
      <c r="Q744" s="17">
        <v>2372412</v>
      </c>
      <c r="R744" s="17">
        <v>80403</v>
      </c>
      <c r="S744" s="19">
        <f t="shared" si="248"/>
        <v>2452815</v>
      </c>
      <c r="T744" s="20">
        <f t="shared" si="249"/>
        <v>0.03</v>
      </c>
      <c r="U744" s="19">
        <f t="shared" si="250"/>
        <v>75860.257731958758</v>
      </c>
      <c r="V744" s="17">
        <v>75860</v>
      </c>
      <c r="W744" s="19">
        <f t="shared" si="251"/>
        <v>0.25773195875808597</v>
      </c>
      <c r="X744" s="19">
        <f t="shared" si="252"/>
        <v>75861</v>
      </c>
      <c r="Y744" s="17">
        <v>73374</v>
      </c>
      <c r="Z744" s="17">
        <v>2487</v>
      </c>
      <c r="AA744" s="19">
        <f t="shared" si="253"/>
        <v>1</v>
      </c>
      <c r="AB744" s="17">
        <v>2452815</v>
      </c>
      <c r="AC744" s="27">
        <v>34.295999999999999</v>
      </c>
      <c r="AD744" s="27">
        <v>34.706249999999997</v>
      </c>
      <c r="AE744" s="22">
        <f t="shared" si="254"/>
        <v>70673.581847649926</v>
      </c>
      <c r="AF744" s="23">
        <f t="shared" si="255"/>
        <v>-2</v>
      </c>
      <c r="AG744" s="23">
        <f t="shared" si="256"/>
        <v>0</v>
      </c>
      <c r="AH744" s="17">
        <v>2528674.5137709999</v>
      </c>
      <c r="AI744" s="24">
        <f t="shared" si="257"/>
        <v>1.030927531742508</v>
      </c>
      <c r="AJ744" s="25">
        <v>382874316.93989098</v>
      </c>
      <c r="AK744" s="24">
        <f t="shared" si="258"/>
        <v>2.4224243546386078E-2</v>
      </c>
      <c r="AL744" s="22">
        <f t="shared" si="259"/>
        <v>25410.522469063373</v>
      </c>
      <c r="AM744" s="22">
        <f t="shared" si="260"/>
        <v>70673.581847649926</v>
      </c>
      <c r="AN744" s="22">
        <f t="shared" si="261"/>
        <v>-45263.059378586549</v>
      </c>
      <c r="AO744" s="26" t="str">
        <f t="shared" si="262"/>
        <v/>
      </c>
      <c r="AP744" s="26" t="str">
        <f t="shared" si="263"/>
        <v>pre-launch</v>
      </c>
      <c r="AQ744" s="18"/>
      <c r="AR744" s="18"/>
    </row>
    <row r="745" spans="1:44" x14ac:dyDescent="0.25">
      <c r="A745" s="43">
        <v>45806</v>
      </c>
      <c r="B745" s="17">
        <v>10872328015.219999</v>
      </c>
      <c r="C745" s="17">
        <v>0</v>
      </c>
      <c r="D745" s="17">
        <v>382861974</v>
      </c>
      <c r="E745" s="19">
        <f t="shared" si="242"/>
        <v>10872328015.219999</v>
      </c>
      <c r="F745" s="19">
        <f t="shared" si="243"/>
        <v>11255189989.219999</v>
      </c>
      <c r="G745" s="20">
        <f t="shared" si="244"/>
        <v>0</v>
      </c>
      <c r="H745" s="17">
        <v>3046557</v>
      </c>
      <c r="I745" s="17">
        <v>88105</v>
      </c>
      <c r="J745" s="17">
        <v>92724</v>
      </c>
      <c r="K745" s="19">
        <f t="shared" si="245"/>
        <v>3134662</v>
      </c>
      <c r="L745" s="18"/>
      <c r="M745" s="18"/>
      <c r="N745" s="18"/>
      <c r="O745" s="19">
        <f t="shared" si="246"/>
        <v>3046557</v>
      </c>
      <c r="P745" s="21">
        <f t="shared" si="247"/>
        <v>2.8021202043712932</v>
      </c>
      <c r="Q745" s="17">
        <v>2955160</v>
      </c>
      <c r="R745" s="17">
        <v>85461</v>
      </c>
      <c r="S745" s="19">
        <f t="shared" si="248"/>
        <v>3040621</v>
      </c>
      <c r="T745" s="20">
        <f t="shared" si="249"/>
        <v>0.03</v>
      </c>
      <c r="U745" s="19">
        <f t="shared" si="250"/>
        <v>94039.824742268029</v>
      </c>
      <c r="V745" s="17">
        <v>92724</v>
      </c>
      <c r="W745" s="19">
        <f t="shared" si="251"/>
        <v>1315.8247422680288</v>
      </c>
      <c r="X745" s="19">
        <f t="shared" si="252"/>
        <v>94040</v>
      </c>
      <c r="Y745" s="17">
        <v>91397</v>
      </c>
      <c r="Z745" s="17">
        <v>2643</v>
      </c>
      <c r="AA745" s="19">
        <f t="shared" si="253"/>
        <v>1316</v>
      </c>
      <c r="AB745" s="17">
        <v>3040621</v>
      </c>
      <c r="AC745" s="27">
        <v>31.364000000000001</v>
      </c>
      <c r="AD745" s="27">
        <v>33.027999999999999</v>
      </c>
      <c r="AE745" s="22">
        <f t="shared" si="254"/>
        <v>92061.917161196558</v>
      </c>
      <c r="AF745" s="23">
        <f t="shared" si="255"/>
        <v>1</v>
      </c>
      <c r="AG745" s="23">
        <f t="shared" si="256"/>
        <v>0</v>
      </c>
      <c r="AH745" s="17">
        <v>3090787.9533489901</v>
      </c>
      <c r="AI745" s="24">
        <f t="shared" si="257"/>
        <v>1.0164989169478833</v>
      </c>
      <c r="AJ745" s="25">
        <v>383010928.96174902</v>
      </c>
      <c r="AK745" s="24">
        <f t="shared" si="258"/>
        <v>2.4219923019499153E-2</v>
      </c>
      <c r="AL745" s="22">
        <f t="shared" si="259"/>
        <v>25415.055383781972</v>
      </c>
      <c r="AM745" s="22">
        <f t="shared" si="260"/>
        <v>92061.917161196558</v>
      </c>
      <c r="AN745" s="22">
        <f t="shared" si="261"/>
        <v>-66646.861777414582</v>
      </c>
      <c r="AO745" s="26" t="str">
        <f t="shared" si="262"/>
        <v/>
      </c>
      <c r="AP745" s="26" t="str">
        <f t="shared" si="263"/>
        <v>pre-launch</v>
      </c>
      <c r="AQ745" s="18"/>
      <c r="AR745" s="18"/>
    </row>
    <row r="746" spans="1:44" x14ac:dyDescent="0.25">
      <c r="A746" s="43">
        <v>45807</v>
      </c>
      <c r="B746" s="17">
        <v>10883704783.309999</v>
      </c>
      <c r="C746" s="17">
        <v>0</v>
      </c>
      <c r="D746" s="17">
        <v>413767053</v>
      </c>
      <c r="E746" s="19">
        <f t="shared" si="242"/>
        <v>10883704783.309999</v>
      </c>
      <c r="F746" s="19">
        <f t="shared" si="243"/>
        <v>11297471836.309999</v>
      </c>
      <c r="G746" s="20">
        <f t="shared" si="244"/>
        <v>0</v>
      </c>
      <c r="H746" s="17">
        <v>3003244</v>
      </c>
      <c r="I746" s="17">
        <v>87626</v>
      </c>
      <c r="J746" s="17">
        <v>93361</v>
      </c>
      <c r="K746" s="19">
        <f t="shared" si="245"/>
        <v>3090870</v>
      </c>
      <c r="L746" s="18"/>
      <c r="M746" s="18"/>
      <c r="N746" s="18"/>
      <c r="O746" s="19">
        <f t="shared" si="246"/>
        <v>3003244</v>
      </c>
      <c r="P746" s="21">
        <f t="shared" si="247"/>
        <v>2.7593949484971612</v>
      </c>
      <c r="Q746" s="17">
        <v>2913146</v>
      </c>
      <c r="R746" s="17">
        <v>84997</v>
      </c>
      <c r="S746" s="19">
        <f t="shared" si="248"/>
        <v>2998143</v>
      </c>
      <c r="T746" s="20">
        <f t="shared" si="249"/>
        <v>0.03</v>
      </c>
      <c r="U746" s="19">
        <f t="shared" si="250"/>
        <v>92726.072164948448</v>
      </c>
      <c r="V746" s="17">
        <v>93361</v>
      </c>
      <c r="W746" s="19">
        <f t="shared" si="251"/>
        <v>-634.92783505155239</v>
      </c>
      <c r="X746" s="19">
        <f t="shared" si="252"/>
        <v>92726</v>
      </c>
      <c r="Y746" s="17">
        <v>90097</v>
      </c>
      <c r="Z746" s="17">
        <v>2629</v>
      </c>
      <c r="AA746" s="19">
        <f t="shared" si="253"/>
        <v>-635</v>
      </c>
      <c r="AB746" s="17">
        <v>2998143</v>
      </c>
      <c r="AC746" s="27">
        <v>32.799999999999997</v>
      </c>
      <c r="AD746" s="27">
        <v>32.267749999999999</v>
      </c>
      <c r="AE746" s="22">
        <f t="shared" si="254"/>
        <v>92914.53541074293</v>
      </c>
      <c r="AF746" s="23">
        <f t="shared" si="255"/>
        <v>1</v>
      </c>
      <c r="AG746" s="23">
        <f t="shared" si="256"/>
        <v>0</v>
      </c>
      <c r="AH746" s="17">
        <v>3112036.25489998</v>
      </c>
      <c r="AI746" s="24">
        <f t="shared" si="257"/>
        <v>1.0379879328304153</v>
      </c>
      <c r="AJ746" s="25">
        <v>383147540.98360699</v>
      </c>
      <c r="AK746" s="24">
        <f t="shared" si="258"/>
        <v>2.4215604803557004E-2</v>
      </c>
      <c r="AL746" s="22">
        <f t="shared" si="259"/>
        <v>25419.587490174486</v>
      </c>
      <c r="AM746" s="22">
        <f t="shared" si="260"/>
        <v>92914.53541074293</v>
      </c>
      <c r="AN746" s="22">
        <f t="shared" si="261"/>
        <v>-67494.947920568447</v>
      </c>
      <c r="AO746" s="26" t="str">
        <f t="shared" si="262"/>
        <v/>
      </c>
      <c r="AP746" s="26" t="str">
        <f t="shared" si="263"/>
        <v>pre-launch</v>
      </c>
      <c r="AQ746" s="18"/>
      <c r="AR746" s="18"/>
    </row>
    <row r="747" spans="1:44" x14ac:dyDescent="0.25">
      <c r="A747" s="43">
        <v>45808</v>
      </c>
      <c r="B747" s="17">
        <v>4406569829.0699997</v>
      </c>
      <c r="C747" s="17">
        <v>0</v>
      </c>
      <c r="D747" s="17">
        <v>233353407</v>
      </c>
      <c r="E747" s="19">
        <f t="shared" si="242"/>
        <v>4406569829.0699997</v>
      </c>
      <c r="F747" s="19">
        <f t="shared" si="243"/>
        <v>4639923236.0699997</v>
      </c>
      <c r="G747" s="20">
        <f t="shared" si="244"/>
        <v>0</v>
      </c>
      <c r="H747" s="17">
        <v>1217614</v>
      </c>
      <c r="I747" s="17">
        <v>48799</v>
      </c>
      <c r="J747" s="17">
        <v>38674</v>
      </c>
      <c r="K747" s="19">
        <f t="shared" si="245"/>
        <v>1266413</v>
      </c>
      <c r="L747" s="18"/>
      <c r="M747" s="18"/>
      <c r="N747" s="18"/>
      <c r="O747" s="19">
        <f t="shared" si="246"/>
        <v>1217614</v>
      </c>
      <c r="P747" s="21">
        <f t="shared" si="247"/>
        <v>2.7631787245658503</v>
      </c>
      <c r="Q747" s="17">
        <v>1181085</v>
      </c>
      <c r="R747" s="17">
        <v>47335</v>
      </c>
      <c r="S747" s="19">
        <f t="shared" si="248"/>
        <v>1228420</v>
      </c>
      <c r="T747" s="20">
        <f t="shared" si="249"/>
        <v>0.03</v>
      </c>
      <c r="U747" s="19">
        <f t="shared" si="250"/>
        <v>37992.371134020621</v>
      </c>
      <c r="V747" s="17">
        <v>38674</v>
      </c>
      <c r="W747" s="19">
        <f t="shared" si="251"/>
        <v>-681.62886597937904</v>
      </c>
      <c r="X747" s="19">
        <f t="shared" si="252"/>
        <v>37992</v>
      </c>
      <c r="Y747" s="17">
        <v>36528</v>
      </c>
      <c r="Z747" s="17">
        <v>1464</v>
      </c>
      <c r="AA747" s="19">
        <f t="shared" si="253"/>
        <v>-682</v>
      </c>
      <c r="AB747" s="17">
        <v>1228420</v>
      </c>
      <c r="AC747" s="27">
        <v>32.683</v>
      </c>
      <c r="AD747" s="27">
        <v>32.462000000000003</v>
      </c>
      <c r="AE747" s="22">
        <f t="shared" si="254"/>
        <v>37841.784240034496</v>
      </c>
      <c r="AF747" s="23">
        <f t="shared" si="255"/>
        <v>1</v>
      </c>
      <c r="AG747" s="23">
        <f t="shared" si="256"/>
        <v>0</v>
      </c>
      <c r="AH747" s="17">
        <v>1289119.17633998</v>
      </c>
      <c r="AI747" s="24">
        <f t="shared" si="257"/>
        <v>1.0494123966884128</v>
      </c>
      <c r="AJ747" s="25">
        <v>383284153.00546497</v>
      </c>
      <c r="AK747" s="24">
        <f t="shared" si="258"/>
        <v>2.4211288896500253E-2</v>
      </c>
      <c r="AL747" s="22">
        <f t="shared" si="259"/>
        <v>25424.118788673204</v>
      </c>
      <c r="AM747" s="22">
        <f t="shared" si="260"/>
        <v>37841.784240034496</v>
      </c>
      <c r="AN747" s="22">
        <f t="shared" si="261"/>
        <v>-12417.665451361292</v>
      </c>
      <c r="AO747" s="26" t="str">
        <f t="shared" si="262"/>
        <v/>
      </c>
      <c r="AP747" s="26" t="str">
        <f t="shared" si="263"/>
        <v>pre-launch</v>
      </c>
      <c r="AQ747" s="18"/>
      <c r="AR747" s="18"/>
    </row>
    <row r="748" spans="1:44" x14ac:dyDescent="0.25">
      <c r="A748" s="43">
        <v>45809</v>
      </c>
      <c r="B748" s="17">
        <v>3705323553.6700001</v>
      </c>
      <c r="C748" s="17">
        <v>0</v>
      </c>
      <c r="D748" s="17">
        <v>194154451</v>
      </c>
      <c r="E748" s="19">
        <f t="shared" si="242"/>
        <v>3705323553.6700001</v>
      </c>
      <c r="F748" s="19">
        <f t="shared" si="243"/>
        <v>3899478004.6700001</v>
      </c>
      <c r="G748" s="20">
        <f t="shared" si="244"/>
        <v>0</v>
      </c>
      <c r="H748" s="17">
        <v>1062700</v>
      </c>
      <c r="I748" s="17">
        <v>39195</v>
      </c>
      <c r="J748" s="17">
        <v>32918</v>
      </c>
      <c r="K748" s="19">
        <f t="shared" si="245"/>
        <v>1101895</v>
      </c>
      <c r="L748" s="18"/>
      <c r="M748" s="18"/>
      <c r="N748" s="18"/>
      <c r="O748" s="19">
        <f t="shared" si="246"/>
        <v>1062700</v>
      </c>
      <c r="P748" s="21">
        <f t="shared" si="247"/>
        <v>2.8680356373937466</v>
      </c>
      <c r="Q748" s="17">
        <v>1030819</v>
      </c>
      <c r="R748" s="17">
        <v>38019</v>
      </c>
      <c r="S748" s="19">
        <f t="shared" si="248"/>
        <v>1068838</v>
      </c>
      <c r="T748" s="20">
        <f t="shared" si="249"/>
        <v>0.03</v>
      </c>
      <c r="U748" s="19">
        <f t="shared" si="250"/>
        <v>33056.845360824744</v>
      </c>
      <c r="V748" s="17">
        <v>32918</v>
      </c>
      <c r="W748" s="19">
        <f t="shared" si="251"/>
        <v>138.84536082474369</v>
      </c>
      <c r="X748" s="19">
        <f t="shared" si="252"/>
        <v>33057</v>
      </c>
      <c r="Y748" s="17">
        <v>31881</v>
      </c>
      <c r="Z748" s="17">
        <v>1176</v>
      </c>
      <c r="AA748" s="19">
        <f t="shared" si="253"/>
        <v>139</v>
      </c>
      <c r="AB748" s="17">
        <v>1068838</v>
      </c>
      <c r="AC748" s="27">
        <v>34.185000000000002</v>
      </c>
      <c r="AD748" s="27">
        <v>33.171250000000001</v>
      </c>
      <c r="AE748" s="22">
        <f t="shared" si="254"/>
        <v>32221.818592908014</v>
      </c>
      <c r="AF748" s="23">
        <f t="shared" si="255"/>
        <v>0</v>
      </c>
      <c r="AG748" s="23">
        <f t="shared" si="256"/>
        <v>0</v>
      </c>
      <c r="AH748" s="17">
        <v>1097268.98843604</v>
      </c>
      <c r="AI748" s="24">
        <f t="shared" si="257"/>
        <v>1.0265999042287419</v>
      </c>
      <c r="AJ748" s="25">
        <v>383420765.02732199</v>
      </c>
      <c r="AK748" s="24">
        <f t="shared" si="258"/>
        <v>2.420697529627211E-2</v>
      </c>
      <c r="AL748" s="22">
        <f t="shared" si="259"/>
        <v>25428.64927970996</v>
      </c>
      <c r="AM748" s="22">
        <f t="shared" si="260"/>
        <v>32221.818592908014</v>
      </c>
      <c r="AN748" s="22">
        <f t="shared" si="261"/>
        <v>-6793.1693131980537</v>
      </c>
      <c r="AO748" s="26" t="str">
        <f t="shared" si="262"/>
        <v/>
      </c>
      <c r="AP748" s="26" t="str">
        <f t="shared" si="263"/>
        <v>pre-launch</v>
      </c>
      <c r="AQ748" s="18"/>
      <c r="AR748" s="18"/>
    </row>
    <row r="749" spans="1:44" x14ac:dyDescent="0.25">
      <c r="A749" s="43">
        <v>45810</v>
      </c>
      <c r="B749" s="17">
        <v>6302813236.8999996</v>
      </c>
      <c r="C749" s="17">
        <v>0</v>
      </c>
      <c r="D749" s="17">
        <v>324429799</v>
      </c>
      <c r="E749" s="19">
        <f t="shared" si="242"/>
        <v>6302813236.8999996</v>
      </c>
      <c r="F749" s="19">
        <f t="shared" si="243"/>
        <v>6627243035.8999996</v>
      </c>
      <c r="G749" s="20">
        <f t="shared" si="244"/>
        <v>0</v>
      </c>
      <c r="H749" s="17">
        <v>1768525</v>
      </c>
      <c r="I749" s="17">
        <v>63756</v>
      </c>
      <c r="J749" s="17">
        <v>55107</v>
      </c>
      <c r="K749" s="19">
        <f t="shared" si="245"/>
        <v>1832281</v>
      </c>
      <c r="L749" s="18"/>
      <c r="M749" s="18"/>
      <c r="N749" s="18"/>
      <c r="O749" s="19">
        <f t="shared" si="246"/>
        <v>1768525</v>
      </c>
      <c r="P749" s="21">
        <f t="shared" si="247"/>
        <v>2.8059295643509157</v>
      </c>
      <c r="Q749" s="17">
        <v>1715469</v>
      </c>
      <c r="R749" s="17">
        <v>61843</v>
      </c>
      <c r="S749" s="19">
        <f t="shared" si="248"/>
        <v>1777312</v>
      </c>
      <c r="T749" s="20">
        <f t="shared" si="249"/>
        <v>0.03</v>
      </c>
      <c r="U749" s="19">
        <f t="shared" si="250"/>
        <v>54968.412371134022</v>
      </c>
      <c r="V749" s="17">
        <v>55107</v>
      </c>
      <c r="W749" s="19">
        <f t="shared" si="251"/>
        <v>-138.58762886597833</v>
      </c>
      <c r="X749" s="19">
        <f t="shared" si="252"/>
        <v>54969</v>
      </c>
      <c r="Y749" s="17">
        <v>53056</v>
      </c>
      <c r="Z749" s="17">
        <v>1913</v>
      </c>
      <c r="AA749" s="19">
        <f t="shared" si="253"/>
        <v>-138</v>
      </c>
      <c r="AB749" s="17">
        <v>1777312</v>
      </c>
      <c r="AC749" s="27">
        <v>36.475000000000001</v>
      </c>
      <c r="AD749" s="27">
        <v>34.930250000000001</v>
      </c>
      <c r="AE749" s="22">
        <f t="shared" si="254"/>
        <v>50881.74290192598</v>
      </c>
      <c r="AF749" s="23">
        <f t="shared" si="255"/>
        <v>0</v>
      </c>
      <c r="AG749" s="23">
        <f t="shared" si="256"/>
        <v>0</v>
      </c>
      <c r="AH749" s="17">
        <v>1836907.052252</v>
      </c>
      <c r="AI749" s="24">
        <f t="shared" si="257"/>
        <v>1.0335310020142776</v>
      </c>
      <c r="AJ749" s="25">
        <v>383557377.04917997</v>
      </c>
      <c r="AK749" s="24">
        <f t="shared" si="258"/>
        <v>2.4202664000818282E-2</v>
      </c>
      <c r="AL749" s="22">
        <f t="shared" si="259"/>
        <v>25433.178963716364</v>
      </c>
      <c r="AM749" s="22">
        <f t="shared" si="260"/>
        <v>50881.74290192598</v>
      </c>
      <c r="AN749" s="22">
        <f t="shared" si="261"/>
        <v>-25448.563938209616</v>
      </c>
      <c r="AO749" s="26" t="str">
        <f t="shared" si="262"/>
        <v/>
      </c>
      <c r="AP749" s="26" t="str">
        <f t="shared" si="263"/>
        <v>pre-launch</v>
      </c>
      <c r="AQ749" s="18"/>
      <c r="AR749" s="18"/>
    </row>
    <row r="750" spans="1:44" x14ac:dyDescent="0.25">
      <c r="A750" s="43">
        <v>45811</v>
      </c>
      <c r="B750" s="17">
        <v>7303712733.6899996</v>
      </c>
      <c r="C750" s="17">
        <v>0</v>
      </c>
      <c r="D750" s="17">
        <v>337110241</v>
      </c>
      <c r="E750" s="19">
        <f t="shared" si="242"/>
        <v>7303712733.6899996</v>
      </c>
      <c r="F750" s="19">
        <f t="shared" si="243"/>
        <v>7640822974.6899996</v>
      </c>
      <c r="G750" s="20">
        <f t="shared" si="244"/>
        <v>0</v>
      </c>
      <c r="H750" s="17">
        <v>2091008</v>
      </c>
      <c r="I750" s="17">
        <v>75516</v>
      </c>
      <c r="J750" s="17">
        <v>64496</v>
      </c>
      <c r="K750" s="19">
        <f t="shared" si="245"/>
        <v>2166524</v>
      </c>
      <c r="L750" s="18"/>
      <c r="M750" s="18"/>
      <c r="N750" s="18"/>
      <c r="O750" s="19">
        <f t="shared" si="246"/>
        <v>2091008</v>
      </c>
      <c r="P750" s="21">
        <f t="shared" si="247"/>
        <v>2.8629384482151941</v>
      </c>
      <c r="Q750" s="17">
        <v>2028278</v>
      </c>
      <c r="R750" s="17">
        <v>73250</v>
      </c>
      <c r="S750" s="19">
        <f t="shared" si="248"/>
        <v>2101528</v>
      </c>
      <c r="T750" s="20">
        <f t="shared" si="249"/>
        <v>0.03</v>
      </c>
      <c r="U750" s="19">
        <f t="shared" si="250"/>
        <v>64995.71134020618</v>
      </c>
      <c r="V750" s="17">
        <v>64496</v>
      </c>
      <c r="W750" s="19">
        <f t="shared" si="251"/>
        <v>499.71134020618047</v>
      </c>
      <c r="X750" s="19">
        <f t="shared" si="252"/>
        <v>64995</v>
      </c>
      <c r="Y750" s="17">
        <v>62730</v>
      </c>
      <c r="Z750" s="17">
        <v>2265</v>
      </c>
      <c r="AA750" s="19">
        <f t="shared" si="253"/>
        <v>499</v>
      </c>
      <c r="AB750" s="17">
        <v>2101528</v>
      </c>
      <c r="AC750" s="27">
        <v>36.043999999999997</v>
      </c>
      <c r="AD750" s="27">
        <v>36.591500000000003</v>
      </c>
      <c r="AE750" s="22">
        <f t="shared" si="254"/>
        <v>57432.135878551024</v>
      </c>
      <c r="AF750" s="23">
        <f t="shared" si="255"/>
        <v>1</v>
      </c>
      <c r="AG750" s="23">
        <f t="shared" si="256"/>
        <v>0</v>
      </c>
      <c r="AH750" s="17">
        <v>2149870.52764499</v>
      </c>
      <c r="AI750" s="24">
        <f t="shared" si="257"/>
        <v>1.0230035134649598</v>
      </c>
      <c r="AJ750" s="25">
        <v>383693989.07103801</v>
      </c>
      <c r="AK750" s="24">
        <f t="shared" si="258"/>
        <v>2.4198355008087102E-2</v>
      </c>
      <c r="AL750" s="22">
        <f t="shared" si="259"/>
        <v>25437.707841123483</v>
      </c>
      <c r="AM750" s="22">
        <f t="shared" si="260"/>
        <v>57432.135878551024</v>
      </c>
      <c r="AN750" s="22">
        <f t="shared" si="261"/>
        <v>-31994.42803742754</v>
      </c>
      <c r="AO750" s="26" t="str">
        <f t="shared" si="262"/>
        <v/>
      </c>
      <c r="AP750" s="26" t="str">
        <f t="shared" si="263"/>
        <v>pre-launch</v>
      </c>
      <c r="AQ750" s="18"/>
      <c r="AR750" s="18"/>
    </row>
    <row r="751" spans="1:44" x14ac:dyDescent="0.25">
      <c r="A751" s="43">
        <v>45812</v>
      </c>
      <c r="B751" s="17">
        <v>5792362513.0699997</v>
      </c>
      <c r="C751" s="17">
        <v>0</v>
      </c>
      <c r="D751" s="17">
        <v>301159683</v>
      </c>
      <c r="E751" s="19">
        <f t="shared" si="242"/>
        <v>5792362513.0699997</v>
      </c>
      <c r="F751" s="19">
        <f t="shared" si="243"/>
        <v>6093522196.0699997</v>
      </c>
      <c r="G751" s="20">
        <f t="shared" si="244"/>
        <v>0</v>
      </c>
      <c r="H751" s="17">
        <v>1629084</v>
      </c>
      <c r="I751" s="17">
        <v>65504</v>
      </c>
      <c r="J751" s="17">
        <v>51337</v>
      </c>
      <c r="K751" s="19">
        <f t="shared" si="245"/>
        <v>1694588</v>
      </c>
      <c r="L751" s="18"/>
      <c r="M751" s="18"/>
      <c r="N751" s="18"/>
      <c r="O751" s="19">
        <f t="shared" si="246"/>
        <v>1629084</v>
      </c>
      <c r="P751" s="21">
        <f t="shared" si="247"/>
        <v>2.8124689991762484</v>
      </c>
      <c r="Q751" s="17">
        <v>1580211</v>
      </c>
      <c r="R751" s="17">
        <v>63539</v>
      </c>
      <c r="S751" s="19">
        <f t="shared" si="248"/>
        <v>1643750</v>
      </c>
      <c r="T751" s="20">
        <f t="shared" si="249"/>
        <v>0.03</v>
      </c>
      <c r="U751" s="19">
        <f t="shared" si="250"/>
        <v>50837.628865979386</v>
      </c>
      <c r="V751" s="17">
        <v>51337</v>
      </c>
      <c r="W751" s="19">
        <f t="shared" si="251"/>
        <v>-499.37113402061368</v>
      </c>
      <c r="X751" s="19">
        <f t="shared" si="252"/>
        <v>50838</v>
      </c>
      <c r="Y751" s="17">
        <v>48873</v>
      </c>
      <c r="Z751" s="17">
        <v>1965</v>
      </c>
      <c r="AA751" s="19">
        <f t="shared" si="253"/>
        <v>-499</v>
      </c>
      <c r="AB751" s="17">
        <v>1643750</v>
      </c>
      <c r="AC751" s="27">
        <v>35.593000000000004</v>
      </c>
      <c r="AD751" s="27">
        <v>35.829000000000001</v>
      </c>
      <c r="AE751" s="22">
        <f t="shared" si="254"/>
        <v>45877.641017053225</v>
      </c>
      <c r="AF751" s="23">
        <f t="shared" si="255"/>
        <v>0</v>
      </c>
      <c r="AG751" s="23">
        <f t="shared" si="256"/>
        <v>0</v>
      </c>
      <c r="AH751" s="17">
        <v>1711241.8383500001</v>
      </c>
      <c r="AI751" s="24">
        <f t="shared" si="257"/>
        <v>1.0410596735209126</v>
      </c>
      <c r="AJ751" s="25">
        <v>383830601.09289598</v>
      </c>
      <c r="AK751" s="24">
        <f t="shared" si="258"/>
        <v>2.4194048316029441E-2</v>
      </c>
      <c r="AL751" s="22">
        <f t="shared" si="259"/>
        <v>25442.235912362052</v>
      </c>
      <c r="AM751" s="22">
        <f t="shared" si="260"/>
        <v>45877.641017053225</v>
      </c>
      <c r="AN751" s="22">
        <f t="shared" si="261"/>
        <v>-20435.405104691174</v>
      </c>
      <c r="AO751" s="26" t="str">
        <f t="shared" si="262"/>
        <v/>
      </c>
      <c r="AP751" s="26" t="str">
        <f t="shared" si="263"/>
        <v>pre-launch</v>
      </c>
      <c r="AQ751" s="18"/>
      <c r="AR751" s="18"/>
    </row>
    <row r="752" spans="1:44" x14ac:dyDescent="0.25">
      <c r="A752" s="43">
        <v>45813</v>
      </c>
      <c r="B752" s="17">
        <v>10473782981.780001</v>
      </c>
      <c r="C752" s="17">
        <v>0</v>
      </c>
      <c r="D752" s="17">
        <v>426427482</v>
      </c>
      <c r="E752" s="19">
        <f t="shared" si="242"/>
        <v>10473782981.780001</v>
      </c>
      <c r="F752" s="19">
        <f t="shared" si="243"/>
        <v>10900210463.780001</v>
      </c>
      <c r="G752" s="20">
        <f t="shared" si="244"/>
        <v>0</v>
      </c>
      <c r="H752" s="17">
        <v>3006762</v>
      </c>
      <c r="I752" s="17">
        <v>93892</v>
      </c>
      <c r="J752" s="17">
        <v>93020</v>
      </c>
      <c r="K752" s="19">
        <f t="shared" si="245"/>
        <v>3100654</v>
      </c>
      <c r="L752" s="18"/>
      <c r="M752" s="18"/>
      <c r="N752" s="18"/>
      <c r="O752" s="19">
        <f t="shared" si="246"/>
        <v>3006762</v>
      </c>
      <c r="P752" s="21">
        <f t="shared" si="247"/>
        <v>2.8707507165562887</v>
      </c>
      <c r="Q752" s="17">
        <v>2916559</v>
      </c>
      <c r="R752" s="17">
        <v>91075</v>
      </c>
      <c r="S752" s="19">
        <f t="shared" si="248"/>
        <v>3007634</v>
      </c>
      <c r="T752" s="20">
        <f t="shared" si="249"/>
        <v>0.03</v>
      </c>
      <c r="U752" s="19">
        <f t="shared" si="250"/>
        <v>93019.608247422671</v>
      </c>
      <c r="V752" s="17">
        <v>93020</v>
      </c>
      <c r="W752" s="19">
        <f t="shared" si="251"/>
        <v>-0.39175257732858881</v>
      </c>
      <c r="X752" s="19">
        <f t="shared" si="252"/>
        <v>93020</v>
      </c>
      <c r="Y752" s="17">
        <v>90203</v>
      </c>
      <c r="Z752" s="17">
        <v>2817</v>
      </c>
      <c r="AA752" s="19">
        <f t="shared" si="253"/>
        <v>0</v>
      </c>
      <c r="AB752" s="17">
        <v>3007634</v>
      </c>
      <c r="AC752" s="27">
        <v>33.970999999999997</v>
      </c>
      <c r="AD752" s="27">
        <v>34.584499999999998</v>
      </c>
      <c r="AE752" s="22">
        <f t="shared" si="254"/>
        <v>86964.796368315292</v>
      </c>
      <c r="AF752" s="23">
        <f t="shared" si="255"/>
        <v>0</v>
      </c>
      <c r="AG752" s="23">
        <f t="shared" si="256"/>
        <v>0</v>
      </c>
      <c r="AH752" s="17">
        <v>3100654.5460419701</v>
      </c>
      <c r="AI752" s="24">
        <f t="shared" si="257"/>
        <v>1.0309281468562896</v>
      </c>
      <c r="AJ752" s="25">
        <v>383967213.11475402</v>
      </c>
      <c r="AK752" s="24">
        <f t="shared" si="258"/>
        <v>2.4189743922598723E-2</v>
      </c>
      <c r="AL752" s="22">
        <f t="shared" si="259"/>
        <v>25446.763177862438</v>
      </c>
      <c r="AM752" s="22">
        <f t="shared" si="260"/>
        <v>86964.796368315292</v>
      </c>
      <c r="AN752" s="22">
        <f t="shared" si="261"/>
        <v>-61518.033190452858</v>
      </c>
      <c r="AO752" s="26" t="str">
        <f t="shared" si="262"/>
        <v/>
      </c>
      <c r="AP752" s="26" t="str">
        <f t="shared" si="263"/>
        <v>pre-launch</v>
      </c>
      <c r="AQ752" s="18"/>
      <c r="AR752" s="18"/>
    </row>
    <row r="753" spans="1:44" x14ac:dyDescent="0.25">
      <c r="A753" s="43">
        <v>45814</v>
      </c>
      <c r="B753" s="17">
        <v>6130444265.5699997</v>
      </c>
      <c r="C753" s="17">
        <v>0</v>
      </c>
      <c r="D753" s="17">
        <v>263764756</v>
      </c>
      <c r="E753" s="19">
        <f t="shared" si="242"/>
        <v>6130444265.5699997</v>
      </c>
      <c r="F753" s="19">
        <f t="shared" si="243"/>
        <v>6394209021.5699997</v>
      </c>
      <c r="G753" s="20">
        <f t="shared" si="244"/>
        <v>0</v>
      </c>
      <c r="H753" s="17">
        <v>1810563</v>
      </c>
      <c r="I753" s="17">
        <v>59380</v>
      </c>
      <c r="J753" s="17">
        <v>56098</v>
      </c>
      <c r="K753" s="19">
        <f t="shared" si="245"/>
        <v>1869943</v>
      </c>
      <c r="L753" s="18"/>
      <c r="M753" s="18"/>
      <c r="N753" s="18"/>
      <c r="O753" s="19">
        <f t="shared" si="246"/>
        <v>1810563</v>
      </c>
      <c r="P753" s="21">
        <f t="shared" si="247"/>
        <v>2.9533960697898238</v>
      </c>
      <c r="Q753" s="17">
        <v>1756246</v>
      </c>
      <c r="R753" s="17">
        <v>57599</v>
      </c>
      <c r="S753" s="19">
        <f t="shared" si="248"/>
        <v>1813845</v>
      </c>
      <c r="T753" s="20">
        <f t="shared" si="249"/>
        <v>0.03</v>
      </c>
      <c r="U753" s="19">
        <f t="shared" si="250"/>
        <v>56098.298969072166</v>
      </c>
      <c r="V753" s="17">
        <v>56098</v>
      </c>
      <c r="W753" s="19">
        <f t="shared" si="251"/>
        <v>0.2989690721660736</v>
      </c>
      <c r="X753" s="19">
        <f t="shared" si="252"/>
        <v>56098</v>
      </c>
      <c r="Y753" s="17">
        <v>54317</v>
      </c>
      <c r="Z753" s="17">
        <v>1781</v>
      </c>
      <c r="AA753" s="19">
        <f t="shared" si="253"/>
        <v>0</v>
      </c>
      <c r="AB753" s="17">
        <v>1813845</v>
      </c>
      <c r="AC753" s="27">
        <v>33.314999999999998</v>
      </c>
      <c r="AD753" s="27">
        <v>33.976750000000003</v>
      </c>
      <c r="AE753" s="22">
        <f t="shared" si="254"/>
        <v>53384.888195604341</v>
      </c>
      <c r="AF753" s="23">
        <f t="shared" si="255"/>
        <v>0</v>
      </c>
      <c r="AG753" s="23">
        <f t="shared" si="256"/>
        <v>0</v>
      </c>
      <c r="AH753" s="17">
        <v>1869943.5704240201</v>
      </c>
      <c r="AI753" s="24">
        <f t="shared" si="257"/>
        <v>1.0309279847087376</v>
      </c>
      <c r="AJ753" s="25">
        <v>384103825.136612</v>
      </c>
      <c r="AK753" s="24">
        <f t="shared" si="258"/>
        <v>2.4185441825750918E-2</v>
      </c>
      <c r="AL753" s="22">
        <f t="shared" si="259"/>
        <v>25451.289638054612</v>
      </c>
      <c r="AM753" s="22">
        <f t="shared" si="260"/>
        <v>53384.888195604341</v>
      </c>
      <c r="AN753" s="22">
        <f t="shared" si="261"/>
        <v>-27933.598557549729</v>
      </c>
      <c r="AO753" s="26" t="str">
        <f t="shared" si="262"/>
        <v/>
      </c>
      <c r="AP753" s="26" t="str">
        <f t="shared" si="263"/>
        <v>pre-launch</v>
      </c>
      <c r="AQ753" s="18"/>
      <c r="AR753" s="18"/>
    </row>
    <row r="754" spans="1:44" x14ac:dyDescent="0.25">
      <c r="A754" s="43">
        <v>45815</v>
      </c>
      <c r="B754" s="17">
        <v>3033732963.3099999</v>
      </c>
      <c r="C754" s="17">
        <v>0</v>
      </c>
      <c r="D754" s="17">
        <v>137044111</v>
      </c>
      <c r="E754" s="19">
        <f t="shared" si="242"/>
        <v>3033732963.3099999</v>
      </c>
      <c r="F754" s="19">
        <f t="shared" si="243"/>
        <v>3170777074.3099999</v>
      </c>
      <c r="G754" s="20">
        <f t="shared" si="244"/>
        <v>0</v>
      </c>
      <c r="H754" s="17">
        <v>888062</v>
      </c>
      <c r="I754" s="17">
        <v>30975</v>
      </c>
      <c r="J754" s="17">
        <v>27571</v>
      </c>
      <c r="K754" s="19">
        <f t="shared" si="245"/>
        <v>919037</v>
      </c>
      <c r="L754" s="18"/>
      <c r="M754" s="18"/>
      <c r="N754" s="18"/>
      <c r="O754" s="19">
        <f t="shared" si="246"/>
        <v>888062</v>
      </c>
      <c r="P754" s="21">
        <f t="shared" si="247"/>
        <v>2.9272912637342565</v>
      </c>
      <c r="Q754" s="17">
        <v>861420</v>
      </c>
      <c r="R754" s="17">
        <v>30046</v>
      </c>
      <c r="S754" s="19">
        <f t="shared" si="248"/>
        <v>891466</v>
      </c>
      <c r="T754" s="20">
        <f t="shared" si="249"/>
        <v>0.03</v>
      </c>
      <c r="U754" s="19">
        <f t="shared" si="250"/>
        <v>27571.113402061856</v>
      </c>
      <c r="V754" s="17">
        <v>27571</v>
      </c>
      <c r="W754" s="19">
        <f t="shared" si="251"/>
        <v>0.11340206185559509</v>
      </c>
      <c r="X754" s="19">
        <f t="shared" si="252"/>
        <v>27571</v>
      </c>
      <c r="Y754" s="17">
        <v>26642</v>
      </c>
      <c r="Z754" s="17">
        <v>929</v>
      </c>
      <c r="AA754" s="19">
        <f t="shared" si="253"/>
        <v>0</v>
      </c>
      <c r="AB754" s="17">
        <v>891466</v>
      </c>
      <c r="AC754" s="27">
        <v>34.912999999999997</v>
      </c>
      <c r="AD754" s="27">
        <v>34.089750000000002</v>
      </c>
      <c r="AE754" s="22">
        <f t="shared" si="254"/>
        <v>26150.558452320711</v>
      </c>
      <c r="AF754" s="23">
        <f t="shared" si="255"/>
        <v>0</v>
      </c>
      <c r="AG754" s="23">
        <f t="shared" si="256"/>
        <v>0</v>
      </c>
      <c r="AH754" s="17">
        <v>919036.55787098396</v>
      </c>
      <c r="AI754" s="24">
        <f t="shared" si="257"/>
        <v>1.0309272118857971</v>
      </c>
      <c r="AJ754" s="25">
        <v>384240437.15846997</v>
      </c>
      <c r="AK754" s="24">
        <f t="shared" si="258"/>
        <v>2.4181142023444537E-2</v>
      </c>
      <c r="AL754" s="22">
        <f t="shared" si="259"/>
        <v>25455.815293368163</v>
      </c>
      <c r="AM754" s="22">
        <f t="shared" si="260"/>
        <v>26150.558452320711</v>
      </c>
      <c r="AN754" s="22">
        <f t="shared" si="261"/>
        <v>-694.74315895254767</v>
      </c>
      <c r="AO754" s="26" t="str">
        <f t="shared" si="262"/>
        <v/>
      </c>
      <c r="AP754" s="26" t="str">
        <f t="shared" si="263"/>
        <v>pre-launch</v>
      </c>
      <c r="AQ754" s="18"/>
      <c r="AR754" s="18"/>
    </row>
    <row r="755" spans="1:44" x14ac:dyDescent="0.25">
      <c r="A755" s="43">
        <v>45816</v>
      </c>
      <c r="B755" s="17">
        <v>3121700687.6900001</v>
      </c>
      <c r="C755" s="17">
        <v>0</v>
      </c>
      <c r="D755" s="17">
        <v>151362843</v>
      </c>
      <c r="E755" s="19">
        <f t="shared" si="242"/>
        <v>3121700687.6900001</v>
      </c>
      <c r="F755" s="19">
        <f t="shared" si="243"/>
        <v>3273063530.6900001</v>
      </c>
      <c r="G755" s="20">
        <f t="shared" si="244"/>
        <v>0</v>
      </c>
      <c r="H755" s="18"/>
      <c r="I755" s="18"/>
      <c r="J755" s="18"/>
      <c r="K755" s="19">
        <f t="shared" si="245"/>
        <v>0</v>
      </c>
      <c r="L755" s="18"/>
      <c r="M755" s="18"/>
      <c r="N755" s="18"/>
      <c r="O755" s="19">
        <f t="shared" si="246"/>
        <v>0</v>
      </c>
      <c r="P755" s="21">
        <f t="shared" si="247"/>
        <v>0</v>
      </c>
      <c r="Q755" s="18"/>
      <c r="R755" s="18"/>
      <c r="S755" s="19">
        <f t="shared" si="248"/>
        <v>0</v>
      </c>
      <c r="T755" s="20">
        <f t="shared" si="249"/>
        <v>0.03</v>
      </c>
      <c r="U755" s="19">
        <f t="shared" si="250"/>
        <v>0</v>
      </c>
      <c r="V755" s="18"/>
      <c r="W755" s="19">
        <f t="shared" si="251"/>
        <v>0</v>
      </c>
      <c r="X755" s="19">
        <f t="shared" si="252"/>
        <v>0</v>
      </c>
      <c r="Y755" s="18"/>
      <c r="Z755" s="18"/>
      <c r="AA755" s="19">
        <f t="shared" si="253"/>
        <v>0</v>
      </c>
      <c r="AB755" s="17">
        <v>0</v>
      </c>
      <c r="AC755" s="27">
        <v>34.982999999999997</v>
      </c>
      <c r="AD755" s="27">
        <v>35.170999999999999</v>
      </c>
      <c r="AE755" s="22">
        <f t="shared" si="254"/>
        <v>0</v>
      </c>
      <c r="AF755" s="23">
        <f t="shared" si="255"/>
        <v>0</v>
      </c>
      <c r="AG755" s="23">
        <f t="shared" si="256"/>
        <v>0</v>
      </c>
      <c r="AH755" s="17">
        <v>278826.02895700902</v>
      </c>
      <c r="AI755" s="24">
        <f t="shared" si="257"/>
        <v>0</v>
      </c>
      <c r="AJ755" s="25">
        <v>384377049.18032801</v>
      </c>
      <c r="AK755" s="24">
        <f t="shared" si="258"/>
        <v>2.4176844513640629E-2</v>
      </c>
      <c r="AL755" s="22">
        <f t="shared" si="259"/>
        <v>25460.340144232294</v>
      </c>
      <c r="AM755" s="22">
        <f t="shared" si="260"/>
        <v>0</v>
      </c>
      <c r="AN755" s="22">
        <f t="shared" si="261"/>
        <v>25460.340144232294</v>
      </c>
      <c r="AO755" s="26" t="str">
        <f t="shared" si="262"/>
        <v/>
      </c>
      <c r="AP755" s="26" t="str">
        <f t="shared" si="263"/>
        <v>pre-launch</v>
      </c>
      <c r="AQ755" s="18"/>
      <c r="AR755" s="18"/>
    </row>
    <row r="756" spans="1:44" x14ac:dyDescent="0.25">
      <c r="A756" s="43">
        <v>45817</v>
      </c>
      <c r="B756" s="17">
        <v>7946952907.3800001</v>
      </c>
      <c r="C756" s="17">
        <v>0</v>
      </c>
      <c r="D756" s="17">
        <v>359240055</v>
      </c>
      <c r="E756" s="19">
        <f t="shared" si="242"/>
        <v>7946952907.3800001</v>
      </c>
      <c r="F756" s="19">
        <f t="shared" si="243"/>
        <v>8306192962.3800001</v>
      </c>
      <c r="G756" s="20">
        <f t="shared" si="244"/>
        <v>0</v>
      </c>
      <c r="H756" s="18"/>
      <c r="I756" s="18"/>
      <c r="J756" s="18"/>
      <c r="K756" s="19">
        <f t="shared" si="245"/>
        <v>0</v>
      </c>
      <c r="L756" s="18"/>
      <c r="M756" s="18"/>
      <c r="N756" s="18"/>
      <c r="O756" s="19">
        <f t="shared" si="246"/>
        <v>0</v>
      </c>
      <c r="P756" s="21">
        <f t="shared" si="247"/>
        <v>0</v>
      </c>
      <c r="Q756" s="18"/>
      <c r="R756" s="18"/>
      <c r="S756" s="19">
        <f t="shared" si="248"/>
        <v>0</v>
      </c>
      <c r="T756" s="20">
        <f t="shared" si="249"/>
        <v>0.03</v>
      </c>
      <c r="U756" s="19">
        <f t="shared" si="250"/>
        <v>0</v>
      </c>
      <c r="V756" s="18"/>
      <c r="W756" s="19">
        <f t="shared" si="251"/>
        <v>0</v>
      </c>
      <c r="X756" s="19">
        <f t="shared" si="252"/>
        <v>0</v>
      </c>
      <c r="Y756" s="18"/>
      <c r="Z756" s="18"/>
      <c r="AA756" s="19">
        <f t="shared" si="253"/>
        <v>0</v>
      </c>
      <c r="AB756" s="17">
        <v>0</v>
      </c>
      <c r="AC756" s="27">
        <v>38.854999999999997</v>
      </c>
      <c r="AD756" s="27">
        <v>36.871749999999999</v>
      </c>
      <c r="AE756" s="22">
        <f t="shared" si="254"/>
        <v>0</v>
      </c>
      <c r="AF756" s="23">
        <f t="shared" si="255"/>
        <v>0</v>
      </c>
      <c r="AG756" s="23">
        <f t="shared" si="256"/>
        <v>0</v>
      </c>
      <c r="AH756" s="17">
        <v>3169213.6419880399</v>
      </c>
      <c r="AI756" s="24">
        <f t="shared" si="257"/>
        <v>0</v>
      </c>
      <c r="AJ756" s="25">
        <v>384513661.20218599</v>
      </c>
      <c r="AK756" s="24">
        <f t="shared" si="258"/>
        <v>2.4172549294302792E-2</v>
      </c>
      <c r="AL756" s="22">
        <f t="shared" si="259"/>
        <v>25464.864191075849</v>
      </c>
      <c r="AM756" s="22">
        <f t="shared" si="260"/>
        <v>0</v>
      </c>
      <c r="AN756" s="22">
        <f t="shared" si="261"/>
        <v>25464.864191075849</v>
      </c>
      <c r="AO756" s="26" t="str">
        <f t="shared" si="262"/>
        <v/>
      </c>
      <c r="AP756" s="26" t="str">
        <f t="shared" si="263"/>
        <v>pre-launch</v>
      </c>
      <c r="AQ756" s="18"/>
      <c r="AR756" s="18"/>
    </row>
    <row r="757" spans="1:44" x14ac:dyDescent="0.25">
      <c r="A757" s="43">
        <v>45818</v>
      </c>
      <c r="B757" s="17">
        <v>8868062326.5799999</v>
      </c>
      <c r="C757" s="17">
        <v>0</v>
      </c>
      <c r="D757" s="17">
        <v>493501254</v>
      </c>
      <c r="E757" s="19">
        <f t="shared" si="242"/>
        <v>8868062326.5799999</v>
      </c>
      <c r="F757" s="19">
        <f t="shared" si="243"/>
        <v>9361563580.5799999</v>
      </c>
      <c r="G757" s="20">
        <f t="shared" si="244"/>
        <v>0</v>
      </c>
      <c r="H757" s="17">
        <v>2654323</v>
      </c>
      <c r="I757" s="17">
        <v>115467</v>
      </c>
      <c r="J757" s="17">
        <v>83094</v>
      </c>
      <c r="K757" s="19">
        <f t="shared" si="245"/>
        <v>2769790</v>
      </c>
      <c r="L757" s="18"/>
      <c r="M757" s="18"/>
      <c r="N757" s="18"/>
      <c r="O757" s="19">
        <f t="shared" si="246"/>
        <v>2654323</v>
      </c>
      <c r="P757" s="21">
        <f t="shared" si="247"/>
        <v>2.9931262346276828</v>
      </c>
      <c r="Q757" s="17">
        <v>2574693</v>
      </c>
      <c r="R757" s="17">
        <v>112003</v>
      </c>
      <c r="S757" s="19">
        <f t="shared" si="248"/>
        <v>2686696</v>
      </c>
      <c r="T757" s="20">
        <f t="shared" si="249"/>
        <v>0.03</v>
      </c>
      <c r="U757" s="19">
        <f t="shared" si="250"/>
        <v>83093.690721649473</v>
      </c>
      <c r="V757" s="17">
        <v>83094</v>
      </c>
      <c r="W757" s="19">
        <f t="shared" si="251"/>
        <v>-0.30927835052716546</v>
      </c>
      <c r="X757" s="19">
        <f t="shared" si="252"/>
        <v>83094</v>
      </c>
      <c r="Y757" s="17">
        <v>79630</v>
      </c>
      <c r="Z757" s="17">
        <v>3464</v>
      </c>
      <c r="AA757" s="19">
        <f t="shared" si="253"/>
        <v>0</v>
      </c>
      <c r="AB757" s="17">
        <v>2686696</v>
      </c>
      <c r="AC757" s="27">
        <v>42.186</v>
      </c>
      <c r="AD757" s="27">
        <v>40.454000000000001</v>
      </c>
      <c r="AE757" s="22">
        <f t="shared" si="254"/>
        <v>66413.605576704402</v>
      </c>
      <c r="AF757" s="23">
        <f t="shared" si="255"/>
        <v>0</v>
      </c>
      <c r="AG757" s="23">
        <f t="shared" si="256"/>
        <v>0</v>
      </c>
      <c r="AH757" s="17">
        <v>2769790.2517089802</v>
      </c>
      <c r="AI757" s="24">
        <f t="shared" si="257"/>
        <v>1.030928043853484</v>
      </c>
      <c r="AJ757" s="25">
        <v>384650273.22404402</v>
      </c>
      <c r="AK757" s="24">
        <f t="shared" si="258"/>
        <v>2.4168256363397134E-2</v>
      </c>
      <c r="AL757" s="22">
        <f t="shared" si="259"/>
        <v>25469.387434327255</v>
      </c>
      <c r="AM757" s="22">
        <f t="shared" si="260"/>
        <v>66413.605576704402</v>
      </c>
      <c r="AN757" s="22">
        <f t="shared" si="261"/>
        <v>-40944.218142377147</v>
      </c>
      <c r="AO757" s="26" t="str">
        <f t="shared" si="262"/>
        <v/>
      </c>
      <c r="AP757" s="26" t="str">
        <f t="shared" si="263"/>
        <v>pre-launch</v>
      </c>
      <c r="AQ757" s="18"/>
      <c r="AR757" s="18"/>
    </row>
    <row r="758" spans="1:44" x14ac:dyDescent="0.25">
      <c r="A758" s="43">
        <v>45819</v>
      </c>
      <c r="B758" s="17">
        <v>8880849385.8500004</v>
      </c>
      <c r="C758" s="17">
        <v>0</v>
      </c>
      <c r="D758" s="17">
        <v>491823654</v>
      </c>
      <c r="E758" s="19">
        <f t="shared" si="242"/>
        <v>8880849385.8500004</v>
      </c>
      <c r="F758" s="19">
        <f t="shared" si="243"/>
        <v>9372673039.8500004</v>
      </c>
      <c r="G758" s="20">
        <f t="shared" si="244"/>
        <v>0</v>
      </c>
      <c r="H758" s="17">
        <v>2653604</v>
      </c>
      <c r="I758" s="17">
        <v>105920</v>
      </c>
      <c r="J758" s="17">
        <v>82298</v>
      </c>
      <c r="K758" s="19">
        <f t="shared" si="245"/>
        <v>2759524</v>
      </c>
      <c r="L758" s="18"/>
      <c r="M758" s="18"/>
      <c r="N758" s="18"/>
      <c r="O758" s="19">
        <f t="shared" si="246"/>
        <v>2653604</v>
      </c>
      <c r="P758" s="21">
        <f t="shared" si="247"/>
        <v>2.9880069852643034</v>
      </c>
      <c r="Q758" s="17">
        <v>2573996</v>
      </c>
      <c r="R758" s="17">
        <v>102743</v>
      </c>
      <c r="S758" s="19">
        <f t="shared" si="248"/>
        <v>2676739</v>
      </c>
      <c r="T758" s="20">
        <f t="shared" si="249"/>
        <v>0.03</v>
      </c>
      <c r="U758" s="19">
        <f t="shared" si="250"/>
        <v>82785.742268041242</v>
      </c>
      <c r="V758" s="17">
        <v>82298</v>
      </c>
      <c r="W758" s="19">
        <f t="shared" si="251"/>
        <v>487.74226804124191</v>
      </c>
      <c r="X758" s="19">
        <f t="shared" si="252"/>
        <v>82786</v>
      </c>
      <c r="Y758" s="17">
        <v>79608</v>
      </c>
      <c r="Z758" s="17">
        <v>3178</v>
      </c>
      <c r="AA758" s="19">
        <f t="shared" si="253"/>
        <v>488</v>
      </c>
      <c r="AB758" s="17">
        <v>2676739</v>
      </c>
      <c r="AC758" s="27">
        <v>41.805</v>
      </c>
      <c r="AD758" s="27">
        <v>42.155999999999999</v>
      </c>
      <c r="AE758" s="22">
        <f t="shared" si="254"/>
        <v>63496.038523579089</v>
      </c>
      <c r="AF758" s="23">
        <f t="shared" si="255"/>
        <v>-1</v>
      </c>
      <c r="AG758" s="23">
        <f t="shared" si="256"/>
        <v>0</v>
      </c>
      <c r="AH758" s="17">
        <v>2743278.6171349902</v>
      </c>
      <c r="AI758" s="24">
        <f t="shared" si="257"/>
        <v>1.0248584629039252</v>
      </c>
      <c r="AJ758" s="25">
        <v>384786885.245902</v>
      </c>
      <c r="AK758" s="24">
        <f t="shared" si="258"/>
        <v>2.4163965718892316E-2</v>
      </c>
      <c r="AL758" s="22">
        <f t="shared" si="259"/>
        <v>25473.909874414596</v>
      </c>
      <c r="AM758" s="22">
        <f t="shared" si="260"/>
        <v>63496.038523579089</v>
      </c>
      <c r="AN758" s="22">
        <f t="shared" si="261"/>
        <v>-38022.128649164493</v>
      </c>
      <c r="AO758" s="26" t="str">
        <f t="shared" si="262"/>
        <v/>
      </c>
      <c r="AP758" s="26" t="str">
        <f t="shared" si="263"/>
        <v>pre-launch</v>
      </c>
      <c r="AQ758" s="18"/>
      <c r="AR758" s="18"/>
    </row>
    <row r="759" spans="1:44" x14ac:dyDescent="0.25">
      <c r="A759" s="43">
        <v>45820</v>
      </c>
      <c r="B759" s="17">
        <v>9859976825.0400009</v>
      </c>
      <c r="C759" s="17">
        <v>0</v>
      </c>
      <c r="D759" s="17">
        <v>499156091</v>
      </c>
      <c r="E759" s="19">
        <f t="shared" si="242"/>
        <v>9859976825.0400009</v>
      </c>
      <c r="F759" s="19">
        <f t="shared" si="243"/>
        <v>10359132916.040001</v>
      </c>
      <c r="G759" s="20">
        <f t="shared" si="244"/>
        <v>0</v>
      </c>
      <c r="H759" s="17">
        <v>2909648</v>
      </c>
      <c r="I759" s="17">
        <v>95479</v>
      </c>
      <c r="J759" s="17">
        <v>90641</v>
      </c>
      <c r="K759" s="19">
        <f t="shared" si="245"/>
        <v>3005127</v>
      </c>
      <c r="L759" s="18"/>
      <c r="M759" s="18"/>
      <c r="N759" s="18"/>
      <c r="O759" s="19">
        <f t="shared" si="246"/>
        <v>2909648</v>
      </c>
      <c r="P759" s="21">
        <f t="shared" si="247"/>
        <v>2.9509683964071547</v>
      </c>
      <c r="Q759" s="17">
        <v>2822358</v>
      </c>
      <c r="R759" s="17">
        <v>92615</v>
      </c>
      <c r="S759" s="19">
        <f t="shared" si="248"/>
        <v>2914973</v>
      </c>
      <c r="T759" s="20">
        <f t="shared" si="249"/>
        <v>0.03</v>
      </c>
      <c r="U759" s="19">
        <f t="shared" si="250"/>
        <v>90153.80412371135</v>
      </c>
      <c r="V759" s="17">
        <v>90641</v>
      </c>
      <c r="W759" s="19">
        <f t="shared" si="251"/>
        <v>-487.19587628864974</v>
      </c>
      <c r="X759" s="19">
        <f t="shared" si="252"/>
        <v>90153</v>
      </c>
      <c r="Y759" s="17">
        <v>87289</v>
      </c>
      <c r="Z759" s="17">
        <v>2864</v>
      </c>
      <c r="AA759" s="19">
        <f t="shared" si="253"/>
        <v>-488</v>
      </c>
      <c r="AB759" s="17">
        <v>2914973</v>
      </c>
      <c r="AC759" s="27">
        <v>40.509</v>
      </c>
      <c r="AD759" s="27">
        <v>41.621000000000002</v>
      </c>
      <c r="AE759" s="22">
        <f t="shared" si="254"/>
        <v>70036.111578289798</v>
      </c>
      <c r="AF759" s="23">
        <f t="shared" si="255"/>
        <v>1</v>
      </c>
      <c r="AG759" s="23">
        <f t="shared" si="256"/>
        <v>0</v>
      </c>
      <c r="AH759" s="17">
        <v>3021373.0639889799</v>
      </c>
      <c r="AI759" s="24">
        <f t="shared" si="257"/>
        <v>1.0365012176747366</v>
      </c>
      <c r="AJ759" s="25">
        <v>384923497.26775998</v>
      </c>
      <c r="AK759" s="24">
        <f t="shared" si="258"/>
        <v>2.4159677358759502E-2</v>
      </c>
      <c r="AL759" s="22">
        <f t="shared" si="259"/>
        <v>25478.43151176555</v>
      </c>
      <c r="AM759" s="22">
        <f t="shared" si="260"/>
        <v>70036.111578289798</v>
      </c>
      <c r="AN759" s="22">
        <f t="shared" si="261"/>
        <v>-44557.680066524248</v>
      </c>
      <c r="AO759" s="26" t="str">
        <f t="shared" si="262"/>
        <v/>
      </c>
      <c r="AP759" s="26" t="str">
        <f t="shared" si="263"/>
        <v>pre-launch</v>
      </c>
      <c r="AQ759" s="18"/>
      <c r="AR759" s="18"/>
    </row>
    <row r="760" spans="1:44" x14ac:dyDescent="0.25">
      <c r="A760" s="43">
        <v>45821</v>
      </c>
      <c r="B760" s="17">
        <v>13286056841.77</v>
      </c>
      <c r="C760" s="17">
        <v>0</v>
      </c>
      <c r="D760" s="17">
        <v>642044619</v>
      </c>
      <c r="E760" s="19">
        <f t="shared" si="242"/>
        <v>13286056841.77</v>
      </c>
      <c r="F760" s="19">
        <f t="shared" si="243"/>
        <v>13928101460.77</v>
      </c>
      <c r="G760" s="20">
        <f t="shared" si="244"/>
        <v>0</v>
      </c>
      <c r="H760" s="17">
        <v>3887429</v>
      </c>
      <c r="I760" s="17">
        <v>148721</v>
      </c>
      <c r="J760" s="17">
        <v>120410</v>
      </c>
      <c r="K760" s="19">
        <f t="shared" si="245"/>
        <v>4036150</v>
      </c>
      <c r="L760" s="18"/>
      <c r="M760" s="18"/>
      <c r="N760" s="18"/>
      <c r="O760" s="19">
        <f t="shared" si="246"/>
        <v>3887429</v>
      </c>
      <c r="P760" s="21">
        <f t="shared" si="247"/>
        <v>2.9259463859723387</v>
      </c>
      <c r="Q760" s="17">
        <v>3770806</v>
      </c>
      <c r="R760" s="17">
        <v>144260</v>
      </c>
      <c r="S760" s="19">
        <f t="shared" si="248"/>
        <v>3915066</v>
      </c>
      <c r="T760" s="20">
        <f t="shared" si="249"/>
        <v>0.03</v>
      </c>
      <c r="U760" s="19">
        <f t="shared" si="250"/>
        <v>121084.51546391753</v>
      </c>
      <c r="V760" s="17">
        <v>120410</v>
      </c>
      <c r="W760" s="19">
        <f t="shared" si="251"/>
        <v>674.51546391753072</v>
      </c>
      <c r="X760" s="19">
        <f t="shared" si="252"/>
        <v>121085</v>
      </c>
      <c r="Y760" s="17">
        <v>116623</v>
      </c>
      <c r="Z760" s="17">
        <v>4462</v>
      </c>
      <c r="AA760" s="19">
        <f t="shared" si="253"/>
        <v>675</v>
      </c>
      <c r="AB760" s="17">
        <v>3915066</v>
      </c>
      <c r="AC760" s="27">
        <v>42.277000000000001</v>
      </c>
      <c r="AD760" s="27">
        <v>40.661749999999998</v>
      </c>
      <c r="AE760" s="22">
        <f t="shared" si="254"/>
        <v>96283.755617994801</v>
      </c>
      <c r="AF760" s="23">
        <f t="shared" si="255"/>
        <v>-1</v>
      </c>
      <c r="AG760" s="23">
        <f t="shared" si="256"/>
        <v>0</v>
      </c>
      <c r="AH760" s="17">
        <v>4013650.8778580399</v>
      </c>
      <c r="AI760" s="24">
        <f t="shared" si="257"/>
        <v>1.0251808980635422</v>
      </c>
      <c r="AJ760" s="25">
        <v>385060109.28961802</v>
      </c>
      <c r="AK760" s="24">
        <f t="shared" si="258"/>
        <v>2.4155391280972383E-2</v>
      </c>
      <c r="AL760" s="22">
        <f t="shared" si="259"/>
        <v>25482.952346807426</v>
      </c>
      <c r="AM760" s="22">
        <f t="shared" si="260"/>
        <v>96283.755617994801</v>
      </c>
      <c r="AN760" s="22">
        <f t="shared" si="261"/>
        <v>-70800.803271187382</v>
      </c>
      <c r="AO760" s="26" t="str">
        <f t="shared" si="262"/>
        <v/>
      </c>
      <c r="AP760" s="26" t="str">
        <f t="shared" si="263"/>
        <v>pre-launch</v>
      </c>
      <c r="AQ760" s="18"/>
      <c r="AR760" s="18"/>
    </row>
    <row r="761" spans="1:44" x14ac:dyDescent="0.25">
      <c r="A761" s="43">
        <v>45822</v>
      </c>
      <c r="B761" s="17">
        <v>4490469119.6400003</v>
      </c>
      <c r="C761" s="17">
        <v>0</v>
      </c>
      <c r="D761" s="17">
        <v>223313776</v>
      </c>
      <c r="E761" s="19">
        <f t="shared" si="242"/>
        <v>4490469119.6400003</v>
      </c>
      <c r="F761" s="19">
        <f t="shared" si="243"/>
        <v>4713782895.6400003</v>
      </c>
      <c r="G761" s="20">
        <f t="shared" si="244"/>
        <v>0</v>
      </c>
      <c r="H761" s="17">
        <v>1261527</v>
      </c>
      <c r="I761" s="17">
        <v>53146</v>
      </c>
      <c r="J761" s="17">
        <v>39815</v>
      </c>
      <c r="K761" s="19">
        <f t="shared" si="245"/>
        <v>1314673</v>
      </c>
      <c r="L761" s="18"/>
      <c r="M761" s="18"/>
      <c r="N761" s="18"/>
      <c r="O761" s="19">
        <f t="shared" si="246"/>
        <v>1261527</v>
      </c>
      <c r="P761" s="21">
        <f t="shared" si="247"/>
        <v>2.8093434480652575</v>
      </c>
      <c r="Q761" s="17">
        <v>1223682</v>
      </c>
      <c r="R761" s="17">
        <v>51552</v>
      </c>
      <c r="S761" s="19">
        <f t="shared" si="248"/>
        <v>1275234</v>
      </c>
      <c r="T761" s="20">
        <f t="shared" si="249"/>
        <v>0.03</v>
      </c>
      <c r="U761" s="19">
        <f t="shared" si="250"/>
        <v>39440.226804123711</v>
      </c>
      <c r="V761" s="17">
        <v>39815</v>
      </c>
      <c r="W761" s="19">
        <f t="shared" si="251"/>
        <v>-374.77319587628881</v>
      </c>
      <c r="X761" s="19">
        <f t="shared" si="252"/>
        <v>39440</v>
      </c>
      <c r="Y761" s="17">
        <v>37846</v>
      </c>
      <c r="Z761" s="17">
        <v>1594</v>
      </c>
      <c r="AA761" s="19">
        <f t="shared" si="253"/>
        <v>-375</v>
      </c>
      <c r="AB761" s="17">
        <v>1275234</v>
      </c>
      <c r="AC761" s="27">
        <v>40.106999999999999</v>
      </c>
      <c r="AD761" s="27">
        <v>40.963500000000003</v>
      </c>
      <c r="AE761" s="22">
        <f t="shared" si="254"/>
        <v>31130.98245999487</v>
      </c>
      <c r="AF761" s="23">
        <f t="shared" si="255"/>
        <v>-1</v>
      </c>
      <c r="AG761" s="23">
        <f t="shared" si="256"/>
        <v>0</v>
      </c>
      <c r="AH761" s="17">
        <v>1327158.1779699901</v>
      </c>
      <c r="AI761" s="24">
        <f t="shared" si="257"/>
        <v>1.0407173726312113</v>
      </c>
      <c r="AJ761" s="25">
        <v>385196721.31147498</v>
      </c>
      <c r="AK761" s="24">
        <f t="shared" si="258"/>
        <v>2.4151107483507198E-2</v>
      </c>
      <c r="AL761" s="22">
        <f t="shared" si="259"/>
        <v>25487.472379967123</v>
      </c>
      <c r="AM761" s="22">
        <f t="shared" si="260"/>
        <v>31130.98245999487</v>
      </c>
      <c r="AN761" s="22">
        <f t="shared" si="261"/>
        <v>-5643.5100800277469</v>
      </c>
      <c r="AO761" s="26" t="str">
        <f t="shared" si="262"/>
        <v/>
      </c>
      <c r="AP761" s="26" t="str">
        <f t="shared" si="263"/>
        <v>pre-launch</v>
      </c>
      <c r="AQ761" s="18"/>
      <c r="AR761" s="18"/>
    </row>
    <row r="762" spans="1:44" x14ac:dyDescent="0.25">
      <c r="A762" s="43">
        <v>45823</v>
      </c>
      <c r="B762" s="17">
        <v>4120559320.6399999</v>
      </c>
      <c r="C762" s="17">
        <v>0</v>
      </c>
      <c r="D762" s="17">
        <v>208088792</v>
      </c>
      <c r="E762" s="19">
        <f t="shared" si="242"/>
        <v>4120559320.6399999</v>
      </c>
      <c r="F762" s="19">
        <f t="shared" si="243"/>
        <v>4328648112.6399994</v>
      </c>
      <c r="G762" s="20">
        <f t="shared" si="244"/>
        <v>0</v>
      </c>
      <c r="H762" s="17">
        <v>1158797</v>
      </c>
      <c r="I762" s="17">
        <v>39647</v>
      </c>
      <c r="J762" s="17">
        <v>36254</v>
      </c>
      <c r="K762" s="19">
        <f t="shared" si="245"/>
        <v>1198444</v>
      </c>
      <c r="L762" s="18"/>
      <c r="M762" s="18"/>
      <c r="N762" s="18"/>
      <c r="O762" s="19">
        <f t="shared" si="246"/>
        <v>1158797</v>
      </c>
      <c r="P762" s="21">
        <f t="shared" si="247"/>
        <v>2.8122322962214197</v>
      </c>
      <c r="Q762" s="17">
        <v>1124033</v>
      </c>
      <c r="R762" s="17">
        <v>38458</v>
      </c>
      <c r="S762" s="19">
        <f t="shared" si="248"/>
        <v>1162491</v>
      </c>
      <c r="T762" s="20">
        <f t="shared" si="249"/>
        <v>0.03</v>
      </c>
      <c r="U762" s="19">
        <f t="shared" si="250"/>
        <v>35953.329896907213</v>
      </c>
      <c r="V762" s="17">
        <v>36254</v>
      </c>
      <c r="W762" s="19">
        <f t="shared" si="251"/>
        <v>-300.67010309278703</v>
      </c>
      <c r="X762" s="19">
        <f t="shared" si="252"/>
        <v>35953</v>
      </c>
      <c r="Y762" s="17">
        <v>34764</v>
      </c>
      <c r="Z762" s="17">
        <v>1189</v>
      </c>
      <c r="AA762" s="19">
        <f t="shared" si="253"/>
        <v>-301</v>
      </c>
      <c r="AB762" s="17">
        <v>1162491</v>
      </c>
      <c r="AC762" s="27">
        <v>41.165999999999997</v>
      </c>
      <c r="AD762" s="27">
        <v>40.592500000000001</v>
      </c>
      <c r="AE762" s="22">
        <f t="shared" si="254"/>
        <v>28638.073535751679</v>
      </c>
      <c r="AF762" s="23">
        <f t="shared" si="255"/>
        <v>0</v>
      </c>
      <c r="AG762" s="23">
        <f t="shared" si="256"/>
        <v>0</v>
      </c>
      <c r="AH762" s="17">
        <v>1208458.2906889899</v>
      </c>
      <c r="AI762" s="24">
        <f t="shared" si="257"/>
        <v>1.0395420615634787</v>
      </c>
      <c r="AJ762" s="25">
        <v>385333333.33333302</v>
      </c>
      <c r="AK762" s="24">
        <f t="shared" si="258"/>
        <v>2.4146825964342592E-2</v>
      </c>
      <c r="AL762" s="22">
        <f t="shared" si="259"/>
        <v>25491.991611671245</v>
      </c>
      <c r="AM762" s="22">
        <f t="shared" si="260"/>
        <v>28638.073535751679</v>
      </c>
      <c r="AN762" s="22">
        <f t="shared" si="261"/>
        <v>-3146.081924080434</v>
      </c>
      <c r="AO762" s="26" t="str">
        <f t="shared" si="262"/>
        <v/>
      </c>
      <c r="AP762" s="26" t="str">
        <f t="shared" si="263"/>
        <v>pre-launch</v>
      </c>
      <c r="AQ762" s="18"/>
      <c r="AR762" s="18"/>
    </row>
    <row r="763" spans="1:44" x14ac:dyDescent="0.25">
      <c r="A763" s="43">
        <v>45824</v>
      </c>
      <c r="B763" s="17">
        <v>9910445108.1499996</v>
      </c>
      <c r="C763" s="17">
        <v>0</v>
      </c>
      <c r="D763" s="17">
        <v>500000932</v>
      </c>
      <c r="E763" s="19">
        <f t="shared" si="242"/>
        <v>9910445108.1499996</v>
      </c>
      <c r="F763" s="19">
        <f t="shared" si="243"/>
        <v>10410446040.15</v>
      </c>
      <c r="G763" s="20">
        <f t="shared" si="244"/>
        <v>0</v>
      </c>
      <c r="H763" s="17">
        <v>2838831</v>
      </c>
      <c r="I763" s="17">
        <v>103884</v>
      </c>
      <c r="J763" s="17">
        <v>86131</v>
      </c>
      <c r="K763" s="19">
        <f t="shared" si="245"/>
        <v>2942715</v>
      </c>
      <c r="L763" s="18"/>
      <c r="M763" s="18"/>
      <c r="N763" s="18"/>
      <c r="O763" s="19">
        <f t="shared" si="246"/>
        <v>2838831</v>
      </c>
      <c r="P763" s="21">
        <f t="shared" si="247"/>
        <v>2.8644838541766866</v>
      </c>
      <c r="Q763" s="17">
        <v>2753666</v>
      </c>
      <c r="R763" s="17">
        <v>100767</v>
      </c>
      <c r="S763" s="19">
        <f t="shared" si="248"/>
        <v>2854433</v>
      </c>
      <c r="T763" s="20">
        <f t="shared" si="249"/>
        <v>0.03</v>
      </c>
      <c r="U763" s="19">
        <f t="shared" si="250"/>
        <v>88281.432989690715</v>
      </c>
      <c r="V763" s="17">
        <v>86131</v>
      </c>
      <c r="W763" s="19">
        <f t="shared" si="251"/>
        <v>2150.4329896907147</v>
      </c>
      <c r="X763" s="19">
        <f t="shared" si="252"/>
        <v>88282</v>
      </c>
      <c r="Y763" s="17">
        <v>85165</v>
      </c>
      <c r="Z763" s="17">
        <v>3117</v>
      </c>
      <c r="AA763" s="19">
        <f t="shared" si="253"/>
        <v>2151</v>
      </c>
      <c r="AB763" s="17">
        <v>2854433</v>
      </c>
      <c r="AC763" s="27">
        <v>41.899000000000001</v>
      </c>
      <c r="AD763" s="27">
        <v>42.375</v>
      </c>
      <c r="AE763" s="22">
        <f t="shared" si="254"/>
        <v>67361.250737463124</v>
      </c>
      <c r="AF763" s="23">
        <f t="shared" si="255"/>
        <v>0</v>
      </c>
      <c r="AG763" s="23">
        <f t="shared" si="256"/>
        <v>0</v>
      </c>
      <c r="AH763" s="17">
        <v>2871026.6589170098</v>
      </c>
      <c r="AI763" s="24">
        <f t="shared" si="257"/>
        <v>1.0058132942398752</v>
      </c>
      <c r="AJ763" s="25">
        <v>385469945.35519099</v>
      </c>
      <c r="AK763" s="24">
        <f t="shared" si="258"/>
        <v>2.4142546721459841E-2</v>
      </c>
      <c r="AL763" s="22">
        <f t="shared" si="259"/>
        <v>25496.510042345948</v>
      </c>
      <c r="AM763" s="22">
        <f t="shared" si="260"/>
        <v>67361.250737463124</v>
      </c>
      <c r="AN763" s="22">
        <f t="shared" si="261"/>
        <v>-41864.740695117172</v>
      </c>
      <c r="AO763" s="26" t="str">
        <f t="shared" si="262"/>
        <v/>
      </c>
      <c r="AP763" s="26" t="str">
        <f t="shared" si="263"/>
        <v>pre-launch</v>
      </c>
      <c r="AQ763" s="18"/>
      <c r="AR763" s="18"/>
    </row>
    <row r="764" spans="1:44" x14ac:dyDescent="0.25">
      <c r="A764" s="43">
        <v>45825</v>
      </c>
      <c r="B764" s="17">
        <v>11324625683.559999</v>
      </c>
      <c r="C764" s="17">
        <v>0</v>
      </c>
      <c r="D764" s="17">
        <v>481779486</v>
      </c>
      <c r="E764" s="19">
        <f t="shared" si="242"/>
        <v>11324625683.559999</v>
      </c>
      <c r="F764" s="19">
        <f t="shared" si="243"/>
        <v>11806405169.559999</v>
      </c>
      <c r="G764" s="20">
        <f t="shared" si="244"/>
        <v>0</v>
      </c>
      <c r="H764" s="17">
        <v>3268752</v>
      </c>
      <c r="I764" s="17">
        <v>119116</v>
      </c>
      <c r="J764" s="17">
        <v>103787</v>
      </c>
      <c r="K764" s="19">
        <f t="shared" si="245"/>
        <v>3387868</v>
      </c>
      <c r="L764" s="18"/>
      <c r="M764" s="18"/>
      <c r="N764" s="18"/>
      <c r="O764" s="19">
        <f t="shared" si="246"/>
        <v>3268752</v>
      </c>
      <c r="P764" s="21">
        <f t="shared" si="247"/>
        <v>2.8864106340797289</v>
      </c>
      <c r="Q764" s="17">
        <v>3170689</v>
      </c>
      <c r="R764" s="17">
        <v>115542</v>
      </c>
      <c r="S764" s="19">
        <f t="shared" si="248"/>
        <v>3286231</v>
      </c>
      <c r="T764" s="20">
        <f t="shared" si="249"/>
        <v>0.03</v>
      </c>
      <c r="U764" s="19">
        <f t="shared" si="250"/>
        <v>101636.01030927834</v>
      </c>
      <c r="V764" s="17">
        <v>103787</v>
      </c>
      <c r="W764" s="19">
        <f t="shared" si="251"/>
        <v>-2150.9896907216607</v>
      </c>
      <c r="X764" s="19">
        <f t="shared" si="252"/>
        <v>101636</v>
      </c>
      <c r="Y764" s="17">
        <v>98063</v>
      </c>
      <c r="Z764" s="17">
        <v>3573</v>
      </c>
      <c r="AA764" s="19">
        <f t="shared" si="253"/>
        <v>-2151</v>
      </c>
      <c r="AB764" s="17">
        <v>3286231</v>
      </c>
      <c r="AC764" s="27">
        <v>39.979999999999997</v>
      </c>
      <c r="AD764" s="27">
        <v>40.909750000000003</v>
      </c>
      <c r="AE764" s="22">
        <f t="shared" si="254"/>
        <v>80328.796924938433</v>
      </c>
      <c r="AF764" s="23">
        <f t="shared" si="255"/>
        <v>1</v>
      </c>
      <c r="AG764" s="23">
        <f t="shared" si="256"/>
        <v>0</v>
      </c>
      <c r="AH764" s="17">
        <v>3459555.4764350099</v>
      </c>
      <c r="AI764" s="24">
        <f t="shared" si="257"/>
        <v>1.0527426332582859</v>
      </c>
      <c r="AJ764" s="25">
        <v>385606557.37704903</v>
      </c>
      <c r="AK764" s="24">
        <f t="shared" si="258"/>
        <v>2.413826975284265E-2</v>
      </c>
      <c r="AL764" s="22">
        <f t="shared" si="259"/>
        <v>25501.027672417003</v>
      </c>
      <c r="AM764" s="22">
        <f t="shared" si="260"/>
        <v>80328.796924938433</v>
      </c>
      <c r="AN764" s="22">
        <f t="shared" si="261"/>
        <v>-54827.76925252143</v>
      </c>
      <c r="AO764" s="26" t="str">
        <f t="shared" si="262"/>
        <v/>
      </c>
      <c r="AP764" s="26" t="str">
        <f t="shared" si="263"/>
        <v>pre-launch</v>
      </c>
      <c r="AQ764" s="18"/>
      <c r="AR764" s="18"/>
    </row>
    <row r="765" spans="1:44" x14ac:dyDescent="0.25">
      <c r="A765" s="43">
        <v>45826</v>
      </c>
      <c r="B765" s="17">
        <v>7999530032.9300003</v>
      </c>
      <c r="C765" s="17">
        <v>0</v>
      </c>
      <c r="D765" s="17">
        <v>420606916</v>
      </c>
      <c r="E765" s="19">
        <f t="shared" si="242"/>
        <v>7999530032.9300003</v>
      </c>
      <c r="F765" s="19">
        <f t="shared" si="243"/>
        <v>8420136948.9300003</v>
      </c>
      <c r="G765" s="20">
        <f t="shared" si="244"/>
        <v>0</v>
      </c>
      <c r="H765" s="17">
        <v>2288124</v>
      </c>
      <c r="I765" s="17">
        <v>88887</v>
      </c>
      <c r="J765" s="17">
        <v>71154</v>
      </c>
      <c r="K765" s="19">
        <f t="shared" si="245"/>
        <v>2377011</v>
      </c>
      <c r="L765" s="18"/>
      <c r="M765" s="18"/>
      <c r="N765" s="18"/>
      <c r="O765" s="19">
        <f t="shared" si="246"/>
        <v>2288124</v>
      </c>
      <c r="P765" s="21">
        <f t="shared" si="247"/>
        <v>2.8603230322043371</v>
      </c>
      <c r="Q765" s="17">
        <v>2219481</v>
      </c>
      <c r="R765" s="17">
        <v>86220</v>
      </c>
      <c r="S765" s="19">
        <f t="shared" si="248"/>
        <v>2305701</v>
      </c>
      <c r="T765" s="20">
        <f t="shared" si="249"/>
        <v>0.03</v>
      </c>
      <c r="U765" s="19">
        <f t="shared" si="250"/>
        <v>71310.340206185574</v>
      </c>
      <c r="V765" s="17">
        <v>71154</v>
      </c>
      <c r="W765" s="19">
        <f t="shared" si="251"/>
        <v>156.34020618557406</v>
      </c>
      <c r="X765" s="19">
        <f t="shared" si="252"/>
        <v>71311</v>
      </c>
      <c r="Y765" s="17">
        <v>68644</v>
      </c>
      <c r="Z765" s="17">
        <v>2667</v>
      </c>
      <c r="AA765" s="19">
        <f t="shared" si="253"/>
        <v>157</v>
      </c>
      <c r="AB765" s="17">
        <v>2305701</v>
      </c>
      <c r="AC765" s="27">
        <v>39.450000000000003</v>
      </c>
      <c r="AD765" s="27">
        <v>39.520000000000003</v>
      </c>
      <c r="AE765" s="22">
        <f t="shared" si="254"/>
        <v>58342.636639676108</v>
      </c>
      <c r="AF765" s="23">
        <f t="shared" si="255"/>
        <v>-1</v>
      </c>
      <c r="AG765" s="23">
        <f t="shared" si="256"/>
        <v>0</v>
      </c>
      <c r="AH765" s="17">
        <v>2371798.7094299798</v>
      </c>
      <c r="AI765" s="24">
        <f t="shared" si="257"/>
        <v>1.0286670775742301</v>
      </c>
      <c r="AJ765" s="25">
        <v>385743169.39890701</v>
      </c>
      <c r="AK765" s="24">
        <f t="shared" si="258"/>
        <v>2.4133995056477269E-2</v>
      </c>
      <c r="AL765" s="22">
        <f t="shared" si="259"/>
        <v>25505.544502309851</v>
      </c>
      <c r="AM765" s="22">
        <f t="shared" si="260"/>
        <v>58342.636639676108</v>
      </c>
      <c r="AN765" s="22">
        <f t="shared" si="261"/>
        <v>-32837.092137366257</v>
      </c>
      <c r="AO765" s="26" t="str">
        <f t="shared" si="262"/>
        <v/>
      </c>
      <c r="AP765" s="26" t="str">
        <f t="shared" si="263"/>
        <v>pre-launch</v>
      </c>
      <c r="AQ765" s="18"/>
      <c r="AR765" s="18"/>
    </row>
    <row r="766" spans="1:44" x14ac:dyDescent="0.25">
      <c r="A766" s="43">
        <v>45827</v>
      </c>
      <c r="B766" s="17">
        <v>5309706181.6499996</v>
      </c>
      <c r="C766" s="17">
        <v>0</v>
      </c>
      <c r="D766" s="17">
        <v>309275966</v>
      </c>
      <c r="E766" s="19">
        <f t="shared" si="242"/>
        <v>5309706181.6499996</v>
      </c>
      <c r="F766" s="19">
        <f t="shared" si="243"/>
        <v>5618982147.6499996</v>
      </c>
      <c r="G766" s="20">
        <f t="shared" si="244"/>
        <v>0</v>
      </c>
      <c r="H766" s="17">
        <v>1469442</v>
      </c>
      <c r="I766" s="17">
        <v>73911</v>
      </c>
      <c r="J766" s="17">
        <v>46457</v>
      </c>
      <c r="K766" s="19">
        <f t="shared" si="245"/>
        <v>1543353</v>
      </c>
      <c r="L766" s="18"/>
      <c r="M766" s="18"/>
      <c r="N766" s="18"/>
      <c r="O766" s="19">
        <f t="shared" si="246"/>
        <v>1469442</v>
      </c>
      <c r="P766" s="21">
        <f t="shared" si="247"/>
        <v>2.7674638666039493</v>
      </c>
      <c r="Q766" s="17">
        <v>1425358</v>
      </c>
      <c r="R766" s="17">
        <v>71693</v>
      </c>
      <c r="S766" s="19">
        <f t="shared" si="248"/>
        <v>1497051</v>
      </c>
      <c r="T766" s="20">
        <f t="shared" si="249"/>
        <v>0.03</v>
      </c>
      <c r="U766" s="19">
        <f t="shared" si="250"/>
        <v>46300.546391752578</v>
      </c>
      <c r="V766" s="17">
        <v>46457</v>
      </c>
      <c r="W766" s="19">
        <f t="shared" si="251"/>
        <v>-156.45360824742238</v>
      </c>
      <c r="X766" s="19">
        <f t="shared" si="252"/>
        <v>46300</v>
      </c>
      <c r="Y766" s="17">
        <v>44083</v>
      </c>
      <c r="Z766" s="17">
        <v>2217</v>
      </c>
      <c r="AA766" s="19">
        <f t="shared" si="253"/>
        <v>-157</v>
      </c>
      <c r="AB766" s="17">
        <v>1497051</v>
      </c>
      <c r="AC766" s="27">
        <v>36.872</v>
      </c>
      <c r="AD766" s="27">
        <v>38.015999999999998</v>
      </c>
      <c r="AE766" s="22">
        <f t="shared" si="254"/>
        <v>39379.498106060608</v>
      </c>
      <c r="AF766" s="23">
        <f t="shared" si="255"/>
        <v>2</v>
      </c>
      <c r="AG766" s="23">
        <f t="shared" si="256"/>
        <v>0</v>
      </c>
      <c r="AH766" s="17">
        <v>1548564.7793930201</v>
      </c>
      <c r="AI766" s="24">
        <f t="shared" si="257"/>
        <v>1.0344101699895463</v>
      </c>
      <c r="AJ766" s="25">
        <v>385879781.42076498</v>
      </c>
      <c r="AK766" s="24">
        <f t="shared" si="258"/>
        <v>2.4129722630352408E-2</v>
      </c>
      <c r="AL766" s="22">
        <f t="shared" si="259"/>
        <v>25510.060532449519</v>
      </c>
      <c r="AM766" s="22">
        <f t="shared" si="260"/>
        <v>39379.498106060608</v>
      </c>
      <c r="AN766" s="22">
        <f t="shared" si="261"/>
        <v>-13869.437573611089</v>
      </c>
      <c r="AO766" s="26" t="str">
        <f t="shared" si="262"/>
        <v/>
      </c>
      <c r="AP766" s="26" t="str">
        <f t="shared" si="263"/>
        <v>pre-launch</v>
      </c>
      <c r="AQ766" s="18"/>
      <c r="AR766" s="18"/>
    </row>
    <row r="767" spans="1:44" x14ac:dyDescent="0.25">
      <c r="A767" s="43">
        <v>45828</v>
      </c>
      <c r="B767" s="17">
        <v>8984765570.0300007</v>
      </c>
      <c r="C767" s="17">
        <v>0</v>
      </c>
      <c r="D767" s="17">
        <v>390870684</v>
      </c>
      <c r="E767" s="19">
        <f t="shared" si="242"/>
        <v>8984765570.0300007</v>
      </c>
      <c r="F767" s="19">
        <f t="shared" si="243"/>
        <v>9375636254.0300007</v>
      </c>
      <c r="G767" s="20">
        <f t="shared" si="244"/>
        <v>0</v>
      </c>
      <c r="H767" s="17">
        <v>2544445</v>
      </c>
      <c r="I767" s="17">
        <v>93536</v>
      </c>
      <c r="J767" s="17">
        <v>79000</v>
      </c>
      <c r="K767" s="19">
        <f t="shared" si="245"/>
        <v>2637981</v>
      </c>
      <c r="L767" s="18"/>
      <c r="M767" s="18"/>
      <c r="N767" s="18"/>
      <c r="O767" s="19">
        <f t="shared" si="246"/>
        <v>2544445</v>
      </c>
      <c r="P767" s="21">
        <f t="shared" si="247"/>
        <v>2.8319548019008622</v>
      </c>
      <c r="Q767" s="17">
        <v>2468112</v>
      </c>
      <c r="R767" s="17">
        <v>90730</v>
      </c>
      <c r="S767" s="19">
        <f t="shared" si="248"/>
        <v>2558842</v>
      </c>
      <c r="T767" s="20">
        <f t="shared" si="249"/>
        <v>0.03</v>
      </c>
      <c r="U767" s="19">
        <f t="shared" si="250"/>
        <v>79139.443298969069</v>
      </c>
      <c r="V767" s="17">
        <v>79000</v>
      </c>
      <c r="W767" s="19">
        <f t="shared" si="251"/>
        <v>139.44329896906856</v>
      </c>
      <c r="X767" s="19">
        <f t="shared" si="252"/>
        <v>79139</v>
      </c>
      <c r="Y767" s="17">
        <v>76333</v>
      </c>
      <c r="Z767" s="17">
        <v>2806</v>
      </c>
      <c r="AA767" s="19">
        <f t="shared" si="253"/>
        <v>139</v>
      </c>
      <c r="AB767" s="17">
        <v>2558842</v>
      </c>
      <c r="AC767" s="27">
        <v>33.338000000000001</v>
      </c>
      <c r="AD767" s="27">
        <v>35.292250000000003</v>
      </c>
      <c r="AE767" s="22">
        <f t="shared" si="254"/>
        <v>72504.360022384513</v>
      </c>
      <c r="AF767" s="23">
        <f t="shared" si="255"/>
        <v>0</v>
      </c>
      <c r="AG767" s="23">
        <f t="shared" si="256"/>
        <v>0</v>
      </c>
      <c r="AH767" s="17">
        <v>2633335.578888</v>
      </c>
      <c r="AI767" s="24">
        <f t="shared" si="257"/>
        <v>1.029112222985241</v>
      </c>
      <c r="AJ767" s="25">
        <v>386016393.44262302</v>
      </c>
      <c r="AK767" s="24">
        <f t="shared" si="258"/>
        <v>2.4125452472459282E-2</v>
      </c>
      <c r="AL767" s="22">
        <f t="shared" si="259"/>
        <v>25514.575763260669</v>
      </c>
      <c r="AM767" s="22">
        <f t="shared" si="260"/>
        <v>72504.360022384513</v>
      </c>
      <c r="AN767" s="22">
        <f t="shared" si="261"/>
        <v>-46989.784259123844</v>
      </c>
      <c r="AO767" s="26" t="str">
        <f t="shared" si="262"/>
        <v/>
      </c>
      <c r="AP767" s="26" t="str">
        <f t="shared" si="263"/>
        <v>pre-launch</v>
      </c>
      <c r="AQ767" s="18"/>
      <c r="AR767" s="18"/>
    </row>
    <row r="768" spans="1:44" x14ac:dyDescent="0.25">
      <c r="A768" s="43">
        <v>45829</v>
      </c>
      <c r="B768" s="17">
        <v>5853561717.6599998</v>
      </c>
      <c r="C768" s="17">
        <v>0</v>
      </c>
      <c r="D768" s="17">
        <v>325856019</v>
      </c>
      <c r="E768" s="19">
        <f t="shared" si="242"/>
        <v>5853561717.6599998</v>
      </c>
      <c r="F768" s="19">
        <f t="shared" si="243"/>
        <v>6179417736.6599998</v>
      </c>
      <c r="G768" s="20">
        <f t="shared" si="244"/>
        <v>0</v>
      </c>
      <c r="H768" s="17">
        <v>1614659</v>
      </c>
      <c r="I768" s="17">
        <v>69112</v>
      </c>
      <c r="J768" s="17">
        <v>50652</v>
      </c>
      <c r="K768" s="19">
        <f t="shared" si="245"/>
        <v>1683771</v>
      </c>
      <c r="L768" s="18"/>
      <c r="M768" s="18"/>
      <c r="N768" s="18"/>
      <c r="O768" s="19">
        <f t="shared" si="246"/>
        <v>1614659</v>
      </c>
      <c r="P768" s="21">
        <f t="shared" si="247"/>
        <v>2.7584214156803499</v>
      </c>
      <c r="Q768" s="17">
        <v>1566219</v>
      </c>
      <c r="R768" s="17">
        <v>67039</v>
      </c>
      <c r="S768" s="19">
        <f t="shared" si="248"/>
        <v>1633258</v>
      </c>
      <c r="T768" s="20">
        <f t="shared" si="249"/>
        <v>0.03</v>
      </c>
      <c r="U768" s="19">
        <f t="shared" si="250"/>
        <v>50513.134020618556</v>
      </c>
      <c r="V768" s="17">
        <v>50652</v>
      </c>
      <c r="W768" s="19">
        <f t="shared" si="251"/>
        <v>-138.86597938144405</v>
      </c>
      <c r="X768" s="19">
        <f t="shared" si="252"/>
        <v>50513</v>
      </c>
      <c r="Y768" s="17">
        <v>48440</v>
      </c>
      <c r="Z768" s="17">
        <v>2073</v>
      </c>
      <c r="AA768" s="19">
        <f t="shared" si="253"/>
        <v>-139</v>
      </c>
      <c r="AB768" s="17">
        <v>1633258</v>
      </c>
      <c r="AC768" s="27">
        <v>34.396000000000001</v>
      </c>
      <c r="AD768" s="27">
        <v>33.5625</v>
      </c>
      <c r="AE768" s="22">
        <f t="shared" si="254"/>
        <v>48663.180633147116</v>
      </c>
      <c r="AF768" s="23">
        <f t="shared" si="255"/>
        <v>0</v>
      </c>
      <c r="AG768" s="23">
        <f t="shared" si="256"/>
        <v>0</v>
      </c>
      <c r="AH768" s="17">
        <v>1688416.5587559899</v>
      </c>
      <c r="AI768" s="24">
        <f t="shared" si="257"/>
        <v>1.0337721038292724</v>
      </c>
      <c r="AJ768" s="25">
        <v>386153005.464481</v>
      </c>
      <c r="AK768" s="24">
        <f t="shared" si="258"/>
        <v>2.4121184580791599E-2</v>
      </c>
      <c r="AL768" s="22">
        <f t="shared" si="259"/>
        <v>25519.090195167595</v>
      </c>
      <c r="AM768" s="22">
        <f t="shared" si="260"/>
        <v>48663.180633147116</v>
      </c>
      <c r="AN768" s="22">
        <f t="shared" si="261"/>
        <v>-23144.090437979521</v>
      </c>
      <c r="AO768" s="26" t="str">
        <f t="shared" si="262"/>
        <v/>
      </c>
      <c r="AP768" s="26" t="str">
        <f t="shared" si="263"/>
        <v>pre-launch</v>
      </c>
      <c r="AQ768" s="18"/>
      <c r="AR768" s="18"/>
    </row>
    <row r="769" spans="1:44" x14ac:dyDescent="0.25">
      <c r="A769" s="43">
        <v>45830</v>
      </c>
      <c r="B769" s="17">
        <v>12754870645.15</v>
      </c>
      <c r="C769" s="17">
        <v>0</v>
      </c>
      <c r="D769" s="17">
        <v>428910072</v>
      </c>
      <c r="E769" s="19">
        <f t="shared" si="242"/>
        <v>12754870645.15</v>
      </c>
      <c r="F769" s="19">
        <f t="shared" si="243"/>
        <v>13183780717.15</v>
      </c>
      <c r="G769" s="20">
        <f t="shared" si="244"/>
        <v>0</v>
      </c>
      <c r="H769" s="17">
        <v>3587131</v>
      </c>
      <c r="I769" s="17">
        <v>92755</v>
      </c>
      <c r="J769" s="17">
        <v>110397</v>
      </c>
      <c r="K769" s="19">
        <f t="shared" si="245"/>
        <v>3679886</v>
      </c>
      <c r="L769" s="18"/>
      <c r="M769" s="18"/>
      <c r="N769" s="18"/>
      <c r="O769" s="19">
        <f t="shared" si="246"/>
        <v>3587131</v>
      </c>
      <c r="P769" s="21">
        <f t="shared" si="247"/>
        <v>2.8123617242359065</v>
      </c>
      <c r="Q769" s="17">
        <v>3479517</v>
      </c>
      <c r="R769" s="17">
        <v>89973</v>
      </c>
      <c r="S769" s="19">
        <f t="shared" si="248"/>
        <v>3569490</v>
      </c>
      <c r="T769" s="20">
        <f t="shared" si="249"/>
        <v>0.03</v>
      </c>
      <c r="U769" s="19">
        <f t="shared" si="250"/>
        <v>110396.59793814433</v>
      </c>
      <c r="V769" s="17">
        <v>110397</v>
      </c>
      <c r="W769" s="19">
        <f t="shared" si="251"/>
        <v>-0.4020618556678528</v>
      </c>
      <c r="X769" s="19">
        <f t="shared" si="252"/>
        <v>110397</v>
      </c>
      <c r="Y769" s="17">
        <v>107614</v>
      </c>
      <c r="Z769" s="17">
        <v>2783</v>
      </c>
      <c r="AA769" s="19">
        <f t="shared" si="253"/>
        <v>0</v>
      </c>
      <c r="AB769" s="17">
        <v>3569490</v>
      </c>
      <c r="AC769" s="27">
        <v>35.706000000000003</v>
      </c>
      <c r="AD769" s="27">
        <v>34.405749999999998</v>
      </c>
      <c r="AE769" s="22">
        <f t="shared" si="254"/>
        <v>103746.90277061248</v>
      </c>
      <c r="AF769" s="23">
        <f t="shared" si="255"/>
        <v>-1</v>
      </c>
      <c r="AG769" s="23">
        <f t="shared" si="256"/>
        <v>0</v>
      </c>
      <c r="AH769" s="17">
        <v>3679886.1689329701</v>
      </c>
      <c r="AI769" s="24">
        <f t="shared" si="257"/>
        <v>1.0309277148648603</v>
      </c>
      <c r="AJ769" s="25">
        <v>386289617.48633897</v>
      </c>
      <c r="AK769" s="24">
        <f t="shared" si="258"/>
        <v>2.4116918953345546E-2</v>
      </c>
      <c r="AL769" s="22">
        <f t="shared" si="259"/>
        <v>25523.603828594216</v>
      </c>
      <c r="AM769" s="22">
        <f t="shared" si="260"/>
        <v>103746.90277061248</v>
      </c>
      <c r="AN769" s="22">
        <f t="shared" si="261"/>
        <v>-78223.298942018257</v>
      </c>
      <c r="AO769" s="26" t="str">
        <f t="shared" si="262"/>
        <v/>
      </c>
      <c r="AP769" s="26" t="str">
        <f t="shared" si="263"/>
        <v>pre-launch</v>
      </c>
      <c r="AQ769" s="18"/>
      <c r="AR769" s="18"/>
    </row>
    <row r="770" spans="1:44" x14ac:dyDescent="0.25">
      <c r="A770" s="43">
        <v>45831</v>
      </c>
      <c r="B770" s="17">
        <v>13808379727.879999</v>
      </c>
      <c r="C770" s="17">
        <v>0</v>
      </c>
      <c r="D770" s="17">
        <v>521103467</v>
      </c>
      <c r="E770" s="19">
        <f t="shared" si="242"/>
        <v>13808379727.879999</v>
      </c>
      <c r="F770" s="19">
        <f t="shared" si="243"/>
        <v>14329483194.879999</v>
      </c>
      <c r="G770" s="20">
        <f t="shared" si="244"/>
        <v>0</v>
      </c>
      <c r="H770" s="17">
        <v>3981981</v>
      </c>
      <c r="I770" s="17">
        <v>106972</v>
      </c>
      <c r="J770" s="17">
        <v>121961</v>
      </c>
      <c r="K770" s="19">
        <f t="shared" si="245"/>
        <v>4088953</v>
      </c>
      <c r="L770" s="18"/>
      <c r="M770" s="18"/>
      <c r="N770" s="18"/>
      <c r="O770" s="19">
        <f t="shared" si="246"/>
        <v>3981981</v>
      </c>
      <c r="P770" s="21">
        <f t="shared" si="247"/>
        <v>2.8837423930051158</v>
      </c>
      <c r="Q770" s="17">
        <v>3862521</v>
      </c>
      <c r="R770" s="17">
        <v>103763</v>
      </c>
      <c r="S770" s="19">
        <f t="shared" si="248"/>
        <v>3966284</v>
      </c>
      <c r="T770" s="20">
        <f t="shared" si="249"/>
        <v>0.03</v>
      </c>
      <c r="U770" s="19">
        <f t="shared" si="250"/>
        <v>122668.57731958762</v>
      </c>
      <c r="V770" s="17">
        <v>121961</v>
      </c>
      <c r="W770" s="19">
        <f t="shared" si="251"/>
        <v>707.57731958762452</v>
      </c>
      <c r="X770" s="19">
        <f t="shared" si="252"/>
        <v>122668</v>
      </c>
      <c r="Y770" s="17">
        <v>119459</v>
      </c>
      <c r="Z770" s="17">
        <v>3209</v>
      </c>
      <c r="AA770" s="19">
        <f t="shared" si="253"/>
        <v>707</v>
      </c>
      <c r="AB770" s="17">
        <v>3966284</v>
      </c>
      <c r="AC770" s="27">
        <v>38.220999999999997</v>
      </c>
      <c r="AD770" s="27">
        <v>36.43</v>
      </c>
      <c r="AE770" s="22">
        <f t="shared" si="254"/>
        <v>108874.11474059841</v>
      </c>
      <c r="AF770" s="23">
        <f t="shared" si="255"/>
        <v>1</v>
      </c>
      <c r="AG770" s="23">
        <f t="shared" si="256"/>
        <v>0</v>
      </c>
      <c r="AH770" s="17">
        <v>4065354.77078998</v>
      </c>
      <c r="AI770" s="24">
        <f t="shared" si="257"/>
        <v>1.024978234233852</v>
      </c>
      <c r="AJ770" s="25">
        <v>386426229.50819701</v>
      </c>
      <c r="AK770" s="24">
        <f t="shared" si="258"/>
        <v>2.4112655588119782E-2</v>
      </c>
      <c r="AL770" s="22">
        <f t="shared" si="259"/>
        <v>25528.116663964069</v>
      </c>
      <c r="AM770" s="22">
        <f t="shared" si="260"/>
        <v>108874.11474059841</v>
      </c>
      <c r="AN770" s="22">
        <f t="shared" si="261"/>
        <v>-83345.998076634336</v>
      </c>
      <c r="AO770" s="26" t="str">
        <f t="shared" si="262"/>
        <v/>
      </c>
      <c r="AP770" s="26" t="str">
        <f t="shared" si="263"/>
        <v>pre-launch</v>
      </c>
      <c r="AQ770" s="18"/>
      <c r="AR770" s="18"/>
    </row>
    <row r="771" spans="1:44" x14ac:dyDescent="0.25">
      <c r="A771" s="43">
        <v>45832</v>
      </c>
      <c r="B771" s="17">
        <v>7562435082.96</v>
      </c>
      <c r="C771" s="17">
        <v>0</v>
      </c>
      <c r="D771" s="17">
        <v>337608363</v>
      </c>
      <c r="E771" s="19">
        <f t="shared" si="242"/>
        <v>7562435082.96</v>
      </c>
      <c r="F771" s="19">
        <f t="shared" si="243"/>
        <v>7900043445.96</v>
      </c>
      <c r="G771" s="20">
        <f t="shared" si="244"/>
        <v>0</v>
      </c>
      <c r="H771" s="17">
        <v>2155847</v>
      </c>
      <c r="I771" s="17">
        <v>75574</v>
      </c>
      <c r="J771" s="17">
        <v>67359</v>
      </c>
      <c r="K771" s="19">
        <f t="shared" si="245"/>
        <v>2231421</v>
      </c>
      <c r="L771" s="18"/>
      <c r="M771" s="18"/>
      <c r="N771" s="18"/>
      <c r="O771" s="19">
        <f t="shared" si="246"/>
        <v>2155847</v>
      </c>
      <c r="P771" s="21">
        <f t="shared" si="247"/>
        <v>2.8507312477400912</v>
      </c>
      <c r="Q771" s="17">
        <v>2091172</v>
      </c>
      <c r="R771" s="17">
        <v>73307</v>
      </c>
      <c r="S771" s="19">
        <f t="shared" si="248"/>
        <v>2164479</v>
      </c>
      <c r="T771" s="20">
        <f t="shared" si="249"/>
        <v>0.03</v>
      </c>
      <c r="U771" s="19">
        <f t="shared" si="250"/>
        <v>66942.649484536087</v>
      </c>
      <c r="V771" s="17">
        <v>67359</v>
      </c>
      <c r="W771" s="19">
        <f t="shared" si="251"/>
        <v>-416.35051546391333</v>
      </c>
      <c r="X771" s="19">
        <f t="shared" si="252"/>
        <v>66942</v>
      </c>
      <c r="Y771" s="17">
        <v>64675</v>
      </c>
      <c r="Z771" s="17">
        <v>2267</v>
      </c>
      <c r="AA771" s="19">
        <f t="shared" si="253"/>
        <v>-417</v>
      </c>
      <c r="AB771" s="17">
        <v>2164479</v>
      </c>
      <c r="AC771" s="27">
        <v>37.512999999999998</v>
      </c>
      <c r="AD771" s="27">
        <v>37.7485</v>
      </c>
      <c r="AE771" s="22">
        <f t="shared" si="254"/>
        <v>57339.470442534141</v>
      </c>
      <c r="AF771" s="23">
        <f t="shared" si="255"/>
        <v>0</v>
      </c>
      <c r="AG771" s="23">
        <f t="shared" si="256"/>
        <v>0</v>
      </c>
      <c r="AH771" s="17">
        <v>2245297.2423330601</v>
      </c>
      <c r="AI771" s="24">
        <f t="shared" si="257"/>
        <v>1.0373384275537254</v>
      </c>
      <c r="AJ771" s="25">
        <v>386562841.53005499</v>
      </c>
      <c r="AK771" s="24">
        <f t="shared" si="258"/>
        <v>2.4108394483115452E-2</v>
      </c>
      <c r="AL771" s="22">
        <f t="shared" si="259"/>
        <v>25532.628701700301</v>
      </c>
      <c r="AM771" s="22">
        <f t="shared" si="260"/>
        <v>57339.470442534141</v>
      </c>
      <c r="AN771" s="22">
        <f t="shared" si="261"/>
        <v>-31806.841740833839</v>
      </c>
      <c r="AO771" s="26" t="str">
        <f t="shared" si="262"/>
        <v/>
      </c>
      <c r="AP771" s="26" t="str">
        <f t="shared" si="263"/>
        <v>pre-launch</v>
      </c>
      <c r="AQ771" s="18"/>
      <c r="AR771" s="18"/>
    </row>
    <row r="772" spans="1:44" x14ac:dyDescent="0.25">
      <c r="A772" s="43">
        <v>45833</v>
      </c>
      <c r="B772" s="17">
        <v>7112711274.3900003</v>
      </c>
      <c r="C772" s="17">
        <v>0</v>
      </c>
      <c r="D772" s="17">
        <v>303321363</v>
      </c>
      <c r="E772" s="19">
        <f t="shared" si="242"/>
        <v>7112711274.3900003</v>
      </c>
      <c r="F772" s="19">
        <f t="shared" si="243"/>
        <v>7416032637.3900003</v>
      </c>
      <c r="G772" s="20">
        <f t="shared" si="244"/>
        <v>0</v>
      </c>
      <c r="H772" s="17">
        <v>2042066</v>
      </c>
      <c r="I772" s="17">
        <v>66347</v>
      </c>
      <c r="J772" s="17">
        <v>63309</v>
      </c>
      <c r="K772" s="19">
        <f t="shared" si="245"/>
        <v>2108413</v>
      </c>
      <c r="L772" s="18"/>
      <c r="M772" s="18"/>
      <c r="N772" s="18"/>
      <c r="O772" s="19">
        <f t="shared" si="246"/>
        <v>2042066</v>
      </c>
      <c r="P772" s="21">
        <f t="shared" si="247"/>
        <v>2.8710092694928511</v>
      </c>
      <c r="Q772" s="17">
        <v>1980804</v>
      </c>
      <c r="R772" s="17">
        <v>64357</v>
      </c>
      <c r="S772" s="19">
        <f t="shared" si="248"/>
        <v>2045161</v>
      </c>
      <c r="T772" s="20">
        <f t="shared" si="249"/>
        <v>0.03</v>
      </c>
      <c r="U772" s="19">
        <f t="shared" si="250"/>
        <v>63252.402061855668</v>
      </c>
      <c r="V772" s="17">
        <v>63309</v>
      </c>
      <c r="W772" s="19">
        <f t="shared" si="251"/>
        <v>-56.597938144332147</v>
      </c>
      <c r="X772" s="19">
        <f t="shared" si="252"/>
        <v>63252</v>
      </c>
      <c r="Y772" s="17">
        <v>61262</v>
      </c>
      <c r="Z772" s="17">
        <v>1990</v>
      </c>
      <c r="AA772" s="19">
        <f t="shared" si="253"/>
        <v>-57</v>
      </c>
      <c r="AB772" s="17">
        <v>2045161</v>
      </c>
      <c r="AC772" s="27">
        <v>37.009</v>
      </c>
      <c r="AD772" s="27">
        <v>37.58175</v>
      </c>
      <c r="AE772" s="22">
        <f t="shared" si="254"/>
        <v>54418.993261356911</v>
      </c>
      <c r="AF772" s="23">
        <f t="shared" si="255"/>
        <v>0</v>
      </c>
      <c r="AG772" s="23">
        <f t="shared" si="256"/>
        <v>0</v>
      </c>
      <c r="AH772" s="17">
        <v>2110314.7752519902</v>
      </c>
      <c r="AI772" s="24">
        <f t="shared" si="257"/>
        <v>1.0318575286992027</v>
      </c>
      <c r="AJ772" s="25">
        <v>386699453.55191302</v>
      </c>
      <c r="AK772" s="24">
        <f t="shared" si="258"/>
        <v>2.410413563633617E-2</v>
      </c>
      <c r="AL772" s="22">
        <f t="shared" si="259"/>
        <v>25537.139942225727</v>
      </c>
      <c r="AM772" s="22">
        <f t="shared" si="260"/>
        <v>54418.993261356911</v>
      </c>
      <c r="AN772" s="22">
        <f t="shared" si="261"/>
        <v>-28881.853319131184</v>
      </c>
      <c r="AO772" s="26" t="str">
        <f t="shared" si="262"/>
        <v/>
      </c>
      <c r="AP772" s="26" t="str">
        <f t="shared" si="263"/>
        <v>pre-launch</v>
      </c>
      <c r="AQ772" s="18"/>
      <c r="AR772" s="18"/>
    </row>
    <row r="773" spans="1:44" x14ac:dyDescent="0.25">
      <c r="A773" s="43">
        <v>45834</v>
      </c>
      <c r="B773" s="17">
        <v>6054093572.6999998</v>
      </c>
      <c r="C773" s="17">
        <v>0</v>
      </c>
      <c r="D773" s="17">
        <v>253266297</v>
      </c>
      <c r="E773" s="19">
        <f t="shared" ref="E773:E836" si="264">B773+C773</f>
        <v>6054093572.6999998</v>
      </c>
      <c r="F773" s="19">
        <f t="shared" ref="F773:F836" si="265">E773+D773</f>
        <v>6307359869.6999998</v>
      </c>
      <c r="G773" s="20">
        <f t="shared" ref="G773:G836" si="266">IFERROR(C773/E773,0)</f>
        <v>0</v>
      </c>
      <c r="H773" s="17">
        <v>1688508</v>
      </c>
      <c r="I773" s="17">
        <v>54006</v>
      </c>
      <c r="J773" s="17">
        <v>50839</v>
      </c>
      <c r="K773" s="19">
        <f t="shared" ref="K773:K836" si="267">H773+I773</f>
        <v>1742514</v>
      </c>
      <c r="L773" s="18"/>
      <c r="M773" s="18"/>
      <c r="N773" s="18"/>
      <c r="O773" s="19">
        <f t="shared" ref="O773:O836" si="268">IF(H773=0,0,H773-L773)</f>
        <v>1688508</v>
      </c>
      <c r="P773" s="21">
        <f t="shared" ref="P773:P836" si="269">IF(B773=0,0,O773/B773*10000)</f>
        <v>2.7890351870576731</v>
      </c>
      <c r="Q773" s="17">
        <v>1637853</v>
      </c>
      <c r="R773" s="17">
        <v>52385</v>
      </c>
      <c r="S773" s="19">
        <f t="shared" ref="S773:S836" si="270">Q773+R773</f>
        <v>1690238</v>
      </c>
      <c r="T773" s="20">
        <f t="shared" ref="T773:T836" si="271">IF(A773&lt;HlpChangeDate,HlpSharePre,HlpSharePost)</f>
        <v>0.03</v>
      </c>
      <c r="U773" s="19">
        <f t="shared" ref="U773:U836" si="272">S773*T773/(1-T773)</f>
        <v>52275.402061855668</v>
      </c>
      <c r="V773" s="17">
        <v>50839</v>
      </c>
      <c r="W773" s="19">
        <f t="shared" ref="W773:W836" si="273">U773-V773</f>
        <v>1436.4020618556679</v>
      </c>
      <c r="X773" s="19">
        <f t="shared" ref="X773:X836" si="274">Y773+Z773</f>
        <v>52275</v>
      </c>
      <c r="Y773" s="17">
        <v>50655</v>
      </c>
      <c r="Z773" s="17">
        <v>1620</v>
      </c>
      <c r="AA773" s="19">
        <f t="shared" ref="AA773:AA836" si="275">X773-V773</f>
        <v>1436</v>
      </c>
      <c r="AB773" s="17">
        <v>1690238</v>
      </c>
      <c r="AC773" s="27">
        <v>35.76</v>
      </c>
      <c r="AD773" s="27">
        <v>36.618250000000003</v>
      </c>
      <c r="AE773" s="22">
        <f t="shared" ref="AE773:AE836" si="276">IFERROR(AB773/AD773,0)</f>
        <v>46158.350003072235</v>
      </c>
      <c r="AF773" s="23">
        <f t="shared" ref="AF773:AF836" si="277">K773-S773-X773</f>
        <v>1</v>
      </c>
      <c r="AG773" s="23">
        <f t="shared" ref="AG773:AG836" si="278">S773-AB773</f>
        <v>0</v>
      </c>
      <c r="AH773" s="17">
        <v>1694638.5770409701</v>
      </c>
      <c r="AI773" s="24">
        <f t="shared" ref="AI773:AI836" si="279">IFERROR(AH773/S773,0)</f>
        <v>1.0026035250899401</v>
      </c>
      <c r="AJ773" s="25">
        <v>386836065.573771</v>
      </c>
      <c r="AK773" s="24">
        <f t="shared" ref="AK773:AK836" si="280">IF(AJ773&gt;0,AprCoef/SQRT(AJ773),0)</f>
        <v>2.4099879045788013E-2</v>
      </c>
      <c r="AL773" s="22">
        <f t="shared" ref="AL773:AL836" si="281">AJ773*AK773/365</f>
        <v>25541.650385962745</v>
      </c>
      <c r="AM773" s="22">
        <f t="shared" ref="AM773:AM836" si="282">AE773</f>
        <v>46158.350003072235</v>
      </c>
      <c r="AN773" s="22">
        <f t="shared" ref="AN773:AN836" si="283">AL773-AM773</f>
        <v>-20616.699617109491</v>
      </c>
      <c r="AO773" s="26" t="str">
        <f t="shared" ref="AO773:AO836" si="284">IF(A773&gt;=Hip3LaunchDate,"YES","")</f>
        <v/>
      </c>
      <c r="AP773" s="26" t="str">
        <f t="shared" ref="AP773:AP836" si="285">IF(A773&lt;Hip4LaunchDate,"pre-launch","live (zero-fee)")</f>
        <v>pre-launch</v>
      </c>
      <c r="AQ773" s="18"/>
      <c r="AR773" s="18"/>
    </row>
    <row r="774" spans="1:44" x14ac:dyDescent="0.25">
      <c r="A774" s="43">
        <v>45835</v>
      </c>
      <c r="B774" s="17">
        <v>5468496333.6400003</v>
      </c>
      <c r="C774" s="17">
        <v>0</v>
      </c>
      <c r="D774" s="17">
        <v>170980501</v>
      </c>
      <c r="E774" s="19">
        <f t="shared" si="264"/>
        <v>5468496333.6400003</v>
      </c>
      <c r="F774" s="19">
        <f t="shared" si="265"/>
        <v>5639476834.6400003</v>
      </c>
      <c r="G774" s="20">
        <f t="shared" si="266"/>
        <v>0</v>
      </c>
      <c r="H774" s="17">
        <v>1493863</v>
      </c>
      <c r="I774" s="17">
        <v>37448</v>
      </c>
      <c r="J774" s="17">
        <v>47413</v>
      </c>
      <c r="K774" s="19">
        <f t="shared" si="267"/>
        <v>1531311</v>
      </c>
      <c r="L774" s="18"/>
      <c r="M774" s="18"/>
      <c r="N774" s="18"/>
      <c r="O774" s="19">
        <f t="shared" si="268"/>
        <v>1493863</v>
      </c>
      <c r="P774" s="21">
        <f t="shared" si="269"/>
        <v>2.7317619119726806</v>
      </c>
      <c r="Q774" s="17">
        <v>1449047</v>
      </c>
      <c r="R774" s="17">
        <v>36324</v>
      </c>
      <c r="S774" s="19">
        <f t="shared" si="270"/>
        <v>1485371</v>
      </c>
      <c r="T774" s="20">
        <f t="shared" si="271"/>
        <v>0.03</v>
      </c>
      <c r="U774" s="19">
        <f t="shared" si="272"/>
        <v>45939.309278350513</v>
      </c>
      <c r="V774" s="17">
        <v>47413</v>
      </c>
      <c r="W774" s="19">
        <f t="shared" si="273"/>
        <v>-1473.6907216494874</v>
      </c>
      <c r="X774" s="19">
        <f t="shared" si="274"/>
        <v>45939</v>
      </c>
      <c r="Y774" s="17">
        <v>44816</v>
      </c>
      <c r="Z774" s="17">
        <v>1123</v>
      </c>
      <c r="AA774" s="19">
        <f t="shared" si="275"/>
        <v>-1474</v>
      </c>
      <c r="AB774" s="17">
        <v>1485371</v>
      </c>
      <c r="AC774" s="27">
        <v>36.610999999999997</v>
      </c>
      <c r="AD774" s="27">
        <v>36.244</v>
      </c>
      <c r="AE774" s="22">
        <f t="shared" si="276"/>
        <v>40982.535040282528</v>
      </c>
      <c r="AF774" s="23">
        <f t="shared" si="277"/>
        <v>1</v>
      </c>
      <c r="AG774" s="23">
        <f t="shared" si="278"/>
        <v>0</v>
      </c>
      <c r="AH774" s="17">
        <v>1580442.0140219899</v>
      </c>
      <c r="AI774" s="24">
        <f t="shared" si="279"/>
        <v>1.0640048944149239</v>
      </c>
      <c r="AJ774" s="25">
        <v>386972677.59562802</v>
      </c>
      <c r="AK774" s="24">
        <f t="shared" si="280"/>
        <v>2.4095624709479561E-2</v>
      </c>
      <c r="AL774" s="22">
        <f t="shared" si="281"/>
        <v>25546.160033333377</v>
      </c>
      <c r="AM774" s="22">
        <f t="shared" si="282"/>
        <v>40982.535040282528</v>
      </c>
      <c r="AN774" s="22">
        <f t="shared" si="283"/>
        <v>-15436.375006949151</v>
      </c>
      <c r="AO774" s="26" t="str">
        <f t="shared" si="284"/>
        <v/>
      </c>
      <c r="AP774" s="26" t="str">
        <f t="shared" si="285"/>
        <v>pre-launch</v>
      </c>
      <c r="AQ774" s="18"/>
      <c r="AR774" s="18"/>
    </row>
    <row r="775" spans="1:44" x14ac:dyDescent="0.25">
      <c r="A775" s="43">
        <v>45836</v>
      </c>
      <c r="B775" s="17">
        <v>2029915379.9300001</v>
      </c>
      <c r="C775" s="17">
        <v>0</v>
      </c>
      <c r="D775" s="17">
        <v>127382868</v>
      </c>
      <c r="E775" s="19">
        <f t="shared" si="264"/>
        <v>2029915379.9300001</v>
      </c>
      <c r="F775" s="19">
        <f t="shared" si="265"/>
        <v>2157298247.9300003</v>
      </c>
      <c r="G775" s="20">
        <f t="shared" si="266"/>
        <v>0</v>
      </c>
      <c r="H775" s="17">
        <v>592089</v>
      </c>
      <c r="I775" s="17">
        <v>28957</v>
      </c>
      <c r="J775" s="17">
        <v>18632</v>
      </c>
      <c r="K775" s="19">
        <f t="shared" si="267"/>
        <v>621046</v>
      </c>
      <c r="L775" s="18"/>
      <c r="M775" s="18"/>
      <c r="N775" s="18"/>
      <c r="O775" s="19">
        <f t="shared" si="268"/>
        <v>592089</v>
      </c>
      <c r="P775" s="21">
        <f t="shared" si="269"/>
        <v>2.9168161680730638</v>
      </c>
      <c r="Q775" s="17">
        <v>574326</v>
      </c>
      <c r="R775" s="17">
        <v>28089</v>
      </c>
      <c r="S775" s="19">
        <f t="shared" si="270"/>
        <v>602415</v>
      </c>
      <c r="T775" s="20">
        <f t="shared" si="271"/>
        <v>0.03</v>
      </c>
      <c r="U775" s="19">
        <f t="shared" si="272"/>
        <v>18631.391752577321</v>
      </c>
      <c r="V775" s="17">
        <v>18632</v>
      </c>
      <c r="W775" s="19">
        <f t="shared" si="273"/>
        <v>-0.60824742267868714</v>
      </c>
      <c r="X775" s="19">
        <f t="shared" si="274"/>
        <v>18632</v>
      </c>
      <c r="Y775" s="17">
        <v>17763</v>
      </c>
      <c r="Z775" s="17">
        <v>869</v>
      </c>
      <c r="AA775" s="19">
        <f t="shared" si="275"/>
        <v>0</v>
      </c>
      <c r="AB775" s="17">
        <v>602415</v>
      </c>
      <c r="AC775" s="27">
        <v>37.813000000000002</v>
      </c>
      <c r="AD775" s="27">
        <v>37.137250000000002</v>
      </c>
      <c r="AE775" s="22">
        <f t="shared" si="276"/>
        <v>16221.314179159737</v>
      </c>
      <c r="AF775" s="23">
        <f t="shared" si="277"/>
        <v>-1</v>
      </c>
      <c r="AG775" s="23">
        <f t="shared" si="278"/>
        <v>0</v>
      </c>
      <c r="AH775" s="17">
        <v>621074.14868503797</v>
      </c>
      <c r="AI775" s="24">
        <f t="shared" si="279"/>
        <v>1.0309739111493539</v>
      </c>
      <c r="AJ775" s="25">
        <v>387109289.617486</v>
      </c>
      <c r="AK775" s="24">
        <f t="shared" si="280"/>
        <v>2.4091372625421756E-2</v>
      </c>
      <c r="AL775" s="22">
        <f t="shared" si="281"/>
        <v>25550.668884759354</v>
      </c>
      <c r="AM775" s="22">
        <f t="shared" si="282"/>
        <v>16221.314179159737</v>
      </c>
      <c r="AN775" s="22">
        <f t="shared" si="283"/>
        <v>9329.3547055996169</v>
      </c>
      <c r="AO775" s="26" t="str">
        <f t="shared" si="284"/>
        <v/>
      </c>
      <c r="AP775" s="26" t="str">
        <f t="shared" si="285"/>
        <v>pre-launch</v>
      </c>
      <c r="AQ775" s="18"/>
      <c r="AR775" s="18"/>
    </row>
    <row r="776" spans="1:44" x14ac:dyDescent="0.25">
      <c r="A776" s="43">
        <v>45837</v>
      </c>
      <c r="B776" s="17">
        <v>3690353142.0900002</v>
      </c>
      <c r="C776" s="17">
        <v>0</v>
      </c>
      <c r="D776" s="17">
        <v>199996202</v>
      </c>
      <c r="E776" s="19">
        <f t="shared" si="264"/>
        <v>3690353142.0900002</v>
      </c>
      <c r="F776" s="19">
        <f t="shared" si="265"/>
        <v>3890349344.0900002</v>
      </c>
      <c r="G776" s="20">
        <f t="shared" si="266"/>
        <v>0</v>
      </c>
      <c r="H776" s="17">
        <v>1087636</v>
      </c>
      <c r="I776" s="17">
        <v>47224</v>
      </c>
      <c r="J776" s="17">
        <v>33911</v>
      </c>
      <c r="K776" s="19">
        <f t="shared" si="267"/>
        <v>1134860</v>
      </c>
      <c r="L776" s="18"/>
      <c r="M776" s="18"/>
      <c r="N776" s="18"/>
      <c r="O776" s="19">
        <f t="shared" si="268"/>
        <v>1087636</v>
      </c>
      <c r="P776" s="21">
        <f t="shared" si="269"/>
        <v>2.9472409770085761</v>
      </c>
      <c r="Q776" s="17">
        <v>1055007</v>
      </c>
      <c r="R776" s="17">
        <v>45808</v>
      </c>
      <c r="S776" s="19">
        <f t="shared" si="270"/>
        <v>1100815</v>
      </c>
      <c r="T776" s="20">
        <f t="shared" si="271"/>
        <v>0.03</v>
      </c>
      <c r="U776" s="19">
        <f t="shared" si="272"/>
        <v>34045.824742268036</v>
      </c>
      <c r="V776" s="17">
        <v>33911</v>
      </c>
      <c r="W776" s="19">
        <f t="shared" si="273"/>
        <v>134.82474226803606</v>
      </c>
      <c r="X776" s="19">
        <f t="shared" si="274"/>
        <v>34046</v>
      </c>
      <c r="Y776" s="17">
        <v>32629</v>
      </c>
      <c r="Z776" s="17">
        <v>1417</v>
      </c>
      <c r="AA776" s="19">
        <f t="shared" si="275"/>
        <v>135</v>
      </c>
      <c r="AB776" s="17">
        <v>1100815</v>
      </c>
      <c r="AC776" s="27">
        <v>39.759</v>
      </c>
      <c r="AD776" s="27">
        <v>38.722000000000001</v>
      </c>
      <c r="AE776" s="22">
        <f t="shared" si="276"/>
        <v>28428.671039719022</v>
      </c>
      <c r="AF776" s="23">
        <f t="shared" si="277"/>
        <v>-1</v>
      </c>
      <c r="AG776" s="23">
        <f t="shared" si="278"/>
        <v>0</v>
      </c>
      <c r="AH776" s="17">
        <v>1130372.0848000101</v>
      </c>
      <c r="AI776" s="24">
        <f t="shared" si="279"/>
        <v>1.0268501835458366</v>
      </c>
      <c r="AJ776" s="25">
        <v>387245901.63934398</v>
      </c>
      <c r="AK776" s="24">
        <f t="shared" si="280"/>
        <v>2.4087122791628088E-2</v>
      </c>
      <c r="AL776" s="22">
        <f t="shared" si="281"/>
        <v>25555.17694066195</v>
      </c>
      <c r="AM776" s="22">
        <f t="shared" si="282"/>
        <v>28428.671039719022</v>
      </c>
      <c r="AN776" s="22">
        <f t="shared" si="283"/>
        <v>-2873.4940990570722</v>
      </c>
      <c r="AO776" s="26" t="str">
        <f t="shared" si="284"/>
        <v/>
      </c>
      <c r="AP776" s="26" t="str">
        <f t="shared" si="285"/>
        <v>pre-launch</v>
      </c>
      <c r="AQ776" s="18"/>
      <c r="AR776" s="18"/>
    </row>
    <row r="777" spans="1:44" x14ac:dyDescent="0.25">
      <c r="A777" s="43">
        <v>45838</v>
      </c>
      <c r="B777" s="17">
        <v>6117167590.46</v>
      </c>
      <c r="C777" s="17">
        <v>0</v>
      </c>
      <c r="D777" s="17">
        <v>277804580</v>
      </c>
      <c r="E777" s="19">
        <f t="shared" si="264"/>
        <v>6117167590.46</v>
      </c>
      <c r="F777" s="19">
        <f t="shared" si="265"/>
        <v>6394972170.46</v>
      </c>
      <c r="G777" s="20">
        <f t="shared" si="266"/>
        <v>0</v>
      </c>
      <c r="H777" s="17">
        <v>1758684</v>
      </c>
      <c r="I777" s="17">
        <v>60735</v>
      </c>
      <c r="J777" s="17">
        <v>54913</v>
      </c>
      <c r="K777" s="19">
        <f t="shared" si="267"/>
        <v>1819419</v>
      </c>
      <c r="L777" s="18"/>
      <c r="M777" s="18"/>
      <c r="N777" s="18"/>
      <c r="O777" s="19">
        <f t="shared" si="268"/>
        <v>1758684</v>
      </c>
      <c r="P777" s="21">
        <f t="shared" si="269"/>
        <v>2.8749972499408836</v>
      </c>
      <c r="Q777" s="17">
        <v>1705924</v>
      </c>
      <c r="R777" s="17">
        <v>58913</v>
      </c>
      <c r="S777" s="19">
        <f t="shared" si="270"/>
        <v>1764837</v>
      </c>
      <c r="T777" s="20">
        <f t="shared" si="271"/>
        <v>0.03</v>
      </c>
      <c r="U777" s="19">
        <f t="shared" si="272"/>
        <v>54582.587628865978</v>
      </c>
      <c r="V777" s="17">
        <v>54913</v>
      </c>
      <c r="W777" s="19">
        <f t="shared" si="273"/>
        <v>-330.41237113402167</v>
      </c>
      <c r="X777" s="19">
        <f t="shared" si="274"/>
        <v>54583</v>
      </c>
      <c r="Y777" s="17">
        <v>52761</v>
      </c>
      <c r="Z777" s="17">
        <v>1822</v>
      </c>
      <c r="AA777" s="19">
        <f t="shared" si="275"/>
        <v>-330</v>
      </c>
      <c r="AB777" s="17">
        <v>1764837</v>
      </c>
      <c r="AC777" s="27">
        <v>39.570999999999998</v>
      </c>
      <c r="AD777" s="27">
        <v>39.936750000000004</v>
      </c>
      <c r="AE777" s="22">
        <f t="shared" si="276"/>
        <v>44190.80170519634</v>
      </c>
      <c r="AF777" s="23">
        <f t="shared" si="277"/>
        <v>-1</v>
      </c>
      <c r="AG777" s="23">
        <f t="shared" si="278"/>
        <v>0</v>
      </c>
      <c r="AH777" s="17">
        <v>1830442.2844769999</v>
      </c>
      <c r="AI777" s="24">
        <f t="shared" si="279"/>
        <v>1.0371735658743555</v>
      </c>
      <c r="AJ777" s="25">
        <v>387382513.66120201</v>
      </c>
      <c r="AK777" s="24">
        <f t="shared" si="280"/>
        <v>2.4082875206114466E-2</v>
      </c>
      <c r="AL777" s="22">
        <f t="shared" si="281"/>
        <v>25559.684201462082</v>
      </c>
      <c r="AM777" s="22">
        <f t="shared" si="282"/>
        <v>44190.80170519634</v>
      </c>
      <c r="AN777" s="22">
        <f t="shared" si="283"/>
        <v>-18631.117503734258</v>
      </c>
      <c r="AO777" s="26" t="str">
        <f t="shared" si="284"/>
        <v/>
      </c>
      <c r="AP777" s="26" t="str">
        <f t="shared" si="285"/>
        <v>pre-launch</v>
      </c>
      <c r="AQ777" s="18"/>
      <c r="AR777" s="18"/>
    </row>
    <row r="778" spans="1:44" x14ac:dyDescent="0.25">
      <c r="A778" s="43">
        <v>45839</v>
      </c>
      <c r="B778" s="17">
        <v>6136377450.1300001</v>
      </c>
      <c r="C778" s="17">
        <v>0</v>
      </c>
      <c r="D778" s="17">
        <v>249646512</v>
      </c>
      <c r="E778" s="19">
        <f t="shared" si="264"/>
        <v>6136377450.1300001</v>
      </c>
      <c r="F778" s="19">
        <f t="shared" si="265"/>
        <v>6386023962.1300001</v>
      </c>
      <c r="G778" s="20">
        <f t="shared" si="266"/>
        <v>0</v>
      </c>
      <c r="H778" s="17">
        <v>1759654</v>
      </c>
      <c r="I778" s="17">
        <v>56869</v>
      </c>
      <c r="J778" s="17">
        <v>54496</v>
      </c>
      <c r="K778" s="19">
        <f t="shared" si="267"/>
        <v>1816523</v>
      </c>
      <c r="L778" s="18"/>
      <c r="M778" s="18"/>
      <c r="N778" s="18"/>
      <c r="O778" s="19">
        <f t="shared" si="268"/>
        <v>1759654</v>
      </c>
      <c r="P778" s="21">
        <f t="shared" si="269"/>
        <v>2.8675778409992061</v>
      </c>
      <c r="Q778" s="17">
        <v>1706865</v>
      </c>
      <c r="R778" s="17">
        <v>55162</v>
      </c>
      <c r="S778" s="19">
        <f t="shared" si="270"/>
        <v>1762027</v>
      </c>
      <c r="T778" s="20">
        <f t="shared" si="271"/>
        <v>0.03</v>
      </c>
      <c r="U778" s="19">
        <f t="shared" si="272"/>
        <v>54495.680412371134</v>
      </c>
      <c r="V778" s="17">
        <v>54496</v>
      </c>
      <c r="W778" s="19">
        <f t="shared" si="273"/>
        <v>-0.31958762886642944</v>
      </c>
      <c r="X778" s="19">
        <f t="shared" si="274"/>
        <v>54496</v>
      </c>
      <c r="Y778" s="17">
        <v>52790</v>
      </c>
      <c r="Z778" s="17">
        <v>1706</v>
      </c>
      <c r="AA778" s="19">
        <f t="shared" si="275"/>
        <v>0</v>
      </c>
      <c r="AB778" s="17">
        <v>1762027</v>
      </c>
      <c r="AC778" s="27">
        <v>36.881999999999998</v>
      </c>
      <c r="AD778" s="27">
        <v>38.252000000000002</v>
      </c>
      <c r="AE778" s="22">
        <f t="shared" si="276"/>
        <v>46063.656802258702</v>
      </c>
      <c r="AF778" s="23">
        <f t="shared" si="277"/>
        <v>0</v>
      </c>
      <c r="AG778" s="23">
        <f t="shared" si="278"/>
        <v>0</v>
      </c>
      <c r="AH778" s="17">
        <v>1816522.9876899701</v>
      </c>
      <c r="AI778" s="24">
        <f t="shared" si="279"/>
        <v>1.0309280094402469</v>
      </c>
      <c r="AJ778" s="25">
        <v>387519125.68305999</v>
      </c>
      <c r="AK778" s="24">
        <f t="shared" si="280"/>
        <v>2.4078629866899261E-2</v>
      </c>
      <c r="AL778" s="22">
        <f t="shared" si="281"/>
        <v>25564.190667580318</v>
      </c>
      <c r="AM778" s="22">
        <f t="shared" si="282"/>
        <v>46063.656802258702</v>
      </c>
      <c r="AN778" s="22">
        <f t="shared" si="283"/>
        <v>-20499.466134678383</v>
      </c>
      <c r="AO778" s="26" t="str">
        <f t="shared" si="284"/>
        <v/>
      </c>
      <c r="AP778" s="26" t="str">
        <f t="shared" si="285"/>
        <v>pre-launch</v>
      </c>
      <c r="AQ778" s="18"/>
      <c r="AR778" s="18"/>
    </row>
    <row r="779" spans="1:44" x14ac:dyDescent="0.25">
      <c r="A779" s="43">
        <v>45840</v>
      </c>
      <c r="B779" s="17">
        <v>8708461911.8899994</v>
      </c>
      <c r="C779" s="17">
        <v>0</v>
      </c>
      <c r="D779" s="17">
        <v>292172889</v>
      </c>
      <c r="E779" s="19">
        <f t="shared" si="264"/>
        <v>8708461911.8899994</v>
      </c>
      <c r="F779" s="19">
        <f t="shared" si="265"/>
        <v>9000634800.8899994</v>
      </c>
      <c r="G779" s="20">
        <f t="shared" si="266"/>
        <v>0</v>
      </c>
      <c r="H779" s="17">
        <v>2555402</v>
      </c>
      <c r="I779" s="17">
        <v>60148</v>
      </c>
      <c r="J779" s="17">
        <v>77981</v>
      </c>
      <c r="K779" s="19">
        <f t="shared" si="267"/>
        <v>2615550</v>
      </c>
      <c r="L779" s="18"/>
      <c r="M779" s="18"/>
      <c r="N779" s="18"/>
      <c r="O779" s="19">
        <f t="shared" si="268"/>
        <v>2555402</v>
      </c>
      <c r="P779" s="21">
        <f t="shared" si="269"/>
        <v>2.9343895923929013</v>
      </c>
      <c r="Q779" s="17">
        <v>2478740</v>
      </c>
      <c r="R779" s="17">
        <v>58343</v>
      </c>
      <c r="S779" s="19">
        <f t="shared" si="270"/>
        <v>2537083</v>
      </c>
      <c r="T779" s="20">
        <f t="shared" si="271"/>
        <v>0.03</v>
      </c>
      <c r="U779" s="19">
        <f t="shared" si="272"/>
        <v>78466.484536082469</v>
      </c>
      <c r="V779" s="17">
        <v>77981</v>
      </c>
      <c r="W779" s="19">
        <f t="shared" si="273"/>
        <v>485.48453608246928</v>
      </c>
      <c r="X779" s="19">
        <f t="shared" si="274"/>
        <v>78466</v>
      </c>
      <c r="Y779" s="17">
        <v>76662</v>
      </c>
      <c r="Z779" s="17">
        <v>1804</v>
      </c>
      <c r="AA779" s="19">
        <f t="shared" si="275"/>
        <v>485</v>
      </c>
      <c r="AB779" s="17">
        <v>2537083</v>
      </c>
      <c r="AC779" s="27">
        <v>39.905999999999999</v>
      </c>
      <c r="AD779" s="27">
        <v>38.502249999999997</v>
      </c>
      <c r="AE779" s="22">
        <f t="shared" si="276"/>
        <v>65894.408768318739</v>
      </c>
      <c r="AF779" s="23">
        <f t="shared" si="277"/>
        <v>1</v>
      </c>
      <c r="AG779" s="23">
        <f t="shared" si="278"/>
        <v>0</v>
      </c>
      <c r="AH779" s="17">
        <v>2599353.00095201</v>
      </c>
      <c r="AI779" s="24">
        <f t="shared" si="279"/>
        <v>1.0245439352800085</v>
      </c>
      <c r="AJ779" s="25">
        <v>387655737.70491803</v>
      </c>
      <c r="AK779" s="24">
        <f t="shared" si="280"/>
        <v>2.407438677200327E-2</v>
      </c>
      <c r="AL779" s="22">
        <f t="shared" si="281"/>
        <v>25568.696339436847</v>
      </c>
      <c r="AM779" s="22">
        <f t="shared" si="282"/>
        <v>65894.408768318739</v>
      </c>
      <c r="AN779" s="22">
        <f t="shared" si="283"/>
        <v>-40325.712428881889</v>
      </c>
      <c r="AO779" s="26" t="str">
        <f t="shared" si="284"/>
        <v/>
      </c>
      <c r="AP779" s="26" t="str">
        <f t="shared" si="285"/>
        <v>pre-launch</v>
      </c>
      <c r="AQ779" s="18"/>
      <c r="AR779" s="18"/>
    </row>
    <row r="780" spans="1:44" x14ac:dyDescent="0.25">
      <c r="A780" s="43">
        <v>45841</v>
      </c>
      <c r="B780" s="17">
        <v>6251465096.54</v>
      </c>
      <c r="C780" s="17">
        <v>0</v>
      </c>
      <c r="D780" s="17">
        <v>229236296</v>
      </c>
      <c r="E780" s="19">
        <f t="shared" si="264"/>
        <v>6251465096.54</v>
      </c>
      <c r="F780" s="19">
        <f t="shared" si="265"/>
        <v>6480701392.54</v>
      </c>
      <c r="G780" s="20">
        <f t="shared" si="266"/>
        <v>0</v>
      </c>
      <c r="H780" s="17">
        <v>1860095</v>
      </c>
      <c r="I780" s="17">
        <v>51268</v>
      </c>
      <c r="J780" s="17">
        <v>57341</v>
      </c>
      <c r="K780" s="19">
        <f t="shared" si="267"/>
        <v>1911363</v>
      </c>
      <c r="L780" s="18"/>
      <c r="M780" s="18"/>
      <c r="N780" s="18"/>
      <c r="O780" s="19">
        <f t="shared" si="268"/>
        <v>1860095</v>
      </c>
      <c r="P780" s="21">
        <f t="shared" si="269"/>
        <v>2.9754545075033807</v>
      </c>
      <c r="Q780" s="17">
        <v>1804292</v>
      </c>
      <c r="R780" s="17">
        <v>49730</v>
      </c>
      <c r="S780" s="19">
        <f t="shared" si="270"/>
        <v>1854022</v>
      </c>
      <c r="T780" s="20">
        <f t="shared" si="271"/>
        <v>0.03</v>
      </c>
      <c r="U780" s="19">
        <f t="shared" si="272"/>
        <v>57340.886597938144</v>
      </c>
      <c r="V780" s="17">
        <v>57341</v>
      </c>
      <c r="W780" s="19">
        <f t="shared" si="273"/>
        <v>-0.11340206185559509</v>
      </c>
      <c r="X780" s="19">
        <f t="shared" si="274"/>
        <v>57341</v>
      </c>
      <c r="Y780" s="17">
        <v>55803</v>
      </c>
      <c r="Z780" s="17">
        <v>1538</v>
      </c>
      <c r="AA780" s="19">
        <f t="shared" si="275"/>
        <v>0</v>
      </c>
      <c r="AB780" s="17">
        <v>1854022</v>
      </c>
      <c r="AC780" s="27">
        <v>40.253999999999998</v>
      </c>
      <c r="AD780" s="27">
        <v>40.253999999999998</v>
      </c>
      <c r="AE780" s="22">
        <f t="shared" si="276"/>
        <v>46058.081184478564</v>
      </c>
      <c r="AF780" s="23">
        <f t="shared" si="277"/>
        <v>0</v>
      </c>
      <c r="AG780" s="23">
        <f t="shared" si="278"/>
        <v>0</v>
      </c>
      <c r="AH780" s="17">
        <v>1818105.43212599</v>
      </c>
      <c r="AI780" s="24">
        <f t="shared" si="279"/>
        <v>0.98062775529416046</v>
      </c>
      <c r="AJ780" s="25">
        <v>387792349.726776</v>
      </c>
      <c r="AK780" s="24">
        <f t="shared" si="280"/>
        <v>2.407014591944975E-2</v>
      </c>
      <c r="AL780" s="22">
        <f t="shared" si="281"/>
        <v>25573.201217451471</v>
      </c>
      <c r="AM780" s="22">
        <f t="shared" si="282"/>
        <v>46058.081184478564</v>
      </c>
      <c r="AN780" s="22">
        <f t="shared" si="283"/>
        <v>-20484.879967027093</v>
      </c>
      <c r="AO780" s="26" t="str">
        <f t="shared" si="284"/>
        <v/>
      </c>
      <c r="AP780" s="26" t="str">
        <f t="shared" si="285"/>
        <v>pre-launch</v>
      </c>
      <c r="AQ780" s="18"/>
      <c r="AR780" s="18"/>
    </row>
    <row r="781" spans="1:44" x14ac:dyDescent="0.25">
      <c r="A781" s="43">
        <v>45842</v>
      </c>
      <c r="B781" s="17">
        <v>5865755226.1700001</v>
      </c>
      <c r="C781" s="17">
        <v>0</v>
      </c>
      <c r="D781" s="17">
        <v>221169152</v>
      </c>
      <c r="E781" s="19">
        <f t="shared" si="264"/>
        <v>5865755226.1700001</v>
      </c>
      <c r="F781" s="19">
        <f t="shared" si="265"/>
        <v>6086924378.1700001</v>
      </c>
      <c r="G781" s="20">
        <f t="shared" si="266"/>
        <v>0</v>
      </c>
      <c r="H781" s="17">
        <v>1606429</v>
      </c>
      <c r="I781" s="17">
        <v>49787</v>
      </c>
      <c r="J781" s="17">
        <v>49686</v>
      </c>
      <c r="K781" s="19">
        <f t="shared" si="267"/>
        <v>1656216</v>
      </c>
      <c r="L781" s="18"/>
      <c r="M781" s="18"/>
      <c r="N781" s="18"/>
      <c r="O781" s="19">
        <f t="shared" si="268"/>
        <v>1606429</v>
      </c>
      <c r="P781" s="21">
        <f t="shared" si="269"/>
        <v>2.7386567254510301</v>
      </c>
      <c r="Q781" s="17">
        <v>1558236</v>
      </c>
      <c r="R781" s="17">
        <v>48293</v>
      </c>
      <c r="S781" s="19">
        <f t="shared" si="270"/>
        <v>1606529</v>
      </c>
      <c r="T781" s="20">
        <f t="shared" si="271"/>
        <v>0.03</v>
      </c>
      <c r="U781" s="19">
        <f t="shared" si="272"/>
        <v>49686.463917525769</v>
      </c>
      <c r="V781" s="17">
        <v>49686</v>
      </c>
      <c r="W781" s="19">
        <f t="shared" si="273"/>
        <v>0.46391752576892031</v>
      </c>
      <c r="X781" s="19">
        <f t="shared" si="274"/>
        <v>49687</v>
      </c>
      <c r="Y781" s="17">
        <v>48193</v>
      </c>
      <c r="Z781" s="17">
        <v>1494</v>
      </c>
      <c r="AA781" s="19">
        <f t="shared" si="275"/>
        <v>1</v>
      </c>
      <c r="AB781" s="17">
        <v>1606529</v>
      </c>
      <c r="AC781" s="27">
        <v>39.005000000000003</v>
      </c>
      <c r="AD781" s="27">
        <v>39.318249999999999</v>
      </c>
      <c r="AE781" s="22">
        <f t="shared" si="276"/>
        <v>40859.626254983377</v>
      </c>
      <c r="AF781" s="23">
        <f t="shared" si="277"/>
        <v>0</v>
      </c>
      <c r="AG781" s="23">
        <f t="shared" si="278"/>
        <v>0</v>
      </c>
      <c r="AH781" s="17">
        <v>1755190.41929305</v>
      </c>
      <c r="AI781" s="24">
        <f t="shared" si="279"/>
        <v>1.0925357832277225</v>
      </c>
      <c r="AJ781" s="25">
        <v>387928961.74863398</v>
      </c>
      <c r="AK781" s="24">
        <f t="shared" si="280"/>
        <v>2.4065907307264371E-2</v>
      </c>
      <c r="AL781" s="22">
        <f t="shared" si="281"/>
        <v>25577.705302043647</v>
      </c>
      <c r="AM781" s="22">
        <f t="shared" si="282"/>
        <v>40859.626254983377</v>
      </c>
      <c r="AN781" s="22">
        <f t="shared" si="283"/>
        <v>-15281.92095293973</v>
      </c>
      <c r="AO781" s="26" t="str">
        <f t="shared" si="284"/>
        <v/>
      </c>
      <c r="AP781" s="26" t="str">
        <f t="shared" si="285"/>
        <v>pre-launch</v>
      </c>
      <c r="AQ781" s="18"/>
      <c r="AR781" s="18"/>
    </row>
    <row r="782" spans="1:44" x14ac:dyDescent="0.25">
      <c r="A782" s="43">
        <v>45843</v>
      </c>
      <c r="B782" s="17">
        <v>2451950269.5300002</v>
      </c>
      <c r="C782" s="17">
        <v>0</v>
      </c>
      <c r="D782" s="17">
        <v>128067841</v>
      </c>
      <c r="E782" s="19">
        <f t="shared" si="264"/>
        <v>2451950269.5300002</v>
      </c>
      <c r="F782" s="19">
        <f t="shared" si="265"/>
        <v>2580018110.5300002</v>
      </c>
      <c r="G782" s="20">
        <f t="shared" si="266"/>
        <v>0</v>
      </c>
      <c r="H782" s="17">
        <v>708810</v>
      </c>
      <c r="I782" s="17">
        <v>29379</v>
      </c>
      <c r="J782" s="17">
        <v>22460</v>
      </c>
      <c r="K782" s="19">
        <f t="shared" si="267"/>
        <v>738189</v>
      </c>
      <c r="L782" s="18"/>
      <c r="M782" s="18"/>
      <c r="N782" s="18"/>
      <c r="O782" s="19">
        <f t="shared" si="268"/>
        <v>708810</v>
      </c>
      <c r="P782" s="21">
        <f t="shared" si="269"/>
        <v>2.8908008812750823</v>
      </c>
      <c r="Q782" s="17">
        <v>687546</v>
      </c>
      <c r="R782" s="17">
        <v>28497</v>
      </c>
      <c r="S782" s="19">
        <f t="shared" si="270"/>
        <v>716043</v>
      </c>
      <c r="T782" s="20">
        <f t="shared" si="271"/>
        <v>0.03</v>
      </c>
      <c r="U782" s="19">
        <f t="shared" si="272"/>
        <v>22145.659793814433</v>
      </c>
      <c r="V782" s="17">
        <v>22460</v>
      </c>
      <c r="W782" s="19">
        <f t="shared" si="273"/>
        <v>-314.34020618556679</v>
      </c>
      <c r="X782" s="19">
        <f t="shared" si="274"/>
        <v>22145</v>
      </c>
      <c r="Y782" s="17">
        <v>21264</v>
      </c>
      <c r="Z782" s="17">
        <v>881</v>
      </c>
      <c r="AA782" s="19">
        <f t="shared" si="275"/>
        <v>-315</v>
      </c>
      <c r="AB782" s="17">
        <v>716043</v>
      </c>
      <c r="AC782" s="27">
        <v>39.140999999999998</v>
      </c>
      <c r="AD782" s="27">
        <v>39.003749999999997</v>
      </c>
      <c r="AE782" s="22">
        <f t="shared" si="276"/>
        <v>18358.311700798004</v>
      </c>
      <c r="AF782" s="23">
        <f t="shared" si="277"/>
        <v>1</v>
      </c>
      <c r="AG782" s="23">
        <f t="shared" si="278"/>
        <v>0</v>
      </c>
      <c r="AH782" s="17">
        <v>748668.44867295003</v>
      </c>
      <c r="AI782" s="24">
        <f t="shared" si="279"/>
        <v>1.0455635327388859</v>
      </c>
      <c r="AJ782" s="25">
        <v>388065573.77049202</v>
      </c>
      <c r="AK782" s="24">
        <f t="shared" si="280"/>
        <v>2.4061670933475256E-2</v>
      </c>
      <c r="AL782" s="22">
        <f t="shared" si="281"/>
        <v>25582.208593632455</v>
      </c>
      <c r="AM782" s="22">
        <f t="shared" si="282"/>
        <v>18358.311700798004</v>
      </c>
      <c r="AN782" s="22">
        <f t="shared" si="283"/>
        <v>7223.8968928344511</v>
      </c>
      <c r="AO782" s="26" t="str">
        <f t="shared" si="284"/>
        <v/>
      </c>
      <c r="AP782" s="26" t="str">
        <f t="shared" si="285"/>
        <v>pre-launch</v>
      </c>
      <c r="AQ782" s="18"/>
      <c r="AR782" s="18"/>
    </row>
    <row r="783" spans="1:44" x14ac:dyDescent="0.25">
      <c r="A783" s="43">
        <v>45844</v>
      </c>
      <c r="B783" s="17">
        <v>4289662636.7199998</v>
      </c>
      <c r="C783" s="17">
        <v>0</v>
      </c>
      <c r="D783" s="17">
        <v>135062039</v>
      </c>
      <c r="E783" s="19">
        <f t="shared" si="264"/>
        <v>4289662636.7199998</v>
      </c>
      <c r="F783" s="19">
        <f t="shared" si="265"/>
        <v>4424724675.7199993</v>
      </c>
      <c r="G783" s="20">
        <f t="shared" si="266"/>
        <v>0</v>
      </c>
      <c r="H783" s="17">
        <v>1227214</v>
      </c>
      <c r="I783" s="17">
        <v>26841</v>
      </c>
      <c r="J783" s="17">
        <v>37405</v>
      </c>
      <c r="K783" s="19">
        <f t="shared" si="267"/>
        <v>1254055</v>
      </c>
      <c r="L783" s="18"/>
      <c r="M783" s="18"/>
      <c r="N783" s="18"/>
      <c r="O783" s="19">
        <f t="shared" si="268"/>
        <v>1227214</v>
      </c>
      <c r="P783" s="21">
        <f t="shared" si="269"/>
        <v>2.860863671410681</v>
      </c>
      <c r="Q783" s="17">
        <v>1190398</v>
      </c>
      <c r="R783" s="17">
        <v>26036</v>
      </c>
      <c r="S783" s="19">
        <f t="shared" si="270"/>
        <v>1216434</v>
      </c>
      <c r="T783" s="20">
        <f t="shared" si="271"/>
        <v>0.03</v>
      </c>
      <c r="U783" s="19">
        <f t="shared" si="272"/>
        <v>37621.67010309278</v>
      </c>
      <c r="V783" s="17">
        <v>37405</v>
      </c>
      <c r="W783" s="19">
        <f t="shared" si="273"/>
        <v>216.67010309277975</v>
      </c>
      <c r="X783" s="19">
        <f t="shared" si="274"/>
        <v>37621</v>
      </c>
      <c r="Y783" s="17">
        <v>36816</v>
      </c>
      <c r="Z783" s="17">
        <v>805</v>
      </c>
      <c r="AA783" s="19">
        <f t="shared" si="275"/>
        <v>216</v>
      </c>
      <c r="AB783" s="17">
        <v>1216434</v>
      </c>
      <c r="AC783" s="27">
        <v>39.850999999999999</v>
      </c>
      <c r="AD783" s="27">
        <v>39.424250000000001</v>
      </c>
      <c r="AE783" s="22">
        <f t="shared" si="276"/>
        <v>30854.968705809242</v>
      </c>
      <c r="AF783" s="23">
        <f t="shared" si="277"/>
        <v>0</v>
      </c>
      <c r="AG783" s="23">
        <f t="shared" si="278"/>
        <v>0</v>
      </c>
      <c r="AH783" s="17">
        <v>1246827.29323602</v>
      </c>
      <c r="AI783" s="24">
        <f t="shared" si="279"/>
        <v>1.0249855670229704</v>
      </c>
      <c r="AJ783" s="25">
        <v>388202185.79234999</v>
      </c>
      <c r="AK783" s="24">
        <f t="shared" si="280"/>
        <v>2.4057436796112951E-2</v>
      </c>
      <c r="AL783" s="22">
        <f t="shared" si="281"/>
        <v>25586.711092636597</v>
      </c>
      <c r="AM783" s="22">
        <f t="shared" si="282"/>
        <v>30854.968705809242</v>
      </c>
      <c r="AN783" s="22">
        <f t="shared" si="283"/>
        <v>-5268.2576131726455</v>
      </c>
      <c r="AO783" s="26" t="str">
        <f t="shared" si="284"/>
        <v/>
      </c>
      <c r="AP783" s="26" t="str">
        <f t="shared" si="285"/>
        <v>pre-launch</v>
      </c>
      <c r="AQ783" s="18"/>
      <c r="AR783" s="18"/>
    </row>
    <row r="784" spans="1:44" x14ac:dyDescent="0.25">
      <c r="A784" s="43">
        <v>45845</v>
      </c>
      <c r="B784" s="17">
        <v>5322409239.8400002</v>
      </c>
      <c r="C784" s="17">
        <v>0</v>
      </c>
      <c r="D784" s="17">
        <v>200536259</v>
      </c>
      <c r="E784" s="19">
        <f t="shared" si="264"/>
        <v>5322409239.8400002</v>
      </c>
      <c r="F784" s="19">
        <f t="shared" si="265"/>
        <v>5522945498.8400002</v>
      </c>
      <c r="G784" s="20">
        <f t="shared" si="266"/>
        <v>0</v>
      </c>
      <c r="H784" s="17">
        <v>1561368</v>
      </c>
      <c r="I784" s="17">
        <v>48359</v>
      </c>
      <c r="J784" s="17">
        <v>48509</v>
      </c>
      <c r="K784" s="19">
        <f t="shared" si="267"/>
        <v>1609727</v>
      </c>
      <c r="L784" s="18"/>
      <c r="M784" s="18"/>
      <c r="N784" s="18"/>
      <c r="O784" s="19">
        <f t="shared" si="268"/>
        <v>1561368</v>
      </c>
      <c r="P784" s="21">
        <f t="shared" si="269"/>
        <v>2.9335737438463809</v>
      </c>
      <c r="Q784" s="17">
        <v>1514527</v>
      </c>
      <c r="R784" s="17">
        <v>46909</v>
      </c>
      <c r="S784" s="19">
        <f t="shared" si="270"/>
        <v>1561436</v>
      </c>
      <c r="T784" s="20">
        <f t="shared" si="271"/>
        <v>0.03</v>
      </c>
      <c r="U784" s="19">
        <f t="shared" si="272"/>
        <v>48291.835051546397</v>
      </c>
      <c r="V784" s="17">
        <v>48509</v>
      </c>
      <c r="W784" s="19">
        <f t="shared" si="273"/>
        <v>-217.16494845360285</v>
      </c>
      <c r="X784" s="19">
        <f t="shared" si="274"/>
        <v>48292</v>
      </c>
      <c r="Y784" s="17">
        <v>46841</v>
      </c>
      <c r="Z784" s="17">
        <v>1451</v>
      </c>
      <c r="AA784" s="19">
        <f t="shared" si="275"/>
        <v>-217</v>
      </c>
      <c r="AB784" s="17">
        <v>1561436</v>
      </c>
      <c r="AC784" s="27">
        <v>38.557000000000002</v>
      </c>
      <c r="AD784" s="27">
        <v>39.143000000000001</v>
      </c>
      <c r="AE784" s="22">
        <f t="shared" si="276"/>
        <v>39890.555143959326</v>
      </c>
      <c r="AF784" s="23">
        <f t="shared" si="277"/>
        <v>-1</v>
      </c>
      <c r="AG784" s="23">
        <f t="shared" si="278"/>
        <v>0</v>
      </c>
      <c r="AH784" s="17">
        <v>1616955.678572</v>
      </c>
      <c r="AI784" s="24">
        <f t="shared" si="279"/>
        <v>1.0355568070494083</v>
      </c>
      <c r="AJ784" s="25">
        <v>388338797.81420797</v>
      </c>
      <c r="AK784" s="24">
        <f t="shared" si="280"/>
        <v>2.4053204893210417E-2</v>
      </c>
      <c r="AL784" s="22">
        <f t="shared" si="281"/>
        <v>25591.212799474404</v>
      </c>
      <c r="AM784" s="22">
        <f t="shared" si="282"/>
        <v>39890.555143959326</v>
      </c>
      <c r="AN784" s="22">
        <f t="shared" si="283"/>
        <v>-14299.342344484921</v>
      </c>
      <c r="AO784" s="26" t="str">
        <f t="shared" si="284"/>
        <v/>
      </c>
      <c r="AP784" s="26" t="str">
        <f t="shared" si="285"/>
        <v>pre-launch</v>
      </c>
      <c r="AQ784" s="18"/>
      <c r="AR784" s="18"/>
    </row>
    <row r="785" spans="1:44" x14ac:dyDescent="0.25">
      <c r="A785" s="43">
        <v>45846</v>
      </c>
      <c r="B785" s="17">
        <v>5320747621.8000002</v>
      </c>
      <c r="C785" s="17">
        <v>0</v>
      </c>
      <c r="D785" s="17">
        <v>248230529</v>
      </c>
      <c r="E785" s="19">
        <f t="shared" si="264"/>
        <v>5320747621.8000002</v>
      </c>
      <c r="F785" s="19">
        <f t="shared" si="265"/>
        <v>5568978150.8000002</v>
      </c>
      <c r="G785" s="20">
        <f t="shared" si="266"/>
        <v>0</v>
      </c>
      <c r="H785" s="17">
        <v>1586779</v>
      </c>
      <c r="I785" s="17">
        <v>58482</v>
      </c>
      <c r="J785" s="17">
        <v>49358</v>
      </c>
      <c r="K785" s="19">
        <f t="shared" si="267"/>
        <v>1645261</v>
      </c>
      <c r="L785" s="18"/>
      <c r="M785" s="18"/>
      <c r="N785" s="18"/>
      <c r="O785" s="19">
        <f t="shared" si="268"/>
        <v>1586779</v>
      </c>
      <c r="P785" s="21">
        <f t="shared" si="269"/>
        <v>2.9822481966607453</v>
      </c>
      <c r="Q785" s="17">
        <v>1539176</v>
      </c>
      <c r="R785" s="17">
        <v>56727</v>
      </c>
      <c r="S785" s="19">
        <f t="shared" si="270"/>
        <v>1595903</v>
      </c>
      <c r="T785" s="20">
        <f t="shared" si="271"/>
        <v>0.03</v>
      </c>
      <c r="U785" s="19">
        <f t="shared" si="272"/>
        <v>49357.824742268036</v>
      </c>
      <c r="V785" s="17">
        <v>49358</v>
      </c>
      <c r="W785" s="19">
        <f t="shared" si="273"/>
        <v>-0.17525773196393857</v>
      </c>
      <c r="X785" s="19">
        <f t="shared" si="274"/>
        <v>49357</v>
      </c>
      <c r="Y785" s="17">
        <v>47603</v>
      </c>
      <c r="Z785" s="17">
        <v>1754</v>
      </c>
      <c r="AA785" s="19">
        <f t="shared" si="275"/>
        <v>-1</v>
      </c>
      <c r="AB785" s="17">
        <v>1595903</v>
      </c>
      <c r="AC785" s="27">
        <v>38.834000000000003</v>
      </c>
      <c r="AD785" s="27">
        <v>38.368000000000002</v>
      </c>
      <c r="AE785" s="22">
        <f t="shared" si="276"/>
        <v>41594.636155129272</v>
      </c>
      <c r="AF785" s="23">
        <f t="shared" si="277"/>
        <v>1</v>
      </c>
      <c r="AG785" s="23">
        <f t="shared" si="278"/>
        <v>0</v>
      </c>
      <c r="AH785" s="17">
        <v>1645260.7240780001</v>
      </c>
      <c r="AI785" s="24">
        <f t="shared" si="279"/>
        <v>1.0309277719748631</v>
      </c>
      <c r="AJ785" s="25">
        <v>388475409.83606601</v>
      </c>
      <c r="AK785" s="24">
        <f t="shared" si="280"/>
        <v>2.4048975222803054E-2</v>
      </c>
      <c r="AL785" s="22">
        <f t="shared" si="281"/>
        <v>25595.713714563874</v>
      </c>
      <c r="AM785" s="22">
        <f t="shared" si="282"/>
        <v>41594.636155129272</v>
      </c>
      <c r="AN785" s="22">
        <f t="shared" si="283"/>
        <v>-15998.922440565399</v>
      </c>
      <c r="AO785" s="26" t="str">
        <f t="shared" si="284"/>
        <v/>
      </c>
      <c r="AP785" s="26" t="str">
        <f t="shared" si="285"/>
        <v>pre-launch</v>
      </c>
      <c r="AQ785" s="18"/>
      <c r="AR785" s="18"/>
    </row>
    <row r="786" spans="1:44" x14ac:dyDescent="0.25">
      <c r="A786" s="43">
        <v>45847</v>
      </c>
      <c r="B786" s="17">
        <v>8668787164.75</v>
      </c>
      <c r="C786" s="17">
        <v>0</v>
      </c>
      <c r="D786" s="17">
        <v>298577873</v>
      </c>
      <c r="E786" s="19">
        <f t="shared" si="264"/>
        <v>8668787164.75</v>
      </c>
      <c r="F786" s="19">
        <f t="shared" si="265"/>
        <v>8967365037.75</v>
      </c>
      <c r="G786" s="20">
        <f t="shared" si="266"/>
        <v>0</v>
      </c>
      <c r="H786" s="17">
        <v>2647959</v>
      </c>
      <c r="I786" s="17">
        <v>67974</v>
      </c>
      <c r="J786" s="17">
        <v>81478</v>
      </c>
      <c r="K786" s="19">
        <f t="shared" si="267"/>
        <v>2715933</v>
      </c>
      <c r="L786" s="18"/>
      <c r="M786" s="18"/>
      <c r="N786" s="18"/>
      <c r="O786" s="19">
        <f t="shared" si="268"/>
        <v>2647959</v>
      </c>
      <c r="P786" s="21">
        <f t="shared" si="269"/>
        <v>3.0545899324503312</v>
      </c>
      <c r="Q786" s="17">
        <v>2568521</v>
      </c>
      <c r="R786" s="17">
        <v>65935</v>
      </c>
      <c r="S786" s="19">
        <f t="shared" si="270"/>
        <v>2634456</v>
      </c>
      <c r="T786" s="20">
        <f t="shared" si="271"/>
        <v>0.03</v>
      </c>
      <c r="U786" s="19">
        <f t="shared" si="272"/>
        <v>81478.020618556693</v>
      </c>
      <c r="V786" s="17">
        <v>81478</v>
      </c>
      <c r="W786" s="19">
        <f t="shared" si="273"/>
        <v>2.0618556693079881E-2</v>
      </c>
      <c r="X786" s="19">
        <f t="shared" si="274"/>
        <v>81478</v>
      </c>
      <c r="Y786" s="17">
        <v>79439</v>
      </c>
      <c r="Z786" s="17">
        <v>2039</v>
      </c>
      <c r="AA786" s="19">
        <f t="shared" si="275"/>
        <v>0</v>
      </c>
      <c r="AB786" s="17">
        <v>2634456</v>
      </c>
      <c r="AC786" s="27">
        <v>40.689</v>
      </c>
      <c r="AD786" s="27">
        <v>39.835250000000002</v>
      </c>
      <c r="AE786" s="22">
        <f t="shared" si="276"/>
        <v>66133.788541555536</v>
      </c>
      <c r="AF786" s="23">
        <f t="shared" si="277"/>
        <v>-1</v>
      </c>
      <c r="AG786" s="23">
        <f t="shared" si="278"/>
        <v>0</v>
      </c>
      <c r="AH786" s="17">
        <v>2715933.6608589902</v>
      </c>
      <c r="AI786" s="24">
        <f t="shared" si="279"/>
        <v>1.0309276984922087</v>
      </c>
      <c r="AJ786" s="25">
        <v>388612021.85792398</v>
      </c>
      <c r="AK786" s="24">
        <f t="shared" si="280"/>
        <v>2.4044747782928668E-2</v>
      </c>
      <c r="AL786" s="22">
        <f t="shared" si="281"/>
        <v>25600.213838322587</v>
      </c>
      <c r="AM786" s="22">
        <f t="shared" si="282"/>
        <v>66133.788541555536</v>
      </c>
      <c r="AN786" s="22">
        <f t="shared" si="283"/>
        <v>-40533.574703232953</v>
      </c>
      <c r="AO786" s="26" t="str">
        <f t="shared" si="284"/>
        <v/>
      </c>
      <c r="AP786" s="26" t="str">
        <f t="shared" si="285"/>
        <v>pre-launch</v>
      </c>
      <c r="AQ786" s="18"/>
      <c r="AR786" s="18"/>
    </row>
    <row r="787" spans="1:44" x14ac:dyDescent="0.25">
      <c r="A787" s="43">
        <v>45848</v>
      </c>
      <c r="B787" s="17">
        <v>10991694982.200001</v>
      </c>
      <c r="C787" s="17">
        <v>0</v>
      </c>
      <c r="D787" s="17">
        <v>408100683</v>
      </c>
      <c r="E787" s="19">
        <f t="shared" si="264"/>
        <v>10991694982.200001</v>
      </c>
      <c r="F787" s="19">
        <f t="shared" si="265"/>
        <v>11399795665.200001</v>
      </c>
      <c r="G787" s="20">
        <f t="shared" si="266"/>
        <v>0</v>
      </c>
      <c r="H787" s="17">
        <v>3383736</v>
      </c>
      <c r="I787" s="17">
        <v>94024</v>
      </c>
      <c r="J787" s="17">
        <v>103506</v>
      </c>
      <c r="K787" s="19">
        <f t="shared" si="267"/>
        <v>3477760</v>
      </c>
      <c r="L787" s="18"/>
      <c r="M787" s="18"/>
      <c r="N787" s="18"/>
      <c r="O787" s="19">
        <f t="shared" si="268"/>
        <v>3383736</v>
      </c>
      <c r="P787" s="21">
        <f t="shared" si="269"/>
        <v>3.0784478694865869</v>
      </c>
      <c r="Q787" s="17">
        <v>3282224</v>
      </c>
      <c r="R787" s="17">
        <v>91203</v>
      </c>
      <c r="S787" s="19">
        <f t="shared" si="270"/>
        <v>3373427</v>
      </c>
      <c r="T787" s="20">
        <f t="shared" si="271"/>
        <v>0.03</v>
      </c>
      <c r="U787" s="19">
        <f t="shared" si="272"/>
        <v>104332.793814433</v>
      </c>
      <c r="V787" s="17">
        <v>103506</v>
      </c>
      <c r="W787" s="19">
        <f t="shared" si="273"/>
        <v>826.79381443299644</v>
      </c>
      <c r="X787" s="19">
        <f t="shared" si="274"/>
        <v>104333</v>
      </c>
      <c r="Y787" s="17">
        <v>101512</v>
      </c>
      <c r="Z787" s="17">
        <v>2821</v>
      </c>
      <c r="AA787" s="19">
        <f t="shared" si="275"/>
        <v>827</v>
      </c>
      <c r="AB787" s="17">
        <v>3373427</v>
      </c>
      <c r="AC787" s="27">
        <v>43.787999999999997</v>
      </c>
      <c r="AD787" s="27">
        <v>42.250999999999998</v>
      </c>
      <c r="AE787" s="22">
        <f t="shared" si="276"/>
        <v>79842.536271330857</v>
      </c>
      <c r="AF787" s="23">
        <f t="shared" si="277"/>
        <v>0</v>
      </c>
      <c r="AG787" s="23">
        <f t="shared" si="278"/>
        <v>0</v>
      </c>
      <c r="AH787" s="17">
        <v>3450198.9784760498</v>
      </c>
      <c r="AI787" s="24">
        <f t="shared" si="279"/>
        <v>1.0227578597301943</v>
      </c>
      <c r="AJ787" s="25">
        <v>388748633.87978101</v>
      </c>
      <c r="AK787" s="24">
        <f t="shared" si="280"/>
        <v>2.4040522571627511E-2</v>
      </c>
      <c r="AL787" s="22">
        <f t="shared" si="281"/>
        <v>25604.713171167765</v>
      </c>
      <c r="AM787" s="22">
        <f t="shared" si="282"/>
        <v>79842.536271330857</v>
      </c>
      <c r="AN787" s="22">
        <f t="shared" si="283"/>
        <v>-54237.823100163092</v>
      </c>
      <c r="AO787" s="26" t="str">
        <f t="shared" si="284"/>
        <v/>
      </c>
      <c r="AP787" s="26" t="str">
        <f t="shared" si="285"/>
        <v>pre-launch</v>
      </c>
      <c r="AQ787" s="18"/>
      <c r="AR787" s="18"/>
    </row>
    <row r="788" spans="1:44" x14ac:dyDescent="0.25">
      <c r="A788" s="43">
        <v>45849</v>
      </c>
      <c r="B788" s="17">
        <v>12433064594.49</v>
      </c>
      <c r="C788" s="17">
        <v>0</v>
      </c>
      <c r="D788" s="17">
        <v>470323564</v>
      </c>
      <c r="E788" s="19">
        <f t="shared" si="264"/>
        <v>12433064594.49</v>
      </c>
      <c r="F788" s="19">
        <f t="shared" si="265"/>
        <v>12903388158.49</v>
      </c>
      <c r="G788" s="20">
        <f t="shared" si="266"/>
        <v>0</v>
      </c>
      <c r="H788" s="17">
        <v>3718240</v>
      </c>
      <c r="I788" s="17">
        <v>108458</v>
      </c>
      <c r="J788" s="17">
        <v>115349</v>
      </c>
      <c r="K788" s="19">
        <f t="shared" si="267"/>
        <v>3826698</v>
      </c>
      <c r="L788" s="18"/>
      <c r="M788" s="18"/>
      <c r="N788" s="18"/>
      <c r="O788" s="19">
        <f t="shared" si="268"/>
        <v>3718240</v>
      </c>
      <c r="P788" s="21">
        <f t="shared" si="269"/>
        <v>2.9906061950710239</v>
      </c>
      <c r="Q788" s="17">
        <v>3606693</v>
      </c>
      <c r="R788" s="17">
        <v>105205</v>
      </c>
      <c r="S788" s="19">
        <f t="shared" si="270"/>
        <v>3711898</v>
      </c>
      <c r="T788" s="20">
        <f t="shared" si="271"/>
        <v>0.03</v>
      </c>
      <c r="U788" s="19">
        <f t="shared" si="272"/>
        <v>114800.96907216495</v>
      </c>
      <c r="V788" s="17">
        <v>115349</v>
      </c>
      <c r="W788" s="19">
        <f t="shared" si="273"/>
        <v>-548.0309278350469</v>
      </c>
      <c r="X788" s="19">
        <f t="shared" si="274"/>
        <v>114801</v>
      </c>
      <c r="Y788" s="17">
        <v>111547</v>
      </c>
      <c r="Z788" s="17">
        <v>3254</v>
      </c>
      <c r="AA788" s="19">
        <f t="shared" si="275"/>
        <v>-548</v>
      </c>
      <c r="AB788" s="17">
        <v>3711898</v>
      </c>
      <c r="AC788" s="27">
        <v>46.301000000000002</v>
      </c>
      <c r="AD788" s="27">
        <v>45.012749999999997</v>
      </c>
      <c r="AE788" s="22">
        <f t="shared" si="276"/>
        <v>82463.257632559675</v>
      </c>
      <c r="AF788" s="23">
        <f t="shared" si="277"/>
        <v>-1</v>
      </c>
      <c r="AG788" s="23">
        <f t="shared" si="278"/>
        <v>0</v>
      </c>
      <c r="AH788" s="17">
        <v>3844957.1953789601</v>
      </c>
      <c r="AI788" s="24">
        <f t="shared" si="279"/>
        <v>1.0358466734212417</v>
      </c>
      <c r="AJ788" s="25">
        <v>388885245.90163898</v>
      </c>
      <c r="AK788" s="24">
        <f t="shared" si="280"/>
        <v>2.4036299586942152E-2</v>
      </c>
      <c r="AL788" s="22">
        <f t="shared" si="281"/>
        <v>25609.211713516335</v>
      </c>
      <c r="AM788" s="22">
        <f t="shared" si="282"/>
        <v>82463.257632559675</v>
      </c>
      <c r="AN788" s="22">
        <f t="shared" si="283"/>
        <v>-56854.045919043339</v>
      </c>
      <c r="AO788" s="26" t="str">
        <f t="shared" si="284"/>
        <v/>
      </c>
      <c r="AP788" s="26" t="str">
        <f t="shared" si="285"/>
        <v>pre-launch</v>
      </c>
      <c r="AQ788" s="18"/>
      <c r="AR788" s="18"/>
    </row>
    <row r="789" spans="1:44" x14ac:dyDescent="0.25">
      <c r="A789" s="43">
        <v>45850</v>
      </c>
      <c r="B789" s="17">
        <v>5486400795.6300001</v>
      </c>
      <c r="C789" s="17">
        <v>0</v>
      </c>
      <c r="D789" s="17">
        <v>306157655</v>
      </c>
      <c r="E789" s="19">
        <f t="shared" si="264"/>
        <v>5486400795.6300001</v>
      </c>
      <c r="F789" s="19">
        <f t="shared" si="265"/>
        <v>5792558450.6300001</v>
      </c>
      <c r="G789" s="20">
        <f t="shared" si="266"/>
        <v>0</v>
      </c>
      <c r="H789" s="17">
        <v>1694005</v>
      </c>
      <c r="I789" s="17">
        <v>76542</v>
      </c>
      <c r="J789" s="17">
        <v>53395</v>
      </c>
      <c r="K789" s="19">
        <f t="shared" si="267"/>
        <v>1770547</v>
      </c>
      <c r="L789" s="18"/>
      <c r="M789" s="18"/>
      <c r="N789" s="18"/>
      <c r="O789" s="19">
        <f t="shared" si="268"/>
        <v>1694005</v>
      </c>
      <c r="P789" s="21">
        <f t="shared" si="269"/>
        <v>3.0876435446518968</v>
      </c>
      <c r="Q789" s="17">
        <v>1643185</v>
      </c>
      <c r="R789" s="17">
        <v>74246</v>
      </c>
      <c r="S789" s="19">
        <f t="shared" si="270"/>
        <v>1717431</v>
      </c>
      <c r="T789" s="20">
        <f t="shared" si="271"/>
        <v>0.03</v>
      </c>
      <c r="U789" s="19">
        <f t="shared" si="272"/>
        <v>53116.422680412375</v>
      </c>
      <c r="V789" s="17">
        <v>53395</v>
      </c>
      <c r="W789" s="19">
        <f t="shared" si="273"/>
        <v>-278.57731958762452</v>
      </c>
      <c r="X789" s="19">
        <f t="shared" si="274"/>
        <v>53116</v>
      </c>
      <c r="Y789" s="17">
        <v>50820</v>
      </c>
      <c r="Z789" s="17">
        <v>2296</v>
      </c>
      <c r="AA789" s="19">
        <f t="shared" si="275"/>
        <v>-279</v>
      </c>
      <c r="AB789" s="17">
        <v>1717431</v>
      </c>
      <c r="AC789" s="27">
        <v>47.098999999999997</v>
      </c>
      <c r="AD789" s="27">
        <v>46.455750000000002</v>
      </c>
      <c r="AE789" s="22">
        <f t="shared" si="276"/>
        <v>36969.180349041832</v>
      </c>
      <c r="AF789" s="23">
        <f t="shared" si="277"/>
        <v>0</v>
      </c>
      <c r="AG789" s="23">
        <f t="shared" si="278"/>
        <v>0</v>
      </c>
      <c r="AH789" s="17">
        <v>1779849.63624799</v>
      </c>
      <c r="AI789" s="24">
        <f t="shared" si="279"/>
        <v>1.0363441886445452</v>
      </c>
      <c r="AJ789" s="25">
        <v>389021857.92349702</v>
      </c>
      <c r="AK789" s="24">
        <f t="shared" si="280"/>
        <v>2.4032078826917661E-2</v>
      </c>
      <c r="AL789" s="22">
        <f t="shared" si="281"/>
        <v>25613.709465784777</v>
      </c>
      <c r="AM789" s="22">
        <f t="shared" si="282"/>
        <v>36969.180349041832</v>
      </c>
      <c r="AN789" s="22">
        <f t="shared" si="283"/>
        <v>-11355.470883257054</v>
      </c>
      <c r="AO789" s="26" t="str">
        <f t="shared" si="284"/>
        <v/>
      </c>
      <c r="AP789" s="26" t="str">
        <f t="shared" si="285"/>
        <v>pre-launch</v>
      </c>
      <c r="AQ789" s="18"/>
      <c r="AR789" s="18"/>
    </row>
    <row r="790" spans="1:44" x14ac:dyDescent="0.25">
      <c r="A790" s="43">
        <v>45851</v>
      </c>
      <c r="B790" s="17">
        <v>6412427250.7399998</v>
      </c>
      <c r="C790" s="17">
        <v>0</v>
      </c>
      <c r="D790" s="17">
        <v>302499066</v>
      </c>
      <c r="E790" s="19">
        <f t="shared" si="264"/>
        <v>6412427250.7399998</v>
      </c>
      <c r="F790" s="19">
        <f t="shared" si="265"/>
        <v>6714926316.7399998</v>
      </c>
      <c r="G790" s="20">
        <f t="shared" si="266"/>
        <v>0</v>
      </c>
      <c r="H790" s="17">
        <v>1940257</v>
      </c>
      <c r="I790" s="17">
        <v>70779</v>
      </c>
      <c r="J790" s="17">
        <v>59679</v>
      </c>
      <c r="K790" s="19">
        <f t="shared" si="267"/>
        <v>2011036</v>
      </c>
      <c r="L790" s="18"/>
      <c r="M790" s="18"/>
      <c r="N790" s="18"/>
      <c r="O790" s="19">
        <f t="shared" si="268"/>
        <v>1940257</v>
      </c>
      <c r="P790" s="21">
        <f t="shared" si="269"/>
        <v>3.025776237502098</v>
      </c>
      <c r="Q790" s="17">
        <v>1882049</v>
      </c>
      <c r="R790" s="17">
        <v>68655</v>
      </c>
      <c r="S790" s="19">
        <f t="shared" si="270"/>
        <v>1950704</v>
      </c>
      <c r="T790" s="20">
        <f t="shared" si="271"/>
        <v>0.03</v>
      </c>
      <c r="U790" s="19">
        <f t="shared" si="272"/>
        <v>60331.051546391747</v>
      </c>
      <c r="V790" s="17">
        <v>59679</v>
      </c>
      <c r="W790" s="19">
        <f t="shared" si="273"/>
        <v>652.05154639174725</v>
      </c>
      <c r="X790" s="19">
        <f t="shared" si="274"/>
        <v>60331</v>
      </c>
      <c r="Y790" s="17">
        <v>58208</v>
      </c>
      <c r="Z790" s="17">
        <v>2123</v>
      </c>
      <c r="AA790" s="19">
        <f t="shared" si="275"/>
        <v>652</v>
      </c>
      <c r="AB790" s="17">
        <v>1950704</v>
      </c>
      <c r="AC790" s="27">
        <v>48.918999999999997</v>
      </c>
      <c r="AD790" s="27">
        <v>48.047499999999999</v>
      </c>
      <c r="AE790" s="22">
        <f t="shared" si="276"/>
        <v>40599.490087933817</v>
      </c>
      <c r="AF790" s="23">
        <f t="shared" si="277"/>
        <v>1</v>
      </c>
      <c r="AG790" s="23">
        <f t="shared" si="278"/>
        <v>0</v>
      </c>
      <c r="AH790" s="17">
        <v>1989306.77231401</v>
      </c>
      <c r="AI790" s="24">
        <f t="shared" si="279"/>
        <v>1.0197891491041233</v>
      </c>
      <c r="AJ790" s="25">
        <v>389158469.945355</v>
      </c>
      <c r="AK790" s="24">
        <f t="shared" si="280"/>
        <v>2.402786028960148E-2</v>
      </c>
      <c r="AL790" s="22">
        <f t="shared" si="281"/>
        <v>25618.206428389221</v>
      </c>
      <c r="AM790" s="22">
        <f t="shared" si="282"/>
        <v>40599.490087933817</v>
      </c>
      <c r="AN790" s="22">
        <f t="shared" si="283"/>
        <v>-14981.283659544595</v>
      </c>
      <c r="AO790" s="26" t="str">
        <f t="shared" si="284"/>
        <v/>
      </c>
      <c r="AP790" s="26" t="str">
        <f t="shared" si="285"/>
        <v>pre-launch</v>
      </c>
      <c r="AQ790" s="18"/>
      <c r="AR790" s="18"/>
    </row>
    <row r="791" spans="1:44" x14ac:dyDescent="0.25">
      <c r="A791" s="43">
        <v>45852</v>
      </c>
      <c r="B791" s="17">
        <v>13350737289.799999</v>
      </c>
      <c r="C791" s="17">
        <v>0</v>
      </c>
      <c r="D791" s="17">
        <v>527347600</v>
      </c>
      <c r="E791" s="19">
        <f t="shared" si="264"/>
        <v>13350737289.799999</v>
      </c>
      <c r="F791" s="19">
        <f t="shared" si="265"/>
        <v>13878084889.799999</v>
      </c>
      <c r="G791" s="20">
        <f t="shared" si="266"/>
        <v>0</v>
      </c>
      <c r="H791" s="17">
        <v>3956704</v>
      </c>
      <c r="I791" s="17">
        <v>121963</v>
      </c>
      <c r="J791" s="17">
        <v>123012</v>
      </c>
      <c r="K791" s="19">
        <f t="shared" si="267"/>
        <v>4078667</v>
      </c>
      <c r="L791" s="18"/>
      <c r="M791" s="18"/>
      <c r="N791" s="18"/>
      <c r="O791" s="19">
        <f t="shared" si="268"/>
        <v>3956704</v>
      </c>
      <c r="P791" s="21">
        <f t="shared" si="269"/>
        <v>2.9636595448724266</v>
      </c>
      <c r="Q791" s="17">
        <v>3838003</v>
      </c>
      <c r="R791" s="17">
        <v>118304</v>
      </c>
      <c r="S791" s="19">
        <f t="shared" si="270"/>
        <v>3956307</v>
      </c>
      <c r="T791" s="20">
        <f t="shared" si="271"/>
        <v>0.03</v>
      </c>
      <c r="U791" s="19">
        <f t="shared" si="272"/>
        <v>122360.01030927834</v>
      </c>
      <c r="V791" s="17">
        <v>123012</v>
      </c>
      <c r="W791" s="19">
        <f t="shared" si="273"/>
        <v>-651.98969072166074</v>
      </c>
      <c r="X791" s="19">
        <f t="shared" si="274"/>
        <v>122360</v>
      </c>
      <c r="Y791" s="17">
        <v>118701</v>
      </c>
      <c r="Z791" s="17">
        <v>3659</v>
      </c>
      <c r="AA791" s="19">
        <f t="shared" si="275"/>
        <v>-652</v>
      </c>
      <c r="AB791" s="17">
        <v>3956307</v>
      </c>
      <c r="AC791" s="27">
        <v>47.552999999999997</v>
      </c>
      <c r="AD791" s="27">
        <v>48.177750000000003</v>
      </c>
      <c r="AE791" s="22">
        <f t="shared" si="276"/>
        <v>82118.965705123206</v>
      </c>
      <c r="AF791" s="23">
        <f t="shared" si="277"/>
        <v>0</v>
      </c>
      <c r="AG791" s="23">
        <f t="shared" si="278"/>
        <v>0</v>
      </c>
      <c r="AH791" s="17">
        <v>4100396.1128160399</v>
      </c>
      <c r="AI791" s="24">
        <f t="shared" si="279"/>
        <v>1.036420104106188</v>
      </c>
      <c r="AJ791" s="25">
        <v>389295081.96721298</v>
      </c>
      <c r="AK791" s="24">
        <f t="shared" si="280"/>
        <v>2.4023643973043445E-2</v>
      </c>
      <c r="AL791" s="22">
        <f t="shared" si="281"/>
        <v>25622.702601745455</v>
      </c>
      <c r="AM791" s="22">
        <f t="shared" si="282"/>
        <v>82118.965705123206</v>
      </c>
      <c r="AN791" s="22">
        <f t="shared" si="283"/>
        <v>-56496.263103377751</v>
      </c>
      <c r="AO791" s="26" t="str">
        <f t="shared" si="284"/>
        <v/>
      </c>
      <c r="AP791" s="26" t="str">
        <f t="shared" si="285"/>
        <v>pre-launch</v>
      </c>
      <c r="AQ791" s="18"/>
      <c r="AR791" s="18"/>
    </row>
    <row r="792" spans="1:44" x14ac:dyDescent="0.25">
      <c r="A792" s="43">
        <v>45853</v>
      </c>
      <c r="B792" s="17">
        <v>17479662857.740002</v>
      </c>
      <c r="C792" s="17">
        <v>0</v>
      </c>
      <c r="D792" s="17">
        <v>568382607</v>
      </c>
      <c r="E792" s="19">
        <f t="shared" si="264"/>
        <v>17479662857.740002</v>
      </c>
      <c r="F792" s="19">
        <f t="shared" si="265"/>
        <v>18048045464.740002</v>
      </c>
      <c r="G792" s="20">
        <f t="shared" si="266"/>
        <v>0</v>
      </c>
      <c r="H792" s="17">
        <v>4932050</v>
      </c>
      <c r="I792" s="17">
        <v>126425</v>
      </c>
      <c r="J792" s="17">
        <v>151754</v>
      </c>
      <c r="K792" s="19">
        <f t="shared" si="267"/>
        <v>5058475</v>
      </c>
      <c r="L792" s="18"/>
      <c r="M792" s="18"/>
      <c r="N792" s="18"/>
      <c r="O792" s="19">
        <f t="shared" si="268"/>
        <v>4932050</v>
      </c>
      <c r="P792" s="21">
        <f t="shared" si="269"/>
        <v>2.8215933225600436</v>
      </c>
      <c r="Q792" s="17">
        <v>4784089</v>
      </c>
      <c r="R792" s="17">
        <v>122632</v>
      </c>
      <c r="S792" s="19">
        <f t="shared" si="270"/>
        <v>4906721</v>
      </c>
      <c r="T792" s="20">
        <f t="shared" si="271"/>
        <v>0.03</v>
      </c>
      <c r="U792" s="19">
        <f t="shared" si="272"/>
        <v>151754.25773195876</v>
      </c>
      <c r="V792" s="17">
        <v>151754</v>
      </c>
      <c r="W792" s="19">
        <f t="shared" si="273"/>
        <v>0.25773195875808597</v>
      </c>
      <c r="X792" s="19">
        <f t="shared" si="274"/>
        <v>151755</v>
      </c>
      <c r="Y792" s="17">
        <v>147962</v>
      </c>
      <c r="Z792" s="17">
        <v>3793</v>
      </c>
      <c r="AA792" s="19">
        <f t="shared" si="275"/>
        <v>1</v>
      </c>
      <c r="AB792" s="17">
        <v>4906721</v>
      </c>
      <c r="AC792" s="27">
        <v>47.83</v>
      </c>
      <c r="AD792" s="27">
        <v>47.587249999999997</v>
      </c>
      <c r="AE792" s="22">
        <f t="shared" si="276"/>
        <v>103109.99269762385</v>
      </c>
      <c r="AF792" s="23">
        <f t="shared" si="277"/>
        <v>-1</v>
      </c>
      <c r="AG792" s="23">
        <f t="shared" si="278"/>
        <v>0</v>
      </c>
      <c r="AH792" s="17">
        <v>5058475.5306589603</v>
      </c>
      <c r="AI792" s="24">
        <f t="shared" si="279"/>
        <v>1.03092789067464</v>
      </c>
      <c r="AJ792" s="25">
        <v>389431693.98907101</v>
      </c>
      <c r="AK792" s="24">
        <f t="shared" si="280"/>
        <v>2.4019429875295789E-2</v>
      </c>
      <c r="AL792" s="22">
        <f t="shared" si="281"/>
        <v>25627.197986268875</v>
      </c>
      <c r="AM792" s="22">
        <f t="shared" si="282"/>
        <v>103109.99269762385</v>
      </c>
      <c r="AN792" s="22">
        <f t="shared" si="283"/>
        <v>-77482.794711354974</v>
      </c>
      <c r="AO792" s="26" t="str">
        <f t="shared" si="284"/>
        <v/>
      </c>
      <c r="AP792" s="26" t="str">
        <f t="shared" si="285"/>
        <v>pre-launch</v>
      </c>
      <c r="AQ792" s="18"/>
      <c r="AR792" s="18"/>
    </row>
    <row r="793" spans="1:44" x14ac:dyDescent="0.25">
      <c r="A793" s="43">
        <v>45854</v>
      </c>
      <c r="B793" s="17">
        <v>14838264786.440001</v>
      </c>
      <c r="C793" s="17">
        <v>0</v>
      </c>
      <c r="D793" s="17">
        <v>482934022</v>
      </c>
      <c r="E793" s="19">
        <f t="shared" si="264"/>
        <v>14838264786.440001</v>
      </c>
      <c r="F793" s="19">
        <f t="shared" si="265"/>
        <v>15321198808.440001</v>
      </c>
      <c r="G793" s="20">
        <f t="shared" si="266"/>
        <v>0</v>
      </c>
      <c r="H793" s="17">
        <v>4375611</v>
      </c>
      <c r="I793" s="17">
        <v>110036</v>
      </c>
      <c r="J793" s="17">
        <v>134569</v>
      </c>
      <c r="K793" s="19">
        <f t="shared" si="267"/>
        <v>4485647</v>
      </c>
      <c r="L793" s="18"/>
      <c r="M793" s="18"/>
      <c r="N793" s="18"/>
      <c r="O793" s="19">
        <f t="shared" si="268"/>
        <v>4375611</v>
      </c>
      <c r="P793" s="21">
        <f t="shared" si="269"/>
        <v>2.9488697384607043</v>
      </c>
      <c r="Q793" s="17">
        <v>4244343</v>
      </c>
      <c r="R793" s="17">
        <v>106735</v>
      </c>
      <c r="S793" s="19">
        <f t="shared" si="270"/>
        <v>4351078</v>
      </c>
      <c r="T793" s="20">
        <f t="shared" si="271"/>
        <v>0.03</v>
      </c>
      <c r="U793" s="19">
        <f t="shared" si="272"/>
        <v>134569.42268041236</v>
      </c>
      <c r="V793" s="17">
        <v>134569</v>
      </c>
      <c r="W793" s="19">
        <f t="shared" si="273"/>
        <v>0.42268041236093268</v>
      </c>
      <c r="X793" s="19">
        <f t="shared" si="274"/>
        <v>134569</v>
      </c>
      <c r="Y793" s="17">
        <v>131268</v>
      </c>
      <c r="Z793" s="17">
        <v>3301</v>
      </c>
      <c r="AA793" s="19">
        <f t="shared" si="275"/>
        <v>0</v>
      </c>
      <c r="AB793" s="17">
        <v>4351078</v>
      </c>
      <c r="AC793" s="27">
        <v>47.043999999999997</v>
      </c>
      <c r="AD793" s="27">
        <v>47.482250000000001</v>
      </c>
      <c r="AE793" s="22">
        <f t="shared" si="276"/>
        <v>91635.884988600999</v>
      </c>
      <c r="AF793" s="23">
        <f t="shared" si="277"/>
        <v>0</v>
      </c>
      <c r="AG793" s="23">
        <f t="shared" si="278"/>
        <v>0</v>
      </c>
      <c r="AH793" s="17">
        <v>4485646.6878150096</v>
      </c>
      <c r="AI793" s="24">
        <f t="shared" si="279"/>
        <v>1.0309276661588254</v>
      </c>
      <c r="AJ793" s="25">
        <v>389568306.01092899</v>
      </c>
      <c r="AK793" s="24">
        <f t="shared" si="280"/>
        <v>2.4015217994413141E-2</v>
      </c>
      <c r="AL793" s="22">
        <f t="shared" si="281"/>
        <v>25631.692582374541</v>
      </c>
      <c r="AM793" s="22">
        <f t="shared" si="282"/>
        <v>91635.884988600999</v>
      </c>
      <c r="AN793" s="22">
        <f t="shared" si="283"/>
        <v>-66004.192406226459</v>
      </c>
      <c r="AO793" s="26" t="str">
        <f t="shared" si="284"/>
        <v/>
      </c>
      <c r="AP793" s="26" t="str">
        <f t="shared" si="285"/>
        <v>pre-launch</v>
      </c>
      <c r="AQ793" s="18"/>
      <c r="AR793" s="18"/>
    </row>
    <row r="794" spans="1:44" x14ac:dyDescent="0.25">
      <c r="A794" s="43">
        <v>45855</v>
      </c>
      <c r="B794" s="17">
        <v>16730826628.91</v>
      </c>
      <c r="C794" s="17">
        <v>0</v>
      </c>
      <c r="D794" s="17">
        <v>613486677</v>
      </c>
      <c r="E794" s="19">
        <f t="shared" si="264"/>
        <v>16730826628.91</v>
      </c>
      <c r="F794" s="19">
        <f t="shared" si="265"/>
        <v>17344313305.91</v>
      </c>
      <c r="G794" s="20">
        <f t="shared" si="266"/>
        <v>0</v>
      </c>
      <c r="H794" s="17">
        <v>4857677</v>
      </c>
      <c r="I794" s="17">
        <v>141592</v>
      </c>
      <c r="J794" s="17">
        <v>149978</v>
      </c>
      <c r="K794" s="19">
        <f t="shared" si="267"/>
        <v>4999269</v>
      </c>
      <c r="L794" s="18"/>
      <c r="M794" s="18"/>
      <c r="N794" s="18"/>
      <c r="O794" s="19">
        <f t="shared" si="268"/>
        <v>4857677</v>
      </c>
      <c r="P794" s="21">
        <f t="shared" si="269"/>
        <v>2.9034291656612985</v>
      </c>
      <c r="Q794" s="17">
        <v>4711947</v>
      </c>
      <c r="R794" s="17">
        <v>137344</v>
      </c>
      <c r="S794" s="19">
        <f t="shared" si="270"/>
        <v>4849291</v>
      </c>
      <c r="T794" s="20">
        <f t="shared" si="271"/>
        <v>0.03</v>
      </c>
      <c r="U794" s="19">
        <f t="shared" si="272"/>
        <v>149978.07216494845</v>
      </c>
      <c r="V794" s="17">
        <v>149978</v>
      </c>
      <c r="W794" s="19">
        <f t="shared" si="273"/>
        <v>7.2164948447607458E-2</v>
      </c>
      <c r="X794" s="19">
        <f t="shared" si="274"/>
        <v>149978</v>
      </c>
      <c r="Y794" s="17">
        <v>145730</v>
      </c>
      <c r="Z794" s="17">
        <v>4248</v>
      </c>
      <c r="AA794" s="19">
        <f t="shared" si="275"/>
        <v>0</v>
      </c>
      <c r="AB794" s="17">
        <v>4849291</v>
      </c>
      <c r="AC794" s="27">
        <v>45.604999999999997</v>
      </c>
      <c r="AD794" s="27">
        <v>46.118749999999999</v>
      </c>
      <c r="AE794" s="22">
        <f t="shared" si="276"/>
        <v>105147.92790350996</v>
      </c>
      <c r="AF794" s="23">
        <f t="shared" si="277"/>
        <v>0</v>
      </c>
      <c r="AG794" s="23">
        <f t="shared" si="278"/>
        <v>0</v>
      </c>
      <c r="AH794" s="17">
        <v>4999268.9500780096</v>
      </c>
      <c r="AI794" s="24">
        <f t="shared" si="279"/>
        <v>1.0309278098753012</v>
      </c>
      <c r="AJ794" s="25">
        <v>389704918.03278702</v>
      </c>
      <c r="AK794" s="24">
        <f t="shared" si="280"/>
        <v>2.4011008328452502E-2</v>
      </c>
      <c r="AL794" s="22">
        <f t="shared" si="281"/>
        <v>25636.186390477116</v>
      </c>
      <c r="AM794" s="22">
        <f t="shared" si="282"/>
        <v>105147.92790350996</v>
      </c>
      <c r="AN794" s="22">
        <f t="shared" si="283"/>
        <v>-79511.741513032845</v>
      </c>
      <c r="AO794" s="26" t="str">
        <f t="shared" si="284"/>
        <v/>
      </c>
      <c r="AP794" s="26" t="str">
        <f t="shared" si="285"/>
        <v>pre-launch</v>
      </c>
      <c r="AQ794" s="18"/>
      <c r="AR794" s="18"/>
    </row>
    <row r="795" spans="1:44" x14ac:dyDescent="0.25">
      <c r="A795" s="43">
        <v>45856</v>
      </c>
      <c r="B795" s="17">
        <v>17860068610.459999</v>
      </c>
      <c r="C795" s="17">
        <v>0</v>
      </c>
      <c r="D795" s="17">
        <v>516622789</v>
      </c>
      <c r="E795" s="19">
        <f t="shared" si="264"/>
        <v>17860068610.459999</v>
      </c>
      <c r="F795" s="19">
        <f t="shared" si="265"/>
        <v>18376691399.459999</v>
      </c>
      <c r="G795" s="20">
        <f t="shared" si="266"/>
        <v>0</v>
      </c>
      <c r="H795" s="17">
        <v>5054755</v>
      </c>
      <c r="I795" s="17">
        <v>123230</v>
      </c>
      <c r="J795" s="17">
        <v>153347</v>
      </c>
      <c r="K795" s="19">
        <f t="shared" si="267"/>
        <v>5177985</v>
      </c>
      <c r="L795" s="18"/>
      <c r="M795" s="18"/>
      <c r="N795" s="18"/>
      <c r="O795" s="19">
        <f t="shared" si="268"/>
        <v>5054755</v>
      </c>
      <c r="P795" s="21">
        <f t="shared" si="269"/>
        <v>2.8301990939943038</v>
      </c>
      <c r="Q795" s="17">
        <v>4903112</v>
      </c>
      <c r="R795" s="17">
        <v>119533</v>
      </c>
      <c r="S795" s="19">
        <f t="shared" si="270"/>
        <v>5022645</v>
      </c>
      <c r="T795" s="20">
        <f t="shared" si="271"/>
        <v>0.03</v>
      </c>
      <c r="U795" s="19">
        <f t="shared" si="272"/>
        <v>155339.53608247422</v>
      </c>
      <c r="V795" s="17">
        <v>153347</v>
      </c>
      <c r="W795" s="19">
        <f t="shared" si="273"/>
        <v>1992.5360824742238</v>
      </c>
      <c r="X795" s="19">
        <f t="shared" si="274"/>
        <v>155340</v>
      </c>
      <c r="Y795" s="17">
        <v>151643</v>
      </c>
      <c r="Z795" s="17">
        <v>3697</v>
      </c>
      <c r="AA795" s="19">
        <f t="shared" si="275"/>
        <v>1993</v>
      </c>
      <c r="AB795" s="17">
        <v>5022645</v>
      </c>
      <c r="AC795" s="27">
        <v>44.347999999999999</v>
      </c>
      <c r="AD795" s="27">
        <v>45.127749999999999</v>
      </c>
      <c r="AE795" s="22">
        <f t="shared" si="276"/>
        <v>111298.3696284437</v>
      </c>
      <c r="AF795" s="23">
        <f t="shared" si="277"/>
        <v>0</v>
      </c>
      <c r="AG795" s="23">
        <f t="shared" si="278"/>
        <v>0</v>
      </c>
      <c r="AH795" s="17">
        <v>5111562.0510940002</v>
      </c>
      <c r="AI795" s="24">
        <f t="shared" si="279"/>
        <v>1.0177032322798047</v>
      </c>
      <c r="AJ795" s="25">
        <v>389841530.054645</v>
      </c>
      <c r="AK795" s="24">
        <f t="shared" si="280"/>
        <v>2.4006800875473275E-2</v>
      </c>
      <c r="AL795" s="22">
        <f t="shared" si="281"/>
        <v>25640.679410990939</v>
      </c>
      <c r="AM795" s="22">
        <f t="shared" si="282"/>
        <v>111298.3696284437</v>
      </c>
      <c r="AN795" s="22">
        <f t="shared" si="283"/>
        <v>-85657.690217452764</v>
      </c>
      <c r="AO795" s="26" t="str">
        <f t="shared" si="284"/>
        <v/>
      </c>
      <c r="AP795" s="26" t="str">
        <f t="shared" si="285"/>
        <v>pre-launch</v>
      </c>
      <c r="AQ795" s="18"/>
      <c r="AR795" s="18"/>
    </row>
    <row r="796" spans="1:44" x14ac:dyDescent="0.25">
      <c r="A796" s="43">
        <v>45857</v>
      </c>
      <c r="B796" s="17">
        <v>5940465680.9899998</v>
      </c>
      <c r="C796" s="17">
        <v>0</v>
      </c>
      <c r="D796" s="17">
        <v>236243594</v>
      </c>
      <c r="E796" s="19">
        <f t="shared" si="264"/>
        <v>5940465680.9899998</v>
      </c>
      <c r="F796" s="19">
        <f t="shared" si="265"/>
        <v>6176709274.9899998</v>
      </c>
      <c r="G796" s="20">
        <f t="shared" si="266"/>
        <v>0</v>
      </c>
      <c r="H796" s="17">
        <v>1678516</v>
      </c>
      <c r="I796" s="17">
        <v>55845</v>
      </c>
      <c r="J796" s="17">
        <v>53635</v>
      </c>
      <c r="K796" s="19">
        <f t="shared" si="267"/>
        <v>1734361</v>
      </c>
      <c r="L796" s="18"/>
      <c r="M796" s="18"/>
      <c r="N796" s="18"/>
      <c r="O796" s="19">
        <f t="shared" si="268"/>
        <v>1678516</v>
      </c>
      <c r="P796" s="21">
        <f t="shared" si="269"/>
        <v>2.8255629947857379</v>
      </c>
      <c r="Q796" s="17">
        <v>1628160</v>
      </c>
      <c r="R796" s="17">
        <v>54170</v>
      </c>
      <c r="S796" s="19">
        <f t="shared" si="270"/>
        <v>1682330</v>
      </c>
      <c r="T796" s="20">
        <f t="shared" si="271"/>
        <v>0.03</v>
      </c>
      <c r="U796" s="19">
        <f t="shared" si="272"/>
        <v>52030.824742268043</v>
      </c>
      <c r="V796" s="17">
        <v>53635</v>
      </c>
      <c r="W796" s="19">
        <f t="shared" si="273"/>
        <v>-1604.1752577319567</v>
      </c>
      <c r="X796" s="19">
        <f t="shared" si="274"/>
        <v>52030</v>
      </c>
      <c r="Y796" s="17">
        <v>50355</v>
      </c>
      <c r="Z796" s="17">
        <v>1675</v>
      </c>
      <c r="AA796" s="19">
        <f t="shared" si="275"/>
        <v>-1605</v>
      </c>
      <c r="AB796" s="17">
        <v>1682330</v>
      </c>
      <c r="AC796" s="27">
        <v>44.481000000000002</v>
      </c>
      <c r="AD796" s="27">
        <v>44.532249999999998</v>
      </c>
      <c r="AE796" s="22">
        <f t="shared" si="276"/>
        <v>37777.790253131163</v>
      </c>
      <c r="AF796" s="23">
        <f t="shared" si="277"/>
        <v>1</v>
      </c>
      <c r="AG796" s="23">
        <f t="shared" si="278"/>
        <v>0</v>
      </c>
      <c r="AH796" s="17">
        <v>1787835.35417497</v>
      </c>
      <c r="AI796" s="24">
        <f t="shared" si="279"/>
        <v>1.0627138279499087</v>
      </c>
      <c r="AJ796" s="25">
        <v>389978142.07650298</v>
      </c>
      <c r="AK796" s="24">
        <f t="shared" si="280"/>
        <v>2.4002595633537231E-2</v>
      </c>
      <c r="AL796" s="22">
        <f t="shared" si="281"/>
        <v>25645.171644329952</v>
      </c>
      <c r="AM796" s="22">
        <f t="shared" si="282"/>
        <v>37777.790253131163</v>
      </c>
      <c r="AN796" s="22">
        <f t="shared" si="283"/>
        <v>-12132.618608801211</v>
      </c>
      <c r="AO796" s="26" t="str">
        <f t="shared" si="284"/>
        <v/>
      </c>
      <c r="AP796" s="26" t="str">
        <f t="shared" si="285"/>
        <v>pre-launch</v>
      </c>
      <c r="AQ796" s="18"/>
      <c r="AR796" s="18"/>
    </row>
    <row r="797" spans="1:44" x14ac:dyDescent="0.25">
      <c r="A797" s="43">
        <v>45858</v>
      </c>
      <c r="B797" s="17">
        <v>11223164737.139999</v>
      </c>
      <c r="C797" s="17">
        <v>0</v>
      </c>
      <c r="D797" s="17">
        <v>339236147</v>
      </c>
      <c r="E797" s="19">
        <f t="shared" si="264"/>
        <v>11223164737.139999</v>
      </c>
      <c r="F797" s="19">
        <f t="shared" si="265"/>
        <v>11562400884.139999</v>
      </c>
      <c r="G797" s="20">
        <f t="shared" si="266"/>
        <v>0</v>
      </c>
      <c r="H797" s="17">
        <v>3155348</v>
      </c>
      <c r="I797" s="17">
        <v>67623</v>
      </c>
      <c r="J797" s="17">
        <v>96286</v>
      </c>
      <c r="K797" s="19">
        <f t="shared" si="267"/>
        <v>3222971</v>
      </c>
      <c r="L797" s="18"/>
      <c r="M797" s="18"/>
      <c r="N797" s="18"/>
      <c r="O797" s="19">
        <f t="shared" si="268"/>
        <v>3155348</v>
      </c>
      <c r="P797" s="21">
        <f t="shared" si="269"/>
        <v>2.8114601129913357</v>
      </c>
      <c r="Q797" s="17">
        <v>3060687</v>
      </c>
      <c r="R797" s="17">
        <v>65594</v>
      </c>
      <c r="S797" s="19">
        <f t="shared" si="270"/>
        <v>3126281</v>
      </c>
      <c r="T797" s="20">
        <f t="shared" si="271"/>
        <v>0.03</v>
      </c>
      <c r="U797" s="19">
        <f t="shared" si="272"/>
        <v>96689.103092783495</v>
      </c>
      <c r="V797" s="17">
        <v>96286</v>
      </c>
      <c r="W797" s="19">
        <f t="shared" si="273"/>
        <v>403.1030927834945</v>
      </c>
      <c r="X797" s="19">
        <f t="shared" si="274"/>
        <v>96689</v>
      </c>
      <c r="Y797" s="17">
        <v>94660</v>
      </c>
      <c r="Z797" s="17">
        <v>2029</v>
      </c>
      <c r="AA797" s="19">
        <f t="shared" si="275"/>
        <v>403</v>
      </c>
      <c r="AB797" s="17">
        <v>3126281</v>
      </c>
      <c r="AC797" s="27">
        <v>46.021000000000001</v>
      </c>
      <c r="AD797" s="27">
        <v>45.518000000000001</v>
      </c>
      <c r="AE797" s="22">
        <f t="shared" si="276"/>
        <v>68682.301507096097</v>
      </c>
      <c r="AF797" s="23">
        <f t="shared" si="277"/>
        <v>1</v>
      </c>
      <c r="AG797" s="23">
        <f t="shared" si="278"/>
        <v>0</v>
      </c>
      <c r="AH797" s="17">
        <v>3209545.8957860498</v>
      </c>
      <c r="AI797" s="24">
        <f t="shared" si="279"/>
        <v>1.0266338489041931</v>
      </c>
      <c r="AJ797" s="25">
        <v>390114754.09836102</v>
      </c>
      <c r="AK797" s="24">
        <f t="shared" si="280"/>
        <v>2.3998392600708515E-2</v>
      </c>
      <c r="AL797" s="22">
        <f t="shared" si="281"/>
        <v>25649.66309090775</v>
      </c>
      <c r="AM797" s="22">
        <f t="shared" si="282"/>
        <v>68682.301507096097</v>
      </c>
      <c r="AN797" s="22">
        <f t="shared" si="283"/>
        <v>-43032.638416188347</v>
      </c>
      <c r="AO797" s="26" t="str">
        <f t="shared" si="284"/>
        <v/>
      </c>
      <c r="AP797" s="26" t="str">
        <f t="shared" si="285"/>
        <v>pre-launch</v>
      </c>
      <c r="AQ797" s="18"/>
      <c r="AR797" s="18"/>
    </row>
    <row r="798" spans="1:44" x14ac:dyDescent="0.25">
      <c r="A798" s="43">
        <v>45859</v>
      </c>
      <c r="B798" s="17">
        <v>15217202579.290001</v>
      </c>
      <c r="C798" s="17">
        <v>0</v>
      </c>
      <c r="D798" s="17">
        <v>427336704</v>
      </c>
      <c r="E798" s="19">
        <f t="shared" si="264"/>
        <v>15217202579.290001</v>
      </c>
      <c r="F798" s="19">
        <f t="shared" si="265"/>
        <v>15644539283.290001</v>
      </c>
      <c r="G798" s="20">
        <f t="shared" si="266"/>
        <v>0</v>
      </c>
      <c r="H798" s="17">
        <v>4174849</v>
      </c>
      <c r="I798" s="17">
        <v>97640</v>
      </c>
      <c r="J798" s="17">
        <v>128966</v>
      </c>
      <c r="K798" s="19">
        <f t="shared" si="267"/>
        <v>4272489</v>
      </c>
      <c r="L798" s="18"/>
      <c r="M798" s="18"/>
      <c r="N798" s="18"/>
      <c r="O798" s="19">
        <f t="shared" si="268"/>
        <v>4174849</v>
      </c>
      <c r="P798" s="21">
        <f t="shared" si="269"/>
        <v>2.7435062247786601</v>
      </c>
      <c r="Q798" s="17">
        <v>4049603</v>
      </c>
      <c r="R798" s="17">
        <v>94711</v>
      </c>
      <c r="S798" s="19">
        <f t="shared" si="270"/>
        <v>4144314</v>
      </c>
      <c r="T798" s="20">
        <f t="shared" si="271"/>
        <v>0.03</v>
      </c>
      <c r="U798" s="19">
        <f t="shared" si="272"/>
        <v>128174.65979381444</v>
      </c>
      <c r="V798" s="17">
        <v>128966</v>
      </c>
      <c r="W798" s="19">
        <f t="shared" si="273"/>
        <v>-791.34020618555951</v>
      </c>
      <c r="X798" s="19">
        <f t="shared" si="274"/>
        <v>128174</v>
      </c>
      <c r="Y798" s="17">
        <v>125245</v>
      </c>
      <c r="Z798" s="17">
        <v>2929</v>
      </c>
      <c r="AA798" s="19">
        <f t="shared" si="275"/>
        <v>-792</v>
      </c>
      <c r="AB798" s="17">
        <v>4144314</v>
      </c>
      <c r="AC798" s="27">
        <v>44.31</v>
      </c>
      <c r="AD798" s="27">
        <v>45.55</v>
      </c>
      <c r="AE798" s="22">
        <f t="shared" si="276"/>
        <v>90983.841931942923</v>
      </c>
      <c r="AF798" s="23">
        <f t="shared" si="277"/>
        <v>1</v>
      </c>
      <c r="AG798" s="23">
        <f t="shared" si="278"/>
        <v>0</v>
      </c>
      <c r="AH798" s="17">
        <v>4298860.9059770098</v>
      </c>
      <c r="AI798" s="24">
        <f t="shared" si="279"/>
        <v>1.0372913118979425</v>
      </c>
      <c r="AJ798" s="25">
        <v>390251366.12021899</v>
      </c>
      <c r="AK798" s="24">
        <f t="shared" si="280"/>
        <v>2.3994191775053658E-2</v>
      </c>
      <c r="AL798" s="22">
        <f t="shared" si="281"/>
        <v>25654.153751137568</v>
      </c>
      <c r="AM798" s="22">
        <f t="shared" si="282"/>
        <v>90983.841931942923</v>
      </c>
      <c r="AN798" s="22">
        <f t="shared" si="283"/>
        <v>-65329.688180805359</v>
      </c>
      <c r="AO798" s="26" t="str">
        <f t="shared" si="284"/>
        <v/>
      </c>
      <c r="AP798" s="26" t="str">
        <f t="shared" si="285"/>
        <v>pre-launch</v>
      </c>
      <c r="AQ798" s="18"/>
      <c r="AR798" s="18"/>
    </row>
    <row r="799" spans="1:44" x14ac:dyDescent="0.25">
      <c r="A799" s="43">
        <v>45860</v>
      </c>
      <c r="B799" s="17">
        <v>17573226980.299999</v>
      </c>
      <c r="C799" s="17">
        <v>0</v>
      </c>
      <c r="D799" s="17">
        <v>507977397</v>
      </c>
      <c r="E799" s="19">
        <f t="shared" si="264"/>
        <v>17573226980.299999</v>
      </c>
      <c r="F799" s="19">
        <f t="shared" si="265"/>
        <v>18081204377.299999</v>
      </c>
      <c r="G799" s="20">
        <f t="shared" si="266"/>
        <v>0</v>
      </c>
      <c r="H799" s="17">
        <v>4704879</v>
      </c>
      <c r="I799" s="17">
        <v>105959</v>
      </c>
      <c r="J799" s="17">
        <v>144325</v>
      </c>
      <c r="K799" s="19">
        <f t="shared" si="267"/>
        <v>4810838</v>
      </c>
      <c r="L799" s="18"/>
      <c r="M799" s="18"/>
      <c r="N799" s="18"/>
      <c r="O799" s="19">
        <f t="shared" si="268"/>
        <v>4704879</v>
      </c>
      <c r="P799" s="21">
        <f t="shared" si="269"/>
        <v>2.6772993971308061</v>
      </c>
      <c r="Q799" s="17">
        <v>4563732</v>
      </c>
      <c r="R799" s="17">
        <v>102780</v>
      </c>
      <c r="S799" s="19">
        <f t="shared" si="270"/>
        <v>4666512</v>
      </c>
      <c r="T799" s="20">
        <f t="shared" si="271"/>
        <v>0.03</v>
      </c>
      <c r="U799" s="19">
        <f t="shared" si="272"/>
        <v>144325.11340206183</v>
      </c>
      <c r="V799" s="17">
        <v>144325</v>
      </c>
      <c r="W799" s="19">
        <f t="shared" si="273"/>
        <v>0.11340206183376722</v>
      </c>
      <c r="X799" s="19">
        <f t="shared" si="274"/>
        <v>144325</v>
      </c>
      <c r="Y799" s="17">
        <v>141146</v>
      </c>
      <c r="Z799" s="17">
        <v>3179</v>
      </c>
      <c r="AA799" s="19">
        <f t="shared" si="275"/>
        <v>0</v>
      </c>
      <c r="AB799" s="17">
        <v>4666512</v>
      </c>
      <c r="AC799" s="27">
        <v>46.25</v>
      </c>
      <c r="AD799" s="27">
        <v>44.993000000000002</v>
      </c>
      <c r="AE799" s="22">
        <f t="shared" si="276"/>
        <v>103716.40032894006</v>
      </c>
      <c r="AF799" s="23">
        <f t="shared" si="277"/>
        <v>1</v>
      </c>
      <c r="AG799" s="23">
        <f t="shared" si="278"/>
        <v>0</v>
      </c>
      <c r="AH799" s="17">
        <v>4810837.3696829705</v>
      </c>
      <c r="AI799" s="24">
        <f t="shared" si="279"/>
        <v>1.0309278899707042</v>
      </c>
      <c r="AJ799" s="25">
        <v>390387978.14207703</v>
      </c>
      <c r="AK799" s="24">
        <f t="shared" si="280"/>
        <v>2.3989993154641537E-2</v>
      </c>
      <c r="AL799" s="22">
        <f t="shared" si="281"/>
        <v>25658.643625432269</v>
      </c>
      <c r="AM799" s="22">
        <f t="shared" si="282"/>
        <v>103716.40032894006</v>
      </c>
      <c r="AN799" s="22">
        <f t="shared" si="283"/>
        <v>-78057.756703507795</v>
      </c>
      <c r="AO799" s="26" t="str">
        <f t="shared" si="284"/>
        <v/>
      </c>
      <c r="AP799" s="26" t="str">
        <f t="shared" si="285"/>
        <v>pre-launch</v>
      </c>
      <c r="AQ799" s="18"/>
      <c r="AR799" s="18"/>
    </row>
    <row r="800" spans="1:44" x14ac:dyDescent="0.25">
      <c r="A800" s="43">
        <v>45861</v>
      </c>
      <c r="B800" s="17">
        <v>13920019812.41</v>
      </c>
      <c r="C800" s="17">
        <v>0</v>
      </c>
      <c r="D800" s="17">
        <v>456108455</v>
      </c>
      <c r="E800" s="19">
        <f t="shared" si="264"/>
        <v>13920019812.41</v>
      </c>
      <c r="F800" s="19">
        <f t="shared" si="265"/>
        <v>14376128267.41</v>
      </c>
      <c r="G800" s="20">
        <f t="shared" si="266"/>
        <v>0</v>
      </c>
      <c r="H800" s="17">
        <v>3893810</v>
      </c>
      <c r="I800" s="17">
        <v>99943</v>
      </c>
      <c r="J800" s="17">
        <v>119813</v>
      </c>
      <c r="K800" s="19">
        <f t="shared" si="267"/>
        <v>3993753</v>
      </c>
      <c r="L800" s="18"/>
      <c r="M800" s="18"/>
      <c r="N800" s="18"/>
      <c r="O800" s="19">
        <f t="shared" si="268"/>
        <v>3893810</v>
      </c>
      <c r="P800" s="21">
        <f t="shared" si="269"/>
        <v>2.7972733174765914</v>
      </c>
      <c r="Q800" s="17">
        <v>3776995</v>
      </c>
      <c r="R800" s="17">
        <v>96945</v>
      </c>
      <c r="S800" s="19">
        <f t="shared" si="270"/>
        <v>3873940</v>
      </c>
      <c r="T800" s="20">
        <f t="shared" si="271"/>
        <v>0.03</v>
      </c>
      <c r="U800" s="19">
        <f t="shared" si="272"/>
        <v>119812.57731958762</v>
      </c>
      <c r="V800" s="17">
        <v>119813</v>
      </c>
      <c r="W800" s="19">
        <f t="shared" si="273"/>
        <v>-0.42268041237548459</v>
      </c>
      <c r="X800" s="19">
        <f t="shared" si="274"/>
        <v>119812</v>
      </c>
      <c r="Y800" s="17">
        <v>116814</v>
      </c>
      <c r="Z800" s="17">
        <v>2998</v>
      </c>
      <c r="AA800" s="19">
        <f t="shared" si="275"/>
        <v>-1</v>
      </c>
      <c r="AB800" s="17">
        <v>3873940</v>
      </c>
      <c r="AC800" s="27">
        <v>43.74</v>
      </c>
      <c r="AD800" s="27">
        <v>44.698</v>
      </c>
      <c r="AE800" s="22">
        <f t="shared" si="276"/>
        <v>86669.202201440785</v>
      </c>
      <c r="AF800" s="23">
        <f t="shared" si="277"/>
        <v>1</v>
      </c>
      <c r="AG800" s="23">
        <f t="shared" si="278"/>
        <v>0</v>
      </c>
      <c r="AH800" s="17">
        <v>3993752.54044902</v>
      </c>
      <c r="AI800" s="24">
        <f t="shared" si="279"/>
        <v>1.0309278255339576</v>
      </c>
      <c r="AJ800" s="25">
        <v>390524590.16393399</v>
      </c>
      <c r="AK800" s="24">
        <f t="shared" si="280"/>
        <v>2.398579673754345E-2</v>
      </c>
      <c r="AL800" s="22">
        <f t="shared" si="281"/>
        <v>25663.132714204334</v>
      </c>
      <c r="AM800" s="22">
        <f t="shared" si="282"/>
        <v>86669.202201440785</v>
      </c>
      <c r="AN800" s="22">
        <f t="shared" si="283"/>
        <v>-61006.069487236455</v>
      </c>
      <c r="AO800" s="26" t="str">
        <f t="shared" si="284"/>
        <v/>
      </c>
      <c r="AP800" s="26" t="str">
        <f t="shared" si="285"/>
        <v>pre-launch</v>
      </c>
      <c r="AQ800" s="18"/>
      <c r="AR800" s="18"/>
    </row>
    <row r="801" spans="1:44" x14ac:dyDescent="0.25">
      <c r="A801" s="43">
        <v>45862</v>
      </c>
      <c r="B801" s="17">
        <v>13225484310.08</v>
      </c>
      <c r="C801" s="17">
        <v>0</v>
      </c>
      <c r="D801" s="17">
        <v>400136463</v>
      </c>
      <c r="E801" s="19">
        <f t="shared" si="264"/>
        <v>13225484310.08</v>
      </c>
      <c r="F801" s="19">
        <f t="shared" si="265"/>
        <v>13625620773.08</v>
      </c>
      <c r="G801" s="20">
        <f t="shared" si="266"/>
        <v>0</v>
      </c>
      <c r="H801" s="17">
        <v>3684454</v>
      </c>
      <c r="I801" s="17">
        <v>91205</v>
      </c>
      <c r="J801" s="17">
        <v>113270</v>
      </c>
      <c r="K801" s="19">
        <f t="shared" si="267"/>
        <v>3775659</v>
      </c>
      <c r="L801" s="18"/>
      <c r="M801" s="18"/>
      <c r="N801" s="18"/>
      <c r="O801" s="19">
        <f t="shared" si="268"/>
        <v>3684454</v>
      </c>
      <c r="P801" s="21">
        <f t="shared" si="269"/>
        <v>2.7858745385920112</v>
      </c>
      <c r="Q801" s="17">
        <v>3573921</v>
      </c>
      <c r="R801" s="17">
        <v>88469</v>
      </c>
      <c r="S801" s="19">
        <f t="shared" si="270"/>
        <v>3662390</v>
      </c>
      <c r="T801" s="20">
        <f t="shared" si="271"/>
        <v>0.03</v>
      </c>
      <c r="U801" s="19">
        <f t="shared" si="272"/>
        <v>113269.793814433</v>
      </c>
      <c r="V801" s="17">
        <v>113270</v>
      </c>
      <c r="W801" s="19">
        <f t="shared" si="273"/>
        <v>-0.20618556700355839</v>
      </c>
      <c r="X801" s="19">
        <f t="shared" si="274"/>
        <v>113270</v>
      </c>
      <c r="Y801" s="17">
        <v>110534</v>
      </c>
      <c r="Z801" s="17">
        <v>2736</v>
      </c>
      <c r="AA801" s="19">
        <f t="shared" si="275"/>
        <v>0</v>
      </c>
      <c r="AB801" s="17">
        <v>3662390</v>
      </c>
      <c r="AC801" s="27">
        <v>42.118000000000002</v>
      </c>
      <c r="AD801" s="27">
        <v>42.957500000000003</v>
      </c>
      <c r="AE801" s="22">
        <f t="shared" si="276"/>
        <v>85256.125240062844</v>
      </c>
      <c r="AF801" s="23">
        <f t="shared" si="277"/>
        <v>-1</v>
      </c>
      <c r="AG801" s="23">
        <f t="shared" si="278"/>
        <v>0</v>
      </c>
      <c r="AH801" s="17">
        <v>3775659.3177859802</v>
      </c>
      <c r="AI801" s="24">
        <f t="shared" si="279"/>
        <v>1.0309277050740036</v>
      </c>
      <c r="AJ801" s="25">
        <v>390661202.18579203</v>
      </c>
      <c r="AK801" s="24">
        <f t="shared" si="280"/>
        <v>2.3981602521832946E-2</v>
      </c>
      <c r="AL801" s="22">
        <f t="shared" si="281"/>
        <v>25667.621017865975</v>
      </c>
      <c r="AM801" s="22">
        <f t="shared" si="282"/>
        <v>85256.125240062844</v>
      </c>
      <c r="AN801" s="22">
        <f t="shared" si="283"/>
        <v>-59588.504222196869</v>
      </c>
      <c r="AO801" s="26" t="str">
        <f t="shared" si="284"/>
        <v/>
      </c>
      <c r="AP801" s="26" t="str">
        <f t="shared" si="285"/>
        <v>pre-launch</v>
      </c>
      <c r="AQ801" s="18"/>
      <c r="AR801" s="18"/>
    </row>
    <row r="802" spans="1:44" x14ac:dyDescent="0.25">
      <c r="A802" s="43">
        <v>45863</v>
      </c>
      <c r="B802" s="17">
        <v>15953353062.82</v>
      </c>
      <c r="C802" s="17">
        <v>0</v>
      </c>
      <c r="D802" s="17">
        <v>407697636</v>
      </c>
      <c r="E802" s="19">
        <f t="shared" si="264"/>
        <v>15953353062.82</v>
      </c>
      <c r="F802" s="19">
        <f t="shared" si="265"/>
        <v>16361050698.82</v>
      </c>
      <c r="G802" s="20">
        <f t="shared" si="266"/>
        <v>0</v>
      </c>
      <c r="H802" s="17">
        <v>4314986</v>
      </c>
      <c r="I802" s="17">
        <v>90407</v>
      </c>
      <c r="J802" s="17">
        <v>131700</v>
      </c>
      <c r="K802" s="19">
        <f t="shared" si="267"/>
        <v>4405393</v>
      </c>
      <c r="L802" s="18"/>
      <c r="M802" s="18"/>
      <c r="N802" s="18"/>
      <c r="O802" s="19">
        <f t="shared" si="268"/>
        <v>4314986</v>
      </c>
      <c r="P802" s="21">
        <f t="shared" si="269"/>
        <v>2.7047517741309615</v>
      </c>
      <c r="Q802" s="17">
        <v>4185537</v>
      </c>
      <c r="R802" s="17">
        <v>87695</v>
      </c>
      <c r="S802" s="19">
        <f t="shared" si="270"/>
        <v>4273232</v>
      </c>
      <c r="T802" s="20">
        <f t="shared" si="271"/>
        <v>0.03</v>
      </c>
      <c r="U802" s="19">
        <f t="shared" si="272"/>
        <v>132161.81443298969</v>
      </c>
      <c r="V802" s="17">
        <v>131700</v>
      </c>
      <c r="W802" s="19">
        <f t="shared" si="273"/>
        <v>461.81443298968952</v>
      </c>
      <c r="X802" s="19">
        <f t="shared" si="274"/>
        <v>132162</v>
      </c>
      <c r="Y802" s="17">
        <v>129450</v>
      </c>
      <c r="Z802" s="17">
        <v>2712</v>
      </c>
      <c r="AA802" s="19">
        <f t="shared" si="275"/>
        <v>462</v>
      </c>
      <c r="AB802" s="17">
        <v>4273232</v>
      </c>
      <c r="AC802" s="27">
        <v>44.188000000000002</v>
      </c>
      <c r="AD802" s="27">
        <v>42.927750000000003</v>
      </c>
      <c r="AE802" s="22">
        <f t="shared" si="276"/>
        <v>99544.746696484202</v>
      </c>
      <c r="AF802" s="23">
        <f t="shared" si="277"/>
        <v>-1</v>
      </c>
      <c r="AG802" s="23">
        <f t="shared" si="278"/>
        <v>0</v>
      </c>
      <c r="AH802" s="17">
        <v>4390004.2270339699</v>
      </c>
      <c r="AI802" s="24">
        <f t="shared" si="279"/>
        <v>1.0273264421482311</v>
      </c>
      <c r="AJ802" s="25">
        <v>390797814.20765001</v>
      </c>
      <c r="AK802" s="24">
        <f t="shared" si="280"/>
        <v>2.3977410505586026E-2</v>
      </c>
      <c r="AL802" s="22">
        <f t="shared" si="281"/>
        <v>25672.108536828942</v>
      </c>
      <c r="AM802" s="22">
        <f t="shared" si="282"/>
        <v>99544.746696484202</v>
      </c>
      <c r="AN802" s="22">
        <f t="shared" si="283"/>
        <v>-73872.638159655267</v>
      </c>
      <c r="AO802" s="26" t="str">
        <f t="shared" si="284"/>
        <v/>
      </c>
      <c r="AP802" s="26" t="str">
        <f t="shared" si="285"/>
        <v>pre-launch</v>
      </c>
      <c r="AQ802" s="18"/>
      <c r="AR802" s="18"/>
    </row>
    <row r="803" spans="1:44" x14ac:dyDescent="0.25">
      <c r="A803" s="43">
        <v>45864</v>
      </c>
      <c r="B803" s="17">
        <v>5698633537.2799997</v>
      </c>
      <c r="C803" s="17">
        <v>0</v>
      </c>
      <c r="D803" s="17">
        <v>234677785</v>
      </c>
      <c r="E803" s="19">
        <f t="shared" si="264"/>
        <v>5698633537.2799997</v>
      </c>
      <c r="F803" s="19">
        <f t="shared" si="265"/>
        <v>5933311322.2799997</v>
      </c>
      <c r="G803" s="20">
        <f t="shared" si="266"/>
        <v>0</v>
      </c>
      <c r="H803" s="17">
        <v>1613474</v>
      </c>
      <c r="I803" s="17">
        <v>51478</v>
      </c>
      <c r="J803" s="17">
        <v>50050</v>
      </c>
      <c r="K803" s="19">
        <f t="shared" si="267"/>
        <v>1664952</v>
      </c>
      <c r="L803" s="18"/>
      <c r="M803" s="18"/>
      <c r="N803" s="18"/>
      <c r="O803" s="19">
        <f t="shared" si="268"/>
        <v>1613474</v>
      </c>
      <c r="P803" s="21">
        <f t="shared" si="269"/>
        <v>2.8313348971201315</v>
      </c>
      <c r="Q803" s="17">
        <v>1565070</v>
      </c>
      <c r="R803" s="17">
        <v>49934</v>
      </c>
      <c r="S803" s="19">
        <f t="shared" si="270"/>
        <v>1615004</v>
      </c>
      <c r="T803" s="20">
        <f t="shared" si="271"/>
        <v>0.03</v>
      </c>
      <c r="U803" s="19">
        <f t="shared" si="272"/>
        <v>49948.577319587625</v>
      </c>
      <c r="V803" s="17">
        <v>50050</v>
      </c>
      <c r="W803" s="19">
        <f t="shared" si="273"/>
        <v>-101.42268041237548</v>
      </c>
      <c r="X803" s="19">
        <f t="shared" si="274"/>
        <v>49948</v>
      </c>
      <c r="Y803" s="17">
        <v>48404</v>
      </c>
      <c r="Z803" s="17">
        <v>1544</v>
      </c>
      <c r="AA803" s="19">
        <f t="shared" si="275"/>
        <v>-102</v>
      </c>
      <c r="AB803" s="17">
        <v>1615004</v>
      </c>
      <c r="AC803" s="27">
        <v>43.32</v>
      </c>
      <c r="AD803" s="27">
        <v>43.914749999999998</v>
      </c>
      <c r="AE803" s="22">
        <f t="shared" si="276"/>
        <v>36775.88964983292</v>
      </c>
      <c r="AF803" s="23">
        <f t="shared" si="277"/>
        <v>0</v>
      </c>
      <c r="AG803" s="23">
        <f t="shared" si="278"/>
        <v>0</v>
      </c>
      <c r="AH803" s="17">
        <v>1668348.0450460301</v>
      </c>
      <c r="AI803" s="24">
        <f t="shared" si="279"/>
        <v>1.0330302866407948</v>
      </c>
      <c r="AJ803" s="25">
        <v>390934426.22950798</v>
      </c>
      <c r="AK803" s="24">
        <f t="shared" si="280"/>
        <v>2.3973220686881017E-2</v>
      </c>
      <c r="AL803" s="22">
        <f t="shared" si="281"/>
        <v>25676.595271504659</v>
      </c>
      <c r="AM803" s="22">
        <f t="shared" si="282"/>
        <v>36775.88964983292</v>
      </c>
      <c r="AN803" s="22">
        <f t="shared" si="283"/>
        <v>-11099.294378328261</v>
      </c>
      <c r="AO803" s="26" t="str">
        <f t="shared" si="284"/>
        <v/>
      </c>
      <c r="AP803" s="26" t="str">
        <f t="shared" si="285"/>
        <v>pre-launch</v>
      </c>
      <c r="AQ803" s="18"/>
      <c r="AR803" s="18"/>
    </row>
    <row r="804" spans="1:44" x14ac:dyDescent="0.25">
      <c r="A804" s="43">
        <v>45865</v>
      </c>
      <c r="B804" s="17">
        <v>7413250946.8100004</v>
      </c>
      <c r="C804" s="17">
        <v>0</v>
      </c>
      <c r="D804" s="17">
        <v>282995902</v>
      </c>
      <c r="E804" s="19">
        <f t="shared" si="264"/>
        <v>7413250946.8100004</v>
      </c>
      <c r="F804" s="19">
        <f t="shared" si="265"/>
        <v>7696246848.8100004</v>
      </c>
      <c r="G804" s="20">
        <f t="shared" si="266"/>
        <v>0</v>
      </c>
      <c r="H804" s="17">
        <v>2116150</v>
      </c>
      <c r="I804" s="17">
        <v>63428</v>
      </c>
      <c r="J804" s="17">
        <v>64804</v>
      </c>
      <c r="K804" s="19">
        <f t="shared" si="267"/>
        <v>2179578</v>
      </c>
      <c r="L804" s="18"/>
      <c r="M804" s="18"/>
      <c r="N804" s="18"/>
      <c r="O804" s="19">
        <f t="shared" si="268"/>
        <v>2116150</v>
      </c>
      <c r="P804" s="21">
        <f t="shared" si="269"/>
        <v>2.854550608340868</v>
      </c>
      <c r="Q804" s="17">
        <v>2052666</v>
      </c>
      <c r="R804" s="17">
        <v>61525</v>
      </c>
      <c r="S804" s="19">
        <f t="shared" si="270"/>
        <v>2114191</v>
      </c>
      <c r="T804" s="20">
        <f t="shared" si="271"/>
        <v>0.03</v>
      </c>
      <c r="U804" s="19">
        <f t="shared" si="272"/>
        <v>65387.350515463913</v>
      </c>
      <c r="V804" s="17">
        <v>64804</v>
      </c>
      <c r="W804" s="19">
        <f t="shared" si="273"/>
        <v>583.35051546391333</v>
      </c>
      <c r="X804" s="19">
        <f t="shared" si="274"/>
        <v>65388</v>
      </c>
      <c r="Y804" s="17">
        <v>63485</v>
      </c>
      <c r="Z804" s="17">
        <v>1903</v>
      </c>
      <c r="AA804" s="19">
        <f t="shared" si="275"/>
        <v>584</v>
      </c>
      <c r="AB804" s="17">
        <v>2114191</v>
      </c>
      <c r="AC804" s="27">
        <v>43.676000000000002</v>
      </c>
      <c r="AD804" s="27">
        <v>43.437249999999999</v>
      </c>
      <c r="AE804" s="22">
        <f t="shared" si="276"/>
        <v>48672.303149946187</v>
      </c>
      <c r="AF804" s="23">
        <f t="shared" si="277"/>
        <v>-1</v>
      </c>
      <c r="AG804" s="23">
        <f t="shared" si="278"/>
        <v>0</v>
      </c>
      <c r="AH804" s="17">
        <v>2160127.2972310199</v>
      </c>
      <c r="AI804" s="24">
        <f t="shared" si="279"/>
        <v>1.0217276004065006</v>
      </c>
      <c r="AJ804" s="25">
        <v>391071038.25136602</v>
      </c>
      <c r="AK804" s="24">
        <f t="shared" si="280"/>
        <v>2.3969033063798596E-2</v>
      </c>
      <c r="AL804" s="22">
        <f t="shared" si="281"/>
        <v>25681.081222304212</v>
      </c>
      <c r="AM804" s="22">
        <f t="shared" si="282"/>
        <v>48672.303149946187</v>
      </c>
      <c r="AN804" s="22">
        <f t="shared" si="283"/>
        <v>-22991.221927641975</v>
      </c>
      <c r="AO804" s="26" t="str">
        <f t="shared" si="284"/>
        <v/>
      </c>
      <c r="AP804" s="26" t="str">
        <f t="shared" si="285"/>
        <v>pre-launch</v>
      </c>
      <c r="AQ804" s="18"/>
      <c r="AR804" s="18"/>
    </row>
    <row r="805" spans="1:44" x14ac:dyDescent="0.25">
      <c r="A805" s="43">
        <v>45866</v>
      </c>
      <c r="B805" s="17">
        <v>12436414976.16</v>
      </c>
      <c r="C805" s="17">
        <v>0</v>
      </c>
      <c r="D805" s="17">
        <v>457193092</v>
      </c>
      <c r="E805" s="19">
        <f t="shared" si="264"/>
        <v>12436414976.16</v>
      </c>
      <c r="F805" s="19">
        <f t="shared" si="265"/>
        <v>12893608068.16</v>
      </c>
      <c r="G805" s="20">
        <f t="shared" si="266"/>
        <v>0</v>
      </c>
      <c r="H805" s="17">
        <v>3374355</v>
      </c>
      <c r="I805" s="17">
        <v>95834</v>
      </c>
      <c r="J805" s="17">
        <v>99571</v>
      </c>
      <c r="K805" s="19">
        <f t="shared" si="267"/>
        <v>3470189</v>
      </c>
      <c r="L805" s="18"/>
      <c r="M805" s="18"/>
      <c r="N805" s="18"/>
      <c r="O805" s="19">
        <f t="shared" si="268"/>
        <v>3374355</v>
      </c>
      <c r="P805" s="21">
        <f t="shared" si="269"/>
        <v>2.7132859481357561</v>
      </c>
      <c r="Q805" s="17">
        <v>3273124</v>
      </c>
      <c r="R805" s="17">
        <v>92959</v>
      </c>
      <c r="S805" s="19">
        <f t="shared" si="270"/>
        <v>3366083</v>
      </c>
      <c r="T805" s="20">
        <f t="shared" si="271"/>
        <v>0.03</v>
      </c>
      <c r="U805" s="19">
        <f t="shared" si="272"/>
        <v>104105.65979381443</v>
      </c>
      <c r="V805" s="17">
        <v>99571</v>
      </c>
      <c r="W805" s="19">
        <f t="shared" si="273"/>
        <v>4534.6597938144259</v>
      </c>
      <c r="X805" s="19">
        <f t="shared" si="274"/>
        <v>104106</v>
      </c>
      <c r="Y805" s="17">
        <v>101231</v>
      </c>
      <c r="Z805" s="17">
        <v>2875</v>
      </c>
      <c r="AA805" s="19">
        <f t="shared" si="275"/>
        <v>4535</v>
      </c>
      <c r="AB805" s="17">
        <v>3366083</v>
      </c>
      <c r="AC805" s="27">
        <v>43.777000000000001</v>
      </c>
      <c r="AD805" s="27">
        <v>44.051000000000002</v>
      </c>
      <c r="AE805" s="22">
        <f t="shared" si="276"/>
        <v>76413.316383283003</v>
      </c>
      <c r="AF805" s="23">
        <f t="shared" si="277"/>
        <v>0</v>
      </c>
      <c r="AG805" s="23">
        <f t="shared" si="278"/>
        <v>0</v>
      </c>
      <c r="AH805" s="17">
        <v>3319042.5777109899</v>
      </c>
      <c r="AI805" s="24">
        <f t="shared" si="279"/>
        <v>0.98602517457560901</v>
      </c>
      <c r="AJ805" s="25">
        <v>391207650.273224</v>
      </c>
      <c r="AK805" s="24">
        <f t="shared" si="280"/>
        <v>2.3964847634421783E-2</v>
      </c>
      <c r="AL805" s="22">
        <f t="shared" si="281"/>
        <v>25685.566389638294</v>
      </c>
      <c r="AM805" s="22">
        <f t="shared" si="282"/>
        <v>76413.316383283003</v>
      </c>
      <c r="AN805" s="22">
        <f t="shared" si="283"/>
        <v>-50727.749993644713</v>
      </c>
      <c r="AO805" s="26" t="str">
        <f t="shared" si="284"/>
        <v/>
      </c>
      <c r="AP805" s="26" t="str">
        <f t="shared" si="285"/>
        <v>pre-launch</v>
      </c>
      <c r="AQ805" s="18"/>
      <c r="AR805" s="18"/>
    </row>
    <row r="806" spans="1:44" x14ac:dyDescent="0.25">
      <c r="A806" s="43">
        <v>45867</v>
      </c>
      <c r="B806" s="17">
        <v>11467327116.620001</v>
      </c>
      <c r="C806" s="17">
        <v>0</v>
      </c>
      <c r="D806" s="17">
        <v>430369408</v>
      </c>
      <c r="E806" s="19">
        <f t="shared" si="264"/>
        <v>11467327116.620001</v>
      </c>
      <c r="F806" s="19">
        <f t="shared" si="265"/>
        <v>11897696524.620001</v>
      </c>
      <c r="G806" s="20">
        <f t="shared" si="266"/>
        <v>0</v>
      </c>
      <c r="H806" s="17">
        <v>3095010</v>
      </c>
      <c r="I806" s="17">
        <v>89465</v>
      </c>
      <c r="J806" s="17">
        <v>101012</v>
      </c>
      <c r="K806" s="19">
        <f t="shared" si="267"/>
        <v>3184475</v>
      </c>
      <c r="L806" s="18"/>
      <c r="M806" s="18"/>
      <c r="N806" s="18"/>
      <c r="O806" s="19">
        <f t="shared" si="268"/>
        <v>3095010</v>
      </c>
      <c r="P806" s="21">
        <f t="shared" si="269"/>
        <v>2.698981173663646</v>
      </c>
      <c r="Q806" s="17">
        <v>3002159</v>
      </c>
      <c r="R806" s="17">
        <v>86781</v>
      </c>
      <c r="S806" s="19">
        <f t="shared" si="270"/>
        <v>3088940</v>
      </c>
      <c r="T806" s="20">
        <f t="shared" si="271"/>
        <v>0.03</v>
      </c>
      <c r="U806" s="19">
        <f t="shared" si="272"/>
        <v>95534.226804123711</v>
      </c>
      <c r="V806" s="17">
        <v>101012</v>
      </c>
      <c r="W806" s="19">
        <f t="shared" si="273"/>
        <v>-5477.7731958762888</v>
      </c>
      <c r="X806" s="19">
        <f t="shared" si="274"/>
        <v>95534</v>
      </c>
      <c r="Y806" s="17">
        <v>92850</v>
      </c>
      <c r="Z806" s="17">
        <v>2684</v>
      </c>
      <c r="AA806" s="19">
        <f t="shared" si="275"/>
        <v>-5478</v>
      </c>
      <c r="AB806" s="17">
        <v>3088940</v>
      </c>
      <c r="AC806" s="27">
        <v>43.546999999999997</v>
      </c>
      <c r="AD806" s="27">
        <v>43.747500000000002</v>
      </c>
      <c r="AE806" s="22">
        <f t="shared" si="276"/>
        <v>70608.377621578373</v>
      </c>
      <c r="AF806" s="23">
        <f t="shared" si="277"/>
        <v>1</v>
      </c>
      <c r="AG806" s="23">
        <f t="shared" si="278"/>
        <v>0</v>
      </c>
      <c r="AH806" s="17">
        <v>3367064.2316080299</v>
      </c>
      <c r="AI806" s="24">
        <f t="shared" si="279"/>
        <v>1.0900387290164359</v>
      </c>
      <c r="AJ806" s="25">
        <v>391344262.29508197</v>
      </c>
      <c r="AK806" s="24">
        <f t="shared" si="280"/>
        <v>2.3960664396835946E-2</v>
      </c>
      <c r="AL806" s="22">
        <f t="shared" si="281"/>
        <v>25690.050773917257</v>
      </c>
      <c r="AM806" s="22">
        <f t="shared" si="282"/>
        <v>70608.377621578373</v>
      </c>
      <c r="AN806" s="22">
        <f t="shared" si="283"/>
        <v>-44918.326847661112</v>
      </c>
      <c r="AO806" s="26" t="str">
        <f t="shared" si="284"/>
        <v/>
      </c>
      <c r="AP806" s="26" t="str">
        <f t="shared" si="285"/>
        <v>pre-launch</v>
      </c>
      <c r="AQ806" s="18"/>
      <c r="AR806" s="18"/>
    </row>
    <row r="807" spans="1:44" x14ac:dyDescent="0.25">
      <c r="A807" s="43">
        <v>45868</v>
      </c>
      <c r="B807" s="17">
        <v>10174615682.51</v>
      </c>
      <c r="C807" s="17">
        <v>0</v>
      </c>
      <c r="D807" s="17">
        <v>417498308</v>
      </c>
      <c r="E807" s="19">
        <f t="shared" si="264"/>
        <v>10174615682.51</v>
      </c>
      <c r="F807" s="19">
        <f t="shared" si="265"/>
        <v>10592113990.51</v>
      </c>
      <c r="G807" s="20">
        <f t="shared" si="266"/>
        <v>0</v>
      </c>
      <c r="H807" s="17">
        <v>2740744</v>
      </c>
      <c r="I807" s="17">
        <v>95401</v>
      </c>
      <c r="J807" s="17">
        <v>84531</v>
      </c>
      <c r="K807" s="19">
        <f t="shared" si="267"/>
        <v>2836145</v>
      </c>
      <c r="L807" s="18"/>
      <c r="M807" s="18"/>
      <c r="N807" s="18"/>
      <c r="O807" s="19">
        <f t="shared" si="268"/>
        <v>2740744</v>
      </c>
      <c r="P807" s="21">
        <f t="shared" si="269"/>
        <v>2.6937076401925379</v>
      </c>
      <c r="Q807" s="17">
        <v>2658522</v>
      </c>
      <c r="R807" s="17">
        <v>92539</v>
      </c>
      <c r="S807" s="19">
        <f t="shared" si="270"/>
        <v>2751061</v>
      </c>
      <c r="T807" s="20">
        <f t="shared" si="271"/>
        <v>0.03</v>
      </c>
      <c r="U807" s="19">
        <f t="shared" si="272"/>
        <v>85084.360824742267</v>
      </c>
      <c r="V807" s="17">
        <v>84531</v>
      </c>
      <c r="W807" s="19">
        <f t="shared" si="273"/>
        <v>553.36082474226714</v>
      </c>
      <c r="X807" s="19">
        <f t="shared" si="274"/>
        <v>85084</v>
      </c>
      <c r="Y807" s="17">
        <v>82222</v>
      </c>
      <c r="Z807" s="17">
        <v>2862</v>
      </c>
      <c r="AA807" s="19">
        <f t="shared" si="275"/>
        <v>553</v>
      </c>
      <c r="AB807" s="17">
        <v>2751061</v>
      </c>
      <c r="AC807" s="27">
        <v>42.231000000000002</v>
      </c>
      <c r="AD807" s="27">
        <v>42.692749999999997</v>
      </c>
      <c r="AE807" s="22">
        <f t="shared" si="276"/>
        <v>64438.599059559296</v>
      </c>
      <c r="AF807" s="23">
        <f t="shared" si="277"/>
        <v>0</v>
      </c>
      <c r="AG807" s="23">
        <f t="shared" si="278"/>
        <v>0</v>
      </c>
      <c r="AH807" s="17">
        <v>2817703.5129489899</v>
      </c>
      <c r="AI807" s="24">
        <f t="shared" si="279"/>
        <v>1.0242242948989462</v>
      </c>
      <c r="AJ807" s="25">
        <v>391480874.31694001</v>
      </c>
      <c r="AK807" s="24">
        <f t="shared" si="280"/>
        <v>2.3956483349128782E-2</v>
      </c>
      <c r="AL807" s="22">
        <f t="shared" si="281"/>
        <v>25694.534375551098</v>
      </c>
      <c r="AM807" s="22">
        <f t="shared" si="282"/>
        <v>64438.599059559296</v>
      </c>
      <c r="AN807" s="22">
        <f t="shared" si="283"/>
        <v>-38744.064684008197</v>
      </c>
      <c r="AO807" s="26" t="str">
        <f t="shared" si="284"/>
        <v/>
      </c>
      <c r="AP807" s="26" t="str">
        <f t="shared" si="285"/>
        <v>pre-launch</v>
      </c>
      <c r="AQ807" s="18"/>
      <c r="AR807" s="18"/>
    </row>
    <row r="808" spans="1:44" x14ac:dyDescent="0.25">
      <c r="A808" s="43">
        <v>45869</v>
      </c>
      <c r="B808" s="17">
        <v>11403174318.780001</v>
      </c>
      <c r="C808" s="17">
        <v>0</v>
      </c>
      <c r="D808" s="17">
        <v>530574810</v>
      </c>
      <c r="E808" s="19">
        <f t="shared" si="264"/>
        <v>11403174318.780001</v>
      </c>
      <c r="F808" s="19">
        <f t="shared" si="265"/>
        <v>11933749128.780001</v>
      </c>
      <c r="G808" s="20">
        <f t="shared" si="266"/>
        <v>0</v>
      </c>
      <c r="H808" s="17">
        <v>3091571</v>
      </c>
      <c r="I808" s="17">
        <v>116038</v>
      </c>
      <c r="J808" s="17">
        <v>96782</v>
      </c>
      <c r="K808" s="19">
        <f t="shared" si="267"/>
        <v>3207609</v>
      </c>
      <c r="L808" s="18"/>
      <c r="M808" s="18"/>
      <c r="N808" s="18"/>
      <c r="O808" s="19">
        <f t="shared" si="268"/>
        <v>3091571</v>
      </c>
      <c r="P808" s="21">
        <f t="shared" si="269"/>
        <v>2.7111494690635936</v>
      </c>
      <c r="Q808" s="17">
        <v>2998824</v>
      </c>
      <c r="R808" s="17">
        <v>112557</v>
      </c>
      <c r="S808" s="19">
        <f t="shared" si="270"/>
        <v>3111381</v>
      </c>
      <c r="T808" s="20">
        <f t="shared" si="271"/>
        <v>0.03</v>
      </c>
      <c r="U808" s="19">
        <f t="shared" si="272"/>
        <v>96228.278350515466</v>
      </c>
      <c r="V808" s="17">
        <v>96782</v>
      </c>
      <c r="W808" s="19">
        <f t="shared" si="273"/>
        <v>-553.72164948453428</v>
      </c>
      <c r="X808" s="19">
        <f t="shared" si="274"/>
        <v>96228</v>
      </c>
      <c r="Y808" s="17">
        <v>92747</v>
      </c>
      <c r="Z808" s="17">
        <v>3481</v>
      </c>
      <c r="AA808" s="19">
        <f t="shared" si="275"/>
        <v>-554</v>
      </c>
      <c r="AB808" s="17">
        <v>3111381</v>
      </c>
      <c r="AC808" s="27">
        <v>40.755000000000003</v>
      </c>
      <c r="AD808" s="27">
        <v>42.079500000000003</v>
      </c>
      <c r="AE808" s="22">
        <f t="shared" si="276"/>
        <v>73940.541118596942</v>
      </c>
      <c r="AF808" s="23">
        <f t="shared" si="277"/>
        <v>0</v>
      </c>
      <c r="AG808" s="23">
        <f t="shared" si="278"/>
        <v>0</v>
      </c>
      <c r="AH808" s="17">
        <v>3226051.2512019901</v>
      </c>
      <c r="AI808" s="24">
        <f t="shared" si="279"/>
        <v>1.0368550978494726</v>
      </c>
      <c r="AJ808" s="25">
        <v>391617486.33879799</v>
      </c>
      <c r="AK808" s="24">
        <f t="shared" si="280"/>
        <v>2.3952304489390328E-2</v>
      </c>
      <c r="AL808" s="22">
        <f t="shared" si="281"/>
        <v>25699.017194949443</v>
      </c>
      <c r="AM808" s="22">
        <f t="shared" si="282"/>
        <v>73940.541118596942</v>
      </c>
      <c r="AN808" s="22">
        <f t="shared" si="283"/>
        <v>-48241.523923647503</v>
      </c>
      <c r="AO808" s="26" t="str">
        <f t="shared" si="284"/>
        <v/>
      </c>
      <c r="AP808" s="26" t="str">
        <f t="shared" si="285"/>
        <v>pre-launch</v>
      </c>
      <c r="AQ808" s="18"/>
      <c r="AR808" s="18"/>
    </row>
    <row r="809" spans="1:44" x14ac:dyDescent="0.25">
      <c r="A809" s="43">
        <v>45870</v>
      </c>
      <c r="B809" s="17">
        <v>18380818442.580002</v>
      </c>
      <c r="C809" s="17">
        <v>0</v>
      </c>
      <c r="D809" s="17">
        <v>559799982</v>
      </c>
      <c r="E809" s="19">
        <f t="shared" si="264"/>
        <v>18380818442.580002</v>
      </c>
      <c r="F809" s="19">
        <f t="shared" si="265"/>
        <v>18940618424.580002</v>
      </c>
      <c r="G809" s="20">
        <f t="shared" si="266"/>
        <v>0</v>
      </c>
      <c r="H809" s="17">
        <v>5744453</v>
      </c>
      <c r="I809" s="17">
        <v>230825</v>
      </c>
      <c r="J809" s="17">
        <v>172119</v>
      </c>
      <c r="K809" s="19">
        <f t="shared" si="267"/>
        <v>5975278</v>
      </c>
      <c r="L809" s="18"/>
      <c r="M809" s="18"/>
      <c r="N809" s="18"/>
      <c r="O809" s="19">
        <f t="shared" si="268"/>
        <v>5744453</v>
      </c>
      <c r="P809" s="21">
        <f t="shared" si="269"/>
        <v>3.1252433170727119</v>
      </c>
      <c r="Q809" s="17">
        <v>5389544</v>
      </c>
      <c r="R809" s="17">
        <v>175624</v>
      </c>
      <c r="S809" s="19">
        <f t="shared" si="270"/>
        <v>5565168</v>
      </c>
      <c r="T809" s="20">
        <f t="shared" si="271"/>
        <v>0.03</v>
      </c>
      <c r="U809" s="19">
        <f t="shared" si="272"/>
        <v>172118.59793814435</v>
      </c>
      <c r="V809" s="17">
        <v>172119</v>
      </c>
      <c r="W809" s="19">
        <f t="shared" si="273"/>
        <v>-0.40206185565330088</v>
      </c>
      <c r="X809" s="19">
        <f t="shared" si="274"/>
        <v>410109</v>
      </c>
      <c r="Y809" s="17">
        <v>354909</v>
      </c>
      <c r="Z809" s="17">
        <v>55200</v>
      </c>
      <c r="AA809" s="19">
        <f t="shared" si="275"/>
        <v>237990</v>
      </c>
      <c r="AB809" s="17">
        <v>5565168</v>
      </c>
      <c r="AC809" s="27">
        <v>37.591999999999999</v>
      </c>
      <c r="AD809" s="27">
        <v>39.076000000000001</v>
      </c>
      <c r="AE809" s="22">
        <f t="shared" si="276"/>
        <v>142419.08076568737</v>
      </c>
      <c r="AF809" s="23">
        <f t="shared" si="277"/>
        <v>1</v>
      </c>
      <c r="AG809" s="23">
        <f t="shared" si="278"/>
        <v>0</v>
      </c>
      <c r="AH809" s="17">
        <v>4948245.1372200297</v>
      </c>
      <c r="AI809" s="24">
        <f t="shared" si="279"/>
        <v>0.88914568926221627</v>
      </c>
      <c r="AJ809" s="25">
        <v>391754098.36065602</v>
      </c>
      <c r="AK809" s="24">
        <f t="shared" si="280"/>
        <v>2.3948127815712959E-2</v>
      </c>
      <c r="AL809" s="22">
        <f t="shared" si="281"/>
        <v>25703.499232521583</v>
      </c>
      <c r="AM809" s="22">
        <f t="shared" si="282"/>
        <v>142419.08076568737</v>
      </c>
      <c r="AN809" s="22">
        <f t="shared" si="283"/>
        <v>-116715.58153316578</v>
      </c>
      <c r="AO809" s="26" t="str">
        <f t="shared" si="284"/>
        <v/>
      </c>
      <c r="AP809" s="26" t="str">
        <f t="shared" si="285"/>
        <v>pre-launch</v>
      </c>
      <c r="AQ809" s="18"/>
      <c r="AR809" s="18"/>
    </row>
    <row r="810" spans="1:44" x14ac:dyDescent="0.25">
      <c r="A810" s="43">
        <v>45871</v>
      </c>
      <c r="B810" s="17">
        <v>8441327240.0500002</v>
      </c>
      <c r="C810" s="17">
        <v>0</v>
      </c>
      <c r="D810" s="17">
        <v>276276534</v>
      </c>
      <c r="E810" s="19">
        <f t="shared" si="264"/>
        <v>8441327240.0500002</v>
      </c>
      <c r="F810" s="19">
        <f t="shared" si="265"/>
        <v>8717603774.0499992</v>
      </c>
      <c r="G810" s="20">
        <f t="shared" si="266"/>
        <v>0</v>
      </c>
      <c r="H810" s="17">
        <v>2659549</v>
      </c>
      <c r="I810" s="17">
        <v>114760</v>
      </c>
      <c r="J810" s="17">
        <v>79532</v>
      </c>
      <c r="K810" s="19">
        <f t="shared" si="267"/>
        <v>2774309</v>
      </c>
      <c r="L810" s="18"/>
      <c r="M810" s="18"/>
      <c r="N810" s="18"/>
      <c r="O810" s="19">
        <f t="shared" si="268"/>
        <v>2659549</v>
      </c>
      <c r="P810" s="21">
        <f t="shared" si="269"/>
        <v>3.1506289524966298</v>
      </c>
      <c r="Q810" s="17">
        <v>2484641</v>
      </c>
      <c r="R810" s="17">
        <v>86900</v>
      </c>
      <c r="S810" s="19">
        <f t="shared" si="270"/>
        <v>2571541</v>
      </c>
      <c r="T810" s="20">
        <f t="shared" si="271"/>
        <v>0.03</v>
      </c>
      <c r="U810" s="19">
        <f t="shared" si="272"/>
        <v>79532.195876288664</v>
      </c>
      <c r="V810" s="17">
        <v>79532</v>
      </c>
      <c r="W810" s="19">
        <f t="shared" si="273"/>
        <v>0.19587628866429441</v>
      </c>
      <c r="X810" s="19">
        <f t="shared" si="274"/>
        <v>202768</v>
      </c>
      <c r="Y810" s="17">
        <v>174908</v>
      </c>
      <c r="Z810" s="17">
        <v>27860</v>
      </c>
      <c r="AA810" s="19">
        <f t="shared" si="275"/>
        <v>123236</v>
      </c>
      <c r="AB810" s="17">
        <v>2571541</v>
      </c>
      <c r="AC810" s="27">
        <v>36.908999999999999</v>
      </c>
      <c r="AD810" s="27">
        <v>37.186</v>
      </c>
      <c r="AE810" s="22">
        <f t="shared" si="276"/>
        <v>69153.471736675099</v>
      </c>
      <c r="AF810" s="23">
        <f t="shared" si="277"/>
        <v>0</v>
      </c>
      <c r="AG810" s="23">
        <f t="shared" si="278"/>
        <v>0</v>
      </c>
      <c r="AH810" s="17">
        <v>2274627.4712200202</v>
      </c>
      <c r="AI810" s="24">
        <f t="shared" si="279"/>
        <v>0.88453867592234392</v>
      </c>
      <c r="AJ810" s="25">
        <v>391890710.382514</v>
      </c>
      <c r="AK810" s="24">
        <f t="shared" si="280"/>
        <v>2.3943953326191373E-2</v>
      </c>
      <c r="AL810" s="22">
        <f t="shared" si="281"/>
        <v>25707.980488676429</v>
      </c>
      <c r="AM810" s="22">
        <f t="shared" si="282"/>
        <v>69153.471736675099</v>
      </c>
      <c r="AN810" s="22">
        <f t="shared" si="283"/>
        <v>-43445.491247998667</v>
      </c>
      <c r="AO810" s="26" t="str">
        <f t="shared" si="284"/>
        <v/>
      </c>
      <c r="AP810" s="26" t="str">
        <f t="shared" si="285"/>
        <v>pre-launch</v>
      </c>
      <c r="AQ810" s="18"/>
      <c r="AR810" s="18"/>
    </row>
    <row r="811" spans="1:44" x14ac:dyDescent="0.25">
      <c r="A811" s="43">
        <v>45872</v>
      </c>
      <c r="B811" s="17">
        <v>5841208708.8000002</v>
      </c>
      <c r="C811" s="17">
        <v>0</v>
      </c>
      <c r="D811" s="17">
        <v>200603374</v>
      </c>
      <c r="E811" s="19">
        <f t="shared" si="264"/>
        <v>5841208708.8000002</v>
      </c>
      <c r="F811" s="19">
        <f t="shared" si="265"/>
        <v>6041812082.8000002</v>
      </c>
      <c r="G811" s="20">
        <f t="shared" si="266"/>
        <v>0</v>
      </c>
      <c r="H811" s="17">
        <v>1932558</v>
      </c>
      <c r="I811" s="17">
        <v>90506</v>
      </c>
      <c r="J811" s="17">
        <v>57453</v>
      </c>
      <c r="K811" s="19">
        <f t="shared" si="267"/>
        <v>2023064</v>
      </c>
      <c r="L811" s="18"/>
      <c r="M811" s="18"/>
      <c r="N811" s="18"/>
      <c r="O811" s="19">
        <f t="shared" si="268"/>
        <v>1932558</v>
      </c>
      <c r="P811" s="21">
        <f t="shared" si="269"/>
        <v>3.3084898971141516</v>
      </c>
      <c r="Q811" s="17">
        <v>1788436</v>
      </c>
      <c r="R811" s="17">
        <v>69200</v>
      </c>
      <c r="S811" s="19">
        <f t="shared" si="270"/>
        <v>1857636</v>
      </c>
      <c r="T811" s="20">
        <f t="shared" si="271"/>
        <v>0.03</v>
      </c>
      <c r="U811" s="19">
        <f t="shared" si="272"/>
        <v>57452.659793814426</v>
      </c>
      <c r="V811" s="17">
        <v>57453</v>
      </c>
      <c r="W811" s="19">
        <f t="shared" si="273"/>
        <v>-0.34020618557406124</v>
      </c>
      <c r="X811" s="19">
        <f t="shared" si="274"/>
        <v>165428</v>
      </c>
      <c r="Y811" s="17">
        <v>144122</v>
      </c>
      <c r="Z811" s="17">
        <v>21306</v>
      </c>
      <c r="AA811" s="19">
        <f t="shared" si="275"/>
        <v>107975</v>
      </c>
      <c r="AB811" s="17">
        <v>1857636</v>
      </c>
      <c r="AC811" s="27">
        <v>38.183999999999997</v>
      </c>
      <c r="AD811" s="27">
        <v>37.691749999999999</v>
      </c>
      <c r="AE811" s="22">
        <f t="shared" si="276"/>
        <v>49284.949624254645</v>
      </c>
      <c r="AF811" s="23">
        <f t="shared" si="277"/>
        <v>0</v>
      </c>
      <c r="AG811" s="23">
        <f t="shared" si="278"/>
        <v>0</v>
      </c>
      <c r="AH811" s="17">
        <v>1646794.8100238999</v>
      </c>
      <c r="AI811" s="24">
        <f t="shared" si="279"/>
        <v>0.88650026701888851</v>
      </c>
      <c r="AJ811" s="25">
        <v>392027322.40437198</v>
      </c>
      <c r="AK811" s="24">
        <f t="shared" si="280"/>
        <v>2.3939781018922586E-2</v>
      </c>
      <c r="AL811" s="22">
        <f t="shared" si="281"/>
        <v>25712.460963822545</v>
      </c>
      <c r="AM811" s="22">
        <f t="shared" si="282"/>
        <v>49284.949624254645</v>
      </c>
      <c r="AN811" s="22">
        <f t="shared" si="283"/>
        <v>-23572.4886604321</v>
      </c>
      <c r="AO811" s="26" t="str">
        <f t="shared" si="284"/>
        <v/>
      </c>
      <c r="AP811" s="26" t="str">
        <f t="shared" si="285"/>
        <v>pre-launch</v>
      </c>
      <c r="AQ811" s="18"/>
      <c r="AR811" s="18"/>
    </row>
    <row r="812" spans="1:44" x14ac:dyDescent="0.25">
      <c r="A812" s="43">
        <v>45873</v>
      </c>
      <c r="B812" s="17">
        <v>9314089950.9500008</v>
      </c>
      <c r="C812" s="17">
        <v>0</v>
      </c>
      <c r="D812" s="17">
        <v>266825105</v>
      </c>
      <c r="E812" s="19">
        <f t="shared" si="264"/>
        <v>9314089950.9500008</v>
      </c>
      <c r="F812" s="19">
        <f t="shared" si="265"/>
        <v>9580915055.9500008</v>
      </c>
      <c r="G812" s="20">
        <f t="shared" si="266"/>
        <v>0</v>
      </c>
      <c r="H812" s="17">
        <v>2964314</v>
      </c>
      <c r="I812" s="17">
        <v>106473</v>
      </c>
      <c r="J812" s="17">
        <v>87396</v>
      </c>
      <c r="K812" s="19">
        <f t="shared" si="267"/>
        <v>3070787</v>
      </c>
      <c r="L812" s="18"/>
      <c r="M812" s="18"/>
      <c r="N812" s="18"/>
      <c r="O812" s="19">
        <f t="shared" si="268"/>
        <v>2964314</v>
      </c>
      <c r="P812" s="21">
        <f t="shared" si="269"/>
        <v>3.1826125961964231</v>
      </c>
      <c r="Q812" s="17">
        <v>2749987</v>
      </c>
      <c r="R812" s="17">
        <v>75818</v>
      </c>
      <c r="S812" s="19">
        <f t="shared" si="270"/>
        <v>2825805</v>
      </c>
      <c r="T812" s="20">
        <f t="shared" si="271"/>
        <v>0.03</v>
      </c>
      <c r="U812" s="19">
        <f t="shared" si="272"/>
        <v>87396.030927835047</v>
      </c>
      <c r="V812" s="17">
        <v>87396</v>
      </c>
      <c r="W812" s="19">
        <f t="shared" si="273"/>
        <v>3.092783504689578E-2</v>
      </c>
      <c r="X812" s="19">
        <f t="shared" si="274"/>
        <v>244982</v>
      </c>
      <c r="Y812" s="17">
        <v>214327</v>
      </c>
      <c r="Z812" s="17">
        <v>30655</v>
      </c>
      <c r="AA812" s="19">
        <f t="shared" si="275"/>
        <v>157586</v>
      </c>
      <c r="AB812" s="17">
        <v>2825805</v>
      </c>
      <c r="AC812" s="27">
        <v>38.786999999999999</v>
      </c>
      <c r="AD812" s="27">
        <v>38.430750000000003</v>
      </c>
      <c r="AE812" s="22">
        <f t="shared" si="276"/>
        <v>73529.790597373198</v>
      </c>
      <c r="AF812" s="23">
        <f t="shared" si="277"/>
        <v>0</v>
      </c>
      <c r="AG812" s="23">
        <f t="shared" si="278"/>
        <v>0</v>
      </c>
      <c r="AH812" s="17">
        <v>2518824.0799460402</v>
      </c>
      <c r="AI812" s="24">
        <f t="shared" si="279"/>
        <v>0.89136514371870679</v>
      </c>
      <c r="AJ812" s="25">
        <v>392163934.42623001</v>
      </c>
      <c r="AK812" s="24">
        <f t="shared" si="280"/>
        <v>2.3935610892005934E-2</v>
      </c>
      <c r="AL812" s="22">
        <f t="shared" si="281"/>
        <v>25716.940658368145</v>
      </c>
      <c r="AM812" s="22">
        <f t="shared" si="282"/>
        <v>73529.790597373198</v>
      </c>
      <c r="AN812" s="22">
        <f t="shared" si="283"/>
        <v>-47812.849939005057</v>
      </c>
      <c r="AO812" s="26" t="str">
        <f t="shared" si="284"/>
        <v/>
      </c>
      <c r="AP812" s="26" t="str">
        <f t="shared" si="285"/>
        <v>pre-launch</v>
      </c>
      <c r="AQ812" s="18"/>
      <c r="AR812" s="18"/>
    </row>
    <row r="813" spans="1:44" x14ac:dyDescent="0.25">
      <c r="A813" s="43">
        <v>45874</v>
      </c>
      <c r="B813" s="17">
        <v>9775208827.4300003</v>
      </c>
      <c r="C813" s="17">
        <v>0</v>
      </c>
      <c r="D813" s="17">
        <v>287929944</v>
      </c>
      <c r="E813" s="19">
        <f t="shared" si="264"/>
        <v>9775208827.4300003</v>
      </c>
      <c r="F813" s="19">
        <f t="shared" si="265"/>
        <v>10063138771.43</v>
      </c>
      <c r="G813" s="20">
        <f t="shared" si="266"/>
        <v>0</v>
      </c>
      <c r="H813" s="17">
        <v>3247692</v>
      </c>
      <c r="I813" s="17">
        <v>121622</v>
      </c>
      <c r="J813" s="17">
        <v>96220</v>
      </c>
      <c r="K813" s="19">
        <f t="shared" si="267"/>
        <v>3369314</v>
      </c>
      <c r="L813" s="18"/>
      <c r="M813" s="18"/>
      <c r="N813" s="18"/>
      <c r="O813" s="19">
        <f t="shared" si="268"/>
        <v>3247692</v>
      </c>
      <c r="P813" s="21">
        <f t="shared" si="269"/>
        <v>3.3223760815080721</v>
      </c>
      <c r="Q813" s="17">
        <v>3021041</v>
      </c>
      <c r="R813" s="17">
        <v>90076</v>
      </c>
      <c r="S813" s="19">
        <f t="shared" si="270"/>
        <v>3111117</v>
      </c>
      <c r="T813" s="20">
        <f t="shared" si="271"/>
        <v>0.03</v>
      </c>
      <c r="U813" s="19">
        <f t="shared" si="272"/>
        <v>96220.113402061848</v>
      </c>
      <c r="V813" s="17">
        <v>96220</v>
      </c>
      <c r="W813" s="19">
        <f t="shared" si="273"/>
        <v>0.11340206184831914</v>
      </c>
      <c r="X813" s="19">
        <f t="shared" si="274"/>
        <v>258197</v>
      </c>
      <c r="Y813" s="17">
        <v>226651</v>
      </c>
      <c r="Z813" s="17">
        <v>31546</v>
      </c>
      <c r="AA813" s="19">
        <f t="shared" si="275"/>
        <v>161977</v>
      </c>
      <c r="AB813" s="17">
        <v>3111117</v>
      </c>
      <c r="AC813" s="27">
        <v>38.494999999999997</v>
      </c>
      <c r="AD813" s="27">
        <v>38.636000000000003</v>
      </c>
      <c r="AE813" s="22">
        <f t="shared" si="276"/>
        <v>80523.786106222164</v>
      </c>
      <c r="AF813" s="23">
        <f t="shared" si="277"/>
        <v>0</v>
      </c>
      <c r="AG813" s="23">
        <f t="shared" si="278"/>
        <v>0</v>
      </c>
      <c r="AH813" s="17">
        <v>2703801.8604040202</v>
      </c>
      <c r="AI813" s="24">
        <f t="shared" si="279"/>
        <v>0.86907752437597818</v>
      </c>
      <c r="AJ813" s="25">
        <v>392300546.44808799</v>
      </c>
      <c r="AK813" s="24">
        <f t="shared" si="280"/>
        <v>2.3931442943543088E-2</v>
      </c>
      <c r="AL813" s="22">
        <f t="shared" si="281"/>
        <v>25721.419572721075</v>
      </c>
      <c r="AM813" s="22">
        <f t="shared" si="282"/>
        <v>80523.786106222164</v>
      </c>
      <c r="AN813" s="22">
        <f t="shared" si="283"/>
        <v>-54802.366533501088</v>
      </c>
      <c r="AO813" s="26" t="str">
        <f t="shared" si="284"/>
        <v/>
      </c>
      <c r="AP813" s="26" t="str">
        <f t="shared" si="285"/>
        <v>pre-launch</v>
      </c>
      <c r="AQ813" s="18"/>
      <c r="AR813" s="18"/>
    </row>
    <row r="814" spans="1:44" x14ac:dyDescent="0.25">
      <c r="A814" s="43">
        <v>45875</v>
      </c>
      <c r="B814" s="17">
        <v>7858359162.8999996</v>
      </c>
      <c r="C814" s="17">
        <v>0</v>
      </c>
      <c r="D814" s="17">
        <v>215200534</v>
      </c>
      <c r="E814" s="19">
        <f t="shared" si="264"/>
        <v>7858359162.8999996</v>
      </c>
      <c r="F814" s="19">
        <f t="shared" si="265"/>
        <v>8073559696.8999996</v>
      </c>
      <c r="G814" s="20">
        <f t="shared" si="266"/>
        <v>0</v>
      </c>
      <c r="H814" s="17">
        <v>2423595</v>
      </c>
      <c r="I814" s="17">
        <v>97146</v>
      </c>
      <c r="J814" s="17">
        <v>71884</v>
      </c>
      <c r="K814" s="19">
        <f t="shared" si="267"/>
        <v>2520741</v>
      </c>
      <c r="L814" s="18"/>
      <c r="M814" s="18"/>
      <c r="N814" s="18"/>
      <c r="O814" s="19">
        <f t="shared" si="268"/>
        <v>2423595</v>
      </c>
      <c r="P814" s="21">
        <f t="shared" si="269"/>
        <v>3.0840980283034196</v>
      </c>
      <c r="Q814" s="17">
        <v>2252566</v>
      </c>
      <c r="R814" s="17">
        <v>71671</v>
      </c>
      <c r="S814" s="19">
        <f t="shared" si="270"/>
        <v>2324237</v>
      </c>
      <c r="T814" s="20">
        <f t="shared" si="271"/>
        <v>0.03</v>
      </c>
      <c r="U814" s="19">
        <f t="shared" si="272"/>
        <v>71883.61855670104</v>
      </c>
      <c r="V814" s="17">
        <v>71884</v>
      </c>
      <c r="W814" s="19">
        <f t="shared" si="273"/>
        <v>-0.381443298960221</v>
      </c>
      <c r="X814" s="19">
        <f t="shared" si="274"/>
        <v>196504</v>
      </c>
      <c r="Y814" s="17">
        <v>171029</v>
      </c>
      <c r="Z814" s="17">
        <v>25475</v>
      </c>
      <c r="AA814" s="19">
        <f t="shared" si="275"/>
        <v>124620</v>
      </c>
      <c r="AB814" s="17">
        <v>2324237</v>
      </c>
      <c r="AC814" s="27">
        <v>38.093000000000004</v>
      </c>
      <c r="AD814" s="27">
        <v>38.204999999999998</v>
      </c>
      <c r="AE814" s="22">
        <f t="shared" si="276"/>
        <v>60835.937704488941</v>
      </c>
      <c r="AF814" s="23">
        <f t="shared" si="277"/>
        <v>0</v>
      </c>
      <c r="AG814" s="23">
        <f t="shared" si="278"/>
        <v>0</v>
      </c>
      <c r="AH814" s="17">
        <v>2086918.8904830201</v>
      </c>
      <c r="AI814" s="24">
        <f t="shared" si="279"/>
        <v>0.89789418655800601</v>
      </c>
      <c r="AJ814" s="25">
        <v>392437158.46994501</v>
      </c>
      <c r="AK814" s="24">
        <f t="shared" si="280"/>
        <v>2.3927277171638041E-2</v>
      </c>
      <c r="AL814" s="22">
        <f t="shared" si="281"/>
        <v>25725.897707288808</v>
      </c>
      <c r="AM814" s="22">
        <f t="shared" si="282"/>
        <v>60835.937704488941</v>
      </c>
      <c r="AN814" s="22">
        <f t="shared" si="283"/>
        <v>-35110.039997200132</v>
      </c>
      <c r="AO814" s="26" t="str">
        <f t="shared" si="284"/>
        <v/>
      </c>
      <c r="AP814" s="26" t="str">
        <f t="shared" si="285"/>
        <v>pre-launch</v>
      </c>
      <c r="AQ814" s="18"/>
      <c r="AR814" s="18"/>
    </row>
    <row r="815" spans="1:44" x14ac:dyDescent="0.25">
      <c r="A815" s="43">
        <v>45876</v>
      </c>
      <c r="B815" s="17">
        <v>10373151278.32</v>
      </c>
      <c r="C815" s="17">
        <v>0</v>
      </c>
      <c r="D815" s="17">
        <v>296746289</v>
      </c>
      <c r="E815" s="19">
        <f t="shared" si="264"/>
        <v>10373151278.32</v>
      </c>
      <c r="F815" s="19">
        <f t="shared" si="265"/>
        <v>10669897567.32</v>
      </c>
      <c r="G815" s="20">
        <f t="shared" si="266"/>
        <v>0</v>
      </c>
      <c r="H815" s="17">
        <v>3413306</v>
      </c>
      <c r="I815" s="17">
        <v>115340</v>
      </c>
      <c r="J815" s="17">
        <v>101009</v>
      </c>
      <c r="K815" s="19">
        <f t="shared" si="267"/>
        <v>3528646</v>
      </c>
      <c r="L815" s="18"/>
      <c r="M815" s="18"/>
      <c r="N815" s="18"/>
      <c r="O815" s="19">
        <f t="shared" si="268"/>
        <v>3413306</v>
      </c>
      <c r="P815" s="21">
        <f t="shared" si="269"/>
        <v>3.290519831841118</v>
      </c>
      <c r="Q815" s="17">
        <v>3180565</v>
      </c>
      <c r="R815" s="17">
        <v>85404</v>
      </c>
      <c r="S815" s="19">
        <f t="shared" si="270"/>
        <v>3265969</v>
      </c>
      <c r="T815" s="20">
        <f t="shared" si="271"/>
        <v>0.03</v>
      </c>
      <c r="U815" s="19">
        <f t="shared" si="272"/>
        <v>101009.35051546391</v>
      </c>
      <c r="V815" s="17">
        <v>101009</v>
      </c>
      <c r="W815" s="19">
        <f t="shared" si="273"/>
        <v>0.35051546391332522</v>
      </c>
      <c r="X815" s="19">
        <f t="shared" si="274"/>
        <v>262679</v>
      </c>
      <c r="Y815" s="17">
        <v>232742</v>
      </c>
      <c r="Z815" s="17">
        <v>29937</v>
      </c>
      <c r="AA815" s="19">
        <f t="shared" si="275"/>
        <v>161670</v>
      </c>
      <c r="AB815" s="17">
        <v>3265969</v>
      </c>
      <c r="AC815" s="27">
        <v>40.921999999999997</v>
      </c>
      <c r="AD815" s="27">
        <v>39.414000000000001</v>
      </c>
      <c r="AE815" s="22">
        <f t="shared" si="276"/>
        <v>82863.17044704927</v>
      </c>
      <c r="AF815" s="23">
        <f t="shared" si="277"/>
        <v>-2</v>
      </c>
      <c r="AG815" s="23">
        <f t="shared" si="278"/>
        <v>0</v>
      </c>
      <c r="AH815" s="17">
        <v>2908493.5243109502</v>
      </c>
      <c r="AI815" s="24">
        <f t="shared" si="279"/>
        <v>0.89054535554714398</v>
      </c>
      <c r="AJ815" s="25">
        <v>392573770.49180299</v>
      </c>
      <c r="AK815" s="24">
        <f t="shared" si="280"/>
        <v>2.3923113574397012E-2</v>
      </c>
      <c r="AL815" s="22">
        <f t="shared" si="281"/>
        <v>25730.37506247855</v>
      </c>
      <c r="AM815" s="22">
        <f t="shared" si="282"/>
        <v>82863.17044704927</v>
      </c>
      <c r="AN815" s="22">
        <f t="shared" si="283"/>
        <v>-57132.795384570723</v>
      </c>
      <c r="AO815" s="26" t="str">
        <f t="shared" si="284"/>
        <v/>
      </c>
      <c r="AP815" s="26" t="str">
        <f t="shared" si="285"/>
        <v>pre-launch</v>
      </c>
      <c r="AQ815" s="18"/>
      <c r="AR815" s="18"/>
    </row>
    <row r="816" spans="1:44" x14ac:dyDescent="0.25">
      <c r="A816" s="43">
        <v>45877</v>
      </c>
      <c r="B816" s="17">
        <v>11308035796.91</v>
      </c>
      <c r="C816" s="17">
        <v>0</v>
      </c>
      <c r="D816" s="17">
        <v>263816934</v>
      </c>
      <c r="E816" s="19">
        <f t="shared" si="264"/>
        <v>11308035796.91</v>
      </c>
      <c r="F816" s="19">
        <f t="shared" si="265"/>
        <v>11571852730.91</v>
      </c>
      <c r="G816" s="20">
        <f t="shared" si="266"/>
        <v>0</v>
      </c>
      <c r="H816" s="17">
        <v>3546602</v>
      </c>
      <c r="I816" s="17">
        <v>116628</v>
      </c>
      <c r="J816" s="17">
        <v>104673</v>
      </c>
      <c r="K816" s="19">
        <f t="shared" si="267"/>
        <v>3663230</v>
      </c>
      <c r="L816" s="18"/>
      <c r="M816" s="18"/>
      <c r="N816" s="18"/>
      <c r="O816" s="19">
        <f t="shared" si="268"/>
        <v>3546602</v>
      </c>
      <c r="P816" s="21">
        <f t="shared" si="269"/>
        <v>3.1363554764914467</v>
      </c>
      <c r="Q816" s="17">
        <v>3301767</v>
      </c>
      <c r="R816" s="17">
        <v>82659</v>
      </c>
      <c r="S816" s="19">
        <f t="shared" si="270"/>
        <v>3384426</v>
      </c>
      <c r="T816" s="20">
        <f t="shared" si="271"/>
        <v>0.03</v>
      </c>
      <c r="U816" s="19">
        <f t="shared" si="272"/>
        <v>104672.96907216495</v>
      </c>
      <c r="V816" s="17">
        <v>104673</v>
      </c>
      <c r="W816" s="19">
        <f t="shared" si="273"/>
        <v>-3.092783504689578E-2</v>
      </c>
      <c r="X816" s="19">
        <f t="shared" si="274"/>
        <v>278804</v>
      </c>
      <c r="Y816" s="17">
        <v>244835</v>
      </c>
      <c r="Z816" s="17">
        <v>33969</v>
      </c>
      <c r="AA816" s="19">
        <f t="shared" si="275"/>
        <v>174131</v>
      </c>
      <c r="AB816" s="17">
        <v>3384426</v>
      </c>
      <c r="AC816" s="27">
        <v>41.000999999999998</v>
      </c>
      <c r="AD816" s="27">
        <v>40.964500000000001</v>
      </c>
      <c r="AE816" s="22">
        <f t="shared" si="276"/>
        <v>82618.511149898084</v>
      </c>
      <c r="AF816" s="23">
        <f t="shared" si="277"/>
        <v>0</v>
      </c>
      <c r="AG816" s="23">
        <f t="shared" si="278"/>
        <v>0</v>
      </c>
      <c r="AH816" s="17">
        <v>3002000.9865729799</v>
      </c>
      <c r="AI816" s="24">
        <f t="shared" si="279"/>
        <v>0.88700446887388884</v>
      </c>
      <c r="AJ816" s="25">
        <v>392710382.51366103</v>
      </c>
      <c r="AK816" s="24">
        <f t="shared" si="280"/>
        <v>2.3918952149928622E-2</v>
      </c>
      <c r="AL816" s="22">
        <f t="shared" si="281"/>
        <v>25734.851638697051</v>
      </c>
      <c r="AM816" s="22">
        <f t="shared" si="282"/>
        <v>82618.511149898084</v>
      </c>
      <c r="AN816" s="22">
        <f t="shared" si="283"/>
        <v>-56883.659511201033</v>
      </c>
      <c r="AO816" s="26" t="str">
        <f t="shared" si="284"/>
        <v/>
      </c>
      <c r="AP816" s="26" t="str">
        <f t="shared" si="285"/>
        <v>pre-launch</v>
      </c>
      <c r="AQ816" s="18"/>
      <c r="AR816" s="18"/>
    </row>
    <row r="817" spans="1:44" x14ac:dyDescent="0.25">
      <c r="A817" s="43">
        <v>45878</v>
      </c>
      <c r="B817" s="17">
        <v>10137348599.57</v>
      </c>
      <c r="C817" s="17">
        <v>0</v>
      </c>
      <c r="D817" s="17">
        <v>340639673</v>
      </c>
      <c r="E817" s="19">
        <f t="shared" si="264"/>
        <v>10137348599.57</v>
      </c>
      <c r="F817" s="19">
        <f t="shared" si="265"/>
        <v>10477988272.57</v>
      </c>
      <c r="G817" s="20">
        <f t="shared" si="266"/>
        <v>0</v>
      </c>
      <c r="H817" s="17">
        <v>3444570</v>
      </c>
      <c r="I817" s="17">
        <v>148257</v>
      </c>
      <c r="J817" s="17">
        <v>101487</v>
      </c>
      <c r="K817" s="19">
        <f t="shared" si="267"/>
        <v>3592827</v>
      </c>
      <c r="L817" s="18"/>
      <c r="M817" s="18"/>
      <c r="N817" s="18"/>
      <c r="O817" s="19">
        <f t="shared" si="268"/>
        <v>3444570</v>
      </c>
      <c r="P817" s="21">
        <f t="shared" si="269"/>
        <v>3.3979003150252813</v>
      </c>
      <c r="Q817" s="17">
        <v>3174216</v>
      </c>
      <c r="R817" s="17">
        <v>107206</v>
      </c>
      <c r="S817" s="19">
        <f t="shared" si="270"/>
        <v>3281422</v>
      </c>
      <c r="T817" s="20">
        <f t="shared" si="271"/>
        <v>0.03</v>
      </c>
      <c r="U817" s="19">
        <f t="shared" si="272"/>
        <v>101487.27835051547</v>
      </c>
      <c r="V817" s="17">
        <v>101487</v>
      </c>
      <c r="W817" s="19">
        <f t="shared" si="273"/>
        <v>0.27835051546571776</v>
      </c>
      <c r="X817" s="19">
        <f t="shared" si="274"/>
        <v>311405</v>
      </c>
      <c r="Y817" s="17">
        <v>270354</v>
      </c>
      <c r="Z817" s="17">
        <v>41051</v>
      </c>
      <c r="AA817" s="19">
        <f t="shared" si="275"/>
        <v>209918</v>
      </c>
      <c r="AB817" s="17">
        <v>3281422</v>
      </c>
      <c r="AC817" s="27">
        <v>43.649000000000001</v>
      </c>
      <c r="AD817" s="27">
        <v>42.494250000000001</v>
      </c>
      <c r="AE817" s="22">
        <f t="shared" si="276"/>
        <v>77220.376874518319</v>
      </c>
      <c r="AF817" s="23">
        <f t="shared" si="277"/>
        <v>0</v>
      </c>
      <c r="AG817" s="23">
        <f t="shared" si="278"/>
        <v>0</v>
      </c>
      <c r="AH817" s="17">
        <v>3007659.3815300502</v>
      </c>
      <c r="AI817" s="24">
        <f t="shared" si="279"/>
        <v>0.91657195616109421</v>
      </c>
      <c r="AJ817" s="25">
        <v>392846994.535519</v>
      </c>
      <c r="AK817" s="24">
        <f t="shared" si="280"/>
        <v>2.3914792896343753E-2</v>
      </c>
      <c r="AL817" s="22">
        <f t="shared" si="281"/>
        <v>25739.327436350752</v>
      </c>
      <c r="AM817" s="22">
        <f t="shared" si="282"/>
        <v>77220.376874518319</v>
      </c>
      <c r="AN817" s="22">
        <f t="shared" si="283"/>
        <v>-51481.049438167567</v>
      </c>
      <c r="AO817" s="26" t="str">
        <f t="shared" si="284"/>
        <v/>
      </c>
      <c r="AP817" s="26" t="str">
        <f t="shared" si="285"/>
        <v>pre-launch</v>
      </c>
      <c r="AQ817" s="18"/>
      <c r="AR817" s="18"/>
    </row>
    <row r="818" spans="1:44" x14ac:dyDescent="0.25">
      <c r="A818" s="43">
        <v>45879</v>
      </c>
      <c r="B818" s="17">
        <v>9805998920.3400002</v>
      </c>
      <c r="C818" s="17">
        <v>0</v>
      </c>
      <c r="D818" s="17">
        <v>243820189</v>
      </c>
      <c r="E818" s="19">
        <f t="shared" si="264"/>
        <v>9805998920.3400002</v>
      </c>
      <c r="F818" s="19">
        <f t="shared" si="265"/>
        <v>10049819109.34</v>
      </c>
      <c r="G818" s="20">
        <f t="shared" si="266"/>
        <v>0</v>
      </c>
      <c r="H818" s="17">
        <v>3161602</v>
      </c>
      <c r="I818" s="17">
        <v>121824</v>
      </c>
      <c r="J818" s="17">
        <v>91972</v>
      </c>
      <c r="K818" s="19">
        <f t="shared" si="267"/>
        <v>3283426</v>
      </c>
      <c r="L818" s="18"/>
      <c r="M818" s="18"/>
      <c r="N818" s="18"/>
      <c r="O818" s="19">
        <f t="shared" si="268"/>
        <v>3161602</v>
      </c>
      <c r="P818" s="21">
        <f t="shared" si="269"/>
        <v>3.2241508750751313</v>
      </c>
      <c r="Q818" s="17">
        <v>2887513</v>
      </c>
      <c r="R818" s="17">
        <v>86249</v>
      </c>
      <c r="S818" s="19">
        <f t="shared" si="270"/>
        <v>2973762</v>
      </c>
      <c r="T818" s="20">
        <f t="shared" si="271"/>
        <v>0.03</v>
      </c>
      <c r="U818" s="19">
        <f t="shared" si="272"/>
        <v>91972.020618556708</v>
      </c>
      <c r="V818" s="17">
        <v>91972</v>
      </c>
      <c r="W818" s="19">
        <f t="shared" si="273"/>
        <v>2.0618556707631797E-2</v>
      </c>
      <c r="X818" s="19">
        <f t="shared" si="274"/>
        <v>309664</v>
      </c>
      <c r="Y818" s="17">
        <v>274089</v>
      </c>
      <c r="Z818" s="17">
        <v>35575</v>
      </c>
      <c r="AA818" s="19">
        <f t="shared" si="275"/>
        <v>217692</v>
      </c>
      <c r="AB818" s="17">
        <v>2973762</v>
      </c>
      <c r="AC818" s="27">
        <v>45.262</v>
      </c>
      <c r="AD818" s="27">
        <v>44.315249999999999</v>
      </c>
      <c r="AE818" s="22">
        <f t="shared" si="276"/>
        <v>67104.710003892571</v>
      </c>
      <c r="AF818" s="23">
        <f t="shared" si="277"/>
        <v>0</v>
      </c>
      <c r="AG818" s="23">
        <f t="shared" si="278"/>
        <v>0</v>
      </c>
      <c r="AH818" s="17">
        <v>2748937.6600370398</v>
      </c>
      <c r="AI818" s="24">
        <f t="shared" si="279"/>
        <v>0.92439733241498134</v>
      </c>
      <c r="AJ818" s="25">
        <v>392983606.55737698</v>
      </c>
      <c r="AK818" s="24">
        <f t="shared" si="280"/>
        <v>2.3910635811755603E-2</v>
      </c>
      <c r="AL818" s="22">
        <f t="shared" si="281"/>
        <v>25743.802455845729</v>
      </c>
      <c r="AM818" s="22">
        <f t="shared" si="282"/>
        <v>67104.710003892571</v>
      </c>
      <c r="AN818" s="22">
        <f t="shared" si="283"/>
        <v>-41360.907548046845</v>
      </c>
      <c r="AO818" s="26" t="str">
        <f t="shared" si="284"/>
        <v/>
      </c>
      <c r="AP818" s="26" t="str">
        <f t="shared" si="285"/>
        <v>pre-launch</v>
      </c>
      <c r="AQ818" s="18"/>
      <c r="AR818" s="18"/>
    </row>
    <row r="819" spans="1:44" x14ac:dyDescent="0.25">
      <c r="A819" s="43">
        <v>45880</v>
      </c>
      <c r="B819" s="17">
        <v>16607625784.389999</v>
      </c>
      <c r="C819" s="17">
        <v>0</v>
      </c>
      <c r="D819" s="17">
        <v>424455183</v>
      </c>
      <c r="E819" s="19">
        <f t="shared" si="264"/>
        <v>16607625784.389999</v>
      </c>
      <c r="F819" s="19">
        <f t="shared" si="265"/>
        <v>17032080967.389999</v>
      </c>
      <c r="G819" s="20">
        <f t="shared" si="266"/>
        <v>0</v>
      </c>
      <c r="H819" s="17">
        <v>5447443</v>
      </c>
      <c r="I819" s="17">
        <v>199959</v>
      </c>
      <c r="J819" s="17">
        <v>160384</v>
      </c>
      <c r="K819" s="19">
        <f t="shared" si="267"/>
        <v>5647402</v>
      </c>
      <c r="L819" s="18"/>
      <c r="M819" s="18"/>
      <c r="N819" s="18"/>
      <c r="O819" s="19">
        <f t="shared" si="268"/>
        <v>5447443</v>
      </c>
      <c r="P819" s="21">
        <f t="shared" si="269"/>
        <v>3.2800853479732264</v>
      </c>
      <c r="Q819" s="17">
        <v>5038982</v>
      </c>
      <c r="R819" s="17">
        <v>146784</v>
      </c>
      <c r="S819" s="19">
        <f t="shared" si="270"/>
        <v>5185766</v>
      </c>
      <c r="T819" s="20">
        <f t="shared" si="271"/>
        <v>0.03</v>
      </c>
      <c r="U819" s="19">
        <f t="shared" si="272"/>
        <v>160384.51546391752</v>
      </c>
      <c r="V819" s="17">
        <v>160384</v>
      </c>
      <c r="W819" s="19">
        <f t="shared" si="273"/>
        <v>0.51546391751617193</v>
      </c>
      <c r="X819" s="19">
        <f t="shared" si="274"/>
        <v>461636</v>
      </c>
      <c r="Y819" s="17">
        <v>408461</v>
      </c>
      <c r="Z819" s="17">
        <v>53175</v>
      </c>
      <c r="AA819" s="19">
        <f t="shared" si="275"/>
        <v>301252</v>
      </c>
      <c r="AB819" s="17">
        <v>5185766</v>
      </c>
      <c r="AC819" s="27">
        <v>43.197000000000003</v>
      </c>
      <c r="AD819" s="27">
        <v>44.456000000000003</v>
      </c>
      <c r="AE819" s="22">
        <f t="shared" si="276"/>
        <v>116649.40615439985</v>
      </c>
      <c r="AF819" s="23">
        <f t="shared" si="277"/>
        <v>0</v>
      </c>
      <c r="AG819" s="23">
        <f t="shared" si="278"/>
        <v>0</v>
      </c>
      <c r="AH819" s="17">
        <v>4653401.941203</v>
      </c>
      <c r="AI819" s="24">
        <f t="shared" si="279"/>
        <v>0.89734128790288648</v>
      </c>
      <c r="AJ819" s="25">
        <v>393120218.57923502</v>
      </c>
      <c r="AK819" s="24">
        <f t="shared" si="280"/>
        <v>2.3906480894279648E-2</v>
      </c>
      <c r="AL819" s="22">
        <f t="shared" si="281"/>
        <v>25748.276697587728</v>
      </c>
      <c r="AM819" s="22">
        <f t="shared" si="282"/>
        <v>116649.40615439985</v>
      </c>
      <c r="AN819" s="22">
        <f t="shared" si="283"/>
        <v>-90901.129456812123</v>
      </c>
      <c r="AO819" s="26" t="str">
        <f t="shared" si="284"/>
        <v/>
      </c>
      <c r="AP819" s="26" t="str">
        <f t="shared" si="285"/>
        <v>pre-launch</v>
      </c>
      <c r="AQ819" s="18"/>
      <c r="AR819" s="18"/>
    </row>
    <row r="820" spans="1:44" x14ac:dyDescent="0.25">
      <c r="A820" s="43">
        <v>45881</v>
      </c>
      <c r="B820" s="17">
        <v>16065474194.33</v>
      </c>
      <c r="C820" s="17">
        <v>0</v>
      </c>
      <c r="D820" s="17">
        <v>460996255</v>
      </c>
      <c r="E820" s="19">
        <f t="shared" si="264"/>
        <v>16065474194.33</v>
      </c>
      <c r="F820" s="19">
        <f t="shared" si="265"/>
        <v>16526470449.33</v>
      </c>
      <c r="G820" s="20">
        <f t="shared" si="266"/>
        <v>0</v>
      </c>
      <c r="H820" s="17">
        <v>5387523</v>
      </c>
      <c r="I820" s="17">
        <v>233886</v>
      </c>
      <c r="J820" s="17">
        <v>158475</v>
      </c>
      <c r="K820" s="19">
        <f t="shared" si="267"/>
        <v>5621409</v>
      </c>
      <c r="L820" s="18"/>
      <c r="M820" s="18"/>
      <c r="N820" s="18"/>
      <c r="O820" s="19">
        <f t="shared" si="268"/>
        <v>5387523</v>
      </c>
      <c r="P820" s="21">
        <f t="shared" si="269"/>
        <v>3.3534789791025417</v>
      </c>
      <c r="Q820" s="17">
        <v>4957134</v>
      </c>
      <c r="R820" s="17">
        <v>166903</v>
      </c>
      <c r="S820" s="19">
        <f t="shared" si="270"/>
        <v>5124037</v>
      </c>
      <c r="T820" s="20">
        <f t="shared" si="271"/>
        <v>0.03</v>
      </c>
      <c r="U820" s="19">
        <f t="shared" si="272"/>
        <v>158475.37113402062</v>
      </c>
      <c r="V820" s="17">
        <v>158475</v>
      </c>
      <c r="W820" s="19">
        <f t="shared" si="273"/>
        <v>0.37113402062095702</v>
      </c>
      <c r="X820" s="19">
        <f t="shared" si="274"/>
        <v>497371</v>
      </c>
      <c r="Y820" s="17">
        <v>430388</v>
      </c>
      <c r="Z820" s="17">
        <v>66983</v>
      </c>
      <c r="AA820" s="19">
        <f t="shared" si="275"/>
        <v>338896</v>
      </c>
      <c r="AB820" s="17">
        <v>5124037</v>
      </c>
      <c r="AC820" s="27">
        <v>44.75</v>
      </c>
      <c r="AD820" s="27">
        <v>44.0045</v>
      </c>
      <c r="AE820" s="22">
        <f t="shared" si="276"/>
        <v>116443.47737163244</v>
      </c>
      <c r="AF820" s="23">
        <f t="shared" si="277"/>
        <v>1</v>
      </c>
      <c r="AG820" s="23">
        <f t="shared" si="278"/>
        <v>0</v>
      </c>
      <c r="AH820" s="17">
        <v>4605139.7545499802</v>
      </c>
      <c r="AI820" s="24">
        <f t="shared" si="279"/>
        <v>0.89873272861807596</v>
      </c>
      <c r="AJ820" s="25">
        <v>393256830.60109299</v>
      </c>
      <c r="AK820" s="24">
        <f t="shared" si="280"/>
        <v>2.390232814203366E-2</v>
      </c>
      <c r="AL820" s="22">
        <f t="shared" si="281"/>
        <v>25752.750161982109</v>
      </c>
      <c r="AM820" s="22">
        <f t="shared" si="282"/>
        <v>116443.47737163244</v>
      </c>
      <c r="AN820" s="22">
        <f t="shared" si="283"/>
        <v>-90690.727209650329</v>
      </c>
      <c r="AO820" s="26" t="str">
        <f t="shared" si="284"/>
        <v/>
      </c>
      <c r="AP820" s="26" t="str">
        <f t="shared" si="285"/>
        <v>pre-launch</v>
      </c>
      <c r="AQ820" s="18"/>
      <c r="AR820" s="18"/>
    </row>
    <row r="821" spans="1:44" x14ac:dyDescent="0.25">
      <c r="A821" s="43">
        <v>45882</v>
      </c>
      <c r="B821" s="17">
        <v>19919714584.669998</v>
      </c>
      <c r="C821" s="17">
        <v>0</v>
      </c>
      <c r="D821" s="17">
        <v>682784480</v>
      </c>
      <c r="E821" s="19">
        <f t="shared" si="264"/>
        <v>19919714584.669998</v>
      </c>
      <c r="F821" s="19">
        <f t="shared" si="265"/>
        <v>20602499064.669998</v>
      </c>
      <c r="G821" s="20">
        <f t="shared" si="266"/>
        <v>0</v>
      </c>
      <c r="H821" s="17">
        <v>6609729</v>
      </c>
      <c r="I821" s="17">
        <v>335687</v>
      </c>
      <c r="J821" s="17">
        <v>194393</v>
      </c>
      <c r="K821" s="19">
        <f t="shared" si="267"/>
        <v>6945416</v>
      </c>
      <c r="L821" s="18"/>
      <c r="M821" s="18"/>
      <c r="N821" s="18"/>
      <c r="O821" s="19">
        <f t="shared" si="268"/>
        <v>6609729</v>
      </c>
      <c r="P821" s="21">
        <f t="shared" si="269"/>
        <v>3.3181845914031203</v>
      </c>
      <c r="Q821" s="17">
        <v>6042093</v>
      </c>
      <c r="R821" s="17">
        <v>243291</v>
      </c>
      <c r="S821" s="19">
        <f t="shared" si="270"/>
        <v>6285384</v>
      </c>
      <c r="T821" s="20">
        <f t="shared" si="271"/>
        <v>0.03</v>
      </c>
      <c r="U821" s="19">
        <f t="shared" si="272"/>
        <v>194393.31958762885</v>
      </c>
      <c r="V821" s="17">
        <v>194393</v>
      </c>
      <c r="W821" s="19">
        <f t="shared" si="273"/>
        <v>0.31958762885187753</v>
      </c>
      <c r="X821" s="19">
        <f t="shared" si="274"/>
        <v>660031</v>
      </c>
      <c r="Y821" s="17">
        <v>567636</v>
      </c>
      <c r="Z821" s="17">
        <v>92395</v>
      </c>
      <c r="AA821" s="19">
        <f t="shared" si="275"/>
        <v>465638</v>
      </c>
      <c r="AB821" s="17">
        <v>6285384</v>
      </c>
      <c r="AC821" s="27">
        <v>47.645000000000003</v>
      </c>
      <c r="AD821" s="27">
        <v>45.860750000000003</v>
      </c>
      <c r="AE821" s="22">
        <f t="shared" si="276"/>
        <v>137053.66789683988</v>
      </c>
      <c r="AF821" s="23">
        <f t="shared" si="277"/>
        <v>1</v>
      </c>
      <c r="AG821" s="23">
        <f t="shared" si="278"/>
        <v>0</v>
      </c>
      <c r="AH821" s="17">
        <v>5555383.6672999896</v>
      </c>
      <c r="AI821" s="24">
        <f t="shared" si="279"/>
        <v>0.88385748067261916</v>
      </c>
      <c r="AJ821" s="25">
        <v>393393442.62295097</v>
      </c>
      <c r="AK821" s="24">
        <f t="shared" si="280"/>
        <v>2.3898177553137709E-2</v>
      </c>
      <c r="AL821" s="22">
        <f t="shared" si="281"/>
        <v>25757.2228494339</v>
      </c>
      <c r="AM821" s="22">
        <f t="shared" si="282"/>
        <v>137053.66789683988</v>
      </c>
      <c r="AN821" s="22">
        <f t="shared" si="283"/>
        <v>-111296.44504740598</v>
      </c>
      <c r="AO821" s="26" t="str">
        <f t="shared" si="284"/>
        <v/>
      </c>
      <c r="AP821" s="26" t="str">
        <f t="shared" si="285"/>
        <v>pre-launch</v>
      </c>
      <c r="AQ821" s="18"/>
      <c r="AR821" s="18"/>
    </row>
    <row r="822" spans="1:44" x14ac:dyDescent="0.25">
      <c r="A822" s="43">
        <v>45883</v>
      </c>
      <c r="B822" s="17">
        <v>27376439345.650002</v>
      </c>
      <c r="C822" s="17">
        <v>0</v>
      </c>
      <c r="D822" s="17">
        <v>709107017</v>
      </c>
      <c r="E822" s="19">
        <f t="shared" si="264"/>
        <v>27376439345.650002</v>
      </c>
      <c r="F822" s="19">
        <f t="shared" si="265"/>
        <v>28085546362.650002</v>
      </c>
      <c r="G822" s="20">
        <f t="shared" si="266"/>
        <v>0</v>
      </c>
      <c r="H822" s="17">
        <v>8956335</v>
      </c>
      <c r="I822" s="17">
        <v>352410</v>
      </c>
      <c r="J822" s="17">
        <v>263301</v>
      </c>
      <c r="K822" s="19">
        <f t="shared" si="267"/>
        <v>9308745</v>
      </c>
      <c r="L822" s="18"/>
      <c r="M822" s="18"/>
      <c r="N822" s="18"/>
      <c r="O822" s="19">
        <f t="shared" si="268"/>
        <v>8956335</v>
      </c>
      <c r="P822" s="21">
        <f t="shared" si="269"/>
        <v>3.2715485337296513</v>
      </c>
      <c r="Q822" s="17">
        <v>8254523</v>
      </c>
      <c r="R822" s="17">
        <v>258882</v>
      </c>
      <c r="S822" s="19">
        <f t="shared" si="270"/>
        <v>8513405</v>
      </c>
      <c r="T822" s="20">
        <f t="shared" si="271"/>
        <v>0.03</v>
      </c>
      <c r="U822" s="19">
        <f t="shared" si="272"/>
        <v>263301.18556701031</v>
      </c>
      <c r="V822" s="17">
        <v>263301</v>
      </c>
      <c r="W822" s="19">
        <f t="shared" si="273"/>
        <v>0.18556701031047851</v>
      </c>
      <c r="X822" s="19">
        <f t="shared" si="274"/>
        <v>795340</v>
      </c>
      <c r="Y822" s="17">
        <v>701812</v>
      </c>
      <c r="Z822" s="17">
        <v>93528</v>
      </c>
      <c r="AA822" s="19">
        <f t="shared" si="275"/>
        <v>532039</v>
      </c>
      <c r="AB822" s="17">
        <v>8513405</v>
      </c>
      <c r="AC822" s="27">
        <v>45.543999999999997</v>
      </c>
      <c r="AD822" s="27">
        <v>46.527999999999999</v>
      </c>
      <c r="AE822" s="22">
        <f t="shared" si="276"/>
        <v>182973.8007221458</v>
      </c>
      <c r="AF822" s="23">
        <f t="shared" si="277"/>
        <v>0</v>
      </c>
      <c r="AG822" s="23">
        <f t="shared" si="278"/>
        <v>0</v>
      </c>
      <c r="AH822" s="17">
        <v>7484012.5876219301</v>
      </c>
      <c r="AI822" s="24">
        <f t="shared" si="279"/>
        <v>0.87908569927331426</v>
      </c>
      <c r="AJ822" s="25">
        <v>393530054.64480901</v>
      </c>
      <c r="AK822" s="24">
        <f t="shared" si="280"/>
        <v>2.3894029125714131E-2</v>
      </c>
      <c r="AL822" s="22">
        <f t="shared" si="281"/>
        <v>25761.694760347782</v>
      </c>
      <c r="AM822" s="22">
        <f t="shared" si="282"/>
        <v>182973.8007221458</v>
      </c>
      <c r="AN822" s="22">
        <f t="shared" si="283"/>
        <v>-157212.10596179802</v>
      </c>
      <c r="AO822" s="26" t="str">
        <f t="shared" si="284"/>
        <v/>
      </c>
      <c r="AP822" s="26" t="str">
        <f t="shared" si="285"/>
        <v>pre-launch</v>
      </c>
      <c r="AQ822" s="18"/>
      <c r="AR822" s="18"/>
    </row>
    <row r="823" spans="1:44" x14ac:dyDescent="0.25">
      <c r="A823" s="43">
        <v>45884</v>
      </c>
      <c r="B823" s="17">
        <v>13585090718.690001</v>
      </c>
      <c r="C823" s="17">
        <v>0</v>
      </c>
      <c r="D823" s="17">
        <v>544810036</v>
      </c>
      <c r="E823" s="19">
        <f t="shared" si="264"/>
        <v>13585090718.690001</v>
      </c>
      <c r="F823" s="19">
        <f t="shared" si="265"/>
        <v>14129900754.690001</v>
      </c>
      <c r="G823" s="20">
        <f t="shared" si="266"/>
        <v>0</v>
      </c>
      <c r="H823" s="17">
        <v>4660027</v>
      </c>
      <c r="I823" s="17">
        <v>277797</v>
      </c>
      <c r="J823" s="17">
        <v>137467</v>
      </c>
      <c r="K823" s="19">
        <f t="shared" si="267"/>
        <v>4937824</v>
      </c>
      <c r="L823" s="18"/>
      <c r="M823" s="18"/>
      <c r="N823" s="18"/>
      <c r="O823" s="19">
        <f t="shared" si="268"/>
        <v>4660027</v>
      </c>
      <c r="P823" s="21">
        <f t="shared" si="269"/>
        <v>3.4302509247059065</v>
      </c>
      <c r="Q823" s="17">
        <v>4231064</v>
      </c>
      <c r="R823" s="17">
        <v>213695</v>
      </c>
      <c r="S823" s="19">
        <f t="shared" si="270"/>
        <v>4444759</v>
      </c>
      <c r="T823" s="20">
        <f t="shared" si="271"/>
        <v>0.03</v>
      </c>
      <c r="U823" s="19">
        <f t="shared" si="272"/>
        <v>137466.77319587627</v>
      </c>
      <c r="V823" s="17">
        <v>137467</v>
      </c>
      <c r="W823" s="19">
        <f t="shared" si="273"/>
        <v>-0.2268041237257421</v>
      </c>
      <c r="X823" s="19">
        <f t="shared" si="274"/>
        <v>493065</v>
      </c>
      <c r="Y823" s="17">
        <v>428963</v>
      </c>
      <c r="Z823" s="17">
        <v>64102</v>
      </c>
      <c r="AA823" s="19">
        <f t="shared" si="275"/>
        <v>355598</v>
      </c>
      <c r="AB823" s="17">
        <v>4444759</v>
      </c>
      <c r="AC823" s="27">
        <v>47.793999999999997</v>
      </c>
      <c r="AD823" s="27">
        <v>47.051749999999998</v>
      </c>
      <c r="AE823" s="22">
        <f t="shared" si="276"/>
        <v>94465.328069625466</v>
      </c>
      <c r="AF823" s="23">
        <f t="shared" si="277"/>
        <v>0</v>
      </c>
      <c r="AG823" s="23">
        <f t="shared" si="278"/>
        <v>0</v>
      </c>
      <c r="AH823" s="17">
        <v>3807397.9997960301</v>
      </c>
      <c r="AI823" s="24">
        <f t="shared" si="279"/>
        <v>0.85660392381139905</v>
      </c>
      <c r="AJ823" s="25">
        <v>393666666.66666698</v>
      </c>
      <c r="AK823" s="24">
        <f t="shared" si="280"/>
        <v>2.3889882857887554E-2</v>
      </c>
      <c r="AL823" s="22">
        <f t="shared" si="281"/>
        <v>25766.165895128055</v>
      </c>
      <c r="AM823" s="22">
        <f t="shared" si="282"/>
        <v>94465.328069625466</v>
      </c>
      <c r="AN823" s="22">
        <f t="shared" si="283"/>
        <v>-68699.162174497411</v>
      </c>
      <c r="AO823" s="26" t="str">
        <f t="shared" si="284"/>
        <v/>
      </c>
      <c r="AP823" s="26" t="str">
        <f t="shared" si="285"/>
        <v>pre-launch</v>
      </c>
      <c r="AQ823" s="18"/>
      <c r="AR823" s="18"/>
    </row>
    <row r="824" spans="1:44" x14ac:dyDescent="0.25">
      <c r="A824" s="43">
        <v>45885</v>
      </c>
      <c r="B824" s="17">
        <v>4928430305.3000002</v>
      </c>
      <c r="C824" s="17">
        <v>0</v>
      </c>
      <c r="D824" s="17">
        <v>193367292</v>
      </c>
      <c r="E824" s="19">
        <f t="shared" si="264"/>
        <v>4928430305.3000002</v>
      </c>
      <c r="F824" s="19">
        <f t="shared" si="265"/>
        <v>5121797597.3000002</v>
      </c>
      <c r="G824" s="20">
        <f t="shared" si="266"/>
        <v>0</v>
      </c>
      <c r="H824" s="17">
        <v>1720255</v>
      </c>
      <c r="I824" s="17">
        <v>119204</v>
      </c>
      <c r="J824" s="17">
        <v>50929</v>
      </c>
      <c r="K824" s="19">
        <f t="shared" si="267"/>
        <v>1839459</v>
      </c>
      <c r="L824" s="18"/>
      <c r="M824" s="18"/>
      <c r="N824" s="18"/>
      <c r="O824" s="19">
        <f t="shared" si="268"/>
        <v>1720255</v>
      </c>
      <c r="P824" s="21">
        <f t="shared" si="269"/>
        <v>3.4904724089332251</v>
      </c>
      <c r="Q824" s="17">
        <v>1559072</v>
      </c>
      <c r="R824" s="17">
        <v>87617</v>
      </c>
      <c r="S824" s="19">
        <f t="shared" si="270"/>
        <v>1646689</v>
      </c>
      <c r="T824" s="20">
        <f t="shared" si="271"/>
        <v>0.03</v>
      </c>
      <c r="U824" s="19">
        <f t="shared" si="272"/>
        <v>50928.525773195877</v>
      </c>
      <c r="V824" s="17">
        <v>50929</v>
      </c>
      <c r="W824" s="19">
        <f t="shared" si="273"/>
        <v>-0.47422680412273621</v>
      </c>
      <c r="X824" s="19">
        <f t="shared" si="274"/>
        <v>192769</v>
      </c>
      <c r="Y824" s="17">
        <v>161182</v>
      </c>
      <c r="Z824" s="17">
        <v>31587</v>
      </c>
      <c r="AA824" s="19">
        <f t="shared" si="275"/>
        <v>141840</v>
      </c>
      <c r="AB824" s="17">
        <v>1646689</v>
      </c>
      <c r="AC824" s="27">
        <v>46.32</v>
      </c>
      <c r="AD824" s="27">
        <v>47.137749999999997</v>
      </c>
      <c r="AE824" s="22">
        <f t="shared" si="276"/>
        <v>34933.551134706264</v>
      </c>
      <c r="AF824" s="23">
        <f t="shared" si="277"/>
        <v>1</v>
      </c>
      <c r="AG824" s="23">
        <f t="shared" si="278"/>
        <v>0</v>
      </c>
      <c r="AH824" s="17">
        <v>1402819.97000396</v>
      </c>
      <c r="AI824" s="24">
        <f t="shared" si="279"/>
        <v>0.85190340738534109</v>
      </c>
      <c r="AJ824" s="25">
        <v>393803278.68852502</v>
      </c>
      <c r="AK824" s="24">
        <f t="shared" si="280"/>
        <v>2.388573874778489E-2</v>
      </c>
      <c r="AL824" s="22">
        <f t="shared" si="281"/>
        <v>25770.636254178724</v>
      </c>
      <c r="AM824" s="22">
        <f t="shared" si="282"/>
        <v>34933.551134706264</v>
      </c>
      <c r="AN824" s="22">
        <f t="shared" si="283"/>
        <v>-9162.9148805275399</v>
      </c>
      <c r="AO824" s="26" t="str">
        <f t="shared" si="284"/>
        <v/>
      </c>
      <c r="AP824" s="26" t="str">
        <f t="shared" si="285"/>
        <v>pre-launch</v>
      </c>
      <c r="AQ824" s="18"/>
      <c r="AR824" s="18"/>
    </row>
    <row r="825" spans="1:44" x14ac:dyDescent="0.25">
      <c r="A825" s="43">
        <v>45886</v>
      </c>
      <c r="B825" s="17">
        <v>6272412052.7399998</v>
      </c>
      <c r="C825" s="17">
        <v>0</v>
      </c>
      <c r="D825" s="17">
        <v>254042366</v>
      </c>
      <c r="E825" s="19">
        <f t="shared" si="264"/>
        <v>6272412052.7399998</v>
      </c>
      <c r="F825" s="19">
        <f t="shared" si="265"/>
        <v>6526454418.7399998</v>
      </c>
      <c r="G825" s="20">
        <f t="shared" si="266"/>
        <v>0</v>
      </c>
      <c r="H825" s="17">
        <v>2198830</v>
      </c>
      <c r="I825" s="17">
        <v>109997</v>
      </c>
      <c r="J825" s="17">
        <v>64096</v>
      </c>
      <c r="K825" s="19">
        <f t="shared" si="267"/>
        <v>2308827</v>
      </c>
      <c r="L825" s="18"/>
      <c r="M825" s="18"/>
      <c r="N825" s="18"/>
      <c r="O825" s="19">
        <f t="shared" si="268"/>
        <v>2198830</v>
      </c>
      <c r="P825" s="21">
        <f t="shared" si="269"/>
        <v>3.5055573223055037</v>
      </c>
      <c r="Q825" s="17">
        <v>1992539</v>
      </c>
      <c r="R825" s="17">
        <v>79899</v>
      </c>
      <c r="S825" s="19">
        <f t="shared" si="270"/>
        <v>2072438</v>
      </c>
      <c r="T825" s="20">
        <f t="shared" si="271"/>
        <v>0.03</v>
      </c>
      <c r="U825" s="19">
        <f t="shared" si="272"/>
        <v>64096.0206185567</v>
      </c>
      <c r="V825" s="17">
        <v>64096</v>
      </c>
      <c r="W825" s="19">
        <f t="shared" si="273"/>
        <v>2.0618556700355839E-2</v>
      </c>
      <c r="X825" s="19">
        <f t="shared" si="274"/>
        <v>236388</v>
      </c>
      <c r="Y825" s="17">
        <v>206290</v>
      </c>
      <c r="Z825" s="17">
        <v>30098</v>
      </c>
      <c r="AA825" s="19">
        <f t="shared" si="275"/>
        <v>172292</v>
      </c>
      <c r="AB825" s="17">
        <v>2072438</v>
      </c>
      <c r="AC825" s="27">
        <v>46.04</v>
      </c>
      <c r="AD825" s="27">
        <v>46.513750000000002</v>
      </c>
      <c r="AE825" s="22">
        <f t="shared" si="276"/>
        <v>44555.38416059767</v>
      </c>
      <c r="AF825" s="23">
        <f t="shared" si="277"/>
        <v>1</v>
      </c>
      <c r="AG825" s="23">
        <f t="shared" si="278"/>
        <v>0</v>
      </c>
      <c r="AH825" s="17">
        <v>1735872.19355702</v>
      </c>
      <c r="AI825" s="24">
        <f t="shared" si="279"/>
        <v>0.83759909515122766</v>
      </c>
      <c r="AJ825" s="25">
        <v>393939890.710383</v>
      </c>
      <c r="AK825" s="24">
        <f t="shared" si="280"/>
        <v>2.3881596793535312E-2</v>
      </c>
      <c r="AL825" s="22">
        <f t="shared" si="281"/>
        <v>25775.105837903382</v>
      </c>
      <c r="AM825" s="22">
        <f t="shared" si="282"/>
        <v>44555.38416059767</v>
      </c>
      <c r="AN825" s="22">
        <f t="shared" si="283"/>
        <v>-18780.278322694288</v>
      </c>
      <c r="AO825" s="26" t="str">
        <f t="shared" si="284"/>
        <v/>
      </c>
      <c r="AP825" s="26" t="str">
        <f t="shared" si="285"/>
        <v>pre-launch</v>
      </c>
      <c r="AQ825" s="18"/>
      <c r="AR825" s="18"/>
    </row>
    <row r="826" spans="1:44" x14ac:dyDescent="0.25">
      <c r="A826" s="43">
        <v>45887</v>
      </c>
      <c r="B826" s="17">
        <v>15278357611.700001</v>
      </c>
      <c r="C826" s="17">
        <v>0</v>
      </c>
      <c r="D826" s="17">
        <v>372316467</v>
      </c>
      <c r="E826" s="19">
        <f t="shared" si="264"/>
        <v>15278357611.700001</v>
      </c>
      <c r="F826" s="19">
        <f t="shared" si="265"/>
        <v>15650674078.700001</v>
      </c>
      <c r="G826" s="20">
        <f t="shared" si="266"/>
        <v>0</v>
      </c>
      <c r="H826" s="17">
        <v>5178643</v>
      </c>
      <c r="I826" s="17">
        <v>152925</v>
      </c>
      <c r="J826" s="17">
        <v>150658</v>
      </c>
      <c r="K826" s="19">
        <f t="shared" si="267"/>
        <v>5331568</v>
      </c>
      <c r="L826" s="18"/>
      <c r="M826" s="18"/>
      <c r="N826" s="18"/>
      <c r="O826" s="19">
        <f t="shared" si="268"/>
        <v>5178643</v>
      </c>
      <c r="P826" s="21">
        <f t="shared" si="269"/>
        <v>3.3895285943786599</v>
      </c>
      <c r="Q826" s="17">
        <v>4754069</v>
      </c>
      <c r="R826" s="17">
        <v>117217</v>
      </c>
      <c r="S826" s="19">
        <f t="shared" si="270"/>
        <v>4871286</v>
      </c>
      <c r="T826" s="20">
        <f t="shared" si="271"/>
        <v>0.03</v>
      </c>
      <c r="U826" s="19">
        <f t="shared" si="272"/>
        <v>150658.32989690721</v>
      </c>
      <c r="V826" s="17">
        <v>150658</v>
      </c>
      <c r="W826" s="19">
        <f t="shared" si="273"/>
        <v>0.32989690720569342</v>
      </c>
      <c r="X826" s="19">
        <f t="shared" si="274"/>
        <v>460281</v>
      </c>
      <c r="Y826" s="17">
        <v>424573</v>
      </c>
      <c r="Z826" s="17">
        <v>35708</v>
      </c>
      <c r="AA826" s="19">
        <f t="shared" si="275"/>
        <v>309623</v>
      </c>
      <c r="AB826" s="17">
        <v>4871286</v>
      </c>
      <c r="AC826" s="27">
        <v>43.348999999999997</v>
      </c>
      <c r="AD826" s="27">
        <v>44.606250000000003</v>
      </c>
      <c r="AE826" s="22">
        <f t="shared" si="276"/>
        <v>109206.35561160151</v>
      </c>
      <c r="AF826" s="23">
        <f t="shared" si="277"/>
        <v>1</v>
      </c>
      <c r="AG826" s="23">
        <f t="shared" si="278"/>
        <v>0</v>
      </c>
      <c r="AH826" s="17">
        <v>4197948.6695110798</v>
      </c>
      <c r="AI826" s="24">
        <f t="shared" si="279"/>
        <v>0.86177421516845443</v>
      </c>
      <c r="AJ826" s="25">
        <v>394076502.73224002</v>
      </c>
      <c r="AK826" s="24">
        <f t="shared" si="280"/>
        <v>2.3877456993270301E-2</v>
      </c>
      <c r="AL826" s="22">
        <f t="shared" si="281"/>
        <v>25779.574646705281</v>
      </c>
      <c r="AM826" s="22">
        <f t="shared" si="282"/>
        <v>109206.35561160151</v>
      </c>
      <c r="AN826" s="22">
        <f t="shared" si="283"/>
        <v>-83426.780964896228</v>
      </c>
      <c r="AO826" s="26" t="str">
        <f t="shared" si="284"/>
        <v/>
      </c>
      <c r="AP826" s="26" t="str">
        <f t="shared" si="285"/>
        <v>pre-launch</v>
      </c>
      <c r="AQ826" s="18"/>
      <c r="AR826" s="18"/>
    </row>
    <row r="827" spans="1:44" x14ac:dyDescent="0.25">
      <c r="A827" s="43">
        <v>45888</v>
      </c>
      <c r="B827" s="17">
        <v>16655285032.809999</v>
      </c>
      <c r="C827" s="17">
        <v>0</v>
      </c>
      <c r="D827" s="17">
        <v>414235096</v>
      </c>
      <c r="E827" s="19">
        <f t="shared" si="264"/>
        <v>16655285032.809999</v>
      </c>
      <c r="F827" s="19">
        <f t="shared" si="265"/>
        <v>17069520128.809999</v>
      </c>
      <c r="G827" s="20">
        <f t="shared" si="266"/>
        <v>0</v>
      </c>
      <c r="H827" s="17">
        <v>5172471</v>
      </c>
      <c r="I827" s="17">
        <v>160422</v>
      </c>
      <c r="J827" s="17">
        <v>151952</v>
      </c>
      <c r="K827" s="19">
        <f t="shared" si="267"/>
        <v>5332893</v>
      </c>
      <c r="L827" s="18"/>
      <c r="M827" s="18"/>
      <c r="N827" s="18"/>
      <c r="O827" s="19">
        <f t="shared" si="268"/>
        <v>5172471</v>
      </c>
      <c r="P827" s="21">
        <f t="shared" si="269"/>
        <v>3.1056034104553092</v>
      </c>
      <c r="Q827" s="17">
        <v>4788583</v>
      </c>
      <c r="R827" s="17">
        <v>124535</v>
      </c>
      <c r="S827" s="19">
        <f t="shared" si="270"/>
        <v>4913118</v>
      </c>
      <c r="T827" s="20">
        <f t="shared" si="271"/>
        <v>0.03</v>
      </c>
      <c r="U827" s="19">
        <f t="shared" si="272"/>
        <v>151952.10309278351</v>
      </c>
      <c r="V827" s="17">
        <v>151952</v>
      </c>
      <c r="W827" s="19">
        <f t="shared" si="273"/>
        <v>0.10309278350905515</v>
      </c>
      <c r="X827" s="19">
        <f t="shared" si="274"/>
        <v>419774</v>
      </c>
      <c r="Y827" s="17">
        <v>383888</v>
      </c>
      <c r="Z827" s="17">
        <v>35886</v>
      </c>
      <c r="AA827" s="19">
        <f t="shared" si="275"/>
        <v>267822</v>
      </c>
      <c r="AB827" s="17">
        <v>4913118</v>
      </c>
      <c r="AC827" s="27">
        <v>41.253999999999998</v>
      </c>
      <c r="AD827" s="27">
        <v>42.414000000000001</v>
      </c>
      <c r="AE827" s="22">
        <f t="shared" si="276"/>
        <v>115837.17640401753</v>
      </c>
      <c r="AF827" s="23">
        <f t="shared" si="277"/>
        <v>1</v>
      </c>
      <c r="AG827" s="23">
        <f t="shared" si="278"/>
        <v>0</v>
      </c>
      <c r="AH827" s="17">
        <v>4303540.5057599498</v>
      </c>
      <c r="AI827" s="24">
        <f t="shared" si="279"/>
        <v>0.87592858664496753</v>
      </c>
      <c r="AJ827" s="25">
        <v>394213114.754098</v>
      </c>
      <c r="AK827" s="24">
        <f t="shared" si="280"/>
        <v>2.387331934512351E-2</v>
      </c>
      <c r="AL827" s="22">
        <f t="shared" si="281"/>
        <v>25784.042680987404</v>
      </c>
      <c r="AM827" s="22">
        <f t="shared" si="282"/>
        <v>115837.17640401753</v>
      </c>
      <c r="AN827" s="22">
        <f t="shared" si="283"/>
        <v>-90053.133723030129</v>
      </c>
      <c r="AO827" s="26" t="str">
        <f t="shared" si="284"/>
        <v/>
      </c>
      <c r="AP827" s="26" t="str">
        <f t="shared" si="285"/>
        <v>pre-launch</v>
      </c>
      <c r="AQ827" s="18"/>
      <c r="AR827" s="18"/>
    </row>
    <row r="828" spans="1:44" x14ac:dyDescent="0.25">
      <c r="A828" s="43">
        <v>45889</v>
      </c>
      <c r="B828" s="17">
        <v>15135209638.43</v>
      </c>
      <c r="C828" s="17">
        <v>0</v>
      </c>
      <c r="D828" s="17">
        <v>539453994</v>
      </c>
      <c r="E828" s="19">
        <f t="shared" si="264"/>
        <v>15135209638.43</v>
      </c>
      <c r="F828" s="19">
        <f t="shared" si="265"/>
        <v>15674663632.43</v>
      </c>
      <c r="G828" s="20">
        <f t="shared" si="266"/>
        <v>0</v>
      </c>
      <c r="H828" s="17">
        <v>4651266</v>
      </c>
      <c r="I828" s="17">
        <v>230987</v>
      </c>
      <c r="J828" s="17">
        <v>138641</v>
      </c>
      <c r="K828" s="19">
        <f t="shared" si="267"/>
        <v>4882253</v>
      </c>
      <c r="L828" s="18"/>
      <c r="M828" s="18"/>
      <c r="N828" s="18"/>
      <c r="O828" s="19">
        <f t="shared" si="268"/>
        <v>4651266</v>
      </c>
      <c r="P828" s="21">
        <f t="shared" si="269"/>
        <v>3.0731427651916445</v>
      </c>
      <c r="Q828" s="17">
        <v>4322213</v>
      </c>
      <c r="R828" s="17">
        <v>160524</v>
      </c>
      <c r="S828" s="19">
        <f t="shared" si="270"/>
        <v>4482737</v>
      </c>
      <c r="T828" s="20">
        <f t="shared" si="271"/>
        <v>0.03</v>
      </c>
      <c r="U828" s="19">
        <f t="shared" si="272"/>
        <v>138641.35051546391</v>
      </c>
      <c r="V828" s="17">
        <v>138641</v>
      </c>
      <c r="W828" s="19">
        <f t="shared" si="273"/>
        <v>0.35051546391332522</v>
      </c>
      <c r="X828" s="19">
        <f t="shared" si="274"/>
        <v>399517</v>
      </c>
      <c r="Y828" s="17">
        <v>329054</v>
      </c>
      <c r="Z828" s="17">
        <v>70463</v>
      </c>
      <c r="AA828" s="19">
        <f t="shared" si="275"/>
        <v>260876</v>
      </c>
      <c r="AB828" s="17">
        <v>4482737</v>
      </c>
      <c r="AC828" s="27">
        <v>42.966000000000001</v>
      </c>
      <c r="AD828" s="27">
        <v>41.992750000000001</v>
      </c>
      <c r="AE828" s="22">
        <f t="shared" si="276"/>
        <v>106750.2604616273</v>
      </c>
      <c r="AF828" s="23">
        <f t="shared" si="277"/>
        <v>-1</v>
      </c>
      <c r="AG828" s="23">
        <f t="shared" si="278"/>
        <v>0</v>
      </c>
      <c r="AH828" s="17">
        <v>4034005.1862369799</v>
      </c>
      <c r="AI828" s="24">
        <f t="shared" si="279"/>
        <v>0.89989780489843141</v>
      </c>
      <c r="AJ828" s="25">
        <v>394349726.77595598</v>
      </c>
      <c r="AK828" s="24">
        <f t="shared" si="280"/>
        <v>2.3869183847230944E-2</v>
      </c>
      <c r="AL828" s="22">
        <f t="shared" si="281"/>
        <v>25788.509941152282</v>
      </c>
      <c r="AM828" s="22">
        <f t="shared" si="282"/>
        <v>106750.2604616273</v>
      </c>
      <c r="AN828" s="22">
        <f t="shared" si="283"/>
        <v>-80961.75052047502</v>
      </c>
      <c r="AO828" s="26" t="str">
        <f t="shared" si="284"/>
        <v/>
      </c>
      <c r="AP828" s="26" t="str">
        <f t="shared" si="285"/>
        <v>pre-launch</v>
      </c>
      <c r="AQ828" s="18"/>
      <c r="AR828" s="18"/>
    </row>
    <row r="829" spans="1:44" x14ac:dyDescent="0.25">
      <c r="A829" s="43">
        <v>45890</v>
      </c>
      <c r="B829" s="17">
        <v>11826851575.690001</v>
      </c>
      <c r="C829" s="17">
        <v>0</v>
      </c>
      <c r="D829" s="17">
        <v>912310204</v>
      </c>
      <c r="E829" s="19">
        <f t="shared" si="264"/>
        <v>11826851575.690001</v>
      </c>
      <c r="F829" s="19">
        <f t="shared" si="265"/>
        <v>12739161779.690001</v>
      </c>
      <c r="G829" s="20">
        <f t="shared" si="266"/>
        <v>0</v>
      </c>
      <c r="H829" s="17">
        <v>3629992</v>
      </c>
      <c r="I829" s="17">
        <v>351557</v>
      </c>
      <c r="J829" s="17">
        <v>110600</v>
      </c>
      <c r="K829" s="19">
        <f t="shared" si="267"/>
        <v>3981549</v>
      </c>
      <c r="L829" s="18"/>
      <c r="M829" s="18"/>
      <c r="N829" s="18"/>
      <c r="O829" s="19">
        <f t="shared" si="268"/>
        <v>3629992</v>
      </c>
      <c r="P829" s="21">
        <f t="shared" si="269"/>
        <v>3.0692800841953742</v>
      </c>
      <c r="Q829" s="17">
        <v>3363742</v>
      </c>
      <c r="R829" s="17">
        <v>212310</v>
      </c>
      <c r="S829" s="19">
        <f t="shared" si="270"/>
        <v>3576052</v>
      </c>
      <c r="T829" s="20">
        <f t="shared" si="271"/>
        <v>0.03</v>
      </c>
      <c r="U829" s="19">
        <f t="shared" si="272"/>
        <v>110599.54639175258</v>
      </c>
      <c r="V829" s="17">
        <v>110600</v>
      </c>
      <c r="W829" s="19">
        <f t="shared" si="273"/>
        <v>-0.45360824742238037</v>
      </c>
      <c r="X829" s="19">
        <f t="shared" si="274"/>
        <v>405498</v>
      </c>
      <c r="Y829" s="17">
        <v>266251</v>
      </c>
      <c r="Z829" s="17">
        <v>139247</v>
      </c>
      <c r="AA829" s="19">
        <f t="shared" si="275"/>
        <v>294898</v>
      </c>
      <c r="AB829" s="17">
        <v>3576052</v>
      </c>
      <c r="AC829" s="27">
        <v>40.417000000000002</v>
      </c>
      <c r="AD829" s="27">
        <v>41.798499999999997</v>
      </c>
      <c r="AE829" s="22">
        <f t="shared" si="276"/>
        <v>85554.553393064343</v>
      </c>
      <c r="AF829" s="23">
        <f t="shared" si="277"/>
        <v>-1</v>
      </c>
      <c r="AG829" s="23">
        <f t="shared" si="278"/>
        <v>0</v>
      </c>
      <c r="AH829" s="17">
        <v>3281304.2756040101</v>
      </c>
      <c r="AI829" s="24">
        <f t="shared" si="279"/>
        <v>0.91757733825011778</v>
      </c>
      <c r="AJ829" s="25">
        <v>394486338.79781401</v>
      </c>
      <c r="AK829" s="24">
        <f t="shared" si="280"/>
        <v>2.3865050497730841E-2</v>
      </c>
      <c r="AL829" s="22">
        <f t="shared" si="281"/>
        <v>25792.97642760216</v>
      </c>
      <c r="AM829" s="22">
        <f t="shared" si="282"/>
        <v>85554.553393064343</v>
      </c>
      <c r="AN829" s="22">
        <f t="shared" si="283"/>
        <v>-59761.576965462184</v>
      </c>
      <c r="AO829" s="26" t="str">
        <f t="shared" si="284"/>
        <v/>
      </c>
      <c r="AP829" s="26" t="str">
        <f t="shared" si="285"/>
        <v>pre-launch</v>
      </c>
      <c r="AQ829" s="18"/>
      <c r="AR829" s="18"/>
    </row>
    <row r="830" spans="1:44" x14ac:dyDescent="0.25">
      <c r="A830" s="43">
        <v>45891</v>
      </c>
      <c r="B830" s="17">
        <v>21155470262.759998</v>
      </c>
      <c r="C830" s="17">
        <v>0</v>
      </c>
      <c r="D830" s="17">
        <v>1419893745</v>
      </c>
      <c r="E830" s="19">
        <f t="shared" si="264"/>
        <v>21155470262.759998</v>
      </c>
      <c r="F830" s="19">
        <f t="shared" si="265"/>
        <v>22575364007.759998</v>
      </c>
      <c r="G830" s="20">
        <f t="shared" si="266"/>
        <v>0</v>
      </c>
      <c r="H830" s="17">
        <v>6977513</v>
      </c>
      <c r="I830" s="17">
        <v>801006</v>
      </c>
      <c r="J830" s="17">
        <v>213908</v>
      </c>
      <c r="K830" s="19">
        <f t="shared" si="267"/>
        <v>7778519</v>
      </c>
      <c r="L830" s="18"/>
      <c r="M830" s="18"/>
      <c r="N830" s="18"/>
      <c r="O830" s="19">
        <f t="shared" si="268"/>
        <v>6977513</v>
      </c>
      <c r="P830" s="21">
        <f t="shared" si="269"/>
        <v>3.2982074675421065</v>
      </c>
      <c r="Q830" s="17">
        <v>6489171</v>
      </c>
      <c r="R830" s="17">
        <v>427174</v>
      </c>
      <c r="S830" s="19">
        <f t="shared" si="270"/>
        <v>6916345</v>
      </c>
      <c r="T830" s="20">
        <f t="shared" si="271"/>
        <v>0.03</v>
      </c>
      <c r="U830" s="19">
        <f t="shared" si="272"/>
        <v>213907.57731958764</v>
      </c>
      <c r="V830" s="17">
        <v>213908</v>
      </c>
      <c r="W830" s="19">
        <f t="shared" si="273"/>
        <v>-0.42268041236093268</v>
      </c>
      <c r="X830" s="19">
        <f t="shared" si="274"/>
        <v>862174</v>
      </c>
      <c r="Y830" s="17">
        <v>488342</v>
      </c>
      <c r="Z830" s="17">
        <v>373832</v>
      </c>
      <c r="AA830" s="19">
        <f t="shared" si="275"/>
        <v>648266</v>
      </c>
      <c r="AB830" s="17">
        <v>6916345</v>
      </c>
      <c r="AC830" s="27">
        <v>45.302</v>
      </c>
      <c r="AD830" s="27">
        <v>42.909500000000001</v>
      </c>
      <c r="AE830" s="22">
        <f t="shared" si="276"/>
        <v>161184.4696395903</v>
      </c>
      <c r="AF830" s="23">
        <f t="shared" si="277"/>
        <v>0</v>
      </c>
      <c r="AG830" s="23">
        <f t="shared" si="278"/>
        <v>0</v>
      </c>
      <c r="AH830" s="17">
        <v>5946262.7301640501</v>
      </c>
      <c r="AI830" s="24">
        <f t="shared" si="279"/>
        <v>0.85974061880430341</v>
      </c>
      <c r="AJ830" s="25">
        <v>394622950.81967199</v>
      </c>
      <c r="AK830" s="24">
        <f t="shared" si="280"/>
        <v>2.3860919294763697E-2</v>
      </c>
      <c r="AL830" s="22">
        <f t="shared" si="281"/>
        <v>25797.442140738895</v>
      </c>
      <c r="AM830" s="22">
        <f t="shared" si="282"/>
        <v>161184.4696395903</v>
      </c>
      <c r="AN830" s="22">
        <f t="shared" si="283"/>
        <v>-135387.02749885141</v>
      </c>
      <c r="AO830" s="26" t="str">
        <f t="shared" si="284"/>
        <v/>
      </c>
      <c r="AP830" s="26" t="str">
        <f t="shared" si="285"/>
        <v>pre-launch</v>
      </c>
      <c r="AQ830" s="18"/>
      <c r="AR830" s="18"/>
    </row>
    <row r="831" spans="1:44" x14ac:dyDescent="0.25">
      <c r="A831" s="43">
        <v>45892</v>
      </c>
      <c r="B831" s="17">
        <v>8356300448.04</v>
      </c>
      <c r="C831" s="17">
        <v>0</v>
      </c>
      <c r="D831" s="17">
        <v>1559153323</v>
      </c>
      <c r="E831" s="19">
        <f t="shared" si="264"/>
        <v>8356300448.04</v>
      </c>
      <c r="F831" s="19">
        <f t="shared" si="265"/>
        <v>9915453771.0400009</v>
      </c>
      <c r="G831" s="20">
        <f t="shared" si="266"/>
        <v>0</v>
      </c>
      <c r="H831" s="17">
        <v>2822931</v>
      </c>
      <c r="I831" s="17">
        <v>585670</v>
      </c>
      <c r="J831" s="17">
        <v>89388</v>
      </c>
      <c r="K831" s="19">
        <f t="shared" si="267"/>
        <v>3408601</v>
      </c>
      <c r="L831" s="18"/>
      <c r="M831" s="18"/>
      <c r="N831" s="18"/>
      <c r="O831" s="19">
        <f t="shared" si="268"/>
        <v>2822931</v>
      </c>
      <c r="P831" s="21">
        <f t="shared" si="269"/>
        <v>3.3782066807592215</v>
      </c>
      <c r="Q831" s="17">
        <v>2587769</v>
      </c>
      <c r="R831" s="17">
        <v>302447</v>
      </c>
      <c r="S831" s="19">
        <f t="shared" si="270"/>
        <v>2890216</v>
      </c>
      <c r="T831" s="20">
        <f t="shared" si="271"/>
        <v>0.03</v>
      </c>
      <c r="U831" s="19">
        <f t="shared" si="272"/>
        <v>89388.123711340202</v>
      </c>
      <c r="V831" s="17">
        <v>89388</v>
      </c>
      <c r="W831" s="19">
        <f t="shared" si="273"/>
        <v>0.12371134020213503</v>
      </c>
      <c r="X831" s="19">
        <f t="shared" si="274"/>
        <v>518385</v>
      </c>
      <c r="Y831" s="17">
        <v>235162</v>
      </c>
      <c r="Z831" s="17">
        <v>283223</v>
      </c>
      <c r="AA831" s="19">
        <f t="shared" si="275"/>
        <v>428997</v>
      </c>
      <c r="AB831" s="17">
        <v>2890216</v>
      </c>
      <c r="AC831" s="27">
        <v>44.866999999999997</v>
      </c>
      <c r="AD831" s="27">
        <v>44.693750000000001</v>
      </c>
      <c r="AE831" s="22">
        <f t="shared" si="276"/>
        <v>64667.117885610402</v>
      </c>
      <c r="AF831" s="23">
        <f t="shared" si="277"/>
        <v>0</v>
      </c>
      <c r="AG831" s="23">
        <f t="shared" si="278"/>
        <v>0</v>
      </c>
      <c r="AH831" s="17">
        <v>2579247.7976139798</v>
      </c>
      <c r="AI831" s="24">
        <f t="shared" si="279"/>
        <v>0.89240658747096402</v>
      </c>
      <c r="AJ831" s="25">
        <v>394759562.84153003</v>
      </c>
      <c r="AK831" s="24">
        <f t="shared" si="280"/>
        <v>2.3856790236472254E-2</v>
      </c>
      <c r="AL831" s="22">
        <f t="shared" si="281"/>
        <v>25801.907080964025</v>
      </c>
      <c r="AM831" s="22">
        <f t="shared" si="282"/>
        <v>64667.117885610402</v>
      </c>
      <c r="AN831" s="22">
        <f t="shared" si="283"/>
        <v>-38865.210804646376</v>
      </c>
      <c r="AO831" s="26" t="str">
        <f t="shared" si="284"/>
        <v/>
      </c>
      <c r="AP831" s="26" t="str">
        <f t="shared" si="285"/>
        <v>pre-launch</v>
      </c>
      <c r="AQ831" s="18"/>
      <c r="AR831" s="18"/>
    </row>
    <row r="832" spans="1:44" x14ac:dyDescent="0.25">
      <c r="A832" s="43">
        <v>45893</v>
      </c>
      <c r="B832" s="17">
        <v>17185841113.439999</v>
      </c>
      <c r="C832" s="17">
        <v>0</v>
      </c>
      <c r="D832" s="17">
        <v>3382127558</v>
      </c>
      <c r="E832" s="19">
        <f t="shared" si="264"/>
        <v>17185841113.439999</v>
      </c>
      <c r="F832" s="19">
        <f t="shared" si="265"/>
        <v>20567968671.439999</v>
      </c>
      <c r="G832" s="20">
        <f t="shared" si="266"/>
        <v>0</v>
      </c>
      <c r="H832" s="17">
        <v>5779921</v>
      </c>
      <c r="I832" s="17">
        <v>1970942</v>
      </c>
      <c r="J832" s="17">
        <v>195488</v>
      </c>
      <c r="K832" s="19">
        <f t="shared" si="267"/>
        <v>7750863</v>
      </c>
      <c r="L832" s="18"/>
      <c r="M832" s="18"/>
      <c r="N832" s="18"/>
      <c r="O832" s="19">
        <f t="shared" si="268"/>
        <v>5779921</v>
      </c>
      <c r="P832" s="21">
        <f t="shared" si="269"/>
        <v>3.3631877321848833</v>
      </c>
      <c r="Q832" s="17">
        <v>5320426</v>
      </c>
      <c r="R832" s="17">
        <v>1000338</v>
      </c>
      <c r="S832" s="19">
        <f t="shared" si="270"/>
        <v>6320764</v>
      </c>
      <c r="T832" s="20">
        <f t="shared" si="271"/>
        <v>0.03</v>
      </c>
      <c r="U832" s="19">
        <f t="shared" si="272"/>
        <v>195487.54639175258</v>
      </c>
      <c r="V832" s="17">
        <v>195488</v>
      </c>
      <c r="W832" s="19">
        <f t="shared" si="273"/>
        <v>-0.45360824742238037</v>
      </c>
      <c r="X832" s="19">
        <f t="shared" si="274"/>
        <v>1430098</v>
      </c>
      <c r="Y832" s="17">
        <v>459494</v>
      </c>
      <c r="Z832" s="17">
        <v>970604</v>
      </c>
      <c r="AA832" s="19">
        <f t="shared" si="275"/>
        <v>1234610</v>
      </c>
      <c r="AB832" s="17">
        <v>6320764</v>
      </c>
      <c r="AC832" s="27">
        <v>46.048999999999999</v>
      </c>
      <c r="AD832" s="27">
        <v>45.28425</v>
      </c>
      <c r="AE832" s="22">
        <f t="shared" si="276"/>
        <v>139579.74350905669</v>
      </c>
      <c r="AF832" s="23">
        <f t="shared" si="277"/>
        <v>1</v>
      </c>
      <c r="AG832" s="23">
        <f t="shared" si="278"/>
        <v>0</v>
      </c>
      <c r="AH832" s="17">
        <v>5403619.6290199803</v>
      </c>
      <c r="AI832" s="24">
        <f t="shared" si="279"/>
        <v>0.85489976038022941</v>
      </c>
      <c r="AJ832" s="25">
        <v>394896174.863388</v>
      </c>
      <c r="AK832" s="24">
        <f t="shared" si="280"/>
        <v>2.385266332100151E-2</v>
      </c>
      <c r="AL832" s="22">
        <f t="shared" si="281"/>
        <v>25806.371248678719</v>
      </c>
      <c r="AM832" s="22">
        <f t="shared" si="282"/>
        <v>139579.74350905669</v>
      </c>
      <c r="AN832" s="22">
        <f t="shared" si="283"/>
        <v>-113773.37226037798</v>
      </c>
      <c r="AO832" s="26" t="str">
        <f t="shared" si="284"/>
        <v/>
      </c>
      <c r="AP832" s="26" t="str">
        <f t="shared" si="285"/>
        <v>pre-launch</v>
      </c>
      <c r="AQ832" s="18"/>
      <c r="AR832" s="18"/>
    </row>
    <row r="833" spans="1:44" x14ac:dyDescent="0.25">
      <c r="A833" s="43">
        <v>45894</v>
      </c>
      <c r="B833" s="17">
        <v>20948854170.77</v>
      </c>
      <c r="C833" s="17">
        <v>0</v>
      </c>
      <c r="D833" s="17">
        <v>1534795396</v>
      </c>
      <c r="E833" s="19">
        <f t="shared" si="264"/>
        <v>20948854170.77</v>
      </c>
      <c r="F833" s="19">
        <f t="shared" si="265"/>
        <v>22483649566.77</v>
      </c>
      <c r="G833" s="20">
        <f t="shared" si="266"/>
        <v>0</v>
      </c>
      <c r="H833" s="17">
        <v>6791591</v>
      </c>
      <c r="I833" s="17">
        <v>543705</v>
      </c>
      <c r="J833" s="17">
        <v>205920</v>
      </c>
      <c r="K833" s="19">
        <f t="shared" si="267"/>
        <v>7335296</v>
      </c>
      <c r="L833" s="18"/>
      <c r="M833" s="18"/>
      <c r="N833" s="18"/>
      <c r="O833" s="19">
        <f t="shared" si="268"/>
        <v>6791591</v>
      </c>
      <c r="P833" s="21">
        <f t="shared" si="269"/>
        <v>3.2419868622105006</v>
      </c>
      <c r="Q833" s="17">
        <v>6343245</v>
      </c>
      <c r="R833" s="17">
        <v>314829</v>
      </c>
      <c r="S833" s="19">
        <f t="shared" si="270"/>
        <v>6658074</v>
      </c>
      <c r="T833" s="20">
        <f t="shared" si="271"/>
        <v>0.03</v>
      </c>
      <c r="U833" s="19">
        <f t="shared" si="272"/>
        <v>205919.81443298969</v>
      </c>
      <c r="V833" s="17">
        <v>205920</v>
      </c>
      <c r="W833" s="19">
        <f t="shared" si="273"/>
        <v>-0.18556701031047851</v>
      </c>
      <c r="X833" s="19">
        <f t="shared" si="274"/>
        <v>677223</v>
      </c>
      <c r="Y833" s="17">
        <v>448346</v>
      </c>
      <c r="Z833" s="17">
        <v>228877</v>
      </c>
      <c r="AA833" s="19">
        <f t="shared" si="275"/>
        <v>471303</v>
      </c>
      <c r="AB833" s="17">
        <v>6658074</v>
      </c>
      <c r="AC833" s="27">
        <v>42.942999999999998</v>
      </c>
      <c r="AD833" s="27">
        <v>44.692999999999998</v>
      </c>
      <c r="AE833" s="22">
        <f t="shared" si="276"/>
        <v>148973.53053050814</v>
      </c>
      <c r="AF833" s="23">
        <f t="shared" si="277"/>
        <v>-1</v>
      </c>
      <c r="AG833" s="23">
        <f t="shared" si="278"/>
        <v>0</v>
      </c>
      <c r="AH833" s="17">
        <v>5777761.3615009803</v>
      </c>
      <c r="AI833" s="24">
        <f t="shared" si="279"/>
        <v>0.86778268933342895</v>
      </c>
      <c r="AJ833" s="25">
        <v>395032786.88524598</v>
      </c>
      <c r="AK833" s="24">
        <f t="shared" si="280"/>
        <v>2.3848538546498703E-2</v>
      </c>
      <c r="AL833" s="22">
        <f t="shared" si="281"/>
        <v>25810.834644283823</v>
      </c>
      <c r="AM833" s="22">
        <f t="shared" si="282"/>
        <v>148973.53053050814</v>
      </c>
      <c r="AN833" s="22">
        <f t="shared" si="283"/>
        <v>-123162.69588622432</v>
      </c>
      <c r="AO833" s="26" t="str">
        <f t="shared" si="284"/>
        <v/>
      </c>
      <c r="AP833" s="26" t="str">
        <f t="shared" si="285"/>
        <v>pre-launch</v>
      </c>
      <c r="AQ833" s="18"/>
      <c r="AR833" s="18"/>
    </row>
    <row r="834" spans="1:44" x14ac:dyDescent="0.25">
      <c r="A834" s="43">
        <v>45895</v>
      </c>
      <c r="B834" s="17">
        <v>15388541325.82</v>
      </c>
      <c r="C834" s="17">
        <v>0</v>
      </c>
      <c r="D834" s="17">
        <v>1653313077</v>
      </c>
      <c r="E834" s="19">
        <f t="shared" si="264"/>
        <v>15388541325.82</v>
      </c>
      <c r="F834" s="19">
        <f t="shared" si="265"/>
        <v>17041854402.82</v>
      </c>
      <c r="G834" s="20">
        <f t="shared" si="266"/>
        <v>0</v>
      </c>
      <c r="H834" s="17">
        <v>5116847</v>
      </c>
      <c r="I834" s="17">
        <v>782342</v>
      </c>
      <c r="J834" s="17">
        <v>161336</v>
      </c>
      <c r="K834" s="19">
        <f t="shared" si="267"/>
        <v>5899189</v>
      </c>
      <c r="L834" s="18"/>
      <c r="M834" s="18"/>
      <c r="N834" s="18"/>
      <c r="O834" s="19">
        <f t="shared" si="268"/>
        <v>5116847</v>
      </c>
      <c r="P834" s="21">
        <f t="shared" si="269"/>
        <v>3.3251020299205267</v>
      </c>
      <c r="Q834" s="17">
        <v>4756929</v>
      </c>
      <c r="R834" s="17">
        <v>459589</v>
      </c>
      <c r="S834" s="19">
        <f t="shared" si="270"/>
        <v>5216518</v>
      </c>
      <c r="T834" s="20">
        <f t="shared" si="271"/>
        <v>0.03</v>
      </c>
      <c r="U834" s="19">
        <f t="shared" si="272"/>
        <v>161335.6082474227</v>
      </c>
      <c r="V834" s="17">
        <v>161336</v>
      </c>
      <c r="W834" s="19">
        <f t="shared" si="273"/>
        <v>-0.39175257729948498</v>
      </c>
      <c r="X834" s="19">
        <f t="shared" si="274"/>
        <v>682671</v>
      </c>
      <c r="Y834" s="17">
        <v>359918</v>
      </c>
      <c r="Z834" s="17">
        <v>322753</v>
      </c>
      <c r="AA834" s="19">
        <f t="shared" si="275"/>
        <v>521335</v>
      </c>
      <c r="AB834" s="17">
        <v>5216518</v>
      </c>
      <c r="AC834" s="27">
        <v>48.793999999999997</v>
      </c>
      <c r="AD834" s="27">
        <v>45.958750000000002</v>
      </c>
      <c r="AE834" s="22">
        <f t="shared" si="276"/>
        <v>113504.34900862185</v>
      </c>
      <c r="AF834" s="23">
        <f t="shared" si="277"/>
        <v>0</v>
      </c>
      <c r="AG834" s="23">
        <f t="shared" si="278"/>
        <v>0</v>
      </c>
      <c r="AH834" s="17">
        <v>6010652.0828040801</v>
      </c>
      <c r="AI834" s="24">
        <f t="shared" si="279"/>
        <v>1.15223451405786</v>
      </c>
      <c r="AJ834" s="25">
        <v>395169398.90710402</v>
      </c>
      <c r="AK834" s="24">
        <f t="shared" si="280"/>
        <v>2.3844415911113311E-2</v>
      </c>
      <c r="AL834" s="22">
        <f t="shared" si="281"/>
        <v>25815.29726817982</v>
      </c>
      <c r="AM834" s="22">
        <f t="shared" si="282"/>
        <v>113504.34900862185</v>
      </c>
      <c r="AN834" s="22">
        <f t="shared" si="283"/>
        <v>-87689.051740442024</v>
      </c>
      <c r="AO834" s="26" t="str">
        <f t="shared" si="284"/>
        <v/>
      </c>
      <c r="AP834" s="26" t="str">
        <f t="shared" si="285"/>
        <v>pre-launch</v>
      </c>
      <c r="AQ834" s="18"/>
      <c r="AR834" s="18"/>
    </row>
    <row r="835" spans="1:44" x14ac:dyDescent="0.25">
      <c r="A835" s="43">
        <v>45896</v>
      </c>
      <c r="B835" s="17">
        <v>13058401010.24</v>
      </c>
      <c r="C835" s="17">
        <v>0</v>
      </c>
      <c r="D835" s="17">
        <v>567526114</v>
      </c>
      <c r="E835" s="19">
        <f t="shared" si="264"/>
        <v>13058401010.24</v>
      </c>
      <c r="F835" s="19">
        <f t="shared" si="265"/>
        <v>13625927124.24</v>
      </c>
      <c r="G835" s="20">
        <f t="shared" si="266"/>
        <v>0</v>
      </c>
      <c r="H835" s="17">
        <v>4482034</v>
      </c>
      <c r="I835" s="17">
        <v>217368</v>
      </c>
      <c r="J835" s="17">
        <v>134086</v>
      </c>
      <c r="K835" s="19">
        <f t="shared" si="267"/>
        <v>4699402</v>
      </c>
      <c r="L835" s="18"/>
      <c r="M835" s="18"/>
      <c r="N835" s="18"/>
      <c r="O835" s="19">
        <f t="shared" si="268"/>
        <v>4482034</v>
      </c>
      <c r="P835" s="21">
        <f t="shared" si="269"/>
        <v>3.4322992504865839</v>
      </c>
      <c r="Q835" s="17">
        <v>4157827</v>
      </c>
      <c r="R835" s="17">
        <v>177611</v>
      </c>
      <c r="S835" s="19">
        <f t="shared" si="270"/>
        <v>4335438</v>
      </c>
      <c r="T835" s="20">
        <f t="shared" si="271"/>
        <v>0.03</v>
      </c>
      <c r="U835" s="19">
        <f t="shared" si="272"/>
        <v>134085.71134020618</v>
      </c>
      <c r="V835" s="17">
        <v>134086</v>
      </c>
      <c r="W835" s="19">
        <f t="shared" si="273"/>
        <v>-0.28865979381953366</v>
      </c>
      <c r="X835" s="19">
        <f t="shared" si="274"/>
        <v>363963</v>
      </c>
      <c r="Y835" s="17">
        <v>324206</v>
      </c>
      <c r="Z835" s="17">
        <v>39757</v>
      </c>
      <c r="AA835" s="19">
        <f t="shared" si="275"/>
        <v>229877</v>
      </c>
      <c r="AB835" s="17">
        <v>4335438</v>
      </c>
      <c r="AC835" s="27">
        <v>46.945</v>
      </c>
      <c r="AD835" s="27">
        <v>48.422499999999999</v>
      </c>
      <c r="AE835" s="22">
        <f t="shared" si="276"/>
        <v>89533.543290825546</v>
      </c>
      <c r="AF835" s="23">
        <f t="shared" si="277"/>
        <v>1</v>
      </c>
      <c r="AG835" s="23">
        <f t="shared" si="278"/>
        <v>0</v>
      </c>
      <c r="AH835" s="17">
        <v>3762751.4380419301</v>
      </c>
      <c r="AI835" s="24">
        <f t="shared" si="279"/>
        <v>0.86790571980084363</v>
      </c>
      <c r="AJ835" s="25">
        <v>395306010.92896199</v>
      </c>
      <c r="AK835" s="24">
        <f t="shared" si="280"/>
        <v>2.3840295412997061E-2</v>
      </c>
      <c r="AL835" s="22">
        <f t="shared" si="281"/>
        <v>25819.759120766845</v>
      </c>
      <c r="AM835" s="22">
        <f t="shared" si="282"/>
        <v>89533.543290825546</v>
      </c>
      <c r="AN835" s="22">
        <f t="shared" si="283"/>
        <v>-63713.784170058701</v>
      </c>
      <c r="AO835" s="26" t="str">
        <f t="shared" si="284"/>
        <v/>
      </c>
      <c r="AP835" s="26" t="str">
        <f t="shared" si="285"/>
        <v>pre-launch</v>
      </c>
      <c r="AQ835" s="18"/>
      <c r="AR835" s="18"/>
    </row>
    <row r="836" spans="1:44" x14ac:dyDescent="0.25">
      <c r="A836" s="43">
        <v>45897</v>
      </c>
      <c r="B836" s="17">
        <v>10282718688.719999</v>
      </c>
      <c r="C836" s="17">
        <v>0</v>
      </c>
      <c r="D836" s="17">
        <v>420001260</v>
      </c>
      <c r="E836" s="19">
        <f t="shared" si="264"/>
        <v>10282718688.719999</v>
      </c>
      <c r="F836" s="19">
        <f t="shared" si="265"/>
        <v>10702719948.719999</v>
      </c>
      <c r="G836" s="20">
        <f t="shared" si="266"/>
        <v>0</v>
      </c>
      <c r="H836" s="17">
        <v>3527444</v>
      </c>
      <c r="I836" s="17">
        <v>176810</v>
      </c>
      <c r="J836" s="17">
        <v>105026</v>
      </c>
      <c r="K836" s="19">
        <f t="shared" si="267"/>
        <v>3704254</v>
      </c>
      <c r="L836" s="18"/>
      <c r="M836" s="18"/>
      <c r="N836" s="18"/>
      <c r="O836" s="19">
        <f t="shared" si="268"/>
        <v>3527444</v>
      </c>
      <c r="P836" s="21">
        <f t="shared" si="269"/>
        <v>3.4304585263715883</v>
      </c>
      <c r="Q836" s="17">
        <v>3262778</v>
      </c>
      <c r="R836" s="17">
        <v>133062</v>
      </c>
      <c r="S836" s="19">
        <f t="shared" si="270"/>
        <v>3395840</v>
      </c>
      <c r="T836" s="20">
        <f t="shared" si="271"/>
        <v>0.03</v>
      </c>
      <c r="U836" s="19">
        <f t="shared" si="272"/>
        <v>105025.97938144329</v>
      </c>
      <c r="V836" s="17">
        <v>105026</v>
      </c>
      <c r="W836" s="19">
        <f t="shared" si="273"/>
        <v>-2.0618556707631797E-2</v>
      </c>
      <c r="X836" s="19">
        <f t="shared" si="274"/>
        <v>308413</v>
      </c>
      <c r="Y836" s="17">
        <v>264666</v>
      </c>
      <c r="Z836" s="17">
        <v>43747</v>
      </c>
      <c r="AA836" s="19">
        <f t="shared" si="275"/>
        <v>203387</v>
      </c>
      <c r="AB836" s="17">
        <v>3395840</v>
      </c>
      <c r="AC836" s="27">
        <v>45.533999999999999</v>
      </c>
      <c r="AD836" s="27">
        <v>46.762250000000002</v>
      </c>
      <c r="AE836" s="22">
        <f t="shared" si="276"/>
        <v>72619.260193852941</v>
      </c>
      <c r="AF836" s="23">
        <f t="shared" si="277"/>
        <v>1</v>
      </c>
      <c r="AG836" s="23">
        <f t="shared" si="278"/>
        <v>0</v>
      </c>
      <c r="AH836" s="17">
        <v>2944183.21654499</v>
      </c>
      <c r="AI836" s="24">
        <f t="shared" si="279"/>
        <v>0.86699703653440385</v>
      </c>
      <c r="AJ836" s="25">
        <v>395442622.95082003</v>
      </c>
      <c r="AK836" s="24">
        <f t="shared" si="280"/>
        <v>2.3836177050303903E-2</v>
      </c>
      <c r="AL836" s="22">
        <f t="shared" si="281"/>
        <v>25824.220202444703</v>
      </c>
      <c r="AM836" s="22">
        <f t="shared" si="282"/>
        <v>72619.260193852941</v>
      </c>
      <c r="AN836" s="22">
        <f t="shared" si="283"/>
        <v>-46795.039991408237</v>
      </c>
      <c r="AO836" s="26" t="str">
        <f t="shared" si="284"/>
        <v/>
      </c>
      <c r="AP836" s="26" t="str">
        <f t="shared" si="285"/>
        <v>pre-launch</v>
      </c>
      <c r="AQ836" s="18"/>
      <c r="AR836" s="18"/>
    </row>
    <row r="837" spans="1:44" x14ac:dyDescent="0.25">
      <c r="A837" s="43">
        <v>45898</v>
      </c>
      <c r="B837" s="17">
        <v>16727206705.290001</v>
      </c>
      <c r="C837" s="17">
        <v>0</v>
      </c>
      <c r="D837" s="17">
        <v>1187391721</v>
      </c>
      <c r="E837" s="19">
        <f t="shared" ref="E837:E900" si="286">B837+C837</f>
        <v>16727206705.290001</v>
      </c>
      <c r="F837" s="19">
        <f t="shared" ref="F837:F900" si="287">E837+D837</f>
        <v>17914598426.290001</v>
      </c>
      <c r="G837" s="20">
        <f t="shared" ref="G837:G900" si="288">IFERROR(C837/E837,0)</f>
        <v>0</v>
      </c>
      <c r="H837" s="17">
        <v>5416526</v>
      </c>
      <c r="I837" s="17">
        <v>598611</v>
      </c>
      <c r="J837" s="17">
        <v>166695</v>
      </c>
      <c r="K837" s="19">
        <f t="shared" ref="K837:K900" si="289">H837+I837</f>
        <v>6015137</v>
      </c>
      <c r="L837" s="18"/>
      <c r="M837" s="18"/>
      <c r="N837" s="18"/>
      <c r="O837" s="19">
        <f t="shared" ref="O837:O900" si="290">IF(H837=0,0,H837-L837)</f>
        <v>5416526</v>
      </c>
      <c r="P837" s="21">
        <f t="shared" ref="P837:P900" si="291">IF(B837=0,0,O837/B837*10000)</f>
        <v>3.2381533243604963</v>
      </c>
      <c r="Q837" s="17">
        <v>5036154</v>
      </c>
      <c r="R837" s="17">
        <v>353666</v>
      </c>
      <c r="S837" s="19">
        <f t="shared" ref="S837:S900" si="292">Q837+R837</f>
        <v>5389820</v>
      </c>
      <c r="T837" s="20">
        <f t="shared" ref="T837:T900" si="293">IF(A837&lt;HlpChangeDate,HlpSharePre,HlpSharePost)</f>
        <v>0.03</v>
      </c>
      <c r="U837" s="19">
        <f t="shared" ref="U837:U900" si="294">S837*T837/(1-T837)</f>
        <v>166695.46391752578</v>
      </c>
      <c r="V837" s="17">
        <v>166695</v>
      </c>
      <c r="W837" s="19">
        <f t="shared" ref="W837:W900" si="295">U837-V837</f>
        <v>0.46391752577619627</v>
      </c>
      <c r="X837" s="19">
        <f t="shared" ref="X837:X900" si="296">Y837+Z837</f>
        <v>625317</v>
      </c>
      <c r="Y837" s="17">
        <v>380372</v>
      </c>
      <c r="Z837" s="17">
        <v>244945</v>
      </c>
      <c r="AA837" s="19">
        <f t="shared" ref="AA837:AA900" si="297">X837-V837</f>
        <v>458622</v>
      </c>
      <c r="AB837" s="17">
        <v>5389820</v>
      </c>
      <c r="AC837" s="27">
        <v>44.411000000000001</v>
      </c>
      <c r="AD837" s="27">
        <v>44.829250000000002</v>
      </c>
      <c r="AE837" s="22">
        <f t="shared" ref="AE837:AE900" si="298">IFERROR(AB837/AD837,0)</f>
        <v>120229.98377175616</v>
      </c>
      <c r="AF837" s="23">
        <f t="shared" ref="AF837:AF900" si="299">K837-S837-X837</f>
        <v>0</v>
      </c>
      <c r="AG837" s="23">
        <f t="shared" ref="AG837:AG900" si="300">S837-AB837</f>
        <v>0</v>
      </c>
      <c r="AH837" s="17">
        <v>4659945.7127690297</v>
      </c>
      <c r="AI837" s="24">
        <f t="shared" ref="AI837:AI900" si="301">IFERROR(AH837/S837,0)</f>
        <v>0.86458280847394342</v>
      </c>
      <c r="AJ837" s="25">
        <v>395579234.97267801</v>
      </c>
      <c r="AK837" s="24">
        <f t="shared" ref="AK837:AK900" si="302">IF(AJ837&gt;0,AprCoef/SQRT(AJ837),0)</f>
        <v>2.3832060821190031E-2</v>
      </c>
      <c r="AL837" s="22">
        <f t="shared" ref="AL837:AL900" si="303">AJ837*AK837/365</f>
        <v>25828.680513612835</v>
      </c>
      <c r="AM837" s="22">
        <f t="shared" ref="AM837:AM900" si="304">AE837</f>
        <v>120229.98377175616</v>
      </c>
      <c r="AN837" s="22">
        <f t="shared" ref="AN837:AN900" si="305">AL837-AM837</f>
        <v>-94401.303258143322</v>
      </c>
      <c r="AO837" s="26" t="str">
        <f t="shared" ref="AO837:AO900" si="306">IF(A837&gt;=Hip3LaunchDate,"YES","")</f>
        <v/>
      </c>
      <c r="AP837" s="26" t="str">
        <f t="shared" ref="AP837:AP900" si="307">IF(A837&lt;Hip4LaunchDate,"pre-launch","live (zero-fee)")</f>
        <v>pre-launch</v>
      </c>
      <c r="AQ837" s="18"/>
      <c r="AR837" s="18"/>
    </row>
    <row r="838" spans="1:44" x14ac:dyDescent="0.25">
      <c r="A838" s="43">
        <v>45899</v>
      </c>
      <c r="B838" s="17">
        <v>6799419657.9899998</v>
      </c>
      <c r="C838" s="17">
        <v>0</v>
      </c>
      <c r="D838" s="17">
        <v>815965664</v>
      </c>
      <c r="E838" s="19">
        <f t="shared" si="286"/>
        <v>6799419657.9899998</v>
      </c>
      <c r="F838" s="19">
        <f t="shared" si="287"/>
        <v>7615385321.9899998</v>
      </c>
      <c r="G838" s="20">
        <f t="shared" si="288"/>
        <v>0</v>
      </c>
      <c r="H838" s="17">
        <v>2181919</v>
      </c>
      <c r="I838" s="17">
        <v>323882</v>
      </c>
      <c r="J838" s="17">
        <v>68557</v>
      </c>
      <c r="K838" s="19">
        <f t="shared" si="289"/>
        <v>2505801</v>
      </c>
      <c r="L838" s="18"/>
      <c r="M838" s="18"/>
      <c r="N838" s="18"/>
      <c r="O838" s="19">
        <f t="shared" si="290"/>
        <v>2181919</v>
      </c>
      <c r="P838" s="21">
        <f t="shared" si="291"/>
        <v>3.2089782801331084</v>
      </c>
      <c r="Q838" s="17">
        <v>2029059</v>
      </c>
      <c r="R838" s="17">
        <v>187625</v>
      </c>
      <c r="S838" s="19">
        <f t="shared" si="292"/>
        <v>2216684</v>
      </c>
      <c r="T838" s="20">
        <f t="shared" si="293"/>
        <v>0.03</v>
      </c>
      <c r="U838" s="19">
        <f t="shared" si="294"/>
        <v>68557.237113402065</v>
      </c>
      <c r="V838" s="17">
        <v>68557</v>
      </c>
      <c r="W838" s="19">
        <f t="shared" si="295"/>
        <v>0.23711340206500608</v>
      </c>
      <c r="X838" s="19">
        <f t="shared" si="296"/>
        <v>289117</v>
      </c>
      <c r="Y838" s="17">
        <v>152860</v>
      </c>
      <c r="Z838" s="17">
        <v>136257</v>
      </c>
      <c r="AA838" s="19">
        <f t="shared" si="297"/>
        <v>220560</v>
      </c>
      <c r="AB838" s="17">
        <v>2216684</v>
      </c>
      <c r="AC838" s="27">
        <v>44.029000000000003</v>
      </c>
      <c r="AD838" s="27">
        <v>44.149500000000003</v>
      </c>
      <c r="AE838" s="22">
        <f t="shared" si="298"/>
        <v>50208.586733711592</v>
      </c>
      <c r="AF838" s="23">
        <f t="shared" si="299"/>
        <v>0</v>
      </c>
      <c r="AG838" s="23">
        <f t="shared" si="300"/>
        <v>0</v>
      </c>
      <c r="AH838" s="17">
        <v>1982052.6108579601</v>
      </c>
      <c r="AI838" s="24">
        <f t="shared" si="301"/>
        <v>0.89415208070160657</v>
      </c>
      <c r="AJ838" s="25">
        <v>395715846.99453598</v>
      </c>
      <c r="AK838" s="24">
        <f t="shared" si="302"/>
        <v>2.3827946723813855E-2</v>
      </c>
      <c r="AL838" s="22">
        <f t="shared" si="303"/>
        <v>25833.140054670355</v>
      </c>
      <c r="AM838" s="22">
        <f t="shared" si="304"/>
        <v>50208.586733711592</v>
      </c>
      <c r="AN838" s="22">
        <f t="shared" si="305"/>
        <v>-24375.446679041237</v>
      </c>
      <c r="AO838" s="26" t="str">
        <f t="shared" si="306"/>
        <v/>
      </c>
      <c r="AP838" s="26" t="str">
        <f t="shared" si="307"/>
        <v>pre-launch</v>
      </c>
      <c r="AQ838" s="18"/>
      <c r="AR838" s="18"/>
    </row>
    <row r="839" spans="1:44" x14ac:dyDescent="0.25">
      <c r="A839" s="43">
        <v>45900</v>
      </c>
      <c r="B839" s="17">
        <v>5766508404.6099997</v>
      </c>
      <c r="C839" s="17">
        <v>0</v>
      </c>
      <c r="D839" s="17">
        <v>1224472730</v>
      </c>
      <c r="E839" s="19">
        <f t="shared" si="286"/>
        <v>5766508404.6099997</v>
      </c>
      <c r="F839" s="19">
        <f t="shared" si="287"/>
        <v>6990981134.6099997</v>
      </c>
      <c r="G839" s="20">
        <f t="shared" si="288"/>
        <v>0</v>
      </c>
      <c r="H839" s="17">
        <v>1980374</v>
      </c>
      <c r="I839" s="17">
        <v>473026</v>
      </c>
      <c r="J839" s="17">
        <v>21332</v>
      </c>
      <c r="K839" s="19">
        <f t="shared" si="289"/>
        <v>2453400</v>
      </c>
      <c r="L839" s="18"/>
      <c r="M839" s="18"/>
      <c r="N839" s="18"/>
      <c r="O839" s="19">
        <f t="shared" si="290"/>
        <v>1980374</v>
      </c>
      <c r="P839" s="21">
        <f t="shared" si="291"/>
        <v>3.4342688175340248</v>
      </c>
      <c r="Q839" s="17">
        <v>1853597</v>
      </c>
      <c r="R839" s="17">
        <v>258222</v>
      </c>
      <c r="S839" s="19">
        <f t="shared" si="292"/>
        <v>2111819</v>
      </c>
      <c r="T839" s="20">
        <f t="shared" si="293"/>
        <v>0.01</v>
      </c>
      <c r="U839" s="19">
        <f t="shared" si="294"/>
        <v>21331.505050505049</v>
      </c>
      <c r="V839" s="17">
        <v>21332</v>
      </c>
      <c r="W839" s="19">
        <f t="shared" si="295"/>
        <v>-0.49494949495056062</v>
      </c>
      <c r="X839" s="19">
        <f t="shared" si="296"/>
        <v>341582</v>
      </c>
      <c r="Y839" s="17">
        <v>126778</v>
      </c>
      <c r="Z839" s="17">
        <v>214804</v>
      </c>
      <c r="AA839" s="19">
        <f t="shared" si="297"/>
        <v>320250</v>
      </c>
      <c r="AB839" s="17">
        <v>2111819</v>
      </c>
      <c r="AC839" s="27">
        <v>44.27</v>
      </c>
      <c r="AD839" s="27">
        <v>44.414000000000001</v>
      </c>
      <c r="AE839" s="22">
        <f t="shared" si="298"/>
        <v>47548.498221281574</v>
      </c>
      <c r="AF839" s="23">
        <f t="shared" si="299"/>
        <v>-1</v>
      </c>
      <c r="AG839" s="23">
        <f t="shared" si="300"/>
        <v>0</v>
      </c>
      <c r="AH839" s="17">
        <v>1743851.05139303</v>
      </c>
      <c r="AI839" s="24">
        <f t="shared" si="301"/>
        <v>0.82575781891962807</v>
      </c>
      <c r="AJ839" s="25">
        <v>395852459.01639301</v>
      </c>
      <c r="AK839" s="24">
        <f t="shared" si="302"/>
        <v>2.3823834756336041E-2</v>
      </c>
      <c r="AL839" s="22">
        <f t="shared" si="303"/>
        <v>25837.598826015976</v>
      </c>
      <c r="AM839" s="22">
        <f t="shared" si="304"/>
        <v>47548.498221281574</v>
      </c>
      <c r="AN839" s="22">
        <f t="shared" si="305"/>
        <v>-21710.899395265598</v>
      </c>
      <c r="AO839" s="26" t="str">
        <f t="shared" si="306"/>
        <v/>
      </c>
      <c r="AP839" s="26" t="str">
        <f t="shared" si="307"/>
        <v>pre-launch</v>
      </c>
      <c r="AQ839" s="18"/>
      <c r="AR839" s="18"/>
    </row>
    <row r="840" spans="1:44" x14ac:dyDescent="0.25">
      <c r="A840" s="43">
        <v>45901</v>
      </c>
      <c r="B840" s="17">
        <v>11587932833.879999</v>
      </c>
      <c r="C840" s="17">
        <v>0</v>
      </c>
      <c r="D840" s="17">
        <v>830260769</v>
      </c>
      <c r="E840" s="19">
        <f t="shared" si="286"/>
        <v>11587932833.879999</v>
      </c>
      <c r="F840" s="19">
        <f t="shared" si="287"/>
        <v>12418193602.879999</v>
      </c>
      <c r="G840" s="20">
        <f t="shared" si="288"/>
        <v>0</v>
      </c>
      <c r="H840" s="17">
        <v>3664403</v>
      </c>
      <c r="I840" s="17">
        <v>297309</v>
      </c>
      <c r="J840" s="17">
        <v>36995</v>
      </c>
      <c r="K840" s="19">
        <f t="shared" si="289"/>
        <v>3961712</v>
      </c>
      <c r="L840" s="18"/>
      <c r="M840" s="18"/>
      <c r="N840" s="18"/>
      <c r="O840" s="19">
        <f t="shared" si="290"/>
        <v>3664403</v>
      </c>
      <c r="P840" s="21">
        <f t="shared" si="291"/>
        <v>3.1622577145824238</v>
      </c>
      <c r="Q840" s="17">
        <v>3475596</v>
      </c>
      <c r="R840" s="17">
        <v>186943</v>
      </c>
      <c r="S840" s="19">
        <f t="shared" si="292"/>
        <v>3662539</v>
      </c>
      <c r="T840" s="20">
        <f t="shared" si="293"/>
        <v>0.01</v>
      </c>
      <c r="U840" s="19">
        <f t="shared" si="294"/>
        <v>36995.343434343435</v>
      </c>
      <c r="V840" s="17">
        <v>36995</v>
      </c>
      <c r="W840" s="19">
        <f t="shared" si="295"/>
        <v>0.34343434343463741</v>
      </c>
      <c r="X840" s="19">
        <f t="shared" si="296"/>
        <v>299173</v>
      </c>
      <c r="Y840" s="17">
        <v>188807</v>
      </c>
      <c r="Z840" s="17">
        <v>110366</v>
      </c>
      <c r="AA840" s="19">
        <f t="shared" si="297"/>
        <v>262178</v>
      </c>
      <c r="AB840" s="17">
        <v>3662539</v>
      </c>
      <c r="AC840" s="27">
        <v>43.100999999999999</v>
      </c>
      <c r="AD840" s="27">
        <v>43.830500000000001</v>
      </c>
      <c r="AE840" s="22">
        <f t="shared" si="298"/>
        <v>83561.424122471799</v>
      </c>
      <c r="AF840" s="23">
        <f t="shared" si="299"/>
        <v>0</v>
      </c>
      <c r="AG840" s="23">
        <f t="shared" si="300"/>
        <v>0</v>
      </c>
      <c r="AH840" s="17">
        <v>3099156.9258990302</v>
      </c>
      <c r="AI840" s="24">
        <f t="shared" si="301"/>
        <v>0.846177180884362</v>
      </c>
      <c r="AJ840" s="25">
        <v>395989071.03825098</v>
      </c>
      <c r="AK840" s="24">
        <f t="shared" si="302"/>
        <v>2.3819724916919402E-2</v>
      </c>
      <c r="AL840" s="22">
        <f t="shared" si="303"/>
        <v>25842.056828048204</v>
      </c>
      <c r="AM840" s="22">
        <f t="shared" si="304"/>
        <v>83561.424122471799</v>
      </c>
      <c r="AN840" s="22">
        <f t="shared" si="305"/>
        <v>-57719.367294423595</v>
      </c>
      <c r="AO840" s="26" t="str">
        <f t="shared" si="306"/>
        <v/>
      </c>
      <c r="AP840" s="26" t="str">
        <f t="shared" si="307"/>
        <v>pre-launch</v>
      </c>
      <c r="AQ840" s="18"/>
      <c r="AR840" s="18"/>
    </row>
    <row r="841" spans="1:44" x14ac:dyDescent="0.25">
      <c r="A841" s="43">
        <v>45902</v>
      </c>
      <c r="B841" s="17">
        <v>11422881300.33</v>
      </c>
      <c r="C841" s="17">
        <v>0</v>
      </c>
      <c r="D841" s="17">
        <v>374820537</v>
      </c>
      <c r="E841" s="19">
        <f t="shared" si="286"/>
        <v>11422881300.33</v>
      </c>
      <c r="F841" s="19">
        <f t="shared" si="287"/>
        <v>11797701837.33</v>
      </c>
      <c r="G841" s="20">
        <f t="shared" si="288"/>
        <v>0</v>
      </c>
      <c r="H841" s="17">
        <v>3658558</v>
      </c>
      <c r="I841" s="17">
        <v>138213</v>
      </c>
      <c r="J841" s="17">
        <v>35926</v>
      </c>
      <c r="K841" s="19">
        <f t="shared" si="289"/>
        <v>3796771</v>
      </c>
      <c r="L841" s="18"/>
      <c r="M841" s="18"/>
      <c r="N841" s="18"/>
      <c r="O841" s="19">
        <f t="shared" si="290"/>
        <v>3658558</v>
      </c>
      <c r="P841" s="21">
        <f t="shared" si="291"/>
        <v>3.2028328963676675</v>
      </c>
      <c r="Q841" s="17">
        <v>3459346</v>
      </c>
      <c r="R841" s="17">
        <v>97355</v>
      </c>
      <c r="S841" s="19">
        <f t="shared" si="292"/>
        <v>3556701</v>
      </c>
      <c r="T841" s="20">
        <f t="shared" si="293"/>
        <v>0.01</v>
      </c>
      <c r="U841" s="19">
        <f t="shared" si="294"/>
        <v>35926.272727272728</v>
      </c>
      <c r="V841" s="17">
        <v>35926</v>
      </c>
      <c r="W841" s="19">
        <f t="shared" si="295"/>
        <v>0.27272727272793418</v>
      </c>
      <c r="X841" s="19">
        <f t="shared" si="296"/>
        <v>240069</v>
      </c>
      <c r="Y841" s="17">
        <v>199212</v>
      </c>
      <c r="Z841" s="17">
        <v>40857</v>
      </c>
      <c r="AA841" s="19">
        <f t="shared" si="297"/>
        <v>204143</v>
      </c>
      <c r="AB841" s="17">
        <v>3556701</v>
      </c>
      <c r="AC841" s="27">
        <v>44.863999999999997</v>
      </c>
      <c r="AD841" s="27">
        <v>43.98075</v>
      </c>
      <c r="AE841" s="22">
        <f t="shared" si="298"/>
        <v>80869.494040006131</v>
      </c>
      <c r="AF841" s="23">
        <f t="shared" si="299"/>
        <v>1</v>
      </c>
      <c r="AG841" s="23">
        <f t="shared" si="300"/>
        <v>0</v>
      </c>
      <c r="AH841" s="17">
        <v>3084713.0661479202</v>
      </c>
      <c r="AI841" s="24">
        <f t="shared" si="301"/>
        <v>0.8672961449803962</v>
      </c>
      <c r="AJ841" s="25">
        <v>396125683.06010902</v>
      </c>
      <c r="AK841" s="24">
        <f t="shared" si="302"/>
        <v>2.3815617203729031E-2</v>
      </c>
      <c r="AL841" s="22">
        <f t="shared" si="303"/>
        <v>25846.514061165057</v>
      </c>
      <c r="AM841" s="22">
        <f t="shared" si="304"/>
        <v>80869.494040006131</v>
      </c>
      <c r="AN841" s="22">
        <f t="shared" si="305"/>
        <v>-55022.979978841075</v>
      </c>
      <c r="AO841" s="26" t="str">
        <f t="shared" si="306"/>
        <v/>
      </c>
      <c r="AP841" s="26" t="str">
        <f t="shared" si="307"/>
        <v>pre-launch</v>
      </c>
      <c r="AQ841" s="18"/>
      <c r="AR841" s="18"/>
    </row>
    <row r="842" spans="1:44" x14ac:dyDescent="0.25">
      <c r="A842" s="43">
        <v>45903</v>
      </c>
      <c r="B842" s="17">
        <v>8200160965.1999998</v>
      </c>
      <c r="C842" s="17">
        <v>0</v>
      </c>
      <c r="D842" s="17">
        <v>304761980</v>
      </c>
      <c r="E842" s="19">
        <f t="shared" si="286"/>
        <v>8200160965.1999998</v>
      </c>
      <c r="F842" s="19">
        <f t="shared" si="287"/>
        <v>8504922945.1999998</v>
      </c>
      <c r="G842" s="20">
        <f t="shared" si="288"/>
        <v>0</v>
      </c>
      <c r="H842" s="17">
        <v>2677079</v>
      </c>
      <c r="I842" s="17">
        <v>121295</v>
      </c>
      <c r="J842" s="17">
        <v>26399</v>
      </c>
      <c r="K842" s="19">
        <f t="shared" si="289"/>
        <v>2798374</v>
      </c>
      <c r="L842" s="18"/>
      <c r="M842" s="18"/>
      <c r="N842" s="18"/>
      <c r="O842" s="19">
        <f t="shared" si="290"/>
        <v>2677079</v>
      </c>
      <c r="P842" s="21">
        <f t="shared" si="291"/>
        <v>3.2646664027218968</v>
      </c>
      <c r="Q842" s="17">
        <v>2522907</v>
      </c>
      <c r="R842" s="17">
        <v>90595</v>
      </c>
      <c r="S842" s="19">
        <f t="shared" si="292"/>
        <v>2613502</v>
      </c>
      <c r="T842" s="20">
        <f t="shared" si="293"/>
        <v>0.01</v>
      </c>
      <c r="U842" s="19">
        <f t="shared" si="294"/>
        <v>26399.010101010103</v>
      </c>
      <c r="V842" s="17">
        <v>26399</v>
      </c>
      <c r="W842" s="19">
        <f t="shared" si="295"/>
        <v>1.0101010102516739E-2</v>
      </c>
      <c r="X842" s="19">
        <f t="shared" si="296"/>
        <v>184871</v>
      </c>
      <c r="Y842" s="17">
        <v>154172</v>
      </c>
      <c r="Z842" s="17">
        <v>30699</v>
      </c>
      <c r="AA842" s="19">
        <f t="shared" si="297"/>
        <v>158472</v>
      </c>
      <c r="AB842" s="17">
        <v>2613502</v>
      </c>
      <c r="AC842" s="27">
        <v>45.813000000000002</v>
      </c>
      <c r="AD842" s="27">
        <v>45.347999999999999</v>
      </c>
      <c r="AE842" s="22">
        <f t="shared" si="298"/>
        <v>57632.13372144306</v>
      </c>
      <c r="AF842" s="23">
        <f t="shared" si="299"/>
        <v>1</v>
      </c>
      <c r="AG842" s="23">
        <f t="shared" si="300"/>
        <v>0</v>
      </c>
      <c r="AH842" s="17">
        <v>2255200.3136380902</v>
      </c>
      <c r="AI842" s="24">
        <f t="shared" si="301"/>
        <v>0.86290361118456771</v>
      </c>
      <c r="AJ842" s="25">
        <v>396262295.081967</v>
      </c>
      <c r="AK842" s="24">
        <f t="shared" si="302"/>
        <v>2.3811511614932231E-2</v>
      </c>
      <c r="AL842" s="22">
        <f t="shared" si="303"/>
        <v>25850.970525764274</v>
      </c>
      <c r="AM842" s="22">
        <f t="shared" si="304"/>
        <v>57632.13372144306</v>
      </c>
      <c r="AN842" s="22">
        <f t="shared" si="305"/>
        <v>-31781.163195678786</v>
      </c>
      <c r="AO842" s="26" t="str">
        <f t="shared" si="306"/>
        <v/>
      </c>
      <c r="AP842" s="26" t="str">
        <f t="shared" si="307"/>
        <v>pre-launch</v>
      </c>
      <c r="AQ842" s="18"/>
      <c r="AR842" s="18"/>
    </row>
    <row r="843" spans="1:44" x14ac:dyDescent="0.25">
      <c r="A843" s="43">
        <v>45904</v>
      </c>
      <c r="B843" s="17">
        <v>9353334458.8600006</v>
      </c>
      <c r="C843" s="17">
        <v>0</v>
      </c>
      <c r="D843" s="17">
        <v>304771297</v>
      </c>
      <c r="E843" s="19">
        <f t="shared" si="286"/>
        <v>9353334458.8600006</v>
      </c>
      <c r="F843" s="19">
        <f t="shared" si="287"/>
        <v>9658105755.8600006</v>
      </c>
      <c r="G843" s="20">
        <f t="shared" si="288"/>
        <v>0</v>
      </c>
      <c r="H843" s="17">
        <v>3127302</v>
      </c>
      <c r="I843" s="17">
        <v>141848</v>
      </c>
      <c r="J843" s="17">
        <v>30630</v>
      </c>
      <c r="K843" s="19">
        <f t="shared" si="289"/>
        <v>3269150</v>
      </c>
      <c r="L843" s="18"/>
      <c r="M843" s="18"/>
      <c r="N843" s="18"/>
      <c r="O843" s="19">
        <f t="shared" si="290"/>
        <v>3127302</v>
      </c>
      <c r="P843" s="21">
        <f t="shared" si="291"/>
        <v>3.3435156347238766</v>
      </c>
      <c r="Q843" s="17">
        <v>2924261</v>
      </c>
      <c r="R843" s="17">
        <v>108106</v>
      </c>
      <c r="S843" s="19">
        <f t="shared" si="292"/>
        <v>3032367</v>
      </c>
      <c r="T843" s="20">
        <f t="shared" si="293"/>
        <v>0.01</v>
      </c>
      <c r="U843" s="19">
        <f t="shared" si="294"/>
        <v>30629.9696969697</v>
      </c>
      <c r="V843" s="17">
        <v>30630</v>
      </c>
      <c r="W843" s="19">
        <f t="shared" si="295"/>
        <v>-3.0303030300274258E-2</v>
      </c>
      <c r="X843" s="19">
        <f t="shared" si="296"/>
        <v>236783</v>
      </c>
      <c r="Y843" s="17">
        <v>203041</v>
      </c>
      <c r="Z843" s="17">
        <v>33742</v>
      </c>
      <c r="AA843" s="19">
        <f t="shared" si="297"/>
        <v>206153</v>
      </c>
      <c r="AB843" s="17">
        <v>3032367</v>
      </c>
      <c r="AC843" s="27">
        <v>45.328000000000003</v>
      </c>
      <c r="AD843" s="27">
        <v>45.45675</v>
      </c>
      <c r="AE843" s="22">
        <f t="shared" si="298"/>
        <v>66708.838621326868</v>
      </c>
      <c r="AF843" s="23">
        <f t="shared" si="299"/>
        <v>0</v>
      </c>
      <c r="AG843" s="23">
        <f t="shared" si="300"/>
        <v>0</v>
      </c>
      <c r="AH843" s="17">
        <v>2540673.73881996</v>
      </c>
      <c r="AI843" s="24">
        <f t="shared" si="301"/>
        <v>0.83785166466326799</v>
      </c>
      <c r="AJ843" s="25">
        <v>396398907.10382497</v>
      </c>
      <c r="AK843" s="24">
        <f t="shared" si="302"/>
        <v>2.3807408148698507E-2</v>
      </c>
      <c r="AL843" s="22">
        <f t="shared" si="303"/>
        <v>25855.426222243248</v>
      </c>
      <c r="AM843" s="22">
        <f t="shared" si="304"/>
        <v>66708.838621326868</v>
      </c>
      <c r="AN843" s="22">
        <f t="shared" si="305"/>
        <v>-40853.412399083623</v>
      </c>
      <c r="AO843" s="26" t="str">
        <f t="shared" si="306"/>
        <v/>
      </c>
      <c r="AP843" s="26" t="str">
        <f t="shared" si="307"/>
        <v>pre-launch</v>
      </c>
      <c r="AQ843" s="18"/>
      <c r="AR843" s="18"/>
    </row>
    <row r="844" spans="1:44" x14ac:dyDescent="0.25">
      <c r="A844" s="43">
        <v>45905</v>
      </c>
      <c r="B844" s="17">
        <v>13297495996.65</v>
      </c>
      <c r="C844" s="17">
        <v>0</v>
      </c>
      <c r="D844" s="17">
        <v>461258458</v>
      </c>
      <c r="E844" s="19">
        <f t="shared" si="286"/>
        <v>13297495996.65</v>
      </c>
      <c r="F844" s="19">
        <f t="shared" si="287"/>
        <v>13758754454.65</v>
      </c>
      <c r="G844" s="20">
        <f t="shared" si="288"/>
        <v>0</v>
      </c>
      <c r="H844" s="17">
        <v>4257286</v>
      </c>
      <c r="I844" s="17">
        <v>202138</v>
      </c>
      <c r="J844" s="17">
        <v>41779</v>
      </c>
      <c r="K844" s="19">
        <f t="shared" si="289"/>
        <v>4459424</v>
      </c>
      <c r="L844" s="18"/>
      <c r="M844" s="18"/>
      <c r="N844" s="18"/>
      <c r="O844" s="19">
        <f t="shared" si="290"/>
        <v>4257286</v>
      </c>
      <c r="P844" s="21">
        <f t="shared" si="291"/>
        <v>3.2015696797897335</v>
      </c>
      <c r="Q844" s="17">
        <v>3983940</v>
      </c>
      <c r="R844" s="17">
        <v>152198</v>
      </c>
      <c r="S844" s="19">
        <f t="shared" si="292"/>
        <v>4136138</v>
      </c>
      <c r="T844" s="20">
        <f t="shared" si="293"/>
        <v>0.01</v>
      </c>
      <c r="U844" s="19">
        <f t="shared" si="294"/>
        <v>41779.171717171717</v>
      </c>
      <c r="V844" s="17">
        <v>41779</v>
      </c>
      <c r="W844" s="19">
        <f t="shared" si="295"/>
        <v>0.17171717171731871</v>
      </c>
      <c r="X844" s="19">
        <f t="shared" si="296"/>
        <v>323286</v>
      </c>
      <c r="Y844" s="17">
        <v>273346</v>
      </c>
      <c r="Z844" s="17">
        <v>49940</v>
      </c>
      <c r="AA844" s="19">
        <f t="shared" si="297"/>
        <v>281507</v>
      </c>
      <c r="AB844" s="17">
        <v>4136138</v>
      </c>
      <c r="AC844" s="27">
        <v>47.197000000000003</v>
      </c>
      <c r="AD844" s="27">
        <v>46.343249999999998</v>
      </c>
      <c r="AE844" s="22">
        <f t="shared" si="298"/>
        <v>89250.063385714209</v>
      </c>
      <c r="AF844" s="23">
        <f t="shared" si="299"/>
        <v>0</v>
      </c>
      <c r="AG844" s="23">
        <f t="shared" si="300"/>
        <v>0</v>
      </c>
      <c r="AH844" s="17">
        <v>3456517.6430280199</v>
      </c>
      <c r="AI844" s="24">
        <f t="shared" si="301"/>
        <v>0.83568721426316528</v>
      </c>
      <c r="AJ844" s="25">
        <v>396535519.12568301</v>
      </c>
      <c r="AK844" s="24">
        <f t="shared" si="302"/>
        <v>2.3803306803199562E-2</v>
      </c>
      <c r="AL844" s="22">
        <f t="shared" si="303"/>
        <v>25859.881150999016</v>
      </c>
      <c r="AM844" s="22">
        <f t="shared" si="304"/>
        <v>89250.063385714209</v>
      </c>
      <c r="AN844" s="22">
        <f t="shared" si="305"/>
        <v>-63390.18223471519</v>
      </c>
      <c r="AO844" s="26" t="str">
        <f t="shared" si="306"/>
        <v/>
      </c>
      <c r="AP844" s="26" t="str">
        <f t="shared" si="307"/>
        <v>pre-launch</v>
      </c>
      <c r="AQ844" s="18"/>
      <c r="AR844" s="18"/>
    </row>
    <row r="845" spans="1:44" x14ac:dyDescent="0.25">
      <c r="A845" s="43">
        <v>45906</v>
      </c>
      <c r="B845" s="17">
        <v>3331797735.0599999</v>
      </c>
      <c r="C845" s="17">
        <v>0</v>
      </c>
      <c r="D845" s="17">
        <v>213962466</v>
      </c>
      <c r="E845" s="19">
        <f t="shared" si="286"/>
        <v>3331797735.0599999</v>
      </c>
      <c r="F845" s="19">
        <f t="shared" si="287"/>
        <v>3545760201.0599999</v>
      </c>
      <c r="G845" s="20">
        <f t="shared" si="288"/>
        <v>0</v>
      </c>
      <c r="H845" s="17">
        <v>1238022</v>
      </c>
      <c r="I845" s="17">
        <v>113097</v>
      </c>
      <c r="J845" s="17">
        <v>12117</v>
      </c>
      <c r="K845" s="19">
        <f t="shared" si="289"/>
        <v>1351119</v>
      </c>
      <c r="L845" s="18"/>
      <c r="M845" s="18"/>
      <c r="N845" s="18"/>
      <c r="O845" s="19">
        <f t="shared" si="290"/>
        <v>1238022</v>
      </c>
      <c r="P845" s="21">
        <f t="shared" si="291"/>
        <v>3.7157777825841078</v>
      </c>
      <c r="Q845" s="17">
        <v>1113013</v>
      </c>
      <c r="R845" s="17">
        <v>86566</v>
      </c>
      <c r="S845" s="19">
        <f t="shared" si="292"/>
        <v>1199579</v>
      </c>
      <c r="T845" s="20">
        <f t="shared" si="293"/>
        <v>0.01</v>
      </c>
      <c r="U845" s="19">
        <f t="shared" si="294"/>
        <v>12116.959595959597</v>
      </c>
      <c r="V845" s="17">
        <v>12117</v>
      </c>
      <c r="W845" s="19">
        <f t="shared" si="295"/>
        <v>-4.0404040402790997E-2</v>
      </c>
      <c r="X845" s="19">
        <f t="shared" si="296"/>
        <v>151541</v>
      </c>
      <c r="Y845" s="17">
        <v>125010</v>
      </c>
      <c r="Z845" s="17">
        <v>26531</v>
      </c>
      <c r="AA845" s="19">
        <f t="shared" si="297"/>
        <v>139424</v>
      </c>
      <c r="AB845" s="17">
        <v>1199579</v>
      </c>
      <c r="AC845" s="27">
        <v>45.988</v>
      </c>
      <c r="AD845" s="27">
        <v>46.602499999999999</v>
      </c>
      <c r="AE845" s="22">
        <f t="shared" si="298"/>
        <v>25740.65769003809</v>
      </c>
      <c r="AF845" s="23">
        <f t="shared" si="299"/>
        <v>-1</v>
      </c>
      <c r="AG845" s="23">
        <f t="shared" si="300"/>
        <v>0</v>
      </c>
      <c r="AH845" s="17">
        <v>1011291.160411</v>
      </c>
      <c r="AI845" s="24">
        <f t="shared" si="301"/>
        <v>0.84303839964770977</v>
      </c>
      <c r="AJ845" s="25">
        <v>396672131.14754099</v>
      </c>
      <c r="AK845" s="24">
        <f t="shared" si="302"/>
        <v>2.3799207576609315E-2</v>
      </c>
      <c r="AL845" s="22">
        <f t="shared" si="303"/>
        <v>25864.33531242828</v>
      </c>
      <c r="AM845" s="22">
        <f t="shared" si="304"/>
        <v>25740.65769003809</v>
      </c>
      <c r="AN845" s="22">
        <f t="shared" si="305"/>
        <v>123.67762239019066</v>
      </c>
      <c r="AO845" s="26" t="str">
        <f t="shared" si="306"/>
        <v/>
      </c>
      <c r="AP845" s="26" t="str">
        <f t="shared" si="307"/>
        <v>pre-launch</v>
      </c>
      <c r="AQ845" s="18"/>
      <c r="AR845" s="18"/>
    </row>
    <row r="846" spans="1:44" x14ac:dyDescent="0.25">
      <c r="A846" s="43">
        <v>45907</v>
      </c>
      <c r="B846" s="17">
        <v>3844405859.2800002</v>
      </c>
      <c r="C846" s="17">
        <v>0</v>
      </c>
      <c r="D846" s="17">
        <v>238668985</v>
      </c>
      <c r="E846" s="19">
        <f t="shared" si="286"/>
        <v>3844405859.2800002</v>
      </c>
      <c r="F846" s="19">
        <f t="shared" si="287"/>
        <v>4083074844.2800002</v>
      </c>
      <c r="G846" s="20">
        <f t="shared" si="288"/>
        <v>0</v>
      </c>
      <c r="H846" s="17">
        <v>1377404</v>
      </c>
      <c r="I846" s="17">
        <v>140516</v>
      </c>
      <c r="J846" s="17">
        <v>13448</v>
      </c>
      <c r="K846" s="19">
        <f t="shared" si="289"/>
        <v>1517920</v>
      </c>
      <c r="L846" s="18"/>
      <c r="M846" s="18"/>
      <c r="N846" s="18"/>
      <c r="O846" s="19">
        <f t="shared" si="290"/>
        <v>1377404</v>
      </c>
      <c r="P846" s="21">
        <f t="shared" si="291"/>
        <v>3.5828787344996069</v>
      </c>
      <c r="Q846" s="17">
        <v>1224269</v>
      </c>
      <c r="R846" s="17">
        <v>107118</v>
      </c>
      <c r="S846" s="19">
        <f t="shared" si="292"/>
        <v>1331387</v>
      </c>
      <c r="T846" s="20">
        <f t="shared" si="293"/>
        <v>0.01</v>
      </c>
      <c r="U846" s="19">
        <f t="shared" si="294"/>
        <v>13448.353535353537</v>
      </c>
      <c r="V846" s="17">
        <v>13448</v>
      </c>
      <c r="W846" s="19">
        <f t="shared" si="295"/>
        <v>0.35353535353715415</v>
      </c>
      <c r="X846" s="19">
        <f t="shared" si="296"/>
        <v>186533</v>
      </c>
      <c r="Y846" s="17">
        <v>153135</v>
      </c>
      <c r="Z846" s="17">
        <v>33398</v>
      </c>
      <c r="AA846" s="19">
        <f t="shared" si="297"/>
        <v>173085</v>
      </c>
      <c r="AB846" s="17">
        <v>1331387</v>
      </c>
      <c r="AC846" s="27">
        <v>47.094000000000001</v>
      </c>
      <c r="AD846" s="27">
        <v>46.684750000000001</v>
      </c>
      <c r="AE846" s="22">
        <f t="shared" si="298"/>
        <v>28518.670443774467</v>
      </c>
      <c r="AF846" s="23">
        <f t="shared" si="299"/>
        <v>0</v>
      </c>
      <c r="AG846" s="23">
        <f t="shared" si="300"/>
        <v>0</v>
      </c>
      <c r="AH846" s="17">
        <v>1043733.72528195</v>
      </c>
      <c r="AI846" s="24">
        <f t="shared" si="301"/>
        <v>0.78394465717477335</v>
      </c>
      <c r="AJ846" s="25">
        <v>396808743.16939902</v>
      </c>
      <c r="AK846" s="24">
        <f t="shared" si="302"/>
        <v>2.3795110467103878E-2</v>
      </c>
      <c r="AL846" s="22">
        <f t="shared" si="303"/>
        <v>25868.7887069274</v>
      </c>
      <c r="AM846" s="22">
        <f t="shared" si="304"/>
        <v>28518.670443774467</v>
      </c>
      <c r="AN846" s="22">
        <f t="shared" si="305"/>
        <v>-2649.8817368470663</v>
      </c>
      <c r="AO846" s="26" t="str">
        <f t="shared" si="306"/>
        <v/>
      </c>
      <c r="AP846" s="26" t="str">
        <f t="shared" si="307"/>
        <v>pre-launch</v>
      </c>
      <c r="AQ846" s="18"/>
      <c r="AR846" s="18"/>
    </row>
    <row r="847" spans="1:44" x14ac:dyDescent="0.25">
      <c r="A847" s="43">
        <v>45908</v>
      </c>
      <c r="B847" s="17">
        <v>9243638471.3700008</v>
      </c>
      <c r="C847" s="17">
        <v>0</v>
      </c>
      <c r="D847" s="17">
        <v>557899557</v>
      </c>
      <c r="E847" s="19">
        <f t="shared" si="286"/>
        <v>9243638471.3700008</v>
      </c>
      <c r="F847" s="19">
        <f t="shared" si="287"/>
        <v>9801538028.3700008</v>
      </c>
      <c r="G847" s="20">
        <f t="shared" si="288"/>
        <v>0</v>
      </c>
      <c r="H847" s="17">
        <v>3311465</v>
      </c>
      <c r="I847" s="17">
        <v>273056</v>
      </c>
      <c r="J847" s="17">
        <v>32724</v>
      </c>
      <c r="K847" s="19">
        <f t="shared" si="289"/>
        <v>3584521</v>
      </c>
      <c r="L847" s="18"/>
      <c r="M847" s="18"/>
      <c r="N847" s="18"/>
      <c r="O847" s="19">
        <f t="shared" si="290"/>
        <v>3311465</v>
      </c>
      <c r="P847" s="21">
        <f t="shared" si="291"/>
        <v>3.5824259140559045</v>
      </c>
      <c r="Q847" s="17">
        <v>3022150</v>
      </c>
      <c r="R847" s="17">
        <v>217527</v>
      </c>
      <c r="S847" s="19">
        <f t="shared" si="292"/>
        <v>3239677</v>
      </c>
      <c r="T847" s="20">
        <f t="shared" si="293"/>
        <v>0.01</v>
      </c>
      <c r="U847" s="19">
        <f t="shared" si="294"/>
        <v>32724.010101010103</v>
      </c>
      <c r="V847" s="17">
        <v>32724</v>
      </c>
      <c r="W847" s="19">
        <f t="shared" si="295"/>
        <v>1.0101010102516739E-2</v>
      </c>
      <c r="X847" s="19">
        <f t="shared" si="296"/>
        <v>344843</v>
      </c>
      <c r="Y847" s="17">
        <v>289314</v>
      </c>
      <c r="Z847" s="17">
        <v>55529</v>
      </c>
      <c r="AA847" s="19">
        <f t="shared" si="297"/>
        <v>312119</v>
      </c>
      <c r="AB847" s="17">
        <v>3239677</v>
      </c>
      <c r="AC847" s="27">
        <v>50.887</v>
      </c>
      <c r="AD847" s="27">
        <v>49.212249999999997</v>
      </c>
      <c r="AE847" s="22">
        <f t="shared" si="298"/>
        <v>65830.702721375274</v>
      </c>
      <c r="AF847" s="23">
        <f t="shared" si="299"/>
        <v>1</v>
      </c>
      <c r="AG847" s="23">
        <f t="shared" si="300"/>
        <v>0</v>
      </c>
      <c r="AH847" s="17">
        <v>2707950.0162440501</v>
      </c>
      <c r="AI847" s="24">
        <f t="shared" si="301"/>
        <v>0.83587037110306062</v>
      </c>
      <c r="AJ847" s="25">
        <v>396945355.191257</v>
      </c>
      <c r="AK847" s="24">
        <f t="shared" si="302"/>
        <v>2.3791015472861572E-2</v>
      </c>
      <c r="AL847" s="22">
        <f t="shared" si="303"/>
        <v>25873.241334892406</v>
      </c>
      <c r="AM847" s="22">
        <f t="shared" si="304"/>
        <v>65830.702721375274</v>
      </c>
      <c r="AN847" s="22">
        <f t="shared" si="305"/>
        <v>-39957.461386482872</v>
      </c>
      <c r="AO847" s="26" t="str">
        <f t="shared" si="306"/>
        <v/>
      </c>
      <c r="AP847" s="26" t="str">
        <f t="shared" si="307"/>
        <v>pre-launch</v>
      </c>
      <c r="AQ847" s="18"/>
      <c r="AR847" s="18"/>
    </row>
    <row r="848" spans="1:44" x14ac:dyDescent="0.25">
      <c r="A848" s="43">
        <v>45909</v>
      </c>
      <c r="B848" s="17">
        <v>10021381731.790001</v>
      </c>
      <c r="C848" s="17">
        <v>0</v>
      </c>
      <c r="D848" s="17">
        <v>709494359</v>
      </c>
      <c r="E848" s="19">
        <f t="shared" si="286"/>
        <v>10021381731.790001</v>
      </c>
      <c r="F848" s="19">
        <f t="shared" si="287"/>
        <v>10730876090.790001</v>
      </c>
      <c r="G848" s="20">
        <f t="shared" si="288"/>
        <v>0</v>
      </c>
      <c r="H848" s="17">
        <v>3652112</v>
      </c>
      <c r="I848" s="17">
        <v>413034</v>
      </c>
      <c r="J848" s="17">
        <v>36188</v>
      </c>
      <c r="K848" s="19">
        <f t="shared" si="289"/>
        <v>4065146</v>
      </c>
      <c r="L848" s="18"/>
      <c r="M848" s="18"/>
      <c r="N848" s="18"/>
      <c r="O848" s="19">
        <f t="shared" si="290"/>
        <v>3652112</v>
      </c>
      <c r="P848" s="21">
        <f t="shared" si="291"/>
        <v>3.6443198131198882</v>
      </c>
      <c r="Q848" s="17">
        <v>3240005</v>
      </c>
      <c r="R848" s="17">
        <v>342654</v>
      </c>
      <c r="S848" s="19">
        <f t="shared" si="292"/>
        <v>3582659</v>
      </c>
      <c r="T848" s="20">
        <f t="shared" si="293"/>
        <v>0.01</v>
      </c>
      <c r="U848" s="19">
        <f t="shared" si="294"/>
        <v>36188.474747474749</v>
      </c>
      <c r="V848" s="17">
        <v>36188</v>
      </c>
      <c r="W848" s="19">
        <f t="shared" si="295"/>
        <v>0.47474747474916512</v>
      </c>
      <c r="X848" s="19">
        <f t="shared" si="296"/>
        <v>482487</v>
      </c>
      <c r="Y848" s="17">
        <v>412107</v>
      </c>
      <c r="Z848" s="17">
        <v>70380</v>
      </c>
      <c r="AA848" s="19">
        <f t="shared" si="297"/>
        <v>446299</v>
      </c>
      <c r="AB848" s="17">
        <v>3582659</v>
      </c>
      <c r="AC848" s="27">
        <v>53.256999999999998</v>
      </c>
      <c r="AD848" s="27">
        <v>52.458500000000001</v>
      </c>
      <c r="AE848" s="22">
        <f t="shared" si="298"/>
        <v>68295.109467483824</v>
      </c>
      <c r="AF848" s="23">
        <f t="shared" si="299"/>
        <v>0</v>
      </c>
      <c r="AG848" s="23">
        <f t="shared" si="300"/>
        <v>0</v>
      </c>
      <c r="AH848" s="17">
        <v>2920158.1510559302</v>
      </c>
      <c r="AI848" s="24">
        <f t="shared" si="301"/>
        <v>0.81508124302534235</v>
      </c>
      <c r="AJ848" s="25">
        <v>397081967.21311498</v>
      </c>
      <c r="AK848" s="24">
        <f t="shared" si="302"/>
        <v>2.3786922592062901E-2</v>
      </c>
      <c r="AL848" s="22">
        <f t="shared" si="303"/>
        <v>25877.69319671897</v>
      </c>
      <c r="AM848" s="22">
        <f t="shared" si="304"/>
        <v>68295.109467483824</v>
      </c>
      <c r="AN848" s="22">
        <f t="shared" si="305"/>
        <v>-42417.41627076485</v>
      </c>
      <c r="AO848" s="26" t="str">
        <f t="shared" si="306"/>
        <v/>
      </c>
      <c r="AP848" s="26" t="str">
        <f t="shared" si="307"/>
        <v>pre-launch</v>
      </c>
      <c r="AQ848" s="18"/>
      <c r="AR848" s="18"/>
    </row>
    <row r="849" spans="1:44" x14ac:dyDescent="0.25">
      <c r="A849" s="43">
        <v>45910</v>
      </c>
      <c r="B849" s="17">
        <v>10548513640.870001</v>
      </c>
      <c r="C849" s="17">
        <v>0</v>
      </c>
      <c r="D849" s="17">
        <v>713998161</v>
      </c>
      <c r="E849" s="19">
        <f t="shared" si="286"/>
        <v>10548513640.870001</v>
      </c>
      <c r="F849" s="19">
        <f t="shared" si="287"/>
        <v>11262511801.870001</v>
      </c>
      <c r="G849" s="20">
        <f t="shared" si="288"/>
        <v>0</v>
      </c>
      <c r="H849" s="17">
        <v>3898081</v>
      </c>
      <c r="I849" s="17">
        <v>460271</v>
      </c>
      <c r="J849" s="17">
        <v>38675</v>
      </c>
      <c r="K849" s="19">
        <f t="shared" si="289"/>
        <v>4358352</v>
      </c>
      <c r="L849" s="18"/>
      <c r="M849" s="18"/>
      <c r="N849" s="18"/>
      <c r="O849" s="19">
        <f t="shared" si="290"/>
        <v>3898081</v>
      </c>
      <c r="P849" s="21">
        <f t="shared" si="291"/>
        <v>3.6953841391425657</v>
      </c>
      <c r="Q849" s="17">
        <v>3476686</v>
      </c>
      <c r="R849" s="17">
        <v>352169</v>
      </c>
      <c r="S849" s="19">
        <f t="shared" si="292"/>
        <v>3828855</v>
      </c>
      <c r="T849" s="20">
        <f t="shared" si="293"/>
        <v>0.01</v>
      </c>
      <c r="U849" s="19">
        <f t="shared" si="294"/>
        <v>38675.303030303032</v>
      </c>
      <c r="V849" s="17">
        <v>38675</v>
      </c>
      <c r="W849" s="19">
        <f t="shared" si="295"/>
        <v>0.30303030303184642</v>
      </c>
      <c r="X849" s="19">
        <f t="shared" si="296"/>
        <v>529497</v>
      </c>
      <c r="Y849" s="17">
        <v>421395</v>
      </c>
      <c r="Z849" s="17">
        <v>108102</v>
      </c>
      <c r="AA849" s="19">
        <f t="shared" si="297"/>
        <v>490822</v>
      </c>
      <c r="AB849" s="17">
        <v>3828855</v>
      </c>
      <c r="AC849" s="27">
        <v>55.436999999999998</v>
      </c>
      <c r="AD849" s="27">
        <v>54.308999999999997</v>
      </c>
      <c r="AE849" s="22">
        <f t="shared" si="298"/>
        <v>70501.298127382208</v>
      </c>
      <c r="AF849" s="23">
        <f t="shared" si="299"/>
        <v>0</v>
      </c>
      <c r="AG849" s="23">
        <f t="shared" si="300"/>
        <v>0</v>
      </c>
      <c r="AH849" s="17">
        <v>3106399.4410320502</v>
      </c>
      <c r="AI849" s="24">
        <f t="shared" si="301"/>
        <v>0.81131289668374751</v>
      </c>
      <c r="AJ849" s="25">
        <v>397218579.23497301</v>
      </c>
      <c r="AK849" s="24">
        <f t="shared" si="302"/>
        <v>2.3782831822890555E-2</v>
      </c>
      <c r="AL849" s="22">
        <f t="shared" si="303"/>
        <v>25882.144292802433</v>
      </c>
      <c r="AM849" s="22">
        <f t="shared" si="304"/>
        <v>70501.298127382208</v>
      </c>
      <c r="AN849" s="22">
        <f t="shared" si="305"/>
        <v>-44619.153834579774</v>
      </c>
      <c r="AO849" s="26" t="str">
        <f t="shared" si="306"/>
        <v/>
      </c>
      <c r="AP849" s="26" t="str">
        <f t="shared" si="307"/>
        <v>pre-launch</v>
      </c>
      <c r="AQ849" s="18"/>
      <c r="AR849" s="18"/>
    </row>
    <row r="850" spans="1:44" x14ac:dyDescent="0.25">
      <c r="A850" s="43">
        <v>45911</v>
      </c>
      <c r="B850" s="17">
        <v>10439854514.6</v>
      </c>
      <c r="C850" s="17">
        <v>0</v>
      </c>
      <c r="D850" s="17">
        <v>1143011983</v>
      </c>
      <c r="E850" s="19">
        <f t="shared" si="286"/>
        <v>10439854514.6</v>
      </c>
      <c r="F850" s="19">
        <f t="shared" si="287"/>
        <v>11582866497.6</v>
      </c>
      <c r="G850" s="20">
        <f t="shared" si="288"/>
        <v>0</v>
      </c>
      <c r="H850" s="17">
        <v>4131310</v>
      </c>
      <c r="I850" s="17">
        <v>877218</v>
      </c>
      <c r="J850" s="17">
        <v>41854</v>
      </c>
      <c r="K850" s="19">
        <f t="shared" si="289"/>
        <v>5008528</v>
      </c>
      <c r="L850" s="18"/>
      <c r="M850" s="18"/>
      <c r="N850" s="18"/>
      <c r="O850" s="19">
        <f t="shared" si="290"/>
        <v>4131310</v>
      </c>
      <c r="P850" s="21">
        <f t="shared" si="291"/>
        <v>3.9572486323659177</v>
      </c>
      <c r="Q850" s="17">
        <v>3468534</v>
      </c>
      <c r="R850" s="17">
        <v>675011</v>
      </c>
      <c r="S850" s="19">
        <f t="shared" si="292"/>
        <v>4143545</v>
      </c>
      <c r="T850" s="20">
        <f t="shared" si="293"/>
        <v>0.01</v>
      </c>
      <c r="U850" s="19">
        <f t="shared" si="294"/>
        <v>41853.989898989901</v>
      </c>
      <c r="V850" s="17">
        <v>41854</v>
      </c>
      <c r="W850" s="19">
        <f t="shared" si="295"/>
        <v>-1.010101009887876E-2</v>
      </c>
      <c r="X850" s="19">
        <f t="shared" si="296"/>
        <v>864983</v>
      </c>
      <c r="Y850" s="17">
        <v>662776</v>
      </c>
      <c r="Z850" s="17">
        <v>202207</v>
      </c>
      <c r="AA850" s="19">
        <f t="shared" si="297"/>
        <v>823129</v>
      </c>
      <c r="AB850" s="17">
        <v>4143545</v>
      </c>
      <c r="AC850" s="27">
        <v>57.012999999999998</v>
      </c>
      <c r="AD850" s="27">
        <v>55.648499999999999</v>
      </c>
      <c r="AE850" s="22">
        <f t="shared" si="298"/>
        <v>74459.239691995288</v>
      </c>
      <c r="AF850" s="23">
        <f t="shared" si="299"/>
        <v>0</v>
      </c>
      <c r="AG850" s="23">
        <f t="shared" si="300"/>
        <v>0</v>
      </c>
      <c r="AH850" s="17">
        <v>3172444.5733150202</v>
      </c>
      <c r="AI850" s="24">
        <f t="shared" si="301"/>
        <v>0.76563536134276811</v>
      </c>
      <c r="AJ850" s="25">
        <v>397355191.25683099</v>
      </c>
      <c r="AK850" s="24">
        <f t="shared" si="302"/>
        <v>2.3778743163529421E-2</v>
      </c>
      <c r="AL850" s="22">
        <f t="shared" si="303"/>
        <v>25886.594623537796</v>
      </c>
      <c r="AM850" s="22">
        <f t="shared" si="304"/>
        <v>74459.239691995288</v>
      </c>
      <c r="AN850" s="22">
        <f t="shared" si="305"/>
        <v>-48572.645068457496</v>
      </c>
      <c r="AO850" s="26" t="str">
        <f t="shared" si="306"/>
        <v/>
      </c>
      <c r="AP850" s="26" t="str">
        <f t="shared" si="307"/>
        <v>pre-launch</v>
      </c>
      <c r="AQ850" s="18"/>
      <c r="AR850" s="18"/>
    </row>
    <row r="851" spans="1:44" x14ac:dyDescent="0.25">
      <c r="A851" s="43">
        <v>45912</v>
      </c>
      <c r="B851" s="17">
        <v>11233080580.33</v>
      </c>
      <c r="C851" s="17">
        <v>0</v>
      </c>
      <c r="D851" s="17">
        <v>1074889163</v>
      </c>
      <c r="E851" s="19">
        <f t="shared" si="286"/>
        <v>11233080580.33</v>
      </c>
      <c r="F851" s="19">
        <f t="shared" si="287"/>
        <v>12307969743.33</v>
      </c>
      <c r="G851" s="20">
        <f t="shared" si="288"/>
        <v>0</v>
      </c>
      <c r="H851" s="17">
        <v>4642326</v>
      </c>
      <c r="I851" s="17">
        <v>932625</v>
      </c>
      <c r="J851" s="17">
        <v>46740</v>
      </c>
      <c r="K851" s="19">
        <f t="shared" si="289"/>
        <v>5574951</v>
      </c>
      <c r="L851" s="18"/>
      <c r="M851" s="18"/>
      <c r="N851" s="18"/>
      <c r="O851" s="19">
        <f t="shared" si="290"/>
        <v>4642326</v>
      </c>
      <c r="P851" s="21">
        <f t="shared" si="291"/>
        <v>4.1327274088366055</v>
      </c>
      <c r="Q851" s="17">
        <v>3907480</v>
      </c>
      <c r="R851" s="17">
        <v>719743</v>
      </c>
      <c r="S851" s="19">
        <f t="shared" si="292"/>
        <v>4627223</v>
      </c>
      <c r="T851" s="20">
        <f t="shared" si="293"/>
        <v>0.01</v>
      </c>
      <c r="U851" s="19">
        <f t="shared" si="294"/>
        <v>46739.626262626269</v>
      </c>
      <c r="V851" s="17">
        <v>46740</v>
      </c>
      <c r="W851" s="19">
        <f t="shared" si="295"/>
        <v>-0.37373737373127369</v>
      </c>
      <c r="X851" s="19">
        <f t="shared" si="296"/>
        <v>947728</v>
      </c>
      <c r="Y851" s="17">
        <v>734846</v>
      </c>
      <c r="Z851" s="17">
        <v>212882</v>
      </c>
      <c r="AA851" s="19">
        <f t="shared" si="297"/>
        <v>900988</v>
      </c>
      <c r="AB851" s="17">
        <v>4627223</v>
      </c>
      <c r="AC851" s="27">
        <v>55.253</v>
      </c>
      <c r="AD851" s="27">
        <v>56.09975</v>
      </c>
      <c r="AE851" s="22">
        <f t="shared" si="298"/>
        <v>82482.060971751212</v>
      </c>
      <c r="AF851" s="23">
        <f t="shared" si="299"/>
        <v>0</v>
      </c>
      <c r="AG851" s="23">
        <f t="shared" si="300"/>
        <v>0</v>
      </c>
      <c r="AH851" s="17">
        <v>3575701.3026269702</v>
      </c>
      <c r="AI851" s="24">
        <f t="shared" si="301"/>
        <v>0.77275318320015485</v>
      </c>
      <c r="AJ851" s="25">
        <v>397491803.27868903</v>
      </c>
      <c r="AK851" s="24">
        <f t="shared" si="302"/>
        <v>2.3774656612166569E-2</v>
      </c>
      <c r="AL851" s="22">
        <f t="shared" si="303"/>
        <v>25891.04418931972</v>
      </c>
      <c r="AM851" s="22">
        <f t="shared" si="304"/>
        <v>82482.060971751212</v>
      </c>
      <c r="AN851" s="22">
        <f t="shared" si="305"/>
        <v>-56591.016782431492</v>
      </c>
      <c r="AO851" s="26" t="str">
        <f t="shared" si="306"/>
        <v/>
      </c>
      <c r="AP851" s="26" t="str">
        <f t="shared" si="307"/>
        <v>pre-launch</v>
      </c>
      <c r="AQ851" s="18"/>
      <c r="AR851" s="18"/>
    </row>
    <row r="852" spans="1:44" x14ac:dyDescent="0.25">
      <c r="A852" s="43">
        <v>45913</v>
      </c>
      <c r="B852" s="17">
        <v>7135097960.1199999</v>
      </c>
      <c r="C852" s="17">
        <v>0</v>
      </c>
      <c r="D852" s="17">
        <v>933188889</v>
      </c>
      <c r="E852" s="19">
        <f t="shared" si="286"/>
        <v>7135097960.1199999</v>
      </c>
      <c r="F852" s="19">
        <f t="shared" si="287"/>
        <v>8068286849.1199999</v>
      </c>
      <c r="G852" s="20">
        <f t="shared" si="288"/>
        <v>0</v>
      </c>
      <c r="H852" s="17">
        <v>3194366</v>
      </c>
      <c r="I852" s="17">
        <v>872004</v>
      </c>
      <c r="J852" s="17">
        <v>32557</v>
      </c>
      <c r="K852" s="19">
        <f t="shared" si="289"/>
        <v>4066370</v>
      </c>
      <c r="L852" s="18"/>
      <c r="M852" s="18"/>
      <c r="N852" s="18"/>
      <c r="O852" s="19">
        <f t="shared" si="290"/>
        <v>3194366</v>
      </c>
      <c r="P852" s="21">
        <f t="shared" si="291"/>
        <v>4.4769756741311459</v>
      </c>
      <c r="Q852" s="17">
        <v>2555436</v>
      </c>
      <c r="R852" s="17">
        <v>667731</v>
      </c>
      <c r="S852" s="19">
        <f t="shared" si="292"/>
        <v>3223167</v>
      </c>
      <c r="T852" s="20">
        <f t="shared" si="293"/>
        <v>0.01</v>
      </c>
      <c r="U852" s="19">
        <f t="shared" si="294"/>
        <v>32557.242424242428</v>
      </c>
      <c r="V852" s="17">
        <v>32557</v>
      </c>
      <c r="W852" s="19">
        <f t="shared" si="295"/>
        <v>0.24242424242765992</v>
      </c>
      <c r="X852" s="19">
        <f t="shared" si="296"/>
        <v>843203</v>
      </c>
      <c r="Y852" s="17">
        <v>638930</v>
      </c>
      <c r="Z852" s="17">
        <v>204273</v>
      </c>
      <c r="AA852" s="19">
        <f t="shared" si="297"/>
        <v>810646</v>
      </c>
      <c r="AB852" s="17">
        <v>3223167</v>
      </c>
      <c r="AC852" s="27">
        <v>54.463000000000001</v>
      </c>
      <c r="AD852" s="27">
        <v>55.205750000000002</v>
      </c>
      <c r="AE852" s="22">
        <f t="shared" si="298"/>
        <v>58384.624789990172</v>
      </c>
      <c r="AF852" s="23">
        <f t="shared" si="299"/>
        <v>0</v>
      </c>
      <c r="AG852" s="23">
        <f t="shared" si="300"/>
        <v>0</v>
      </c>
      <c r="AH852" s="17">
        <v>2353372.91191399</v>
      </c>
      <c r="AI852" s="24">
        <f t="shared" si="301"/>
        <v>0.73014302762282879</v>
      </c>
      <c r="AJ852" s="25">
        <v>397628415.300547</v>
      </c>
      <c r="AK852" s="24">
        <f t="shared" si="302"/>
        <v>2.3770572166991247E-2</v>
      </c>
      <c r="AL852" s="22">
        <f t="shared" si="303"/>
        <v>25895.49299054252</v>
      </c>
      <c r="AM852" s="22">
        <f t="shared" si="304"/>
        <v>58384.624789990172</v>
      </c>
      <c r="AN852" s="22">
        <f t="shared" si="305"/>
        <v>-32489.131799447652</v>
      </c>
      <c r="AO852" s="26" t="str">
        <f t="shared" si="306"/>
        <v/>
      </c>
      <c r="AP852" s="26" t="str">
        <f t="shared" si="307"/>
        <v>pre-launch</v>
      </c>
      <c r="AQ852" s="18"/>
      <c r="AR852" s="18"/>
    </row>
    <row r="853" spans="1:44" x14ac:dyDescent="0.25">
      <c r="A853" s="43">
        <v>45914</v>
      </c>
      <c r="B853" s="17">
        <v>7351240468.2299995</v>
      </c>
      <c r="C853" s="17">
        <v>0</v>
      </c>
      <c r="D853" s="17">
        <v>1477956942</v>
      </c>
      <c r="E853" s="19">
        <f t="shared" si="286"/>
        <v>7351240468.2299995</v>
      </c>
      <c r="F853" s="19">
        <f t="shared" si="287"/>
        <v>8829197410.2299995</v>
      </c>
      <c r="G853" s="20">
        <f t="shared" si="288"/>
        <v>0</v>
      </c>
      <c r="H853" s="17">
        <v>3575600</v>
      </c>
      <c r="I853" s="17">
        <v>1484929</v>
      </c>
      <c r="J853" s="17">
        <v>37534</v>
      </c>
      <c r="K853" s="19">
        <f t="shared" si="289"/>
        <v>5060529</v>
      </c>
      <c r="L853" s="18"/>
      <c r="M853" s="18"/>
      <c r="N853" s="18"/>
      <c r="O853" s="19">
        <f t="shared" si="290"/>
        <v>3575600</v>
      </c>
      <c r="P853" s="21">
        <f t="shared" si="291"/>
        <v>4.8639410116601969</v>
      </c>
      <c r="Q853" s="17">
        <v>2537973</v>
      </c>
      <c r="R853" s="17">
        <v>1177892</v>
      </c>
      <c r="S853" s="19">
        <f t="shared" si="292"/>
        <v>3715865</v>
      </c>
      <c r="T853" s="20">
        <f t="shared" si="293"/>
        <v>0.01</v>
      </c>
      <c r="U853" s="19">
        <f t="shared" si="294"/>
        <v>37533.989898989901</v>
      </c>
      <c r="V853" s="17">
        <v>37534</v>
      </c>
      <c r="W853" s="19">
        <f t="shared" si="295"/>
        <v>-1.010101009887876E-2</v>
      </c>
      <c r="X853" s="19">
        <f t="shared" si="296"/>
        <v>1344665</v>
      </c>
      <c r="Y853" s="17">
        <v>1037628</v>
      </c>
      <c r="Z853" s="17">
        <v>307037</v>
      </c>
      <c r="AA853" s="19">
        <f t="shared" si="297"/>
        <v>1307131</v>
      </c>
      <c r="AB853" s="17">
        <v>3715865</v>
      </c>
      <c r="AC853" s="27">
        <v>53.701000000000001</v>
      </c>
      <c r="AD853" s="27">
        <v>54.257750000000001</v>
      </c>
      <c r="AE853" s="22">
        <f t="shared" si="298"/>
        <v>68485.423741308841</v>
      </c>
      <c r="AF853" s="23">
        <f t="shared" si="299"/>
        <v>-1</v>
      </c>
      <c r="AG853" s="23">
        <f t="shared" si="300"/>
        <v>0</v>
      </c>
      <c r="AH853" s="17">
        <v>2465599.2505760202</v>
      </c>
      <c r="AI853" s="24">
        <f t="shared" si="301"/>
        <v>0.66353305369705851</v>
      </c>
      <c r="AJ853" s="25">
        <v>397765027.32240403</v>
      </c>
      <c r="AK853" s="24">
        <f t="shared" si="302"/>
        <v>2.3766489826194906E-2</v>
      </c>
      <c r="AL853" s="22">
        <f t="shared" si="303"/>
        <v>25899.941027600151</v>
      </c>
      <c r="AM853" s="22">
        <f t="shared" si="304"/>
        <v>68485.423741308841</v>
      </c>
      <c r="AN853" s="22">
        <f t="shared" si="305"/>
        <v>-42585.48271370869</v>
      </c>
      <c r="AO853" s="26" t="str">
        <f t="shared" si="306"/>
        <v/>
      </c>
      <c r="AP853" s="26" t="str">
        <f t="shared" si="307"/>
        <v>pre-launch</v>
      </c>
      <c r="AQ853" s="18"/>
      <c r="AR853" s="18"/>
    </row>
    <row r="854" spans="1:44" x14ac:dyDescent="0.25">
      <c r="A854" s="43">
        <v>45915</v>
      </c>
      <c r="B854" s="17">
        <v>10569922363.940001</v>
      </c>
      <c r="C854" s="17">
        <v>0</v>
      </c>
      <c r="D854" s="17">
        <v>770683982</v>
      </c>
      <c r="E854" s="19">
        <f t="shared" si="286"/>
        <v>10569922363.940001</v>
      </c>
      <c r="F854" s="19">
        <f t="shared" si="287"/>
        <v>11340606345.940001</v>
      </c>
      <c r="G854" s="20">
        <f t="shared" si="288"/>
        <v>0</v>
      </c>
      <c r="H854" s="17">
        <v>4144941</v>
      </c>
      <c r="I854" s="17">
        <v>546177</v>
      </c>
      <c r="J854" s="17">
        <v>40732</v>
      </c>
      <c r="K854" s="19">
        <f t="shared" si="289"/>
        <v>4691118</v>
      </c>
      <c r="L854" s="18"/>
      <c r="M854" s="18"/>
      <c r="N854" s="18"/>
      <c r="O854" s="19">
        <f t="shared" si="290"/>
        <v>4144941</v>
      </c>
      <c r="P854" s="21">
        <f t="shared" si="291"/>
        <v>3.9214488595874126</v>
      </c>
      <c r="Q854" s="17">
        <v>3586449</v>
      </c>
      <c r="R854" s="17">
        <v>446016</v>
      </c>
      <c r="S854" s="19">
        <f t="shared" si="292"/>
        <v>4032465</v>
      </c>
      <c r="T854" s="20">
        <f t="shared" si="293"/>
        <v>0.01</v>
      </c>
      <c r="U854" s="19">
        <f t="shared" si="294"/>
        <v>40731.969696969696</v>
      </c>
      <c r="V854" s="17">
        <v>40732</v>
      </c>
      <c r="W854" s="19">
        <f t="shared" si="295"/>
        <v>-3.0303030303912237E-2</v>
      </c>
      <c r="X854" s="19">
        <f t="shared" si="296"/>
        <v>658654</v>
      </c>
      <c r="Y854" s="17">
        <v>558492</v>
      </c>
      <c r="Z854" s="17">
        <v>100162</v>
      </c>
      <c r="AA854" s="19">
        <f t="shared" si="297"/>
        <v>617922</v>
      </c>
      <c r="AB854" s="17">
        <v>4032465</v>
      </c>
      <c r="AC854" s="27">
        <v>53.994999999999997</v>
      </c>
      <c r="AD854" s="27">
        <v>53.585000000000001</v>
      </c>
      <c r="AE854" s="22">
        <f t="shared" si="298"/>
        <v>75253.615750676501</v>
      </c>
      <c r="AF854" s="23">
        <f t="shared" si="299"/>
        <v>-1</v>
      </c>
      <c r="AG854" s="23">
        <f t="shared" si="300"/>
        <v>0</v>
      </c>
      <c r="AH854" s="17">
        <v>3177749.92820501</v>
      </c>
      <c r="AI854" s="24">
        <f t="shared" si="301"/>
        <v>0.78804153990301462</v>
      </c>
      <c r="AJ854" s="25">
        <v>397901639.344262</v>
      </c>
      <c r="AK854" s="24">
        <f t="shared" si="302"/>
        <v>2.3762409587971083E-2</v>
      </c>
      <c r="AL854" s="22">
        <f t="shared" si="303"/>
        <v>25904.388300886312</v>
      </c>
      <c r="AM854" s="22">
        <f t="shared" si="304"/>
        <v>75253.615750676501</v>
      </c>
      <c r="AN854" s="22">
        <f t="shared" si="305"/>
        <v>-49349.227449790189</v>
      </c>
      <c r="AO854" s="26" t="str">
        <f t="shared" si="306"/>
        <v/>
      </c>
      <c r="AP854" s="26" t="str">
        <f t="shared" si="307"/>
        <v>pre-launch</v>
      </c>
      <c r="AQ854" s="18"/>
      <c r="AR854" s="18"/>
    </row>
    <row r="855" spans="1:44" x14ac:dyDescent="0.25">
      <c r="A855" s="43">
        <v>45916</v>
      </c>
      <c r="B855" s="17">
        <v>8683442695.7800007</v>
      </c>
      <c r="C855" s="17">
        <v>0</v>
      </c>
      <c r="D855" s="17">
        <v>690945291</v>
      </c>
      <c r="E855" s="19">
        <f t="shared" si="286"/>
        <v>8683442695.7800007</v>
      </c>
      <c r="F855" s="19">
        <f t="shared" si="287"/>
        <v>9374387986.7800007</v>
      </c>
      <c r="G855" s="20">
        <f t="shared" si="288"/>
        <v>0</v>
      </c>
      <c r="H855" s="17">
        <v>3321779</v>
      </c>
      <c r="I855" s="17">
        <v>513550</v>
      </c>
      <c r="J855" s="17">
        <v>33100</v>
      </c>
      <c r="K855" s="19">
        <f t="shared" si="289"/>
        <v>3835329</v>
      </c>
      <c r="L855" s="18"/>
      <c r="M855" s="18"/>
      <c r="N855" s="18"/>
      <c r="O855" s="19">
        <f t="shared" si="290"/>
        <v>3321779</v>
      </c>
      <c r="P855" s="21">
        <f t="shared" si="291"/>
        <v>3.8254170798113583</v>
      </c>
      <c r="Q855" s="17">
        <v>2841891</v>
      </c>
      <c r="R855" s="17">
        <v>434995</v>
      </c>
      <c r="S855" s="19">
        <f t="shared" si="292"/>
        <v>3276886</v>
      </c>
      <c r="T855" s="20">
        <f t="shared" si="293"/>
        <v>0.01</v>
      </c>
      <c r="U855" s="19">
        <f t="shared" si="294"/>
        <v>33099.858585858587</v>
      </c>
      <c r="V855" s="17">
        <v>33100</v>
      </c>
      <c r="W855" s="19">
        <f t="shared" si="295"/>
        <v>-0.14141414141340647</v>
      </c>
      <c r="X855" s="19">
        <f t="shared" si="296"/>
        <v>558443</v>
      </c>
      <c r="Y855" s="17">
        <v>479888</v>
      </c>
      <c r="Z855" s="17">
        <v>78555</v>
      </c>
      <c r="AA855" s="19">
        <f t="shared" si="297"/>
        <v>525343</v>
      </c>
      <c r="AB855" s="17">
        <v>3276886</v>
      </c>
      <c r="AC855" s="27">
        <v>54.454000000000001</v>
      </c>
      <c r="AD855" s="27">
        <v>53.813000000000002</v>
      </c>
      <c r="AE855" s="22">
        <f t="shared" si="298"/>
        <v>60893.947559139982</v>
      </c>
      <c r="AF855" s="23">
        <f t="shared" si="299"/>
        <v>0</v>
      </c>
      <c r="AG855" s="23">
        <f t="shared" si="300"/>
        <v>0</v>
      </c>
      <c r="AH855" s="17">
        <v>2560751.8311699601</v>
      </c>
      <c r="AI855" s="24">
        <f t="shared" si="301"/>
        <v>0.78145893118343457</v>
      </c>
      <c r="AJ855" s="25">
        <v>398038251.36611998</v>
      </c>
      <c r="AK855" s="24">
        <f t="shared" si="302"/>
        <v>2.3758331450515584E-2</v>
      </c>
      <c r="AL855" s="22">
        <f t="shared" si="303"/>
        <v>25908.834810794287</v>
      </c>
      <c r="AM855" s="22">
        <f t="shared" si="304"/>
        <v>60893.947559139982</v>
      </c>
      <c r="AN855" s="22">
        <f t="shared" si="305"/>
        <v>-34985.112748345695</v>
      </c>
      <c r="AO855" s="26" t="str">
        <f t="shared" si="306"/>
        <v/>
      </c>
      <c r="AP855" s="26" t="str">
        <f t="shared" si="307"/>
        <v>pre-launch</v>
      </c>
      <c r="AQ855" s="18"/>
      <c r="AR855" s="18"/>
    </row>
    <row r="856" spans="1:44" x14ac:dyDescent="0.25">
      <c r="A856" s="43">
        <v>45917</v>
      </c>
      <c r="B856" s="17">
        <v>12223979385.219999</v>
      </c>
      <c r="C856" s="17">
        <v>0</v>
      </c>
      <c r="D856" s="17">
        <v>986676209</v>
      </c>
      <c r="E856" s="19">
        <f t="shared" si="286"/>
        <v>12223979385.219999</v>
      </c>
      <c r="F856" s="19">
        <f t="shared" si="287"/>
        <v>13210655594.219999</v>
      </c>
      <c r="G856" s="20">
        <f t="shared" si="288"/>
        <v>0</v>
      </c>
      <c r="H856" s="17">
        <v>4804170</v>
      </c>
      <c r="I856" s="17">
        <v>733442</v>
      </c>
      <c r="J856" s="17">
        <v>47641</v>
      </c>
      <c r="K856" s="19">
        <f t="shared" si="289"/>
        <v>5537612</v>
      </c>
      <c r="L856" s="18"/>
      <c r="M856" s="18"/>
      <c r="N856" s="18"/>
      <c r="O856" s="19">
        <f t="shared" si="290"/>
        <v>4804170</v>
      </c>
      <c r="P856" s="21">
        <f t="shared" si="291"/>
        <v>3.9301195204965063</v>
      </c>
      <c r="Q856" s="17">
        <v>4097230</v>
      </c>
      <c r="R856" s="17">
        <v>619267</v>
      </c>
      <c r="S856" s="19">
        <f t="shared" si="292"/>
        <v>4716497</v>
      </c>
      <c r="T856" s="20">
        <f t="shared" si="293"/>
        <v>0.01</v>
      </c>
      <c r="U856" s="19">
        <f t="shared" si="294"/>
        <v>47641.383838383837</v>
      </c>
      <c r="V856" s="17">
        <v>47641</v>
      </c>
      <c r="W856" s="19">
        <f t="shared" si="295"/>
        <v>0.38383838383742841</v>
      </c>
      <c r="X856" s="19">
        <f t="shared" si="296"/>
        <v>821115</v>
      </c>
      <c r="Y856" s="17">
        <v>706940</v>
      </c>
      <c r="Z856" s="17">
        <v>114175</v>
      </c>
      <c r="AA856" s="19">
        <f t="shared" si="297"/>
        <v>773474</v>
      </c>
      <c r="AB856" s="17">
        <v>4716497</v>
      </c>
      <c r="AC856" s="27">
        <v>57.741999999999997</v>
      </c>
      <c r="AD856" s="27">
        <v>56.006999999999998</v>
      </c>
      <c r="AE856" s="22">
        <f t="shared" si="298"/>
        <v>84212.634135018845</v>
      </c>
      <c r="AF856" s="23">
        <f t="shared" si="299"/>
        <v>0</v>
      </c>
      <c r="AG856" s="23">
        <f t="shared" si="300"/>
        <v>0</v>
      </c>
      <c r="AH856" s="17">
        <v>3614238.0113949799</v>
      </c>
      <c r="AI856" s="24">
        <f t="shared" si="301"/>
        <v>0.76629710808572127</v>
      </c>
      <c r="AJ856" s="25">
        <v>398174863.38797802</v>
      </c>
      <c r="AK856" s="24">
        <f t="shared" si="302"/>
        <v>2.3754255412026332E-2</v>
      </c>
      <c r="AL856" s="22">
        <f t="shared" si="303"/>
        <v>25913.280557717047</v>
      </c>
      <c r="AM856" s="22">
        <f t="shared" si="304"/>
        <v>84212.634135018845</v>
      </c>
      <c r="AN856" s="22">
        <f t="shared" si="305"/>
        <v>-58299.353577301794</v>
      </c>
      <c r="AO856" s="26" t="str">
        <f t="shared" si="306"/>
        <v/>
      </c>
      <c r="AP856" s="26" t="str">
        <f t="shared" si="307"/>
        <v>pre-launch</v>
      </c>
      <c r="AQ856" s="18"/>
      <c r="AR856" s="18"/>
    </row>
    <row r="857" spans="1:44" x14ac:dyDescent="0.25">
      <c r="A857" s="43">
        <v>45918</v>
      </c>
      <c r="B857" s="17">
        <v>9613850551.5900002</v>
      </c>
      <c r="C857" s="17">
        <v>0</v>
      </c>
      <c r="D857" s="17">
        <v>814323405</v>
      </c>
      <c r="E857" s="19">
        <f t="shared" si="286"/>
        <v>9613850551.5900002</v>
      </c>
      <c r="F857" s="19">
        <f t="shared" si="287"/>
        <v>10428173956.59</v>
      </c>
      <c r="G857" s="20">
        <f t="shared" si="288"/>
        <v>0</v>
      </c>
      <c r="H857" s="17">
        <v>3915547</v>
      </c>
      <c r="I857" s="17">
        <v>590986</v>
      </c>
      <c r="J857" s="17">
        <v>38759</v>
      </c>
      <c r="K857" s="19">
        <f t="shared" si="289"/>
        <v>4506533</v>
      </c>
      <c r="L857" s="18"/>
      <c r="M857" s="18"/>
      <c r="N857" s="18"/>
      <c r="O857" s="19">
        <f t="shared" si="290"/>
        <v>3915547</v>
      </c>
      <c r="P857" s="21">
        <f t="shared" si="291"/>
        <v>4.072818668220739</v>
      </c>
      <c r="Q857" s="17">
        <v>3324896</v>
      </c>
      <c r="R857" s="17">
        <v>512239</v>
      </c>
      <c r="S857" s="19">
        <f t="shared" si="292"/>
        <v>3837135</v>
      </c>
      <c r="T857" s="20">
        <f t="shared" si="293"/>
        <v>0.01</v>
      </c>
      <c r="U857" s="19">
        <f t="shared" si="294"/>
        <v>38758.939393939392</v>
      </c>
      <c r="V857" s="17">
        <v>38759</v>
      </c>
      <c r="W857" s="19">
        <f t="shared" si="295"/>
        <v>-6.0606060607824475E-2</v>
      </c>
      <c r="X857" s="19">
        <f t="shared" si="296"/>
        <v>669397</v>
      </c>
      <c r="Y857" s="17">
        <v>590650</v>
      </c>
      <c r="Z857" s="17">
        <v>78747</v>
      </c>
      <c r="AA857" s="19">
        <f t="shared" si="297"/>
        <v>630638</v>
      </c>
      <c r="AB857" s="17">
        <v>3837135</v>
      </c>
      <c r="AC857" s="27">
        <v>58.594999999999999</v>
      </c>
      <c r="AD857" s="27">
        <v>58.230499999999999</v>
      </c>
      <c r="AE857" s="22">
        <f t="shared" si="298"/>
        <v>65895.621710272113</v>
      </c>
      <c r="AF857" s="23">
        <f t="shared" si="299"/>
        <v>1</v>
      </c>
      <c r="AG857" s="23">
        <f t="shared" si="300"/>
        <v>0</v>
      </c>
      <c r="AH857" s="17">
        <v>2971908.9616210498</v>
      </c>
      <c r="AI857" s="24">
        <f t="shared" si="301"/>
        <v>0.77451248434601594</v>
      </c>
      <c r="AJ857" s="25">
        <v>398311475.40983599</v>
      </c>
      <c r="AK857" s="24">
        <f t="shared" si="302"/>
        <v>2.3750181470703433E-2</v>
      </c>
      <c r="AL857" s="22">
        <f t="shared" si="303"/>
        <v>25917.72554204721</v>
      </c>
      <c r="AM857" s="22">
        <f t="shared" si="304"/>
        <v>65895.621710272113</v>
      </c>
      <c r="AN857" s="22">
        <f t="shared" si="305"/>
        <v>-39977.896168224906</v>
      </c>
      <c r="AO857" s="26" t="str">
        <f t="shared" si="306"/>
        <v/>
      </c>
      <c r="AP857" s="26" t="str">
        <f t="shared" si="307"/>
        <v>pre-launch</v>
      </c>
      <c r="AQ857" s="18"/>
      <c r="AR857" s="18"/>
    </row>
    <row r="858" spans="1:44" x14ac:dyDescent="0.25">
      <c r="A858" s="43">
        <v>45919</v>
      </c>
      <c r="B858" s="17">
        <v>9088388320.0499992</v>
      </c>
      <c r="C858" s="17">
        <v>0</v>
      </c>
      <c r="D858" s="17">
        <v>579109065</v>
      </c>
      <c r="E858" s="19">
        <f t="shared" si="286"/>
        <v>9088388320.0499992</v>
      </c>
      <c r="F858" s="19">
        <f t="shared" si="287"/>
        <v>9667497385.0499992</v>
      </c>
      <c r="G858" s="20">
        <f t="shared" si="288"/>
        <v>0</v>
      </c>
      <c r="H858" s="17">
        <v>3475873</v>
      </c>
      <c r="I858" s="17">
        <v>380519</v>
      </c>
      <c r="J858" s="17">
        <v>34153</v>
      </c>
      <c r="K858" s="19">
        <f t="shared" si="289"/>
        <v>3856392</v>
      </c>
      <c r="L858" s="18"/>
      <c r="M858" s="18"/>
      <c r="N858" s="18"/>
      <c r="O858" s="19">
        <f t="shared" si="290"/>
        <v>3475873</v>
      </c>
      <c r="P858" s="21">
        <f t="shared" si="291"/>
        <v>3.8245207814589479</v>
      </c>
      <c r="Q858" s="17">
        <v>3066784</v>
      </c>
      <c r="R858" s="17">
        <v>314403</v>
      </c>
      <c r="S858" s="19">
        <f t="shared" si="292"/>
        <v>3381187</v>
      </c>
      <c r="T858" s="20">
        <f t="shared" si="293"/>
        <v>0.01</v>
      </c>
      <c r="U858" s="19">
        <f t="shared" si="294"/>
        <v>34153.404040404042</v>
      </c>
      <c r="V858" s="17">
        <v>34153</v>
      </c>
      <c r="W858" s="19">
        <f t="shared" si="295"/>
        <v>0.40404040404246189</v>
      </c>
      <c r="X858" s="19">
        <f t="shared" si="296"/>
        <v>475205</v>
      </c>
      <c r="Y858" s="17">
        <v>409089</v>
      </c>
      <c r="Z858" s="17">
        <v>66116</v>
      </c>
      <c r="AA858" s="19">
        <f t="shared" si="297"/>
        <v>441052</v>
      </c>
      <c r="AB858" s="17">
        <v>3381187</v>
      </c>
      <c r="AC858" s="27">
        <v>56.127000000000002</v>
      </c>
      <c r="AD858" s="27">
        <v>57.27975</v>
      </c>
      <c r="AE858" s="22">
        <f t="shared" si="298"/>
        <v>59029.360288758246</v>
      </c>
      <c r="AF858" s="23">
        <f t="shared" si="299"/>
        <v>0</v>
      </c>
      <c r="AG858" s="23">
        <f t="shared" si="300"/>
        <v>0</v>
      </c>
      <c r="AH858" s="17">
        <v>2710854.2369250101</v>
      </c>
      <c r="AI858" s="24">
        <f t="shared" si="301"/>
        <v>0.80174632072257768</v>
      </c>
      <c r="AJ858" s="25">
        <v>398448087.43169397</v>
      </c>
      <c r="AK858" s="24">
        <f t="shared" si="302"/>
        <v>2.3746109624749146E-2</v>
      </c>
      <c r="AL858" s="22">
        <f t="shared" si="303"/>
        <v>25922.169764177088</v>
      </c>
      <c r="AM858" s="22">
        <f t="shared" si="304"/>
        <v>59029.360288758246</v>
      </c>
      <c r="AN858" s="22">
        <f t="shared" si="305"/>
        <v>-33107.190524581158</v>
      </c>
      <c r="AO858" s="26" t="str">
        <f t="shared" si="306"/>
        <v/>
      </c>
      <c r="AP858" s="26" t="str">
        <f t="shared" si="307"/>
        <v>pre-launch</v>
      </c>
      <c r="AQ858" s="18"/>
      <c r="AR858" s="18"/>
    </row>
    <row r="859" spans="1:44" x14ac:dyDescent="0.25">
      <c r="A859" s="43">
        <v>45920</v>
      </c>
      <c r="B859" s="17">
        <v>4219380098.3499999</v>
      </c>
      <c r="C859" s="17">
        <v>0</v>
      </c>
      <c r="D859" s="17">
        <v>462252344</v>
      </c>
      <c r="E859" s="19">
        <f t="shared" si="286"/>
        <v>4219380098.3499999</v>
      </c>
      <c r="F859" s="19">
        <f t="shared" si="287"/>
        <v>4681632442.3500004</v>
      </c>
      <c r="G859" s="20">
        <f t="shared" si="288"/>
        <v>0</v>
      </c>
      <c r="H859" s="17">
        <v>1909344</v>
      </c>
      <c r="I859" s="17">
        <v>334244</v>
      </c>
      <c r="J859" s="17">
        <v>18824</v>
      </c>
      <c r="K859" s="19">
        <f t="shared" si="289"/>
        <v>2243588</v>
      </c>
      <c r="L859" s="18"/>
      <c r="M859" s="18"/>
      <c r="N859" s="18"/>
      <c r="O859" s="19">
        <f t="shared" si="290"/>
        <v>1909344</v>
      </c>
      <c r="P859" s="21">
        <f t="shared" si="291"/>
        <v>4.5251765792483454</v>
      </c>
      <c r="Q859" s="17">
        <v>1585026</v>
      </c>
      <c r="R859" s="17">
        <v>278589</v>
      </c>
      <c r="S859" s="19">
        <f t="shared" si="292"/>
        <v>1863615</v>
      </c>
      <c r="T859" s="20">
        <f t="shared" si="293"/>
        <v>0.01</v>
      </c>
      <c r="U859" s="19">
        <f t="shared" si="294"/>
        <v>18824.39393939394</v>
      </c>
      <c r="V859" s="17">
        <v>18824</v>
      </c>
      <c r="W859" s="19">
        <f t="shared" si="295"/>
        <v>0.39393939393994515</v>
      </c>
      <c r="X859" s="19">
        <f t="shared" si="296"/>
        <v>379974</v>
      </c>
      <c r="Y859" s="17">
        <v>324318</v>
      </c>
      <c r="Z859" s="17">
        <v>55656</v>
      </c>
      <c r="AA859" s="19">
        <f t="shared" si="297"/>
        <v>361150</v>
      </c>
      <c r="AB859" s="17">
        <v>1863615</v>
      </c>
      <c r="AC859" s="27">
        <v>54.18</v>
      </c>
      <c r="AD859" s="27">
        <v>55.171250000000001</v>
      </c>
      <c r="AE859" s="22">
        <f t="shared" si="298"/>
        <v>33778.734395178646</v>
      </c>
      <c r="AF859" s="23">
        <f t="shared" si="299"/>
        <v>-1</v>
      </c>
      <c r="AG859" s="23">
        <f t="shared" si="300"/>
        <v>0</v>
      </c>
      <c r="AH859" s="17">
        <v>1446062.7184259901</v>
      </c>
      <c r="AI859" s="24">
        <f t="shared" si="301"/>
        <v>0.7759449877930743</v>
      </c>
      <c r="AJ859" s="25">
        <v>398584699.45355201</v>
      </c>
      <c r="AK859" s="24">
        <f t="shared" si="302"/>
        <v>2.3742039872367879E-2</v>
      </c>
      <c r="AL859" s="22">
        <f t="shared" si="303"/>
        <v>25926.613224498626</v>
      </c>
      <c r="AM859" s="22">
        <f t="shared" si="304"/>
        <v>33778.734395178646</v>
      </c>
      <c r="AN859" s="22">
        <f t="shared" si="305"/>
        <v>-7852.1211706800204</v>
      </c>
      <c r="AO859" s="26" t="str">
        <f t="shared" si="306"/>
        <v/>
      </c>
      <c r="AP859" s="26" t="str">
        <f t="shared" si="307"/>
        <v>pre-launch</v>
      </c>
      <c r="AQ859" s="18"/>
      <c r="AR859" s="18"/>
    </row>
    <row r="860" spans="1:44" x14ac:dyDescent="0.25">
      <c r="A860" s="43">
        <v>45921</v>
      </c>
      <c r="B860" s="17">
        <v>5311897299.1700001</v>
      </c>
      <c r="C860" s="17">
        <v>0</v>
      </c>
      <c r="D860" s="17">
        <v>514163673</v>
      </c>
      <c r="E860" s="19">
        <f t="shared" si="286"/>
        <v>5311897299.1700001</v>
      </c>
      <c r="F860" s="19">
        <f t="shared" si="287"/>
        <v>5826060972.1700001</v>
      </c>
      <c r="G860" s="20">
        <f t="shared" si="288"/>
        <v>0</v>
      </c>
      <c r="H860" s="17">
        <v>2165365</v>
      </c>
      <c r="I860" s="17">
        <v>269790</v>
      </c>
      <c r="J860" s="17">
        <v>21538</v>
      </c>
      <c r="K860" s="19">
        <f t="shared" si="289"/>
        <v>2435155</v>
      </c>
      <c r="L860" s="18"/>
      <c r="M860" s="18"/>
      <c r="N860" s="18"/>
      <c r="O860" s="19">
        <f t="shared" si="290"/>
        <v>2165365</v>
      </c>
      <c r="P860" s="21">
        <f t="shared" si="291"/>
        <v>4.0764436472413434</v>
      </c>
      <c r="Q860" s="17">
        <v>1905006</v>
      </c>
      <c r="R860" s="17">
        <v>227210</v>
      </c>
      <c r="S860" s="19">
        <f t="shared" si="292"/>
        <v>2132216</v>
      </c>
      <c r="T860" s="20">
        <f t="shared" si="293"/>
        <v>0.01</v>
      </c>
      <c r="U860" s="19">
        <f t="shared" si="294"/>
        <v>21537.535353535353</v>
      </c>
      <c r="V860" s="17">
        <v>21538</v>
      </c>
      <c r="W860" s="19">
        <f t="shared" si="295"/>
        <v>-0.46464646464664838</v>
      </c>
      <c r="X860" s="19">
        <f t="shared" si="296"/>
        <v>302941</v>
      </c>
      <c r="Y860" s="17">
        <v>260360</v>
      </c>
      <c r="Z860" s="17">
        <v>42581</v>
      </c>
      <c r="AA860" s="19">
        <f t="shared" si="297"/>
        <v>281403</v>
      </c>
      <c r="AB860" s="17">
        <v>2132216</v>
      </c>
      <c r="AC860" s="27">
        <v>50.777000000000001</v>
      </c>
      <c r="AD860" s="27">
        <v>52.471249999999998</v>
      </c>
      <c r="AE860" s="22">
        <f t="shared" si="298"/>
        <v>40635.891083212235</v>
      </c>
      <c r="AF860" s="23">
        <f t="shared" si="299"/>
        <v>-2</v>
      </c>
      <c r="AG860" s="23">
        <f t="shared" si="300"/>
        <v>0</v>
      </c>
      <c r="AH860" s="17">
        <v>1740089.3450110001</v>
      </c>
      <c r="AI860" s="24">
        <f t="shared" si="301"/>
        <v>0.81609430986870002</v>
      </c>
      <c r="AJ860" s="25">
        <v>398721311.47540998</v>
      </c>
      <c r="AK860" s="24">
        <f t="shared" si="302"/>
        <v>2.3737972211766212E-2</v>
      </c>
      <c r="AL860" s="22">
        <f t="shared" si="303"/>
        <v>25931.055923403459</v>
      </c>
      <c r="AM860" s="22">
        <f t="shared" si="304"/>
        <v>40635.891083212235</v>
      </c>
      <c r="AN860" s="22">
        <f t="shared" si="305"/>
        <v>-14704.835159808776</v>
      </c>
      <c r="AO860" s="26" t="str">
        <f t="shared" si="306"/>
        <v/>
      </c>
      <c r="AP860" s="26" t="str">
        <f t="shared" si="307"/>
        <v>pre-launch</v>
      </c>
      <c r="AQ860" s="18"/>
      <c r="AR860" s="18"/>
    </row>
    <row r="861" spans="1:44" x14ac:dyDescent="0.25">
      <c r="A861" s="43">
        <v>45922</v>
      </c>
      <c r="B861" s="17">
        <v>16410899803.690001</v>
      </c>
      <c r="C861" s="17">
        <v>0</v>
      </c>
      <c r="D861" s="17">
        <v>783516467</v>
      </c>
      <c r="E861" s="19">
        <f t="shared" si="286"/>
        <v>16410899803.690001</v>
      </c>
      <c r="F861" s="19">
        <f t="shared" si="287"/>
        <v>17194416270.690002</v>
      </c>
      <c r="G861" s="20">
        <f t="shared" si="288"/>
        <v>0</v>
      </c>
      <c r="H861" s="17">
        <v>5759172</v>
      </c>
      <c r="I861" s="17">
        <v>327310</v>
      </c>
      <c r="J861" s="17">
        <v>57327</v>
      </c>
      <c r="K861" s="19">
        <f t="shared" si="289"/>
        <v>6086482</v>
      </c>
      <c r="L861" s="18"/>
      <c r="M861" s="18"/>
      <c r="N861" s="18"/>
      <c r="O861" s="19">
        <f t="shared" si="290"/>
        <v>5759172</v>
      </c>
      <c r="P861" s="21">
        <f t="shared" si="291"/>
        <v>3.5093578468531299</v>
      </c>
      <c r="Q861" s="17">
        <v>5422293</v>
      </c>
      <c r="R861" s="17">
        <v>253053</v>
      </c>
      <c r="S861" s="19">
        <f t="shared" si="292"/>
        <v>5675346</v>
      </c>
      <c r="T861" s="20">
        <f t="shared" si="293"/>
        <v>0.01</v>
      </c>
      <c r="U861" s="19">
        <f t="shared" si="294"/>
        <v>57326.727272727272</v>
      </c>
      <c r="V861" s="17">
        <v>57327</v>
      </c>
      <c r="W861" s="19">
        <f t="shared" si="295"/>
        <v>-0.27272727272793418</v>
      </c>
      <c r="X861" s="19">
        <f t="shared" si="296"/>
        <v>411135</v>
      </c>
      <c r="Y861" s="17">
        <v>336878</v>
      </c>
      <c r="Z861" s="17">
        <v>74257</v>
      </c>
      <c r="AA861" s="19">
        <f t="shared" si="297"/>
        <v>353808</v>
      </c>
      <c r="AB861" s="17">
        <v>5675346</v>
      </c>
      <c r="AC861" s="27">
        <v>47.216000000000001</v>
      </c>
      <c r="AD861" s="27">
        <v>48.855249999999998</v>
      </c>
      <c r="AE861" s="22">
        <f t="shared" si="298"/>
        <v>116166.55323634615</v>
      </c>
      <c r="AF861" s="23">
        <f t="shared" si="299"/>
        <v>1</v>
      </c>
      <c r="AG861" s="23">
        <f t="shared" si="300"/>
        <v>0</v>
      </c>
      <c r="AH861" s="17">
        <v>4871367.1027630595</v>
      </c>
      <c r="AI861" s="24">
        <f t="shared" si="301"/>
        <v>0.85833834673041243</v>
      </c>
      <c r="AJ861" s="25">
        <v>398857923.49726802</v>
      </c>
      <c r="AK861" s="24">
        <f t="shared" si="302"/>
        <v>2.3733906641152852E-2</v>
      </c>
      <c r="AL861" s="22">
        <f t="shared" si="303"/>
        <v>25935.497861282864</v>
      </c>
      <c r="AM861" s="22">
        <f t="shared" si="304"/>
        <v>116166.55323634615</v>
      </c>
      <c r="AN861" s="22">
        <f t="shared" si="305"/>
        <v>-90231.055375063297</v>
      </c>
      <c r="AO861" s="26" t="str">
        <f t="shared" si="306"/>
        <v/>
      </c>
      <c r="AP861" s="26" t="str">
        <f t="shared" si="307"/>
        <v>pre-launch</v>
      </c>
      <c r="AQ861" s="18"/>
      <c r="AR861" s="18"/>
    </row>
    <row r="862" spans="1:44" x14ac:dyDescent="0.25">
      <c r="A862" s="43">
        <v>45923</v>
      </c>
      <c r="B862" s="17">
        <v>9710818917.3299999</v>
      </c>
      <c r="C862" s="17">
        <v>0</v>
      </c>
      <c r="D862" s="17">
        <v>516089514</v>
      </c>
      <c r="E862" s="19">
        <f t="shared" si="286"/>
        <v>9710818917.3299999</v>
      </c>
      <c r="F862" s="19">
        <f t="shared" si="287"/>
        <v>10226908431.33</v>
      </c>
      <c r="G862" s="20">
        <f t="shared" si="288"/>
        <v>0</v>
      </c>
      <c r="H862" s="17">
        <v>3293140</v>
      </c>
      <c r="I862" s="17">
        <v>222638</v>
      </c>
      <c r="J862" s="17">
        <v>32502</v>
      </c>
      <c r="K862" s="19">
        <f t="shared" si="289"/>
        <v>3515778</v>
      </c>
      <c r="L862" s="18"/>
      <c r="M862" s="18"/>
      <c r="N862" s="18"/>
      <c r="O862" s="19">
        <f t="shared" si="290"/>
        <v>3293140</v>
      </c>
      <c r="P862" s="21">
        <f t="shared" si="291"/>
        <v>3.3912072998529892</v>
      </c>
      <c r="Q862" s="17">
        <v>3038689</v>
      </c>
      <c r="R862" s="17">
        <v>179008</v>
      </c>
      <c r="S862" s="19">
        <f t="shared" si="292"/>
        <v>3217697</v>
      </c>
      <c r="T862" s="20">
        <f t="shared" si="293"/>
        <v>0.01</v>
      </c>
      <c r="U862" s="19">
        <f t="shared" si="294"/>
        <v>32501.989898989901</v>
      </c>
      <c r="V862" s="17">
        <v>32502</v>
      </c>
      <c r="W862" s="19">
        <f t="shared" si="295"/>
        <v>-1.010101009887876E-2</v>
      </c>
      <c r="X862" s="19">
        <f t="shared" si="296"/>
        <v>298081</v>
      </c>
      <c r="Y862" s="17">
        <v>254451</v>
      </c>
      <c r="Z862" s="17">
        <v>43630</v>
      </c>
      <c r="AA862" s="19">
        <f t="shared" si="297"/>
        <v>265579</v>
      </c>
      <c r="AB862" s="17">
        <v>3217697</v>
      </c>
      <c r="AC862" s="27">
        <v>44.594999999999999</v>
      </c>
      <c r="AD862" s="27">
        <v>46.249499999999998</v>
      </c>
      <c r="AE862" s="22">
        <f t="shared" si="298"/>
        <v>69572.579163017988</v>
      </c>
      <c r="AF862" s="23">
        <f t="shared" si="299"/>
        <v>0</v>
      </c>
      <c r="AG862" s="23">
        <f t="shared" si="300"/>
        <v>0</v>
      </c>
      <c r="AH862" s="17">
        <v>2838180.8421299499</v>
      </c>
      <c r="AI862" s="24">
        <f t="shared" si="301"/>
        <v>0.88205348176970977</v>
      </c>
      <c r="AJ862" s="25">
        <v>398994535.519126</v>
      </c>
      <c r="AK862" s="24">
        <f t="shared" si="302"/>
        <v>2.3729843158738669E-2</v>
      </c>
      <c r="AL862" s="22">
        <f t="shared" si="303"/>
        <v>25939.939038527791</v>
      </c>
      <c r="AM862" s="22">
        <f t="shared" si="304"/>
        <v>69572.579163017988</v>
      </c>
      <c r="AN862" s="22">
        <f t="shared" si="305"/>
        <v>-43632.640124490194</v>
      </c>
      <c r="AO862" s="26" t="str">
        <f t="shared" si="306"/>
        <v/>
      </c>
      <c r="AP862" s="26" t="str">
        <f t="shared" si="307"/>
        <v>pre-launch</v>
      </c>
      <c r="AQ862" s="18"/>
      <c r="AR862" s="18"/>
    </row>
    <row r="863" spans="1:44" x14ac:dyDescent="0.25">
      <c r="A863" s="43">
        <v>45924</v>
      </c>
      <c r="B863" s="17">
        <v>9364843437.6100006</v>
      </c>
      <c r="C863" s="17">
        <v>0</v>
      </c>
      <c r="D863" s="17">
        <v>536372957</v>
      </c>
      <c r="E863" s="19">
        <f t="shared" si="286"/>
        <v>9364843437.6100006</v>
      </c>
      <c r="F863" s="19">
        <f t="shared" si="287"/>
        <v>9901216394.6100006</v>
      </c>
      <c r="G863" s="20">
        <f t="shared" si="288"/>
        <v>0</v>
      </c>
      <c r="H863" s="17">
        <v>2896945</v>
      </c>
      <c r="I863" s="17">
        <v>211012</v>
      </c>
      <c r="J863" s="17">
        <v>28617</v>
      </c>
      <c r="K863" s="19">
        <f t="shared" si="289"/>
        <v>3107957</v>
      </c>
      <c r="L863" s="18"/>
      <c r="M863" s="18"/>
      <c r="N863" s="18"/>
      <c r="O863" s="19">
        <f t="shared" si="290"/>
        <v>2896945</v>
      </c>
      <c r="P863" s="21">
        <f t="shared" si="291"/>
        <v>3.0934259812242293</v>
      </c>
      <c r="Q863" s="17">
        <v>2659902</v>
      </c>
      <c r="R863" s="17">
        <v>173179</v>
      </c>
      <c r="S863" s="19">
        <f t="shared" si="292"/>
        <v>2833081</v>
      </c>
      <c r="T863" s="20">
        <f t="shared" si="293"/>
        <v>0.01</v>
      </c>
      <c r="U863" s="19">
        <f t="shared" si="294"/>
        <v>28616.979797979799</v>
      </c>
      <c r="V863" s="17">
        <v>28617</v>
      </c>
      <c r="W863" s="19">
        <f t="shared" si="295"/>
        <v>-2.0202020201395499E-2</v>
      </c>
      <c r="X863" s="19">
        <f t="shared" si="296"/>
        <v>274876</v>
      </c>
      <c r="Y863" s="17">
        <v>237043</v>
      </c>
      <c r="Z863" s="17">
        <v>37833</v>
      </c>
      <c r="AA863" s="19">
        <f t="shared" si="297"/>
        <v>246259</v>
      </c>
      <c r="AB863" s="17">
        <v>2833081</v>
      </c>
      <c r="AC863" s="27">
        <v>45.65</v>
      </c>
      <c r="AD863" s="27">
        <v>45.048000000000002</v>
      </c>
      <c r="AE863" s="22">
        <f t="shared" si="298"/>
        <v>62890.272598117561</v>
      </c>
      <c r="AF863" s="23">
        <f t="shared" si="299"/>
        <v>0</v>
      </c>
      <c r="AG863" s="23">
        <f t="shared" si="300"/>
        <v>0</v>
      </c>
      <c r="AH863" s="17">
        <v>2705082.6342129698</v>
      </c>
      <c r="AI863" s="24">
        <f t="shared" si="301"/>
        <v>0.95482008252251516</v>
      </c>
      <c r="AJ863" s="25">
        <v>399131147.54098397</v>
      </c>
      <c r="AK863" s="24">
        <f t="shared" si="302"/>
        <v>2.372578176273667E-2</v>
      </c>
      <c r="AL863" s="22">
        <f t="shared" si="303"/>
        <v>25944.379455528866</v>
      </c>
      <c r="AM863" s="22">
        <f t="shared" si="304"/>
        <v>62890.272598117561</v>
      </c>
      <c r="AN863" s="22">
        <f t="shared" si="305"/>
        <v>-36945.893142588699</v>
      </c>
      <c r="AO863" s="26" t="str">
        <f t="shared" si="306"/>
        <v/>
      </c>
      <c r="AP863" s="26" t="str">
        <f t="shared" si="307"/>
        <v>pre-launch</v>
      </c>
      <c r="AQ863" s="18"/>
      <c r="AR863" s="18"/>
    </row>
    <row r="864" spans="1:44" x14ac:dyDescent="0.25">
      <c r="A864" s="43">
        <v>45925</v>
      </c>
      <c r="B864" s="17">
        <v>17338409014.869999</v>
      </c>
      <c r="C864" s="17">
        <v>0</v>
      </c>
      <c r="D864" s="17">
        <v>1367424995</v>
      </c>
      <c r="E864" s="19">
        <f t="shared" si="286"/>
        <v>17338409014.869999</v>
      </c>
      <c r="F864" s="19">
        <f t="shared" si="287"/>
        <v>18705834009.869999</v>
      </c>
      <c r="G864" s="20">
        <f t="shared" si="288"/>
        <v>0</v>
      </c>
      <c r="H864" s="17">
        <v>5362372</v>
      </c>
      <c r="I864" s="17">
        <v>607352</v>
      </c>
      <c r="J864" s="17">
        <v>54676</v>
      </c>
      <c r="K864" s="19">
        <f t="shared" si="289"/>
        <v>5969724</v>
      </c>
      <c r="L864" s="18"/>
      <c r="M864" s="18"/>
      <c r="N864" s="18"/>
      <c r="O864" s="19">
        <f t="shared" si="290"/>
        <v>5362372</v>
      </c>
      <c r="P864" s="21">
        <f t="shared" si="291"/>
        <v>3.0927705047222331</v>
      </c>
      <c r="Q864" s="17">
        <v>4996779</v>
      </c>
      <c r="R864" s="17">
        <v>416147</v>
      </c>
      <c r="S864" s="19">
        <f t="shared" si="292"/>
        <v>5412926</v>
      </c>
      <c r="T864" s="20">
        <f t="shared" si="293"/>
        <v>0.01</v>
      </c>
      <c r="U864" s="19">
        <f t="shared" si="294"/>
        <v>54676.020202020205</v>
      </c>
      <c r="V864" s="17">
        <v>54676</v>
      </c>
      <c r="W864" s="19">
        <f t="shared" si="295"/>
        <v>2.0202020205033477E-2</v>
      </c>
      <c r="X864" s="19">
        <f t="shared" si="296"/>
        <v>556798</v>
      </c>
      <c r="Y864" s="17">
        <v>365593</v>
      </c>
      <c r="Z864" s="17">
        <v>191205</v>
      </c>
      <c r="AA864" s="19">
        <f t="shared" si="297"/>
        <v>502122</v>
      </c>
      <c r="AB864" s="17">
        <v>5412926</v>
      </c>
      <c r="AC864" s="27">
        <v>40.366999999999997</v>
      </c>
      <c r="AD864" s="27">
        <v>42.9255</v>
      </c>
      <c r="AE864" s="22">
        <f t="shared" si="298"/>
        <v>126100.47640679782</v>
      </c>
      <c r="AF864" s="23">
        <f t="shared" si="299"/>
        <v>0</v>
      </c>
      <c r="AG864" s="23">
        <f t="shared" si="300"/>
        <v>0</v>
      </c>
      <c r="AH864" s="17">
        <v>5021710.5306019802</v>
      </c>
      <c r="AI864" s="24">
        <f t="shared" si="301"/>
        <v>0.92772569412587202</v>
      </c>
      <c r="AJ864" s="25">
        <v>399267759.56284201</v>
      </c>
      <c r="AK864" s="24">
        <f t="shared" si="302"/>
        <v>2.3721722451362007E-2</v>
      </c>
      <c r="AL864" s="22">
        <f t="shared" si="303"/>
        <v>25948.819112676378</v>
      </c>
      <c r="AM864" s="22">
        <f t="shared" si="304"/>
        <v>126100.47640679782</v>
      </c>
      <c r="AN864" s="22">
        <f t="shared" si="305"/>
        <v>-100151.65729412145</v>
      </c>
      <c r="AO864" s="26" t="str">
        <f t="shared" si="306"/>
        <v/>
      </c>
      <c r="AP864" s="26" t="str">
        <f t="shared" si="307"/>
        <v>pre-launch</v>
      </c>
      <c r="AQ864" s="18"/>
      <c r="AR864" s="18"/>
    </row>
    <row r="865" spans="1:44" x14ac:dyDescent="0.25">
      <c r="A865" s="43">
        <v>45926</v>
      </c>
      <c r="B865" s="17">
        <v>9099654714.8099995</v>
      </c>
      <c r="C865" s="17">
        <v>0</v>
      </c>
      <c r="D865" s="17">
        <v>1037080955</v>
      </c>
      <c r="E865" s="19">
        <f t="shared" si="286"/>
        <v>9099654714.8099995</v>
      </c>
      <c r="F865" s="19">
        <f t="shared" si="287"/>
        <v>10136735669.809999</v>
      </c>
      <c r="G865" s="20">
        <f t="shared" si="288"/>
        <v>0</v>
      </c>
      <c r="H865" s="17">
        <v>3139430</v>
      </c>
      <c r="I865" s="17">
        <v>497915</v>
      </c>
      <c r="J865" s="17">
        <v>32287</v>
      </c>
      <c r="K865" s="19">
        <f t="shared" si="289"/>
        <v>3637345</v>
      </c>
      <c r="L865" s="18"/>
      <c r="M865" s="18"/>
      <c r="N865" s="18"/>
      <c r="O865" s="19">
        <f t="shared" si="290"/>
        <v>3139430</v>
      </c>
      <c r="P865" s="21">
        <f t="shared" si="291"/>
        <v>3.4500539837961872</v>
      </c>
      <c r="Q865" s="17">
        <v>2877919</v>
      </c>
      <c r="R865" s="17">
        <v>318514</v>
      </c>
      <c r="S865" s="19">
        <f t="shared" si="292"/>
        <v>3196433</v>
      </c>
      <c r="T865" s="20">
        <f t="shared" si="293"/>
        <v>0.01</v>
      </c>
      <c r="U865" s="19">
        <f t="shared" si="294"/>
        <v>32287.202020202021</v>
      </c>
      <c r="V865" s="17">
        <v>32287</v>
      </c>
      <c r="W865" s="19">
        <f t="shared" si="295"/>
        <v>0.20202020202123094</v>
      </c>
      <c r="X865" s="19">
        <f t="shared" si="296"/>
        <v>440912</v>
      </c>
      <c r="Y865" s="17">
        <v>261511</v>
      </c>
      <c r="Z865" s="17">
        <v>179401</v>
      </c>
      <c r="AA865" s="19">
        <f t="shared" si="297"/>
        <v>408625</v>
      </c>
      <c r="AB865" s="17">
        <v>3196433</v>
      </c>
      <c r="AC865" s="27">
        <v>44.822000000000003</v>
      </c>
      <c r="AD865" s="27">
        <v>42.792749999999998</v>
      </c>
      <c r="AE865" s="22">
        <f t="shared" si="298"/>
        <v>74695.666906193219</v>
      </c>
      <c r="AF865" s="23">
        <f t="shared" si="299"/>
        <v>0</v>
      </c>
      <c r="AG865" s="23">
        <f t="shared" si="300"/>
        <v>0</v>
      </c>
      <c r="AH865" s="17">
        <v>2971177.3212400698</v>
      </c>
      <c r="AI865" s="24">
        <f t="shared" si="301"/>
        <v>0.92952904729743113</v>
      </c>
      <c r="AJ865" s="25">
        <v>399404371.58469999</v>
      </c>
      <c r="AK865" s="24">
        <f t="shared" si="302"/>
        <v>2.3717665222831971E-2</v>
      </c>
      <c r="AL865" s="22">
        <f t="shared" si="303"/>
        <v>25953.258010360267</v>
      </c>
      <c r="AM865" s="22">
        <f t="shared" si="304"/>
        <v>74695.666906193219</v>
      </c>
      <c r="AN865" s="22">
        <f t="shared" si="305"/>
        <v>-48742.408895832952</v>
      </c>
      <c r="AO865" s="26" t="str">
        <f t="shared" si="306"/>
        <v/>
      </c>
      <c r="AP865" s="26" t="str">
        <f t="shared" si="307"/>
        <v>pre-launch</v>
      </c>
      <c r="AQ865" s="18"/>
      <c r="AR865" s="18"/>
    </row>
    <row r="866" spans="1:44" x14ac:dyDescent="0.25">
      <c r="A866" s="43">
        <v>45927</v>
      </c>
      <c r="B866" s="17">
        <v>4181427581.7600002</v>
      </c>
      <c r="C866" s="17">
        <v>0</v>
      </c>
      <c r="D866" s="17">
        <v>639827893</v>
      </c>
      <c r="E866" s="19">
        <f t="shared" si="286"/>
        <v>4181427581.7600002</v>
      </c>
      <c r="F866" s="19">
        <f t="shared" si="287"/>
        <v>4821255474.7600002</v>
      </c>
      <c r="G866" s="20">
        <f t="shared" si="288"/>
        <v>0</v>
      </c>
      <c r="H866" s="17">
        <v>1493261</v>
      </c>
      <c r="I866" s="17">
        <v>293605</v>
      </c>
      <c r="J866" s="17">
        <v>15445</v>
      </c>
      <c r="K866" s="19">
        <f t="shared" si="289"/>
        <v>1786866</v>
      </c>
      <c r="L866" s="18"/>
      <c r="M866" s="18"/>
      <c r="N866" s="18"/>
      <c r="O866" s="19">
        <f t="shared" si="290"/>
        <v>1493261</v>
      </c>
      <c r="P866" s="21">
        <f t="shared" si="291"/>
        <v>3.5711750850686097</v>
      </c>
      <c r="Q866" s="17">
        <v>1359127</v>
      </c>
      <c r="R866" s="17">
        <v>169956</v>
      </c>
      <c r="S866" s="19">
        <f t="shared" si="292"/>
        <v>1529083</v>
      </c>
      <c r="T866" s="20">
        <f t="shared" si="293"/>
        <v>0.01</v>
      </c>
      <c r="U866" s="19">
        <f t="shared" si="294"/>
        <v>15445.282828282829</v>
      </c>
      <c r="V866" s="17">
        <v>15445</v>
      </c>
      <c r="W866" s="19">
        <f t="shared" si="295"/>
        <v>0.28282828282863193</v>
      </c>
      <c r="X866" s="19">
        <f t="shared" si="296"/>
        <v>257782</v>
      </c>
      <c r="Y866" s="17">
        <v>134133</v>
      </c>
      <c r="Z866" s="17">
        <v>123649</v>
      </c>
      <c r="AA866" s="19">
        <f t="shared" si="297"/>
        <v>242337</v>
      </c>
      <c r="AB866" s="17">
        <v>1529083</v>
      </c>
      <c r="AC866" s="27">
        <v>45.755000000000003</v>
      </c>
      <c r="AD866" s="27">
        <v>45.082999999999998</v>
      </c>
      <c r="AE866" s="22">
        <f t="shared" si="298"/>
        <v>33917.064081804674</v>
      </c>
      <c r="AF866" s="23">
        <f t="shared" si="299"/>
        <v>1</v>
      </c>
      <c r="AG866" s="23">
        <f t="shared" si="300"/>
        <v>0</v>
      </c>
      <c r="AH866" s="17">
        <v>1444572.3418209599</v>
      </c>
      <c r="AI866" s="24">
        <f t="shared" si="301"/>
        <v>0.94473115051371304</v>
      </c>
      <c r="AJ866" s="25">
        <v>399540983.60655701</v>
      </c>
      <c r="AK866" s="24">
        <f t="shared" si="302"/>
        <v>2.3713610075365998E-2</v>
      </c>
      <c r="AL866" s="22">
        <f t="shared" si="303"/>
        <v>25957.69614897011</v>
      </c>
      <c r="AM866" s="22">
        <f t="shared" si="304"/>
        <v>33917.064081804674</v>
      </c>
      <c r="AN866" s="22">
        <f t="shared" si="305"/>
        <v>-7959.3679328345643</v>
      </c>
      <c r="AO866" s="26" t="str">
        <f t="shared" si="306"/>
        <v/>
      </c>
      <c r="AP866" s="26" t="str">
        <f t="shared" si="307"/>
        <v>pre-launch</v>
      </c>
      <c r="AQ866" s="18"/>
      <c r="AR866" s="18"/>
    </row>
    <row r="867" spans="1:44" x14ac:dyDescent="0.25">
      <c r="A867" s="43">
        <v>45928</v>
      </c>
      <c r="B867" s="17">
        <v>5697862969.0699997</v>
      </c>
      <c r="C867" s="17">
        <v>0</v>
      </c>
      <c r="D867" s="17">
        <v>477300071</v>
      </c>
      <c r="E867" s="19">
        <f t="shared" si="286"/>
        <v>5697862969.0699997</v>
      </c>
      <c r="F867" s="19">
        <f t="shared" si="287"/>
        <v>6175163040.0699997</v>
      </c>
      <c r="G867" s="20">
        <f t="shared" si="288"/>
        <v>0</v>
      </c>
      <c r="H867" s="17">
        <v>1932888</v>
      </c>
      <c r="I867" s="17">
        <v>212923</v>
      </c>
      <c r="J867" s="17">
        <v>19477</v>
      </c>
      <c r="K867" s="19">
        <f t="shared" si="289"/>
        <v>2145811</v>
      </c>
      <c r="L867" s="18"/>
      <c r="M867" s="18"/>
      <c r="N867" s="18"/>
      <c r="O867" s="19">
        <f t="shared" si="290"/>
        <v>1932888</v>
      </c>
      <c r="P867" s="21">
        <f t="shared" si="291"/>
        <v>3.3923034135646901</v>
      </c>
      <c r="Q867" s="17">
        <v>1780315</v>
      </c>
      <c r="R867" s="17">
        <v>147917</v>
      </c>
      <c r="S867" s="19">
        <f t="shared" si="292"/>
        <v>1928232</v>
      </c>
      <c r="T867" s="20">
        <f t="shared" si="293"/>
        <v>0.01</v>
      </c>
      <c r="U867" s="19">
        <f t="shared" si="294"/>
        <v>19477.090909090908</v>
      </c>
      <c r="V867" s="17">
        <v>19477</v>
      </c>
      <c r="W867" s="19">
        <f t="shared" si="295"/>
        <v>9.0909090908098733E-2</v>
      </c>
      <c r="X867" s="19">
        <f t="shared" si="296"/>
        <v>217579</v>
      </c>
      <c r="Y867" s="17">
        <v>152574</v>
      </c>
      <c r="Z867" s="17">
        <v>65005</v>
      </c>
      <c r="AA867" s="19">
        <f t="shared" si="297"/>
        <v>198102</v>
      </c>
      <c r="AB867" s="17">
        <v>1928232</v>
      </c>
      <c r="AC867" s="27">
        <v>47.223999999999997</v>
      </c>
      <c r="AD867" s="27">
        <v>45.816249999999997</v>
      </c>
      <c r="AE867" s="22">
        <f t="shared" si="298"/>
        <v>42086.203039314656</v>
      </c>
      <c r="AF867" s="23">
        <f t="shared" si="299"/>
        <v>0</v>
      </c>
      <c r="AG867" s="23">
        <f t="shared" si="300"/>
        <v>0</v>
      </c>
      <c r="AH867" s="17">
        <v>1765539.0836000401</v>
      </c>
      <c r="AI867" s="24">
        <f t="shared" si="301"/>
        <v>0.91562586016622483</v>
      </c>
      <c r="AJ867" s="25">
        <v>399677595.62841499</v>
      </c>
      <c r="AK867" s="24">
        <f t="shared" si="302"/>
        <v>2.3709557007185592E-2</v>
      </c>
      <c r="AL867" s="22">
        <f t="shared" si="303"/>
        <v>25962.13352889528</v>
      </c>
      <c r="AM867" s="22">
        <f t="shared" si="304"/>
        <v>42086.203039314656</v>
      </c>
      <c r="AN867" s="22">
        <f t="shared" si="305"/>
        <v>-16124.069510419376</v>
      </c>
      <c r="AO867" s="26" t="str">
        <f t="shared" si="306"/>
        <v/>
      </c>
      <c r="AP867" s="26" t="str">
        <f t="shared" si="307"/>
        <v>pre-launch</v>
      </c>
      <c r="AQ867" s="18"/>
      <c r="AR867" s="18"/>
    </row>
    <row r="868" spans="1:44" x14ac:dyDescent="0.25">
      <c r="A868" s="43">
        <v>45929</v>
      </c>
      <c r="B868" s="17">
        <v>7934780754.1300001</v>
      </c>
      <c r="C868" s="17">
        <v>0</v>
      </c>
      <c r="D868" s="17">
        <v>548722349</v>
      </c>
      <c r="E868" s="19">
        <f t="shared" si="286"/>
        <v>7934780754.1300001</v>
      </c>
      <c r="F868" s="19">
        <f t="shared" si="287"/>
        <v>8483503103.1300001</v>
      </c>
      <c r="G868" s="20">
        <f t="shared" si="288"/>
        <v>0</v>
      </c>
      <c r="H868" s="17">
        <v>2645646</v>
      </c>
      <c r="I868" s="17">
        <v>258840</v>
      </c>
      <c r="J868" s="17">
        <v>26272</v>
      </c>
      <c r="K868" s="19">
        <f t="shared" si="289"/>
        <v>2904486</v>
      </c>
      <c r="L868" s="18"/>
      <c r="M868" s="18"/>
      <c r="N868" s="18"/>
      <c r="O868" s="19">
        <f t="shared" si="290"/>
        <v>2645646</v>
      </c>
      <c r="P868" s="21">
        <f t="shared" si="291"/>
        <v>3.3342395738193003</v>
      </c>
      <c r="Q868" s="17">
        <v>2425905</v>
      </c>
      <c r="R868" s="17">
        <v>174982</v>
      </c>
      <c r="S868" s="19">
        <f t="shared" si="292"/>
        <v>2600887</v>
      </c>
      <c r="T868" s="20">
        <f t="shared" si="293"/>
        <v>0.01</v>
      </c>
      <c r="U868" s="19">
        <f t="shared" si="294"/>
        <v>26271.585858585859</v>
      </c>
      <c r="V868" s="17">
        <v>26272</v>
      </c>
      <c r="W868" s="19">
        <f t="shared" si="295"/>
        <v>-0.41414141414134065</v>
      </c>
      <c r="X868" s="19">
        <f t="shared" si="296"/>
        <v>303598</v>
      </c>
      <c r="Y868" s="17">
        <v>219740</v>
      </c>
      <c r="Z868" s="17">
        <v>83858</v>
      </c>
      <c r="AA868" s="19">
        <f t="shared" si="297"/>
        <v>277326</v>
      </c>
      <c r="AB868" s="17">
        <v>2600887</v>
      </c>
      <c r="AC868" s="27">
        <v>46.204999999999998</v>
      </c>
      <c r="AD868" s="27">
        <v>46.633000000000003</v>
      </c>
      <c r="AE868" s="22">
        <f t="shared" si="298"/>
        <v>55773.529474835414</v>
      </c>
      <c r="AF868" s="23">
        <f t="shared" si="299"/>
        <v>1</v>
      </c>
      <c r="AG868" s="23">
        <f t="shared" si="300"/>
        <v>0</v>
      </c>
      <c r="AH868" s="17">
        <v>2459428.1407269202</v>
      </c>
      <c r="AI868" s="24">
        <f t="shared" si="301"/>
        <v>0.94561130134716354</v>
      </c>
      <c r="AJ868" s="25">
        <v>399814207.65027303</v>
      </c>
      <c r="AK868" s="24">
        <f t="shared" si="302"/>
        <v>2.3705506016514444E-2</v>
      </c>
      <c r="AL868" s="22">
        <f t="shared" si="303"/>
        <v>25966.570150524665</v>
      </c>
      <c r="AM868" s="22">
        <f t="shared" si="304"/>
        <v>55773.529474835414</v>
      </c>
      <c r="AN868" s="22">
        <f t="shared" si="305"/>
        <v>-29806.959324310748</v>
      </c>
      <c r="AO868" s="26" t="str">
        <f t="shared" si="306"/>
        <v/>
      </c>
      <c r="AP868" s="26" t="str">
        <f t="shared" si="307"/>
        <v>pre-launch</v>
      </c>
      <c r="AQ868" s="18"/>
      <c r="AR868" s="18"/>
    </row>
    <row r="869" spans="1:44" x14ac:dyDescent="0.25">
      <c r="A869" s="43">
        <v>45930</v>
      </c>
      <c r="B869" s="17">
        <v>8498007774.04</v>
      </c>
      <c r="C869" s="17">
        <v>0</v>
      </c>
      <c r="D869" s="17">
        <v>597586698</v>
      </c>
      <c r="E869" s="19">
        <f t="shared" si="286"/>
        <v>8498007774.04</v>
      </c>
      <c r="F869" s="19">
        <f t="shared" si="287"/>
        <v>9095594472.0400009</v>
      </c>
      <c r="G869" s="20">
        <f t="shared" si="288"/>
        <v>0</v>
      </c>
      <c r="H869" s="17">
        <v>2738257</v>
      </c>
      <c r="I869" s="17">
        <v>272745</v>
      </c>
      <c r="J869" s="17">
        <v>27401</v>
      </c>
      <c r="K869" s="19">
        <f t="shared" si="289"/>
        <v>3011002</v>
      </c>
      <c r="L869" s="18"/>
      <c r="M869" s="18"/>
      <c r="N869" s="18"/>
      <c r="O869" s="19">
        <f t="shared" si="290"/>
        <v>2738257</v>
      </c>
      <c r="P869" s="21">
        <f t="shared" si="291"/>
        <v>3.2222340492143582</v>
      </c>
      <c r="Q869" s="17">
        <v>2521826</v>
      </c>
      <c r="R869" s="17">
        <v>190907</v>
      </c>
      <c r="S869" s="19">
        <f t="shared" si="292"/>
        <v>2712733</v>
      </c>
      <c r="T869" s="20">
        <f t="shared" si="293"/>
        <v>0.01</v>
      </c>
      <c r="U869" s="19">
        <f t="shared" si="294"/>
        <v>27401.343434343435</v>
      </c>
      <c r="V869" s="17">
        <v>27401</v>
      </c>
      <c r="W869" s="19">
        <f t="shared" si="295"/>
        <v>0.34343434343463741</v>
      </c>
      <c r="X869" s="19">
        <f t="shared" si="296"/>
        <v>298269</v>
      </c>
      <c r="Y869" s="17">
        <v>216431</v>
      </c>
      <c r="Z869" s="17">
        <v>81838</v>
      </c>
      <c r="AA869" s="19">
        <f t="shared" si="297"/>
        <v>270868</v>
      </c>
      <c r="AB869" s="17">
        <v>2712733</v>
      </c>
      <c r="AC869" s="27">
        <v>45.212000000000003</v>
      </c>
      <c r="AD869" s="27">
        <v>45.323250000000002</v>
      </c>
      <c r="AE869" s="22">
        <f t="shared" si="298"/>
        <v>59853.01142349677</v>
      </c>
      <c r="AF869" s="23">
        <f t="shared" si="299"/>
        <v>0</v>
      </c>
      <c r="AG869" s="23">
        <f t="shared" si="300"/>
        <v>0</v>
      </c>
      <c r="AH869" s="17">
        <v>2573393.0664091101</v>
      </c>
      <c r="AI869" s="24">
        <f t="shared" si="301"/>
        <v>0.94863485142441595</v>
      </c>
      <c r="AJ869" s="25">
        <v>399950819.672131</v>
      </c>
      <c r="AK869" s="24">
        <f t="shared" si="302"/>
        <v>2.3701457101578369E-2</v>
      </c>
      <c r="AL869" s="22">
        <f t="shared" si="303"/>
        <v>25971.006014246901</v>
      </c>
      <c r="AM869" s="22">
        <f t="shared" si="304"/>
        <v>59853.01142349677</v>
      </c>
      <c r="AN869" s="22">
        <f t="shared" si="305"/>
        <v>-33882.005409249869</v>
      </c>
      <c r="AO869" s="26" t="str">
        <f t="shared" si="306"/>
        <v/>
      </c>
      <c r="AP869" s="26" t="str">
        <f t="shared" si="307"/>
        <v>pre-launch</v>
      </c>
      <c r="AQ869" s="18"/>
      <c r="AR869" s="18"/>
    </row>
    <row r="870" spans="1:44" x14ac:dyDescent="0.25">
      <c r="A870" s="43">
        <v>45931</v>
      </c>
      <c r="B870" s="17">
        <v>9824233176.3199997</v>
      </c>
      <c r="C870" s="17">
        <v>0</v>
      </c>
      <c r="D870" s="17">
        <v>558541161</v>
      </c>
      <c r="E870" s="19">
        <f t="shared" si="286"/>
        <v>9824233176.3199997</v>
      </c>
      <c r="F870" s="19">
        <f t="shared" si="287"/>
        <v>10382774337.32</v>
      </c>
      <c r="G870" s="20">
        <f t="shared" si="288"/>
        <v>0</v>
      </c>
      <c r="H870" s="17">
        <v>3189888</v>
      </c>
      <c r="I870" s="17">
        <v>254301</v>
      </c>
      <c r="J870" s="17">
        <v>31400</v>
      </c>
      <c r="K870" s="19">
        <f t="shared" si="289"/>
        <v>3444189</v>
      </c>
      <c r="L870" s="18"/>
      <c r="M870" s="18"/>
      <c r="N870" s="18"/>
      <c r="O870" s="19">
        <f t="shared" si="290"/>
        <v>3189888</v>
      </c>
      <c r="P870" s="21">
        <f t="shared" si="291"/>
        <v>3.246958762836369</v>
      </c>
      <c r="Q870" s="17">
        <v>2943149</v>
      </c>
      <c r="R870" s="17">
        <v>165450</v>
      </c>
      <c r="S870" s="19">
        <f t="shared" si="292"/>
        <v>3108599</v>
      </c>
      <c r="T870" s="20">
        <f t="shared" si="293"/>
        <v>0.01</v>
      </c>
      <c r="U870" s="19">
        <f t="shared" si="294"/>
        <v>31399.989898989901</v>
      </c>
      <c r="V870" s="17">
        <v>31400</v>
      </c>
      <c r="W870" s="19">
        <f t="shared" si="295"/>
        <v>-1.010101009887876E-2</v>
      </c>
      <c r="X870" s="19">
        <f t="shared" si="296"/>
        <v>335591</v>
      </c>
      <c r="Y870" s="17">
        <v>246740</v>
      </c>
      <c r="Z870" s="17">
        <v>88851</v>
      </c>
      <c r="AA870" s="19">
        <f t="shared" si="297"/>
        <v>304191</v>
      </c>
      <c r="AB870" s="17">
        <v>3108599</v>
      </c>
      <c r="AC870" s="27">
        <v>47.261000000000003</v>
      </c>
      <c r="AD870" s="27">
        <v>46.286499999999997</v>
      </c>
      <c r="AE870" s="22">
        <f t="shared" si="298"/>
        <v>67159.949445302627</v>
      </c>
      <c r="AF870" s="23">
        <f t="shared" si="299"/>
        <v>-1</v>
      </c>
      <c r="AG870" s="23">
        <f t="shared" si="300"/>
        <v>0</v>
      </c>
      <c r="AH870" s="17">
        <v>2896850.2883669101</v>
      </c>
      <c r="AI870" s="24">
        <f t="shared" si="301"/>
        <v>0.93188291200213025</v>
      </c>
      <c r="AJ870" s="25">
        <v>400087431.69398898</v>
      </c>
      <c r="AK870" s="24">
        <f t="shared" si="302"/>
        <v>2.3697410260605286E-2</v>
      </c>
      <c r="AL870" s="22">
        <f t="shared" si="303"/>
        <v>25975.441120450276</v>
      </c>
      <c r="AM870" s="22">
        <f t="shared" si="304"/>
        <v>67159.949445302627</v>
      </c>
      <c r="AN870" s="22">
        <f t="shared" si="305"/>
        <v>-41184.508324852352</v>
      </c>
      <c r="AO870" s="26" t="str">
        <f t="shared" si="306"/>
        <v/>
      </c>
      <c r="AP870" s="26" t="str">
        <f t="shared" si="307"/>
        <v>pre-launch</v>
      </c>
      <c r="AQ870" s="18"/>
      <c r="AR870" s="18"/>
    </row>
    <row r="871" spans="1:44" x14ac:dyDescent="0.25">
      <c r="A871" s="43">
        <v>45932</v>
      </c>
      <c r="B871" s="17">
        <v>10644493010.440001</v>
      </c>
      <c r="C871" s="17">
        <v>0</v>
      </c>
      <c r="D871" s="17">
        <v>490069503</v>
      </c>
      <c r="E871" s="19">
        <f t="shared" si="286"/>
        <v>10644493010.440001</v>
      </c>
      <c r="F871" s="19">
        <f t="shared" si="287"/>
        <v>11134562513.440001</v>
      </c>
      <c r="G871" s="20">
        <f t="shared" si="288"/>
        <v>0</v>
      </c>
      <c r="H871" s="17">
        <v>3573808</v>
      </c>
      <c r="I871" s="17">
        <v>239666</v>
      </c>
      <c r="J871" s="17">
        <v>34910</v>
      </c>
      <c r="K871" s="19">
        <f t="shared" si="289"/>
        <v>3813474</v>
      </c>
      <c r="L871" s="18"/>
      <c r="M871" s="18"/>
      <c r="N871" s="18"/>
      <c r="O871" s="19">
        <f t="shared" si="290"/>
        <v>3573808</v>
      </c>
      <c r="P871" s="21">
        <f t="shared" si="291"/>
        <v>3.3574243474957881</v>
      </c>
      <c r="Q871" s="17">
        <v>3277470</v>
      </c>
      <c r="R871" s="17">
        <v>178645</v>
      </c>
      <c r="S871" s="19">
        <f t="shared" si="292"/>
        <v>3456115</v>
      </c>
      <c r="T871" s="20">
        <f t="shared" si="293"/>
        <v>0.01</v>
      </c>
      <c r="U871" s="19">
        <f t="shared" si="294"/>
        <v>34910.25252525253</v>
      </c>
      <c r="V871" s="17">
        <v>34910</v>
      </c>
      <c r="W871" s="19">
        <f t="shared" si="295"/>
        <v>0.25252525253017666</v>
      </c>
      <c r="X871" s="19">
        <f t="shared" si="296"/>
        <v>357359</v>
      </c>
      <c r="Y871" s="17">
        <v>296338</v>
      </c>
      <c r="Z871" s="17">
        <v>61021</v>
      </c>
      <c r="AA871" s="19">
        <f t="shared" si="297"/>
        <v>322449</v>
      </c>
      <c r="AB871" s="17">
        <v>3456115</v>
      </c>
      <c r="AC871" s="27">
        <v>50.826000000000001</v>
      </c>
      <c r="AD871" s="27">
        <v>49.0595</v>
      </c>
      <c r="AE871" s="22">
        <f t="shared" si="298"/>
        <v>70447.415892946316</v>
      </c>
      <c r="AF871" s="23">
        <f t="shared" si="299"/>
        <v>0</v>
      </c>
      <c r="AG871" s="23">
        <f t="shared" si="300"/>
        <v>0</v>
      </c>
      <c r="AH871" s="17">
        <v>3244541.7230380801</v>
      </c>
      <c r="AI871" s="24">
        <f t="shared" si="301"/>
        <v>0.93878291753546395</v>
      </c>
      <c r="AJ871" s="25">
        <v>400224043.71584702</v>
      </c>
      <c r="AK871" s="24">
        <f t="shared" si="302"/>
        <v>2.3693365491825227E-2</v>
      </c>
      <c r="AL871" s="22">
        <f t="shared" si="303"/>
        <v>25979.875469522744</v>
      </c>
      <c r="AM871" s="22">
        <f t="shared" si="304"/>
        <v>70447.415892946316</v>
      </c>
      <c r="AN871" s="22">
        <f t="shared" si="305"/>
        <v>-44467.540423423576</v>
      </c>
      <c r="AO871" s="26" t="str">
        <f t="shared" si="306"/>
        <v/>
      </c>
      <c r="AP871" s="26" t="str">
        <f t="shared" si="307"/>
        <v>pre-launch</v>
      </c>
      <c r="AQ871" s="18"/>
      <c r="AR871" s="18"/>
    </row>
    <row r="872" spans="1:44" x14ac:dyDescent="0.25">
      <c r="A872" s="43">
        <v>45933</v>
      </c>
      <c r="B872" s="17">
        <v>10408189865.9</v>
      </c>
      <c r="C872" s="17">
        <v>0</v>
      </c>
      <c r="D872" s="17">
        <v>447594957</v>
      </c>
      <c r="E872" s="19">
        <f t="shared" si="286"/>
        <v>10408189865.9</v>
      </c>
      <c r="F872" s="19">
        <f t="shared" si="287"/>
        <v>10855784822.9</v>
      </c>
      <c r="G872" s="20">
        <f t="shared" si="288"/>
        <v>0</v>
      </c>
      <c r="H872" s="17">
        <v>3423739</v>
      </c>
      <c r="I872" s="17">
        <v>219717</v>
      </c>
      <c r="J872" s="17">
        <v>33326</v>
      </c>
      <c r="K872" s="19">
        <f t="shared" si="289"/>
        <v>3643456</v>
      </c>
      <c r="L872" s="18"/>
      <c r="M872" s="18"/>
      <c r="N872" s="18"/>
      <c r="O872" s="19">
        <f t="shared" si="290"/>
        <v>3423739</v>
      </c>
      <c r="P872" s="21">
        <f t="shared" si="291"/>
        <v>3.2894663184585822</v>
      </c>
      <c r="Q872" s="17">
        <v>3143732</v>
      </c>
      <c r="R872" s="17">
        <v>155510</v>
      </c>
      <c r="S872" s="19">
        <f t="shared" si="292"/>
        <v>3299242</v>
      </c>
      <c r="T872" s="20">
        <f t="shared" si="293"/>
        <v>0.01</v>
      </c>
      <c r="U872" s="19">
        <f t="shared" si="294"/>
        <v>33325.676767676763</v>
      </c>
      <c r="V872" s="17">
        <v>33326</v>
      </c>
      <c r="W872" s="19">
        <f t="shared" si="295"/>
        <v>-0.32323232323687989</v>
      </c>
      <c r="X872" s="19">
        <f t="shared" si="296"/>
        <v>344214</v>
      </c>
      <c r="Y872" s="17">
        <v>280007</v>
      </c>
      <c r="Z872" s="17">
        <v>64207</v>
      </c>
      <c r="AA872" s="19">
        <f t="shared" si="297"/>
        <v>310888</v>
      </c>
      <c r="AB872" s="17">
        <v>3299242</v>
      </c>
      <c r="AC872" s="27">
        <v>49.438000000000002</v>
      </c>
      <c r="AD872" s="27">
        <v>49.923250000000003</v>
      </c>
      <c r="AE872" s="22">
        <f t="shared" si="298"/>
        <v>66086.282443550852</v>
      </c>
      <c r="AF872" s="23">
        <f t="shared" si="299"/>
        <v>0</v>
      </c>
      <c r="AG872" s="23">
        <f t="shared" si="300"/>
        <v>0</v>
      </c>
      <c r="AH872" s="17">
        <v>3153303.367015</v>
      </c>
      <c r="AI872" s="24">
        <f t="shared" si="301"/>
        <v>0.95576601140959039</v>
      </c>
      <c r="AJ872" s="25">
        <v>400360655.73770499</v>
      </c>
      <c r="AK872" s="24">
        <f t="shared" si="302"/>
        <v>2.3689322793470351E-2</v>
      </c>
      <c r="AL872" s="22">
        <f t="shared" si="303"/>
        <v>25984.30906185192</v>
      </c>
      <c r="AM872" s="22">
        <f t="shared" si="304"/>
        <v>66086.282443550852</v>
      </c>
      <c r="AN872" s="22">
        <f t="shared" si="305"/>
        <v>-40101.973381698932</v>
      </c>
      <c r="AO872" s="26" t="str">
        <f t="shared" si="306"/>
        <v/>
      </c>
      <c r="AP872" s="26" t="str">
        <f t="shared" si="307"/>
        <v>pre-launch</v>
      </c>
      <c r="AQ872" s="18"/>
      <c r="AR872" s="18"/>
    </row>
    <row r="873" spans="1:44" x14ac:dyDescent="0.25">
      <c r="A873" s="43">
        <v>45934</v>
      </c>
      <c r="B873" s="17">
        <v>4766544219.2799997</v>
      </c>
      <c r="C873" s="17">
        <v>0</v>
      </c>
      <c r="D873" s="17">
        <v>290369030</v>
      </c>
      <c r="E873" s="19">
        <f t="shared" si="286"/>
        <v>4766544219.2799997</v>
      </c>
      <c r="F873" s="19">
        <f t="shared" si="287"/>
        <v>5056913249.2799997</v>
      </c>
      <c r="G873" s="20">
        <f t="shared" si="288"/>
        <v>0</v>
      </c>
      <c r="H873" s="17">
        <v>1722791</v>
      </c>
      <c r="I873" s="17">
        <v>174444</v>
      </c>
      <c r="J873" s="17">
        <v>16462</v>
      </c>
      <c r="K873" s="19">
        <f t="shared" si="289"/>
        <v>1897235</v>
      </c>
      <c r="L873" s="18"/>
      <c r="M873" s="18"/>
      <c r="N873" s="18"/>
      <c r="O873" s="19">
        <f t="shared" si="290"/>
        <v>1722791</v>
      </c>
      <c r="P873" s="21">
        <f t="shared" si="291"/>
        <v>3.6143396992553916</v>
      </c>
      <c r="Q873" s="17">
        <v>1496243</v>
      </c>
      <c r="R873" s="17">
        <v>133499</v>
      </c>
      <c r="S873" s="19">
        <f t="shared" si="292"/>
        <v>1629742</v>
      </c>
      <c r="T873" s="20">
        <f t="shared" si="293"/>
        <v>0.01</v>
      </c>
      <c r="U873" s="19">
        <f t="shared" si="294"/>
        <v>16462.040404040403</v>
      </c>
      <c r="V873" s="17">
        <v>16462</v>
      </c>
      <c r="W873" s="19">
        <f t="shared" si="295"/>
        <v>4.0404040402790997E-2</v>
      </c>
      <c r="X873" s="19">
        <f t="shared" si="296"/>
        <v>267493</v>
      </c>
      <c r="Y873" s="17">
        <v>226548</v>
      </c>
      <c r="Z873" s="17">
        <v>40945</v>
      </c>
      <c r="AA873" s="19">
        <f t="shared" si="297"/>
        <v>251031</v>
      </c>
      <c r="AB873" s="17">
        <v>1629742</v>
      </c>
      <c r="AC873" s="27">
        <v>49.164999999999999</v>
      </c>
      <c r="AD873" s="27">
        <v>48.976750000000003</v>
      </c>
      <c r="AE873" s="22">
        <f t="shared" si="298"/>
        <v>33275.82985804489</v>
      </c>
      <c r="AF873" s="23">
        <f t="shared" si="299"/>
        <v>0</v>
      </c>
      <c r="AG873" s="23">
        <f t="shared" si="300"/>
        <v>0</v>
      </c>
      <c r="AH873" s="17">
        <v>1454220.63250792</v>
      </c>
      <c r="AI873" s="24">
        <f t="shared" si="301"/>
        <v>0.89230113263812316</v>
      </c>
      <c r="AJ873" s="25">
        <v>400497267.75956303</v>
      </c>
      <c r="AK873" s="24">
        <f t="shared" si="302"/>
        <v>2.3685282163774916E-2</v>
      </c>
      <c r="AL873" s="22">
        <f t="shared" si="303"/>
        <v>25988.741897825112</v>
      </c>
      <c r="AM873" s="22">
        <f t="shared" si="304"/>
        <v>33275.82985804489</v>
      </c>
      <c r="AN873" s="22">
        <f t="shared" si="305"/>
        <v>-7287.0879602197783</v>
      </c>
      <c r="AO873" s="26" t="str">
        <f t="shared" si="306"/>
        <v/>
      </c>
      <c r="AP873" s="26" t="str">
        <f t="shared" si="307"/>
        <v>pre-launch</v>
      </c>
      <c r="AQ873" s="18"/>
      <c r="AR873" s="18"/>
    </row>
    <row r="874" spans="1:44" x14ac:dyDescent="0.25">
      <c r="A874" s="43">
        <v>45935</v>
      </c>
      <c r="B874" s="17">
        <v>9544080331.3400002</v>
      </c>
      <c r="C874" s="17">
        <v>0</v>
      </c>
      <c r="D874" s="17">
        <v>388743024</v>
      </c>
      <c r="E874" s="19">
        <f t="shared" si="286"/>
        <v>9544080331.3400002</v>
      </c>
      <c r="F874" s="19">
        <f t="shared" si="287"/>
        <v>9932823355.3400002</v>
      </c>
      <c r="G874" s="20">
        <f t="shared" si="288"/>
        <v>0</v>
      </c>
      <c r="H874" s="17">
        <v>3229623</v>
      </c>
      <c r="I874" s="17">
        <v>194451</v>
      </c>
      <c r="J874" s="17">
        <v>30644</v>
      </c>
      <c r="K874" s="19">
        <f t="shared" si="289"/>
        <v>3424074</v>
      </c>
      <c r="L874" s="18"/>
      <c r="M874" s="18"/>
      <c r="N874" s="18"/>
      <c r="O874" s="19">
        <f t="shared" si="290"/>
        <v>3229623</v>
      </c>
      <c r="P874" s="21">
        <f t="shared" si="291"/>
        <v>3.3839017358171768</v>
      </c>
      <c r="Q874" s="17">
        <v>2902828</v>
      </c>
      <c r="R874" s="17">
        <v>130885</v>
      </c>
      <c r="S874" s="19">
        <f t="shared" si="292"/>
        <v>3033713</v>
      </c>
      <c r="T874" s="20">
        <f t="shared" si="293"/>
        <v>0.01</v>
      </c>
      <c r="U874" s="19">
        <f t="shared" si="294"/>
        <v>30643.565656565657</v>
      </c>
      <c r="V874" s="17">
        <v>30644</v>
      </c>
      <c r="W874" s="19">
        <f t="shared" si="295"/>
        <v>-0.43434343434273615</v>
      </c>
      <c r="X874" s="19">
        <f t="shared" si="296"/>
        <v>390361</v>
      </c>
      <c r="Y874" s="17">
        <v>326795</v>
      </c>
      <c r="Z874" s="17">
        <v>63566</v>
      </c>
      <c r="AA874" s="19">
        <f t="shared" si="297"/>
        <v>359717</v>
      </c>
      <c r="AB874" s="17">
        <v>3033713</v>
      </c>
      <c r="AC874" s="27">
        <v>48.237000000000002</v>
      </c>
      <c r="AD874" s="27">
        <v>49.060749999999999</v>
      </c>
      <c r="AE874" s="22">
        <f t="shared" si="298"/>
        <v>61835.846374138186</v>
      </c>
      <c r="AF874" s="23">
        <f t="shared" si="299"/>
        <v>0</v>
      </c>
      <c r="AG874" s="23">
        <f t="shared" si="300"/>
        <v>0</v>
      </c>
      <c r="AH874" s="17">
        <v>2824966.6026210799</v>
      </c>
      <c r="AI874" s="24">
        <f t="shared" si="301"/>
        <v>0.93119111881086969</v>
      </c>
      <c r="AJ874" s="25">
        <v>400633879.78142101</v>
      </c>
      <c r="AK874" s="24">
        <f t="shared" si="302"/>
        <v>2.3681243600975295E-2</v>
      </c>
      <c r="AL874" s="22">
        <f t="shared" si="303"/>
        <v>25993.173977829265</v>
      </c>
      <c r="AM874" s="22">
        <f t="shared" si="304"/>
        <v>61835.846374138186</v>
      </c>
      <c r="AN874" s="22">
        <f t="shared" si="305"/>
        <v>-35842.672396308917</v>
      </c>
      <c r="AO874" s="26" t="str">
        <f t="shared" si="306"/>
        <v/>
      </c>
      <c r="AP874" s="26" t="str">
        <f t="shared" si="307"/>
        <v>pre-launch</v>
      </c>
      <c r="AQ874" s="18"/>
      <c r="AR874" s="18"/>
    </row>
    <row r="875" spans="1:44" x14ac:dyDescent="0.25">
      <c r="A875" s="43">
        <v>45936</v>
      </c>
      <c r="B875" s="17">
        <v>10603772427.08</v>
      </c>
      <c r="C875" s="17">
        <v>0</v>
      </c>
      <c r="D875" s="17">
        <v>538793113</v>
      </c>
      <c r="E875" s="19">
        <f t="shared" si="286"/>
        <v>10603772427.08</v>
      </c>
      <c r="F875" s="19">
        <f t="shared" si="287"/>
        <v>11142565540.08</v>
      </c>
      <c r="G875" s="20">
        <f t="shared" si="288"/>
        <v>0</v>
      </c>
      <c r="H875" s="17">
        <v>3481966</v>
      </c>
      <c r="I875" s="17">
        <v>350589</v>
      </c>
      <c r="J875" s="17">
        <v>34035</v>
      </c>
      <c r="K875" s="19">
        <f t="shared" si="289"/>
        <v>3832555</v>
      </c>
      <c r="L875" s="18"/>
      <c r="M875" s="18"/>
      <c r="N875" s="18"/>
      <c r="O875" s="19">
        <f t="shared" si="290"/>
        <v>3481966</v>
      </c>
      <c r="P875" s="21">
        <f t="shared" si="291"/>
        <v>3.2837049492949575</v>
      </c>
      <c r="Q875" s="17">
        <v>3105218</v>
      </c>
      <c r="R875" s="17">
        <v>264204</v>
      </c>
      <c r="S875" s="19">
        <f t="shared" si="292"/>
        <v>3369422</v>
      </c>
      <c r="T875" s="20">
        <f t="shared" si="293"/>
        <v>0.01</v>
      </c>
      <c r="U875" s="19">
        <f t="shared" si="294"/>
        <v>34034.565656565661</v>
      </c>
      <c r="V875" s="17">
        <v>34035</v>
      </c>
      <c r="W875" s="19">
        <f t="shared" si="295"/>
        <v>-0.43434343433909817</v>
      </c>
      <c r="X875" s="19">
        <f t="shared" si="296"/>
        <v>463132</v>
      </c>
      <c r="Y875" s="17">
        <v>376748</v>
      </c>
      <c r="Z875" s="17">
        <v>86384</v>
      </c>
      <c r="AA875" s="19">
        <f t="shared" si="297"/>
        <v>429097</v>
      </c>
      <c r="AB875" s="17">
        <v>3369422</v>
      </c>
      <c r="AC875" s="27">
        <v>47.235999999999997</v>
      </c>
      <c r="AD875" s="27">
        <v>48.103000000000002</v>
      </c>
      <c r="AE875" s="22">
        <f t="shared" si="298"/>
        <v>70045.984657921537</v>
      </c>
      <c r="AF875" s="23">
        <f t="shared" si="299"/>
        <v>1</v>
      </c>
      <c r="AG875" s="23">
        <f t="shared" si="300"/>
        <v>0</v>
      </c>
      <c r="AH875" s="17">
        <v>3125143.2770400099</v>
      </c>
      <c r="AI875" s="24">
        <f t="shared" si="301"/>
        <v>0.92750129756379873</v>
      </c>
      <c r="AJ875" s="25">
        <v>400770491.80327898</v>
      </c>
      <c r="AK875" s="24">
        <f t="shared" si="302"/>
        <v>2.3677207103309967E-2</v>
      </c>
      <c r="AL875" s="22">
        <f t="shared" si="303"/>
        <v>25997.605302251028</v>
      </c>
      <c r="AM875" s="22">
        <f t="shared" si="304"/>
        <v>70045.984657921537</v>
      </c>
      <c r="AN875" s="22">
        <f t="shared" si="305"/>
        <v>-44048.379355670506</v>
      </c>
      <c r="AO875" s="26" t="str">
        <f t="shared" si="306"/>
        <v/>
      </c>
      <c r="AP875" s="26" t="str">
        <f t="shared" si="307"/>
        <v>pre-launch</v>
      </c>
      <c r="AQ875" s="18"/>
      <c r="AR875" s="18"/>
    </row>
    <row r="876" spans="1:44" x14ac:dyDescent="0.25">
      <c r="A876" s="43">
        <v>45937</v>
      </c>
      <c r="B876" s="17">
        <v>14676247652.040001</v>
      </c>
      <c r="C876" s="17">
        <v>0</v>
      </c>
      <c r="D876" s="17">
        <v>738528778</v>
      </c>
      <c r="E876" s="19">
        <f t="shared" si="286"/>
        <v>14676247652.040001</v>
      </c>
      <c r="F876" s="19">
        <f t="shared" si="287"/>
        <v>15414776430.040001</v>
      </c>
      <c r="G876" s="20">
        <f t="shared" si="288"/>
        <v>0</v>
      </c>
      <c r="H876" s="17">
        <v>4506897</v>
      </c>
      <c r="I876" s="17">
        <v>400627</v>
      </c>
      <c r="J876" s="17">
        <v>44615</v>
      </c>
      <c r="K876" s="19">
        <f t="shared" si="289"/>
        <v>4907524</v>
      </c>
      <c r="L876" s="18"/>
      <c r="M876" s="18"/>
      <c r="N876" s="18"/>
      <c r="O876" s="19">
        <f t="shared" si="290"/>
        <v>4506897</v>
      </c>
      <c r="P876" s="21">
        <f t="shared" si="291"/>
        <v>3.0708782700144339</v>
      </c>
      <c r="Q876" s="17">
        <v>4104820</v>
      </c>
      <c r="R876" s="17">
        <v>312019</v>
      </c>
      <c r="S876" s="19">
        <f t="shared" si="292"/>
        <v>4416839</v>
      </c>
      <c r="T876" s="20">
        <f t="shared" si="293"/>
        <v>0.01</v>
      </c>
      <c r="U876" s="19">
        <f t="shared" si="294"/>
        <v>44614.53535353535</v>
      </c>
      <c r="V876" s="17">
        <v>44615</v>
      </c>
      <c r="W876" s="19">
        <f t="shared" si="295"/>
        <v>-0.46464646465028636</v>
      </c>
      <c r="X876" s="19">
        <f t="shared" si="296"/>
        <v>490686</v>
      </c>
      <c r="Y876" s="17">
        <v>402077</v>
      </c>
      <c r="Z876" s="17">
        <v>88609</v>
      </c>
      <c r="AA876" s="19">
        <f t="shared" si="297"/>
        <v>446071</v>
      </c>
      <c r="AB876" s="17">
        <v>4416839</v>
      </c>
      <c r="AC876" s="27">
        <v>45.128</v>
      </c>
      <c r="AD876" s="27">
        <v>46.169750000000001</v>
      </c>
      <c r="AE876" s="22">
        <f t="shared" si="298"/>
        <v>95665.213695114231</v>
      </c>
      <c r="AF876" s="23">
        <f t="shared" si="299"/>
        <v>-1</v>
      </c>
      <c r="AG876" s="23">
        <f t="shared" si="300"/>
        <v>0</v>
      </c>
      <c r="AH876" s="17">
        <v>4338414.57716191</v>
      </c>
      <c r="AI876" s="24">
        <f t="shared" si="301"/>
        <v>0.98224421971502929</v>
      </c>
      <c r="AJ876" s="25">
        <v>400907103.82513702</v>
      </c>
      <c r="AK876" s="24">
        <f t="shared" si="302"/>
        <v>2.3673172669019495E-2</v>
      </c>
      <c r="AL876" s="22">
        <f t="shared" si="303"/>
        <v>26002.035871476699</v>
      </c>
      <c r="AM876" s="22">
        <f t="shared" si="304"/>
        <v>95665.213695114231</v>
      </c>
      <c r="AN876" s="22">
        <f t="shared" si="305"/>
        <v>-69663.177823637525</v>
      </c>
      <c r="AO876" s="26" t="str">
        <f t="shared" si="306"/>
        <v/>
      </c>
      <c r="AP876" s="26" t="str">
        <f t="shared" si="307"/>
        <v>pre-launch</v>
      </c>
      <c r="AQ876" s="18"/>
      <c r="AR876" s="18"/>
    </row>
    <row r="877" spans="1:44" x14ac:dyDescent="0.25">
      <c r="A877" s="43">
        <v>45938</v>
      </c>
      <c r="B877" s="17">
        <v>8887739221.5</v>
      </c>
      <c r="C877" s="17">
        <v>0</v>
      </c>
      <c r="D877" s="17">
        <v>654600179</v>
      </c>
      <c r="E877" s="19">
        <f t="shared" si="286"/>
        <v>8887739221.5</v>
      </c>
      <c r="F877" s="19">
        <f t="shared" si="287"/>
        <v>9542339400.5</v>
      </c>
      <c r="G877" s="20">
        <f t="shared" si="288"/>
        <v>0</v>
      </c>
      <c r="H877" s="17">
        <v>3037189</v>
      </c>
      <c r="I877" s="17">
        <v>316234</v>
      </c>
      <c r="J877" s="17">
        <v>29984</v>
      </c>
      <c r="K877" s="19">
        <f t="shared" si="289"/>
        <v>3353423</v>
      </c>
      <c r="L877" s="18"/>
      <c r="M877" s="18"/>
      <c r="N877" s="18"/>
      <c r="O877" s="19">
        <f t="shared" si="290"/>
        <v>3037189</v>
      </c>
      <c r="P877" s="21">
        <f t="shared" si="291"/>
        <v>3.4172796076789118</v>
      </c>
      <c r="Q877" s="17">
        <v>2722898</v>
      </c>
      <c r="R877" s="17">
        <v>245503</v>
      </c>
      <c r="S877" s="19">
        <f t="shared" si="292"/>
        <v>2968401</v>
      </c>
      <c r="T877" s="20">
        <f t="shared" si="293"/>
        <v>0.01</v>
      </c>
      <c r="U877" s="19">
        <f t="shared" si="294"/>
        <v>29983.848484848488</v>
      </c>
      <c r="V877" s="17">
        <v>29984</v>
      </c>
      <c r="W877" s="19">
        <f t="shared" si="295"/>
        <v>-0.15151515151228523</v>
      </c>
      <c r="X877" s="19">
        <f t="shared" si="296"/>
        <v>385022</v>
      </c>
      <c r="Y877" s="17">
        <v>314291</v>
      </c>
      <c r="Z877" s="17">
        <v>70731</v>
      </c>
      <c r="AA877" s="19">
        <f t="shared" si="297"/>
        <v>355038</v>
      </c>
      <c r="AB877" s="17">
        <v>2968401</v>
      </c>
      <c r="AC877" s="27">
        <v>46.63</v>
      </c>
      <c r="AD877" s="27">
        <v>45.990499999999997</v>
      </c>
      <c r="AE877" s="22">
        <f t="shared" si="298"/>
        <v>64543.786216718676</v>
      </c>
      <c r="AF877" s="23">
        <f t="shared" si="299"/>
        <v>0</v>
      </c>
      <c r="AG877" s="23">
        <f t="shared" si="300"/>
        <v>0</v>
      </c>
      <c r="AH877" s="17">
        <v>2726997.0272780699</v>
      </c>
      <c r="AI877" s="24">
        <f t="shared" si="301"/>
        <v>0.91867541726271817</v>
      </c>
      <c r="AJ877" s="25">
        <v>401043715.846995</v>
      </c>
      <c r="AK877" s="24">
        <f t="shared" si="302"/>
        <v>2.3669140296346574E-2</v>
      </c>
      <c r="AL877" s="22">
        <f t="shared" si="303"/>
        <v>26006.465685892257</v>
      </c>
      <c r="AM877" s="22">
        <f t="shared" si="304"/>
        <v>64543.786216718676</v>
      </c>
      <c r="AN877" s="22">
        <f t="shared" si="305"/>
        <v>-38537.320530826415</v>
      </c>
      <c r="AO877" s="26" t="str">
        <f t="shared" si="306"/>
        <v/>
      </c>
      <c r="AP877" s="26" t="str">
        <f t="shared" si="307"/>
        <v>pre-launch</v>
      </c>
      <c r="AQ877" s="18"/>
      <c r="AR877" s="18"/>
    </row>
    <row r="878" spans="1:44" x14ac:dyDescent="0.25">
      <c r="A878" s="43">
        <v>45939</v>
      </c>
      <c r="B878" s="17">
        <v>12273094486.690001</v>
      </c>
      <c r="C878" s="17">
        <v>0</v>
      </c>
      <c r="D878" s="17">
        <v>454122989</v>
      </c>
      <c r="E878" s="19">
        <f t="shared" si="286"/>
        <v>12273094486.690001</v>
      </c>
      <c r="F878" s="19">
        <f t="shared" si="287"/>
        <v>12727217475.690001</v>
      </c>
      <c r="G878" s="20">
        <f t="shared" si="288"/>
        <v>0</v>
      </c>
      <c r="H878" s="17">
        <v>3544271</v>
      </c>
      <c r="I878" s="17">
        <v>253750</v>
      </c>
      <c r="J878" s="17">
        <v>34454</v>
      </c>
      <c r="K878" s="19">
        <f t="shared" si="289"/>
        <v>3798021</v>
      </c>
      <c r="L878" s="18"/>
      <c r="M878" s="18"/>
      <c r="N878" s="18"/>
      <c r="O878" s="19">
        <f t="shared" si="290"/>
        <v>3544271</v>
      </c>
      <c r="P878" s="21">
        <f t="shared" si="291"/>
        <v>2.8878381111167299</v>
      </c>
      <c r="Q878" s="17">
        <v>3224043</v>
      </c>
      <c r="R878" s="17">
        <v>186876</v>
      </c>
      <c r="S878" s="19">
        <f t="shared" si="292"/>
        <v>3410919</v>
      </c>
      <c r="T878" s="20">
        <f t="shared" si="293"/>
        <v>0.01</v>
      </c>
      <c r="U878" s="19">
        <f t="shared" si="294"/>
        <v>34453.727272727272</v>
      </c>
      <c r="V878" s="17">
        <v>34454</v>
      </c>
      <c r="W878" s="19">
        <f t="shared" si="295"/>
        <v>-0.27272727272793418</v>
      </c>
      <c r="X878" s="19">
        <f t="shared" si="296"/>
        <v>387102</v>
      </c>
      <c r="Y878" s="17">
        <v>320228</v>
      </c>
      <c r="Z878" s="17">
        <v>66874</v>
      </c>
      <c r="AA878" s="19">
        <f t="shared" si="297"/>
        <v>352648</v>
      </c>
      <c r="AB878" s="17">
        <v>3410919</v>
      </c>
      <c r="AC878" s="27">
        <v>43.969000000000001</v>
      </c>
      <c r="AD878" s="27">
        <v>44.932000000000002</v>
      </c>
      <c r="AE878" s="22">
        <f t="shared" si="298"/>
        <v>75912.912846078514</v>
      </c>
      <c r="AF878" s="23">
        <f t="shared" si="299"/>
        <v>0</v>
      </c>
      <c r="AG878" s="23">
        <f t="shared" si="300"/>
        <v>0</v>
      </c>
      <c r="AH878" s="17">
        <v>3541238.3015109301</v>
      </c>
      <c r="AI878" s="24">
        <f t="shared" si="301"/>
        <v>1.0382065072524238</v>
      </c>
      <c r="AJ878" s="25">
        <v>401180327.86885202</v>
      </c>
      <c r="AK878" s="24">
        <f t="shared" si="302"/>
        <v>2.3665109983535982E-2</v>
      </c>
      <c r="AL878" s="22">
        <f t="shared" si="303"/>
        <v>26010.89474588331</v>
      </c>
      <c r="AM878" s="22">
        <f t="shared" si="304"/>
        <v>75912.912846078514</v>
      </c>
      <c r="AN878" s="22">
        <f t="shared" si="305"/>
        <v>-49902.018100195201</v>
      </c>
      <c r="AO878" s="26" t="str">
        <f t="shared" si="306"/>
        <v/>
      </c>
      <c r="AP878" s="26" t="str">
        <f t="shared" si="307"/>
        <v>pre-launch</v>
      </c>
      <c r="AQ878" s="18"/>
      <c r="AR878" s="18"/>
    </row>
    <row r="879" spans="1:44" x14ac:dyDescent="0.25">
      <c r="A879" s="43">
        <v>45940</v>
      </c>
      <c r="B879" s="17">
        <v>28724586156.580002</v>
      </c>
      <c r="C879" s="17">
        <v>0</v>
      </c>
      <c r="D879" s="17">
        <v>984610585</v>
      </c>
      <c r="E879" s="19">
        <f t="shared" si="286"/>
        <v>28724586156.580002</v>
      </c>
      <c r="F879" s="19">
        <f t="shared" si="287"/>
        <v>29709196741.580002</v>
      </c>
      <c r="G879" s="20">
        <f t="shared" si="288"/>
        <v>0</v>
      </c>
      <c r="H879" s="17">
        <v>10141370</v>
      </c>
      <c r="I879" s="17">
        <v>510401</v>
      </c>
      <c r="J879" s="17">
        <v>99629</v>
      </c>
      <c r="K879" s="19">
        <f t="shared" si="289"/>
        <v>10651771</v>
      </c>
      <c r="L879" s="18"/>
      <c r="M879" s="18"/>
      <c r="N879" s="18"/>
      <c r="O879" s="19">
        <f t="shared" si="290"/>
        <v>10141370</v>
      </c>
      <c r="P879" s="21">
        <f t="shared" si="291"/>
        <v>3.5305539111054851</v>
      </c>
      <c r="Q879" s="17">
        <v>9509632</v>
      </c>
      <c r="R879" s="17">
        <v>353674</v>
      </c>
      <c r="S879" s="19">
        <f t="shared" si="292"/>
        <v>9863306</v>
      </c>
      <c r="T879" s="20">
        <f t="shared" si="293"/>
        <v>0.01</v>
      </c>
      <c r="U879" s="19">
        <f t="shared" si="294"/>
        <v>99629.353535353541</v>
      </c>
      <c r="V879" s="17">
        <v>99629</v>
      </c>
      <c r="W879" s="19">
        <f t="shared" si="295"/>
        <v>0.35353535354079213</v>
      </c>
      <c r="X879" s="19">
        <f t="shared" si="296"/>
        <v>788465</v>
      </c>
      <c r="Y879" s="17">
        <v>631738</v>
      </c>
      <c r="Z879" s="17">
        <v>156727</v>
      </c>
      <c r="AA879" s="19">
        <f t="shared" si="297"/>
        <v>688836</v>
      </c>
      <c r="AB879" s="17">
        <v>9863306</v>
      </c>
      <c r="AC879" s="27">
        <v>37.606000000000002</v>
      </c>
      <c r="AD879" s="27">
        <v>40.372999999999998</v>
      </c>
      <c r="AE879" s="22">
        <f t="shared" si="298"/>
        <v>244304.51044014565</v>
      </c>
      <c r="AF879" s="23">
        <f t="shared" si="299"/>
        <v>0</v>
      </c>
      <c r="AG879" s="23">
        <f t="shared" si="300"/>
        <v>0</v>
      </c>
      <c r="AH879" s="17">
        <v>20226867.868034001</v>
      </c>
      <c r="AI879" s="24">
        <f t="shared" si="301"/>
        <v>2.050718883509647</v>
      </c>
      <c r="AJ879" s="25">
        <v>401316939.89071</v>
      </c>
      <c r="AK879" s="24">
        <f t="shared" si="302"/>
        <v>2.3661081728834535E-2</v>
      </c>
      <c r="AL879" s="22">
        <f t="shared" si="303"/>
        <v>26015.32305183525</v>
      </c>
      <c r="AM879" s="22">
        <f t="shared" si="304"/>
        <v>244304.51044014565</v>
      </c>
      <c r="AN879" s="22">
        <f t="shared" si="305"/>
        <v>-218289.18738831038</v>
      </c>
      <c r="AO879" s="26" t="str">
        <f t="shared" si="306"/>
        <v/>
      </c>
      <c r="AP879" s="26" t="str">
        <f t="shared" si="307"/>
        <v>pre-launch</v>
      </c>
      <c r="AQ879" s="18"/>
      <c r="AR879" s="18"/>
    </row>
    <row r="880" spans="1:44" x14ac:dyDescent="0.25">
      <c r="A880" s="43">
        <v>45941</v>
      </c>
      <c r="B880" s="17">
        <v>10333348903.639999</v>
      </c>
      <c r="C880" s="17">
        <v>0</v>
      </c>
      <c r="D880" s="17">
        <v>704628551</v>
      </c>
      <c r="E880" s="19">
        <f t="shared" si="286"/>
        <v>10333348903.639999</v>
      </c>
      <c r="F880" s="19">
        <f t="shared" si="287"/>
        <v>11037977454.639999</v>
      </c>
      <c r="G880" s="20">
        <f t="shared" si="288"/>
        <v>0</v>
      </c>
      <c r="H880" s="17">
        <v>3430802</v>
      </c>
      <c r="I880" s="17">
        <v>323696</v>
      </c>
      <c r="J880" s="17">
        <v>33959</v>
      </c>
      <c r="K880" s="19">
        <f t="shared" si="289"/>
        <v>3754498</v>
      </c>
      <c r="L880" s="18"/>
      <c r="M880" s="18"/>
      <c r="N880" s="18"/>
      <c r="O880" s="19">
        <f t="shared" si="290"/>
        <v>3430802</v>
      </c>
      <c r="P880" s="21">
        <f t="shared" si="291"/>
        <v>3.3201259649632795</v>
      </c>
      <c r="Q880" s="17">
        <v>3114694</v>
      </c>
      <c r="R880" s="17">
        <v>247275</v>
      </c>
      <c r="S880" s="19">
        <f t="shared" si="292"/>
        <v>3361969</v>
      </c>
      <c r="T880" s="20">
        <f t="shared" si="293"/>
        <v>0.01</v>
      </c>
      <c r="U880" s="19">
        <f t="shared" si="294"/>
        <v>33959.282828282834</v>
      </c>
      <c r="V880" s="17">
        <v>33959</v>
      </c>
      <c r="W880" s="19">
        <f t="shared" si="295"/>
        <v>0.2828282828340889</v>
      </c>
      <c r="X880" s="19">
        <f t="shared" si="296"/>
        <v>392529</v>
      </c>
      <c r="Y880" s="17">
        <v>316108</v>
      </c>
      <c r="Z880" s="17">
        <v>76421</v>
      </c>
      <c r="AA880" s="19">
        <f t="shared" si="297"/>
        <v>358570</v>
      </c>
      <c r="AB880" s="17">
        <v>3361969</v>
      </c>
      <c r="AC880" s="27">
        <v>36.847999999999999</v>
      </c>
      <c r="AD880" s="27">
        <v>37.646749999999997</v>
      </c>
      <c r="AE880" s="22">
        <f t="shared" si="298"/>
        <v>89303.034126451821</v>
      </c>
      <c r="AF880" s="23">
        <f t="shared" si="299"/>
        <v>0</v>
      </c>
      <c r="AG880" s="23">
        <f t="shared" si="300"/>
        <v>0</v>
      </c>
      <c r="AH880" s="17">
        <v>3138648.9070750498</v>
      </c>
      <c r="AI880" s="24">
        <f t="shared" si="301"/>
        <v>0.93357461269721698</v>
      </c>
      <c r="AJ880" s="25">
        <v>401453551.91256797</v>
      </c>
      <c r="AK880" s="24">
        <f t="shared" si="302"/>
        <v>2.3657055530491199E-2</v>
      </c>
      <c r="AL880" s="22">
        <f t="shared" si="303"/>
        <v>26019.750604133016</v>
      </c>
      <c r="AM880" s="22">
        <f t="shared" si="304"/>
        <v>89303.034126451821</v>
      </c>
      <c r="AN880" s="22">
        <f t="shared" si="305"/>
        <v>-63283.283522318801</v>
      </c>
      <c r="AO880" s="26" t="str">
        <f t="shared" si="306"/>
        <v/>
      </c>
      <c r="AP880" s="26" t="str">
        <f t="shared" si="307"/>
        <v>pre-launch</v>
      </c>
      <c r="AQ880" s="18"/>
      <c r="AR880" s="18"/>
    </row>
    <row r="881" spans="1:44" x14ac:dyDescent="0.25">
      <c r="A881" s="43">
        <v>45942</v>
      </c>
      <c r="B881" s="17">
        <v>11787564657.26</v>
      </c>
      <c r="C881" s="17">
        <v>0</v>
      </c>
      <c r="D881" s="17">
        <v>484211693</v>
      </c>
      <c r="E881" s="19">
        <f t="shared" si="286"/>
        <v>11787564657.26</v>
      </c>
      <c r="F881" s="19">
        <f t="shared" si="287"/>
        <v>12271776350.26</v>
      </c>
      <c r="G881" s="20">
        <f t="shared" si="288"/>
        <v>0</v>
      </c>
      <c r="H881" s="17">
        <v>3799559</v>
      </c>
      <c r="I881" s="17">
        <v>257362</v>
      </c>
      <c r="J881" s="17">
        <v>36538</v>
      </c>
      <c r="K881" s="19">
        <f t="shared" si="289"/>
        <v>4056921</v>
      </c>
      <c r="L881" s="18"/>
      <c r="M881" s="18"/>
      <c r="N881" s="18"/>
      <c r="O881" s="19">
        <f t="shared" si="290"/>
        <v>3799559</v>
      </c>
      <c r="P881" s="21">
        <f t="shared" si="291"/>
        <v>3.2233621706243101</v>
      </c>
      <c r="Q881" s="17">
        <v>3440902</v>
      </c>
      <c r="R881" s="17">
        <v>176358</v>
      </c>
      <c r="S881" s="19">
        <f t="shared" si="292"/>
        <v>3617260</v>
      </c>
      <c r="T881" s="20">
        <f t="shared" si="293"/>
        <v>0.01</v>
      </c>
      <c r="U881" s="19">
        <f t="shared" si="294"/>
        <v>36537.979797979795</v>
      </c>
      <c r="V881" s="17">
        <v>36538</v>
      </c>
      <c r="W881" s="19">
        <f t="shared" si="295"/>
        <v>-2.0202020205033477E-2</v>
      </c>
      <c r="X881" s="19">
        <f t="shared" si="296"/>
        <v>439661</v>
      </c>
      <c r="Y881" s="17">
        <v>358657</v>
      </c>
      <c r="Z881" s="17">
        <v>81004</v>
      </c>
      <c r="AA881" s="19">
        <f t="shared" si="297"/>
        <v>403123</v>
      </c>
      <c r="AB881" s="17">
        <v>3617260</v>
      </c>
      <c r="AC881" s="27">
        <v>39.651000000000003</v>
      </c>
      <c r="AD881" s="27">
        <v>38.372250000000001</v>
      </c>
      <c r="AE881" s="22">
        <f t="shared" si="298"/>
        <v>94267.602238596897</v>
      </c>
      <c r="AF881" s="23">
        <f t="shared" si="299"/>
        <v>0</v>
      </c>
      <c r="AG881" s="23">
        <f t="shared" si="300"/>
        <v>0</v>
      </c>
      <c r="AH881" s="17">
        <v>3306971.1699429802</v>
      </c>
      <c r="AI881" s="24">
        <f t="shared" si="301"/>
        <v>0.91421992611617087</v>
      </c>
      <c r="AJ881" s="25">
        <v>401590163.93442601</v>
      </c>
      <c r="AK881" s="24">
        <f t="shared" si="302"/>
        <v>2.3653031386757017E-2</v>
      </c>
      <c r="AL881" s="22">
        <f t="shared" si="303"/>
        <v>26024.177403161299</v>
      </c>
      <c r="AM881" s="22">
        <f t="shared" si="304"/>
        <v>94267.602238596897</v>
      </c>
      <c r="AN881" s="22">
        <f t="shared" si="305"/>
        <v>-68243.424835435595</v>
      </c>
      <c r="AO881" s="26" t="str">
        <f t="shared" si="306"/>
        <v/>
      </c>
      <c r="AP881" s="26" t="str">
        <f t="shared" si="307"/>
        <v>pre-launch</v>
      </c>
      <c r="AQ881" s="18"/>
      <c r="AR881" s="18"/>
    </row>
    <row r="882" spans="1:44" x14ac:dyDescent="0.25">
      <c r="A882" s="43">
        <v>45943</v>
      </c>
      <c r="B882" s="17">
        <v>9587534833.1100006</v>
      </c>
      <c r="C882" s="17">
        <v>24137312.620000001</v>
      </c>
      <c r="D882" s="17">
        <v>433769946</v>
      </c>
      <c r="E882" s="19">
        <f t="shared" si="286"/>
        <v>9611672145.7300014</v>
      </c>
      <c r="F882" s="19">
        <f t="shared" si="287"/>
        <v>10045442091.730001</v>
      </c>
      <c r="G882" s="20">
        <f t="shared" si="288"/>
        <v>2.5112500982176172E-3</v>
      </c>
      <c r="H882" s="17">
        <v>2991680</v>
      </c>
      <c r="I882" s="17">
        <v>217963</v>
      </c>
      <c r="J882" s="17">
        <v>28869</v>
      </c>
      <c r="K882" s="19">
        <f t="shared" si="289"/>
        <v>3209643</v>
      </c>
      <c r="L882" s="17">
        <v>13661.718942481401</v>
      </c>
      <c r="M882" s="17">
        <v>6830.8594712406803</v>
      </c>
      <c r="N882" s="17">
        <v>6830.8594712406803</v>
      </c>
      <c r="O882" s="19">
        <f t="shared" si="290"/>
        <v>2978018.2810575184</v>
      </c>
      <c r="P882" s="21">
        <f t="shared" si="291"/>
        <v>3.1061355529818817</v>
      </c>
      <c r="Q882" s="17">
        <v>2695086</v>
      </c>
      <c r="R882" s="17">
        <v>162992</v>
      </c>
      <c r="S882" s="19">
        <f t="shared" si="292"/>
        <v>2858078</v>
      </c>
      <c r="T882" s="20">
        <f t="shared" si="293"/>
        <v>0.01</v>
      </c>
      <c r="U882" s="19">
        <f t="shared" si="294"/>
        <v>28869.474747474746</v>
      </c>
      <c r="V882" s="17">
        <v>28869</v>
      </c>
      <c r="W882" s="19">
        <f t="shared" si="295"/>
        <v>0.47474747474552714</v>
      </c>
      <c r="X882" s="19">
        <f t="shared" si="296"/>
        <v>351565</v>
      </c>
      <c r="Y882" s="17">
        <v>296594</v>
      </c>
      <c r="Z882" s="17">
        <v>54971</v>
      </c>
      <c r="AA882" s="19">
        <f t="shared" si="297"/>
        <v>322696</v>
      </c>
      <c r="AB882" s="17">
        <v>2858078</v>
      </c>
      <c r="AC882" s="27">
        <v>42.488999999999997</v>
      </c>
      <c r="AD882" s="27">
        <v>40.988250000000001</v>
      </c>
      <c r="AE882" s="22">
        <f t="shared" si="298"/>
        <v>69729.20288131354</v>
      </c>
      <c r="AF882" s="23">
        <f t="shared" si="299"/>
        <v>0</v>
      </c>
      <c r="AG882" s="23">
        <f t="shared" si="300"/>
        <v>0</v>
      </c>
      <c r="AH882" s="17">
        <v>2766599.4540289599</v>
      </c>
      <c r="AI882" s="24">
        <f t="shared" si="301"/>
        <v>0.96799298480620888</v>
      </c>
      <c r="AJ882" s="25">
        <v>401726775.95628399</v>
      </c>
      <c r="AK882" s="24">
        <f t="shared" si="302"/>
        <v>2.36490092958851E-2</v>
      </c>
      <c r="AL882" s="22">
        <f t="shared" si="303"/>
        <v>26028.603449304414</v>
      </c>
      <c r="AM882" s="22">
        <f t="shared" si="304"/>
        <v>69729.20288131354</v>
      </c>
      <c r="AN882" s="22">
        <f t="shared" si="305"/>
        <v>-43700.599432009127</v>
      </c>
      <c r="AO882" s="26" t="str">
        <f t="shared" si="306"/>
        <v>YES</v>
      </c>
      <c r="AP882" s="26" t="str">
        <f t="shared" si="307"/>
        <v>pre-launch</v>
      </c>
      <c r="AQ882" s="28">
        <v>1</v>
      </c>
      <c r="AR882" s="28">
        <v>0</v>
      </c>
    </row>
    <row r="883" spans="1:44" x14ac:dyDescent="0.25">
      <c r="A883" s="43">
        <v>45944</v>
      </c>
      <c r="B883" s="17">
        <v>16329985172.879999</v>
      </c>
      <c r="C883" s="17">
        <v>21893627.969999999</v>
      </c>
      <c r="D883" s="17">
        <v>421373162</v>
      </c>
      <c r="E883" s="19">
        <f t="shared" si="286"/>
        <v>16351878800.849998</v>
      </c>
      <c r="F883" s="19">
        <f t="shared" si="287"/>
        <v>16773251962.849998</v>
      </c>
      <c r="G883" s="20">
        <f t="shared" si="288"/>
        <v>1.3389059591648838E-3</v>
      </c>
      <c r="H883" s="17">
        <v>4915495</v>
      </c>
      <c r="I883" s="17">
        <v>198310</v>
      </c>
      <c r="J883" s="17">
        <v>46865</v>
      </c>
      <c r="K883" s="19">
        <f t="shared" si="289"/>
        <v>5113805</v>
      </c>
      <c r="L883" s="17">
        <v>12391.7934303125</v>
      </c>
      <c r="M883" s="17">
        <v>6195.8967151562501</v>
      </c>
      <c r="N883" s="17">
        <v>6195.8967151562501</v>
      </c>
      <c r="O883" s="19">
        <f t="shared" si="290"/>
        <v>4903103.2065696875</v>
      </c>
      <c r="P883" s="21">
        <f t="shared" si="291"/>
        <v>3.0025154062677957</v>
      </c>
      <c r="Q883" s="17">
        <v>4488619</v>
      </c>
      <c r="R883" s="17">
        <v>150967</v>
      </c>
      <c r="S883" s="19">
        <f t="shared" si="292"/>
        <v>4639586</v>
      </c>
      <c r="T883" s="20">
        <f t="shared" si="293"/>
        <v>0.01</v>
      </c>
      <c r="U883" s="19">
        <f t="shared" si="294"/>
        <v>46864.505050505053</v>
      </c>
      <c r="V883" s="17">
        <v>46865</v>
      </c>
      <c r="W883" s="19">
        <f t="shared" si="295"/>
        <v>-0.49494949494692264</v>
      </c>
      <c r="X883" s="19">
        <f t="shared" si="296"/>
        <v>474219</v>
      </c>
      <c r="Y883" s="17">
        <v>426876</v>
      </c>
      <c r="Z883" s="17">
        <v>47343</v>
      </c>
      <c r="AA883" s="19">
        <f t="shared" si="297"/>
        <v>427354</v>
      </c>
      <c r="AB883" s="17">
        <v>4639586</v>
      </c>
      <c r="AC883" s="27">
        <v>39.441000000000003</v>
      </c>
      <c r="AD883" s="27">
        <v>40.649749999999997</v>
      </c>
      <c r="AE883" s="22">
        <f t="shared" si="298"/>
        <v>114135.65889089109</v>
      </c>
      <c r="AF883" s="23">
        <f t="shared" si="299"/>
        <v>0</v>
      </c>
      <c r="AG883" s="23">
        <f t="shared" si="300"/>
        <v>0</v>
      </c>
      <c r="AH883" s="17">
        <v>4426377.9158840198</v>
      </c>
      <c r="AI883" s="24">
        <f t="shared" si="301"/>
        <v>0.95404588165496229</v>
      </c>
      <c r="AJ883" s="25">
        <v>401863387.97814202</v>
      </c>
      <c r="AK883" s="24">
        <f t="shared" si="302"/>
        <v>2.3644989256130632E-2</v>
      </c>
      <c r="AL883" s="22">
        <f t="shared" si="303"/>
        <v>26033.028742946368</v>
      </c>
      <c r="AM883" s="22">
        <f t="shared" si="304"/>
        <v>114135.65889089109</v>
      </c>
      <c r="AN883" s="22">
        <f t="shared" si="305"/>
        <v>-88102.630147944728</v>
      </c>
      <c r="AO883" s="26" t="str">
        <f t="shared" si="306"/>
        <v>YES</v>
      </c>
      <c r="AP883" s="26" t="str">
        <f t="shared" si="307"/>
        <v>pre-launch</v>
      </c>
      <c r="AQ883" s="28">
        <v>1</v>
      </c>
      <c r="AR883" s="28">
        <v>0</v>
      </c>
    </row>
    <row r="884" spans="1:44" x14ac:dyDescent="0.25">
      <c r="A884" s="43">
        <v>45945</v>
      </c>
      <c r="B884" s="17">
        <v>10693663591.49</v>
      </c>
      <c r="C884" s="17">
        <v>20602638.16</v>
      </c>
      <c r="D884" s="17">
        <v>285617603</v>
      </c>
      <c r="E884" s="19">
        <f t="shared" si="286"/>
        <v>10714266229.65</v>
      </c>
      <c r="F884" s="19">
        <f t="shared" si="287"/>
        <v>10999883832.65</v>
      </c>
      <c r="G884" s="20">
        <f t="shared" si="288"/>
        <v>1.9229163918837045E-3</v>
      </c>
      <c r="H884" s="17">
        <v>2916662</v>
      </c>
      <c r="I884" s="17">
        <v>154768</v>
      </c>
      <c r="J884" s="17">
        <v>28010</v>
      </c>
      <c r="K884" s="19">
        <f t="shared" si="289"/>
        <v>3071430</v>
      </c>
      <c r="L884" s="17">
        <v>11661.093198418501</v>
      </c>
      <c r="M884" s="17">
        <v>5830.5465992092504</v>
      </c>
      <c r="N884" s="17">
        <v>5830.5465992092504</v>
      </c>
      <c r="O884" s="19">
        <f t="shared" si="290"/>
        <v>2905000.9068015814</v>
      </c>
      <c r="P884" s="21">
        <f t="shared" si="291"/>
        <v>2.7165628336329717</v>
      </c>
      <c r="Q884" s="17">
        <v>2652721</v>
      </c>
      <c r="R884" s="17">
        <v>120242</v>
      </c>
      <c r="S884" s="19">
        <f t="shared" si="292"/>
        <v>2772963</v>
      </c>
      <c r="T884" s="20">
        <f t="shared" si="293"/>
        <v>0.01</v>
      </c>
      <c r="U884" s="19">
        <f t="shared" si="294"/>
        <v>28009.727272727276</v>
      </c>
      <c r="V884" s="17">
        <v>28010</v>
      </c>
      <c r="W884" s="19">
        <f t="shared" si="295"/>
        <v>-0.2727272727242962</v>
      </c>
      <c r="X884" s="19">
        <f t="shared" si="296"/>
        <v>298468</v>
      </c>
      <c r="Y884" s="17">
        <v>263941</v>
      </c>
      <c r="Z884" s="17">
        <v>34527</v>
      </c>
      <c r="AA884" s="19">
        <f t="shared" si="297"/>
        <v>270458</v>
      </c>
      <c r="AB884" s="17">
        <v>2772963</v>
      </c>
      <c r="AC884" s="27">
        <v>37.463000000000001</v>
      </c>
      <c r="AD884" s="27">
        <v>38.735250000000001</v>
      </c>
      <c r="AE884" s="22">
        <f t="shared" si="298"/>
        <v>71587.584951691286</v>
      </c>
      <c r="AF884" s="23">
        <f t="shared" si="299"/>
        <v>-1</v>
      </c>
      <c r="AG884" s="23">
        <f t="shared" si="300"/>
        <v>0</v>
      </c>
      <c r="AH884" s="17">
        <v>3016434.355093</v>
      </c>
      <c r="AI884" s="24">
        <f t="shared" si="301"/>
        <v>1.0878018765821975</v>
      </c>
      <c r="AJ884" s="25">
        <v>402000000</v>
      </c>
      <c r="AK884" s="24">
        <f t="shared" si="302"/>
        <v>2.3640971265750901E-2</v>
      </c>
      <c r="AL884" s="22">
        <f t="shared" si="303"/>
        <v>26037.453284470856</v>
      </c>
      <c r="AM884" s="22">
        <f t="shared" si="304"/>
        <v>71587.584951691286</v>
      </c>
      <c r="AN884" s="22">
        <f t="shared" si="305"/>
        <v>-45550.131667220427</v>
      </c>
      <c r="AO884" s="26" t="str">
        <f t="shared" si="306"/>
        <v>YES</v>
      </c>
      <c r="AP884" s="26" t="str">
        <f t="shared" si="307"/>
        <v>pre-launch</v>
      </c>
      <c r="AQ884" s="28">
        <v>1</v>
      </c>
      <c r="AR884" s="28">
        <v>0</v>
      </c>
    </row>
    <row r="885" spans="1:44" x14ac:dyDescent="0.25">
      <c r="A885" s="43">
        <v>45946</v>
      </c>
      <c r="B885" s="17">
        <v>11412829823.540001</v>
      </c>
      <c r="C885" s="17">
        <v>19139743.640000001</v>
      </c>
      <c r="D885" s="17">
        <v>366551346</v>
      </c>
      <c r="E885" s="19">
        <f t="shared" si="286"/>
        <v>11431969567.18</v>
      </c>
      <c r="F885" s="19">
        <f t="shared" si="287"/>
        <v>11798520913.18</v>
      </c>
      <c r="G885" s="20">
        <f t="shared" si="288"/>
        <v>1.6742297578317756E-3</v>
      </c>
      <c r="H885" s="17">
        <v>3684799</v>
      </c>
      <c r="I885" s="17">
        <v>184541</v>
      </c>
      <c r="J885" s="17">
        <v>35211</v>
      </c>
      <c r="K885" s="19">
        <f t="shared" si="289"/>
        <v>3869340</v>
      </c>
      <c r="L885" s="17">
        <v>10833.0949028012</v>
      </c>
      <c r="M885" s="17">
        <v>5416.54745140058</v>
      </c>
      <c r="N885" s="17">
        <v>5416.54745140058</v>
      </c>
      <c r="O885" s="19">
        <f t="shared" si="290"/>
        <v>3673965.9050971987</v>
      </c>
      <c r="P885" s="21">
        <f t="shared" si="291"/>
        <v>3.2191541991796893</v>
      </c>
      <c r="Q885" s="17">
        <v>3348649</v>
      </c>
      <c r="R885" s="17">
        <v>137248</v>
      </c>
      <c r="S885" s="19">
        <f t="shared" si="292"/>
        <v>3485897</v>
      </c>
      <c r="T885" s="20">
        <f t="shared" si="293"/>
        <v>0.01</v>
      </c>
      <c r="U885" s="19">
        <f t="shared" si="294"/>
        <v>35211.080808080813</v>
      </c>
      <c r="V885" s="17">
        <v>35211</v>
      </c>
      <c r="W885" s="19">
        <f t="shared" si="295"/>
        <v>8.0808080812857952E-2</v>
      </c>
      <c r="X885" s="19">
        <f t="shared" si="296"/>
        <v>383444</v>
      </c>
      <c r="Y885" s="17">
        <v>336151</v>
      </c>
      <c r="Z885" s="17">
        <v>47293</v>
      </c>
      <c r="AA885" s="19">
        <f t="shared" si="297"/>
        <v>348233</v>
      </c>
      <c r="AB885" s="17">
        <v>3485897</v>
      </c>
      <c r="AC885" s="27">
        <v>36.798999999999999</v>
      </c>
      <c r="AD885" s="27">
        <v>37.524500000000003</v>
      </c>
      <c r="AE885" s="22">
        <f t="shared" si="298"/>
        <v>92896.560913536479</v>
      </c>
      <c r="AF885" s="23">
        <f t="shared" si="299"/>
        <v>-1</v>
      </c>
      <c r="AG885" s="23">
        <f t="shared" si="300"/>
        <v>0</v>
      </c>
      <c r="AH885" s="17">
        <v>3181367.2942190198</v>
      </c>
      <c r="AI885" s="24">
        <f t="shared" si="301"/>
        <v>0.91263949973823666</v>
      </c>
      <c r="AJ885" s="25">
        <v>402154766.746544</v>
      </c>
      <c r="AK885" s="24">
        <f t="shared" si="302"/>
        <v>2.3636421788039427E-2</v>
      </c>
      <c r="AL885" s="22">
        <f t="shared" si="303"/>
        <v>26042.464906553221</v>
      </c>
      <c r="AM885" s="22">
        <f t="shared" si="304"/>
        <v>92896.560913536479</v>
      </c>
      <c r="AN885" s="22">
        <f t="shared" si="305"/>
        <v>-66854.096006983251</v>
      </c>
      <c r="AO885" s="26" t="str">
        <f t="shared" si="306"/>
        <v>YES</v>
      </c>
      <c r="AP885" s="26" t="str">
        <f t="shared" si="307"/>
        <v>pre-launch</v>
      </c>
      <c r="AQ885" s="28">
        <v>1</v>
      </c>
      <c r="AR885" s="28">
        <v>0</v>
      </c>
    </row>
    <row r="886" spans="1:44" x14ac:dyDescent="0.25">
      <c r="A886" s="43">
        <v>45947</v>
      </c>
      <c r="B886" s="17">
        <v>12042340690.940001</v>
      </c>
      <c r="C886" s="17">
        <v>15100795.48</v>
      </c>
      <c r="D886" s="17">
        <v>440603237</v>
      </c>
      <c r="E886" s="19">
        <f t="shared" si="286"/>
        <v>12057441486.42</v>
      </c>
      <c r="F886" s="19">
        <f t="shared" si="287"/>
        <v>12498044723.42</v>
      </c>
      <c r="G886" s="20">
        <f t="shared" si="288"/>
        <v>1.252404624729687E-3</v>
      </c>
      <c r="H886" s="17">
        <v>3859604</v>
      </c>
      <c r="I886" s="17">
        <v>235326</v>
      </c>
      <c r="J886" s="17">
        <v>36884</v>
      </c>
      <c r="K886" s="19">
        <f t="shared" si="289"/>
        <v>4094930</v>
      </c>
      <c r="L886" s="17">
        <v>8547.0502445099992</v>
      </c>
      <c r="M886" s="17">
        <v>4273.5251222549996</v>
      </c>
      <c r="N886" s="17">
        <v>4273.5251222549996</v>
      </c>
      <c r="O886" s="19">
        <f t="shared" si="290"/>
        <v>3851056.9497554898</v>
      </c>
      <c r="P886" s="21">
        <f t="shared" si="291"/>
        <v>3.197930575617093</v>
      </c>
      <c r="Q886" s="17">
        <v>3479105</v>
      </c>
      <c r="R886" s="17">
        <v>172445</v>
      </c>
      <c r="S886" s="19">
        <f t="shared" si="292"/>
        <v>3651550</v>
      </c>
      <c r="T886" s="20">
        <f t="shared" si="293"/>
        <v>0.01</v>
      </c>
      <c r="U886" s="19">
        <f t="shared" si="294"/>
        <v>36884.343434343435</v>
      </c>
      <c r="V886" s="17">
        <v>36884</v>
      </c>
      <c r="W886" s="19">
        <f t="shared" si="295"/>
        <v>0.34343434343463741</v>
      </c>
      <c r="X886" s="19">
        <f t="shared" si="296"/>
        <v>443380</v>
      </c>
      <c r="Y886" s="17">
        <v>380499</v>
      </c>
      <c r="Z886" s="17">
        <v>62881</v>
      </c>
      <c r="AA886" s="19">
        <f t="shared" si="297"/>
        <v>406496</v>
      </c>
      <c r="AB886" s="17">
        <v>3651550</v>
      </c>
      <c r="AC886" s="27">
        <v>35.496000000000002</v>
      </c>
      <c r="AD886" s="27">
        <v>35.798250000000003</v>
      </c>
      <c r="AE886" s="22">
        <f t="shared" si="298"/>
        <v>102003.58956094222</v>
      </c>
      <c r="AF886" s="23">
        <f t="shared" si="299"/>
        <v>0</v>
      </c>
      <c r="AG886" s="23">
        <f t="shared" si="300"/>
        <v>0</v>
      </c>
      <c r="AH886" s="17">
        <v>3394111.4512940701</v>
      </c>
      <c r="AI886" s="24">
        <f t="shared" si="301"/>
        <v>0.92949882961867425</v>
      </c>
      <c r="AJ886" s="25">
        <v>402309533.49308801</v>
      </c>
      <c r="AK886" s="24">
        <f t="shared" si="302"/>
        <v>2.3631874935827253E-2</v>
      </c>
      <c r="AL886" s="22">
        <f t="shared" si="303"/>
        <v>26047.475564382632</v>
      </c>
      <c r="AM886" s="22">
        <f t="shared" si="304"/>
        <v>102003.58956094222</v>
      </c>
      <c r="AN886" s="22">
        <f t="shared" si="305"/>
        <v>-75956.113996559579</v>
      </c>
      <c r="AO886" s="26" t="str">
        <f t="shared" si="306"/>
        <v>YES</v>
      </c>
      <c r="AP886" s="26" t="str">
        <f t="shared" si="307"/>
        <v>pre-launch</v>
      </c>
      <c r="AQ886" s="28">
        <v>1</v>
      </c>
      <c r="AR886" s="28">
        <v>0</v>
      </c>
    </row>
    <row r="887" spans="1:44" x14ac:dyDescent="0.25">
      <c r="A887" s="43">
        <v>45948</v>
      </c>
      <c r="B887" s="17">
        <v>3455398197.3600001</v>
      </c>
      <c r="C887" s="17">
        <v>6243638.8300000001</v>
      </c>
      <c r="D887" s="17">
        <v>175437722</v>
      </c>
      <c r="E887" s="19">
        <f t="shared" si="286"/>
        <v>3461641836.1900001</v>
      </c>
      <c r="F887" s="19">
        <f t="shared" si="287"/>
        <v>3637079558.1900001</v>
      </c>
      <c r="G887" s="20">
        <f t="shared" si="288"/>
        <v>1.8036640199819054E-3</v>
      </c>
      <c r="H887" s="17">
        <v>1369242</v>
      </c>
      <c r="I887" s="17">
        <v>121569</v>
      </c>
      <c r="J887" s="17">
        <v>13037</v>
      </c>
      <c r="K887" s="19">
        <f t="shared" si="289"/>
        <v>1490811</v>
      </c>
      <c r="L887" s="17">
        <v>3533.8995761386</v>
      </c>
      <c r="M887" s="17">
        <v>1766.9497880693</v>
      </c>
      <c r="N887" s="17">
        <v>1766.9497880693</v>
      </c>
      <c r="O887" s="19">
        <f t="shared" si="290"/>
        <v>1365708.1004238613</v>
      </c>
      <c r="P887" s="21">
        <f t="shared" si="291"/>
        <v>3.9523899198283199</v>
      </c>
      <c r="Q887" s="17">
        <v>1199221</v>
      </c>
      <c r="R887" s="17">
        <v>91488</v>
      </c>
      <c r="S887" s="19">
        <f t="shared" si="292"/>
        <v>1290709</v>
      </c>
      <c r="T887" s="20">
        <f t="shared" si="293"/>
        <v>0.01</v>
      </c>
      <c r="U887" s="19">
        <f t="shared" si="294"/>
        <v>13037.464646464647</v>
      </c>
      <c r="V887" s="17">
        <v>13037</v>
      </c>
      <c r="W887" s="19">
        <f t="shared" si="295"/>
        <v>0.46464646464664838</v>
      </c>
      <c r="X887" s="19">
        <f t="shared" si="296"/>
        <v>200102</v>
      </c>
      <c r="Y887" s="17">
        <v>170021</v>
      </c>
      <c r="Z887" s="17">
        <v>30081</v>
      </c>
      <c r="AA887" s="19">
        <f t="shared" si="297"/>
        <v>187065</v>
      </c>
      <c r="AB887" s="17">
        <v>1290709</v>
      </c>
      <c r="AC887" s="27">
        <v>36.853999999999999</v>
      </c>
      <c r="AD887" s="27">
        <v>35.975000000000001</v>
      </c>
      <c r="AE887" s="22">
        <f t="shared" si="298"/>
        <v>35877.943015983321</v>
      </c>
      <c r="AF887" s="23">
        <f t="shared" si="299"/>
        <v>0</v>
      </c>
      <c r="AG887" s="23">
        <f t="shared" si="300"/>
        <v>0</v>
      </c>
      <c r="AH887" s="17">
        <v>1044871.14889491</v>
      </c>
      <c r="AI887" s="24">
        <f t="shared" si="301"/>
        <v>0.80953270558654977</v>
      </c>
      <c r="AJ887" s="25">
        <v>402464300.239631</v>
      </c>
      <c r="AK887" s="24">
        <f t="shared" si="302"/>
        <v>2.362733070659009E-2</v>
      </c>
      <c r="AL887" s="22">
        <f t="shared" si="303"/>
        <v>26052.485258515415</v>
      </c>
      <c r="AM887" s="22">
        <f t="shared" si="304"/>
        <v>35877.943015983321</v>
      </c>
      <c r="AN887" s="22">
        <f t="shared" si="305"/>
        <v>-9825.457757467906</v>
      </c>
      <c r="AO887" s="26" t="str">
        <f t="shared" si="306"/>
        <v>YES</v>
      </c>
      <c r="AP887" s="26" t="str">
        <f t="shared" si="307"/>
        <v>pre-launch</v>
      </c>
      <c r="AQ887" s="28">
        <v>1</v>
      </c>
      <c r="AR887" s="28">
        <v>0</v>
      </c>
    </row>
    <row r="888" spans="1:44" x14ac:dyDescent="0.25">
      <c r="A888" s="43">
        <v>45949</v>
      </c>
      <c r="B888" s="17">
        <v>5239254970.2600002</v>
      </c>
      <c r="C888" s="17">
        <v>7838676.3499999996</v>
      </c>
      <c r="D888" s="17">
        <v>196378165</v>
      </c>
      <c r="E888" s="19">
        <f t="shared" si="286"/>
        <v>5247093646.6100006</v>
      </c>
      <c r="F888" s="19">
        <f t="shared" si="287"/>
        <v>5443471811.6100006</v>
      </c>
      <c r="G888" s="20">
        <f t="shared" si="288"/>
        <v>1.493908223853475E-3</v>
      </c>
      <c r="H888" s="17">
        <v>2018874</v>
      </c>
      <c r="I888" s="17">
        <v>121130</v>
      </c>
      <c r="J888" s="17">
        <v>19219</v>
      </c>
      <c r="K888" s="19">
        <f t="shared" si="289"/>
        <v>2140004</v>
      </c>
      <c r="L888" s="17">
        <v>4436.6908155150004</v>
      </c>
      <c r="M888" s="17">
        <v>2218.3454077575002</v>
      </c>
      <c r="N888" s="17">
        <v>2218.3454077575002</v>
      </c>
      <c r="O888" s="19">
        <f t="shared" si="290"/>
        <v>2014437.3091844851</v>
      </c>
      <c r="P888" s="21">
        <f t="shared" si="291"/>
        <v>3.8448926815342945</v>
      </c>
      <c r="Q888" s="17">
        <v>1810336</v>
      </c>
      <c r="R888" s="17">
        <v>92346</v>
      </c>
      <c r="S888" s="19">
        <f t="shared" si="292"/>
        <v>1902682</v>
      </c>
      <c r="T888" s="20">
        <f t="shared" si="293"/>
        <v>0.01</v>
      </c>
      <c r="U888" s="19">
        <f t="shared" si="294"/>
        <v>19219.010101010103</v>
      </c>
      <c r="V888" s="17">
        <v>19219</v>
      </c>
      <c r="W888" s="19">
        <f t="shared" si="295"/>
        <v>1.0101010102516739E-2</v>
      </c>
      <c r="X888" s="19">
        <f t="shared" si="296"/>
        <v>237323</v>
      </c>
      <c r="Y888" s="17">
        <v>208538</v>
      </c>
      <c r="Z888" s="17">
        <v>28785</v>
      </c>
      <c r="AA888" s="19">
        <f t="shared" si="297"/>
        <v>218104</v>
      </c>
      <c r="AB888" s="17">
        <v>1902682</v>
      </c>
      <c r="AC888" s="27">
        <v>37.4</v>
      </c>
      <c r="AD888" s="27">
        <v>37.120750000000001</v>
      </c>
      <c r="AE888" s="22">
        <f t="shared" si="298"/>
        <v>51256.561357192404</v>
      </c>
      <c r="AF888" s="23">
        <f t="shared" si="299"/>
        <v>-1</v>
      </c>
      <c r="AG888" s="23">
        <f t="shared" si="300"/>
        <v>0</v>
      </c>
      <c r="AH888" s="17">
        <v>1517488.5325100401</v>
      </c>
      <c r="AI888" s="24">
        <f t="shared" si="301"/>
        <v>0.79755236687477993</v>
      </c>
      <c r="AJ888" s="25">
        <v>402619066.986175</v>
      </c>
      <c r="AK888" s="24">
        <f t="shared" si="302"/>
        <v>2.3622789097806952E-2</v>
      </c>
      <c r="AL888" s="22">
        <f t="shared" si="303"/>
        <v>26057.493989507457</v>
      </c>
      <c r="AM888" s="22">
        <f t="shared" si="304"/>
        <v>51256.561357192404</v>
      </c>
      <c r="AN888" s="22">
        <f t="shared" si="305"/>
        <v>-25199.067367684947</v>
      </c>
      <c r="AO888" s="26" t="str">
        <f t="shared" si="306"/>
        <v>YES</v>
      </c>
      <c r="AP888" s="26" t="str">
        <f t="shared" si="307"/>
        <v>pre-launch</v>
      </c>
      <c r="AQ888" s="28">
        <v>1</v>
      </c>
      <c r="AR888" s="28">
        <v>0</v>
      </c>
    </row>
    <row r="889" spans="1:44" x14ac:dyDescent="0.25">
      <c r="A889" s="43">
        <v>45950</v>
      </c>
      <c r="B889" s="17">
        <v>8312329683.0299997</v>
      </c>
      <c r="C889" s="17">
        <v>10597513.029999999</v>
      </c>
      <c r="D889" s="17">
        <v>262337970</v>
      </c>
      <c r="E889" s="19">
        <f t="shared" si="286"/>
        <v>8322927196.0599995</v>
      </c>
      <c r="F889" s="19">
        <f t="shared" si="287"/>
        <v>8585265166.0599995</v>
      </c>
      <c r="G889" s="20">
        <f t="shared" si="288"/>
        <v>1.2732915692229975E-3</v>
      </c>
      <c r="H889" s="17">
        <v>3051422</v>
      </c>
      <c r="I889" s="17">
        <v>148185</v>
      </c>
      <c r="J889" s="17">
        <v>29337</v>
      </c>
      <c r="K889" s="19">
        <f t="shared" si="289"/>
        <v>3199607</v>
      </c>
      <c r="L889" s="17">
        <v>5998.1923722914999</v>
      </c>
      <c r="M889" s="17">
        <v>2999.0961861457499</v>
      </c>
      <c r="N889" s="17">
        <v>2999.0961861457499</v>
      </c>
      <c r="O889" s="19">
        <f t="shared" si="290"/>
        <v>3045423.8076277087</v>
      </c>
      <c r="P889" s="21">
        <f t="shared" si="291"/>
        <v>3.6637428058767694</v>
      </c>
      <c r="Q889" s="17">
        <v>2790163</v>
      </c>
      <c r="R889" s="17">
        <v>114214</v>
      </c>
      <c r="S889" s="19">
        <f t="shared" si="292"/>
        <v>2904377</v>
      </c>
      <c r="T889" s="20">
        <f t="shared" si="293"/>
        <v>0.01</v>
      </c>
      <c r="U889" s="19">
        <f t="shared" si="294"/>
        <v>29337.141414141413</v>
      </c>
      <c r="V889" s="17">
        <v>29337</v>
      </c>
      <c r="W889" s="19">
        <f t="shared" si="295"/>
        <v>0.14141414141340647</v>
      </c>
      <c r="X889" s="19">
        <f t="shared" si="296"/>
        <v>295230</v>
      </c>
      <c r="Y889" s="17">
        <v>261259</v>
      </c>
      <c r="Z889" s="17">
        <v>33971</v>
      </c>
      <c r="AA889" s="19">
        <f t="shared" si="297"/>
        <v>265893</v>
      </c>
      <c r="AB889" s="17">
        <v>2904377</v>
      </c>
      <c r="AC889" s="27">
        <v>37.948</v>
      </c>
      <c r="AD889" s="27">
        <v>37.941749999999999</v>
      </c>
      <c r="AE889" s="22">
        <f t="shared" si="298"/>
        <v>76548.314192149817</v>
      </c>
      <c r="AF889" s="23">
        <f t="shared" si="299"/>
        <v>0</v>
      </c>
      <c r="AG889" s="23">
        <f t="shared" si="300"/>
        <v>0</v>
      </c>
      <c r="AH889" s="17">
        <v>2387834.4584909701</v>
      </c>
      <c r="AI889" s="24">
        <f t="shared" si="301"/>
        <v>0.8221503126112657</v>
      </c>
      <c r="AJ889" s="25">
        <v>402773833.732719</v>
      </c>
      <c r="AK889" s="24">
        <f t="shared" si="302"/>
        <v>2.361825010696034E-2</v>
      </c>
      <c r="AL889" s="22">
        <f t="shared" si="303"/>
        <v>26062.501757914019</v>
      </c>
      <c r="AM889" s="22">
        <f t="shared" si="304"/>
        <v>76548.314192149817</v>
      </c>
      <c r="AN889" s="22">
        <f t="shared" si="305"/>
        <v>-50485.812434235799</v>
      </c>
      <c r="AO889" s="26" t="str">
        <f t="shared" si="306"/>
        <v>YES</v>
      </c>
      <c r="AP889" s="26" t="str">
        <f t="shared" si="307"/>
        <v>pre-launch</v>
      </c>
      <c r="AQ889" s="28">
        <v>1</v>
      </c>
      <c r="AR889" s="28">
        <v>0</v>
      </c>
    </row>
    <row r="890" spans="1:44" x14ac:dyDescent="0.25">
      <c r="A890" s="43">
        <v>45951</v>
      </c>
      <c r="B890" s="17">
        <v>14602505766.969999</v>
      </c>
      <c r="C890" s="17">
        <v>23304373.190000001</v>
      </c>
      <c r="D890" s="17">
        <v>354661810</v>
      </c>
      <c r="E890" s="19">
        <f t="shared" si="286"/>
        <v>14625810140.16</v>
      </c>
      <c r="F890" s="19">
        <f t="shared" si="287"/>
        <v>14980471950.16</v>
      </c>
      <c r="G890" s="20">
        <f t="shared" si="288"/>
        <v>1.593373151071484E-3</v>
      </c>
      <c r="H890" s="17">
        <v>5167560</v>
      </c>
      <c r="I890" s="17">
        <v>201314</v>
      </c>
      <c r="J890" s="17">
        <v>49790</v>
      </c>
      <c r="K890" s="19">
        <f t="shared" si="289"/>
        <v>5368874</v>
      </c>
      <c r="L890" s="17">
        <v>13190.2752242099</v>
      </c>
      <c r="M890" s="17">
        <v>6595.1376121049498</v>
      </c>
      <c r="N890" s="17">
        <v>6595.1376121049498</v>
      </c>
      <c r="O890" s="19">
        <f t="shared" si="290"/>
        <v>5154369.7247757902</v>
      </c>
      <c r="P890" s="21">
        <f t="shared" si="291"/>
        <v>3.5297844130523601</v>
      </c>
      <c r="Q890" s="17">
        <v>4773028</v>
      </c>
      <c r="R890" s="17">
        <v>156162</v>
      </c>
      <c r="S890" s="19">
        <f t="shared" si="292"/>
        <v>4929190</v>
      </c>
      <c r="T890" s="20">
        <f t="shared" si="293"/>
        <v>0.01</v>
      </c>
      <c r="U890" s="19">
        <f t="shared" si="294"/>
        <v>49789.797979797979</v>
      </c>
      <c r="V890" s="17">
        <v>49790</v>
      </c>
      <c r="W890" s="19">
        <f t="shared" si="295"/>
        <v>-0.20202020202123094</v>
      </c>
      <c r="X890" s="19">
        <f t="shared" si="296"/>
        <v>439683</v>
      </c>
      <c r="Y890" s="17">
        <v>394532</v>
      </c>
      <c r="Z890" s="17">
        <v>45151</v>
      </c>
      <c r="AA890" s="19">
        <f t="shared" si="297"/>
        <v>389893</v>
      </c>
      <c r="AB890" s="17">
        <v>4929190</v>
      </c>
      <c r="AC890" s="27">
        <v>35.378</v>
      </c>
      <c r="AD890" s="27">
        <v>36.730499999999999</v>
      </c>
      <c r="AE890" s="22">
        <f t="shared" si="298"/>
        <v>134198.82658825771</v>
      </c>
      <c r="AF890" s="23">
        <f t="shared" si="299"/>
        <v>1</v>
      </c>
      <c r="AG890" s="23">
        <f t="shared" si="300"/>
        <v>0</v>
      </c>
      <c r="AH890" s="17">
        <v>4035762.9248970798</v>
      </c>
      <c r="AI890" s="24">
        <f t="shared" si="301"/>
        <v>0.81874768976182288</v>
      </c>
      <c r="AJ890" s="25">
        <v>402928600.47926301</v>
      </c>
      <c r="AK890" s="24">
        <f t="shared" si="302"/>
        <v>2.3613713731536111E-2</v>
      </c>
      <c r="AL890" s="22">
        <f t="shared" si="303"/>
        <v>26067.508564289863</v>
      </c>
      <c r="AM890" s="22">
        <f t="shared" si="304"/>
        <v>134198.82658825771</v>
      </c>
      <c r="AN890" s="22">
        <f t="shared" si="305"/>
        <v>-108131.31802396785</v>
      </c>
      <c r="AO890" s="26" t="str">
        <f t="shared" si="306"/>
        <v>YES</v>
      </c>
      <c r="AP890" s="26" t="str">
        <f t="shared" si="307"/>
        <v>pre-launch</v>
      </c>
      <c r="AQ890" s="28">
        <v>1</v>
      </c>
      <c r="AR890" s="28">
        <v>0</v>
      </c>
    </row>
    <row r="891" spans="1:44" x14ac:dyDescent="0.25">
      <c r="A891" s="43">
        <v>45952</v>
      </c>
      <c r="B891" s="17">
        <v>11713117815.67</v>
      </c>
      <c r="C891" s="17">
        <v>36702796.549999997</v>
      </c>
      <c r="D891" s="17">
        <v>292734754</v>
      </c>
      <c r="E891" s="19">
        <f t="shared" si="286"/>
        <v>11749820612.219999</v>
      </c>
      <c r="F891" s="19">
        <f t="shared" si="287"/>
        <v>12042555366.219999</v>
      </c>
      <c r="G891" s="20">
        <f t="shared" si="288"/>
        <v>3.1236899490898191E-3</v>
      </c>
      <c r="H891" s="17">
        <v>4058966</v>
      </c>
      <c r="I891" s="17">
        <v>159923</v>
      </c>
      <c r="J891" s="17">
        <v>39655</v>
      </c>
      <c r="K891" s="19">
        <f t="shared" si="289"/>
        <v>4218889</v>
      </c>
      <c r="L891" s="17">
        <v>20773.782845319001</v>
      </c>
      <c r="M891" s="17">
        <v>10386.891422659501</v>
      </c>
      <c r="N891" s="17">
        <v>10386.891422659501</v>
      </c>
      <c r="O891" s="19">
        <f t="shared" si="290"/>
        <v>4038192.2171546812</v>
      </c>
      <c r="P891" s="21">
        <f t="shared" si="291"/>
        <v>3.4475809777583915</v>
      </c>
      <c r="Q891" s="17">
        <v>3802459</v>
      </c>
      <c r="R891" s="17">
        <v>123392</v>
      </c>
      <c r="S891" s="19">
        <f t="shared" si="292"/>
        <v>3925851</v>
      </c>
      <c r="T891" s="20">
        <f t="shared" si="293"/>
        <v>0.01</v>
      </c>
      <c r="U891" s="19">
        <f t="shared" si="294"/>
        <v>39655.060606060608</v>
      </c>
      <c r="V891" s="17">
        <v>39655</v>
      </c>
      <c r="W891" s="19">
        <f t="shared" si="295"/>
        <v>6.0606060607824475E-2</v>
      </c>
      <c r="X891" s="19">
        <f t="shared" si="296"/>
        <v>293039</v>
      </c>
      <c r="Y891" s="17">
        <v>256507</v>
      </c>
      <c r="Z891" s="17">
        <v>36532</v>
      </c>
      <c r="AA891" s="19">
        <f t="shared" si="297"/>
        <v>253384</v>
      </c>
      <c r="AB891" s="17">
        <v>3925851</v>
      </c>
      <c r="AC891" s="27">
        <v>36.265999999999998</v>
      </c>
      <c r="AD891" s="27">
        <v>35.741750000000003</v>
      </c>
      <c r="AE891" s="22">
        <f t="shared" si="298"/>
        <v>109839.36153098267</v>
      </c>
      <c r="AF891" s="23">
        <f t="shared" si="299"/>
        <v>-1</v>
      </c>
      <c r="AG891" s="23">
        <f t="shared" si="300"/>
        <v>0</v>
      </c>
      <c r="AH891" s="17">
        <v>3276576.7498239302</v>
      </c>
      <c r="AI891" s="24">
        <f t="shared" si="301"/>
        <v>0.83461566672396126</v>
      </c>
      <c r="AJ891" s="25">
        <v>403083367.22580701</v>
      </c>
      <c r="AK891" s="24">
        <f t="shared" si="302"/>
        <v>2.3609179969023501E-2</v>
      </c>
      <c r="AL891" s="22">
        <f t="shared" si="303"/>
        <v>26072.514409189222</v>
      </c>
      <c r="AM891" s="22">
        <f t="shared" si="304"/>
        <v>109839.36153098267</v>
      </c>
      <c r="AN891" s="22">
        <f t="shared" si="305"/>
        <v>-83766.847121793457</v>
      </c>
      <c r="AO891" s="26" t="str">
        <f t="shared" si="306"/>
        <v>YES</v>
      </c>
      <c r="AP891" s="26" t="str">
        <f t="shared" si="307"/>
        <v>pre-launch</v>
      </c>
      <c r="AQ891" s="28">
        <v>1</v>
      </c>
      <c r="AR891" s="28">
        <v>0</v>
      </c>
    </row>
    <row r="892" spans="1:44" x14ac:dyDescent="0.25">
      <c r="A892" s="43">
        <v>45953</v>
      </c>
      <c r="B892" s="17">
        <v>8724893109.0400009</v>
      </c>
      <c r="C892" s="17">
        <v>30181936.879999999</v>
      </c>
      <c r="D892" s="17">
        <v>277126381</v>
      </c>
      <c r="E892" s="19">
        <f t="shared" si="286"/>
        <v>8755075045.9200001</v>
      </c>
      <c r="F892" s="19">
        <f t="shared" si="287"/>
        <v>9032201426.9200001</v>
      </c>
      <c r="G892" s="20">
        <f t="shared" si="288"/>
        <v>3.4473647252247423E-3</v>
      </c>
      <c r="H892" s="17">
        <v>3138968</v>
      </c>
      <c r="I892" s="17">
        <v>159178</v>
      </c>
      <c r="J892" s="17">
        <v>30487</v>
      </c>
      <c r="K892" s="19">
        <f t="shared" si="289"/>
        <v>3298146</v>
      </c>
      <c r="L892" s="17">
        <v>17082.976271815998</v>
      </c>
      <c r="M892" s="17">
        <v>8541.4881359079991</v>
      </c>
      <c r="N892" s="17">
        <v>8541.4881359079991</v>
      </c>
      <c r="O892" s="19">
        <f t="shared" si="290"/>
        <v>3121885.0237281839</v>
      </c>
      <c r="P892" s="21">
        <f t="shared" si="291"/>
        <v>3.5781355538826594</v>
      </c>
      <c r="Q892" s="17">
        <v>2892600</v>
      </c>
      <c r="R892" s="17">
        <v>125618</v>
      </c>
      <c r="S892" s="19">
        <f t="shared" si="292"/>
        <v>3018218</v>
      </c>
      <c r="T892" s="20">
        <f t="shared" si="293"/>
        <v>0.01</v>
      </c>
      <c r="U892" s="19">
        <f t="shared" si="294"/>
        <v>30487.050505050505</v>
      </c>
      <c r="V892" s="17">
        <v>30487</v>
      </c>
      <c r="W892" s="19">
        <f t="shared" si="295"/>
        <v>5.0505050505307736E-2</v>
      </c>
      <c r="X892" s="19">
        <f t="shared" si="296"/>
        <v>279928</v>
      </c>
      <c r="Y892" s="17">
        <v>246368</v>
      </c>
      <c r="Z892" s="17">
        <v>33560</v>
      </c>
      <c r="AA892" s="19">
        <f t="shared" si="297"/>
        <v>249441</v>
      </c>
      <c r="AB892" s="17">
        <v>3018218</v>
      </c>
      <c r="AC892" s="27">
        <v>40.246000000000002</v>
      </c>
      <c r="AD892" s="27">
        <v>38.366750000000003</v>
      </c>
      <c r="AE892" s="22">
        <f t="shared" si="298"/>
        <v>78667.544162588689</v>
      </c>
      <c r="AF892" s="23">
        <f t="shared" si="299"/>
        <v>0</v>
      </c>
      <c r="AG892" s="23">
        <f t="shared" si="300"/>
        <v>0</v>
      </c>
      <c r="AH892" s="17">
        <v>2506413.3493740601</v>
      </c>
      <c r="AI892" s="24">
        <f t="shared" si="301"/>
        <v>0.83042820279186591</v>
      </c>
      <c r="AJ892" s="25">
        <v>403238133.97235</v>
      </c>
      <c r="AK892" s="24">
        <f t="shared" si="302"/>
        <v>2.3604648816915142E-2</v>
      </c>
      <c r="AL892" s="22">
        <f t="shared" si="303"/>
        <v>26077.519293165758</v>
      </c>
      <c r="AM892" s="22">
        <f t="shared" si="304"/>
        <v>78667.544162588689</v>
      </c>
      <c r="AN892" s="22">
        <f t="shared" si="305"/>
        <v>-52590.02486942293</v>
      </c>
      <c r="AO892" s="26" t="str">
        <f t="shared" si="306"/>
        <v>YES</v>
      </c>
      <c r="AP892" s="26" t="str">
        <f t="shared" si="307"/>
        <v>pre-launch</v>
      </c>
      <c r="AQ892" s="28">
        <v>1</v>
      </c>
      <c r="AR892" s="28">
        <v>0</v>
      </c>
    </row>
    <row r="893" spans="1:44" x14ac:dyDescent="0.25">
      <c r="A893" s="43">
        <v>45954</v>
      </c>
      <c r="B893" s="17">
        <v>6750264123.2200003</v>
      </c>
      <c r="C893" s="17">
        <v>27291719.559999999</v>
      </c>
      <c r="D893" s="17">
        <v>183360265</v>
      </c>
      <c r="E893" s="19">
        <f t="shared" si="286"/>
        <v>6777555842.7800007</v>
      </c>
      <c r="F893" s="19">
        <f t="shared" si="287"/>
        <v>6960916107.7800007</v>
      </c>
      <c r="G893" s="20">
        <f t="shared" si="288"/>
        <v>4.0267790030934737E-3</v>
      </c>
      <c r="H893" s="17">
        <v>2562271</v>
      </c>
      <c r="I893" s="17">
        <v>110772</v>
      </c>
      <c r="J893" s="17">
        <v>24237</v>
      </c>
      <c r="K893" s="19">
        <f t="shared" si="289"/>
        <v>2673043</v>
      </c>
      <c r="L893" s="17">
        <v>15447.1132681866</v>
      </c>
      <c r="M893" s="17">
        <v>7723.5566340933001</v>
      </c>
      <c r="N893" s="17">
        <v>7723.5566340933001</v>
      </c>
      <c r="O893" s="19">
        <f t="shared" si="290"/>
        <v>2546823.8867318132</v>
      </c>
      <c r="P893" s="21">
        <f t="shared" si="291"/>
        <v>3.7729247926330491</v>
      </c>
      <c r="Q893" s="17">
        <v>2318418</v>
      </c>
      <c r="R893" s="17">
        <v>81020</v>
      </c>
      <c r="S893" s="19">
        <f t="shared" si="292"/>
        <v>2399438</v>
      </c>
      <c r="T893" s="20">
        <f t="shared" si="293"/>
        <v>0.01</v>
      </c>
      <c r="U893" s="19">
        <f t="shared" si="294"/>
        <v>24236.747474747477</v>
      </c>
      <c r="V893" s="17">
        <v>24237</v>
      </c>
      <c r="W893" s="19">
        <f t="shared" si="295"/>
        <v>-0.2525252525229007</v>
      </c>
      <c r="X893" s="19">
        <f t="shared" si="296"/>
        <v>273605</v>
      </c>
      <c r="Y893" s="17">
        <v>243853</v>
      </c>
      <c r="Z893" s="17">
        <v>29752</v>
      </c>
      <c r="AA893" s="19">
        <f t="shared" si="297"/>
        <v>249368</v>
      </c>
      <c r="AB893" s="17">
        <v>2399438</v>
      </c>
      <c r="AC893" s="27">
        <v>39.344999999999999</v>
      </c>
      <c r="AD893" s="27">
        <v>39.797249999999998</v>
      </c>
      <c r="AE893" s="22">
        <f t="shared" si="298"/>
        <v>60291.552808297056</v>
      </c>
      <c r="AF893" s="23">
        <f t="shared" si="299"/>
        <v>0</v>
      </c>
      <c r="AG893" s="23">
        <f t="shared" si="300"/>
        <v>0</v>
      </c>
      <c r="AH893" s="17">
        <v>1921774.8995189699</v>
      </c>
      <c r="AI893" s="24">
        <f t="shared" si="301"/>
        <v>0.80092709189358924</v>
      </c>
      <c r="AJ893" s="25">
        <v>403392900.718894</v>
      </c>
      <c r="AK893" s="24">
        <f t="shared" si="302"/>
        <v>2.360012027270695E-2</v>
      </c>
      <c r="AL893" s="22">
        <f t="shared" si="303"/>
        <v>26082.523216772694</v>
      </c>
      <c r="AM893" s="22">
        <f t="shared" si="304"/>
        <v>60291.552808297056</v>
      </c>
      <c r="AN893" s="22">
        <f t="shared" si="305"/>
        <v>-34209.029591524362</v>
      </c>
      <c r="AO893" s="26" t="str">
        <f t="shared" si="306"/>
        <v>YES</v>
      </c>
      <c r="AP893" s="26" t="str">
        <f t="shared" si="307"/>
        <v>pre-launch</v>
      </c>
      <c r="AQ893" s="28">
        <v>1</v>
      </c>
      <c r="AR893" s="28">
        <v>0</v>
      </c>
    </row>
    <row r="894" spans="1:44" x14ac:dyDescent="0.25">
      <c r="A894" s="43">
        <v>45955</v>
      </c>
      <c r="B894" s="17">
        <v>3195465059.0599999</v>
      </c>
      <c r="C894" s="17">
        <v>49065137.020000003</v>
      </c>
      <c r="D894" s="17">
        <v>174559654</v>
      </c>
      <c r="E894" s="19">
        <f t="shared" si="286"/>
        <v>3244530196.0799999</v>
      </c>
      <c r="F894" s="19">
        <f t="shared" si="287"/>
        <v>3419089850.0799999</v>
      </c>
      <c r="G894" s="20">
        <f t="shared" si="288"/>
        <v>1.5122416514810026E-2</v>
      </c>
      <c r="H894" s="17">
        <v>1321850</v>
      </c>
      <c r="I894" s="17">
        <v>110935</v>
      </c>
      <c r="J894" s="17">
        <v>12698</v>
      </c>
      <c r="K894" s="19">
        <f t="shared" si="289"/>
        <v>1432785</v>
      </c>
      <c r="L894" s="17">
        <v>27770.8675558387</v>
      </c>
      <c r="M894" s="17">
        <v>13885.433777919399</v>
      </c>
      <c r="N894" s="17">
        <v>13885.433777919399</v>
      </c>
      <c r="O894" s="19">
        <f t="shared" si="290"/>
        <v>1294079.1324441612</v>
      </c>
      <c r="P894" s="21">
        <f t="shared" si="291"/>
        <v>4.049736450020319</v>
      </c>
      <c r="Q894" s="17">
        <v>1170044</v>
      </c>
      <c r="R894" s="17">
        <v>87107</v>
      </c>
      <c r="S894" s="19">
        <f t="shared" si="292"/>
        <v>1257151</v>
      </c>
      <c r="T894" s="20">
        <f t="shared" si="293"/>
        <v>0.01</v>
      </c>
      <c r="U894" s="19">
        <f t="shared" si="294"/>
        <v>12698.494949494951</v>
      </c>
      <c r="V894" s="17">
        <v>12698</v>
      </c>
      <c r="W894" s="19">
        <f t="shared" si="295"/>
        <v>0.49494949495056062</v>
      </c>
      <c r="X894" s="19">
        <f t="shared" si="296"/>
        <v>175634</v>
      </c>
      <c r="Y894" s="17">
        <v>151806</v>
      </c>
      <c r="Z894" s="17">
        <v>23828</v>
      </c>
      <c r="AA894" s="19">
        <f t="shared" si="297"/>
        <v>162936</v>
      </c>
      <c r="AB894" s="17">
        <v>1257151</v>
      </c>
      <c r="AC894" s="27">
        <v>44.25</v>
      </c>
      <c r="AD894" s="27">
        <v>41.794750000000001</v>
      </c>
      <c r="AE894" s="22">
        <f t="shared" si="298"/>
        <v>30079.160660130758</v>
      </c>
      <c r="AF894" s="23">
        <f t="shared" si="299"/>
        <v>0</v>
      </c>
      <c r="AG894" s="23">
        <f t="shared" si="300"/>
        <v>0</v>
      </c>
      <c r="AH894" s="17">
        <v>1020198.3711399999</v>
      </c>
      <c r="AI894" s="24">
        <f t="shared" si="301"/>
        <v>0.81151617517704711</v>
      </c>
      <c r="AJ894" s="25">
        <v>403547667.46543801</v>
      </c>
      <c r="AK894" s="24">
        <f t="shared" si="302"/>
        <v>2.3595594333898288E-2</v>
      </c>
      <c r="AL894" s="22">
        <f t="shared" si="303"/>
        <v>26087.526180562629</v>
      </c>
      <c r="AM894" s="22">
        <f t="shared" si="304"/>
        <v>30079.160660130758</v>
      </c>
      <c r="AN894" s="22">
        <f t="shared" si="305"/>
        <v>-3991.6344795681289</v>
      </c>
      <c r="AO894" s="26" t="str">
        <f t="shared" si="306"/>
        <v>YES</v>
      </c>
      <c r="AP894" s="26" t="str">
        <f t="shared" si="307"/>
        <v>pre-launch</v>
      </c>
      <c r="AQ894" s="28">
        <v>1</v>
      </c>
      <c r="AR894" s="28">
        <v>0</v>
      </c>
    </row>
    <row r="895" spans="1:44" x14ac:dyDescent="0.25">
      <c r="A895" s="43">
        <v>45956</v>
      </c>
      <c r="B895" s="17">
        <v>6150301937.4300003</v>
      </c>
      <c r="C895" s="17">
        <v>47095459.859999999</v>
      </c>
      <c r="D895" s="17">
        <v>250980235</v>
      </c>
      <c r="E895" s="19">
        <f t="shared" si="286"/>
        <v>6197397397.29</v>
      </c>
      <c r="F895" s="19">
        <f t="shared" si="287"/>
        <v>6448377632.29</v>
      </c>
      <c r="G895" s="20">
        <f t="shared" si="288"/>
        <v>7.5992318776578567E-3</v>
      </c>
      <c r="H895" s="17">
        <v>2506397</v>
      </c>
      <c r="I895" s="17">
        <v>153309</v>
      </c>
      <c r="J895" s="17">
        <v>23948</v>
      </c>
      <c r="K895" s="19">
        <f t="shared" si="289"/>
        <v>2659706</v>
      </c>
      <c r="L895" s="17">
        <v>26656.030279585601</v>
      </c>
      <c r="M895" s="17">
        <v>13328.0151397928</v>
      </c>
      <c r="N895" s="17">
        <v>13328.0151397928</v>
      </c>
      <c r="O895" s="19">
        <f t="shared" si="290"/>
        <v>2479740.9697204144</v>
      </c>
      <c r="P895" s="21">
        <f t="shared" si="291"/>
        <v>4.0319011894830856</v>
      </c>
      <c r="Q895" s="17">
        <v>2245309</v>
      </c>
      <c r="R895" s="17">
        <v>125584</v>
      </c>
      <c r="S895" s="19">
        <f t="shared" si="292"/>
        <v>2370893</v>
      </c>
      <c r="T895" s="20">
        <f t="shared" si="293"/>
        <v>0.01</v>
      </c>
      <c r="U895" s="19">
        <f t="shared" si="294"/>
        <v>23948.414141414141</v>
      </c>
      <c r="V895" s="17">
        <v>23948</v>
      </c>
      <c r="W895" s="19">
        <f t="shared" si="295"/>
        <v>0.41414141414134065</v>
      </c>
      <c r="X895" s="19">
        <f t="shared" si="296"/>
        <v>288811</v>
      </c>
      <c r="Y895" s="17">
        <v>261087</v>
      </c>
      <c r="Z895" s="17">
        <v>27724</v>
      </c>
      <c r="AA895" s="19">
        <f t="shared" si="297"/>
        <v>264863</v>
      </c>
      <c r="AB895" s="17">
        <v>2370893</v>
      </c>
      <c r="AC895" s="27">
        <v>47.338999999999999</v>
      </c>
      <c r="AD895" s="27">
        <v>45.959249999999997</v>
      </c>
      <c r="AE895" s="22">
        <f t="shared" si="298"/>
        <v>51586.851395529739</v>
      </c>
      <c r="AF895" s="23">
        <f t="shared" si="299"/>
        <v>2</v>
      </c>
      <c r="AG895" s="23">
        <f t="shared" si="300"/>
        <v>0</v>
      </c>
      <c r="AH895" s="17">
        <v>1903566.9529839801</v>
      </c>
      <c r="AI895" s="24">
        <f t="shared" si="301"/>
        <v>0.80289028352775937</v>
      </c>
      <c r="AJ895" s="25">
        <v>403702434.21198201</v>
      </c>
      <c r="AK895" s="24">
        <f t="shared" si="302"/>
        <v>2.3591070997991851E-2</v>
      </c>
      <c r="AL895" s="22">
        <f t="shared" si="303"/>
        <v>26092.528185087678</v>
      </c>
      <c r="AM895" s="22">
        <f t="shared" si="304"/>
        <v>51586.851395529739</v>
      </c>
      <c r="AN895" s="22">
        <f t="shared" si="305"/>
        <v>-25494.32321044206</v>
      </c>
      <c r="AO895" s="26" t="str">
        <f t="shared" si="306"/>
        <v>YES</v>
      </c>
      <c r="AP895" s="26" t="str">
        <f t="shared" si="307"/>
        <v>pre-launch</v>
      </c>
      <c r="AQ895" s="28">
        <v>1</v>
      </c>
      <c r="AR895" s="28">
        <v>0</v>
      </c>
    </row>
    <row r="896" spans="1:44" x14ac:dyDescent="0.25">
      <c r="A896" s="43">
        <v>45957</v>
      </c>
      <c r="B896" s="17">
        <v>8295248015.4399996</v>
      </c>
      <c r="C896" s="17">
        <v>65432776.409999996</v>
      </c>
      <c r="D896" s="17">
        <v>299657027</v>
      </c>
      <c r="E896" s="19">
        <f t="shared" si="286"/>
        <v>8360680791.8499994</v>
      </c>
      <c r="F896" s="19">
        <f t="shared" si="287"/>
        <v>8660337818.8499985</v>
      </c>
      <c r="G896" s="20">
        <f t="shared" si="288"/>
        <v>7.8262498041767048E-3</v>
      </c>
      <c r="H896" s="17">
        <v>3340973</v>
      </c>
      <c r="I896" s="17">
        <v>180324</v>
      </c>
      <c r="J896" s="17">
        <v>31769</v>
      </c>
      <c r="K896" s="19">
        <f t="shared" si="289"/>
        <v>3521297</v>
      </c>
      <c r="L896" s="17">
        <v>37034.951449418397</v>
      </c>
      <c r="M896" s="17">
        <v>18517.475724709198</v>
      </c>
      <c r="N896" s="17">
        <v>18517.475724709198</v>
      </c>
      <c r="O896" s="19">
        <f t="shared" si="290"/>
        <v>3303938.0485505816</v>
      </c>
      <c r="P896" s="21">
        <f t="shared" si="291"/>
        <v>3.9829285904423113</v>
      </c>
      <c r="Q896" s="17">
        <v>3003261</v>
      </c>
      <c r="R896" s="17">
        <v>141883</v>
      </c>
      <c r="S896" s="19">
        <f t="shared" si="292"/>
        <v>3145144</v>
      </c>
      <c r="T896" s="20">
        <f t="shared" si="293"/>
        <v>0.01</v>
      </c>
      <c r="U896" s="19">
        <f t="shared" si="294"/>
        <v>31769.131313131315</v>
      </c>
      <c r="V896" s="17">
        <v>31769</v>
      </c>
      <c r="W896" s="19">
        <f t="shared" si="295"/>
        <v>0.13131313131452771</v>
      </c>
      <c r="X896" s="19">
        <f t="shared" si="296"/>
        <v>376155</v>
      </c>
      <c r="Y896" s="17">
        <v>337713</v>
      </c>
      <c r="Z896" s="17">
        <v>38442</v>
      </c>
      <c r="AA896" s="19">
        <f t="shared" si="297"/>
        <v>344386</v>
      </c>
      <c r="AB896" s="17">
        <v>3145144</v>
      </c>
      <c r="AC896" s="27">
        <v>46.582999999999998</v>
      </c>
      <c r="AD896" s="27">
        <v>47.189</v>
      </c>
      <c r="AE896" s="22">
        <f t="shared" si="298"/>
        <v>66649.939604568863</v>
      </c>
      <c r="AF896" s="23">
        <f t="shared" si="299"/>
        <v>-2</v>
      </c>
      <c r="AG896" s="23">
        <f t="shared" si="300"/>
        <v>0</v>
      </c>
      <c r="AH896" s="17">
        <v>2551789.1811450701</v>
      </c>
      <c r="AI896" s="24">
        <f t="shared" si="301"/>
        <v>0.81134255892419238</v>
      </c>
      <c r="AJ896" s="25">
        <v>403857200.958525</v>
      </c>
      <c r="AK896" s="24">
        <f t="shared" si="302"/>
        <v>2.3586550262493709E-2</v>
      </c>
      <c r="AL896" s="22">
        <f t="shared" si="303"/>
        <v>26097.529230899374</v>
      </c>
      <c r="AM896" s="22">
        <f t="shared" si="304"/>
        <v>66649.939604568863</v>
      </c>
      <c r="AN896" s="22">
        <f t="shared" si="305"/>
        <v>-40552.410373669489</v>
      </c>
      <c r="AO896" s="26" t="str">
        <f t="shared" si="306"/>
        <v>YES</v>
      </c>
      <c r="AP896" s="26" t="str">
        <f t="shared" si="307"/>
        <v>pre-launch</v>
      </c>
      <c r="AQ896" s="28">
        <v>1</v>
      </c>
      <c r="AR896" s="28">
        <v>0</v>
      </c>
    </row>
    <row r="897" spans="1:44" x14ac:dyDescent="0.25">
      <c r="A897" s="43">
        <v>45958</v>
      </c>
      <c r="B897" s="17">
        <v>9675678919.3099995</v>
      </c>
      <c r="C897" s="17">
        <v>80509374.280000001</v>
      </c>
      <c r="D897" s="17">
        <v>309914355</v>
      </c>
      <c r="E897" s="19">
        <f t="shared" si="286"/>
        <v>9756188293.5900002</v>
      </c>
      <c r="F897" s="19">
        <f t="shared" si="287"/>
        <v>10066102648.59</v>
      </c>
      <c r="G897" s="20">
        <f t="shared" si="288"/>
        <v>8.2521341180854593E-3</v>
      </c>
      <c r="H897" s="17">
        <v>3787273</v>
      </c>
      <c r="I897" s="17">
        <v>195777</v>
      </c>
      <c r="J897" s="17">
        <v>35891</v>
      </c>
      <c r="K897" s="19">
        <f t="shared" si="289"/>
        <v>3983050</v>
      </c>
      <c r="L897" s="17">
        <v>45568.305844560098</v>
      </c>
      <c r="M897" s="17">
        <v>22784.152922280002</v>
      </c>
      <c r="N897" s="17">
        <v>22784.152922280002</v>
      </c>
      <c r="O897" s="19">
        <f t="shared" si="290"/>
        <v>3741704.6941554397</v>
      </c>
      <c r="P897" s="21">
        <f t="shared" si="291"/>
        <v>3.8671236668344005</v>
      </c>
      <c r="Q897" s="17">
        <v>3405906</v>
      </c>
      <c r="R897" s="17">
        <v>147331</v>
      </c>
      <c r="S897" s="19">
        <f t="shared" si="292"/>
        <v>3553237</v>
      </c>
      <c r="T897" s="20">
        <f t="shared" si="293"/>
        <v>0.01</v>
      </c>
      <c r="U897" s="19">
        <f t="shared" si="294"/>
        <v>35891.282828282834</v>
      </c>
      <c r="V897" s="17">
        <v>35891</v>
      </c>
      <c r="W897" s="19">
        <f t="shared" si="295"/>
        <v>0.2828282828340889</v>
      </c>
      <c r="X897" s="19">
        <f t="shared" si="296"/>
        <v>429813</v>
      </c>
      <c r="Y897" s="17">
        <v>381368</v>
      </c>
      <c r="Z897" s="17">
        <v>48445</v>
      </c>
      <c r="AA897" s="19">
        <f t="shared" si="297"/>
        <v>393922</v>
      </c>
      <c r="AB897" s="17">
        <v>3553237</v>
      </c>
      <c r="AC897" s="27">
        <v>47.718000000000004</v>
      </c>
      <c r="AD897" s="27">
        <v>47.446249999999999</v>
      </c>
      <c r="AE897" s="22">
        <f t="shared" si="298"/>
        <v>74889.733119055774</v>
      </c>
      <c r="AF897" s="23">
        <f t="shared" si="299"/>
        <v>0</v>
      </c>
      <c r="AG897" s="23">
        <f t="shared" si="300"/>
        <v>0</v>
      </c>
      <c r="AH897" s="17">
        <v>2813088.7561940001</v>
      </c>
      <c r="AI897" s="24">
        <f t="shared" si="301"/>
        <v>0.7916974736540231</v>
      </c>
      <c r="AJ897" s="25">
        <v>404011967.70506901</v>
      </c>
      <c r="AK897" s="24">
        <f t="shared" si="302"/>
        <v>2.3582032124913183E-2</v>
      </c>
      <c r="AL897" s="22">
        <f t="shared" si="303"/>
        <v>26102.529318548837</v>
      </c>
      <c r="AM897" s="22">
        <f t="shared" si="304"/>
        <v>74889.733119055774</v>
      </c>
      <c r="AN897" s="22">
        <f t="shared" si="305"/>
        <v>-48787.203800506933</v>
      </c>
      <c r="AO897" s="26" t="str">
        <f t="shared" si="306"/>
        <v>YES</v>
      </c>
      <c r="AP897" s="26" t="str">
        <f t="shared" si="307"/>
        <v>pre-launch</v>
      </c>
      <c r="AQ897" s="28">
        <v>1</v>
      </c>
      <c r="AR897" s="28">
        <v>0</v>
      </c>
    </row>
    <row r="898" spans="1:44" x14ac:dyDescent="0.25">
      <c r="A898" s="43">
        <v>45959</v>
      </c>
      <c r="B898" s="17">
        <v>10872804255.18</v>
      </c>
      <c r="C898" s="17">
        <v>94164067.489999995</v>
      </c>
      <c r="D898" s="17">
        <v>299660704</v>
      </c>
      <c r="E898" s="19">
        <f t="shared" si="286"/>
        <v>10966968322.67</v>
      </c>
      <c r="F898" s="19">
        <f t="shared" si="287"/>
        <v>11266629026.67</v>
      </c>
      <c r="G898" s="20">
        <f t="shared" si="288"/>
        <v>8.5861529567247772E-3</v>
      </c>
      <c r="H898" s="17">
        <v>4043911</v>
      </c>
      <c r="I898" s="17">
        <v>180724</v>
      </c>
      <c r="J898" s="17">
        <v>38633</v>
      </c>
      <c r="K898" s="19">
        <f t="shared" si="289"/>
        <v>4224635</v>
      </c>
      <c r="L898" s="17">
        <v>53296.8622008116</v>
      </c>
      <c r="M898" s="17">
        <v>26648.4311004058</v>
      </c>
      <c r="N898" s="17">
        <v>26648.4311004058</v>
      </c>
      <c r="O898" s="19">
        <f t="shared" si="290"/>
        <v>3990614.1377991885</v>
      </c>
      <c r="P898" s="21">
        <f t="shared" si="291"/>
        <v>3.6702712972120213</v>
      </c>
      <c r="Q898" s="17">
        <v>3682046</v>
      </c>
      <c r="R898" s="17">
        <v>142583</v>
      </c>
      <c r="S898" s="19">
        <f t="shared" si="292"/>
        <v>3824629</v>
      </c>
      <c r="T898" s="20">
        <f t="shared" si="293"/>
        <v>0.01</v>
      </c>
      <c r="U898" s="19">
        <f t="shared" si="294"/>
        <v>38632.616161616163</v>
      </c>
      <c r="V898" s="17">
        <v>38633</v>
      </c>
      <c r="W898" s="19">
        <f t="shared" si="295"/>
        <v>-0.38383838383742841</v>
      </c>
      <c r="X898" s="19">
        <f t="shared" si="296"/>
        <v>400007</v>
      </c>
      <c r="Y898" s="17">
        <v>361866</v>
      </c>
      <c r="Z898" s="17">
        <v>38141</v>
      </c>
      <c r="AA898" s="19">
        <f t="shared" si="297"/>
        <v>361374</v>
      </c>
      <c r="AB898" s="17">
        <v>3824629</v>
      </c>
      <c r="AC898" s="27">
        <v>48.036999999999999</v>
      </c>
      <c r="AD898" s="27">
        <v>47.90025</v>
      </c>
      <c r="AE898" s="22">
        <f t="shared" si="298"/>
        <v>79845.700179017862</v>
      </c>
      <c r="AF898" s="23">
        <f t="shared" si="299"/>
        <v>-1</v>
      </c>
      <c r="AG898" s="23">
        <f t="shared" si="300"/>
        <v>0</v>
      </c>
      <c r="AH898" s="17">
        <v>3068460.58124197</v>
      </c>
      <c r="AI898" s="24">
        <f t="shared" si="301"/>
        <v>0.80228973352499544</v>
      </c>
      <c r="AJ898" s="25">
        <v>404166734.45161301</v>
      </c>
      <c r="AK898" s="24">
        <f t="shared" si="302"/>
        <v>2.3577516582763032E-2</v>
      </c>
      <c r="AL898" s="22">
        <f t="shared" si="303"/>
        <v>26107.528448586545</v>
      </c>
      <c r="AM898" s="22">
        <f t="shared" si="304"/>
        <v>79845.700179017862</v>
      </c>
      <c r="AN898" s="22">
        <f t="shared" si="305"/>
        <v>-53738.171730431321</v>
      </c>
      <c r="AO898" s="26" t="str">
        <f t="shared" si="306"/>
        <v>YES</v>
      </c>
      <c r="AP898" s="26" t="str">
        <f t="shared" si="307"/>
        <v>pre-launch</v>
      </c>
      <c r="AQ898" s="28">
        <v>1</v>
      </c>
      <c r="AR898" s="28">
        <v>0</v>
      </c>
    </row>
    <row r="899" spans="1:44" x14ac:dyDescent="0.25">
      <c r="A899" s="43">
        <v>45960</v>
      </c>
      <c r="B899" s="17">
        <v>12206281208.309999</v>
      </c>
      <c r="C899" s="17">
        <v>116186101.45999999</v>
      </c>
      <c r="D899" s="17">
        <v>433695347</v>
      </c>
      <c r="E899" s="19">
        <f t="shared" si="286"/>
        <v>12322467309.769999</v>
      </c>
      <c r="F899" s="19">
        <f t="shared" si="287"/>
        <v>12756162656.769999</v>
      </c>
      <c r="G899" s="20">
        <f t="shared" si="288"/>
        <v>9.428801760170271E-3</v>
      </c>
      <c r="H899" s="17">
        <v>4671167</v>
      </c>
      <c r="I899" s="17">
        <v>249350</v>
      </c>
      <c r="J899" s="17">
        <v>44921</v>
      </c>
      <c r="K899" s="19">
        <f t="shared" si="289"/>
        <v>4920517</v>
      </c>
      <c r="L899" s="17">
        <v>65761.3334248459</v>
      </c>
      <c r="M899" s="17">
        <v>32880.666712423001</v>
      </c>
      <c r="N899" s="17">
        <v>32880.666712423001</v>
      </c>
      <c r="O899" s="19">
        <f t="shared" si="290"/>
        <v>4605405.6665751543</v>
      </c>
      <c r="P899" s="21">
        <f t="shared" si="291"/>
        <v>3.7729801468442394</v>
      </c>
      <c r="Q899" s="17">
        <v>4243783</v>
      </c>
      <c r="R899" s="17">
        <v>203424</v>
      </c>
      <c r="S899" s="19">
        <f t="shared" si="292"/>
        <v>4447207</v>
      </c>
      <c r="T899" s="20">
        <f t="shared" si="293"/>
        <v>0.01</v>
      </c>
      <c r="U899" s="19">
        <f t="shared" si="294"/>
        <v>44921.282828282827</v>
      </c>
      <c r="V899" s="17">
        <v>44921</v>
      </c>
      <c r="W899" s="19">
        <f t="shared" si="295"/>
        <v>0.28282828282681294</v>
      </c>
      <c r="X899" s="19">
        <f t="shared" si="296"/>
        <v>473310</v>
      </c>
      <c r="Y899" s="17">
        <v>427384</v>
      </c>
      <c r="Z899" s="17">
        <v>45926</v>
      </c>
      <c r="AA899" s="19">
        <f t="shared" si="297"/>
        <v>428389</v>
      </c>
      <c r="AB899" s="17">
        <v>4447207</v>
      </c>
      <c r="AC899" s="27">
        <v>45.390999999999998</v>
      </c>
      <c r="AD899" s="27">
        <v>46.560749999999999</v>
      </c>
      <c r="AE899" s="22">
        <f t="shared" si="298"/>
        <v>95514.075696804721</v>
      </c>
      <c r="AF899" s="23">
        <f t="shared" si="299"/>
        <v>0</v>
      </c>
      <c r="AG899" s="23">
        <f t="shared" si="300"/>
        <v>0</v>
      </c>
      <c r="AH899" s="17">
        <v>3616115.2409600001</v>
      </c>
      <c r="AI899" s="24">
        <f t="shared" si="301"/>
        <v>0.81312051383261452</v>
      </c>
      <c r="AJ899" s="25">
        <v>404321501.19815701</v>
      </c>
      <c r="AK899" s="24">
        <f t="shared" si="302"/>
        <v>2.3573003633559308E-2</v>
      </c>
      <c r="AL899" s="22">
        <f t="shared" si="303"/>
        <v>26112.526621562494</v>
      </c>
      <c r="AM899" s="22">
        <f t="shared" si="304"/>
        <v>95514.075696804721</v>
      </c>
      <c r="AN899" s="22">
        <f t="shared" si="305"/>
        <v>-69401.549075242219</v>
      </c>
      <c r="AO899" s="26" t="str">
        <f t="shared" si="306"/>
        <v>YES</v>
      </c>
      <c r="AP899" s="26" t="str">
        <f t="shared" si="307"/>
        <v>pre-launch</v>
      </c>
      <c r="AQ899" s="28">
        <v>1</v>
      </c>
      <c r="AR899" s="28">
        <v>0</v>
      </c>
    </row>
    <row r="900" spans="1:44" x14ac:dyDescent="0.25">
      <c r="A900" s="43">
        <v>45961</v>
      </c>
      <c r="B900" s="17">
        <v>7103496025.9200001</v>
      </c>
      <c r="C900" s="17">
        <v>60153173.399999999</v>
      </c>
      <c r="D900" s="17">
        <v>271790520</v>
      </c>
      <c r="E900" s="19">
        <f t="shared" si="286"/>
        <v>7163649199.3199997</v>
      </c>
      <c r="F900" s="19">
        <f t="shared" si="287"/>
        <v>7435439719.3199997</v>
      </c>
      <c r="G900" s="20">
        <f t="shared" si="288"/>
        <v>8.3970015457638485E-3</v>
      </c>
      <c r="H900" s="17">
        <v>2783995</v>
      </c>
      <c r="I900" s="17">
        <v>153519</v>
      </c>
      <c r="J900" s="17">
        <v>26644</v>
      </c>
      <c r="K900" s="19">
        <f t="shared" si="289"/>
        <v>2937514</v>
      </c>
      <c r="L900" s="17">
        <v>34046.696143494402</v>
      </c>
      <c r="M900" s="17">
        <v>17023.348071747201</v>
      </c>
      <c r="N900" s="17">
        <v>17023.348071747201</v>
      </c>
      <c r="O900" s="19">
        <f t="shared" si="290"/>
        <v>2749948.3038565055</v>
      </c>
      <c r="P900" s="21">
        <f t="shared" si="291"/>
        <v>3.8712604241942259</v>
      </c>
      <c r="Q900" s="17">
        <v>2513758</v>
      </c>
      <c r="R900" s="17">
        <v>123962</v>
      </c>
      <c r="S900" s="19">
        <f t="shared" si="292"/>
        <v>2637720</v>
      </c>
      <c r="T900" s="20">
        <f t="shared" si="293"/>
        <v>0.01</v>
      </c>
      <c r="U900" s="19">
        <f t="shared" si="294"/>
        <v>26643.636363636364</v>
      </c>
      <c r="V900" s="17">
        <v>26644</v>
      </c>
      <c r="W900" s="19">
        <f t="shared" si="295"/>
        <v>-0.36363636363603291</v>
      </c>
      <c r="X900" s="19">
        <f t="shared" si="296"/>
        <v>299794</v>
      </c>
      <c r="Y900" s="17">
        <v>270237</v>
      </c>
      <c r="Z900" s="17">
        <v>29557</v>
      </c>
      <c r="AA900" s="19">
        <f t="shared" si="297"/>
        <v>273150</v>
      </c>
      <c r="AB900" s="17">
        <v>2637720</v>
      </c>
      <c r="AC900" s="27">
        <v>43.670999999999999</v>
      </c>
      <c r="AD900" s="27">
        <v>44.388249999999999</v>
      </c>
      <c r="AE900" s="22">
        <f t="shared" si="298"/>
        <v>59423.834010126557</v>
      </c>
      <c r="AF900" s="23">
        <f t="shared" si="299"/>
        <v>0</v>
      </c>
      <c r="AG900" s="23">
        <f t="shared" si="300"/>
        <v>0</v>
      </c>
      <c r="AH900" s="17">
        <v>2166573.0744680199</v>
      </c>
      <c r="AI900" s="24">
        <f t="shared" si="301"/>
        <v>0.82138099361115657</v>
      </c>
      <c r="AJ900" s="25">
        <v>404476267.94470102</v>
      </c>
      <c r="AK900" s="24">
        <f t="shared" si="302"/>
        <v>2.3568493274821401E-2</v>
      </c>
      <c r="AL900" s="22">
        <f t="shared" si="303"/>
        <v>26117.523838026154</v>
      </c>
      <c r="AM900" s="22">
        <f t="shared" si="304"/>
        <v>59423.834010126557</v>
      </c>
      <c r="AN900" s="22">
        <f t="shared" si="305"/>
        <v>-33306.310172100406</v>
      </c>
      <c r="AO900" s="26" t="str">
        <f t="shared" si="306"/>
        <v>YES</v>
      </c>
      <c r="AP900" s="26" t="str">
        <f t="shared" si="307"/>
        <v>pre-launch</v>
      </c>
      <c r="AQ900" s="28">
        <v>1</v>
      </c>
      <c r="AR900" s="28">
        <v>0</v>
      </c>
    </row>
    <row r="901" spans="1:44" x14ac:dyDescent="0.25">
      <c r="A901" s="43">
        <v>45962</v>
      </c>
      <c r="B901" s="17">
        <v>2887228047.6399999</v>
      </c>
      <c r="C901" s="17">
        <v>44938796.780000001</v>
      </c>
      <c r="D901" s="17">
        <v>160757118</v>
      </c>
      <c r="E901" s="19">
        <f t="shared" ref="E901:E964" si="308">B901+C901</f>
        <v>2932166844.4200001</v>
      </c>
      <c r="F901" s="19">
        <f t="shared" ref="F901:F964" si="309">E901+D901</f>
        <v>3092923962.4200001</v>
      </c>
      <c r="G901" s="20">
        <f t="shared" ref="G901:G964" si="310">IFERROR(C901/E901,0)</f>
        <v>1.532613905157541E-2</v>
      </c>
      <c r="H901" s="17">
        <v>1249160</v>
      </c>
      <c r="I901" s="17">
        <v>97376</v>
      </c>
      <c r="J901" s="17">
        <v>11753</v>
      </c>
      <c r="K901" s="19">
        <f t="shared" ref="K901:K964" si="311">H901+I901</f>
        <v>1346536</v>
      </c>
      <c r="L901" s="17">
        <v>25435.3589778762</v>
      </c>
      <c r="M901" s="17">
        <v>12717.6794889381</v>
      </c>
      <c r="N901" s="17">
        <v>12717.6794889381</v>
      </c>
      <c r="O901" s="19">
        <f t="shared" ref="O901:O964" si="312">IF(H901=0,0,H901-L901)</f>
        <v>1223724.6410221239</v>
      </c>
      <c r="P901" s="21">
        <f t="shared" ref="P901:P964" si="313">IF(B901=0,0,O901/B901*10000)</f>
        <v>4.2384065990990489</v>
      </c>
      <c r="Q901" s="17">
        <v>1084561</v>
      </c>
      <c r="R901" s="17">
        <v>79034</v>
      </c>
      <c r="S901" s="19">
        <f t="shared" ref="S901:S964" si="314">Q901+R901</f>
        <v>1163595</v>
      </c>
      <c r="T901" s="20">
        <f t="shared" ref="T901:T964" si="315">IF(A901&lt;HlpChangeDate,HlpSharePre,HlpSharePost)</f>
        <v>0.01</v>
      </c>
      <c r="U901" s="19">
        <f t="shared" ref="U901:U964" si="316">S901*T901/(1-T901)</f>
        <v>11753.48484848485</v>
      </c>
      <c r="V901" s="17">
        <v>11753</v>
      </c>
      <c r="W901" s="19">
        <f t="shared" ref="W901:W964" si="317">U901-V901</f>
        <v>0.48484848484986287</v>
      </c>
      <c r="X901" s="19">
        <f t="shared" ref="X901:X964" si="318">Y901+Z901</f>
        <v>182941</v>
      </c>
      <c r="Y901" s="17">
        <v>164599</v>
      </c>
      <c r="Z901" s="17">
        <v>18342</v>
      </c>
      <c r="AA901" s="19">
        <f t="shared" ref="AA901:AA964" si="319">X901-V901</f>
        <v>171188</v>
      </c>
      <c r="AB901" s="17">
        <v>1163595</v>
      </c>
      <c r="AC901" s="27">
        <v>43.268999999999998</v>
      </c>
      <c r="AD901" s="27">
        <v>43.536749999999998</v>
      </c>
      <c r="AE901" s="22">
        <f t="shared" ref="AE901:AE964" si="320">IFERROR(AB901/AD901,0)</f>
        <v>26726.730865303452</v>
      </c>
      <c r="AF901" s="23">
        <f t="shared" ref="AF901:AF964" si="321">K901-S901-X901</f>
        <v>0</v>
      </c>
      <c r="AG901" s="23">
        <f t="shared" ref="AG901:AG964" si="322">S901-AB901</f>
        <v>0</v>
      </c>
      <c r="AH901" s="17">
        <v>938072.78891992604</v>
      </c>
      <c r="AI901" s="24">
        <f t="shared" ref="AI901:AI964" si="323">IFERROR(AH901/S901,0)</f>
        <v>0.80618496033407328</v>
      </c>
      <c r="AJ901" s="25">
        <v>404631034.69124401</v>
      </c>
      <c r="AK901" s="24">
        <f t="shared" ref="AK901:AK964" si="324">IF(AJ901&gt;0,AprCoef/SQRT(AJ901),0)</f>
        <v>2.3563985504072037E-2</v>
      </c>
      <c r="AL901" s="22">
        <f t="shared" ref="AL901:AL964" si="325">AJ901*AK901/365</f>
        <v>26122.52009852642</v>
      </c>
      <c r="AM901" s="22">
        <f t="shared" ref="AM901:AM964" si="326">AE901</f>
        <v>26726.730865303452</v>
      </c>
      <c r="AN901" s="22">
        <f t="shared" ref="AN901:AN964" si="327">AL901-AM901</f>
        <v>-604.2107667770324</v>
      </c>
      <c r="AO901" s="26" t="str">
        <f t="shared" ref="AO901:AO964" si="328">IF(A901&gt;=Hip3LaunchDate,"YES","")</f>
        <v>YES</v>
      </c>
      <c r="AP901" s="26" t="str">
        <f t="shared" ref="AP901:AP964" si="329">IF(A901&lt;Hip4LaunchDate,"pre-launch","live (zero-fee)")</f>
        <v>pre-launch</v>
      </c>
      <c r="AQ901" s="28">
        <v>1</v>
      </c>
      <c r="AR901" s="28">
        <v>0</v>
      </c>
    </row>
    <row r="902" spans="1:44" x14ac:dyDescent="0.25">
      <c r="A902" s="43">
        <v>45963</v>
      </c>
      <c r="B902" s="17">
        <v>4074309349.1399999</v>
      </c>
      <c r="C902" s="17">
        <v>32927392.559999999</v>
      </c>
      <c r="D902" s="17">
        <v>182378150</v>
      </c>
      <c r="E902" s="19">
        <f t="shared" si="308"/>
        <v>4107236741.6999998</v>
      </c>
      <c r="F902" s="19">
        <f t="shared" si="309"/>
        <v>4289614891.6999998</v>
      </c>
      <c r="G902" s="20">
        <f t="shared" si="310"/>
        <v>8.0169210178937071E-3</v>
      </c>
      <c r="H902" s="17">
        <v>1686909</v>
      </c>
      <c r="I902" s="17">
        <v>117319</v>
      </c>
      <c r="J902" s="17">
        <v>15965</v>
      </c>
      <c r="K902" s="19">
        <f t="shared" si="311"/>
        <v>1804228</v>
      </c>
      <c r="L902" s="17">
        <v>18636.904189695801</v>
      </c>
      <c r="M902" s="17">
        <v>9318.4520948479003</v>
      </c>
      <c r="N902" s="17">
        <v>9318.4520948479003</v>
      </c>
      <c r="O902" s="19">
        <f t="shared" si="312"/>
        <v>1668272.0958103042</v>
      </c>
      <c r="P902" s="21">
        <f t="shared" si="313"/>
        <v>4.094613228527777</v>
      </c>
      <c r="Q902" s="17">
        <v>1489755</v>
      </c>
      <c r="R902" s="17">
        <v>90793</v>
      </c>
      <c r="S902" s="19">
        <f t="shared" si="314"/>
        <v>1580548</v>
      </c>
      <c r="T902" s="20">
        <f t="shared" si="315"/>
        <v>0.01</v>
      </c>
      <c r="U902" s="19">
        <f t="shared" si="316"/>
        <v>15965.131313131313</v>
      </c>
      <c r="V902" s="17">
        <v>15965</v>
      </c>
      <c r="W902" s="19">
        <f t="shared" si="317"/>
        <v>0.13131313131270872</v>
      </c>
      <c r="X902" s="19">
        <f t="shared" si="318"/>
        <v>223680</v>
      </c>
      <c r="Y902" s="17">
        <v>197154</v>
      </c>
      <c r="Z902" s="17">
        <v>26526</v>
      </c>
      <c r="AA902" s="19">
        <f t="shared" si="319"/>
        <v>207715</v>
      </c>
      <c r="AB902" s="17">
        <v>1580548</v>
      </c>
      <c r="AC902" s="27">
        <v>42.445999999999998</v>
      </c>
      <c r="AD902" s="27">
        <v>42.574750000000002</v>
      </c>
      <c r="AE902" s="22">
        <f t="shared" si="320"/>
        <v>37124.070018027116</v>
      </c>
      <c r="AF902" s="23">
        <f t="shared" si="321"/>
        <v>0</v>
      </c>
      <c r="AG902" s="23">
        <f t="shared" si="322"/>
        <v>0</v>
      </c>
      <c r="AH902" s="17">
        <v>1225213.53610802</v>
      </c>
      <c r="AI902" s="24">
        <f t="shared" si="323"/>
        <v>0.77518274428111011</v>
      </c>
      <c r="AJ902" s="25">
        <v>404785801.43778801</v>
      </c>
      <c r="AK902" s="24">
        <f t="shared" si="324"/>
        <v>2.3559480318837176E-2</v>
      </c>
      <c r="AL902" s="22">
        <f t="shared" si="325"/>
        <v>26127.515403611778</v>
      </c>
      <c r="AM902" s="22">
        <f t="shared" si="326"/>
        <v>37124.070018027116</v>
      </c>
      <c r="AN902" s="22">
        <f t="shared" si="327"/>
        <v>-10996.554614415338</v>
      </c>
      <c r="AO902" s="26" t="str">
        <f t="shared" si="328"/>
        <v>YES</v>
      </c>
      <c r="AP902" s="26" t="str">
        <f t="shared" si="329"/>
        <v>pre-launch</v>
      </c>
      <c r="AQ902" s="28">
        <v>1</v>
      </c>
      <c r="AR902" s="28">
        <v>0</v>
      </c>
    </row>
    <row r="903" spans="1:44" x14ac:dyDescent="0.25">
      <c r="A903" s="43">
        <v>45964</v>
      </c>
      <c r="B903" s="17">
        <v>12463078980.92</v>
      </c>
      <c r="C903" s="17">
        <v>76756338.609999999</v>
      </c>
      <c r="D903" s="17">
        <v>372136175</v>
      </c>
      <c r="E903" s="19">
        <f t="shared" si="308"/>
        <v>12539835319.530001</v>
      </c>
      <c r="F903" s="19">
        <f t="shared" si="309"/>
        <v>12911971494.530001</v>
      </c>
      <c r="G903" s="20">
        <f t="shared" si="310"/>
        <v>6.121000527850382E-3</v>
      </c>
      <c r="H903" s="17">
        <v>4574333</v>
      </c>
      <c r="I903" s="17">
        <v>205746</v>
      </c>
      <c r="J903" s="17">
        <v>43426</v>
      </c>
      <c r="K903" s="19">
        <f t="shared" si="311"/>
        <v>4780079</v>
      </c>
      <c r="L903" s="17">
        <v>43444.087653146802</v>
      </c>
      <c r="M903" s="17">
        <v>21722.043826573401</v>
      </c>
      <c r="N903" s="17">
        <v>21722.043826573401</v>
      </c>
      <c r="O903" s="19">
        <f t="shared" si="312"/>
        <v>4530888.9123468529</v>
      </c>
      <c r="P903" s="21">
        <f t="shared" si="313"/>
        <v>3.6354490886909163</v>
      </c>
      <c r="Q903" s="17">
        <v>4146440</v>
      </c>
      <c r="R903" s="17">
        <v>152770</v>
      </c>
      <c r="S903" s="19">
        <f t="shared" si="314"/>
        <v>4299210</v>
      </c>
      <c r="T903" s="20">
        <f t="shared" si="315"/>
        <v>0.01</v>
      </c>
      <c r="U903" s="19">
        <f t="shared" si="316"/>
        <v>43426.363636363632</v>
      </c>
      <c r="V903" s="17">
        <v>43426</v>
      </c>
      <c r="W903" s="19">
        <f t="shared" si="317"/>
        <v>0.36363636363239493</v>
      </c>
      <c r="X903" s="19">
        <f t="shared" si="318"/>
        <v>480869</v>
      </c>
      <c r="Y903" s="17">
        <v>427893</v>
      </c>
      <c r="Z903" s="17">
        <v>52976</v>
      </c>
      <c r="AA903" s="19">
        <f t="shared" si="319"/>
        <v>437443</v>
      </c>
      <c r="AB903" s="17">
        <v>4299210</v>
      </c>
      <c r="AC903" s="27">
        <v>40.173000000000002</v>
      </c>
      <c r="AD903" s="27">
        <v>40.90625</v>
      </c>
      <c r="AE903" s="22">
        <f t="shared" si="320"/>
        <v>105099.09854851032</v>
      </c>
      <c r="AF903" s="23">
        <f t="shared" si="321"/>
        <v>0</v>
      </c>
      <c r="AG903" s="23">
        <f t="shared" si="322"/>
        <v>0</v>
      </c>
      <c r="AH903" s="17">
        <v>3463001.02276409</v>
      </c>
      <c r="AI903" s="24">
        <f t="shared" si="323"/>
        <v>0.80549706173089708</v>
      </c>
      <c r="AJ903" s="25">
        <v>404940568.18433201</v>
      </c>
      <c r="AK903" s="24">
        <f t="shared" si="324"/>
        <v>2.3554977716646181E-2</v>
      </c>
      <c r="AL903" s="22">
        <f t="shared" si="325"/>
        <v>26132.509753830094</v>
      </c>
      <c r="AM903" s="22">
        <f t="shared" si="326"/>
        <v>105099.09854851032</v>
      </c>
      <c r="AN903" s="22">
        <f t="shared" si="327"/>
        <v>-78966.588794680225</v>
      </c>
      <c r="AO903" s="26" t="str">
        <f t="shared" si="328"/>
        <v>YES</v>
      </c>
      <c r="AP903" s="26" t="str">
        <f t="shared" si="329"/>
        <v>pre-launch</v>
      </c>
      <c r="AQ903" s="28">
        <v>1</v>
      </c>
      <c r="AR903" s="28">
        <v>0</v>
      </c>
    </row>
    <row r="904" spans="1:44" x14ac:dyDescent="0.25">
      <c r="A904" s="43">
        <v>45965</v>
      </c>
      <c r="B904" s="17">
        <v>18847553416.049999</v>
      </c>
      <c r="C904" s="17">
        <v>77109245.049999997</v>
      </c>
      <c r="D904" s="17">
        <v>621682800</v>
      </c>
      <c r="E904" s="19">
        <f t="shared" si="308"/>
        <v>18924662661.099998</v>
      </c>
      <c r="F904" s="19">
        <f t="shared" si="309"/>
        <v>19546345461.099998</v>
      </c>
      <c r="G904" s="20">
        <f t="shared" si="310"/>
        <v>4.074537360631506E-3</v>
      </c>
      <c r="H904" s="17">
        <v>6603982</v>
      </c>
      <c r="I904" s="17">
        <v>327482</v>
      </c>
      <c r="J904" s="17">
        <v>64528</v>
      </c>
      <c r="K904" s="19">
        <f t="shared" si="311"/>
        <v>6931464</v>
      </c>
      <c r="L904" s="17">
        <v>43643.832696828402</v>
      </c>
      <c r="M904" s="17">
        <v>21821.916348414201</v>
      </c>
      <c r="N904" s="17">
        <v>21821.916348414201</v>
      </c>
      <c r="O904" s="19">
        <f t="shared" si="312"/>
        <v>6560338.1673031719</v>
      </c>
      <c r="P904" s="21">
        <f t="shared" si="313"/>
        <v>3.4807372726247796</v>
      </c>
      <c r="Q904" s="17">
        <v>6137996</v>
      </c>
      <c r="R904" s="17">
        <v>250277</v>
      </c>
      <c r="S904" s="19">
        <f t="shared" si="314"/>
        <v>6388273</v>
      </c>
      <c r="T904" s="20">
        <f t="shared" si="315"/>
        <v>0.01</v>
      </c>
      <c r="U904" s="19">
        <f t="shared" si="316"/>
        <v>64528.010101010106</v>
      </c>
      <c r="V904" s="17">
        <v>64528</v>
      </c>
      <c r="W904" s="19">
        <f t="shared" si="317"/>
        <v>1.0101010106154718E-2</v>
      </c>
      <c r="X904" s="19">
        <f t="shared" si="318"/>
        <v>543191</v>
      </c>
      <c r="Y904" s="17">
        <v>465986</v>
      </c>
      <c r="Z904" s="17">
        <v>77205</v>
      </c>
      <c r="AA904" s="19">
        <f t="shared" si="319"/>
        <v>478663</v>
      </c>
      <c r="AB904" s="17">
        <v>6388273</v>
      </c>
      <c r="AC904" s="27">
        <v>39.01</v>
      </c>
      <c r="AD904" s="27">
        <v>38.865000000000002</v>
      </c>
      <c r="AE904" s="22">
        <f t="shared" si="320"/>
        <v>164370.8478065097</v>
      </c>
      <c r="AF904" s="23">
        <f t="shared" si="321"/>
        <v>0</v>
      </c>
      <c r="AG904" s="23">
        <f t="shared" si="322"/>
        <v>0</v>
      </c>
      <c r="AH904" s="17">
        <v>5350142.4269049196</v>
      </c>
      <c r="AI904" s="24">
        <f t="shared" si="323"/>
        <v>0.83749433170825971</v>
      </c>
      <c r="AJ904" s="25">
        <v>405095334.93087602</v>
      </c>
      <c r="AK904" s="24">
        <f t="shared" si="324"/>
        <v>2.3550477695031689E-2</v>
      </c>
      <c r="AL904" s="22">
        <f t="shared" si="325"/>
        <v>26137.503149728731</v>
      </c>
      <c r="AM904" s="22">
        <f t="shared" si="326"/>
        <v>164370.8478065097</v>
      </c>
      <c r="AN904" s="22">
        <f t="shared" si="327"/>
        <v>-138233.34465678097</v>
      </c>
      <c r="AO904" s="26" t="str">
        <f t="shared" si="328"/>
        <v>YES</v>
      </c>
      <c r="AP904" s="26" t="str">
        <f t="shared" si="329"/>
        <v>pre-launch</v>
      </c>
      <c r="AQ904" s="28">
        <v>1</v>
      </c>
      <c r="AR904" s="28">
        <v>0</v>
      </c>
    </row>
    <row r="905" spans="1:44" x14ac:dyDescent="0.25">
      <c r="A905" s="43">
        <v>45966</v>
      </c>
      <c r="B905" s="17">
        <v>8944776968.1299992</v>
      </c>
      <c r="C905" s="17">
        <v>74217407.930000007</v>
      </c>
      <c r="D905" s="17">
        <v>297872465</v>
      </c>
      <c r="E905" s="19">
        <f t="shared" si="308"/>
        <v>9018994376.0599995</v>
      </c>
      <c r="F905" s="19">
        <f t="shared" si="309"/>
        <v>9316866841.0599995</v>
      </c>
      <c r="G905" s="20">
        <f t="shared" si="310"/>
        <v>8.2290114435598881E-3</v>
      </c>
      <c r="H905" s="17">
        <v>3484270</v>
      </c>
      <c r="I905" s="17">
        <v>162518</v>
      </c>
      <c r="J905" s="17">
        <v>33178</v>
      </c>
      <c r="K905" s="19">
        <f t="shared" si="311"/>
        <v>3646788</v>
      </c>
      <c r="L905" s="17">
        <v>42007.052885946199</v>
      </c>
      <c r="M905" s="17">
        <v>21003.5264429731</v>
      </c>
      <c r="N905" s="17">
        <v>21003.5264429731</v>
      </c>
      <c r="O905" s="19">
        <f t="shared" si="312"/>
        <v>3442262.9471140536</v>
      </c>
      <c r="P905" s="21">
        <f t="shared" si="313"/>
        <v>3.8483496674972941</v>
      </c>
      <c r="Q905" s="17">
        <v>3165174</v>
      </c>
      <c r="R905" s="17">
        <v>119430</v>
      </c>
      <c r="S905" s="19">
        <f t="shared" si="314"/>
        <v>3284604</v>
      </c>
      <c r="T905" s="20">
        <f t="shared" si="315"/>
        <v>0.01</v>
      </c>
      <c r="U905" s="19">
        <f t="shared" si="316"/>
        <v>33177.818181818184</v>
      </c>
      <c r="V905" s="17">
        <v>33178</v>
      </c>
      <c r="W905" s="19">
        <f t="shared" si="317"/>
        <v>-0.18181818181619747</v>
      </c>
      <c r="X905" s="19">
        <f t="shared" si="318"/>
        <v>362184</v>
      </c>
      <c r="Y905" s="17">
        <v>319096</v>
      </c>
      <c r="Z905" s="17">
        <v>43088</v>
      </c>
      <c r="AA905" s="19">
        <f t="shared" si="319"/>
        <v>329006</v>
      </c>
      <c r="AB905" s="17">
        <v>3284604</v>
      </c>
      <c r="AC905" s="27">
        <v>41.383000000000003</v>
      </c>
      <c r="AD905" s="27">
        <v>40.003999999999998</v>
      </c>
      <c r="AE905" s="22">
        <f t="shared" si="320"/>
        <v>82106.889311068895</v>
      </c>
      <c r="AF905" s="23">
        <f t="shared" si="321"/>
        <v>0</v>
      </c>
      <c r="AG905" s="23">
        <f t="shared" si="322"/>
        <v>0</v>
      </c>
      <c r="AH905" s="17">
        <v>2713034.8088810402</v>
      </c>
      <c r="AI905" s="24">
        <f t="shared" si="323"/>
        <v>0.82598535740717605</v>
      </c>
      <c r="AJ905" s="25">
        <v>405250101.67741901</v>
      </c>
      <c r="AK905" s="24">
        <f t="shared" si="324"/>
        <v>2.3545980251529649E-2</v>
      </c>
      <c r="AL905" s="22">
        <f t="shared" si="325"/>
        <v>26142.495591854495</v>
      </c>
      <c r="AM905" s="22">
        <f t="shared" si="326"/>
        <v>82106.889311068895</v>
      </c>
      <c r="AN905" s="22">
        <f t="shared" si="327"/>
        <v>-55964.3937192144</v>
      </c>
      <c r="AO905" s="26" t="str">
        <f t="shared" si="328"/>
        <v>YES</v>
      </c>
      <c r="AP905" s="26" t="str">
        <f t="shared" si="329"/>
        <v>pre-launch</v>
      </c>
      <c r="AQ905" s="28">
        <v>1</v>
      </c>
      <c r="AR905" s="28">
        <v>0</v>
      </c>
    </row>
    <row r="906" spans="1:44" x14ac:dyDescent="0.25">
      <c r="A906" s="43">
        <v>45967</v>
      </c>
      <c r="B906" s="17">
        <v>9987597323.4500008</v>
      </c>
      <c r="C906" s="17">
        <v>72511086.719999999</v>
      </c>
      <c r="D906" s="17">
        <v>307467328</v>
      </c>
      <c r="E906" s="19">
        <f t="shared" si="308"/>
        <v>10060108410.17</v>
      </c>
      <c r="F906" s="19">
        <f t="shared" si="309"/>
        <v>10367575738.17</v>
      </c>
      <c r="G906" s="20">
        <f t="shared" si="310"/>
        <v>7.2077838293170713E-3</v>
      </c>
      <c r="H906" s="17">
        <v>3776322</v>
      </c>
      <c r="I906" s="17">
        <v>179457</v>
      </c>
      <c r="J906" s="17">
        <v>35860</v>
      </c>
      <c r="K906" s="19">
        <f t="shared" si="311"/>
        <v>3955779</v>
      </c>
      <c r="L906" s="17">
        <v>41041.2750850058</v>
      </c>
      <c r="M906" s="17">
        <v>20520.6375425029</v>
      </c>
      <c r="N906" s="17">
        <v>20520.6375425029</v>
      </c>
      <c r="O906" s="19">
        <f t="shared" si="312"/>
        <v>3735280.7249149941</v>
      </c>
      <c r="P906" s="21">
        <f t="shared" si="313"/>
        <v>3.7399192257630203</v>
      </c>
      <c r="Q906" s="17">
        <v>3416708</v>
      </c>
      <c r="R906" s="17">
        <v>133394</v>
      </c>
      <c r="S906" s="19">
        <f t="shared" si="314"/>
        <v>3550102</v>
      </c>
      <c r="T906" s="20">
        <f t="shared" si="315"/>
        <v>0.01</v>
      </c>
      <c r="U906" s="19">
        <f t="shared" si="316"/>
        <v>35859.616161616163</v>
      </c>
      <c r="V906" s="17">
        <v>35860</v>
      </c>
      <c r="W906" s="19">
        <f t="shared" si="317"/>
        <v>-0.38383838383742841</v>
      </c>
      <c r="X906" s="19">
        <f t="shared" si="318"/>
        <v>405677</v>
      </c>
      <c r="Y906" s="17">
        <v>359614</v>
      </c>
      <c r="Z906" s="17">
        <v>46063</v>
      </c>
      <c r="AA906" s="19">
        <f t="shared" si="319"/>
        <v>369817</v>
      </c>
      <c r="AB906" s="17">
        <v>3550102</v>
      </c>
      <c r="AC906" s="27">
        <v>38.502000000000002</v>
      </c>
      <c r="AD906" s="27">
        <v>39.706499999999998</v>
      </c>
      <c r="AE906" s="22">
        <f t="shared" si="320"/>
        <v>89408.585496077474</v>
      </c>
      <c r="AF906" s="23">
        <f t="shared" si="321"/>
        <v>0</v>
      </c>
      <c r="AG906" s="23">
        <f t="shared" si="322"/>
        <v>0</v>
      </c>
      <c r="AH906" s="17">
        <v>2861242.2282209401</v>
      </c>
      <c r="AI906" s="24">
        <f t="shared" si="323"/>
        <v>0.80596056908250524</v>
      </c>
      <c r="AJ906" s="25">
        <v>405404868.42396301</v>
      </c>
      <c r="AK906" s="24">
        <f t="shared" si="324"/>
        <v>2.3541485383679235E-2</v>
      </c>
      <c r="AL906" s="22">
        <f t="shared" si="325"/>
        <v>26147.487080753777</v>
      </c>
      <c r="AM906" s="22">
        <f t="shared" si="326"/>
        <v>89408.585496077474</v>
      </c>
      <c r="AN906" s="22">
        <f t="shared" si="327"/>
        <v>-63261.098415323693</v>
      </c>
      <c r="AO906" s="26" t="str">
        <f t="shared" si="328"/>
        <v>YES</v>
      </c>
      <c r="AP906" s="26" t="str">
        <f t="shared" si="329"/>
        <v>pre-launch</v>
      </c>
      <c r="AQ906" s="28">
        <v>1</v>
      </c>
      <c r="AR906" s="28">
        <v>0</v>
      </c>
    </row>
    <row r="907" spans="1:44" x14ac:dyDescent="0.25">
      <c r="A907" s="43">
        <v>45968</v>
      </c>
      <c r="B907" s="17">
        <v>11373813794.780001</v>
      </c>
      <c r="C907" s="17">
        <v>86634638.030000001</v>
      </c>
      <c r="D907" s="17">
        <v>269387178</v>
      </c>
      <c r="E907" s="19">
        <f t="shared" si="308"/>
        <v>11460448432.810001</v>
      </c>
      <c r="F907" s="19">
        <f t="shared" si="309"/>
        <v>11729835610.810001</v>
      </c>
      <c r="G907" s="20">
        <f t="shared" si="310"/>
        <v>7.5594457352972837E-3</v>
      </c>
      <c r="H907" s="17">
        <v>4207809</v>
      </c>
      <c r="I907" s="17">
        <v>158063</v>
      </c>
      <c r="J907" s="17">
        <v>40269</v>
      </c>
      <c r="K907" s="19">
        <f t="shared" si="311"/>
        <v>4365872</v>
      </c>
      <c r="L907" s="17">
        <v>49035.205124541397</v>
      </c>
      <c r="M907" s="17">
        <v>24517.602562270698</v>
      </c>
      <c r="N907" s="17">
        <v>24517.602562270698</v>
      </c>
      <c r="O907" s="19">
        <f t="shared" si="312"/>
        <v>4158773.7948754588</v>
      </c>
      <c r="P907" s="21">
        <f t="shared" si="313"/>
        <v>3.6564461753225848</v>
      </c>
      <c r="Q907" s="17">
        <v>3869080</v>
      </c>
      <c r="R907" s="17">
        <v>117559</v>
      </c>
      <c r="S907" s="19">
        <f t="shared" si="314"/>
        <v>3986639</v>
      </c>
      <c r="T907" s="20">
        <f t="shared" si="315"/>
        <v>0.01</v>
      </c>
      <c r="U907" s="19">
        <f t="shared" si="316"/>
        <v>40269.080808080806</v>
      </c>
      <c r="V907" s="17">
        <v>40269</v>
      </c>
      <c r="W907" s="19">
        <f t="shared" si="317"/>
        <v>8.0808080805581994E-2</v>
      </c>
      <c r="X907" s="19">
        <f t="shared" si="318"/>
        <v>379233</v>
      </c>
      <c r="Y907" s="17">
        <v>338729</v>
      </c>
      <c r="Z907" s="17">
        <v>40504</v>
      </c>
      <c r="AA907" s="19">
        <f t="shared" si="319"/>
        <v>338964</v>
      </c>
      <c r="AB907" s="17">
        <v>3986639</v>
      </c>
      <c r="AC907" s="27">
        <v>42.216999999999999</v>
      </c>
      <c r="AD907" s="27">
        <v>40.51</v>
      </c>
      <c r="AE907" s="22">
        <f t="shared" si="320"/>
        <v>98411.231794618623</v>
      </c>
      <c r="AF907" s="23">
        <f t="shared" si="321"/>
        <v>0</v>
      </c>
      <c r="AG907" s="23">
        <f t="shared" si="322"/>
        <v>0</v>
      </c>
      <c r="AH907" s="17">
        <v>3293904.838732</v>
      </c>
      <c r="AI907" s="24">
        <f t="shared" si="323"/>
        <v>0.82623604463107891</v>
      </c>
      <c r="AJ907" s="25">
        <v>405559635.17050701</v>
      </c>
      <c r="AK907" s="24">
        <f t="shared" si="324"/>
        <v>2.3536993089022989E-2</v>
      </c>
      <c r="AL907" s="22">
        <f t="shared" si="325"/>
        <v>26152.477616972355</v>
      </c>
      <c r="AM907" s="22">
        <f t="shared" si="326"/>
        <v>98411.231794618623</v>
      </c>
      <c r="AN907" s="22">
        <f t="shared" si="327"/>
        <v>-72258.754177646275</v>
      </c>
      <c r="AO907" s="26" t="str">
        <f t="shared" si="328"/>
        <v>YES</v>
      </c>
      <c r="AP907" s="26" t="str">
        <f t="shared" si="329"/>
        <v>pre-launch</v>
      </c>
      <c r="AQ907" s="28">
        <v>1</v>
      </c>
      <c r="AR907" s="28">
        <v>0</v>
      </c>
    </row>
    <row r="908" spans="1:44" x14ac:dyDescent="0.25">
      <c r="A908" s="43">
        <v>45969</v>
      </c>
      <c r="B908" s="17">
        <v>5637152097.0900002</v>
      </c>
      <c r="C908" s="17">
        <v>17356871.91</v>
      </c>
      <c r="D908" s="17">
        <v>269222630</v>
      </c>
      <c r="E908" s="19">
        <f t="shared" si="308"/>
        <v>5654508969</v>
      </c>
      <c r="F908" s="19">
        <f t="shared" si="309"/>
        <v>5923731599</v>
      </c>
      <c r="G908" s="20">
        <f t="shared" si="310"/>
        <v>3.0695630699600009E-3</v>
      </c>
      <c r="H908" s="17">
        <v>2242129</v>
      </c>
      <c r="I908" s="17">
        <v>192732</v>
      </c>
      <c r="J908" s="17">
        <v>21109</v>
      </c>
      <c r="K908" s="19">
        <f t="shared" si="311"/>
        <v>2434861</v>
      </c>
      <c r="L908" s="17">
        <v>9823.9894987111002</v>
      </c>
      <c r="M908" s="17">
        <v>4911.9947493555501</v>
      </c>
      <c r="N908" s="17">
        <v>4911.9947493555501</v>
      </c>
      <c r="O908" s="19">
        <f t="shared" si="312"/>
        <v>2232305.0105012888</v>
      </c>
      <c r="P908" s="21">
        <f t="shared" si="313"/>
        <v>3.9599871922094225</v>
      </c>
      <c r="Q908" s="17">
        <v>1942814</v>
      </c>
      <c r="R908" s="17">
        <v>146952</v>
      </c>
      <c r="S908" s="19">
        <f t="shared" si="314"/>
        <v>2089766</v>
      </c>
      <c r="T908" s="20">
        <f t="shared" si="315"/>
        <v>0.01</v>
      </c>
      <c r="U908" s="19">
        <f t="shared" si="316"/>
        <v>21108.747474747473</v>
      </c>
      <c r="V908" s="17">
        <v>21109</v>
      </c>
      <c r="W908" s="19">
        <f t="shared" si="317"/>
        <v>-0.25252525252653868</v>
      </c>
      <c r="X908" s="19">
        <f t="shared" si="318"/>
        <v>345095</v>
      </c>
      <c r="Y908" s="17">
        <v>299315</v>
      </c>
      <c r="Z908" s="17">
        <v>45780</v>
      </c>
      <c r="AA908" s="19">
        <f t="shared" si="319"/>
        <v>323986</v>
      </c>
      <c r="AB908" s="17">
        <v>2089766</v>
      </c>
      <c r="AC908" s="27">
        <v>40.137</v>
      </c>
      <c r="AD908" s="27">
        <v>41.332250000000002</v>
      </c>
      <c r="AE908" s="22">
        <f t="shared" si="320"/>
        <v>50560.180004717862</v>
      </c>
      <c r="AF908" s="23">
        <f t="shared" si="321"/>
        <v>0</v>
      </c>
      <c r="AG908" s="23">
        <f t="shared" si="322"/>
        <v>0</v>
      </c>
      <c r="AH908" s="17">
        <v>1642901.3904579901</v>
      </c>
      <c r="AI908" s="24">
        <f t="shared" si="323"/>
        <v>0.78616524072934013</v>
      </c>
      <c r="AJ908" s="25">
        <v>405714401.91705102</v>
      </c>
      <c r="AK908" s="24">
        <f t="shared" si="324"/>
        <v>2.3532503365106705E-2</v>
      </c>
      <c r="AL908" s="22">
        <f t="shared" si="325"/>
        <v>26157.4672010555</v>
      </c>
      <c r="AM908" s="22">
        <f t="shared" si="326"/>
        <v>50560.180004717862</v>
      </c>
      <c r="AN908" s="22">
        <f t="shared" si="327"/>
        <v>-24402.712803662362</v>
      </c>
      <c r="AO908" s="26" t="str">
        <f t="shared" si="328"/>
        <v>YES</v>
      </c>
      <c r="AP908" s="26" t="str">
        <f t="shared" si="329"/>
        <v>pre-launch</v>
      </c>
      <c r="AQ908" s="28">
        <v>1</v>
      </c>
      <c r="AR908" s="28">
        <v>0</v>
      </c>
    </row>
    <row r="909" spans="1:44" x14ac:dyDescent="0.25">
      <c r="A909" s="43">
        <v>45970</v>
      </c>
      <c r="B909" s="17">
        <v>6096181634.2600002</v>
      </c>
      <c r="C909" s="17">
        <v>35955133.880000003</v>
      </c>
      <c r="D909" s="17">
        <v>199150822</v>
      </c>
      <c r="E909" s="19">
        <f t="shared" si="308"/>
        <v>6132136768.1400003</v>
      </c>
      <c r="F909" s="19">
        <f t="shared" si="309"/>
        <v>6331287590.1400003</v>
      </c>
      <c r="G909" s="20">
        <f t="shared" si="310"/>
        <v>5.8633939912768633E-3</v>
      </c>
      <c r="H909" s="17">
        <v>2389935</v>
      </c>
      <c r="I909" s="17">
        <v>109079</v>
      </c>
      <c r="J909" s="17">
        <v>22326</v>
      </c>
      <c r="K909" s="19">
        <f t="shared" si="311"/>
        <v>2499014</v>
      </c>
      <c r="L909" s="17">
        <v>20350.605778471399</v>
      </c>
      <c r="M909" s="17">
        <v>10175.3028892357</v>
      </c>
      <c r="N909" s="17">
        <v>10175.3028892357</v>
      </c>
      <c r="O909" s="19">
        <f t="shared" si="312"/>
        <v>2369584.3942215284</v>
      </c>
      <c r="P909" s="21">
        <f t="shared" si="313"/>
        <v>3.8869976919727494</v>
      </c>
      <c r="Q909" s="17">
        <v>2128900</v>
      </c>
      <c r="R909" s="17">
        <v>81398</v>
      </c>
      <c r="S909" s="19">
        <f t="shared" si="314"/>
        <v>2210298</v>
      </c>
      <c r="T909" s="20">
        <f t="shared" si="315"/>
        <v>0.01</v>
      </c>
      <c r="U909" s="19">
        <f t="shared" si="316"/>
        <v>22326.242424242424</v>
      </c>
      <c r="V909" s="17">
        <v>22326</v>
      </c>
      <c r="W909" s="19">
        <f t="shared" si="317"/>
        <v>0.24242424242402194</v>
      </c>
      <c r="X909" s="19">
        <f t="shared" si="318"/>
        <v>288716</v>
      </c>
      <c r="Y909" s="17">
        <v>261035</v>
      </c>
      <c r="Z909" s="17">
        <v>27681</v>
      </c>
      <c r="AA909" s="19">
        <f t="shared" si="319"/>
        <v>266390</v>
      </c>
      <c r="AB909" s="17">
        <v>2210298</v>
      </c>
      <c r="AC909" s="27">
        <v>41.795000000000002</v>
      </c>
      <c r="AD909" s="27">
        <v>40.992249999999999</v>
      </c>
      <c r="AE909" s="22">
        <f t="shared" si="320"/>
        <v>53919.899493196885</v>
      </c>
      <c r="AF909" s="23">
        <f t="shared" si="321"/>
        <v>0</v>
      </c>
      <c r="AG909" s="23">
        <f t="shared" si="322"/>
        <v>0</v>
      </c>
      <c r="AH909" s="17">
        <v>1755467.7991321101</v>
      </c>
      <c r="AI909" s="24">
        <f t="shared" si="323"/>
        <v>0.79422222665546005</v>
      </c>
      <c r="AJ909" s="25">
        <v>405869168.66359502</v>
      </c>
      <c r="AK909" s="24">
        <f t="shared" si="324"/>
        <v>2.3528016209479443E-2</v>
      </c>
      <c r="AL909" s="22">
        <f t="shared" si="325"/>
        <v>26162.455833547971</v>
      </c>
      <c r="AM909" s="22">
        <f t="shared" si="326"/>
        <v>53919.899493196885</v>
      </c>
      <c r="AN909" s="22">
        <f t="shared" si="327"/>
        <v>-27757.443659648914</v>
      </c>
      <c r="AO909" s="26" t="str">
        <f t="shared" si="328"/>
        <v>YES</v>
      </c>
      <c r="AP909" s="26" t="str">
        <f t="shared" si="329"/>
        <v>pre-launch</v>
      </c>
      <c r="AQ909" s="28">
        <v>1</v>
      </c>
      <c r="AR909" s="28">
        <v>0</v>
      </c>
    </row>
    <row r="910" spans="1:44" x14ac:dyDescent="0.25">
      <c r="A910" s="43">
        <v>45971</v>
      </c>
      <c r="B910" s="17">
        <v>8702419774.1599998</v>
      </c>
      <c r="C910" s="17">
        <v>48261325.350000001</v>
      </c>
      <c r="D910" s="17">
        <v>260437127</v>
      </c>
      <c r="E910" s="19">
        <f t="shared" si="308"/>
        <v>8750681099.5100002</v>
      </c>
      <c r="F910" s="19">
        <f t="shared" si="309"/>
        <v>9011118226.5100002</v>
      </c>
      <c r="G910" s="20">
        <f t="shared" si="310"/>
        <v>5.5151507409751709E-3</v>
      </c>
      <c r="H910" s="17">
        <v>3363231</v>
      </c>
      <c r="I910" s="17">
        <v>138356</v>
      </c>
      <c r="J910" s="17">
        <v>31664</v>
      </c>
      <c r="K910" s="19">
        <f t="shared" si="311"/>
        <v>3501587</v>
      </c>
      <c r="L910" s="17">
        <v>27315.910145920901</v>
      </c>
      <c r="M910" s="17">
        <v>13657.9550729605</v>
      </c>
      <c r="N910" s="17">
        <v>13657.9550729605</v>
      </c>
      <c r="O910" s="19">
        <f t="shared" si="312"/>
        <v>3335915.0898540793</v>
      </c>
      <c r="P910" s="21">
        <f t="shared" si="313"/>
        <v>3.833318980726919</v>
      </c>
      <c r="Q910" s="17">
        <v>3033457</v>
      </c>
      <c r="R910" s="17">
        <v>101237</v>
      </c>
      <c r="S910" s="19">
        <f t="shared" si="314"/>
        <v>3134694</v>
      </c>
      <c r="T910" s="20">
        <f t="shared" si="315"/>
        <v>0.01</v>
      </c>
      <c r="U910" s="19">
        <f t="shared" si="316"/>
        <v>31663.57575757576</v>
      </c>
      <c r="V910" s="17">
        <v>31664</v>
      </c>
      <c r="W910" s="19">
        <f t="shared" si="317"/>
        <v>-0.42424242424021941</v>
      </c>
      <c r="X910" s="19">
        <f t="shared" si="318"/>
        <v>366893</v>
      </c>
      <c r="Y910" s="17">
        <v>329774</v>
      </c>
      <c r="Z910" s="17">
        <v>37119</v>
      </c>
      <c r="AA910" s="19">
        <f t="shared" si="319"/>
        <v>335229</v>
      </c>
      <c r="AB910" s="17">
        <v>3134694</v>
      </c>
      <c r="AC910" s="27">
        <v>41.429000000000002</v>
      </c>
      <c r="AD910" s="27">
        <v>41.791499999999999</v>
      </c>
      <c r="AE910" s="22">
        <f t="shared" si="320"/>
        <v>75007.932235023865</v>
      </c>
      <c r="AF910" s="23">
        <f t="shared" si="321"/>
        <v>0</v>
      </c>
      <c r="AG910" s="23">
        <f t="shared" si="322"/>
        <v>0</v>
      </c>
      <c r="AH910" s="17">
        <v>2513004.3470009598</v>
      </c>
      <c r="AI910" s="24">
        <f t="shared" si="323"/>
        <v>0.80167453250650933</v>
      </c>
      <c r="AJ910" s="25">
        <v>406023935.41013801</v>
      </c>
      <c r="AK910" s="24">
        <f t="shared" si="324"/>
        <v>2.3523531619693581E-2</v>
      </c>
      <c r="AL910" s="22">
        <f t="shared" si="325"/>
        <v>26167.443514993993</v>
      </c>
      <c r="AM910" s="22">
        <f t="shared" si="326"/>
        <v>75007.932235023865</v>
      </c>
      <c r="AN910" s="22">
        <f t="shared" si="327"/>
        <v>-48840.488720029869</v>
      </c>
      <c r="AO910" s="26" t="str">
        <f t="shared" si="328"/>
        <v>YES</v>
      </c>
      <c r="AP910" s="26" t="str">
        <f t="shared" si="329"/>
        <v>pre-launch</v>
      </c>
      <c r="AQ910" s="28">
        <v>1</v>
      </c>
      <c r="AR910" s="28">
        <v>0</v>
      </c>
    </row>
    <row r="911" spans="1:44" x14ac:dyDescent="0.25">
      <c r="A911" s="43">
        <v>45972</v>
      </c>
      <c r="B911" s="17">
        <v>9317724897.7900009</v>
      </c>
      <c r="C911" s="17">
        <v>51953191.469999999</v>
      </c>
      <c r="D911" s="17">
        <v>295414773</v>
      </c>
      <c r="E911" s="19">
        <f t="shared" si="308"/>
        <v>9369678089.2600002</v>
      </c>
      <c r="F911" s="19">
        <f t="shared" si="309"/>
        <v>9665092862.2600002</v>
      </c>
      <c r="G911" s="20">
        <f t="shared" si="310"/>
        <v>5.544821388213046E-3</v>
      </c>
      <c r="H911" s="17">
        <v>3482396</v>
      </c>
      <c r="I911" s="17">
        <v>176605</v>
      </c>
      <c r="J911" s="17">
        <v>33264</v>
      </c>
      <c r="K911" s="19">
        <f t="shared" si="311"/>
        <v>3659001</v>
      </c>
      <c r="L911" s="17">
        <v>29405.5063714399</v>
      </c>
      <c r="M911" s="17">
        <v>14702.753185719899</v>
      </c>
      <c r="N911" s="17">
        <v>14702.753185719899</v>
      </c>
      <c r="O911" s="19">
        <f t="shared" si="312"/>
        <v>3452990.4936285601</v>
      </c>
      <c r="P911" s="21">
        <f t="shared" si="313"/>
        <v>3.7058300513331837</v>
      </c>
      <c r="Q911" s="17">
        <v>3153472</v>
      </c>
      <c r="R911" s="17">
        <v>139663</v>
      </c>
      <c r="S911" s="19">
        <f t="shared" si="314"/>
        <v>3293135</v>
      </c>
      <c r="T911" s="20">
        <f t="shared" si="315"/>
        <v>0.01</v>
      </c>
      <c r="U911" s="19">
        <f t="shared" si="316"/>
        <v>33263.989898989901</v>
      </c>
      <c r="V911" s="17">
        <v>33264</v>
      </c>
      <c r="W911" s="19">
        <f t="shared" si="317"/>
        <v>-1.010101009887876E-2</v>
      </c>
      <c r="X911" s="19">
        <f t="shared" si="318"/>
        <v>365867</v>
      </c>
      <c r="Y911" s="17">
        <v>328925</v>
      </c>
      <c r="Z911" s="17">
        <v>36942</v>
      </c>
      <c r="AA911" s="19">
        <f t="shared" si="319"/>
        <v>332603</v>
      </c>
      <c r="AB911" s="17">
        <v>3293135</v>
      </c>
      <c r="AC911" s="27">
        <v>38.68</v>
      </c>
      <c r="AD911" s="27">
        <v>40.130249999999997</v>
      </c>
      <c r="AE911" s="22">
        <f t="shared" si="320"/>
        <v>82061.163336884274</v>
      </c>
      <c r="AF911" s="23">
        <f t="shared" si="321"/>
        <v>-1</v>
      </c>
      <c r="AG911" s="23">
        <f t="shared" si="322"/>
        <v>0</v>
      </c>
      <c r="AH911" s="17">
        <v>2649681.8722020402</v>
      </c>
      <c r="AI911" s="24">
        <f t="shared" si="323"/>
        <v>0.80460772856322016</v>
      </c>
      <c r="AJ911" s="25">
        <v>406178702.15668201</v>
      </c>
      <c r="AK911" s="24">
        <f t="shared" si="324"/>
        <v>2.3519049593304659E-2</v>
      </c>
      <c r="AL911" s="22">
        <f t="shared" si="325"/>
        <v>26172.430245937332</v>
      </c>
      <c r="AM911" s="22">
        <f t="shared" si="326"/>
        <v>82061.163336884274</v>
      </c>
      <c r="AN911" s="22">
        <f t="shared" si="327"/>
        <v>-55888.733090946946</v>
      </c>
      <c r="AO911" s="26" t="str">
        <f t="shared" si="328"/>
        <v>YES</v>
      </c>
      <c r="AP911" s="26" t="str">
        <f t="shared" si="329"/>
        <v>pre-launch</v>
      </c>
      <c r="AQ911" s="28">
        <v>1</v>
      </c>
      <c r="AR911" s="28">
        <v>0</v>
      </c>
    </row>
    <row r="912" spans="1:44" x14ac:dyDescent="0.25">
      <c r="A912" s="43">
        <v>45973</v>
      </c>
      <c r="B912" s="17">
        <v>7770874721.2399998</v>
      </c>
      <c r="C912" s="17">
        <v>55363788.710000001</v>
      </c>
      <c r="D912" s="17">
        <v>245114219</v>
      </c>
      <c r="E912" s="19">
        <f t="shared" si="308"/>
        <v>7826238509.9499998</v>
      </c>
      <c r="F912" s="19">
        <f t="shared" si="309"/>
        <v>8071352728.9499998</v>
      </c>
      <c r="G912" s="20">
        <f t="shared" si="310"/>
        <v>7.0741248991597252E-3</v>
      </c>
      <c r="H912" s="17">
        <v>3038268</v>
      </c>
      <c r="I912" s="17">
        <v>140400</v>
      </c>
      <c r="J912" s="17">
        <v>28810</v>
      </c>
      <c r="K912" s="19">
        <f t="shared" si="311"/>
        <v>3178668</v>
      </c>
      <c r="L912" s="17">
        <v>31335.9044101006</v>
      </c>
      <c r="M912" s="17">
        <v>15667.9522050503</v>
      </c>
      <c r="N912" s="17">
        <v>15667.9522050503</v>
      </c>
      <c r="O912" s="19">
        <f t="shared" si="312"/>
        <v>3006932.0955898995</v>
      </c>
      <c r="P912" s="21">
        <f t="shared" si="313"/>
        <v>3.8694898624103451</v>
      </c>
      <c r="Q912" s="17">
        <v>2745553</v>
      </c>
      <c r="R912" s="17">
        <v>106685</v>
      </c>
      <c r="S912" s="19">
        <f t="shared" si="314"/>
        <v>2852238</v>
      </c>
      <c r="T912" s="20">
        <f t="shared" si="315"/>
        <v>0.01</v>
      </c>
      <c r="U912" s="19">
        <f t="shared" si="316"/>
        <v>28810.484848484848</v>
      </c>
      <c r="V912" s="17">
        <v>28810</v>
      </c>
      <c r="W912" s="19">
        <f t="shared" si="317"/>
        <v>0.48484848484804388</v>
      </c>
      <c r="X912" s="19">
        <f t="shared" si="318"/>
        <v>326431</v>
      </c>
      <c r="Y912" s="17">
        <v>292715</v>
      </c>
      <c r="Z912" s="17">
        <v>33716</v>
      </c>
      <c r="AA912" s="19">
        <f t="shared" si="319"/>
        <v>297621</v>
      </c>
      <c r="AB912" s="17">
        <v>2852238</v>
      </c>
      <c r="AC912" s="27">
        <v>38.344999999999999</v>
      </c>
      <c r="AD912" s="27">
        <v>38.828000000000003</v>
      </c>
      <c r="AE912" s="22">
        <f t="shared" si="320"/>
        <v>73458.277531678163</v>
      </c>
      <c r="AF912" s="23">
        <f t="shared" si="321"/>
        <v>-1</v>
      </c>
      <c r="AG912" s="23">
        <f t="shared" si="322"/>
        <v>0</v>
      </c>
      <c r="AH912" s="17">
        <v>2289647.5895159198</v>
      </c>
      <c r="AI912" s="24">
        <f t="shared" si="323"/>
        <v>0.80275474540200353</v>
      </c>
      <c r="AJ912" s="25">
        <v>406333468.90322602</v>
      </c>
      <c r="AK912" s="24">
        <f t="shared" si="324"/>
        <v>2.3514570127871566E-2</v>
      </c>
      <c r="AL912" s="22">
        <f t="shared" si="325"/>
        <v>26177.416026921172</v>
      </c>
      <c r="AM912" s="22">
        <f t="shared" si="326"/>
        <v>73458.277531678163</v>
      </c>
      <c r="AN912" s="22">
        <f t="shared" si="327"/>
        <v>-47280.861504756991</v>
      </c>
      <c r="AO912" s="26" t="str">
        <f t="shared" si="328"/>
        <v>YES</v>
      </c>
      <c r="AP912" s="26" t="str">
        <f t="shared" si="329"/>
        <v>pre-launch</v>
      </c>
      <c r="AQ912" s="28">
        <v>2</v>
      </c>
      <c r="AR912" s="28">
        <v>0</v>
      </c>
    </row>
    <row r="913" spans="1:44" x14ac:dyDescent="0.25">
      <c r="A913" s="43">
        <v>45974</v>
      </c>
      <c r="B913" s="17">
        <v>13089934402.709999</v>
      </c>
      <c r="C913" s="17">
        <v>77902079.790000007</v>
      </c>
      <c r="D913" s="17">
        <v>265738556</v>
      </c>
      <c r="E913" s="19">
        <f t="shared" si="308"/>
        <v>13167836482.5</v>
      </c>
      <c r="F913" s="19">
        <f t="shared" si="309"/>
        <v>13433575038.5</v>
      </c>
      <c r="G913" s="20">
        <f t="shared" si="310"/>
        <v>5.9160880296115119E-3</v>
      </c>
      <c r="H913" s="17">
        <v>4865602</v>
      </c>
      <c r="I913" s="17">
        <v>143873</v>
      </c>
      <c r="J913" s="17">
        <v>46213</v>
      </c>
      <c r="K913" s="19">
        <f t="shared" si="311"/>
        <v>5009475</v>
      </c>
      <c r="L913" s="17">
        <v>44092.577160023597</v>
      </c>
      <c r="M913" s="17">
        <v>22046.288580011798</v>
      </c>
      <c r="N913" s="17">
        <v>22046.288580011798</v>
      </c>
      <c r="O913" s="19">
        <f t="shared" si="312"/>
        <v>4821509.4228399768</v>
      </c>
      <c r="P913" s="21">
        <f t="shared" si="313"/>
        <v>3.6833717225059459</v>
      </c>
      <c r="Q913" s="17">
        <v>4467899</v>
      </c>
      <c r="R913" s="17">
        <v>107158</v>
      </c>
      <c r="S913" s="19">
        <f t="shared" si="314"/>
        <v>4575057</v>
      </c>
      <c r="T913" s="20">
        <f t="shared" si="315"/>
        <v>0.01</v>
      </c>
      <c r="U913" s="19">
        <f t="shared" si="316"/>
        <v>46212.696969696968</v>
      </c>
      <c r="V913" s="17">
        <v>46213</v>
      </c>
      <c r="W913" s="19">
        <f t="shared" si="317"/>
        <v>-0.30303030303184642</v>
      </c>
      <c r="X913" s="19">
        <f t="shared" si="318"/>
        <v>434418</v>
      </c>
      <c r="Y913" s="17">
        <v>397703</v>
      </c>
      <c r="Z913" s="17">
        <v>36715</v>
      </c>
      <c r="AA913" s="19">
        <f t="shared" si="319"/>
        <v>388205</v>
      </c>
      <c r="AB913" s="17">
        <v>4575057</v>
      </c>
      <c r="AC913" s="27">
        <v>38.530999999999999</v>
      </c>
      <c r="AD913" s="27">
        <v>38.33775</v>
      </c>
      <c r="AE913" s="22">
        <f t="shared" si="320"/>
        <v>119335.56351116067</v>
      </c>
      <c r="AF913" s="23">
        <f t="shared" si="321"/>
        <v>0</v>
      </c>
      <c r="AG913" s="23">
        <f t="shared" si="322"/>
        <v>0</v>
      </c>
      <c r="AH913" s="17">
        <v>3667582.58259797</v>
      </c>
      <c r="AI913" s="24">
        <f t="shared" si="323"/>
        <v>0.80164740736519136</v>
      </c>
      <c r="AJ913" s="25">
        <v>406488235.64977002</v>
      </c>
      <c r="AK913" s="24">
        <f t="shared" si="324"/>
        <v>2.3510093220956416E-2</v>
      </c>
      <c r="AL913" s="22">
        <f t="shared" si="325"/>
        <v>26182.400858488199</v>
      </c>
      <c r="AM913" s="22">
        <f t="shared" si="326"/>
        <v>119335.56351116067</v>
      </c>
      <c r="AN913" s="22">
        <f t="shared" si="327"/>
        <v>-93153.162652672472</v>
      </c>
      <c r="AO913" s="26" t="str">
        <f t="shared" si="328"/>
        <v>YES</v>
      </c>
      <c r="AP913" s="26" t="str">
        <f t="shared" si="329"/>
        <v>pre-launch</v>
      </c>
      <c r="AQ913" s="28">
        <v>5</v>
      </c>
      <c r="AR913" s="28">
        <v>0</v>
      </c>
    </row>
    <row r="914" spans="1:44" x14ac:dyDescent="0.25">
      <c r="A914" s="43">
        <v>45975</v>
      </c>
      <c r="B914" s="17">
        <v>13579082186.9</v>
      </c>
      <c r="C914" s="17">
        <v>82960169.180000007</v>
      </c>
      <c r="D914" s="17">
        <v>351021796</v>
      </c>
      <c r="E914" s="19">
        <f t="shared" si="308"/>
        <v>13662042356.08</v>
      </c>
      <c r="F914" s="19">
        <f t="shared" si="309"/>
        <v>14013064152.08</v>
      </c>
      <c r="G914" s="20">
        <f t="shared" si="310"/>
        <v>6.0723109340295933E-3</v>
      </c>
      <c r="H914" s="17">
        <v>5009466</v>
      </c>
      <c r="I914" s="17">
        <v>195412</v>
      </c>
      <c r="J914" s="17">
        <v>48025</v>
      </c>
      <c r="K914" s="19">
        <f t="shared" si="311"/>
        <v>5204878</v>
      </c>
      <c r="L914" s="17">
        <v>46955.455757354401</v>
      </c>
      <c r="M914" s="17">
        <v>23477.7278786772</v>
      </c>
      <c r="N914" s="17">
        <v>23477.7278786772</v>
      </c>
      <c r="O914" s="19">
        <f t="shared" si="312"/>
        <v>4962510.5442426456</v>
      </c>
      <c r="P914" s="21">
        <f t="shared" si="313"/>
        <v>3.6545257447738808</v>
      </c>
      <c r="Q914" s="17">
        <v>4604297</v>
      </c>
      <c r="R914" s="17">
        <v>150195</v>
      </c>
      <c r="S914" s="19">
        <f t="shared" si="314"/>
        <v>4754492</v>
      </c>
      <c r="T914" s="20">
        <f t="shared" si="315"/>
        <v>0.01</v>
      </c>
      <c r="U914" s="19">
        <f t="shared" si="316"/>
        <v>48025.171717171717</v>
      </c>
      <c r="V914" s="17">
        <v>48025</v>
      </c>
      <c r="W914" s="19">
        <f t="shared" si="317"/>
        <v>0.17171717171731871</v>
      </c>
      <c r="X914" s="19">
        <f t="shared" si="318"/>
        <v>450385</v>
      </c>
      <c r="Y914" s="17">
        <v>405169</v>
      </c>
      <c r="Z914" s="17">
        <v>45216</v>
      </c>
      <c r="AA914" s="19">
        <f t="shared" si="319"/>
        <v>402360</v>
      </c>
      <c r="AB914" s="17">
        <v>4754492</v>
      </c>
      <c r="AC914" s="27">
        <v>37.478999999999999</v>
      </c>
      <c r="AD914" s="27">
        <v>37.653750000000002</v>
      </c>
      <c r="AE914" s="22">
        <f t="shared" si="320"/>
        <v>126268.75145237858</v>
      </c>
      <c r="AF914" s="23">
        <f t="shared" si="321"/>
        <v>1</v>
      </c>
      <c r="AG914" s="23">
        <f t="shared" si="322"/>
        <v>0</v>
      </c>
      <c r="AH914" s="17">
        <v>3868853.9981560698</v>
      </c>
      <c r="AI914" s="24">
        <f t="shared" si="323"/>
        <v>0.81372605068134929</v>
      </c>
      <c r="AJ914" s="25">
        <v>406643002.39631301</v>
      </c>
      <c r="AK914" s="24">
        <f t="shared" si="324"/>
        <v>2.3505618870124607E-2</v>
      </c>
      <c r="AL914" s="22">
        <f t="shared" si="325"/>
        <v>26187.384741180547</v>
      </c>
      <c r="AM914" s="22">
        <f t="shared" si="326"/>
        <v>126268.75145237858</v>
      </c>
      <c r="AN914" s="22">
        <f t="shared" si="327"/>
        <v>-100081.36671119803</v>
      </c>
      <c r="AO914" s="26" t="str">
        <f t="shared" si="328"/>
        <v>YES</v>
      </c>
      <c r="AP914" s="26" t="str">
        <f t="shared" si="329"/>
        <v>pre-launch</v>
      </c>
      <c r="AQ914" s="28">
        <v>6</v>
      </c>
      <c r="AR914" s="28">
        <v>0</v>
      </c>
    </row>
    <row r="915" spans="1:44" x14ac:dyDescent="0.25">
      <c r="A915" s="43">
        <v>45976</v>
      </c>
      <c r="B915" s="17">
        <v>4555083184.6099997</v>
      </c>
      <c r="C915" s="17">
        <v>28924657.760000002</v>
      </c>
      <c r="D915" s="17">
        <v>162637502</v>
      </c>
      <c r="E915" s="19">
        <f t="shared" si="308"/>
        <v>4584007842.3699999</v>
      </c>
      <c r="F915" s="19">
        <f t="shared" si="309"/>
        <v>4746645344.3699999</v>
      </c>
      <c r="G915" s="20">
        <f t="shared" si="310"/>
        <v>6.3099058192373257E-3</v>
      </c>
      <c r="H915" s="17">
        <v>1829728</v>
      </c>
      <c r="I915" s="17">
        <v>101061</v>
      </c>
      <c r="J915" s="17">
        <v>17316</v>
      </c>
      <c r="K915" s="19">
        <f t="shared" si="311"/>
        <v>1930789</v>
      </c>
      <c r="L915" s="17">
        <v>16371.356292992001</v>
      </c>
      <c r="M915" s="17">
        <v>8185.6781464960104</v>
      </c>
      <c r="N915" s="17">
        <v>8185.6781464960104</v>
      </c>
      <c r="O915" s="19">
        <f t="shared" si="312"/>
        <v>1813356.6437070081</v>
      </c>
      <c r="P915" s="21">
        <f t="shared" si="313"/>
        <v>3.980951763589506</v>
      </c>
      <c r="Q915" s="17">
        <v>1637787</v>
      </c>
      <c r="R915" s="17">
        <v>76492</v>
      </c>
      <c r="S915" s="19">
        <f t="shared" si="314"/>
        <v>1714279</v>
      </c>
      <c r="T915" s="20">
        <f t="shared" si="315"/>
        <v>0.01</v>
      </c>
      <c r="U915" s="19">
        <f t="shared" si="316"/>
        <v>17315.949494949495</v>
      </c>
      <c r="V915" s="17">
        <v>17316</v>
      </c>
      <c r="W915" s="19">
        <f t="shared" si="317"/>
        <v>-5.0505050505307736E-2</v>
      </c>
      <c r="X915" s="19">
        <f t="shared" si="318"/>
        <v>216510</v>
      </c>
      <c r="Y915" s="17">
        <v>191941</v>
      </c>
      <c r="Z915" s="17">
        <v>24569</v>
      </c>
      <c r="AA915" s="19">
        <f t="shared" si="319"/>
        <v>199194</v>
      </c>
      <c r="AB915" s="17">
        <v>1714279</v>
      </c>
      <c r="AC915" s="27">
        <v>38.573999999999998</v>
      </c>
      <c r="AD915" s="27">
        <v>38.224499999999999</v>
      </c>
      <c r="AE915" s="22">
        <f t="shared" si="320"/>
        <v>44847.650067365175</v>
      </c>
      <c r="AF915" s="23">
        <f t="shared" si="321"/>
        <v>0</v>
      </c>
      <c r="AG915" s="23">
        <f t="shared" si="322"/>
        <v>0</v>
      </c>
      <c r="AH915" s="17">
        <v>1397243.6073030201</v>
      </c>
      <c r="AI915" s="24">
        <f t="shared" si="323"/>
        <v>0.81506196325278446</v>
      </c>
      <c r="AJ915" s="25">
        <v>406797769.14285702</v>
      </c>
      <c r="AK915" s="24">
        <f t="shared" si="324"/>
        <v>2.3501147072944688E-2</v>
      </c>
      <c r="AL915" s="22">
        <f t="shared" si="325"/>
        <v>26192.367675539954</v>
      </c>
      <c r="AM915" s="22">
        <f t="shared" si="326"/>
        <v>44847.650067365175</v>
      </c>
      <c r="AN915" s="22">
        <f t="shared" si="327"/>
        <v>-18655.282391825222</v>
      </c>
      <c r="AO915" s="26" t="str">
        <f t="shared" si="328"/>
        <v>YES</v>
      </c>
      <c r="AP915" s="26" t="str">
        <f t="shared" si="329"/>
        <v>pre-launch</v>
      </c>
      <c r="AQ915" s="28">
        <v>6</v>
      </c>
      <c r="AR915" s="28">
        <v>0</v>
      </c>
    </row>
    <row r="916" spans="1:44" x14ac:dyDescent="0.25">
      <c r="A916" s="43">
        <v>45977</v>
      </c>
      <c r="B916" s="17">
        <v>7008918884.7299995</v>
      </c>
      <c r="C916" s="17">
        <v>39039629.670000002</v>
      </c>
      <c r="D916" s="17">
        <v>221753668</v>
      </c>
      <c r="E916" s="19">
        <f t="shared" si="308"/>
        <v>7047958514.3999996</v>
      </c>
      <c r="F916" s="19">
        <f t="shared" si="309"/>
        <v>7269712182.3999996</v>
      </c>
      <c r="G916" s="20">
        <f t="shared" si="310"/>
        <v>5.5391401056400068E-3</v>
      </c>
      <c r="H916" s="17">
        <v>2785863</v>
      </c>
      <c r="I916" s="17">
        <v>127467</v>
      </c>
      <c r="J916" s="17">
        <v>26300</v>
      </c>
      <c r="K916" s="19">
        <f t="shared" si="311"/>
        <v>2913330</v>
      </c>
      <c r="L916" s="17">
        <v>22096.430391519199</v>
      </c>
      <c r="M916" s="17">
        <v>11048.2151957596</v>
      </c>
      <c r="N916" s="17">
        <v>11048.2151957596</v>
      </c>
      <c r="O916" s="19">
        <f t="shared" si="312"/>
        <v>2763766.5696084807</v>
      </c>
      <c r="P916" s="21">
        <f t="shared" si="313"/>
        <v>3.9432138038146918</v>
      </c>
      <c r="Q916" s="17">
        <v>2505272</v>
      </c>
      <c r="R916" s="17">
        <v>98423</v>
      </c>
      <c r="S916" s="19">
        <f t="shared" si="314"/>
        <v>2603695</v>
      </c>
      <c r="T916" s="20">
        <f t="shared" si="315"/>
        <v>0.01</v>
      </c>
      <c r="U916" s="19">
        <f t="shared" si="316"/>
        <v>26299.949494949495</v>
      </c>
      <c r="V916" s="17">
        <v>26300</v>
      </c>
      <c r="W916" s="19">
        <f t="shared" si="317"/>
        <v>-5.0505050505307736E-2</v>
      </c>
      <c r="X916" s="19">
        <f t="shared" si="318"/>
        <v>309635</v>
      </c>
      <c r="Y916" s="17">
        <v>280591</v>
      </c>
      <c r="Z916" s="17">
        <v>29044</v>
      </c>
      <c r="AA916" s="19">
        <f t="shared" si="319"/>
        <v>283335</v>
      </c>
      <c r="AB916" s="17">
        <v>2603695</v>
      </c>
      <c r="AC916" s="27">
        <v>38.691000000000003</v>
      </c>
      <c r="AD916" s="27">
        <v>38.815750000000001</v>
      </c>
      <c r="AE916" s="22">
        <f t="shared" si="320"/>
        <v>67078.312283029445</v>
      </c>
      <c r="AF916" s="23">
        <f t="shared" si="321"/>
        <v>0</v>
      </c>
      <c r="AG916" s="23">
        <f t="shared" si="322"/>
        <v>0</v>
      </c>
      <c r="AH916" s="17">
        <v>2041070.51907802</v>
      </c>
      <c r="AI916" s="24">
        <f t="shared" si="323"/>
        <v>0.78391306165968744</v>
      </c>
      <c r="AJ916" s="25">
        <v>406952535.88940102</v>
      </c>
      <c r="AK916" s="24">
        <f t="shared" si="324"/>
        <v>2.3496677826988523E-2</v>
      </c>
      <c r="AL916" s="22">
        <f t="shared" si="325"/>
        <v>26197.349662107506</v>
      </c>
      <c r="AM916" s="22">
        <f t="shared" si="326"/>
        <v>67078.312283029445</v>
      </c>
      <c r="AN916" s="22">
        <f t="shared" si="327"/>
        <v>-40880.962620921942</v>
      </c>
      <c r="AO916" s="26" t="str">
        <f t="shared" si="328"/>
        <v>YES</v>
      </c>
      <c r="AP916" s="26" t="str">
        <f t="shared" si="329"/>
        <v>pre-launch</v>
      </c>
      <c r="AQ916" s="28">
        <v>6</v>
      </c>
      <c r="AR916" s="28">
        <v>0</v>
      </c>
    </row>
    <row r="917" spans="1:44" x14ac:dyDescent="0.25">
      <c r="A917" s="43">
        <v>45978</v>
      </c>
      <c r="B917" s="17">
        <v>9642776954.0599995</v>
      </c>
      <c r="C917" s="17">
        <v>125007419.56999999</v>
      </c>
      <c r="D917" s="17">
        <v>291667475</v>
      </c>
      <c r="E917" s="19">
        <f t="shared" si="308"/>
        <v>9767784373.6299992</v>
      </c>
      <c r="F917" s="19">
        <f t="shared" si="309"/>
        <v>10059451848.629999</v>
      </c>
      <c r="G917" s="20">
        <f t="shared" si="310"/>
        <v>1.279792988750667E-2</v>
      </c>
      <c r="H917" s="17">
        <v>3791203</v>
      </c>
      <c r="I917" s="17">
        <v>153294</v>
      </c>
      <c r="J917" s="17">
        <v>35818</v>
      </c>
      <c r="K917" s="19">
        <f t="shared" si="311"/>
        <v>3944497</v>
      </c>
      <c r="L917" s="17">
        <v>70754.199476353999</v>
      </c>
      <c r="M917" s="17">
        <v>35377.099738176999</v>
      </c>
      <c r="N917" s="17">
        <v>35377.099738176999</v>
      </c>
      <c r="O917" s="19">
        <f t="shared" si="312"/>
        <v>3720448.8005236462</v>
      </c>
      <c r="P917" s="21">
        <f t="shared" si="313"/>
        <v>3.858275285479031</v>
      </c>
      <c r="Q917" s="17">
        <v>3431427</v>
      </c>
      <c r="R917" s="17">
        <v>114541</v>
      </c>
      <c r="S917" s="19">
        <f t="shared" si="314"/>
        <v>3545968</v>
      </c>
      <c r="T917" s="20">
        <f t="shared" si="315"/>
        <v>0.01</v>
      </c>
      <c r="U917" s="19">
        <f t="shared" si="316"/>
        <v>35817.858585858587</v>
      </c>
      <c r="V917" s="17">
        <v>35818</v>
      </c>
      <c r="W917" s="19">
        <f t="shared" si="317"/>
        <v>-0.14141414141340647</v>
      </c>
      <c r="X917" s="19">
        <f t="shared" si="318"/>
        <v>398528</v>
      </c>
      <c r="Y917" s="17">
        <v>359775</v>
      </c>
      <c r="Z917" s="17">
        <v>38753</v>
      </c>
      <c r="AA917" s="19">
        <f t="shared" si="319"/>
        <v>362710</v>
      </c>
      <c r="AB917" s="17">
        <v>3545968</v>
      </c>
      <c r="AC917" s="27">
        <v>39.273000000000003</v>
      </c>
      <c r="AD917" s="27">
        <v>38.584000000000003</v>
      </c>
      <c r="AE917" s="22">
        <f t="shared" si="320"/>
        <v>91902.55027990877</v>
      </c>
      <c r="AF917" s="23">
        <f t="shared" si="321"/>
        <v>1</v>
      </c>
      <c r="AG917" s="23">
        <f t="shared" si="322"/>
        <v>0</v>
      </c>
      <c r="AH917" s="17">
        <v>2871726.8666799101</v>
      </c>
      <c r="AI917" s="24">
        <f t="shared" si="323"/>
        <v>0.80985696054784195</v>
      </c>
      <c r="AJ917" s="25">
        <v>407107302.63594502</v>
      </c>
      <c r="AK917" s="24">
        <f t="shared" si="324"/>
        <v>2.3492211129831193E-2</v>
      </c>
      <c r="AL917" s="22">
        <f t="shared" si="325"/>
        <v>26202.330701423845</v>
      </c>
      <c r="AM917" s="22">
        <f t="shared" si="326"/>
        <v>91902.55027990877</v>
      </c>
      <c r="AN917" s="22">
        <f t="shared" si="327"/>
        <v>-65700.219578484917</v>
      </c>
      <c r="AO917" s="26" t="str">
        <f t="shared" si="328"/>
        <v>YES</v>
      </c>
      <c r="AP917" s="26" t="str">
        <f t="shared" si="329"/>
        <v>pre-launch</v>
      </c>
      <c r="AQ917" s="28">
        <v>6</v>
      </c>
      <c r="AR917" s="28">
        <v>0</v>
      </c>
    </row>
    <row r="918" spans="1:44" x14ac:dyDescent="0.25">
      <c r="A918" s="43">
        <v>45979</v>
      </c>
      <c r="B918" s="17">
        <v>9711301899.1399994</v>
      </c>
      <c r="C918" s="17">
        <v>143533995.46000001</v>
      </c>
      <c r="D918" s="17">
        <v>249683320</v>
      </c>
      <c r="E918" s="19">
        <f t="shared" si="308"/>
        <v>9854835894.5999985</v>
      </c>
      <c r="F918" s="19">
        <f t="shared" si="309"/>
        <v>10104519214.599998</v>
      </c>
      <c r="G918" s="20">
        <f t="shared" si="310"/>
        <v>1.4564828577069467E-2</v>
      </c>
      <c r="H918" s="17">
        <v>3236578</v>
      </c>
      <c r="I918" s="17">
        <v>134082</v>
      </c>
      <c r="J918" s="17">
        <v>30906</v>
      </c>
      <c r="K918" s="19">
        <f t="shared" si="311"/>
        <v>3370660</v>
      </c>
      <c r="L918" s="17">
        <v>81240.241428132795</v>
      </c>
      <c r="M918" s="17">
        <v>40620.120714066397</v>
      </c>
      <c r="N918" s="17">
        <v>40620.120714066397</v>
      </c>
      <c r="O918" s="19">
        <f t="shared" si="312"/>
        <v>3155337.7585718674</v>
      </c>
      <c r="P918" s="21">
        <f t="shared" si="313"/>
        <v>3.2491398077649025</v>
      </c>
      <c r="Q918" s="17">
        <v>2957683</v>
      </c>
      <c r="R918" s="17">
        <v>102009</v>
      </c>
      <c r="S918" s="19">
        <f t="shared" si="314"/>
        <v>3059692</v>
      </c>
      <c r="T918" s="20">
        <f t="shared" si="315"/>
        <v>0.01</v>
      </c>
      <c r="U918" s="19">
        <f t="shared" si="316"/>
        <v>30905.979797979799</v>
      </c>
      <c r="V918" s="17">
        <v>30906</v>
      </c>
      <c r="W918" s="19">
        <f t="shared" si="317"/>
        <v>-2.0202020201395499E-2</v>
      </c>
      <c r="X918" s="19">
        <f t="shared" si="318"/>
        <v>310968</v>
      </c>
      <c r="Y918" s="17">
        <v>278895</v>
      </c>
      <c r="Z918" s="17">
        <v>32073</v>
      </c>
      <c r="AA918" s="19">
        <f t="shared" si="319"/>
        <v>280062</v>
      </c>
      <c r="AB918" s="17">
        <v>3059692</v>
      </c>
      <c r="AC918" s="27">
        <v>38.667999999999999</v>
      </c>
      <c r="AD918" s="27">
        <v>39.442500000000003</v>
      </c>
      <c r="AE918" s="22">
        <f t="shared" si="320"/>
        <v>77573.480382835769</v>
      </c>
      <c r="AF918" s="23">
        <f t="shared" si="321"/>
        <v>0</v>
      </c>
      <c r="AG918" s="23">
        <f t="shared" si="322"/>
        <v>0</v>
      </c>
      <c r="AH918" s="17">
        <v>2920943.8087700601</v>
      </c>
      <c r="AI918" s="24">
        <f t="shared" si="323"/>
        <v>0.95465288949674021</v>
      </c>
      <c r="AJ918" s="25">
        <v>407262069.38248903</v>
      </c>
      <c r="AK918" s="24">
        <f t="shared" si="324"/>
        <v>2.348774697905099E-2</v>
      </c>
      <c r="AL918" s="22">
        <f t="shared" si="325"/>
        <v>26207.310794029072</v>
      </c>
      <c r="AM918" s="22">
        <f t="shared" si="326"/>
        <v>77573.480382835769</v>
      </c>
      <c r="AN918" s="22">
        <f t="shared" si="327"/>
        <v>-51366.169588806697</v>
      </c>
      <c r="AO918" s="26" t="str">
        <f t="shared" si="328"/>
        <v>YES</v>
      </c>
      <c r="AP918" s="26" t="str">
        <f t="shared" si="329"/>
        <v>pre-launch</v>
      </c>
      <c r="AQ918" s="28">
        <v>8</v>
      </c>
      <c r="AR918" s="28">
        <v>0</v>
      </c>
    </row>
    <row r="919" spans="1:44" x14ac:dyDescent="0.25">
      <c r="A919" s="43">
        <v>45980</v>
      </c>
      <c r="B919" s="17">
        <v>9626403512.3299999</v>
      </c>
      <c r="C919" s="17">
        <v>231645047.74000001</v>
      </c>
      <c r="D919" s="17">
        <v>289563221</v>
      </c>
      <c r="E919" s="19">
        <f t="shared" si="308"/>
        <v>9858048560.0699997</v>
      </c>
      <c r="F919" s="19">
        <f t="shared" si="309"/>
        <v>10147611781.07</v>
      </c>
      <c r="G919" s="20">
        <f t="shared" si="310"/>
        <v>2.3498063164172033E-2</v>
      </c>
      <c r="H919" s="17">
        <v>3998044</v>
      </c>
      <c r="I919" s="17">
        <v>152868</v>
      </c>
      <c r="J919" s="17">
        <v>37439</v>
      </c>
      <c r="K919" s="19">
        <f t="shared" si="311"/>
        <v>4150912</v>
      </c>
      <c r="L919" s="17">
        <v>131111.09701977001</v>
      </c>
      <c r="M919" s="17">
        <v>65555.548509885106</v>
      </c>
      <c r="N919" s="17">
        <v>65555.548509885106</v>
      </c>
      <c r="O919" s="19">
        <f t="shared" si="312"/>
        <v>3866932.9029802298</v>
      </c>
      <c r="P919" s="21">
        <f t="shared" si="313"/>
        <v>4.017006868689081</v>
      </c>
      <c r="Q919" s="17">
        <v>3599327</v>
      </c>
      <c r="R919" s="17">
        <v>107102</v>
      </c>
      <c r="S919" s="19">
        <f t="shared" si="314"/>
        <v>3706429</v>
      </c>
      <c r="T919" s="20">
        <f t="shared" si="315"/>
        <v>0.01</v>
      </c>
      <c r="U919" s="19">
        <f t="shared" si="316"/>
        <v>37438.67676767677</v>
      </c>
      <c r="V919" s="17">
        <v>37439</v>
      </c>
      <c r="W919" s="19">
        <f t="shared" si="317"/>
        <v>-0.32323232322960394</v>
      </c>
      <c r="X919" s="19">
        <f t="shared" si="318"/>
        <v>444483</v>
      </c>
      <c r="Y919" s="17">
        <v>398717</v>
      </c>
      <c r="Z919" s="17">
        <v>45766</v>
      </c>
      <c r="AA919" s="19">
        <f t="shared" si="319"/>
        <v>407044</v>
      </c>
      <c r="AB919" s="17">
        <v>3706429</v>
      </c>
      <c r="AC919" s="27">
        <v>38.872999999999998</v>
      </c>
      <c r="AD919" s="27">
        <v>38.447499999999998</v>
      </c>
      <c r="AE919" s="22">
        <f t="shared" si="320"/>
        <v>96402.340854411872</v>
      </c>
      <c r="AF919" s="23">
        <f t="shared" si="321"/>
        <v>0</v>
      </c>
      <c r="AG919" s="23">
        <f t="shared" si="322"/>
        <v>0</v>
      </c>
      <c r="AH919" s="17">
        <v>2939911.7518979302</v>
      </c>
      <c r="AI919" s="24">
        <f t="shared" si="323"/>
        <v>0.79319251816180214</v>
      </c>
      <c r="AJ919" s="25">
        <v>407416836.12903202</v>
      </c>
      <c r="AK919" s="24">
        <f t="shared" si="324"/>
        <v>2.3483285372229469E-2</v>
      </c>
      <c r="AL919" s="22">
        <f t="shared" si="325"/>
        <v>26212.289940462761</v>
      </c>
      <c r="AM919" s="22">
        <f t="shared" si="326"/>
        <v>96402.340854411872</v>
      </c>
      <c r="AN919" s="22">
        <f t="shared" si="327"/>
        <v>-70190.050913949119</v>
      </c>
      <c r="AO919" s="26" t="str">
        <f t="shared" si="328"/>
        <v>YES</v>
      </c>
      <c r="AP919" s="26" t="str">
        <f t="shared" si="329"/>
        <v>pre-launch</v>
      </c>
      <c r="AQ919" s="28">
        <v>9</v>
      </c>
      <c r="AR919" s="28">
        <v>0</v>
      </c>
    </row>
    <row r="920" spans="1:44" x14ac:dyDescent="0.25">
      <c r="A920" s="43">
        <v>45981</v>
      </c>
      <c r="B920" s="17">
        <v>10603223773.450001</v>
      </c>
      <c r="C920" s="17">
        <v>314004813.02999997</v>
      </c>
      <c r="D920" s="17">
        <v>314646044</v>
      </c>
      <c r="E920" s="19">
        <f t="shared" si="308"/>
        <v>10917228586.480001</v>
      </c>
      <c r="F920" s="19">
        <f t="shared" si="309"/>
        <v>11231874630.480001</v>
      </c>
      <c r="G920" s="20">
        <f t="shared" si="310"/>
        <v>2.8762319167601427E-2</v>
      </c>
      <c r="H920" s="17">
        <v>4476437</v>
      </c>
      <c r="I920" s="17">
        <v>191643</v>
      </c>
      <c r="J920" s="17">
        <v>42391</v>
      </c>
      <c r="K920" s="19">
        <f t="shared" si="311"/>
        <v>4668080</v>
      </c>
      <c r="L920" s="17">
        <v>177726.72417418199</v>
      </c>
      <c r="M920" s="17">
        <v>88863.362087090994</v>
      </c>
      <c r="N920" s="17">
        <v>88863.362087090994</v>
      </c>
      <c r="O920" s="19">
        <f t="shared" si="312"/>
        <v>4298710.2758258181</v>
      </c>
      <c r="P920" s="21">
        <f t="shared" si="313"/>
        <v>4.0541540645304464</v>
      </c>
      <c r="Q920" s="17">
        <v>4058440</v>
      </c>
      <c r="R920" s="17">
        <v>138245</v>
      </c>
      <c r="S920" s="19">
        <f t="shared" si="314"/>
        <v>4196685</v>
      </c>
      <c r="T920" s="20">
        <f t="shared" si="315"/>
        <v>0.01</v>
      </c>
      <c r="U920" s="19">
        <f t="shared" si="316"/>
        <v>42390.757575757576</v>
      </c>
      <c r="V920" s="17">
        <v>42391</v>
      </c>
      <c r="W920" s="19">
        <f t="shared" si="317"/>
        <v>-0.24242424242402194</v>
      </c>
      <c r="X920" s="19">
        <f t="shared" si="318"/>
        <v>471394</v>
      </c>
      <c r="Y920" s="17">
        <v>417996</v>
      </c>
      <c r="Z920" s="17">
        <v>53398</v>
      </c>
      <c r="AA920" s="19">
        <f t="shared" si="319"/>
        <v>429003</v>
      </c>
      <c r="AB920" s="17">
        <v>4196685</v>
      </c>
      <c r="AC920" s="27">
        <v>37.533000000000001</v>
      </c>
      <c r="AD920" s="27">
        <v>38.379750000000001</v>
      </c>
      <c r="AE920" s="22">
        <f t="shared" si="320"/>
        <v>109346.33498133782</v>
      </c>
      <c r="AF920" s="23">
        <f t="shared" si="321"/>
        <v>1</v>
      </c>
      <c r="AG920" s="23">
        <f t="shared" si="322"/>
        <v>0</v>
      </c>
      <c r="AH920" s="17">
        <v>3342395.1069760299</v>
      </c>
      <c r="AI920" s="24">
        <f t="shared" si="323"/>
        <v>0.79643697513061618</v>
      </c>
      <c r="AJ920" s="25">
        <v>407571602.87557602</v>
      </c>
      <c r="AK920" s="24">
        <f t="shared" si="324"/>
        <v>2.3478826306951299E-2</v>
      </c>
      <c r="AL920" s="22">
        <f t="shared" si="325"/>
        <v>26217.26814126406</v>
      </c>
      <c r="AM920" s="22">
        <f t="shared" si="326"/>
        <v>109346.33498133782</v>
      </c>
      <c r="AN920" s="22">
        <f t="shared" si="327"/>
        <v>-83129.066840073763</v>
      </c>
      <c r="AO920" s="26" t="str">
        <f t="shared" si="328"/>
        <v>YES</v>
      </c>
      <c r="AP920" s="26" t="str">
        <f t="shared" si="329"/>
        <v>pre-launch</v>
      </c>
      <c r="AQ920" s="28">
        <v>11</v>
      </c>
      <c r="AR920" s="28">
        <v>0</v>
      </c>
    </row>
    <row r="921" spans="1:44" x14ac:dyDescent="0.25">
      <c r="A921" s="43">
        <v>45982</v>
      </c>
      <c r="B921" s="17">
        <v>15700535188.889999</v>
      </c>
      <c r="C921" s="17">
        <v>321009467.68000001</v>
      </c>
      <c r="D921" s="17">
        <v>433843212</v>
      </c>
      <c r="E921" s="19">
        <f t="shared" si="308"/>
        <v>16021544656.57</v>
      </c>
      <c r="F921" s="19">
        <f t="shared" si="309"/>
        <v>16455387868.57</v>
      </c>
      <c r="G921" s="20">
        <f t="shared" si="310"/>
        <v>2.0036112282617067E-2</v>
      </c>
      <c r="H921" s="17">
        <v>5695236</v>
      </c>
      <c r="I921" s="17">
        <v>220169</v>
      </c>
      <c r="J921" s="17">
        <v>54717</v>
      </c>
      <c r="K921" s="19">
        <f t="shared" si="311"/>
        <v>5915405</v>
      </c>
      <c r="L921" s="17">
        <v>181691.35870627299</v>
      </c>
      <c r="M921" s="17">
        <v>90845.679353136497</v>
      </c>
      <c r="N921" s="17">
        <v>90845.679353136497</v>
      </c>
      <c r="O921" s="19">
        <f t="shared" si="312"/>
        <v>5513544.6412937269</v>
      </c>
      <c r="P921" s="21">
        <f t="shared" si="313"/>
        <v>3.511692165242378</v>
      </c>
      <c r="Q921" s="17">
        <v>5246835</v>
      </c>
      <c r="R921" s="17">
        <v>170154</v>
      </c>
      <c r="S921" s="19">
        <f t="shared" si="314"/>
        <v>5416989</v>
      </c>
      <c r="T921" s="20">
        <f t="shared" si="315"/>
        <v>0.01</v>
      </c>
      <c r="U921" s="19">
        <f t="shared" si="316"/>
        <v>54717.060606060608</v>
      </c>
      <c r="V921" s="17">
        <v>54717</v>
      </c>
      <c r="W921" s="19">
        <f t="shared" si="317"/>
        <v>6.0606060607824475E-2</v>
      </c>
      <c r="X921" s="19">
        <f t="shared" si="318"/>
        <v>498415</v>
      </c>
      <c r="Y921" s="17">
        <v>448400</v>
      </c>
      <c r="Z921" s="17">
        <v>50015</v>
      </c>
      <c r="AA921" s="19">
        <f t="shared" si="319"/>
        <v>443698</v>
      </c>
      <c r="AB921" s="17">
        <v>5416989</v>
      </c>
      <c r="AC921" s="27">
        <v>33.841999999999999</v>
      </c>
      <c r="AD921" s="27">
        <v>35.381250000000001</v>
      </c>
      <c r="AE921" s="22">
        <f t="shared" si="320"/>
        <v>153103.38102808691</v>
      </c>
      <c r="AF921" s="23">
        <f t="shared" si="321"/>
        <v>1</v>
      </c>
      <c r="AG921" s="23">
        <f t="shared" si="322"/>
        <v>0</v>
      </c>
      <c r="AH921" s="17">
        <v>4714480.9471579799</v>
      </c>
      <c r="AI921" s="24">
        <f t="shared" si="323"/>
        <v>0.87031392294833532</v>
      </c>
      <c r="AJ921" s="25">
        <v>407726369.62212002</v>
      </c>
      <c r="AK921" s="24">
        <f t="shared" si="324"/>
        <v>2.3474369780804454E-2</v>
      </c>
      <c r="AL921" s="22">
        <f t="shared" si="325"/>
        <v>26222.24539697151</v>
      </c>
      <c r="AM921" s="22">
        <f t="shared" si="326"/>
        <v>153103.38102808691</v>
      </c>
      <c r="AN921" s="22">
        <f t="shared" si="327"/>
        <v>-126881.13563111539</v>
      </c>
      <c r="AO921" s="26" t="str">
        <f t="shared" si="328"/>
        <v>YES</v>
      </c>
      <c r="AP921" s="26" t="str">
        <f t="shared" si="329"/>
        <v>pre-launch</v>
      </c>
      <c r="AQ921" s="28">
        <v>12</v>
      </c>
      <c r="AR921" s="28">
        <v>0</v>
      </c>
    </row>
    <row r="922" spans="1:44" x14ac:dyDescent="0.25">
      <c r="A922" s="43">
        <v>45983</v>
      </c>
      <c r="B922" s="17">
        <v>4596310537.9499998</v>
      </c>
      <c r="C922" s="17">
        <v>56479977.829999998</v>
      </c>
      <c r="D922" s="17">
        <v>235858539</v>
      </c>
      <c r="E922" s="19">
        <f t="shared" si="308"/>
        <v>4652790515.7799997</v>
      </c>
      <c r="F922" s="19">
        <f t="shared" si="309"/>
        <v>4888649054.7799997</v>
      </c>
      <c r="G922" s="20">
        <f t="shared" si="310"/>
        <v>1.2138947076694603E-2</v>
      </c>
      <c r="H922" s="17">
        <v>1837408</v>
      </c>
      <c r="I922" s="17">
        <v>118691</v>
      </c>
      <c r="J922" s="17">
        <v>17732</v>
      </c>
      <c r="K922" s="19">
        <f t="shared" si="311"/>
        <v>1956099</v>
      </c>
      <c r="L922" s="17">
        <v>31967.6674531059</v>
      </c>
      <c r="M922" s="17">
        <v>15983.833726552901</v>
      </c>
      <c r="N922" s="17">
        <v>15983.833726552901</v>
      </c>
      <c r="O922" s="19">
        <f t="shared" si="312"/>
        <v>1805440.3325468942</v>
      </c>
      <c r="P922" s="21">
        <f t="shared" si="313"/>
        <v>3.9280207845837558</v>
      </c>
      <c r="Q922" s="17">
        <v>1656238</v>
      </c>
      <c r="R922" s="17">
        <v>99253</v>
      </c>
      <c r="S922" s="19">
        <f t="shared" si="314"/>
        <v>1755491</v>
      </c>
      <c r="T922" s="20">
        <f t="shared" si="315"/>
        <v>0.01</v>
      </c>
      <c r="U922" s="19">
        <f t="shared" si="316"/>
        <v>17732.232323232322</v>
      </c>
      <c r="V922" s="17">
        <v>17732</v>
      </c>
      <c r="W922" s="19">
        <f t="shared" si="317"/>
        <v>0.2323232323215052</v>
      </c>
      <c r="X922" s="19">
        <f t="shared" si="318"/>
        <v>200608</v>
      </c>
      <c r="Y922" s="17">
        <v>181170</v>
      </c>
      <c r="Z922" s="17">
        <v>19438</v>
      </c>
      <c r="AA922" s="19">
        <f t="shared" si="319"/>
        <v>182876</v>
      </c>
      <c r="AB922" s="17">
        <v>1755491</v>
      </c>
      <c r="AC922" s="27">
        <v>29.957000000000001</v>
      </c>
      <c r="AD922" s="27">
        <v>31.919499999999999</v>
      </c>
      <c r="AE922" s="22">
        <f t="shared" si="320"/>
        <v>54997.446701859364</v>
      </c>
      <c r="AF922" s="23">
        <f t="shared" si="321"/>
        <v>0</v>
      </c>
      <c r="AG922" s="23">
        <f t="shared" si="322"/>
        <v>0</v>
      </c>
      <c r="AH922" s="17">
        <v>1368421.5646390901</v>
      </c>
      <c r="AI922" s="24">
        <f t="shared" si="323"/>
        <v>0.77950930232002902</v>
      </c>
      <c r="AJ922" s="25">
        <v>407881136.36866403</v>
      </c>
      <c r="AK922" s="24">
        <f t="shared" si="324"/>
        <v>2.3469915791380084E-2</v>
      </c>
      <c r="AL922" s="22">
        <f t="shared" si="325"/>
        <v>26227.221708123183</v>
      </c>
      <c r="AM922" s="22">
        <f t="shared" si="326"/>
        <v>54997.446701859364</v>
      </c>
      <c r="AN922" s="22">
        <f t="shared" si="327"/>
        <v>-28770.224993736181</v>
      </c>
      <c r="AO922" s="26" t="str">
        <f t="shared" si="328"/>
        <v>YES</v>
      </c>
      <c r="AP922" s="26" t="str">
        <f t="shared" si="329"/>
        <v>pre-launch</v>
      </c>
      <c r="AQ922" s="28">
        <v>12</v>
      </c>
      <c r="AR922" s="28">
        <v>0</v>
      </c>
    </row>
    <row r="923" spans="1:44" x14ac:dyDescent="0.25">
      <c r="A923" s="43">
        <v>45984</v>
      </c>
      <c r="B923" s="17">
        <v>6165947183.8800001</v>
      </c>
      <c r="C923" s="17">
        <v>54384435.060000002</v>
      </c>
      <c r="D923" s="17">
        <v>207505994</v>
      </c>
      <c r="E923" s="19">
        <f t="shared" si="308"/>
        <v>6220331618.9400005</v>
      </c>
      <c r="F923" s="19">
        <f t="shared" si="309"/>
        <v>6427837612.9400005</v>
      </c>
      <c r="G923" s="20">
        <f t="shared" si="310"/>
        <v>8.7430121722782989E-3</v>
      </c>
      <c r="H923" s="17">
        <v>2394961</v>
      </c>
      <c r="I923" s="17">
        <v>116277</v>
      </c>
      <c r="J923" s="17">
        <v>23089</v>
      </c>
      <c r="K923" s="19">
        <f t="shared" si="311"/>
        <v>2511238</v>
      </c>
      <c r="L923" s="17">
        <v>4087.5238249436402</v>
      </c>
      <c r="M923" s="17">
        <v>2043.7619124718201</v>
      </c>
      <c r="N923" s="17">
        <v>2043.7619124718201</v>
      </c>
      <c r="O923" s="19">
        <f t="shared" si="312"/>
        <v>2390873.4761750563</v>
      </c>
      <c r="P923" s="21">
        <f t="shared" si="313"/>
        <v>3.8775445278312763</v>
      </c>
      <c r="Q923" s="17">
        <v>2195278</v>
      </c>
      <c r="R923" s="17">
        <v>90553</v>
      </c>
      <c r="S923" s="19">
        <f t="shared" si="314"/>
        <v>2285831</v>
      </c>
      <c r="T923" s="20">
        <f t="shared" si="315"/>
        <v>0.01</v>
      </c>
      <c r="U923" s="19">
        <f t="shared" si="316"/>
        <v>23089.202020202021</v>
      </c>
      <c r="V923" s="17">
        <v>23089</v>
      </c>
      <c r="W923" s="19">
        <f t="shared" si="317"/>
        <v>0.20202020202123094</v>
      </c>
      <c r="X923" s="19">
        <f t="shared" si="318"/>
        <v>225407</v>
      </c>
      <c r="Y923" s="17">
        <v>199683</v>
      </c>
      <c r="Z923" s="17">
        <v>25724</v>
      </c>
      <c r="AA923" s="19">
        <f t="shared" si="319"/>
        <v>202318</v>
      </c>
      <c r="AB923" s="17">
        <v>2285831</v>
      </c>
      <c r="AC923" s="27">
        <v>31.869</v>
      </c>
      <c r="AD923" s="27">
        <v>31.02225</v>
      </c>
      <c r="AE923" s="22">
        <f t="shared" si="320"/>
        <v>73683.598062680816</v>
      </c>
      <c r="AF923" s="23">
        <f t="shared" si="321"/>
        <v>0</v>
      </c>
      <c r="AG923" s="23">
        <f t="shared" si="322"/>
        <v>0</v>
      </c>
      <c r="AH923" s="17">
        <v>1813596.2765249</v>
      </c>
      <c r="AI923" s="24">
        <f t="shared" si="323"/>
        <v>0.79340785759091548</v>
      </c>
      <c r="AJ923" s="25">
        <v>408035903.11520702</v>
      </c>
      <c r="AK923" s="24">
        <f t="shared" si="324"/>
        <v>2.346546433627256E-2</v>
      </c>
      <c r="AL923" s="22">
        <f t="shared" si="325"/>
        <v>26232.197075256594</v>
      </c>
      <c r="AM923" s="22">
        <f t="shared" si="326"/>
        <v>73683.598062680816</v>
      </c>
      <c r="AN923" s="22">
        <f t="shared" si="327"/>
        <v>-47451.400987424218</v>
      </c>
      <c r="AO923" s="26" t="str">
        <f t="shared" si="328"/>
        <v>YES</v>
      </c>
      <c r="AP923" s="26" t="str">
        <f t="shared" si="329"/>
        <v>pre-launch</v>
      </c>
      <c r="AQ923" s="28">
        <v>12</v>
      </c>
      <c r="AR923" s="28">
        <v>9</v>
      </c>
    </row>
    <row r="924" spans="1:44" x14ac:dyDescent="0.25">
      <c r="A924" s="43">
        <v>45985</v>
      </c>
      <c r="B924" s="17">
        <v>9428477851.8799992</v>
      </c>
      <c r="C924" s="17">
        <v>447191479.33999997</v>
      </c>
      <c r="D924" s="17">
        <v>279378464</v>
      </c>
      <c r="E924" s="19">
        <f t="shared" si="308"/>
        <v>9875669331.2199993</v>
      </c>
      <c r="F924" s="19">
        <f t="shared" si="309"/>
        <v>10155047795.219999</v>
      </c>
      <c r="G924" s="20">
        <f t="shared" si="310"/>
        <v>4.5282143856952707E-2</v>
      </c>
      <c r="H924" s="17">
        <v>3462385</v>
      </c>
      <c r="I924" s="17">
        <v>128678</v>
      </c>
      <c r="J924" s="17">
        <v>33175</v>
      </c>
      <c r="K924" s="19">
        <f t="shared" si="311"/>
        <v>3591063</v>
      </c>
      <c r="L924" s="17">
        <v>27010.190637022701</v>
      </c>
      <c r="M924" s="17">
        <v>13505.095318511299</v>
      </c>
      <c r="N924" s="17">
        <v>13505.095318511299</v>
      </c>
      <c r="O924" s="19">
        <f t="shared" si="312"/>
        <v>3435374.8093629773</v>
      </c>
      <c r="P924" s="21">
        <f t="shared" si="313"/>
        <v>3.6436155054211405</v>
      </c>
      <c r="Q924" s="17">
        <v>3182394</v>
      </c>
      <c r="R924" s="17">
        <v>101913</v>
      </c>
      <c r="S924" s="19">
        <f t="shared" si="314"/>
        <v>3284307</v>
      </c>
      <c r="T924" s="20">
        <f t="shared" si="315"/>
        <v>0.01</v>
      </c>
      <c r="U924" s="19">
        <f t="shared" si="316"/>
        <v>33174.818181818184</v>
      </c>
      <c r="V924" s="17">
        <v>33175</v>
      </c>
      <c r="W924" s="19">
        <f t="shared" si="317"/>
        <v>-0.18181818181619747</v>
      </c>
      <c r="X924" s="19">
        <f t="shared" si="318"/>
        <v>306756</v>
      </c>
      <c r="Y924" s="17">
        <v>279991</v>
      </c>
      <c r="Z924" s="17">
        <v>26765</v>
      </c>
      <c r="AA924" s="19">
        <f t="shared" si="319"/>
        <v>273581</v>
      </c>
      <c r="AB924" s="17">
        <v>3284307</v>
      </c>
      <c r="AC924" s="27">
        <v>33.722000000000001</v>
      </c>
      <c r="AD924" s="27">
        <v>32.555999999999997</v>
      </c>
      <c r="AE924" s="22">
        <f t="shared" si="320"/>
        <v>100881.77294507925</v>
      </c>
      <c r="AF924" s="23">
        <f t="shared" si="321"/>
        <v>0</v>
      </c>
      <c r="AG924" s="23">
        <f t="shared" si="322"/>
        <v>0</v>
      </c>
      <c r="AH924" s="17">
        <v>2582810.6653410201</v>
      </c>
      <c r="AI924" s="24">
        <f t="shared" si="323"/>
        <v>0.78640963385609819</v>
      </c>
      <c r="AJ924" s="25">
        <v>408190669.86175102</v>
      </c>
      <c r="AK924" s="24">
        <f t="shared" si="324"/>
        <v>2.3461015413079357E-2</v>
      </c>
      <c r="AL924" s="22">
        <f t="shared" si="325"/>
        <v>26237.171498908843</v>
      </c>
      <c r="AM924" s="22">
        <f t="shared" si="326"/>
        <v>100881.77294507925</v>
      </c>
      <c r="AN924" s="22">
        <f t="shared" si="327"/>
        <v>-74644.601446170418</v>
      </c>
      <c r="AO924" s="26" t="str">
        <f t="shared" si="328"/>
        <v>YES</v>
      </c>
      <c r="AP924" s="26" t="str">
        <f t="shared" si="329"/>
        <v>pre-launch</v>
      </c>
      <c r="AQ924" s="28">
        <v>13</v>
      </c>
      <c r="AR924" s="28">
        <v>11</v>
      </c>
    </row>
    <row r="925" spans="1:44" x14ac:dyDescent="0.25">
      <c r="A925" s="43">
        <v>45986</v>
      </c>
      <c r="B925" s="17">
        <v>7560665189.0699997</v>
      </c>
      <c r="C925" s="17">
        <v>527411695.66000003</v>
      </c>
      <c r="D925" s="17">
        <v>253234221</v>
      </c>
      <c r="E925" s="19">
        <f t="shared" si="308"/>
        <v>8088076884.7299995</v>
      </c>
      <c r="F925" s="19">
        <f t="shared" si="309"/>
        <v>8341311105.7299995</v>
      </c>
      <c r="G925" s="20">
        <f t="shared" si="310"/>
        <v>6.5208541310448523E-2</v>
      </c>
      <c r="H925" s="17">
        <v>2934181</v>
      </c>
      <c r="I925" s="17">
        <v>125607</v>
      </c>
      <c r="J925" s="17">
        <v>28228</v>
      </c>
      <c r="K925" s="19">
        <f t="shared" si="311"/>
        <v>3059788</v>
      </c>
      <c r="L925" s="17">
        <v>31079.422273810302</v>
      </c>
      <c r="M925" s="17">
        <v>15539.7111369052</v>
      </c>
      <c r="N925" s="17">
        <v>15539.7111369052</v>
      </c>
      <c r="O925" s="19">
        <f t="shared" si="312"/>
        <v>2903101.5777261895</v>
      </c>
      <c r="P925" s="21">
        <f t="shared" si="313"/>
        <v>3.8397436007654848</v>
      </c>
      <c r="Q925" s="17">
        <v>2695439</v>
      </c>
      <c r="R925" s="17">
        <v>99165</v>
      </c>
      <c r="S925" s="19">
        <f t="shared" si="314"/>
        <v>2794604</v>
      </c>
      <c r="T925" s="20">
        <f t="shared" si="315"/>
        <v>0.01</v>
      </c>
      <c r="U925" s="19">
        <f t="shared" si="316"/>
        <v>28228.323232323233</v>
      </c>
      <c r="V925" s="17">
        <v>28228</v>
      </c>
      <c r="W925" s="19">
        <f t="shared" si="317"/>
        <v>0.32323232323324191</v>
      </c>
      <c r="X925" s="19">
        <f t="shared" si="318"/>
        <v>265184</v>
      </c>
      <c r="Y925" s="17">
        <v>238742</v>
      </c>
      <c r="Z925" s="17">
        <v>26442</v>
      </c>
      <c r="AA925" s="19">
        <f t="shared" si="319"/>
        <v>236956</v>
      </c>
      <c r="AB925" s="17">
        <v>2794604</v>
      </c>
      <c r="AC925" s="27">
        <v>33.737000000000002</v>
      </c>
      <c r="AD925" s="27">
        <v>33.576500000000003</v>
      </c>
      <c r="AE925" s="22">
        <f t="shared" si="320"/>
        <v>83230.950218158527</v>
      </c>
      <c r="AF925" s="23">
        <f t="shared" si="321"/>
        <v>0</v>
      </c>
      <c r="AG925" s="23">
        <f t="shared" si="322"/>
        <v>0</v>
      </c>
      <c r="AH925" s="17">
        <v>2226924.04128897</v>
      </c>
      <c r="AI925" s="24">
        <f t="shared" si="323"/>
        <v>0.79686568876626884</v>
      </c>
      <c r="AJ925" s="25">
        <v>408345436.60829502</v>
      </c>
      <c r="AK925" s="24">
        <f t="shared" si="324"/>
        <v>2.3456569019401234E-2</v>
      </c>
      <c r="AL925" s="22">
        <f t="shared" si="325"/>
        <v>26242.144979616449</v>
      </c>
      <c r="AM925" s="22">
        <f t="shared" si="326"/>
        <v>83230.950218158527</v>
      </c>
      <c r="AN925" s="22">
        <f t="shared" si="327"/>
        <v>-56988.805238542074</v>
      </c>
      <c r="AO925" s="26" t="str">
        <f t="shared" si="328"/>
        <v>YES</v>
      </c>
      <c r="AP925" s="26" t="str">
        <f t="shared" si="329"/>
        <v>pre-launch</v>
      </c>
      <c r="AQ925" s="28">
        <v>16</v>
      </c>
      <c r="AR925" s="28">
        <v>13</v>
      </c>
    </row>
    <row r="926" spans="1:44" x14ac:dyDescent="0.25">
      <c r="A926" s="43">
        <v>45987</v>
      </c>
      <c r="B926" s="17">
        <v>6851266930.1499996</v>
      </c>
      <c r="C926" s="17">
        <v>398396017.32999998</v>
      </c>
      <c r="D926" s="17">
        <v>238109466</v>
      </c>
      <c r="E926" s="19">
        <f t="shared" si="308"/>
        <v>7249662947.4799995</v>
      </c>
      <c r="F926" s="19">
        <f t="shared" si="309"/>
        <v>7487772413.4799995</v>
      </c>
      <c r="G926" s="20">
        <f t="shared" si="310"/>
        <v>5.4953729603178778E-2</v>
      </c>
      <c r="H926" s="17">
        <v>2624329</v>
      </c>
      <c r="I926" s="17">
        <v>129077</v>
      </c>
      <c r="J926" s="17">
        <v>25095</v>
      </c>
      <c r="K926" s="19">
        <f t="shared" si="311"/>
        <v>2753406</v>
      </c>
      <c r="L926" s="17">
        <v>24211.752629392598</v>
      </c>
      <c r="M926" s="17">
        <v>12105.876314696299</v>
      </c>
      <c r="N926" s="17">
        <v>12105.876314696299</v>
      </c>
      <c r="O926" s="19">
        <f t="shared" si="312"/>
        <v>2600117.2473706072</v>
      </c>
      <c r="P926" s="21">
        <f t="shared" si="313"/>
        <v>3.7950896876144355</v>
      </c>
      <c r="Q926" s="17">
        <v>2385572</v>
      </c>
      <c r="R926" s="17">
        <v>98810</v>
      </c>
      <c r="S926" s="19">
        <f t="shared" si="314"/>
        <v>2484382</v>
      </c>
      <c r="T926" s="20">
        <f t="shared" si="315"/>
        <v>0.01</v>
      </c>
      <c r="U926" s="19">
        <f t="shared" si="316"/>
        <v>25094.767676767678</v>
      </c>
      <c r="V926" s="17">
        <v>25095</v>
      </c>
      <c r="W926" s="19">
        <f t="shared" si="317"/>
        <v>-0.2323232323215052</v>
      </c>
      <c r="X926" s="19">
        <f t="shared" si="318"/>
        <v>269025</v>
      </c>
      <c r="Y926" s="17">
        <v>238757</v>
      </c>
      <c r="Z926" s="17">
        <v>30268</v>
      </c>
      <c r="AA926" s="19">
        <f t="shared" si="319"/>
        <v>243930</v>
      </c>
      <c r="AB926" s="17">
        <v>2484382</v>
      </c>
      <c r="AC926" s="27">
        <v>36.247999999999998</v>
      </c>
      <c r="AD926" s="27">
        <v>34.852249999999998</v>
      </c>
      <c r="AE926" s="22">
        <f t="shared" si="320"/>
        <v>71283.260047773103</v>
      </c>
      <c r="AF926" s="23">
        <f t="shared" si="321"/>
        <v>-1</v>
      </c>
      <c r="AG926" s="23">
        <f t="shared" si="322"/>
        <v>0</v>
      </c>
      <c r="AH926" s="17">
        <v>1990394.74779701</v>
      </c>
      <c r="AI926" s="24">
        <f t="shared" si="323"/>
        <v>0.80116292413848189</v>
      </c>
      <c r="AJ926" s="25">
        <v>408500203.35483903</v>
      </c>
      <c r="AK926" s="24">
        <f t="shared" si="324"/>
        <v>2.3452125152842094E-2</v>
      </c>
      <c r="AL926" s="22">
        <f t="shared" si="325"/>
        <v>26247.117517915423</v>
      </c>
      <c r="AM926" s="22">
        <f t="shared" si="326"/>
        <v>71283.260047773103</v>
      </c>
      <c r="AN926" s="22">
        <f t="shared" si="327"/>
        <v>-45036.14252985768</v>
      </c>
      <c r="AO926" s="26" t="str">
        <f t="shared" si="328"/>
        <v>YES</v>
      </c>
      <c r="AP926" s="26" t="str">
        <f t="shared" si="329"/>
        <v>pre-launch</v>
      </c>
      <c r="AQ926" s="28">
        <v>17</v>
      </c>
      <c r="AR926" s="28">
        <v>14</v>
      </c>
    </row>
    <row r="927" spans="1:44" x14ac:dyDescent="0.25">
      <c r="A927" s="43">
        <v>45988</v>
      </c>
      <c r="B927" s="17">
        <v>4534095996.1300001</v>
      </c>
      <c r="C927" s="17">
        <v>188984049.66999999</v>
      </c>
      <c r="D927" s="17">
        <v>247442973</v>
      </c>
      <c r="E927" s="19">
        <f t="shared" si="308"/>
        <v>4723080045.8000002</v>
      </c>
      <c r="F927" s="19">
        <f t="shared" si="309"/>
        <v>4970523018.8000002</v>
      </c>
      <c r="G927" s="20">
        <f t="shared" si="310"/>
        <v>4.0012883084218333E-2</v>
      </c>
      <c r="H927" s="17">
        <v>1851782</v>
      </c>
      <c r="I927" s="17">
        <v>125247</v>
      </c>
      <c r="J927" s="17">
        <v>17583</v>
      </c>
      <c r="K927" s="19">
        <f t="shared" si="311"/>
        <v>1977029</v>
      </c>
      <c r="L927" s="17">
        <v>12086.734512629801</v>
      </c>
      <c r="M927" s="17">
        <v>6043.3672563149103</v>
      </c>
      <c r="N927" s="17">
        <v>6043.3672563149103</v>
      </c>
      <c r="O927" s="19">
        <f t="shared" si="312"/>
        <v>1839695.2654873703</v>
      </c>
      <c r="P927" s="21">
        <f t="shared" si="313"/>
        <v>4.057468714949156</v>
      </c>
      <c r="Q927" s="17">
        <v>1638685</v>
      </c>
      <c r="R927" s="17">
        <v>102079</v>
      </c>
      <c r="S927" s="19">
        <f t="shared" si="314"/>
        <v>1740764</v>
      </c>
      <c r="T927" s="20">
        <f t="shared" si="315"/>
        <v>0.01</v>
      </c>
      <c r="U927" s="19">
        <f t="shared" si="316"/>
        <v>17583.474747474746</v>
      </c>
      <c r="V927" s="17">
        <v>17583</v>
      </c>
      <c r="W927" s="19">
        <f t="shared" si="317"/>
        <v>0.47474747474552714</v>
      </c>
      <c r="X927" s="19">
        <f t="shared" si="318"/>
        <v>236266</v>
      </c>
      <c r="Y927" s="17">
        <v>213098</v>
      </c>
      <c r="Z927" s="17">
        <v>23168</v>
      </c>
      <c r="AA927" s="19">
        <f t="shared" si="319"/>
        <v>218683</v>
      </c>
      <c r="AB927" s="17">
        <v>1740764</v>
      </c>
      <c r="AC927" s="27">
        <v>34.735999999999997</v>
      </c>
      <c r="AD927" s="27">
        <v>35.500999999999998</v>
      </c>
      <c r="AE927" s="22">
        <f t="shared" si="320"/>
        <v>49034.224388045412</v>
      </c>
      <c r="AF927" s="23">
        <f t="shared" si="321"/>
        <v>-1</v>
      </c>
      <c r="AG927" s="23">
        <f t="shared" si="322"/>
        <v>0</v>
      </c>
      <c r="AH927" s="17">
        <v>1373731.8202869899</v>
      </c>
      <c r="AI927" s="24">
        <f t="shared" si="323"/>
        <v>0.78915454380202599</v>
      </c>
      <c r="AJ927" s="25">
        <v>408654970.10138297</v>
      </c>
      <c r="AK927" s="24">
        <f t="shared" si="324"/>
        <v>2.3447683811009028E-2</v>
      </c>
      <c r="AL927" s="22">
        <f t="shared" si="325"/>
        <v>26252.089114341303</v>
      </c>
      <c r="AM927" s="22">
        <f t="shared" si="326"/>
        <v>49034.224388045412</v>
      </c>
      <c r="AN927" s="22">
        <f t="shared" si="327"/>
        <v>-22782.135273704109</v>
      </c>
      <c r="AO927" s="26" t="str">
        <f t="shared" si="328"/>
        <v>YES</v>
      </c>
      <c r="AP927" s="26" t="str">
        <f t="shared" si="329"/>
        <v>pre-launch</v>
      </c>
      <c r="AQ927" s="28">
        <v>17</v>
      </c>
      <c r="AR927" s="28">
        <v>14</v>
      </c>
    </row>
    <row r="928" spans="1:44" x14ac:dyDescent="0.25">
      <c r="A928" s="43">
        <v>45989</v>
      </c>
      <c r="B928" s="17">
        <v>5243667224.0900002</v>
      </c>
      <c r="C928" s="17">
        <v>258707694.74000001</v>
      </c>
      <c r="D928" s="17">
        <v>239864451</v>
      </c>
      <c r="E928" s="19">
        <f t="shared" si="308"/>
        <v>5502374918.8299999</v>
      </c>
      <c r="F928" s="19">
        <f t="shared" si="309"/>
        <v>5742239369.8299999</v>
      </c>
      <c r="G928" s="20">
        <f t="shared" si="310"/>
        <v>4.7017460379637388E-2</v>
      </c>
      <c r="H928" s="17">
        <v>2165922</v>
      </c>
      <c r="I928" s="17">
        <v>135613</v>
      </c>
      <c r="J928" s="17">
        <v>20283</v>
      </c>
      <c r="K928" s="19">
        <f t="shared" si="311"/>
        <v>2301535</v>
      </c>
      <c r="L928" s="17">
        <v>15326.7454228021</v>
      </c>
      <c r="M928" s="17">
        <v>7663.3727114010699</v>
      </c>
      <c r="N928" s="17">
        <v>7663.3727114010699</v>
      </c>
      <c r="O928" s="19">
        <f t="shared" si="312"/>
        <v>2150595.2545771981</v>
      </c>
      <c r="P928" s="21">
        <f t="shared" si="313"/>
        <v>4.101319101061792</v>
      </c>
      <c r="Q928" s="17">
        <v>1901605</v>
      </c>
      <c r="R928" s="17">
        <v>106451</v>
      </c>
      <c r="S928" s="19">
        <f t="shared" si="314"/>
        <v>2008056</v>
      </c>
      <c r="T928" s="20">
        <f t="shared" si="315"/>
        <v>0.01</v>
      </c>
      <c r="U928" s="19">
        <f t="shared" si="316"/>
        <v>20283.39393939394</v>
      </c>
      <c r="V928" s="17">
        <v>20283</v>
      </c>
      <c r="W928" s="19">
        <f t="shared" si="317"/>
        <v>0.39393939393994515</v>
      </c>
      <c r="X928" s="19">
        <f t="shared" si="318"/>
        <v>293479</v>
      </c>
      <c r="Y928" s="17">
        <v>264317</v>
      </c>
      <c r="Z928" s="17">
        <v>29162</v>
      </c>
      <c r="AA928" s="19">
        <f t="shared" si="319"/>
        <v>273196</v>
      </c>
      <c r="AB928" s="17">
        <v>2008056</v>
      </c>
      <c r="AC928" s="27">
        <v>34.938000000000002</v>
      </c>
      <c r="AD928" s="27">
        <v>35.073999999999998</v>
      </c>
      <c r="AE928" s="22">
        <f t="shared" si="320"/>
        <v>57251.981524776187</v>
      </c>
      <c r="AF928" s="23">
        <f t="shared" si="321"/>
        <v>0</v>
      </c>
      <c r="AG928" s="23">
        <f t="shared" si="322"/>
        <v>0</v>
      </c>
      <c r="AH928" s="17">
        <v>1536464.6684811099</v>
      </c>
      <c r="AI928" s="24">
        <f t="shared" si="323"/>
        <v>0.76515030879672175</v>
      </c>
      <c r="AJ928" s="25">
        <v>408809736.84792602</v>
      </c>
      <c r="AK928" s="24">
        <f t="shared" si="324"/>
        <v>2.3443244991512305E-2</v>
      </c>
      <c r="AL928" s="22">
        <f t="shared" si="325"/>
        <v>26257.059769429055</v>
      </c>
      <c r="AM928" s="22">
        <f t="shared" si="326"/>
        <v>57251.981524776187</v>
      </c>
      <c r="AN928" s="22">
        <f t="shared" si="327"/>
        <v>-30994.921755347132</v>
      </c>
      <c r="AO928" s="26" t="str">
        <f t="shared" si="328"/>
        <v>YES</v>
      </c>
      <c r="AP928" s="26" t="str">
        <f t="shared" si="329"/>
        <v>pre-launch</v>
      </c>
      <c r="AQ928" s="28">
        <v>17</v>
      </c>
      <c r="AR928" s="28">
        <v>14</v>
      </c>
    </row>
    <row r="929" spans="1:44" x14ac:dyDescent="0.25">
      <c r="A929" s="43">
        <v>45990</v>
      </c>
      <c r="B929" s="17">
        <v>2749011804.79</v>
      </c>
      <c r="C929" s="17">
        <v>138058631.5</v>
      </c>
      <c r="D929" s="17">
        <v>169134928</v>
      </c>
      <c r="E929" s="19">
        <f t="shared" si="308"/>
        <v>2887070436.29</v>
      </c>
      <c r="F929" s="19">
        <f t="shared" si="309"/>
        <v>3056205364.29</v>
      </c>
      <c r="G929" s="20">
        <f t="shared" si="310"/>
        <v>4.781962703944654E-2</v>
      </c>
      <c r="H929" s="17">
        <v>1119249</v>
      </c>
      <c r="I929" s="17">
        <v>101164</v>
      </c>
      <c r="J929" s="17">
        <v>10750</v>
      </c>
      <c r="K929" s="19">
        <f t="shared" si="311"/>
        <v>1220413</v>
      </c>
      <c r="L929" s="17">
        <v>8759.1012301637402</v>
      </c>
      <c r="M929" s="17">
        <v>4379.5506150818701</v>
      </c>
      <c r="N929" s="17">
        <v>4379.5506150818701</v>
      </c>
      <c r="O929" s="19">
        <f t="shared" si="312"/>
        <v>1110489.8987698362</v>
      </c>
      <c r="P929" s="21">
        <f t="shared" si="313"/>
        <v>4.0395966901083122</v>
      </c>
      <c r="Q929" s="17">
        <v>986726</v>
      </c>
      <c r="R929" s="17">
        <v>77510</v>
      </c>
      <c r="S929" s="19">
        <f t="shared" si="314"/>
        <v>1064236</v>
      </c>
      <c r="T929" s="20">
        <f t="shared" si="315"/>
        <v>0.01</v>
      </c>
      <c r="U929" s="19">
        <f t="shared" si="316"/>
        <v>10749.858585858587</v>
      </c>
      <c r="V929" s="17">
        <v>10750</v>
      </c>
      <c r="W929" s="19">
        <f t="shared" si="317"/>
        <v>-0.14141414141340647</v>
      </c>
      <c r="X929" s="19">
        <f t="shared" si="318"/>
        <v>156177</v>
      </c>
      <c r="Y929" s="17">
        <v>132523</v>
      </c>
      <c r="Z929" s="17">
        <v>23654</v>
      </c>
      <c r="AA929" s="19">
        <f t="shared" si="319"/>
        <v>145427</v>
      </c>
      <c r="AB929" s="17">
        <v>1064236</v>
      </c>
      <c r="AC929" s="27">
        <v>34.348999999999997</v>
      </c>
      <c r="AD929" s="27">
        <v>34.947000000000003</v>
      </c>
      <c r="AE929" s="22">
        <f t="shared" si="320"/>
        <v>30452.857183735367</v>
      </c>
      <c r="AF929" s="23">
        <f t="shared" si="321"/>
        <v>0</v>
      </c>
      <c r="AG929" s="23">
        <f t="shared" si="322"/>
        <v>0</v>
      </c>
      <c r="AH929" s="17">
        <v>825518.97387993301</v>
      </c>
      <c r="AI929" s="24">
        <f t="shared" si="323"/>
        <v>0.77569164534927681</v>
      </c>
      <c r="AJ929" s="25">
        <v>408964503.59447002</v>
      </c>
      <c r="AK929" s="24">
        <f t="shared" si="324"/>
        <v>2.3438808691965293E-2</v>
      </c>
      <c r="AL929" s="22">
        <f t="shared" si="325"/>
        <v>26262.029483713246</v>
      </c>
      <c r="AM929" s="22">
        <f t="shared" si="326"/>
        <v>30452.857183735367</v>
      </c>
      <c r="AN929" s="22">
        <f t="shared" si="327"/>
        <v>-4190.8277000221206</v>
      </c>
      <c r="AO929" s="26" t="str">
        <f t="shared" si="328"/>
        <v>YES</v>
      </c>
      <c r="AP929" s="26" t="str">
        <f t="shared" si="329"/>
        <v>pre-launch</v>
      </c>
      <c r="AQ929" s="28">
        <v>17</v>
      </c>
      <c r="AR929" s="28">
        <v>14</v>
      </c>
    </row>
    <row r="930" spans="1:44" x14ac:dyDescent="0.25">
      <c r="A930" s="43">
        <v>45991</v>
      </c>
      <c r="B930" s="17">
        <v>2620049398.7199998</v>
      </c>
      <c r="C930" s="17">
        <v>103685934.12</v>
      </c>
      <c r="D930" s="17">
        <v>139751242</v>
      </c>
      <c r="E930" s="19">
        <f t="shared" si="308"/>
        <v>2723735332.8399997</v>
      </c>
      <c r="F930" s="19">
        <f t="shared" si="309"/>
        <v>2863486574.8399997</v>
      </c>
      <c r="G930" s="20">
        <f t="shared" si="310"/>
        <v>3.8067551156627313E-2</v>
      </c>
      <c r="H930" s="17">
        <v>1139073</v>
      </c>
      <c r="I930" s="17">
        <v>82329</v>
      </c>
      <c r="J930" s="17">
        <v>10652</v>
      </c>
      <c r="K930" s="19">
        <f t="shared" si="311"/>
        <v>1221402</v>
      </c>
      <c r="L930" s="17">
        <v>6882.09839828441</v>
      </c>
      <c r="M930" s="17">
        <v>3441.04919914221</v>
      </c>
      <c r="N930" s="17">
        <v>3441.04919914221</v>
      </c>
      <c r="O930" s="19">
        <f t="shared" si="312"/>
        <v>1132190.9016017155</v>
      </c>
      <c r="P930" s="21">
        <f t="shared" si="313"/>
        <v>4.3212578440499501</v>
      </c>
      <c r="Q930" s="17">
        <v>988286</v>
      </c>
      <c r="R930" s="17">
        <v>66269</v>
      </c>
      <c r="S930" s="19">
        <f t="shared" si="314"/>
        <v>1054555</v>
      </c>
      <c r="T930" s="20">
        <f t="shared" si="315"/>
        <v>0.01</v>
      </c>
      <c r="U930" s="19">
        <f t="shared" si="316"/>
        <v>10652.070707070709</v>
      </c>
      <c r="V930" s="17">
        <v>10652</v>
      </c>
      <c r="W930" s="19">
        <f t="shared" si="317"/>
        <v>7.0707070708522224E-2</v>
      </c>
      <c r="X930" s="19">
        <f t="shared" si="318"/>
        <v>166847</v>
      </c>
      <c r="Y930" s="17">
        <v>150787</v>
      </c>
      <c r="Z930" s="17">
        <v>16060</v>
      </c>
      <c r="AA930" s="19">
        <f t="shared" si="319"/>
        <v>156195</v>
      </c>
      <c r="AB930" s="17">
        <v>1054555</v>
      </c>
      <c r="AC930" s="27">
        <v>31.893999999999998</v>
      </c>
      <c r="AD930" s="27">
        <v>33.158000000000001</v>
      </c>
      <c r="AE930" s="22">
        <f t="shared" si="320"/>
        <v>31803.938717654863</v>
      </c>
      <c r="AF930" s="23">
        <f t="shared" si="321"/>
        <v>0</v>
      </c>
      <c r="AG930" s="23">
        <f t="shared" si="322"/>
        <v>0</v>
      </c>
      <c r="AH930" s="17">
        <v>762856.74269306695</v>
      </c>
      <c r="AI930" s="24">
        <f t="shared" si="323"/>
        <v>0.72339208736677263</v>
      </c>
      <c r="AJ930" s="25">
        <v>409119270.34101403</v>
      </c>
      <c r="AK930" s="24">
        <f t="shared" si="324"/>
        <v>2.3434374909984599E-2</v>
      </c>
      <c r="AL930" s="22">
        <f t="shared" si="325"/>
        <v>26266.99825772785</v>
      </c>
      <c r="AM930" s="22">
        <f t="shared" si="326"/>
        <v>31803.938717654863</v>
      </c>
      <c r="AN930" s="22">
        <f t="shared" si="327"/>
        <v>-5536.9404599270129</v>
      </c>
      <c r="AO930" s="26" t="str">
        <f t="shared" si="328"/>
        <v>YES</v>
      </c>
      <c r="AP930" s="26" t="str">
        <f t="shared" si="329"/>
        <v>pre-launch</v>
      </c>
      <c r="AQ930" s="28">
        <v>17</v>
      </c>
      <c r="AR930" s="28">
        <v>14</v>
      </c>
    </row>
    <row r="931" spans="1:44" x14ac:dyDescent="0.25">
      <c r="A931" s="43">
        <v>45992</v>
      </c>
      <c r="B931" s="17">
        <v>10209933420.559999</v>
      </c>
      <c r="C931" s="17">
        <v>398423432.44999999</v>
      </c>
      <c r="D931" s="17">
        <v>329066780</v>
      </c>
      <c r="E931" s="19">
        <f t="shared" si="308"/>
        <v>10608356853.01</v>
      </c>
      <c r="F931" s="19">
        <f t="shared" si="309"/>
        <v>10937423633.01</v>
      </c>
      <c r="G931" s="20">
        <f t="shared" si="310"/>
        <v>3.7557506593205517E-2</v>
      </c>
      <c r="H931" s="17">
        <v>4188992</v>
      </c>
      <c r="I931" s="17">
        <v>175170</v>
      </c>
      <c r="J931" s="17">
        <v>38505</v>
      </c>
      <c r="K931" s="19">
        <f t="shared" si="311"/>
        <v>4364162</v>
      </c>
      <c r="L931" s="17">
        <v>22819.182290698802</v>
      </c>
      <c r="M931" s="17">
        <v>11409.591145349401</v>
      </c>
      <c r="N931" s="17">
        <v>11409.591145349401</v>
      </c>
      <c r="O931" s="19">
        <f t="shared" si="312"/>
        <v>4166172.8177093011</v>
      </c>
      <c r="P931" s="21">
        <f t="shared" si="313"/>
        <v>4.0805092904129756</v>
      </c>
      <c r="Q931" s="17">
        <v>3677457</v>
      </c>
      <c r="R931" s="17">
        <v>134550</v>
      </c>
      <c r="S931" s="19">
        <f t="shared" si="314"/>
        <v>3812007</v>
      </c>
      <c r="T931" s="20">
        <f t="shared" si="315"/>
        <v>0.01</v>
      </c>
      <c r="U931" s="19">
        <f t="shared" si="316"/>
        <v>38505.121212121216</v>
      </c>
      <c r="V931" s="17">
        <v>38505</v>
      </c>
      <c r="W931" s="19">
        <f t="shared" si="317"/>
        <v>0.12121212121564895</v>
      </c>
      <c r="X931" s="19">
        <f t="shared" si="318"/>
        <v>552156</v>
      </c>
      <c r="Y931" s="17">
        <v>511535</v>
      </c>
      <c r="Z931" s="17">
        <v>40621</v>
      </c>
      <c r="AA931" s="19">
        <f t="shared" si="319"/>
        <v>513651</v>
      </c>
      <c r="AB931" s="17">
        <v>3812007</v>
      </c>
      <c r="AC931" s="27">
        <v>30.995000000000001</v>
      </c>
      <c r="AD931" s="27">
        <v>31.0305</v>
      </c>
      <c r="AE931" s="22">
        <f t="shared" si="320"/>
        <v>122847.10204476242</v>
      </c>
      <c r="AF931" s="23">
        <f t="shared" si="321"/>
        <v>-1</v>
      </c>
      <c r="AG931" s="23">
        <f t="shared" si="322"/>
        <v>0</v>
      </c>
      <c r="AH931" s="17">
        <v>2920982.2741649202</v>
      </c>
      <c r="AI931" s="24">
        <f t="shared" si="323"/>
        <v>0.76625837102736705</v>
      </c>
      <c r="AJ931" s="25">
        <v>409274037.08755797</v>
      </c>
      <c r="AK931" s="24">
        <f t="shared" si="324"/>
        <v>2.3429943643189965E-2</v>
      </c>
      <c r="AL931" s="22">
        <f t="shared" si="325"/>
        <v>26271.966092006362</v>
      </c>
      <c r="AM931" s="22">
        <f t="shared" si="326"/>
        <v>122847.10204476242</v>
      </c>
      <c r="AN931" s="22">
        <f t="shared" si="327"/>
        <v>-96575.135952756056</v>
      </c>
      <c r="AO931" s="26" t="str">
        <f t="shared" si="328"/>
        <v>YES</v>
      </c>
      <c r="AP931" s="26" t="str">
        <f t="shared" si="329"/>
        <v>pre-launch</v>
      </c>
      <c r="AQ931" s="28">
        <v>17</v>
      </c>
      <c r="AR931" s="28">
        <v>14</v>
      </c>
    </row>
    <row r="932" spans="1:44" x14ac:dyDescent="0.25">
      <c r="A932" s="43">
        <v>45993</v>
      </c>
      <c r="B932" s="17">
        <v>7511529283.4499998</v>
      </c>
      <c r="C932" s="17">
        <v>380008767.25</v>
      </c>
      <c r="D932" s="17">
        <v>269646568</v>
      </c>
      <c r="E932" s="19">
        <f t="shared" si="308"/>
        <v>7891538050.6999998</v>
      </c>
      <c r="F932" s="19">
        <f t="shared" si="309"/>
        <v>8161184618.6999998</v>
      </c>
      <c r="G932" s="20">
        <f t="shared" si="310"/>
        <v>4.8153954882887783E-2</v>
      </c>
      <c r="H932" s="17">
        <v>2974731</v>
      </c>
      <c r="I932" s="17">
        <v>141033</v>
      </c>
      <c r="J932" s="17">
        <v>27497</v>
      </c>
      <c r="K932" s="19">
        <f t="shared" si="311"/>
        <v>3115764</v>
      </c>
      <c r="L932" s="17">
        <v>24945.428533569098</v>
      </c>
      <c r="M932" s="17">
        <v>12472.7142667845</v>
      </c>
      <c r="N932" s="17">
        <v>12472.7142667845</v>
      </c>
      <c r="O932" s="19">
        <f t="shared" si="312"/>
        <v>2949785.571466431</v>
      </c>
      <c r="P932" s="21">
        <f t="shared" si="313"/>
        <v>3.9270106793907251</v>
      </c>
      <c r="Q932" s="17">
        <v>2618893</v>
      </c>
      <c r="R932" s="17">
        <v>103275</v>
      </c>
      <c r="S932" s="19">
        <f t="shared" si="314"/>
        <v>2722168</v>
      </c>
      <c r="T932" s="20">
        <f t="shared" si="315"/>
        <v>0.01</v>
      </c>
      <c r="U932" s="19">
        <f t="shared" si="316"/>
        <v>27496.646464646466</v>
      </c>
      <c r="V932" s="17">
        <v>27497</v>
      </c>
      <c r="W932" s="19">
        <f t="shared" si="317"/>
        <v>-0.35353535353351617</v>
      </c>
      <c r="X932" s="19">
        <f t="shared" si="318"/>
        <v>393596</v>
      </c>
      <c r="Y932" s="17">
        <v>355838</v>
      </c>
      <c r="Z932" s="17">
        <v>37758</v>
      </c>
      <c r="AA932" s="19">
        <f t="shared" si="319"/>
        <v>366099</v>
      </c>
      <c r="AB932" s="17">
        <v>2722168</v>
      </c>
      <c r="AC932" s="27">
        <v>33.832999999999998</v>
      </c>
      <c r="AD932" s="27">
        <v>32.390500000000003</v>
      </c>
      <c r="AE932" s="22">
        <f t="shared" si="320"/>
        <v>84042.172859326034</v>
      </c>
      <c r="AF932" s="23">
        <f t="shared" si="321"/>
        <v>0</v>
      </c>
      <c r="AG932" s="23">
        <f t="shared" si="322"/>
        <v>0</v>
      </c>
      <c r="AH932" s="17">
        <v>2327750.8623050498</v>
      </c>
      <c r="AI932" s="24">
        <f t="shared" si="323"/>
        <v>0.85510918587870033</v>
      </c>
      <c r="AJ932" s="25">
        <v>409428803.83410102</v>
      </c>
      <c r="AK932" s="24">
        <f t="shared" si="324"/>
        <v>2.3425514889204292E-2</v>
      </c>
      <c r="AL932" s="22">
        <f t="shared" si="325"/>
        <v>26276.932987081746</v>
      </c>
      <c r="AM932" s="22">
        <f t="shared" si="326"/>
        <v>84042.172859326034</v>
      </c>
      <c r="AN932" s="22">
        <f t="shared" si="327"/>
        <v>-57765.239872244289</v>
      </c>
      <c r="AO932" s="26" t="str">
        <f t="shared" si="328"/>
        <v>YES</v>
      </c>
      <c r="AP932" s="26" t="str">
        <f t="shared" si="329"/>
        <v>pre-launch</v>
      </c>
      <c r="AQ932" s="28">
        <v>18</v>
      </c>
      <c r="AR932" s="28">
        <v>14</v>
      </c>
    </row>
    <row r="933" spans="1:44" x14ac:dyDescent="0.25">
      <c r="A933" s="43">
        <v>45994</v>
      </c>
      <c r="B933" s="17">
        <v>6875175215.8999996</v>
      </c>
      <c r="C933" s="17">
        <v>408842621.49000001</v>
      </c>
      <c r="D933" s="17">
        <v>206050583</v>
      </c>
      <c r="E933" s="19">
        <f t="shared" si="308"/>
        <v>7284017837.3899994</v>
      </c>
      <c r="F933" s="19">
        <f t="shared" si="309"/>
        <v>7490068420.3899994</v>
      </c>
      <c r="G933" s="20">
        <f t="shared" si="310"/>
        <v>5.6128723270191222E-2</v>
      </c>
      <c r="H933" s="17">
        <v>2951610</v>
      </c>
      <c r="I933" s="17">
        <v>108352</v>
      </c>
      <c r="J933" s="17">
        <v>27167</v>
      </c>
      <c r="K933" s="19">
        <f t="shared" si="311"/>
        <v>3059962</v>
      </c>
      <c r="L933" s="17">
        <v>28355.5545413254</v>
      </c>
      <c r="M933" s="17">
        <v>14177.7887765954</v>
      </c>
      <c r="N933" s="17">
        <v>14177.76576473</v>
      </c>
      <c r="O933" s="19">
        <f t="shared" si="312"/>
        <v>2923254.4454586748</v>
      </c>
      <c r="P933" s="21">
        <f t="shared" si="313"/>
        <v>4.2518981024631302</v>
      </c>
      <c r="Q933" s="17">
        <v>2603804</v>
      </c>
      <c r="R933" s="17">
        <v>85689</v>
      </c>
      <c r="S933" s="19">
        <f t="shared" si="314"/>
        <v>2689493</v>
      </c>
      <c r="T933" s="20">
        <f t="shared" si="315"/>
        <v>0.01</v>
      </c>
      <c r="U933" s="19">
        <f t="shared" si="316"/>
        <v>27166.595959595961</v>
      </c>
      <c r="V933" s="17">
        <v>27167</v>
      </c>
      <c r="W933" s="19">
        <f t="shared" si="317"/>
        <v>-0.40404040403882391</v>
      </c>
      <c r="X933" s="19">
        <f t="shared" si="318"/>
        <v>370469</v>
      </c>
      <c r="Y933" s="17">
        <v>347806</v>
      </c>
      <c r="Z933" s="17">
        <v>22663</v>
      </c>
      <c r="AA933" s="19">
        <f t="shared" si="319"/>
        <v>343302</v>
      </c>
      <c r="AB933" s="17">
        <v>2689493</v>
      </c>
      <c r="AC933" s="27">
        <v>34.630000000000003</v>
      </c>
      <c r="AD933" s="27">
        <v>34.300750000000001</v>
      </c>
      <c r="AE933" s="22">
        <f t="shared" si="320"/>
        <v>78409.160149559408</v>
      </c>
      <c r="AF933" s="23">
        <f t="shared" si="321"/>
        <v>0</v>
      </c>
      <c r="AG933" s="23">
        <f t="shared" si="322"/>
        <v>0</v>
      </c>
      <c r="AH933" s="17">
        <v>2026340.2850890199</v>
      </c>
      <c r="AI933" s="24">
        <f t="shared" si="323"/>
        <v>0.75342835437348965</v>
      </c>
      <c r="AJ933" s="25">
        <v>409583570.58064502</v>
      </c>
      <c r="AK933" s="24">
        <f t="shared" si="324"/>
        <v>2.3421088645653558E-2</v>
      </c>
      <c r="AL933" s="22">
        <f t="shared" si="325"/>
        <v>26281.898943486543</v>
      </c>
      <c r="AM933" s="22">
        <f t="shared" si="326"/>
        <v>78409.160149559408</v>
      </c>
      <c r="AN933" s="22">
        <f t="shared" si="327"/>
        <v>-52127.261206072864</v>
      </c>
      <c r="AO933" s="26" t="str">
        <f t="shared" si="328"/>
        <v>YES</v>
      </c>
      <c r="AP933" s="26" t="str">
        <f t="shared" si="329"/>
        <v>pre-launch</v>
      </c>
      <c r="AQ933" s="28">
        <v>20</v>
      </c>
      <c r="AR933" s="28">
        <v>15</v>
      </c>
    </row>
    <row r="934" spans="1:44" x14ac:dyDescent="0.25">
      <c r="A934" s="43">
        <v>45995</v>
      </c>
      <c r="B934" s="17">
        <v>5779503733.5900002</v>
      </c>
      <c r="C934" s="17">
        <v>514070575.12</v>
      </c>
      <c r="D934" s="17">
        <v>182559226</v>
      </c>
      <c r="E934" s="19">
        <f t="shared" si="308"/>
        <v>6293574308.71</v>
      </c>
      <c r="F934" s="19">
        <f t="shared" si="309"/>
        <v>6476133534.71</v>
      </c>
      <c r="G934" s="20">
        <f t="shared" si="310"/>
        <v>8.1681815436508209E-2</v>
      </c>
      <c r="H934" s="17">
        <v>2512255</v>
      </c>
      <c r="I934" s="17">
        <v>101717</v>
      </c>
      <c r="J934" s="17">
        <v>23026</v>
      </c>
      <c r="K934" s="19">
        <f t="shared" si="311"/>
        <v>2613972</v>
      </c>
      <c r="L934" s="17">
        <v>35808.7865208355</v>
      </c>
      <c r="M934" s="17">
        <v>17904.395031793501</v>
      </c>
      <c r="N934" s="17">
        <v>17904.391489041998</v>
      </c>
      <c r="O934" s="19">
        <f t="shared" si="312"/>
        <v>2476446.2134791645</v>
      </c>
      <c r="P934" s="21">
        <f t="shared" si="313"/>
        <v>4.2848769161377351</v>
      </c>
      <c r="Q934" s="17">
        <v>2199371</v>
      </c>
      <c r="R934" s="17">
        <v>80243</v>
      </c>
      <c r="S934" s="19">
        <f t="shared" si="314"/>
        <v>2279614</v>
      </c>
      <c r="T934" s="20">
        <f t="shared" si="315"/>
        <v>0.01</v>
      </c>
      <c r="U934" s="19">
        <f t="shared" si="316"/>
        <v>23026.404040404039</v>
      </c>
      <c r="V934" s="17">
        <v>23026</v>
      </c>
      <c r="W934" s="19">
        <f t="shared" si="317"/>
        <v>0.40404040403882391</v>
      </c>
      <c r="X934" s="19">
        <f t="shared" si="318"/>
        <v>334357</v>
      </c>
      <c r="Y934" s="17">
        <v>312883</v>
      </c>
      <c r="Z934" s="17">
        <v>21474</v>
      </c>
      <c r="AA934" s="19">
        <f t="shared" si="319"/>
        <v>311331</v>
      </c>
      <c r="AB934" s="17">
        <v>2279614</v>
      </c>
      <c r="AC934" s="27">
        <v>33.533000000000001</v>
      </c>
      <c r="AD934" s="27">
        <v>34.357999999999997</v>
      </c>
      <c r="AE934" s="22">
        <f t="shared" si="320"/>
        <v>66348.856161592645</v>
      </c>
      <c r="AF934" s="23">
        <f t="shared" si="321"/>
        <v>1</v>
      </c>
      <c r="AG934" s="23">
        <f t="shared" si="322"/>
        <v>0</v>
      </c>
      <c r="AH934" s="17">
        <v>1716455.4191819399</v>
      </c>
      <c r="AI934" s="24">
        <f t="shared" si="323"/>
        <v>0.75295879880626282</v>
      </c>
      <c r="AJ934" s="25">
        <v>409738337.32718903</v>
      </c>
      <c r="AK934" s="24">
        <f t="shared" si="324"/>
        <v>2.3416664910166952E-2</v>
      </c>
      <c r="AL934" s="22">
        <f t="shared" si="325"/>
        <v>26286.863961752704</v>
      </c>
      <c r="AM934" s="22">
        <f t="shared" si="326"/>
        <v>66348.856161592645</v>
      </c>
      <c r="AN934" s="22">
        <f t="shared" si="327"/>
        <v>-40061.992199839937</v>
      </c>
      <c r="AO934" s="26" t="str">
        <f t="shared" si="328"/>
        <v>YES</v>
      </c>
      <c r="AP934" s="26" t="str">
        <f t="shared" si="329"/>
        <v>pre-launch</v>
      </c>
      <c r="AQ934" s="28">
        <v>21</v>
      </c>
      <c r="AR934" s="28">
        <v>16</v>
      </c>
    </row>
    <row r="935" spans="1:44" x14ac:dyDescent="0.25">
      <c r="A935" s="43">
        <v>45996</v>
      </c>
      <c r="B935" s="17">
        <v>7078405379.5200005</v>
      </c>
      <c r="C935" s="17">
        <v>337688928.70999998</v>
      </c>
      <c r="D935" s="17">
        <v>184407507</v>
      </c>
      <c r="E935" s="19">
        <f t="shared" si="308"/>
        <v>7416094308.2300005</v>
      </c>
      <c r="F935" s="19">
        <f t="shared" si="309"/>
        <v>7600501815.2300005</v>
      </c>
      <c r="G935" s="20">
        <f t="shared" si="310"/>
        <v>4.5534605504578086E-2</v>
      </c>
      <c r="H935" s="17">
        <v>2772077</v>
      </c>
      <c r="I935" s="17">
        <v>94893</v>
      </c>
      <c r="J935" s="17">
        <v>25933</v>
      </c>
      <c r="K935" s="19">
        <f t="shared" si="311"/>
        <v>2866970</v>
      </c>
      <c r="L935" s="17">
        <v>27137.674644458901</v>
      </c>
      <c r="M935" s="17">
        <v>13568.871281459</v>
      </c>
      <c r="N935" s="17">
        <v>13568.803362999801</v>
      </c>
      <c r="O935" s="19">
        <f t="shared" si="312"/>
        <v>2744939.325355541</v>
      </c>
      <c r="P935" s="21">
        <f t="shared" si="313"/>
        <v>3.8779063619293308</v>
      </c>
      <c r="Q935" s="17">
        <v>2490853</v>
      </c>
      <c r="R935" s="17">
        <v>76535</v>
      </c>
      <c r="S935" s="19">
        <f t="shared" si="314"/>
        <v>2567388</v>
      </c>
      <c r="T935" s="20">
        <f t="shared" si="315"/>
        <v>0.01</v>
      </c>
      <c r="U935" s="19">
        <f t="shared" si="316"/>
        <v>25933.212121212124</v>
      </c>
      <c r="V935" s="17">
        <v>25933</v>
      </c>
      <c r="W935" s="19">
        <f t="shared" si="317"/>
        <v>0.21212121212374768</v>
      </c>
      <c r="X935" s="19">
        <f t="shared" si="318"/>
        <v>299582</v>
      </c>
      <c r="Y935" s="17">
        <v>281224</v>
      </c>
      <c r="Z935" s="17">
        <v>18358</v>
      </c>
      <c r="AA935" s="19">
        <f t="shared" si="319"/>
        <v>273649</v>
      </c>
      <c r="AB935" s="17">
        <v>2567388</v>
      </c>
      <c r="AC935" s="27">
        <v>30.992000000000001</v>
      </c>
      <c r="AD935" s="27">
        <v>32.228999999999999</v>
      </c>
      <c r="AE935" s="22">
        <f t="shared" si="320"/>
        <v>79660.802382947033</v>
      </c>
      <c r="AF935" s="23">
        <f t="shared" si="321"/>
        <v>0</v>
      </c>
      <c r="AG935" s="23">
        <f t="shared" si="322"/>
        <v>0</v>
      </c>
      <c r="AH935" s="17">
        <v>2029066.095312</v>
      </c>
      <c r="AI935" s="24">
        <f t="shared" si="323"/>
        <v>0.79032312035111174</v>
      </c>
      <c r="AJ935" s="25">
        <v>409893104.07373297</v>
      </c>
      <c r="AK935" s="24">
        <f t="shared" si="324"/>
        <v>2.3412243680376782E-2</v>
      </c>
      <c r="AL935" s="22">
        <f t="shared" si="325"/>
        <v>26291.828042411718</v>
      </c>
      <c r="AM935" s="22">
        <f t="shared" si="326"/>
        <v>79660.802382947033</v>
      </c>
      <c r="AN935" s="22">
        <f t="shared" si="327"/>
        <v>-53368.974340535315</v>
      </c>
      <c r="AO935" s="26" t="str">
        <f t="shared" si="328"/>
        <v>YES</v>
      </c>
      <c r="AP935" s="26" t="str">
        <f t="shared" si="329"/>
        <v>pre-launch</v>
      </c>
      <c r="AQ935" s="28">
        <v>22</v>
      </c>
      <c r="AR935" s="28">
        <v>17</v>
      </c>
    </row>
    <row r="936" spans="1:44" x14ac:dyDescent="0.25">
      <c r="A936" s="43">
        <v>45997</v>
      </c>
      <c r="B936" s="17">
        <v>2342409581.1500001</v>
      </c>
      <c r="C936" s="17">
        <v>60225116.109999999</v>
      </c>
      <c r="D936" s="17">
        <v>99071556</v>
      </c>
      <c r="E936" s="19">
        <f t="shared" si="308"/>
        <v>2402634697.2600002</v>
      </c>
      <c r="F936" s="19">
        <f t="shared" si="309"/>
        <v>2501706253.2600002</v>
      </c>
      <c r="G936" s="20">
        <f t="shared" si="310"/>
        <v>2.5066280853548648E-2</v>
      </c>
      <c r="H936" s="17">
        <v>964175</v>
      </c>
      <c r="I936" s="17">
        <v>57413</v>
      </c>
      <c r="J936" s="17">
        <v>8960</v>
      </c>
      <c r="K936" s="19">
        <f t="shared" si="311"/>
        <v>1021588</v>
      </c>
      <c r="L936" s="17">
        <v>4770.7820358825602</v>
      </c>
      <c r="M936" s="17">
        <v>2385.5970661176102</v>
      </c>
      <c r="N936" s="17">
        <v>2385.18496976495</v>
      </c>
      <c r="O936" s="19">
        <f t="shared" si="312"/>
        <v>959404.21796411742</v>
      </c>
      <c r="P936" s="21">
        <f t="shared" si="313"/>
        <v>4.0958004342396013</v>
      </c>
      <c r="Q936" s="17">
        <v>843305</v>
      </c>
      <c r="R936" s="17">
        <v>43750</v>
      </c>
      <c r="S936" s="19">
        <f t="shared" si="314"/>
        <v>887055</v>
      </c>
      <c r="T936" s="20">
        <f t="shared" si="315"/>
        <v>0.01</v>
      </c>
      <c r="U936" s="19">
        <f t="shared" si="316"/>
        <v>8960.1515151515159</v>
      </c>
      <c r="V936" s="17">
        <v>8960</v>
      </c>
      <c r="W936" s="19">
        <f t="shared" si="317"/>
        <v>0.15151515151592321</v>
      </c>
      <c r="X936" s="19">
        <f t="shared" si="318"/>
        <v>134533</v>
      </c>
      <c r="Y936" s="17">
        <v>120871</v>
      </c>
      <c r="Z936" s="17">
        <v>13662</v>
      </c>
      <c r="AA936" s="19">
        <f t="shared" si="319"/>
        <v>125573</v>
      </c>
      <c r="AB936" s="17">
        <v>887055</v>
      </c>
      <c r="AC936" s="27">
        <v>30.952000000000002</v>
      </c>
      <c r="AD936" s="27">
        <v>30.909500000000001</v>
      </c>
      <c r="AE936" s="22">
        <f t="shared" si="320"/>
        <v>28698.458402756434</v>
      </c>
      <c r="AF936" s="23">
        <f t="shared" si="321"/>
        <v>0</v>
      </c>
      <c r="AG936" s="23">
        <f t="shared" si="322"/>
        <v>0</v>
      </c>
      <c r="AH936" s="17">
        <v>685914.76425898098</v>
      </c>
      <c r="AI936" s="24">
        <f t="shared" si="323"/>
        <v>0.77324942000099317</v>
      </c>
      <c r="AJ936" s="25">
        <v>410047870.82027698</v>
      </c>
      <c r="AK936" s="24">
        <f t="shared" si="324"/>
        <v>2.3407824953918473E-2</v>
      </c>
      <c r="AL936" s="22">
        <f t="shared" si="325"/>
        <v>26296.791185994567</v>
      </c>
      <c r="AM936" s="22">
        <f t="shared" si="326"/>
        <v>28698.458402756434</v>
      </c>
      <c r="AN936" s="22">
        <f t="shared" si="327"/>
        <v>-2401.6672167618672</v>
      </c>
      <c r="AO936" s="26" t="str">
        <f t="shared" si="328"/>
        <v>YES</v>
      </c>
      <c r="AP936" s="26" t="str">
        <f t="shared" si="329"/>
        <v>pre-launch</v>
      </c>
      <c r="AQ936" s="28">
        <v>23</v>
      </c>
      <c r="AR936" s="28">
        <v>17</v>
      </c>
    </row>
    <row r="937" spans="1:44" x14ac:dyDescent="0.25">
      <c r="A937" s="43">
        <v>45998</v>
      </c>
      <c r="B937" s="17">
        <v>6051691032.1899996</v>
      </c>
      <c r="C937" s="17">
        <v>101338016.23</v>
      </c>
      <c r="D937" s="17">
        <v>160424812</v>
      </c>
      <c r="E937" s="19">
        <f t="shared" si="308"/>
        <v>6153029048.4199991</v>
      </c>
      <c r="F937" s="19">
        <f t="shared" si="309"/>
        <v>6313453860.4199991</v>
      </c>
      <c r="G937" s="20">
        <f t="shared" si="310"/>
        <v>1.6469614466718959E-2</v>
      </c>
      <c r="H937" s="17">
        <v>2398211</v>
      </c>
      <c r="I937" s="17">
        <v>83272</v>
      </c>
      <c r="J937" s="17">
        <v>22797</v>
      </c>
      <c r="K937" s="19">
        <f t="shared" si="311"/>
        <v>2481483</v>
      </c>
      <c r="L937" s="17">
        <v>6728.6677933769997</v>
      </c>
      <c r="M937" s="17">
        <v>3364.3466370901701</v>
      </c>
      <c r="N937" s="17">
        <v>3364.32115628683</v>
      </c>
      <c r="O937" s="19">
        <f t="shared" si="312"/>
        <v>2391482.3322066232</v>
      </c>
      <c r="P937" s="21">
        <f t="shared" si="313"/>
        <v>3.9517588050776413</v>
      </c>
      <c r="Q937" s="17">
        <v>2186115</v>
      </c>
      <c r="R937" s="17">
        <v>70761</v>
      </c>
      <c r="S937" s="19">
        <f t="shared" si="314"/>
        <v>2256876</v>
      </c>
      <c r="T937" s="20">
        <f t="shared" si="315"/>
        <v>0.01</v>
      </c>
      <c r="U937" s="19">
        <f t="shared" si="316"/>
        <v>22796.727272727276</v>
      </c>
      <c r="V937" s="17">
        <v>22797</v>
      </c>
      <c r="W937" s="19">
        <f t="shared" si="317"/>
        <v>-0.2727272727242962</v>
      </c>
      <c r="X937" s="19">
        <f t="shared" si="318"/>
        <v>224607</v>
      </c>
      <c r="Y937" s="17">
        <v>212096</v>
      </c>
      <c r="Z937" s="17">
        <v>12511</v>
      </c>
      <c r="AA937" s="19">
        <f t="shared" si="319"/>
        <v>201810</v>
      </c>
      <c r="AB937" s="17">
        <v>2256876</v>
      </c>
      <c r="AC937" s="27">
        <v>29.728000000000002</v>
      </c>
      <c r="AD937" s="27">
        <v>30.003499999999999</v>
      </c>
      <c r="AE937" s="22">
        <f t="shared" si="320"/>
        <v>75220.424283833549</v>
      </c>
      <c r="AF937" s="23">
        <f t="shared" si="321"/>
        <v>0</v>
      </c>
      <c r="AG937" s="23">
        <f t="shared" si="322"/>
        <v>0</v>
      </c>
      <c r="AH937" s="17">
        <v>1745924.6882630601</v>
      </c>
      <c r="AI937" s="24">
        <f t="shared" si="323"/>
        <v>0.77360239918500617</v>
      </c>
      <c r="AJ937" s="25">
        <v>410202637.56682003</v>
      </c>
      <c r="AK937" s="24">
        <f t="shared" si="324"/>
        <v>2.3403408728430594E-2</v>
      </c>
      <c r="AL937" s="22">
        <f t="shared" si="325"/>
        <v>26301.753393031693</v>
      </c>
      <c r="AM937" s="22">
        <f t="shared" si="326"/>
        <v>75220.424283833549</v>
      </c>
      <c r="AN937" s="22">
        <f t="shared" si="327"/>
        <v>-48918.670890801855</v>
      </c>
      <c r="AO937" s="26" t="str">
        <f t="shared" si="328"/>
        <v>YES</v>
      </c>
      <c r="AP937" s="26" t="str">
        <f t="shared" si="329"/>
        <v>pre-launch</v>
      </c>
      <c r="AQ937" s="28">
        <v>23</v>
      </c>
      <c r="AR937" s="28">
        <v>17</v>
      </c>
    </row>
    <row r="938" spans="1:44" x14ac:dyDescent="0.25">
      <c r="A938" s="43">
        <v>45999</v>
      </c>
      <c r="B938" s="17">
        <v>5995925599.9099998</v>
      </c>
      <c r="C938" s="17">
        <v>303424289.35000002</v>
      </c>
      <c r="D938" s="17">
        <v>149941296</v>
      </c>
      <c r="E938" s="19">
        <f t="shared" si="308"/>
        <v>6299349889.2600002</v>
      </c>
      <c r="F938" s="19">
        <f t="shared" si="309"/>
        <v>6449291185.2600002</v>
      </c>
      <c r="G938" s="20">
        <f t="shared" si="310"/>
        <v>4.8167556126278932E-2</v>
      </c>
      <c r="H938" s="17">
        <v>2430188</v>
      </c>
      <c r="I938" s="17">
        <v>79707</v>
      </c>
      <c r="J938" s="17">
        <v>22540</v>
      </c>
      <c r="K938" s="19">
        <f t="shared" si="311"/>
        <v>2509895</v>
      </c>
      <c r="L938" s="17">
        <v>20393.789898867301</v>
      </c>
      <c r="M938" s="17">
        <v>10197.6791296961</v>
      </c>
      <c r="N938" s="17">
        <v>10196.1107691712</v>
      </c>
      <c r="O938" s="19">
        <f t="shared" si="312"/>
        <v>2409794.2101011327</v>
      </c>
      <c r="P938" s="21">
        <f t="shared" si="313"/>
        <v>4.0190528884102639</v>
      </c>
      <c r="Q938" s="17">
        <v>2169157</v>
      </c>
      <c r="R938" s="17">
        <v>62256</v>
      </c>
      <c r="S938" s="19">
        <f t="shared" si="314"/>
        <v>2231413</v>
      </c>
      <c r="T938" s="20">
        <f t="shared" si="315"/>
        <v>0.01</v>
      </c>
      <c r="U938" s="19">
        <f t="shared" si="316"/>
        <v>22539.525252525254</v>
      </c>
      <c r="V938" s="17">
        <v>22540</v>
      </c>
      <c r="W938" s="19">
        <f t="shared" si="317"/>
        <v>-0.47474747474552714</v>
      </c>
      <c r="X938" s="19">
        <f t="shared" si="318"/>
        <v>278483</v>
      </c>
      <c r="Y938" s="17">
        <v>261032</v>
      </c>
      <c r="Z938" s="17">
        <v>17451</v>
      </c>
      <c r="AA938" s="19">
        <f t="shared" si="319"/>
        <v>255943</v>
      </c>
      <c r="AB938" s="17">
        <v>2231413</v>
      </c>
      <c r="AC938" s="27">
        <v>29.475999999999999</v>
      </c>
      <c r="AD938" s="27">
        <v>29.705749999999998</v>
      </c>
      <c r="AE938" s="22">
        <f t="shared" si="320"/>
        <v>75117.207947956209</v>
      </c>
      <c r="AF938" s="23">
        <f t="shared" si="321"/>
        <v>-1</v>
      </c>
      <c r="AG938" s="23">
        <f t="shared" si="322"/>
        <v>0</v>
      </c>
      <c r="AH938" s="17">
        <v>1761371.35711694</v>
      </c>
      <c r="AI938" s="24">
        <f t="shared" si="323"/>
        <v>0.78935246730073727</v>
      </c>
      <c r="AJ938" s="25">
        <v>410357404.31336403</v>
      </c>
      <c r="AK938" s="24">
        <f t="shared" si="324"/>
        <v>2.3398995001554769E-2</v>
      </c>
      <c r="AL938" s="22">
        <f t="shared" si="325"/>
        <v>26306.714664053135</v>
      </c>
      <c r="AM938" s="22">
        <f t="shared" si="326"/>
        <v>75117.207947956209</v>
      </c>
      <c r="AN938" s="22">
        <f t="shared" si="327"/>
        <v>-48810.493283903073</v>
      </c>
      <c r="AO938" s="26" t="str">
        <f t="shared" si="328"/>
        <v>YES</v>
      </c>
      <c r="AP938" s="26" t="str">
        <f t="shared" si="329"/>
        <v>pre-launch</v>
      </c>
      <c r="AQ938" s="28">
        <v>26</v>
      </c>
      <c r="AR938" s="28">
        <v>18</v>
      </c>
    </row>
    <row r="939" spans="1:44" x14ac:dyDescent="0.25">
      <c r="A939" s="43">
        <v>46000</v>
      </c>
      <c r="B939" s="17">
        <v>8394571898.9899998</v>
      </c>
      <c r="C939" s="17">
        <v>288573447.49000001</v>
      </c>
      <c r="D939" s="17">
        <v>242510850</v>
      </c>
      <c r="E939" s="19">
        <f t="shared" si="308"/>
        <v>8683145346.4799995</v>
      </c>
      <c r="F939" s="19">
        <f t="shared" si="309"/>
        <v>8925656196.4799995</v>
      </c>
      <c r="G939" s="20">
        <f t="shared" si="310"/>
        <v>3.323374606495362E-2</v>
      </c>
      <c r="H939" s="17">
        <v>3223637</v>
      </c>
      <c r="I939" s="17">
        <v>121960</v>
      </c>
      <c r="J939" s="17">
        <v>30638</v>
      </c>
      <c r="K939" s="19">
        <f t="shared" si="311"/>
        <v>3345597</v>
      </c>
      <c r="L939" s="17">
        <v>25632.099465049901</v>
      </c>
      <c r="M939" s="17">
        <v>14715.2825598196</v>
      </c>
      <c r="N939" s="17">
        <v>10916.8169052304</v>
      </c>
      <c r="O939" s="19">
        <f t="shared" si="312"/>
        <v>3198004.9005349502</v>
      </c>
      <c r="P939" s="21">
        <f t="shared" si="313"/>
        <v>3.8096104709279111</v>
      </c>
      <c r="Q939" s="17">
        <v>2939646</v>
      </c>
      <c r="R939" s="17">
        <v>93509</v>
      </c>
      <c r="S939" s="19">
        <f t="shared" si="314"/>
        <v>3033155</v>
      </c>
      <c r="T939" s="20">
        <f t="shared" si="315"/>
        <v>0.01</v>
      </c>
      <c r="U939" s="19">
        <f t="shared" si="316"/>
        <v>30637.929292929293</v>
      </c>
      <c r="V939" s="17">
        <v>30638</v>
      </c>
      <c r="W939" s="19">
        <f t="shared" si="317"/>
        <v>-7.0707070706703234E-2</v>
      </c>
      <c r="X939" s="19">
        <f t="shared" si="318"/>
        <v>312444</v>
      </c>
      <c r="Y939" s="17">
        <v>283992</v>
      </c>
      <c r="Z939" s="17">
        <v>28452</v>
      </c>
      <c r="AA939" s="19">
        <f t="shared" si="319"/>
        <v>281806</v>
      </c>
      <c r="AB939" s="17">
        <v>3033155</v>
      </c>
      <c r="AC939" s="27">
        <v>27.901</v>
      </c>
      <c r="AD939" s="27">
        <v>28.582000000000001</v>
      </c>
      <c r="AE939" s="22">
        <f t="shared" si="320"/>
        <v>106121.16017073682</v>
      </c>
      <c r="AF939" s="23">
        <f t="shared" si="321"/>
        <v>-2</v>
      </c>
      <c r="AG939" s="23">
        <f t="shared" si="322"/>
        <v>0</v>
      </c>
      <c r="AH939" s="17">
        <v>2454089.4879640299</v>
      </c>
      <c r="AI939" s="24">
        <f t="shared" si="323"/>
        <v>0.80908805780252901</v>
      </c>
      <c r="AJ939" s="25">
        <v>410512171.05990797</v>
      </c>
      <c r="AK939" s="24">
        <f t="shared" si="324"/>
        <v>2.3394583770935801E-2</v>
      </c>
      <c r="AL939" s="22">
        <f t="shared" si="325"/>
        <v>26311.67499958834</v>
      </c>
      <c r="AM939" s="22">
        <f t="shared" si="326"/>
        <v>106121.16017073682</v>
      </c>
      <c r="AN939" s="22">
        <f t="shared" si="327"/>
        <v>-79809.485171148481</v>
      </c>
      <c r="AO939" s="26" t="str">
        <f t="shared" si="328"/>
        <v>YES</v>
      </c>
      <c r="AP939" s="26" t="str">
        <f t="shared" si="329"/>
        <v>pre-launch</v>
      </c>
      <c r="AQ939" s="28">
        <v>26</v>
      </c>
      <c r="AR939" s="28">
        <v>18</v>
      </c>
    </row>
    <row r="940" spans="1:44" x14ac:dyDescent="0.25">
      <c r="A940" s="43">
        <v>46001</v>
      </c>
      <c r="B940" s="17">
        <v>7948970492.46</v>
      </c>
      <c r="C940" s="17">
        <v>396820136.35000002</v>
      </c>
      <c r="D940" s="17">
        <v>231476519</v>
      </c>
      <c r="E940" s="19">
        <f t="shared" si="308"/>
        <v>8345790628.8100004</v>
      </c>
      <c r="F940" s="19">
        <f t="shared" si="309"/>
        <v>8577267147.8100004</v>
      </c>
      <c r="G940" s="20">
        <f t="shared" si="310"/>
        <v>4.754733901185601E-2</v>
      </c>
      <c r="H940" s="17">
        <v>3061012</v>
      </c>
      <c r="I940" s="17">
        <v>134546</v>
      </c>
      <c r="J940" s="17">
        <v>28938</v>
      </c>
      <c r="K940" s="19">
        <f t="shared" si="311"/>
        <v>3195558</v>
      </c>
      <c r="L940" s="17">
        <v>33276.166458765903</v>
      </c>
      <c r="M940" s="17">
        <v>19221.668071697401</v>
      </c>
      <c r="N940" s="17">
        <v>14054.498387068499</v>
      </c>
      <c r="O940" s="19">
        <f t="shared" si="312"/>
        <v>3027735.833541234</v>
      </c>
      <c r="P940" s="21">
        <f t="shared" si="313"/>
        <v>3.8089659993243079</v>
      </c>
      <c r="Q940" s="17">
        <v>2790047</v>
      </c>
      <c r="R940" s="17">
        <v>74812</v>
      </c>
      <c r="S940" s="19">
        <f t="shared" si="314"/>
        <v>2864859</v>
      </c>
      <c r="T940" s="20">
        <f t="shared" si="315"/>
        <v>0.01</v>
      </c>
      <c r="U940" s="19">
        <f t="shared" si="316"/>
        <v>28937.969696969696</v>
      </c>
      <c r="V940" s="17">
        <v>28938</v>
      </c>
      <c r="W940" s="19">
        <f t="shared" si="317"/>
        <v>-3.0303030303912237E-2</v>
      </c>
      <c r="X940" s="19">
        <f t="shared" si="318"/>
        <v>330700</v>
      </c>
      <c r="Y940" s="17">
        <v>270966</v>
      </c>
      <c r="Z940" s="17">
        <v>59734</v>
      </c>
      <c r="AA940" s="19">
        <f t="shared" si="319"/>
        <v>301762</v>
      </c>
      <c r="AB940" s="17">
        <v>2864859</v>
      </c>
      <c r="AC940" s="27">
        <v>28.835999999999999</v>
      </c>
      <c r="AD940" s="27">
        <v>28.588750000000001</v>
      </c>
      <c r="AE940" s="22">
        <f t="shared" si="320"/>
        <v>100209.31310393073</v>
      </c>
      <c r="AF940" s="23">
        <f t="shared" si="321"/>
        <v>-1</v>
      </c>
      <c r="AG940" s="23">
        <f t="shared" si="322"/>
        <v>0</v>
      </c>
      <c r="AH940" s="17">
        <v>2302142.2751879701</v>
      </c>
      <c r="AI940" s="24">
        <f t="shared" si="323"/>
        <v>0.80357960904462322</v>
      </c>
      <c r="AJ940" s="25">
        <v>410666937.80645198</v>
      </c>
      <c r="AK940" s="24">
        <f t="shared" si="324"/>
        <v>2.3390175034221587E-2</v>
      </c>
      <c r="AL940" s="22">
        <f t="shared" si="325"/>
        <v>26316.634400166306</v>
      </c>
      <c r="AM940" s="22">
        <f t="shared" si="326"/>
        <v>100209.31310393073</v>
      </c>
      <c r="AN940" s="22">
        <f t="shared" si="327"/>
        <v>-73892.678703764424</v>
      </c>
      <c r="AO940" s="26" t="str">
        <f t="shared" si="328"/>
        <v>YES</v>
      </c>
      <c r="AP940" s="26" t="str">
        <f t="shared" si="329"/>
        <v>pre-launch</v>
      </c>
      <c r="AQ940" s="28">
        <v>27</v>
      </c>
      <c r="AR940" s="28">
        <v>18</v>
      </c>
    </row>
    <row r="941" spans="1:44" x14ac:dyDescent="0.25">
      <c r="A941" s="43">
        <v>46002</v>
      </c>
      <c r="B941" s="17">
        <v>7799431900.4499998</v>
      </c>
      <c r="C941" s="17">
        <v>476510012.25</v>
      </c>
      <c r="D941" s="17">
        <v>185478279</v>
      </c>
      <c r="E941" s="19">
        <f t="shared" si="308"/>
        <v>8275941912.6999998</v>
      </c>
      <c r="F941" s="19">
        <f t="shared" si="309"/>
        <v>8461420191.6999998</v>
      </c>
      <c r="G941" s="20">
        <f t="shared" si="310"/>
        <v>5.7577737649265368E-2</v>
      </c>
      <c r="H941" s="17">
        <v>3095265</v>
      </c>
      <c r="I941" s="17">
        <v>89006</v>
      </c>
      <c r="J941" s="17">
        <v>29121</v>
      </c>
      <c r="K941" s="19">
        <f t="shared" si="311"/>
        <v>3184271</v>
      </c>
      <c r="L941" s="17">
        <v>35625.800461253297</v>
      </c>
      <c r="M941" s="17">
        <v>20347.741662198801</v>
      </c>
      <c r="N941" s="17">
        <v>15278.058799054499</v>
      </c>
      <c r="O941" s="19">
        <f t="shared" si="312"/>
        <v>3059639.1995387468</v>
      </c>
      <c r="P941" s="21">
        <f t="shared" si="313"/>
        <v>3.9229000760455599</v>
      </c>
      <c r="Q941" s="17">
        <v>2817278</v>
      </c>
      <c r="R941" s="17">
        <v>65652</v>
      </c>
      <c r="S941" s="19">
        <f t="shared" si="314"/>
        <v>2882930</v>
      </c>
      <c r="T941" s="20">
        <f t="shared" si="315"/>
        <v>0.01</v>
      </c>
      <c r="U941" s="19">
        <f t="shared" si="316"/>
        <v>29120.505050505049</v>
      </c>
      <c r="V941" s="17">
        <v>29121</v>
      </c>
      <c r="W941" s="19">
        <f t="shared" si="317"/>
        <v>-0.49494949495056062</v>
      </c>
      <c r="X941" s="19">
        <f t="shared" si="318"/>
        <v>301340</v>
      </c>
      <c r="Y941" s="17">
        <v>277987</v>
      </c>
      <c r="Z941" s="17">
        <v>23353</v>
      </c>
      <c r="AA941" s="19">
        <f t="shared" si="319"/>
        <v>272219</v>
      </c>
      <c r="AB941" s="17">
        <v>2882930</v>
      </c>
      <c r="AC941" s="27">
        <v>29.164000000000001</v>
      </c>
      <c r="AD941" s="27">
        <v>28.5275</v>
      </c>
      <c r="AE941" s="22">
        <f t="shared" si="320"/>
        <v>101057.92656208921</v>
      </c>
      <c r="AF941" s="23">
        <f t="shared" si="321"/>
        <v>1</v>
      </c>
      <c r="AG941" s="23">
        <f t="shared" si="322"/>
        <v>0</v>
      </c>
      <c r="AH941" s="17">
        <v>2236592.3087940202</v>
      </c>
      <c r="AI941" s="24">
        <f t="shared" si="323"/>
        <v>0.77580527754542083</v>
      </c>
      <c r="AJ941" s="25">
        <v>410821704.55299503</v>
      </c>
      <c r="AK941" s="24">
        <f t="shared" si="324"/>
        <v>2.3385768789063125E-2</v>
      </c>
      <c r="AL941" s="22">
        <f t="shared" si="325"/>
        <v>26321.592866315463</v>
      </c>
      <c r="AM941" s="22">
        <f t="shared" si="326"/>
        <v>101057.92656208921</v>
      </c>
      <c r="AN941" s="22">
        <f t="shared" si="327"/>
        <v>-74736.333695773748</v>
      </c>
      <c r="AO941" s="26" t="str">
        <f t="shared" si="328"/>
        <v>YES</v>
      </c>
      <c r="AP941" s="26" t="str">
        <f t="shared" si="329"/>
        <v>pre-launch</v>
      </c>
      <c r="AQ941" s="28">
        <v>27</v>
      </c>
      <c r="AR941" s="28">
        <v>18</v>
      </c>
    </row>
    <row r="942" spans="1:44" x14ac:dyDescent="0.25">
      <c r="A942" s="43">
        <v>46003</v>
      </c>
      <c r="B942" s="17">
        <v>5893889703.0600004</v>
      </c>
      <c r="C942" s="17">
        <v>491267765.38999999</v>
      </c>
      <c r="D942" s="17">
        <v>155950246</v>
      </c>
      <c r="E942" s="19">
        <f t="shared" si="308"/>
        <v>6385157468.4500008</v>
      </c>
      <c r="F942" s="19">
        <f t="shared" si="309"/>
        <v>6541107714.4500008</v>
      </c>
      <c r="G942" s="20">
        <f t="shared" si="310"/>
        <v>7.693902113102552E-2</v>
      </c>
      <c r="H942" s="17">
        <v>2285973</v>
      </c>
      <c r="I942" s="17">
        <v>73899</v>
      </c>
      <c r="J942" s="17">
        <v>21579</v>
      </c>
      <c r="K942" s="19">
        <f t="shared" si="311"/>
        <v>2359872</v>
      </c>
      <c r="L942" s="17">
        <v>34811.037241138598</v>
      </c>
      <c r="M942" s="17">
        <v>19379.548155817301</v>
      </c>
      <c r="N942" s="17">
        <v>15431.4890853213</v>
      </c>
      <c r="O942" s="19">
        <f t="shared" si="312"/>
        <v>2251161.9627588615</v>
      </c>
      <c r="P942" s="21">
        <f t="shared" si="313"/>
        <v>3.8194843747925908</v>
      </c>
      <c r="Q942" s="17">
        <v>2077793</v>
      </c>
      <c r="R942" s="17">
        <v>58512</v>
      </c>
      <c r="S942" s="19">
        <f t="shared" si="314"/>
        <v>2136305</v>
      </c>
      <c r="T942" s="20">
        <f t="shared" si="315"/>
        <v>0.01</v>
      </c>
      <c r="U942" s="19">
        <f t="shared" si="316"/>
        <v>21578.838383838382</v>
      </c>
      <c r="V942" s="17">
        <v>21579</v>
      </c>
      <c r="W942" s="19">
        <f t="shared" si="317"/>
        <v>-0.16161616161843995</v>
      </c>
      <c r="X942" s="19">
        <f t="shared" si="318"/>
        <v>223568</v>
      </c>
      <c r="Y942" s="17">
        <v>208181</v>
      </c>
      <c r="Z942" s="17">
        <v>15387</v>
      </c>
      <c r="AA942" s="19">
        <f t="shared" si="319"/>
        <v>201989</v>
      </c>
      <c r="AB942" s="17">
        <v>2136305</v>
      </c>
      <c r="AC942" s="27">
        <v>28.611999999999998</v>
      </c>
      <c r="AD942" s="27">
        <v>29.0945</v>
      </c>
      <c r="AE942" s="22">
        <f t="shared" si="320"/>
        <v>73426.42080118235</v>
      </c>
      <c r="AF942" s="23">
        <f t="shared" si="321"/>
        <v>-1</v>
      </c>
      <c r="AG942" s="23">
        <f t="shared" si="322"/>
        <v>0</v>
      </c>
      <c r="AH942" s="17">
        <v>1719664.3475450301</v>
      </c>
      <c r="AI942" s="24">
        <f t="shared" si="323"/>
        <v>0.80497136295848681</v>
      </c>
      <c r="AJ942" s="25">
        <v>410976471.29953903</v>
      </c>
      <c r="AK942" s="24">
        <f t="shared" si="324"/>
        <v>2.3381365033114464E-2</v>
      </c>
      <c r="AL942" s="22">
        <f t="shared" si="325"/>
        <v>26326.550398563868</v>
      </c>
      <c r="AM942" s="22">
        <f t="shared" si="326"/>
        <v>73426.42080118235</v>
      </c>
      <c r="AN942" s="22">
        <f t="shared" si="327"/>
        <v>-47099.870402618486</v>
      </c>
      <c r="AO942" s="26" t="str">
        <f t="shared" si="328"/>
        <v>YES</v>
      </c>
      <c r="AP942" s="26" t="str">
        <f t="shared" si="329"/>
        <v>pre-launch</v>
      </c>
      <c r="AQ942" s="28">
        <v>28</v>
      </c>
      <c r="AR942" s="28">
        <v>18</v>
      </c>
    </row>
    <row r="943" spans="1:44" x14ac:dyDescent="0.25">
      <c r="A943" s="43">
        <v>46004</v>
      </c>
      <c r="B943" s="17">
        <v>1449347167.1400001</v>
      </c>
      <c r="C943" s="17">
        <v>46591635.469999999</v>
      </c>
      <c r="D943" s="17">
        <v>84693666</v>
      </c>
      <c r="E943" s="19">
        <f t="shared" si="308"/>
        <v>1495938802.6100001</v>
      </c>
      <c r="F943" s="19">
        <f t="shared" si="309"/>
        <v>1580632468.6100001</v>
      </c>
      <c r="G943" s="20">
        <f t="shared" si="310"/>
        <v>3.1145415433245303E-2</v>
      </c>
      <c r="H943" s="17">
        <v>629537</v>
      </c>
      <c r="I943" s="17">
        <v>47021</v>
      </c>
      <c r="J943" s="17">
        <v>5863</v>
      </c>
      <c r="K943" s="19">
        <f t="shared" si="311"/>
        <v>676558</v>
      </c>
      <c r="L943" s="17">
        <v>5232.1030294734201</v>
      </c>
      <c r="M943" s="17">
        <v>3672.6619080503901</v>
      </c>
      <c r="N943" s="17">
        <v>1559.4411214230299</v>
      </c>
      <c r="O943" s="19">
        <f t="shared" si="312"/>
        <v>624304.89697052655</v>
      </c>
      <c r="P943" s="21">
        <f t="shared" si="313"/>
        <v>4.307490373079272</v>
      </c>
      <c r="Q943" s="17">
        <v>545421</v>
      </c>
      <c r="R943" s="17">
        <v>35015</v>
      </c>
      <c r="S943" s="19">
        <f t="shared" si="314"/>
        <v>580436</v>
      </c>
      <c r="T943" s="20">
        <f t="shared" si="315"/>
        <v>0.01</v>
      </c>
      <c r="U943" s="19">
        <f t="shared" si="316"/>
        <v>5862.9898989898984</v>
      </c>
      <c r="V943" s="17">
        <v>5863</v>
      </c>
      <c r="W943" s="19">
        <f t="shared" si="317"/>
        <v>-1.0101010101607244E-2</v>
      </c>
      <c r="X943" s="19">
        <f t="shared" si="318"/>
        <v>96122</v>
      </c>
      <c r="Y943" s="17">
        <v>84116</v>
      </c>
      <c r="Z943" s="17">
        <v>12006</v>
      </c>
      <c r="AA943" s="19">
        <f t="shared" si="319"/>
        <v>90259</v>
      </c>
      <c r="AB943" s="17">
        <v>580436</v>
      </c>
      <c r="AC943" s="27">
        <v>29.593</v>
      </c>
      <c r="AD943" s="27">
        <v>28.97325</v>
      </c>
      <c r="AE943" s="22">
        <f t="shared" si="320"/>
        <v>20033.513672094086</v>
      </c>
      <c r="AF943" s="23">
        <f t="shared" si="321"/>
        <v>0</v>
      </c>
      <c r="AG943" s="23">
        <f t="shared" si="322"/>
        <v>0</v>
      </c>
      <c r="AH943" s="17">
        <v>462679.30344200099</v>
      </c>
      <c r="AI943" s="24">
        <f t="shared" si="323"/>
        <v>0.79712371982785524</v>
      </c>
      <c r="AJ943" s="25">
        <v>411131238.04608297</v>
      </c>
      <c r="AK943" s="24">
        <f t="shared" si="324"/>
        <v>2.3376963764032796E-2</v>
      </c>
      <c r="AL943" s="22">
        <f t="shared" si="325"/>
        <v>26331.50699743897</v>
      </c>
      <c r="AM943" s="22">
        <f t="shared" si="326"/>
        <v>20033.513672094086</v>
      </c>
      <c r="AN943" s="22">
        <f t="shared" si="327"/>
        <v>6297.9933253448835</v>
      </c>
      <c r="AO943" s="26" t="str">
        <f t="shared" si="328"/>
        <v>YES</v>
      </c>
      <c r="AP943" s="26" t="str">
        <f t="shared" si="329"/>
        <v>pre-launch</v>
      </c>
      <c r="AQ943" s="28">
        <v>28</v>
      </c>
      <c r="AR943" s="28">
        <v>18</v>
      </c>
    </row>
    <row r="944" spans="1:44" x14ac:dyDescent="0.25">
      <c r="A944" s="43">
        <v>46005</v>
      </c>
      <c r="B944" s="17">
        <v>3168539416.9499998</v>
      </c>
      <c r="C944" s="17">
        <v>142350093.38999999</v>
      </c>
      <c r="D944" s="17">
        <v>140402699</v>
      </c>
      <c r="E944" s="19">
        <f t="shared" si="308"/>
        <v>3310889510.3399997</v>
      </c>
      <c r="F944" s="19">
        <f t="shared" si="309"/>
        <v>3451292209.3399997</v>
      </c>
      <c r="G944" s="20">
        <f t="shared" si="310"/>
        <v>4.299451641180918E-2</v>
      </c>
      <c r="H944" s="17">
        <v>1337707</v>
      </c>
      <c r="I944" s="17">
        <v>83666</v>
      </c>
      <c r="J944" s="17">
        <v>12523</v>
      </c>
      <c r="K944" s="19">
        <f t="shared" si="311"/>
        <v>1421373</v>
      </c>
      <c r="L944" s="17">
        <v>12091.8461090568</v>
      </c>
      <c r="M944" s="17">
        <v>7570.3869846826001</v>
      </c>
      <c r="N944" s="17">
        <v>4521.4591243741597</v>
      </c>
      <c r="O944" s="19">
        <f t="shared" si="312"/>
        <v>1325615.1538909432</v>
      </c>
      <c r="P944" s="21">
        <f t="shared" si="313"/>
        <v>4.1836789114871271</v>
      </c>
      <c r="Q944" s="17">
        <v>1175967</v>
      </c>
      <c r="R944" s="17">
        <v>63808</v>
      </c>
      <c r="S944" s="19">
        <f t="shared" si="314"/>
        <v>1239775</v>
      </c>
      <c r="T944" s="20">
        <f t="shared" si="315"/>
        <v>0.01</v>
      </c>
      <c r="U944" s="19">
        <f t="shared" si="316"/>
        <v>12522.979797979799</v>
      </c>
      <c r="V944" s="17">
        <v>12523</v>
      </c>
      <c r="W944" s="19">
        <f t="shared" si="317"/>
        <v>-2.0202020201395499E-2</v>
      </c>
      <c r="X944" s="19">
        <f t="shared" si="318"/>
        <v>181598</v>
      </c>
      <c r="Y944" s="17">
        <v>161740</v>
      </c>
      <c r="Z944" s="17">
        <v>19858</v>
      </c>
      <c r="AA944" s="19">
        <f t="shared" si="319"/>
        <v>169075</v>
      </c>
      <c r="AB944" s="17">
        <v>1239775</v>
      </c>
      <c r="AC944" s="27">
        <v>28.834</v>
      </c>
      <c r="AD944" s="27">
        <v>29.181249999999999</v>
      </c>
      <c r="AE944" s="22">
        <f t="shared" si="320"/>
        <v>42485.328764189333</v>
      </c>
      <c r="AF944" s="23">
        <f t="shared" si="321"/>
        <v>0</v>
      </c>
      <c r="AG944" s="23">
        <f t="shared" si="322"/>
        <v>0</v>
      </c>
      <c r="AH944" s="17">
        <v>952815.07998395001</v>
      </c>
      <c r="AI944" s="24">
        <f t="shared" si="323"/>
        <v>0.76853871064019685</v>
      </c>
      <c r="AJ944" s="25">
        <v>411286004.79262698</v>
      </c>
      <c r="AK944" s="24">
        <f t="shared" si="324"/>
        <v>2.3372564979478389E-2</v>
      </c>
      <c r="AL944" s="22">
        <f t="shared" si="325"/>
        <v>26336.462663467762</v>
      </c>
      <c r="AM944" s="22">
        <f t="shared" si="326"/>
        <v>42485.328764189333</v>
      </c>
      <c r="AN944" s="22">
        <f t="shared" si="327"/>
        <v>-16148.866100721571</v>
      </c>
      <c r="AO944" s="26" t="str">
        <f t="shared" si="328"/>
        <v>YES</v>
      </c>
      <c r="AP944" s="26" t="str">
        <f t="shared" si="329"/>
        <v>pre-launch</v>
      </c>
      <c r="AQ944" s="28">
        <v>28</v>
      </c>
      <c r="AR944" s="28">
        <v>18</v>
      </c>
    </row>
    <row r="945" spans="1:44" x14ac:dyDescent="0.25">
      <c r="A945" s="43">
        <v>46006</v>
      </c>
      <c r="B945" s="17">
        <v>7466293547.3500004</v>
      </c>
      <c r="C945" s="17">
        <v>340496991.35000002</v>
      </c>
      <c r="D945" s="17">
        <v>166090941</v>
      </c>
      <c r="E945" s="19">
        <f t="shared" si="308"/>
        <v>7806790538.7000008</v>
      </c>
      <c r="F945" s="19">
        <f t="shared" si="309"/>
        <v>7972881479.7000008</v>
      </c>
      <c r="G945" s="20">
        <f t="shared" si="310"/>
        <v>4.3615489574375096E-2</v>
      </c>
      <c r="H945" s="17">
        <v>2689400</v>
      </c>
      <c r="I945" s="17">
        <v>85315</v>
      </c>
      <c r="J945" s="17">
        <v>25341</v>
      </c>
      <c r="K945" s="19">
        <f t="shared" si="311"/>
        <v>2774715</v>
      </c>
      <c r="L945" s="17">
        <v>27660.1804709526</v>
      </c>
      <c r="M945" s="17">
        <v>16039.274993565001</v>
      </c>
      <c r="N945" s="17">
        <v>11620.9054773876</v>
      </c>
      <c r="O945" s="19">
        <f t="shared" si="312"/>
        <v>2661739.8195290472</v>
      </c>
      <c r="P945" s="21">
        <f t="shared" si="313"/>
        <v>3.5650082636702307</v>
      </c>
      <c r="Q945" s="17">
        <v>2443396</v>
      </c>
      <c r="R945" s="17">
        <v>65373</v>
      </c>
      <c r="S945" s="19">
        <f t="shared" si="314"/>
        <v>2508769</v>
      </c>
      <c r="T945" s="20">
        <f t="shared" si="315"/>
        <v>0.01</v>
      </c>
      <c r="U945" s="19">
        <f t="shared" si="316"/>
        <v>25341.101010101014</v>
      </c>
      <c r="V945" s="17">
        <v>25341</v>
      </c>
      <c r="W945" s="19">
        <f t="shared" si="317"/>
        <v>0.10101010101425345</v>
      </c>
      <c r="X945" s="19">
        <f t="shared" si="318"/>
        <v>265946</v>
      </c>
      <c r="Y945" s="17">
        <v>246004</v>
      </c>
      <c r="Z945" s="17">
        <v>19942</v>
      </c>
      <c r="AA945" s="19">
        <f t="shared" si="319"/>
        <v>240605</v>
      </c>
      <c r="AB945" s="17">
        <v>2508769</v>
      </c>
      <c r="AC945" s="27">
        <v>27.597999999999999</v>
      </c>
      <c r="AD945" s="27">
        <v>28.29975</v>
      </c>
      <c r="AE945" s="22">
        <f t="shared" si="320"/>
        <v>88649.864398095393</v>
      </c>
      <c r="AF945" s="23">
        <f t="shared" si="321"/>
        <v>0</v>
      </c>
      <c r="AG945" s="23">
        <f t="shared" si="322"/>
        <v>0</v>
      </c>
      <c r="AH945" s="17">
        <v>2139989.51472509</v>
      </c>
      <c r="AI945" s="24">
        <f t="shared" si="323"/>
        <v>0.85300380972703749</v>
      </c>
      <c r="AJ945" s="25">
        <v>411440771.53917098</v>
      </c>
      <c r="AK945" s="24">
        <f t="shared" si="324"/>
        <v>2.3368168677114585E-2</v>
      </c>
      <c r="AL945" s="22">
        <f t="shared" si="325"/>
        <v>26341.417397176749</v>
      </c>
      <c r="AM945" s="22">
        <f t="shared" si="326"/>
        <v>88649.864398095393</v>
      </c>
      <c r="AN945" s="22">
        <f t="shared" si="327"/>
        <v>-62308.447000918648</v>
      </c>
      <c r="AO945" s="26" t="str">
        <f t="shared" si="328"/>
        <v>YES</v>
      </c>
      <c r="AP945" s="26" t="str">
        <f t="shared" si="329"/>
        <v>pre-launch</v>
      </c>
      <c r="AQ945" s="28">
        <v>30</v>
      </c>
      <c r="AR945" s="28">
        <v>19</v>
      </c>
    </row>
    <row r="946" spans="1:44" x14ac:dyDescent="0.25">
      <c r="A946" s="43">
        <v>46007</v>
      </c>
      <c r="B946" s="17">
        <v>5164187267.6000004</v>
      </c>
      <c r="C946" s="17">
        <v>376738432.91000003</v>
      </c>
      <c r="D946" s="17">
        <v>203429370</v>
      </c>
      <c r="E946" s="19">
        <f t="shared" si="308"/>
        <v>5540925700.5100002</v>
      </c>
      <c r="F946" s="19">
        <f t="shared" si="309"/>
        <v>5744355070.5100002</v>
      </c>
      <c r="G946" s="20">
        <f t="shared" si="310"/>
        <v>6.7991966193541295E-2</v>
      </c>
      <c r="H946" s="17">
        <v>2048662</v>
      </c>
      <c r="I946" s="17">
        <v>106340</v>
      </c>
      <c r="J946" s="17">
        <v>19369</v>
      </c>
      <c r="K946" s="19">
        <f t="shared" si="311"/>
        <v>2155002</v>
      </c>
      <c r="L946" s="17">
        <v>28904.601087372001</v>
      </c>
      <c r="M946" s="17">
        <v>16373.0076849583</v>
      </c>
      <c r="N946" s="17">
        <v>12531.5934024137</v>
      </c>
      <c r="O946" s="19">
        <f t="shared" si="312"/>
        <v>2019757.3989126279</v>
      </c>
      <c r="P946" s="21">
        <f t="shared" si="313"/>
        <v>3.9110847346387736</v>
      </c>
      <c r="Q946" s="17">
        <v>1839316</v>
      </c>
      <c r="R946" s="17">
        <v>78197</v>
      </c>
      <c r="S946" s="19">
        <f t="shared" si="314"/>
        <v>1917513</v>
      </c>
      <c r="T946" s="20">
        <f t="shared" si="315"/>
        <v>0.01</v>
      </c>
      <c r="U946" s="19">
        <f t="shared" si="316"/>
        <v>19368.818181818184</v>
      </c>
      <c r="V946" s="17">
        <v>19369</v>
      </c>
      <c r="W946" s="19">
        <f t="shared" si="317"/>
        <v>-0.18181818181619747</v>
      </c>
      <c r="X946" s="19">
        <f t="shared" si="318"/>
        <v>237490</v>
      </c>
      <c r="Y946" s="17">
        <v>209347</v>
      </c>
      <c r="Z946" s="17">
        <v>28143</v>
      </c>
      <c r="AA946" s="19">
        <f t="shared" si="319"/>
        <v>218121</v>
      </c>
      <c r="AB946" s="17">
        <v>1917513</v>
      </c>
      <c r="AC946" s="27">
        <v>26.795000000000002</v>
      </c>
      <c r="AD946" s="27">
        <v>27.027249999999999</v>
      </c>
      <c r="AE946" s="22">
        <f t="shared" si="320"/>
        <v>70947.395683985611</v>
      </c>
      <c r="AF946" s="23">
        <f t="shared" si="321"/>
        <v>-1</v>
      </c>
      <c r="AG946" s="23">
        <f t="shared" si="322"/>
        <v>0</v>
      </c>
      <c r="AH946" s="17">
        <v>1552377.61326599</v>
      </c>
      <c r="AI946" s="24">
        <f t="shared" si="323"/>
        <v>0.8095786642729359</v>
      </c>
      <c r="AJ946" s="25">
        <v>411595538.28571397</v>
      </c>
      <c r="AK946" s="24">
        <f t="shared" si="324"/>
        <v>2.3363774854607826E-2</v>
      </c>
      <c r="AL946" s="22">
        <f t="shared" si="325"/>
        <v>26346.371199091882</v>
      </c>
      <c r="AM946" s="22">
        <f t="shared" si="326"/>
        <v>70947.395683985611</v>
      </c>
      <c r="AN946" s="22">
        <f t="shared" si="327"/>
        <v>-44601.024484893729</v>
      </c>
      <c r="AO946" s="26" t="str">
        <f t="shared" si="328"/>
        <v>YES</v>
      </c>
      <c r="AP946" s="26" t="str">
        <f t="shared" si="329"/>
        <v>pre-launch</v>
      </c>
      <c r="AQ946" s="28">
        <v>31</v>
      </c>
      <c r="AR946" s="28">
        <v>19</v>
      </c>
    </row>
    <row r="947" spans="1:44" x14ac:dyDescent="0.25">
      <c r="A947" s="43">
        <v>46008</v>
      </c>
      <c r="B947" s="17">
        <v>7767570286.71</v>
      </c>
      <c r="C947" s="17">
        <v>376182993.88</v>
      </c>
      <c r="D947" s="17">
        <v>274131324</v>
      </c>
      <c r="E947" s="19">
        <f t="shared" si="308"/>
        <v>8143753280.5900002</v>
      </c>
      <c r="F947" s="19">
        <f t="shared" si="309"/>
        <v>8417884604.5900002</v>
      </c>
      <c r="G947" s="20">
        <f t="shared" si="310"/>
        <v>4.6192827915919651E-2</v>
      </c>
      <c r="H947" s="17">
        <v>2974448</v>
      </c>
      <c r="I947" s="17">
        <v>152482</v>
      </c>
      <c r="J947" s="17">
        <v>28400</v>
      </c>
      <c r="K947" s="19">
        <f t="shared" si="311"/>
        <v>3126930</v>
      </c>
      <c r="L947" s="17">
        <v>31253.299877686401</v>
      </c>
      <c r="M947" s="17">
        <v>17935.227376303999</v>
      </c>
      <c r="N947" s="17">
        <v>13318.072501382399</v>
      </c>
      <c r="O947" s="19">
        <f t="shared" si="312"/>
        <v>2943194.7001223136</v>
      </c>
      <c r="P947" s="21">
        <f t="shared" si="313"/>
        <v>3.7890802290621064</v>
      </c>
      <c r="Q947" s="17">
        <v>2682622</v>
      </c>
      <c r="R947" s="17">
        <v>128952</v>
      </c>
      <c r="S947" s="19">
        <f t="shared" si="314"/>
        <v>2811574</v>
      </c>
      <c r="T947" s="20">
        <f t="shared" si="315"/>
        <v>0.01</v>
      </c>
      <c r="U947" s="19">
        <f t="shared" si="316"/>
        <v>28399.737373737375</v>
      </c>
      <c r="V947" s="17">
        <v>28400</v>
      </c>
      <c r="W947" s="19">
        <f t="shared" si="317"/>
        <v>-0.26262626262541744</v>
      </c>
      <c r="X947" s="19">
        <f t="shared" si="318"/>
        <v>315354</v>
      </c>
      <c r="Y947" s="17">
        <v>291825</v>
      </c>
      <c r="Z947" s="17">
        <v>23529</v>
      </c>
      <c r="AA947" s="19">
        <f t="shared" si="319"/>
        <v>286954</v>
      </c>
      <c r="AB947" s="17">
        <v>2811574</v>
      </c>
      <c r="AC947" s="27">
        <v>24.481999999999999</v>
      </c>
      <c r="AD947" s="27">
        <v>25.95</v>
      </c>
      <c r="AE947" s="22">
        <f t="shared" si="320"/>
        <v>108345.81888246628</v>
      </c>
      <c r="AF947" s="23">
        <f t="shared" si="321"/>
        <v>2</v>
      </c>
      <c r="AG947" s="23">
        <f t="shared" si="322"/>
        <v>0</v>
      </c>
      <c r="AH947" s="17">
        <v>2239995.5147939902</v>
      </c>
      <c r="AI947" s="24">
        <f t="shared" si="323"/>
        <v>0.79670516045246909</v>
      </c>
      <c r="AJ947" s="25">
        <v>411750305.03225797</v>
      </c>
      <c r="AK947" s="24">
        <f t="shared" si="324"/>
        <v>2.3359383509627553E-2</v>
      </c>
      <c r="AL947" s="22">
        <f t="shared" si="325"/>
        <v>26351.324069738745</v>
      </c>
      <c r="AM947" s="22">
        <f t="shared" si="326"/>
        <v>108345.81888246628</v>
      </c>
      <c r="AN947" s="22">
        <f t="shared" si="327"/>
        <v>-81994.494812727527</v>
      </c>
      <c r="AO947" s="26" t="str">
        <f t="shared" si="328"/>
        <v>YES</v>
      </c>
      <c r="AP947" s="26" t="str">
        <f t="shared" si="329"/>
        <v>pre-launch</v>
      </c>
      <c r="AQ947" s="28">
        <v>32</v>
      </c>
      <c r="AR947" s="28">
        <v>19</v>
      </c>
    </row>
    <row r="948" spans="1:44" x14ac:dyDescent="0.25">
      <c r="A948" s="43">
        <v>46009</v>
      </c>
      <c r="B948" s="17">
        <v>8210529594.5100002</v>
      </c>
      <c r="C948" s="17">
        <v>380613769.83999997</v>
      </c>
      <c r="D948" s="17">
        <v>287211113</v>
      </c>
      <c r="E948" s="19">
        <f t="shared" si="308"/>
        <v>8591143364.3500004</v>
      </c>
      <c r="F948" s="19">
        <f t="shared" si="309"/>
        <v>8878354477.3500004</v>
      </c>
      <c r="G948" s="20">
        <f t="shared" si="310"/>
        <v>4.4303040200609774E-2</v>
      </c>
      <c r="H948" s="17">
        <v>3282402</v>
      </c>
      <c r="I948" s="17">
        <v>150815</v>
      </c>
      <c r="J948" s="17">
        <v>31356</v>
      </c>
      <c r="K948" s="19">
        <f t="shared" si="311"/>
        <v>3433217</v>
      </c>
      <c r="L948" s="17">
        <v>35000.343734055001</v>
      </c>
      <c r="M948" s="17">
        <v>19492.474324760198</v>
      </c>
      <c r="N948" s="17">
        <v>15507.869409294901</v>
      </c>
      <c r="O948" s="19">
        <f t="shared" si="312"/>
        <v>3247401.6562659452</v>
      </c>
      <c r="P948" s="21">
        <f t="shared" si="313"/>
        <v>3.9551671044914474</v>
      </c>
      <c r="Q948" s="17">
        <v>2986874</v>
      </c>
      <c r="R948" s="17">
        <v>117385</v>
      </c>
      <c r="S948" s="19">
        <f t="shared" si="314"/>
        <v>3104259</v>
      </c>
      <c r="T948" s="20">
        <f t="shared" si="315"/>
        <v>0.01</v>
      </c>
      <c r="U948" s="19">
        <f t="shared" si="316"/>
        <v>31356.151515151516</v>
      </c>
      <c r="V948" s="17">
        <v>31356</v>
      </c>
      <c r="W948" s="19">
        <f t="shared" si="317"/>
        <v>0.15151515151592321</v>
      </c>
      <c r="X948" s="19">
        <f t="shared" si="318"/>
        <v>328958</v>
      </c>
      <c r="Y948" s="17">
        <v>295528</v>
      </c>
      <c r="Z948" s="17">
        <v>33430</v>
      </c>
      <c r="AA948" s="19">
        <f t="shared" si="319"/>
        <v>297602</v>
      </c>
      <c r="AB948" s="17">
        <v>3104259</v>
      </c>
      <c r="AC948" s="27">
        <v>22.452000000000002</v>
      </c>
      <c r="AD948" s="27">
        <v>23.6615</v>
      </c>
      <c r="AE948" s="22">
        <f t="shared" si="320"/>
        <v>131194.51429537433</v>
      </c>
      <c r="AF948" s="23">
        <f t="shared" si="321"/>
        <v>0</v>
      </c>
      <c r="AG948" s="23">
        <f t="shared" si="322"/>
        <v>0</v>
      </c>
      <c r="AH948" s="17">
        <v>2475832.7088899598</v>
      </c>
      <c r="AI948" s="24">
        <f t="shared" si="323"/>
        <v>0.79755996805999751</v>
      </c>
      <c r="AJ948" s="25">
        <v>411905071.77880198</v>
      </c>
      <c r="AK948" s="24">
        <f t="shared" si="324"/>
        <v>2.3354994639846343E-2</v>
      </c>
      <c r="AL948" s="22">
        <f t="shared" si="325"/>
        <v>26356.276009642312</v>
      </c>
      <c r="AM948" s="22">
        <f t="shared" si="326"/>
        <v>131194.51429537433</v>
      </c>
      <c r="AN948" s="22">
        <f t="shared" si="327"/>
        <v>-104838.23828573202</v>
      </c>
      <c r="AO948" s="26" t="str">
        <f t="shared" si="328"/>
        <v>YES</v>
      </c>
      <c r="AP948" s="26" t="str">
        <f t="shared" si="329"/>
        <v>pre-launch</v>
      </c>
      <c r="AQ948" s="28">
        <v>32</v>
      </c>
      <c r="AR948" s="28">
        <v>19</v>
      </c>
    </row>
    <row r="949" spans="1:44" x14ac:dyDescent="0.25">
      <c r="A949" s="43">
        <v>46010</v>
      </c>
      <c r="B949" s="17">
        <v>6981320861.5100002</v>
      </c>
      <c r="C949" s="17">
        <v>280574366.98000002</v>
      </c>
      <c r="D949" s="17">
        <v>169419268</v>
      </c>
      <c r="E949" s="19">
        <f t="shared" si="308"/>
        <v>7261895228.4899998</v>
      </c>
      <c r="F949" s="19">
        <f t="shared" si="309"/>
        <v>7431314496.4899998</v>
      </c>
      <c r="G949" s="20">
        <f t="shared" si="310"/>
        <v>3.8636520929033177E-2</v>
      </c>
      <c r="H949" s="17">
        <v>2622456</v>
      </c>
      <c r="I949" s="17">
        <v>85819</v>
      </c>
      <c r="J949" s="17">
        <v>24644</v>
      </c>
      <c r="K949" s="19">
        <f t="shared" si="311"/>
        <v>2708275</v>
      </c>
      <c r="L949" s="17">
        <v>26151.767946498399</v>
      </c>
      <c r="M949" s="17">
        <v>14592.553972850201</v>
      </c>
      <c r="N949" s="17">
        <v>11559.2139736481</v>
      </c>
      <c r="O949" s="19">
        <f t="shared" si="312"/>
        <v>2596304.2320535015</v>
      </c>
      <c r="P949" s="21">
        <f t="shared" si="313"/>
        <v>3.7189298179484376</v>
      </c>
      <c r="Q949" s="17">
        <v>2377214</v>
      </c>
      <c r="R949" s="17">
        <v>62503</v>
      </c>
      <c r="S949" s="19">
        <f t="shared" si="314"/>
        <v>2439717</v>
      </c>
      <c r="T949" s="20">
        <f t="shared" si="315"/>
        <v>0.01</v>
      </c>
      <c r="U949" s="19">
        <f t="shared" si="316"/>
        <v>24643.606060606064</v>
      </c>
      <c r="V949" s="17">
        <v>24644</v>
      </c>
      <c r="W949" s="19">
        <f t="shared" si="317"/>
        <v>-0.39393939393630717</v>
      </c>
      <c r="X949" s="19">
        <f t="shared" si="318"/>
        <v>268558</v>
      </c>
      <c r="Y949" s="17">
        <v>245242</v>
      </c>
      <c r="Z949" s="17">
        <v>23316</v>
      </c>
      <c r="AA949" s="19">
        <f t="shared" si="319"/>
        <v>243914</v>
      </c>
      <c r="AB949" s="17">
        <v>2439717</v>
      </c>
      <c r="AC949" s="27">
        <v>24.873999999999999</v>
      </c>
      <c r="AD949" s="27">
        <v>23.653500000000001</v>
      </c>
      <c r="AE949" s="22">
        <f t="shared" si="320"/>
        <v>103144.01674170842</v>
      </c>
      <c r="AF949" s="23">
        <f t="shared" si="321"/>
        <v>0</v>
      </c>
      <c r="AG949" s="23">
        <f t="shared" si="322"/>
        <v>0</v>
      </c>
      <c r="AH949" s="17">
        <v>2028326.6320400201</v>
      </c>
      <c r="AI949" s="24">
        <f t="shared" si="323"/>
        <v>0.83137783277323563</v>
      </c>
      <c r="AJ949" s="25">
        <v>412059838.52534598</v>
      </c>
      <c r="AK949" s="24">
        <f t="shared" si="324"/>
        <v>2.3350608242939806E-2</v>
      </c>
      <c r="AL949" s="22">
        <f t="shared" si="325"/>
        <v>26361.227019327092</v>
      </c>
      <c r="AM949" s="22">
        <f t="shared" si="326"/>
        <v>103144.01674170842</v>
      </c>
      <c r="AN949" s="22">
        <f t="shared" si="327"/>
        <v>-76782.78972238132</v>
      </c>
      <c r="AO949" s="26" t="str">
        <f t="shared" si="328"/>
        <v>YES</v>
      </c>
      <c r="AP949" s="26" t="str">
        <f t="shared" si="329"/>
        <v>pre-launch</v>
      </c>
      <c r="AQ949" s="28">
        <v>33</v>
      </c>
      <c r="AR949" s="28">
        <v>20</v>
      </c>
    </row>
    <row r="950" spans="1:44" x14ac:dyDescent="0.25">
      <c r="A950" s="43">
        <v>46011</v>
      </c>
      <c r="B950" s="17">
        <v>1593104348.47</v>
      </c>
      <c r="C950" s="17">
        <v>63353478.049999997</v>
      </c>
      <c r="D950" s="17">
        <v>77143877</v>
      </c>
      <c r="E950" s="19">
        <f t="shared" si="308"/>
        <v>1656457826.52</v>
      </c>
      <c r="F950" s="19">
        <f t="shared" si="309"/>
        <v>1733601703.52</v>
      </c>
      <c r="G950" s="20">
        <f t="shared" si="310"/>
        <v>3.8246357399329217E-2</v>
      </c>
      <c r="H950" s="17">
        <v>676381</v>
      </c>
      <c r="I950" s="17">
        <v>55827</v>
      </c>
      <c r="J950" s="17">
        <v>6316</v>
      </c>
      <c r="K950" s="19">
        <f t="shared" si="311"/>
        <v>732208</v>
      </c>
      <c r="L950" s="17">
        <v>9063.5183792106709</v>
      </c>
      <c r="M950" s="17">
        <v>6492.3215477677004</v>
      </c>
      <c r="N950" s="17">
        <v>2571.1968314429701</v>
      </c>
      <c r="O950" s="19">
        <f t="shared" si="312"/>
        <v>667317.48162078927</v>
      </c>
      <c r="P950" s="21">
        <f t="shared" si="313"/>
        <v>4.1887870198940433</v>
      </c>
      <c r="Q950" s="17">
        <v>583227</v>
      </c>
      <c r="R950" s="17">
        <v>42081</v>
      </c>
      <c r="S950" s="19">
        <f t="shared" si="314"/>
        <v>625308</v>
      </c>
      <c r="T950" s="20">
        <f t="shared" si="315"/>
        <v>0.01</v>
      </c>
      <c r="U950" s="19">
        <f t="shared" si="316"/>
        <v>6316.242424242424</v>
      </c>
      <c r="V950" s="17">
        <v>6316</v>
      </c>
      <c r="W950" s="19">
        <f t="shared" si="317"/>
        <v>0.24242424242402194</v>
      </c>
      <c r="X950" s="19">
        <f t="shared" si="318"/>
        <v>106901</v>
      </c>
      <c r="Y950" s="17">
        <v>93155</v>
      </c>
      <c r="Z950" s="17">
        <v>13746</v>
      </c>
      <c r="AA950" s="19">
        <f t="shared" si="319"/>
        <v>100585</v>
      </c>
      <c r="AB950" s="17">
        <v>625308</v>
      </c>
      <c r="AC950" s="27">
        <v>24.006</v>
      </c>
      <c r="AD950" s="27">
        <v>24.55575</v>
      </c>
      <c r="AE950" s="22">
        <f t="shared" si="320"/>
        <v>25464.830029626464</v>
      </c>
      <c r="AF950" s="23">
        <f t="shared" si="321"/>
        <v>-1</v>
      </c>
      <c r="AG950" s="23">
        <f t="shared" si="322"/>
        <v>0</v>
      </c>
      <c r="AH950" s="17">
        <v>496386.73937797599</v>
      </c>
      <c r="AI950" s="24">
        <f t="shared" si="323"/>
        <v>0.79382758477098647</v>
      </c>
      <c r="AJ950" s="25">
        <v>412214605.27188897</v>
      </c>
      <c r="AK950" s="24">
        <f t="shared" si="324"/>
        <v>2.3346224316586648E-2</v>
      </c>
      <c r="AL950" s="22">
        <f t="shared" si="325"/>
        <v>26366.177099317098</v>
      </c>
      <c r="AM950" s="22">
        <f t="shared" si="326"/>
        <v>25464.830029626464</v>
      </c>
      <c r="AN950" s="22">
        <f t="shared" si="327"/>
        <v>901.34706969063336</v>
      </c>
      <c r="AO950" s="26" t="str">
        <f t="shared" si="328"/>
        <v>YES</v>
      </c>
      <c r="AP950" s="26" t="str">
        <f t="shared" si="329"/>
        <v>pre-launch</v>
      </c>
      <c r="AQ950" s="28">
        <v>33</v>
      </c>
      <c r="AR950" s="28">
        <v>20</v>
      </c>
    </row>
    <row r="951" spans="1:44" x14ac:dyDescent="0.25">
      <c r="A951" s="43">
        <v>46012</v>
      </c>
      <c r="B951" s="17">
        <v>2416410947.3400002</v>
      </c>
      <c r="C951" s="17">
        <v>57160395.600000001</v>
      </c>
      <c r="D951" s="17">
        <v>73273955</v>
      </c>
      <c r="E951" s="19">
        <f t="shared" si="308"/>
        <v>2473571342.9400001</v>
      </c>
      <c r="F951" s="19">
        <f t="shared" si="309"/>
        <v>2546845297.9400001</v>
      </c>
      <c r="G951" s="20">
        <f t="shared" si="310"/>
        <v>2.3108448342573844E-2</v>
      </c>
      <c r="H951" s="17">
        <v>989428</v>
      </c>
      <c r="I951" s="17">
        <v>47261</v>
      </c>
      <c r="J951" s="17">
        <v>9181</v>
      </c>
      <c r="K951" s="19">
        <f t="shared" si="311"/>
        <v>1036689</v>
      </c>
      <c r="L951" s="17">
        <v>7780.0349245426996</v>
      </c>
      <c r="M951" s="17">
        <v>5265.5878264289204</v>
      </c>
      <c r="N951" s="17">
        <v>2514.4470981137802</v>
      </c>
      <c r="O951" s="19">
        <f t="shared" si="312"/>
        <v>981647.96507545735</v>
      </c>
      <c r="P951" s="21">
        <f t="shared" si="313"/>
        <v>4.0624214443162545</v>
      </c>
      <c r="Q951" s="17">
        <v>873361</v>
      </c>
      <c r="R951" s="17">
        <v>35589</v>
      </c>
      <c r="S951" s="19">
        <f t="shared" si="314"/>
        <v>908950</v>
      </c>
      <c r="T951" s="20">
        <f t="shared" si="315"/>
        <v>0.01</v>
      </c>
      <c r="U951" s="19">
        <f t="shared" si="316"/>
        <v>9181.3131313131307</v>
      </c>
      <c r="V951" s="17">
        <v>9181</v>
      </c>
      <c r="W951" s="19">
        <f t="shared" si="317"/>
        <v>0.31313131313072518</v>
      </c>
      <c r="X951" s="19">
        <f t="shared" si="318"/>
        <v>127739</v>
      </c>
      <c r="Y951" s="17">
        <v>116067</v>
      </c>
      <c r="Z951" s="17">
        <v>11672</v>
      </c>
      <c r="AA951" s="19">
        <f t="shared" si="319"/>
        <v>118558</v>
      </c>
      <c r="AB951" s="17">
        <v>908950</v>
      </c>
      <c r="AC951" s="27">
        <v>24.84</v>
      </c>
      <c r="AD951" s="27">
        <v>24.319500000000001</v>
      </c>
      <c r="AE951" s="22">
        <f t="shared" si="320"/>
        <v>37375.357223627128</v>
      </c>
      <c r="AF951" s="23">
        <f t="shared" si="321"/>
        <v>0</v>
      </c>
      <c r="AG951" s="23">
        <f t="shared" si="322"/>
        <v>0</v>
      </c>
      <c r="AH951" s="17">
        <v>710964.646939039</v>
      </c>
      <c r="AI951" s="24">
        <f t="shared" si="323"/>
        <v>0.78218234989717694</v>
      </c>
      <c r="AJ951" s="25">
        <v>412369372.01843297</v>
      </c>
      <c r="AK951" s="24">
        <f t="shared" si="324"/>
        <v>2.3341842858468523E-2</v>
      </c>
      <c r="AL951" s="22">
        <f t="shared" si="325"/>
        <v>26371.12625013592</v>
      </c>
      <c r="AM951" s="22">
        <f t="shared" si="326"/>
        <v>37375.357223627128</v>
      </c>
      <c r="AN951" s="22">
        <f t="shared" si="327"/>
        <v>-11004.230973491209</v>
      </c>
      <c r="AO951" s="26" t="str">
        <f t="shared" si="328"/>
        <v>YES</v>
      </c>
      <c r="AP951" s="26" t="str">
        <f t="shared" si="329"/>
        <v>pre-launch</v>
      </c>
      <c r="AQ951" s="28">
        <v>34</v>
      </c>
      <c r="AR951" s="28">
        <v>20</v>
      </c>
    </row>
    <row r="952" spans="1:44" x14ac:dyDescent="0.25">
      <c r="A952" s="43">
        <v>46013</v>
      </c>
      <c r="B952" s="17">
        <v>6039055916.8999996</v>
      </c>
      <c r="C952" s="17">
        <v>200600846.87</v>
      </c>
      <c r="D952" s="17">
        <v>113859334</v>
      </c>
      <c r="E952" s="19">
        <f t="shared" si="308"/>
        <v>6239656763.7699995</v>
      </c>
      <c r="F952" s="19">
        <f t="shared" si="309"/>
        <v>6353516097.7699995</v>
      </c>
      <c r="G952" s="20">
        <f t="shared" si="310"/>
        <v>3.2149340014144788E-2</v>
      </c>
      <c r="H952" s="17">
        <v>2369420</v>
      </c>
      <c r="I952" s="17">
        <v>61798</v>
      </c>
      <c r="J952" s="17">
        <v>21930</v>
      </c>
      <c r="K952" s="19">
        <f t="shared" si="311"/>
        <v>2431218</v>
      </c>
      <c r="L952" s="17">
        <v>24134.362207496299</v>
      </c>
      <c r="M952" s="17">
        <v>14207.6362829179</v>
      </c>
      <c r="N952" s="17">
        <v>9926.7259245784098</v>
      </c>
      <c r="O952" s="19">
        <f t="shared" si="312"/>
        <v>2345285.6377925039</v>
      </c>
      <c r="P952" s="21">
        <f t="shared" si="313"/>
        <v>3.8835302571538342</v>
      </c>
      <c r="Q952" s="17">
        <v>2124676</v>
      </c>
      <c r="R952" s="17">
        <v>46382</v>
      </c>
      <c r="S952" s="19">
        <f t="shared" si="314"/>
        <v>2171058</v>
      </c>
      <c r="T952" s="20">
        <f t="shared" si="315"/>
        <v>0.01</v>
      </c>
      <c r="U952" s="19">
        <f t="shared" si="316"/>
        <v>21929.878787878792</v>
      </c>
      <c r="V952" s="17">
        <v>21930</v>
      </c>
      <c r="W952" s="19">
        <f t="shared" si="317"/>
        <v>-0.12121212120837299</v>
      </c>
      <c r="X952" s="19">
        <f t="shared" si="318"/>
        <v>260160</v>
      </c>
      <c r="Y952" s="17">
        <v>244744</v>
      </c>
      <c r="Z952" s="17">
        <v>15416</v>
      </c>
      <c r="AA952" s="19">
        <f t="shared" si="319"/>
        <v>238230</v>
      </c>
      <c r="AB952" s="17">
        <v>2171058</v>
      </c>
      <c r="AC952" s="27">
        <v>24.858000000000001</v>
      </c>
      <c r="AD952" s="27">
        <v>24.95</v>
      </c>
      <c r="AE952" s="22">
        <f t="shared" si="320"/>
        <v>87016.352705410827</v>
      </c>
      <c r="AF952" s="23">
        <f t="shared" si="321"/>
        <v>0</v>
      </c>
      <c r="AG952" s="23">
        <f t="shared" si="322"/>
        <v>0</v>
      </c>
      <c r="AH952" s="17">
        <v>1700030.0792729901</v>
      </c>
      <c r="AI952" s="24">
        <f t="shared" si="323"/>
        <v>0.7830422214758842</v>
      </c>
      <c r="AJ952" s="25">
        <v>412524138.76497698</v>
      </c>
      <c r="AK952" s="24">
        <f t="shared" si="324"/>
        <v>2.3337463866270225E-2</v>
      </c>
      <c r="AL952" s="22">
        <f t="shared" si="325"/>
        <v>26376.074472306562</v>
      </c>
      <c r="AM952" s="22">
        <f t="shared" si="326"/>
        <v>87016.352705410827</v>
      </c>
      <c r="AN952" s="22">
        <f t="shared" si="327"/>
        <v>-60640.278233104269</v>
      </c>
      <c r="AO952" s="26" t="str">
        <f t="shared" si="328"/>
        <v>YES</v>
      </c>
      <c r="AP952" s="26" t="str">
        <f t="shared" si="329"/>
        <v>pre-launch</v>
      </c>
      <c r="AQ952" s="28">
        <v>36</v>
      </c>
      <c r="AR952" s="28">
        <v>20</v>
      </c>
    </row>
    <row r="953" spans="1:44" x14ac:dyDescent="0.25">
      <c r="A953" s="43">
        <v>46014</v>
      </c>
      <c r="B953" s="17">
        <v>5144879158.4499998</v>
      </c>
      <c r="C953" s="17">
        <v>274471326.20999998</v>
      </c>
      <c r="D953" s="17">
        <v>106813195</v>
      </c>
      <c r="E953" s="19">
        <f t="shared" si="308"/>
        <v>5419350484.6599998</v>
      </c>
      <c r="F953" s="19">
        <f t="shared" si="309"/>
        <v>5526163679.6599998</v>
      </c>
      <c r="G953" s="20">
        <f t="shared" si="310"/>
        <v>5.0646535408056345E-2</v>
      </c>
      <c r="H953" s="17">
        <v>2078459</v>
      </c>
      <c r="I953" s="17">
        <v>62692</v>
      </c>
      <c r="J953" s="17">
        <v>19423</v>
      </c>
      <c r="K953" s="19">
        <f t="shared" si="311"/>
        <v>2141151</v>
      </c>
      <c r="L953" s="17">
        <v>27240.860050485499</v>
      </c>
      <c r="M953" s="17">
        <v>15541.019179639799</v>
      </c>
      <c r="N953" s="17">
        <v>11699.840870845699</v>
      </c>
      <c r="O953" s="19">
        <f t="shared" si="312"/>
        <v>2051218.1399495145</v>
      </c>
      <c r="P953" s="21">
        <f t="shared" si="313"/>
        <v>3.9869121835069223</v>
      </c>
      <c r="Q953" s="17">
        <v>1872839</v>
      </c>
      <c r="R953" s="17">
        <v>50059</v>
      </c>
      <c r="S953" s="19">
        <f t="shared" si="314"/>
        <v>1922898</v>
      </c>
      <c r="T953" s="20">
        <f t="shared" si="315"/>
        <v>0.01</v>
      </c>
      <c r="U953" s="19">
        <f t="shared" si="316"/>
        <v>19423.21212121212</v>
      </c>
      <c r="V953" s="17">
        <v>19423</v>
      </c>
      <c r="W953" s="19">
        <f t="shared" si="317"/>
        <v>0.2121212121201097</v>
      </c>
      <c r="X953" s="19">
        <f t="shared" si="318"/>
        <v>218253</v>
      </c>
      <c r="Y953" s="17">
        <v>205620</v>
      </c>
      <c r="Z953" s="17">
        <v>12633</v>
      </c>
      <c r="AA953" s="19">
        <f t="shared" si="319"/>
        <v>198830</v>
      </c>
      <c r="AB953" s="17">
        <v>1922898</v>
      </c>
      <c r="AC953" s="27">
        <v>23.959</v>
      </c>
      <c r="AD953" s="27">
        <v>24.37275</v>
      </c>
      <c r="AE953" s="22">
        <f t="shared" si="320"/>
        <v>78895.405729759674</v>
      </c>
      <c r="AF953" s="23">
        <f t="shared" si="321"/>
        <v>0</v>
      </c>
      <c r="AG953" s="23">
        <f t="shared" si="322"/>
        <v>0</v>
      </c>
      <c r="AH953" s="17">
        <v>1447950.8846049299</v>
      </c>
      <c r="AI953" s="24">
        <f t="shared" si="323"/>
        <v>0.75300451953506109</v>
      </c>
      <c r="AJ953" s="25">
        <v>412678905.51152098</v>
      </c>
      <c r="AK953" s="24">
        <f t="shared" si="324"/>
        <v>2.3333087337679557E-2</v>
      </c>
      <c r="AL953" s="22">
        <f t="shared" si="325"/>
        <v>26381.021766351587</v>
      </c>
      <c r="AM953" s="22">
        <f t="shared" si="326"/>
        <v>78895.405729759674</v>
      </c>
      <c r="AN953" s="22">
        <f t="shared" si="327"/>
        <v>-52514.383963408087</v>
      </c>
      <c r="AO953" s="26" t="str">
        <f t="shared" si="328"/>
        <v>YES</v>
      </c>
      <c r="AP953" s="26" t="str">
        <f t="shared" si="329"/>
        <v>pre-launch</v>
      </c>
      <c r="AQ953" s="28">
        <v>37</v>
      </c>
      <c r="AR953" s="28">
        <v>22</v>
      </c>
    </row>
    <row r="954" spans="1:44" x14ac:dyDescent="0.25">
      <c r="A954" s="43">
        <v>46015</v>
      </c>
      <c r="B954" s="17">
        <v>3397530941.4000001</v>
      </c>
      <c r="C954" s="17">
        <v>153810285.28</v>
      </c>
      <c r="D954" s="17">
        <v>79714594</v>
      </c>
      <c r="E954" s="19">
        <f t="shared" si="308"/>
        <v>3551341226.6800003</v>
      </c>
      <c r="F954" s="19">
        <f t="shared" si="309"/>
        <v>3631055820.6800003</v>
      </c>
      <c r="G954" s="20">
        <f t="shared" si="310"/>
        <v>4.3310477777938214E-2</v>
      </c>
      <c r="H954" s="17">
        <v>1299673</v>
      </c>
      <c r="I954" s="17">
        <v>47538</v>
      </c>
      <c r="J954" s="17">
        <v>12167</v>
      </c>
      <c r="K954" s="19">
        <f t="shared" si="311"/>
        <v>1347211</v>
      </c>
      <c r="L954" s="17">
        <v>17666.252722686699</v>
      </c>
      <c r="M954" s="17">
        <v>9961.8917209008996</v>
      </c>
      <c r="N954" s="17">
        <v>7704.36100178576</v>
      </c>
      <c r="O954" s="19">
        <f t="shared" si="312"/>
        <v>1282006.7472773134</v>
      </c>
      <c r="P954" s="21">
        <f t="shared" si="313"/>
        <v>3.7733482619853485</v>
      </c>
      <c r="Q954" s="17">
        <v>1167390</v>
      </c>
      <c r="R954" s="17">
        <v>37155</v>
      </c>
      <c r="S954" s="19">
        <f t="shared" si="314"/>
        <v>1204545</v>
      </c>
      <c r="T954" s="20">
        <f t="shared" si="315"/>
        <v>0.01</v>
      </c>
      <c r="U954" s="19">
        <f t="shared" si="316"/>
        <v>12167.121212121214</v>
      </c>
      <c r="V954" s="17">
        <v>12167</v>
      </c>
      <c r="W954" s="19">
        <f t="shared" si="317"/>
        <v>0.12121212121382996</v>
      </c>
      <c r="X954" s="19">
        <f t="shared" si="318"/>
        <v>142666</v>
      </c>
      <c r="Y954" s="17">
        <v>132283</v>
      </c>
      <c r="Z954" s="17">
        <v>10383</v>
      </c>
      <c r="AA954" s="19">
        <f t="shared" si="319"/>
        <v>130499</v>
      </c>
      <c r="AB954" s="17">
        <v>1204545</v>
      </c>
      <c r="AC954" s="27">
        <v>25.155000000000001</v>
      </c>
      <c r="AD954" s="27">
        <v>24.493749999999999</v>
      </c>
      <c r="AE954" s="22">
        <f t="shared" si="320"/>
        <v>49177.647359020164</v>
      </c>
      <c r="AF954" s="23">
        <f t="shared" si="321"/>
        <v>0</v>
      </c>
      <c r="AG954" s="23">
        <f t="shared" si="322"/>
        <v>0</v>
      </c>
      <c r="AH954" s="17">
        <v>957051.95763111103</v>
      </c>
      <c r="AI954" s="24">
        <f t="shared" si="323"/>
        <v>0.79453400049903578</v>
      </c>
      <c r="AJ954" s="25">
        <v>412833672.25806499</v>
      </c>
      <c r="AK954" s="24">
        <f t="shared" si="324"/>
        <v>2.3328713270387349E-2</v>
      </c>
      <c r="AL954" s="22">
        <f t="shared" si="325"/>
        <v>26385.968132793045</v>
      </c>
      <c r="AM954" s="22">
        <f t="shared" si="326"/>
        <v>49177.647359020164</v>
      </c>
      <c r="AN954" s="22">
        <f t="shared" si="327"/>
        <v>-22791.679226227119</v>
      </c>
      <c r="AO954" s="26" t="str">
        <f t="shared" si="328"/>
        <v>YES</v>
      </c>
      <c r="AP954" s="26" t="str">
        <f t="shared" si="329"/>
        <v>pre-launch</v>
      </c>
      <c r="AQ954" s="28">
        <v>37</v>
      </c>
      <c r="AR954" s="28">
        <v>22</v>
      </c>
    </row>
    <row r="955" spans="1:44" x14ac:dyDescent="0.25">
      <c r="A955" s="43">
        <v>46016</v>
      </c>
      <c r="B955" s="17">
        <v>2441499510.25</v>
      </c>
      <c r="C955" s="17">
        <v>61339405</v>
      </c>
      <c r="D955" s="17">
        <v>66698371</v>
      </c>
      <c r="E955" s="19">
        <f t="shared" si="308"/>
        <v>2502838915.25</v>
      </c>
      <c r="F955" s="19">
        <f t="shared" si="309"/>
        <v>2569537286.25</v>
      </c>
      <c r="G955" s="20">
        <f t="shared" si="310"/>
        <v>2.4507931623667045E-2</v>
      </c>
      <c r="H955" s="17">
        <v>918890</v>
      </c>
      <c r="I955" s="17">
        <v>48474</v>
      </c>
      <c r="J955" s="17">
        <v>8604</v>
      </c>
      <c r="K955" s="19">
        <f t="shared" si="311"/>
        <v>967364</v>
      </c>
      <c r="L955" s="17">
        <v>9041.8260515597394</v>
      </c>
      <c r="M955" s="17">
        <v>6016.3183245335904</v>
      </c>
      <c r="N955" s="17">
        <v>3025.50772702615</v>
      </c>
      <c r="O955" s="19">
        <f t="shared" si="312"/>
        <v>909848.17394844024</v>
      </c>
      <c r="P955" s="21">
        <f t="shared" si="313"/>
        <v>3.7265957667764402</v>
      </c>
      <c r="Q955" s="17">
        <v>814884</v>
      </c>
      <c r="R955" s="17">
        <v>36888</v>
      </c>
      <c r="S955" s="19">
        <f t="shared" si="314"/>
        <v>851772</v>
      </c>
      <c r="T955" s="20">
        <f t="shared" si="315"/>
        <v>0.01</v>
      </c>
      <c r="U955" s="19">
        <f t="shared" si="316"/>
        <v>8603.757575757576</v>
      </c>
      <c r="V955" s="17">
        <v>8604</v>
      </c>
      <c r="W955" s="19">
        <f t="shared" si="317"/>
        <v>-0.24242424242402194</v>
      </c>
      <c r="X955" s="19">
        <f t="shared" si="318"/>
        <v>115592</v>
      </c>
      <c r="Y955" s="17">
        <v>104006</v>
      </c>
      <c r="Z955" s="17">
        <v>11586</v>
      </c>
      <c r="AA955" s="19">
        <f t="shared" si="319"/>
        <v>106988</v>
      </c>
      <c r="AB955" s="17">
        <v>851772</v>
      </c>
      <c r="AC955" s="27">
        <v>24.398</v>
      </c>
      <c r="AD955" s="27">
        <v>24.739750000000001</v>
      </c>
      <c r="AE955" s="22">
        <f t="shared" si="320"/>
        <v>34429.288897422164</v>
      </c>
      <c r="AF955" s="23">
        <f t="shared" si="321"/>
        <v>0</v>
      </c>
      <c r="AG955" s="23">
        <f t="shared" si="322"/>
        <v>0</v>
      </c>
      <c r="AH955" s="17">
        <v>675225.61989796197</v>
      </c>
      <c r="AI955" s="24">
        <f t="shared" si="323"/>
        <v>0.79273047235405947</v>
      </c>
      <c r="AJ955" s="25">
        <v>412988439.00460798</v>
      </c>
      <c r="AK955" s="24">
        <f t="shared" si="324"/>
        <v>2.3324341662087501E-2</v>
      </c>
      <c r="AL955" s="22">
        <f t="shared" si="325"/>
        <v>26390.913572152494</v>
      </c>
      <c r="AM955" s="22">
        <f t="shared" si="326"/>
        <v>34429.288897422164</v>
      </c>
      <c r="AN955" s="22">
        <f t="shared" si="327"/>
        <v>-8038.3753252696697</v>
      </c>
      <c r="AO955" s="26" t="str">
        <f t="shared" si="328"/>
        <v>YES</v>
      </c>
      <c r="AP955" s="26" t="str">
        <f t="shared" si="329"/>
        <v>pre-launch</v>
      </c>
      <c r="AQ955" s="28">
        <v>37</v>
      </c>
      <c r="AR955" s="28">
        <v>22</v>
      </c>
    </row>
    <row r="956" spans="1:44" x14ac:dyDescent="0.25">
      <c r="A956" s="43">
        <v>46017</v>
      </c>
      <c r="B956" s="17">
        <v>4679468130.4099998</v>
      </c>
      <c r="C956" s="17">
        <v>230692597.83000001</v>
      </c>
      <c r="D956" s="17">
        <v>120853808</v>
      </c>
      <c r="E956" s="19">
        <f t="shared" si="308"/>
        <v>4910160728.2399998</v>
      </c>
      <c r="F956" s="19">
        <f t="shared" si="309"/>
        <v>5031014536.2399998</v>
      </c>
      <c r="G956" s="20">
        <f t="shared" si="310"/>
        <v>4.6982697837813871E-2</v>
      </c>
      <c r="H956" s="17">
        <v>1807548</v>
      </c>
      <c r="I956" s="17">
        <v>89653</v>
      </c>
      <c r="J956" s="17">
        <v>17044</v>
      </c>
      <c r="K956" s="19">
        <f t="shared" si="311"/>
        <v>1897201</v>
      </c>
      <c r="L956" s="17">
        <v>30825.9864678177</v>
      </c>
      <c r="M956" s="17">
        <v>17098.2847990429</v>
      </c>
      <c r="N956" s="17">
        <v>13727.7016687748</v>
      </c>
      <c r="O956" s="19">
        <f t="shared" si="312"/>
        <v>1776722.0135321822</v>
      </c>
      <c r="P956" s="21">
        <f t="shared" si="313"/>
        <v>3.7968460603160721</v>
      </c>
      <c r="Q956" s="17">
        <v>1620134</v>
      </c>
      <c r="R956" s="17">
        <v>67249</v>
      </c>
      <c r="S956" s="19">
        <f t="shared" si="314"/>
        <v>1687383</v>
      </c>
      <c r="T956" s="20">
        <f t="shared" si="315"/>
        <v>0.01</v>
      </c>
      <c r="U956" s="19">
        <f t="shared" si="316"/>
        <v>17044.272727272728</v>
      </c>
      <c r="V956" s="17">
        <v>17044</v>
      </c>
      <c r="W956" s="19">
        <f t="shared" si="317"/>
        <v>0.27272727272793418</v>
      </c>
      <c r="X956" s="19">
        <f t="shared" si="318"/>
        <v>209818</v>
      </c>
      <c r="Y956" s="17">
        <v>187414</v>
      </c>
      <c r="Z956" s="17">
        <v>22404</v>
      </c>
      <c r="AA956" s="19">
        <f t="shared" si="319"/>
        <v>192774</v>
      </c>
      <c r="AB956" s="17">
        <v>1687383</v>
      </c>
      <c r="AC956" s="27">
        <v>25.780999999999999</v>
      </c>
      <c r="AD956" s="27">
        <v>25.0915</v>
      </c>
      <c r="AE956" s="22">
        <f t="shared" si="320"/>
        <v>67249.187972022395</v>
      </c>
      <c r="AF956" s="23">
        <f t="shared" si="321"/>
        <v>0</v>
      </c>
      <c r="AG956" s="23">
        <f t="shared" si="322"/>
        <v>0</v>
      </c>
      <c r="AH956" s="17">
        <v>1315340.404567</v>
      </c>
      <c r="AI956" s="24">
        <f t="shared" si="323"/>
        <v>0.77951502685934371</v>
      </c>
      <c r="AJ956" s="25">
        <v>413143205.75115198</v>
      </c>
      <c r="AK956" s="24">
        <f t="shared" si="324"/>
        <v>2.3319972510476839E-2</v>
      </c>
      <c r="AL956" s="22">
        <f t="shared" si="325"/>
        <v>26395.858084951069</v>
      </c>
      <c r="AM956" s="22">
        <f t="shared" si="326"/>
        <v>67249.187972022395</v>
      </c>
      <c r="AN956" s="22">
        <f t="shared" si="327"/>
        <v>-40853.329887071326</v>
      </c>
      <c r="AO956" s="26" t="str">
        <f t="shared" si="328"/>
        <v>YES</v>
      </c>
      <c r="AP956" s="26" t="str">
        <f t="shared" si="329"/>
        <v>pre-launch</v>
      </c>
      <c r="AQ956" s="28">
        <v>38</v>
      </c>
      <c r="AR956" s="28">
        <v>22</v>
      </c>
    </row>
    <row r="957" spans="1:44" x14ac:dyDescent="0.25">
      <c r="A957" s="43">
        <v>46018</v>
      </c>
      <c r="B957" s="17">
        <v>1344478743.9300001</v>
      </c>
      <c r="C957" s="17">
        <v>64067621.140000001</v>
      </c>
      <c r="D957" s="17">
        <v>77449255</v>
      </c>
      <c r="E957" s="19">
        <f t="shared" si="308"/>
        <v>1408546365.0700002</v>
      </c>
      <c r="F957" s="19">
        <f t="shared" si="309"/>
        <v>1485995620.0700002</v>
      </c>
      <c r="G957" s="20">
        <f t="shared" si="310"/>
        <v>4.5484921709919038E-2</v>
      </c>
      <c r="H957" s="17">
        <v>575062</v>
      </c>
      <c r="I957" s="17">
        <v>56845</v>
      </c>
      <c r="J957" s="17">
        <v>5442</v>
      </c>
      <c r="K957" s="19">
        <f t="shared" si="311"/>
        <v>631907</v>
      </c>
      <c r="L957" s="17">
        <v>10856.538385628701</v>
      </c>
      <c r="M957" s="17">
        <v>7187.1434835197997</v>
      </c>
      <c r="N957" s="17">
        <v>3669.3949021088902</v>
      </c>
      <c r="O957" s="19">
        <f t="shared" si="312"/>
        <v>564205.46161437128</v>
      </c>
      <c r="P957" s="21">
        <f t="shared" si="313"/>
        <v>4.1964624889878248</v>
      </c>
      <c r="Q957" s="17">
        <v>494549</v>
      </c>
      <c r="R957" s="17">
        <v>44253</v>
      </c>
      <c r="S957" s="19">
        <f t="shared" si="314"/>
        <v>538802</v>
      </c>
      <c r="T957" s="20">
        <f t="shared" si="315"/>
        <v>0.01</v>
      </c>
      <c r="U957" s="19">
        <f t="shared" si="316"/>
        <v>5442.4444444444453</v>
      </c>
      <c r="V957" s="17">
        <v>5442</v>
      </c>
      <c r="W957" s="19">
        <f t="shared" si="317"/>
        <v>0.44444444444525288</v>
      </c>
      <c r="X957" s="19">
        <f t="shared" si="318"/>
        <v>93105</v>
      </c>
      <c r="Y957" s="17">
        <v>80513</v>
      </c>
      <c r="Z957" s="17">
        <v>12592</v>
      </c>
      <c r="AA957" s="19">
        <f t="shared" si="319"/>
        <v>87663</v>
      </c>
      <c r="AB957" s="17">
        <v>538802</v>
      </c>
      <c r="AC957" s="27">
        <v>25.951000000000001</v>
      </c>
      <c r="AD957" s="27">
        <v>25.885999999999999</v>
      </c>
      <c r="AE957" s="22">
        <f t="shared" si="320"/>
        <v>20814.417059414354</v>
      </c>
      <c r="AF957" s="23">
        <f t="shared" si="321"/>
        <v>0</v>
      </c>
      <c r="AG957" s="23">
        <f t="shared" si="322"/>
        <v>0</v>
      </c>
      <c r="AH957" s="17">
        <v>426980.84666192502</v>
      </c>
      <c r="AI957" s="24">
        <f t="shared" si="323"/>
        <v>0.79246336624942937</v>
      </c>
      <c r="AJ957" s="25">
        <v>413297972.49769598</v>
      </c>
      <c r="AK957" s="24">
        <f t="shared" si="324"/>
        <v>2.3315605813255307E-2</v>
      </c>
      <c r="AL957" s="22">
        <f t="shared" si="325"/>
        <v>26400.801671709349</v>
      </c>
      <c r="AM957" s="22">
        <f t="shared" si="326"/>
        <v>20814.417059414354</v>
      </c>
      <c r="AN957" s="22">
        <f t="shared" si="327"/>
        <v>5586.3846122949944</v>
      </c>
      <c r="AO957" s="26" t="str">
        <f t="shared" si="328"/>
        <v>YES</v>
      </c>
      <c r="AP957" s="26" t="str">
        <f t="shared" si="329"/>
        <v>pre-launch</v>
      </c>
      <c r="AQ957" s="28">
        <v>38</v>
      </c>
      <c r="AR957" s="28">
        <v>23</v>
      </c>
    </row>
    <row r="958" spans="1:44" x14ac:dyDescent="0.25">
      <c r="A958" s="43">
        <v>46019</v>
      </c>
      <c r="B958" s="17">
        <v>1865394194.4200001</v>
      </c>
      <c r="C958" s="17">
        <v>74842540.769999996</v>
      </c>
      <c r="D958" s="17">
        <v>97578879</v>
      </c>
      <c r="E958" s="19">
        <f t="shared" si="308"/>
        <v>1940236735.1900001</v>
      </c>
      <c r="F958" s="19">
        <f t="shared" si="309"/>
        <v>2037815614.1900001</v>
      </c>
      <c r="G958" s="20">
        <f t="shared" si="310"/>
        <v>3.8573922147016222E-2</v>
      </c>
      <c r="H958" s="17">
        <v>731484</v>
      </c>
      <c r="I958" s="17">
        <v>72538</v>
      </c>
      <c r="J958" s="17">
        <v>7025</v>
      </c>
      <c r="K958" s="19">
        <f t="shared" si="311"/>
        <v>804022</v>
      </c>
      <c r="L958" s="17">
        <v>11094.062274678699</v>
      </c>
      <c r="M958" s="17">
        <v>6468.2390171172301</v>
      </c>
      <c r="N958" s="17">
        <v>4625.8232575614302</v>
      </c>
      <c r="O958" s="19">
        <f t="shared" si="312"/>
        <v>720389.93772532127</v>
      </c>
      <c r="P958" s="21">
        <f t="shared" si="313"/>
        <v>3.8618643709744651</v>
      </c>
      <c r="Q958" s="17">
        <v>642912</v>
      </c>
      <c r="R958" s="17">
        <v>52585</v>
      </c>
      <c r="S958" s="19">
        <f t="shared" si="314"/>
        <v>695497</v>
      </c>
      <c r="T958" s="20">
        <f t="shared" si="315"/>
        <v>0.01</v>
      </c>
      <c r="U958" s="19">
        <f t="shared" si="316"/>
        <v>7025.2222222222226</v>
      </c>
      <c r="V958" s="17">
        <v>7025</v>
      </c>
      <c r="W958" s="19">
        <f t="shared" si="317"/>
        <v>0.22222222222262644</v>
      </c>
      <c r="X958" s="19">
        <f t="shared" si="318"/>
        <v>108525</v>
      </c>
      <c r="Y958" s="17">
        <v>88572</v>
      </c>
      <c r="Z958" s="17">
        <v>19953</v>
      </c>
      <c r="AA958" s="19">
        <f t="shared" si="319"/>
        <v>101500</v>
      </c>
      <c r="AB958" s="17">
        <v>695497</v>
      </c>
      <c r="AC958" s="27">
        <v>25.338999999999999</v>
      </c>
      <c r="AD958" s="27">
        <v>25.60125</v>
      </c>
      <c r="AE958" s="22">
        <f t="shared" si="320"/>
        <v>27166.525072017968</v>
      </c>
      <c r="AF958" s="23">
        <f t="shared" si="321"/>
        <v>0</v>
      </c>
      <c r="AG958" s="23">
        <f t="shared" si="322"/>
        <v>0</v>
      </c>
      <c r="AH958" s="17">
        <v>575484.68952000095</v>
      </c>
      <c r="AI958" s="24">
        <f t="shared" si="323"/>
        <v>0.82744381287050983</v>
      </c>
      <c r="AJ958" s="25">
        <v>413452739.24423999</v>
      </c>
      <c r="AK958" s="24">
        <f t="shared" si="324"/>
        <v>2.3311241568125817E-2</v>
      </c>
      <c r="AL958" s="22">
        <f t="shared" si="325"/>
        <v>26405.74433294743</v>
      </c>
      <c r="AM958" s="22">
        <f t="shared" si="326"/>
        <v>27166.525072017968</v>
      </c>
      <c r="AN958" s="22">
        <f t="shared" si="327"/>
        <v>-760.7807390705384</v>
      </c>
      <c r="AO958" s="26" t="str">
        <f t="shared" si="328"/>
        <v>YES</v>
      </c>
      <c r="AP958" s="26" t="str">
        <f t="shared" si="329"/>
        <v>pre-launch</v>
      </c>
      <c r="AQ958" s="28">
        <v>38</v>
      </c>
      <c r="AR958" s="28">
        <v>23</v>
      </c>
    </row>
    <row r="959" spans="1:44" x14ac:dyDescent="0.25">
      <c r="A959" s="43">
        <v>46020</v>
      </c>
      <c r="B959" s="17">
        <v>6657247052.1700001</v>
      </c>
      <c r="C959" s="17">
        <v>300426472.63</v>
      </c>
      <c r="D959" s="17">
        <v>130386769</v>
      </c>
      <c r="E959" s="19">
        <f t="shared" si="308"/>
        <v>6957673524.8000002</v>
      </c>
      <c r="F959" s="19">
        <f t="shared" si="309"/>
        <v>7088060293.8000002</v>
      </c>
      <c r="G959" s="20">
        <f t="shared" si="310"/>
        <v>4.3179156302628585E-2</v>
      </c>
      <c r="H959" s="17">
        <v>2521905</v>
      </c>
      <c r="I959" s="17">
        <v>90283</v>
      </c>
      <c r="J959" s="17">
        <v>23821</v>
      </c>
      <c r="K959" s="19">
        <f t="shared" si="311"/>
        <v>2612188</v>
      </c>
      <c r="L959" s="17">
        <v>43159.7162429413</v>
      </c>
      <c r="M959" s="17">
        <v>23310.474199603701</v>
      </c>
      <c r="N959" s="17">
        <v>19849.242043337599</v>
      </c>
      <c r="O959" s="19">
        <f t="shared" si="312"/>
        <v>2478745.2837570589</v>
      </c>
      <c r="P959" s="21">
        <f t="shared" si="313"/>
        <v>3.7233788446368168</v>
      </c>
      <c r="Q959" s="17">
        <v>2289755</v>
      </c>
      <c r="R959" s="17">
        <v>68508</v>
      </c>
      <c r="S959" s="19">
        <f t="shared" si="314"/>
        <v>2358263</v>
      </c>
      <c r="T959" s="20">
        <f t="shared" si="315"/>
        <v>0.01</v>
      </c>
      <c r="U959" s="19">
        <f t="shared" si="316"/>
        <v>23820.838383838385</v>
      </c>
      <c r="V959" s="17">
        <v>23821</v>
      </c>
      <c r="W959" s="19">
        <f t="shared" si="317"/>
        <v>-0.16161616161480197</v>
      </c>
      <c r="X959" s="19">
        <f t="shared" si="318"/>
        <v>253924</v>
      </c>
      <c r="Y959" s="17">
        <v>232150</v>
      </c>
      <c r="Z959" s="17">
        <v>21774</v>
      </c>
      <c r="AA959" s="19">
        <f t="shared" si="319"/>
        <v>230103</v>
      </c>
      <c r="AB959" s="17">
        <v>2358263</v>
      </c>
      <c r="AC959" s="27">
        <v>25.786999999999999</v>
      </c>
      <c r="AD959" s="27">
        <v>25.69725</v>
      </c>
      <c r="AE959" s="22">
        <f t="shared" si="320"/>
        <v>91771.026082557466</v>
      </c>
      <c r="AF959" s="23">
        <f t="shared" si="321"/>
        <v>1</v>
      </c>
      <c r="AG959" s="23">
        <f t="shared" si="322"/>
        <v>0</v>
      </c>
      <c r="AH959" s="17">
        <v>1899653.23078704</v>
      </c>
      <c r="AI959" s="24">
        <f t="shared" si="323"/>
        <v>0.80553069389929788</v>
      </c>
      <c r="AJ959" s="25">
        <v>413607505.99078298</v>
      </c>
      <c r="AK959" s="24">
        <f t="shared" si="324"/>
        <v>2.3306879772794335E-2</v>
      </c>
      <c r="AL959" s="22">
        <f t="shared" si="325"/>
        <v>26410.686069184911</v>
      </c>
      <c r="AM959" s="22">
        <f t="shared" si="326"/>
        <v>91771.026082557466</v>
      </c>
      <c r="AN959" s="22">
        <f t="shared" si="327"/>
        <v>-65360.340013372552</v>
      </c>
      <c r="AO959" s="26" t="str">
        <f t="shared" si="328"/>
        <v>YES</v>
      </c>
      <c r="AP959" s="26" t="str">
        <f t="shared" si="329"/>
        <v>pre-launch</v>
      </c>
      <c r="AQ959" s="28">
        <v>38</v>
      </c>
      <c r="AR959" s="28">
        <v>23</v>
      </c>
    </row>
    <row r="960" spans="1:44" x14ac:dyDescent="0.25">
      <c r="A960" s="43">
        <v>46021</v>
      </c>
      <c r="B960" s="17">
        <v>3777819731.8299999</v>
      </c>
      <c r="C960" s="17">
        <v>316073006.36000001</v>
      </c>
      <c r="D960" s="17">
        <v>137654571</v>
      </c>
      <c r="E960" s="19">
        <f t="shared" si="308"/>
        <v>4093892738.1900001</v>
      </c>
      <c r="F960" s="19">
        <f t="shared" si="309"/>
        <v>4231547309.1900001</v>
      </c>
      <c r="G960" s="20">
        <f t="shared" si="310"/>
        <v>7.7205981341793253E-2</v>
      </c>
      <c r="H960" s="17">
        <v>1572122</v>
      </c>
      <c r="I960" s="17">
        <v>102727</v>
      </c>
      <c r="J960" s="17">
        <v>14742</v>
      </c>
      <c r="K960" s="19">
        <f t="shared" si="311"/>
        <v>1674849</v>
      </c>
      <c r="L960" s="17">
        <v>29588.712307274502</v>
      </c>
      <c r="M960" s="17">
        <v>16185.431344174</v>
      </c>
      <c r="N960" s="17">
        <v>13403.2809631005</v>
      </c>
      <c r="O960" s="19">
        <f t="shared" si="312"/>
        <v>1542533.2876927254</v>
      </c>
      <c r="P960" s="21">
        <f t="shared" si="313"/>
        <v>4.0831310046271385</v>
      </c>
      <c r="Q960" s="17">
        <v>1380469</v>
      </c>
      <c r="R960" s="17">
        <v>79005</v>
      </c>
      <c r="S960" s="19">
        <f t="shared" si="314"/>
        <v>1459474</v>
      </c>
      <c r="T960" s="20">
        <f t="shared" si="315"/>
        <v>0.01</v>
      </c>
      <c r="U960" s="19">
        <f t="shared" si="316"/>
        <v>14742.161616161617</v>
      </c>
      <c r="V960" s="17">
        <v>14742</v>
      </c>
      <c r="W960" s="19">
        <f t="shared" si="317"/>
        <v>0.16161616161662096</v>
      </c>
      <c r="X960" s="19">
        <f t="shared" si="318"/>
        <v>215375</v>
      </c>
      <c r="Y960" s="17">
        <v>191653</v>
      </c>
      <c r="Z960" s="17">
        <v>23722</v>
      </c>
      <c r="AA960" s="19">
        <f t="shared" si="319"/>
        <v>200633</v>
      </c>
      <c r="AB960" s="17">
        <v>1459474</v>
      </c>
      <c r="AC960" s="27">
        <v>25.960999999999999</v>
      </c>
      <c r="AD960" s="27">
        <v>25.949249999999999</v>
      </c>
      <c r="AE960" s="22">
        <f t="shared" si="320"/>
        <v>56243.398171430774</v>
      </c>
      <c r="AF960" s="23">
        <f t="shared" si="321"/>
        <v>0</v>
      </c>
      <c r="AG960" s="23">
        <f t="shared" si="322"/>
        <v>0</v>
      </c>
      <c r="AH960" s="17">
        <v>1121865.8708820301</v>
      </c>
      <c r="AI960" s="24">
        <f t="shared" si="323"/>
        <v>0.76867821618064458</v>
      </c>
      <c r="AJ960" s="25">
        <v>413762272.73732698</v>
      </c>
      <c r="AK960" s="24">
        <f t="shared" si="324"/>
        <v>2.3302520424969733E-2</v>
      </c>
      <c r="AL960" s="22">
        <f t="shared" si="325"/>
        <v>26415.626880940985</v>
      </c>
      <c r="AM960" s="22">
        <f t="shared" si="326"/>
        <v>56243.398171430774</v>
      </c>
      <c r="AN960" s="22">
        <f t="shared" si="327"/>
        <v>-29827.771290489789</v>
      </c>
      <c r="AO960" s="26" t="str">
        <f t="shared" si="328"/>
        <v>YES</v>
      </c>
      <c r="AP960" s="26" t="str">
        <f t="shared" si="329"/>
        <v>pre-launch</v>
      </c>
      <c r="AQ960" s="28">
        <v>38</v>
      </c>
      <c r="AR960" s="28">
        <v>23</v>
      </c>
    </row>
    <row r="961" spans="1:44" x14ac:dyDescent="0.25">
      <c r="A961" s="43">
        <v>46022</v>
      </c>
      <c r="B961" s="17">
        <v>3105265399.6500001</v>
      </c>
      <c r="C961" s="17">
        <v>233443844.03999999</v>
      </c>
      <c r="D961" s="17">
        <v>147729875</v>
      </c>
      <c r="E961" s="19">
        <f t="shared" si="308"/>
        <v>3338709243.6900001</v>
      </c>
      <c r="F961" s="19">
        <f t="shared" si="309"/>
        <v>3486439118.6900001</v>
      </c>
      <c r="G961" s="20">
        <f t="shared" si="310"/>
        <v>6.9920387491422806E-2</v>
      </c>
      <c r="H961" s="17">
        <v>1347662</v>
      </c>
      <c r="I961" s="17">
        <v>114605</v>
      </c>
      <c r="J961" s="17">
        <v>12516</v>
      </c>
      <c r="K961" s="19">
        <f t="shared" si="311"/>
        <v>1462267</v>
      </c>
      <c r="L961" s="17">
        <v>22315.7483370271</v>
      </c>
      <c r="M961" s="17">
        <v>12158.480343855999</v>
      </c>
      <c r="N961" s="17">
        <v>10157.267993171101</v>
      </c>
      <c r="O961" s="19">
        <f t="shared" si="312"/>
        <v>1325346.2516629728</v>
      </c>
      <c r="P961" s="21">
        <f t="shared" si="313"/>
        <v>4.2680611190668429</v>
      </c>
      <c r="Q961" s="17">
        <v>1151700</v>
      </c>
      <c r="R961" s="17">
        <v>87376</v>
      </c>
      <c r="S961" s="19">
        <f t="shared" si="314"/>
        <v>1239076</v>
      </c>
      <c r="T961" s="20">
        <f t="shared" si="315"/>
        <v>0.01</v>
      </c>
      <c r="U961" s="19">
        <f t="shared" si="316"/>
        <v>12515.919191919193</v>
      </c>
      <c r="V961" s="17">
        <v>12516</v>
      </c>
      <c r="W961" s="19">
        <f t="shared" si="317"/>
        <v>-8.0808080807400984E-2</v>
      </c>
      <c r="X961" s="19">
        <f t="shared" si="318"/>
        <v>223191</v>
      </c>
      <c r="Y961" s="17">
        <v>195962</v>
      </c>
      <c r="Z961" s="17">
        <v>27229</v>
      </c>
      <c r="AA961" s="19">
        <f t="shared" si="319"/>
        <v>210675</v>
      </c>
      <c r="AB961" s="17">
        <v>1239076</v>
      </c>
      <c r="AC961" s="27">
        <v>25.43</v>
      </c>
      <c r="AD961" s="27">
        <v>25.722750000000001</v>
      </c>
      <c r="AE961" s="22">
        <f t="shared" si="320"/>
        <v>48170.432788096135</v>
      </c>
      <c r="AF961" s="23">
        <f t="shared" si="321"/>
        <v>0</v>
      </c>
      <c r="AG961" s="23">
        <f t="shared" si="322"/>
        <v>0</v>
      </c>
      <c r="AH961" s="17">
        <v>946276.49380695797</v>
      </c>
      <c r="AI961" s="24">
        <f t="shared" si="323"/>
        <v>0.76369528084391758</v>
      </c>
      <c r="AJ961" s="25">
        <v>413917039.48387098</v>
      </c>
      <c r="AK961" s="24">
        <f t="shared" si="324"/>
        <v>2.3298163522363979E-2</v>
      </c>
      <c r="AL961" s="22">
        <f t="shared" si="325"/>
        <v>26420.566768734283</v>
      </c>
      <c r="AM961" s="22">
        <f t="shared" si="326"/>
        <v>48170.432788096135</v>
      </c>
      <c r="AN961" s="22">
        <f t="shared" si="327"/>
        <v>-21749.866019361853</v>
      </c>
      <c r="AO961" s="26" t="str">
        <f t="shared" si="328"/>
        <v>YES</v>
      </c>
      <c r="AP961" s="26" t="str">
        <f t="shared" si="329"/>
        <v>pre-launch</v>
      </c>
      <c r="AQ961" s="28">
        <v>38</v>
      </c>
      <c r="AR961" s="28">
        <v>23</v>
      </c>
    </row>
    <row r="962" spans="1:44" x14ac:dyDescent="0.25">
      <c r="A962" s="43">
        <v>46023</v>
      </c>
      <c r="B962" s="17">
        <v>2218803410.3299999</v>
      </c>
      <c r="C962" s="17">
        <v>60685263.130000003</v>
      </c>
      <c r="D962" s="17">
        <v>140412000</v>
      </c>
      <c r="E962" s="19">
        <f t="shared" si="308"/>
        <v>2279488673.46</v>
      </c>
      <c r="F962" s="19">
        <f t="shared" si="309"/>
        <v>2419900673.46</v>
      </c>
      <c r="G962" s="20">
        <f t="shared" si="310"/>
        <v>2.6622313958633011E-2</v>
      </c>
      <c r="H962" s="17">
        <v>969146</v>
      </c>
      <c r="I962" s="17">
        <v>104358</v>
      </c>
      <c r="J962" s="17">
        <v>9264</v>
      </c>
      <c r="K962" s="19">
        <f t="shared" si="311"/>
        <v>1073504</v>
      </c>
      <c r="L962" s="17">
        <v>7243.53302539996</v>
      </c>
      <c r="M962" s="17">
        <v>4561.6627912742297</v>
      </c>
      <c r="N962" s="17">
        <v>2681.8702341257299</v>
      </c>
      <c r="O962" s="19">
        <f t="shared" si="312"/>
        <v>961902.46697459999</v>
      </c>
      <c r="P962" s="21">
        <f t="shared" si="313"/>
        <v>4.335230703613969</v>
      </c>
      <c r="Q962" s="17">
        <v>838807</v>
      </c>
      <c r="R962" s="17">
        <v>78377</v>
      </c>
      <c r="S962" s="19">
        <f t="shared" si="314"/>
        <v>917184</v>
      </c>
      <c r="T962" s="20">
        <f t="shared" si="315"/>
        <v>0.01</v>
      </c>
      <c r="U962" s="19">
        <f t="shared" si="316"/>
        <v>9264.484848484848</v>
      </c>
      <c r="V962" s="17">
        <v>9264</v>
      </c>
      <c r="W962" s="19">
        <f t="shared" si="317"/>
        <v>0.48484848484804388</v>
      </c>
      <c r="X962" s="19">
        <f t="shared" si="318"/>
        <v>156320</v>
      </c>
      <c r="Y962" s="17">
        <v>130339</v>
      </c>
      <c r="Z962" s="17">
        <v>25981</v>
      </c>
      <c r="AA962" s="19">
        <f t="shared" si="319"/>
        <v>147056</v>
      </c>
      <c r="AB962" s="17">
        <v>917184</v>
      </c>
      <c r="AC962" s="27">
        <v>24.225999999999999</v>
      </c>
      <c r="AD962" s="27">
        <v>24.87125</v>
      </c>
      <c r="AE962" s="22">
        <f t="shared" si="320"/>
        <v>36877.277981605264</v>
      </c>
      <c r="AF962" s="23">
        <f t="shared" si="321"/>
        <v>0</v>
      </c>
      <c r="AG962" s="23">
        <f t="shared" si="322"/>
        <v>0</v>
      </c>
      <c r="AH962" s="17">
        <v>695632.23718106805</v>
      </c>
      <c r="AI962" s="24">
        <f t="shared" si="323"/>
        <v>0.75844349354226415</v>
      </c>
      <c r="AJ962" s="25">
        <v>414071806.23041499</v>
      </c>
      <c r="AK962" s="24">
        <f t="shared" si="324"/>
        <v>2.3293809062691982E-2</v>
      </c>
      <c r="AL962" s="22">
        <f t="shared" si="325"/>
        <v>26425.505733082955</v>
      </c>
      <c r="AM962" s="22">
        <f t="shared" si="326"/>
        <v>36877.277981605264</v>
      </c>
      <c r="AN962" s="22">
        <f t="shared" si="327"/>
        <v>-10451.772248522309</v>
      </c>
      <c r="AO962" s="26" t="str">
        <f t="shared" si="328"/>
        <v>YES</v>
      </c>
      <c r="AP962" s="26" t="str">
        <f t="shared" si="329"/>
        <v>pre-launch</v>
      </c>
      <c r="AQ962" s="28">
        <v>38</v>
      </c>
      <c r="AR962" s="28">
        <v>23</v>
      </c>
    </row>
    <row r="963" spans="1:44" x14ac:dyDescent="0.25">
      <c r="A963" s="43">
        <v>46024</v>
      </c>
      <c r="B963" s="17">
        <v>6742786200.9799995</v>
      </c>
      <c r="C963" s="17">
        <v>324107717.91000003</v>
      </c>
      <c r="D963" s="17">
        <v>158982706</v>
      </c>
      <c r="E963" s="19">
        <f t="shared" si="308"/>
        <v>7066893918.8899994</v>
      </c>
      <c r="F963" s="19">
        <f t="shared" si="309"/>
        <v>7225876624.8899994</v>
      </c>
      <c r="G963" s="20">
        <f t="shared" si="310"/>
        <v>4.5862824832229518E-2</v>
      </c>
      <c r="H963" s="17">
        <v>2739880</v>
      </c>
      <c r="I963" s="17">
        <v>107757</v>
      </c>
      <c r="J963" s="17">
        <v>25626</v>
      </c>
      <c r="K963" s="19">
        <f t="shared" si="311"/>
        <v>2847637</v>
      </c>
      <c r="L963" s="17">
        <v>30352.937956544301</v>
      </c>
      <c r="M963" s="17">
        <v>17116.8389133171</v>
      </c>
      <c r="N963" s="17">
        <v>13236.099043227099</v>
      </c>
      <c r="O963" s="19">
        <f t="shared" si="312"/>
        <v>2709527.0620434559</v>
      </c>
      <c r="P963" s="21">
        <f t="shared" si="313"/>
        <v>4.0184086834158439</v>
      </c>
      <c r="Q963" s="17">
        <v>2457699</v>
      </c>
      <c r="R963" s="17">
        <v>79309</v>
      </c>
      <c r="S963" s="19">
        <f t="shared" si="314"/>
        <v>2537008</v>
      </c>
      <c r="T963" s="20">
        <f t="shared" si="315"/>
        <v>0.01</v>
      </c>
      <c r="U963" s="19">
        <f t="shared" si="316"/>
        <v>25626.343434343435</v>
      </c>
      <c r="V963" s="17">
        <v>25626</v>
      </c>
      <c r="W963" s="19">
        <f t="shared" si="317"/>
        <v>0.34343434343463741</v>
      </c>
      <c r="X963" s="19">
        <f t="shared" si="318"/>
        <v>310629</v>
      </c>
      <c r="Y963" s="17">
        <v>282181</v>
      </c>
      <c r="Z963" s="17">
        <v>28448</v>
      </c>
      <c r="AA963" s="19">
        <f t="shared" si="319"/>
        <v>285003</v>
      </c>
      <c r="AB963" s="17">
        <v>2537008</v>
      </c>
      <c r="AC963" s="27">
        <v>24.587</v>
      </c>
      <c r="AD963" s="27">
        <v>24.464500000000001</v>
      </c>
      <c r="AE963" s="22">
        <f t="shared" si="320"/>
        <v>103701.60845306465</v>
      </c>
      <c r="AF963" s="23">
        <f t="shared" si="321"/>
        <v>0</v>
      </c>
      <c r="AG963" s="23">
        <f t="shared" si="322"/>
        <v>0</v>
      </c>
      <c r="AH963" s="17">
        <v>1963652.9984869999</v>
      </c>
      <c r="AI963" s="24">
        <f t="shared" si="323"/>
        <v>0.77400347120978719</v>
      </c>
      <c r="AJ963" s="25">
        <v>414226572.97695899</v>
      </c>
      <c r="AK963" s="24">
        <f t="shared" si="324"/>
        <v>2.3289457043671677E-2</v>
      </c>
      <c r="AL963" s="22">
        <f t="shared" si="325"/>
        <v>26430.443774504703</v>
      </c>
      <c r="AM963" s="22">
        <f t="shared" si="326"/>
        <v>103701.60845306465</v>
      </c>
      <c r="AN963" s="22">
        <f t="shared" si="327"/>
        <v>-77271.164678559944</v>
      </c>
      <c r="AO963" s="26" t="str">
        <f t="shared" si="328"/>
        <v>YES</v>
      </c>
      <c r="AP963" s="26" t="str">
        <f t="shared" si="329"/>
        <v>pre-launch</v>
      </c>
      <c r="AQ963" s="28">
        <v>38</v>
      </c>
      <c r="AR963" s="28">
        <v>23</v>
      </c>
    </row>
    <row r="964" spans="1:44" x14ac:dyDescent="0.25">
      <c r="A964" s="43">
        <v>46025</v>
      </c>
      <c r="B964" s="17">
        <v>3238060651.0700002</v>
      </c>
      <c r="C964" s="17">
        <v>79936222.680000007</v>
      </c>
      <c r="D964" s="17">
        <v>97545435</v>
      </c>
      <c r="E964" s="19">
        <f t="shared" si="308"/>
        <v>3317996873.75</v>
      </c>
      <c r="F964" s="19">
        <f t="shared" si="309"/>
        <v>3415542308.75</v>
      </c>
      <c r="G964" s="20">
        <f t="shared" si="310"/>
        <v>2.4091711270859666E-2</v>
      </c>
      <c r="H964" s="17">
        <v>1303315</v>
      </c>
      <c r="I964" s="17">
        <v>62476</v>
      </c>
      <c r="J964" s="17">
        <v>12271</v>
      </c>
      <c r="K964" s="19">
        <f t="shared" si="311"/>
        <v>1365791</v>
      </c>
      <c r="L964" s="17">
        <v>9409.5429795274304</v>
      </c>
      <c r="M964" s="17">
        <v>6069.3598402195303</v>
      </c>
      <c r="N964" s="17">
        <v>3340.1831393079001</v>
      </c>
      <c r="O964" s="19">
        <f t="shared" si="312"/>
        <v>1293905.4570204725</v>
      </c>
      <c r="P964" s="21">
        <f t="shared" si="313"/>
        <v>3.9959271812679238</v>
      </c>
      <c r="Q964" s="17">
        <v>1168680</v>
      </c>
      <c r="R964" s="17">
        <v>46188</v>
      </c>
      <c r="S964" s="19">
        <f t="shared" si="314"/>
        <v>1214868</v>
      </c>
      <c r="T964" s="20">
        <f t="shared" si="315"/>
        <v>0.01</v>
      </c>
      <c r="U964" s="19">
        <f t="shared" si="316"/>
        <v>12271.39393939394</v>
      </c>
      <c r="V964" s="17">
        <v>12271</v>
      </c>
      <c r="W964" s="19">
        <f t="shared" si="317"/>
        <v>0.39393939393994515</v>
      </c>
      <c r="X964" s="19">
        <f t="shared" si="318"/>
        <v>150924</v>
      </c>
      <c r="Y964" s="17">
        <v>134636</v>
      </c>
      <c r="Z964" s="17">
        <v>16288</v>
      </c>
      <c r="AA964" s="19">
        <f t="shared" si="319"/>
        <v>138653</v>
      </c>
      <c r="AB964" s="17">
        <v>1214868</v>
      </c>
      <c r="AC964" s="27">
        <v>25.384</v>
      </c>
      <c r="AD964" s="27">
        <v>24.922249999999998</v>
      </c>
      <c r="AE964" s="22">
        <f t="shared" si="320"/>
        <v>48746.321058491914</v>
      </c>
      <c r="AF964" s="23">
        <f t="shared" si="321"/>
        <v>-1</v>
      </c>
      <c r="AG964" s="23">
        <f t="shared" si="322"/>
        <v>0</v>
      </c>
      <c r="AH964" s="17">
        <v>1025379.84301591</v>
      </c>
      <c r="AI964" s="24">
        <f t="shared" si="323"/>
        <v>0.84402572379543295</v>
      </c>
      <c r="AJ964" s="25">
        <v>414381339.72350198</v>
      </c>
      <c r="AK964" s="24">
        <f t="shared" si="324"/>
        <v>2.3285107463023976E-2</v>
      </c>
      <c r="AL964" s="22">
        <f t="shared" si="325"/>
        <v>26435.380893516682</v>
      </c>
      <c r="AM964" s="22">
        <f t="shared" si="326"/>
        <v>48746.321058491914</v>
      </c>
      <c r="AN964" s="22">
        <f t="shared" si="327"/>
        <v>-22310.940164975233</v>
      </c>
      <c r="AO964" s="26" t="str">
        <f t="shared" si="328"/>
        <v>YES</v>
      </c>
      <c r="AP964" s="26" t="str">
        <f t="shared" si="329"/>
        <v>pre-launch</v>
      </c>
      <c r="AQ964" s="28">
        <v>38</v>
      </c>
      <c r="AR964" s="28">
        <v>23</v>
      </c>
    </row>
    <row r="965" spans="1:44" x14ac:dyDescent="0.25">
      <c r="A965" s="43">
        <v>46026</v>
      </c>
      <c r="B965" s="17">
        <v>3512692118.3400002</v>
      </c>
      <c r="C965" s="17">
        <v>75858129.549999997</v>
      </c>
      <c r="D965" s="17">
        <v>77369559</v>
      </c>
      <c r="E965" s="19">
        <f t="shared" ref="E965:E1028" si="330">B965+C965</f>
        <v>3588550247.8900003</v>
      </c>
      <c r="F965" s="19">
        <f t="shared" ref="F965:F1028" si="331">E965+D965</f>
        <v>3665919806.8900003</v>
      </c>
      <c r="G965" s="20">
        <f t="shared" ref="G965:G1028" si="332">IFERROR(C965/E965,0)</f>
        <v>2.1138934753554904E-2</v>
      </c>
      <c r="H965" s="17">
        <v>1381961</v>
      </c>
      <c r="I965" s="17">
        <v>39784</v>
      </c>
      <c r="J965" s="17">
        <v>12995</v>
      </c>
      <c r="K965" s="19">
        <f t="shared" ref="K965:K1028" si="333">H965+I965</f>
        <v>1421745</v>
      </c>
      <c r="L965" s="17">
        <v>11475.468176068</v>
      </c>
      <c r="M965" s="17">
        <v>7331.0267754557999</v>
      </c>
      <c r="N965" s="17">
        <v>4144.4414006121897</v>
      </c>
      <c r="O965" s="19">
        <f t="shared" ref="O965:O1028" si="334">IF(H965=0,0,H965-L965)</f>
        <v>1370485.531823932</v>
      </c>
      <c r="P965" s="21">
        <f t="shared" ref="P965:P1028" si="335">IF(B965=0,0,O965/B965*10000)</f>
        <v>3.9015247726054194</v>
      </c>
      <c r="Q965" s="17">
        <v>1257110</v>
      </c>
      <c r="R965" s="17">
        <v>29426</v>
      </c>
      <c r="S965" s="19">
        <f t="shared" ref="S965:S1028" si="336">Q965+R965</f>
        <v>1286536</v>
      </c>
      <c r="T965" s="20">
        <f t="shared" ref="T965:T1028" si="337">IF(A965&lt;HlpChangeDate,HlpSharePre,HlpSharePost)</f>
        <v>0.01</v>
      </c>
      <c r="U965" s="19">
        <f t="shared" ref="U965:U1028" si="338">S965*T965/(1-T965)</f>
        <v>12995.313131313133</v>
      </c>
      <c r="V965" s="17">
        <v>12995</v>
      </c>
      <c r="W965" s="19">
        <f t="shared" ref="W965:W1028" si="339">U965-V965</f>
        <v>0.31313131313254416</v>
      </c>
      <c r="X965" s="19">
        <f t="shared" ref="X965:X1028" si="340">Y965+Z965</f>
        <v>135207</v>
      </c>
      <c r="Y965" s="17">
        <v>124850</v>
      </c>
      <c r="Z965" s="17">
        <v>10357</v>
      </c>
      <c r="AA965" s="19">
        <f t="shared" ref="AA965:AA1028" si="341">X965-V965</f>
        <v>122212</v>
      </c>
      <c r="AB965" s="17">
        <v>1286536</v>
      </c>
      <c r="AC965" s="27">
        <v>26.872</v>
      </c>
      <c r="AD965" s="27">
        <v>26.00525</v>
      </c>
      <c r="AE965" s="22">
        <f t="shared" ref="AE965:AE1028" si="342">IFERROR(AB965/AD965,0)</f>
        <v>49472.164274521492</v>
      </c>
      <c r="AF965" s="23">
        <f t="shared" ref="AF965:AF1028" si="343">K965-S965-X965</f>
        <v>2</v>
      </c>
      <c r="AG965" s="23">
        <f t="shared" ref="AG965:AG1028" si="344">S965-AB965</f>
        <v>0</v>
      </c>
      <c r="AH965" s="17">
        <v>1042990.91248107</v>
      </c>
      <c r="AI965" s="24">
        <f t="shared" ref="AI965:AI1028" si="345">IFERROR(AH965/S965,0)</f>
        <v>0.81069702867317361</v>
      </c>
      <c r="AJ965" s="25">
        <v>414536106.47004598</v>
      </c>
      <c r="AK965" s="24">
        <f t="shared" ref="AK965:AK1028" si="346">IF(AJ965&gt;0,AprCoef/SQRT(AJ965),0)</f>
        <v>2.3280760318472708E-2</v>
      </c>
      <c r="AL965" s="22">
        <f t="shared" ref="AL965:AL1028" si="347">AJ965*AK965/365</f>
        <v>26440.317090635679</v>
      </c>
      <c r="AM965" s="22">
        <f t="shared" ref="AM965:AM1028" si="348">AE965</f>
        <v>49472.164274521492</v>
      </c>
      <c r="AN965" s="22">
        <f t="shared" ref="AN965:AN1028" si="349">AL965-AM965</f>
        <v>-23031.847183885813</v>
      </c>
      <c r="AO965" s="26" t="str">
        <f t="shared" ref="AO965:AO1028" si="350">IF(A965&gt;=Hip3LaunchDate,"YES","")</f>
        <v>YES</v>
      </c>
      <c r="AP965" s="26" t="str">
        <f t="shared" ref="AP965:AP1028" si="351">IF(A965&lt;Hip4LaunchDate,"pre-launch","live (zero-fee)")</f>
        <v>pre-launch</v>
      </c>
      <c r="AQ965" s="28">
        <v>38</v>
      </c>
      <c r="AR965" s="28">
        <v>23</v>
      </c>
    </row>
    <row r="966" spans="1:44" x14ac:dyDescent="0.25">
      <c r="A966" s="43">
        <v>46027</v>
      </c>
      <c r="B966" s="17">
        <v>7236736072.7399998</v>
      </c>
      <c r="C966" s="17">
        <v>331966119.69</v>
      </c>
      <c r="D966" s="17">
        <v>153796466</v>
      </c>
      <c r="E966" s="19">
        <f t="shared" si="330"/>
        <v>7568702192.4299994</v>
      </c>
      <c r="F966" s="19">
        <f t="shared" si="331"/>
        <v>7722498658.4299994</v>
      </c>
      <c r="G966" s="20">
        <f t="shared" si="332"/>
        <v>4.3860375431606105E-2</v>
      </c>
      <c r="H966" s="17">
        <v>2830214</v>
      </c>
      <c r="I966" s="17">
        <v>79063</v>
      </c>
      <c r="J966" s="17">
        <v>26721</v>
      </c>
      <c r="K966" s="19">
        <f t="shared" si="333"/>
        <v>2909277</v>
      </c>
      <c r="L966" s="17">
        <v>38464.0381690262</v>
      </c>
      <c r="M966" s="17">
        <v>21918.065073351801</v>
      </c>
      <c r="N966" s="17">
        <v>16545.973095674501</v>
      </c>
      <c r="O966" s="19">
        <f t="shared" si="334"/>
        <v>2791749.9618309736</v>
      </c>
      <c r="P966" s="21">
        <f t="shared" si="335"/>
        <v>3.8577473791633676</v>
      </c>
      <c r="Q966" s="17">
        <v>2588172</v>
      </c>
      <c r="R966" s="17">
        <v>57987</v>
      </c>
      <c r="S966" s="19">
        <f t="shared" si="336"/>
        <v>2646159</v>
      </c>
      <c r="T966" s="20">
        <f t="shared" si="337"/>
        <v>0.01</v>
      </c>
      <c r="U966" s="19">
        <f t="shared" si="338"/>
        <v>26728.878787878788</v>
      </c>
      <c r="V966" s="17">
        <v>26721</v>
      </c>
      <c r="W966" s="19">
        <f t="shared" si="339"/>
        <v>7.878787878787989</v>
      </c>
      <c r="X966" s="19">
        <f t="shared" si="340"/>
        <v>263118</v>
      </c>
      <c r="Y966" s="17">
        <v>242042</v>
      </c>
      <c r="Z966" s="17">
        <v>21076</v>
      </c>
      <c r="AA966" s="19">
        <f t="shared" si="341"/>
        <v>236397</v>
      </c>
      <c r="AB966" s="17">
        <v>2646159</v>
      </c>
      <c r="AC966" s="27">
        <v>26.524999999999999</v>
      </c>
      <c r="AD966" s="27">
        <v>26.66675</v>
      </c>
      <c r="AE966" s="22">
        <f t="shared" si="342"/>
        <v>99230.652404211229</v>
      </c>
      <c r="AF966" s="23">
        <f t="shared" si="343"/>
        <v>0</v>
      </c>
      <c r="AG966" s="23">
        <f t="shared" si="344"/>
        <v>0</v>
      </c>
      <c r="AH966" s="17">
        <v>2133826.8480099398</v>
      </c>
      <c r="AI966" s="24">
        <f t="shared" si="345"/>
        <v>0.80638648244868871</v>
      </c>
      <c r="AJ966" s="25">
        <v>414690873.21658999</v>
      </c>
      <c r="AK966" s="24">
        <f t="shared" si="346"/>
        <v>2.3276415607744742E-2</v>
      </c>
      <c r="AL966" s="22">
        <f t="shared" si="347"/>
        <v>26445.252366377892</v>
      </c>
      <c r="AM966" s="22">
        <f t="shared" si="348"/>
        <v>99230.652404211229</v>
      </c>
      <c r="AN966" s="22">
        <f t="shared" si="349"/>
        <v>-72785.400037833344</v>
      </c>
      <c r="AO966" s="26" t="str">
        <f t="shared" si="350"/>
        <v>YES</v>
      </c>
      <c r="AP966" s="26" t="str">
        <f t="shared" si="351"/>
        <v>pre-launch</v>
      </c>
      <c r="AQ966" s="28">
        <v>39</v>
      </c>
      <c r="AR966" s="28">
        <v>23</v>
      </c>
    </row>
    <row r="967" spans="1:44" x14ac:dyDescent="0.25">
      <c r="A967" s="43">
        <v>46028</v>
      </c>
      <c r="B967" s="17">
        <v>7937633992.0799999</v>
      </c>
      <c r="C967" s="17">
        <v>327670324.73000002</v>
      </c>
      <c r="D967" s="17">
        <v>179663491</v>
      </c>
      <c r="E967" s="19">
        <f t="shared" si="330"/>
        <v>8265304316.8099995</v>
      </c>
      <c r="F967" s="19">
        <f t="shared" si="331"/>
        <v>8444967807.8099995</v>
      </c>
      <c r="G967" s="20">
        <f t="shared" si="332"/>
        <v>3.9644072640324102E-2</v>
      </c>
      <c r="H967" s="17">
        <v>3102555</v>
      </c>
      <c r="I967" s="17">
        <v>95638</v>
      </c>
      <c r="J967" s="17">
        <v>29842</v>
      </c>
      <c r="K967" s="19">
        <f t="shared" si="333"/>
        <v>3198193</v>
      </c>
      <c r="L967" s="17">
        <v>43282.502666094901</v>
      </c>
      <c r="M967" s="17">
        <v>24556.026027993601</v>
      </c>
      <c r="N967" s="17">
        <v>18726.4766381013</v>
      </c>
      <c r="O967" s="19">
        <f t="shared" si="334"/>
        <v>3059272.4973339052</v>
      </c>
      <c r="P967" s="21">
        <f t="shared" si="335"/>
        <v>3.8541365101822298</v>
      </c>
      <c r="Q967" s="17">
        <v>2880206</v>
      </c>
      <c r="R967" s="17">
        <v>73601</v>
      </c>
      <c r="S967" s="19">
        <f t="shared" si="336"/>
        <v>2953807</v>
      </c>
      <c r="T967" s="20">
        <f t="shared" si="337"/>
        <v>0.01</v>
      </c>
      <c r="U967" s="19">
        <f t="shared" si="338"/>
        <v>29836.434343434343</v>
      </c>
      <c r="V967" s="17">
        <v>29842</v>
      </c>
      <c r="W967" s="19">
        <f t="shared" si="339"/>
        <v>-5.5656565656572639</v>
      </c>
      <c r="X967" s="19">
        <f t="shared" si="340"/>
        <v>244386</v>
      </c>
      <c r="Y967" s="17">
        <v>222349</v>
      </c>
      <c r="Z967" s="17">
        <v>22037</v>
      </c>
      <c r="AA967" s="19">
        <f t="shared" si="341"/>
        <v>214544</v>
      </c>
      <c r="AB967" s="17">
        <v>2953807</v>
      </c>
      <c r="AC967" s="27">
        <v>28.245999999999999</v>
      </c>
      <c r="AD967" s="27">
        <v>27.3245</v>
      </c>
      <c r="AE967" s="22">
        <f t="shared" si="342"/>
        <v>108101.04484986002</v>
      </c>
      <c r="AF967" s="23">
        <f t="shared" si="343"/>
        <v>0</v>
      </c>
      <c r="AG967" s="23">
        <f t="shared" si="344"/>
        <v>0</v>
      </c>
      <c r="AH967" s="17">
        <v>2506028.42361105</v>
      </c>
      <c r="AI967" s="24">
        <f t="shared" si="345"/>
        <v>0.84840628504538385</v>
      </c>
      <c r="AJ967" s="25">
        <v>414845639.96313399</v>
      </c>
      <c r="AK967" s="24">
        <f t="shared" si="346"/>
        <v>2.3272073328569898E-2</v>
      </c>
      <c r="AL967" s="22">
        <f t="shared" si="347"/>
        <v>26450.18672125907</v>
      </c>
      <c r="AM967" s="22">
        <f t="shared" si="348"/>
        <v>108101.04484986002</v>
      </c>
      <c r="AN967" s="22">
        <f t="shared" si="349"/>
        <v>-81650.858128600943</v>
      </c>
      <c r="AO967" s="26" t="str">
        <f t="shared" si="350"/>
        <v>YES</v>
      </c>
      <c r="AP967" s="26" t="str">
        <f t="shared" si="351"/>
        <v>pre-launch</v>
      </c>
      <c r="AQ967" s="28">
        <v>41</v>
      </c>
      <c r="AR967" s="28">
        <v>24</v>
      </c>
    </row>
    <row r="968" spans="1:44" x14ac:dyDescent="0.25">
      <c r="A968" s="43">
        <v>46029</v>
      </c>
      <c r="B968" s="17">
        <v>6136634547.8800001</v>
      </c>
      <c r="C968" s="17">
        <v>332729557.07999998</v>
      </c>
      <c r="D968" s="17">
        <v>122833352</v>
      </c>
      <c r="E968" s="19">
        <f t="shared" si="330"/>
        <v>6469364104.96</v>
      </c>
      <c r="F968" s="19">
        <f t="shared" si="331"/>
        <v>6592197456.96</v>
      </c>
      <c r="G968" s="20">
        <f t="shared" si="332"/>
        <v>5.1431570658528769E-2</v>
      </c>
      <c r="H968" s="17">
        <v>2405426</v>
      </c>
      <c r="I968" s="17">
        <v>61994</v>
      </c>
      <c r="J968" s="17">
        <v>22793</v>
      </c>
      <c r="K968" s="19">
        <f t="shared" si="333"/>
        <v>2467420</v>
      </c>
      <c r="L968" s="17">
        <v>40119.249207479101</v>
      </c>
      <c r="M968" s="17">
        <v>22481.3951145764</v>
      </c>
      <c r="N968" s="17">
        <v>17637.8540929027</v>
      </c>
      <c r="O968" s="19">
        <f t="shared" si="334"/>
        <v>2365306.7507925211</v>
      </c>
      <c r="P968" s="21">
        <f t="shared" si="335"/>
        <v>3.8544037979410954</v>
      </c>
      <c r="Q968" s="17">
        <v>2208036</v>
      </c>
      <c r="R968" s="17">
        <v>48158</v>
      </c>
      <c r="S968" s="19">
        <f t="shared" si="336"/>
        <v>2256194</v>
      </c>
      <c r="T968" s="20">
        <f t="shared" si="337"/>
        <v>0.01</v>
      </c>
      <c r="U968" s="19">
        <f t="shared" si="338"/>
        <v>22789.838383838382</v>
      </c>
      <c r="V968" s="17">
        <v>22793</v>
      </c>
      <c r="W968" s="19">
        <f t="shared" si="339"/>
        <v>-3.1616161616184399</v>
      </c>
      <c r="X968" s="19">
        <f t="shared" si="340"/>
        <v>211226</v>
      </c>
      <c r="Y968" s="17">
        <v>197390</v>
      </c>
      <c r="Z968" s="17">
        <v>13836</v>
      </c>
      <c r="AA968" s="19">
        <f t="shared" si="341"/>
        <v>188433</v>
      </c>
      <c r="AB968" s="17">
        <v>2256194</v>
      </c>
      <c r="AC968" s="27">
        <v>26.850999999999999</v>
      </c>
      <c r="AD968" s="27">
        <v>27.482500000000002</v>
      </c>
      <c r="AE968" s="22">
        <f t="shared" si="342"/>
        <v>82095.66087510233</v>
      </c>
      <c r="AF968" s="23">
        <f t="shared" si="343"/>
        <v>0</v>
      </c>
      <c r="AG968" s="23">
        <f t="shared" si="344"/>
        <v>0</v>
      </c>
      <c r="AH968" s="17">
        <v>1835828.87877095</v>
      </c>
      <c r="AI968" s="24">
        <f t="shared" si="345"/>
        <v>0.81368396457527592</v>
      </c>
      <c r="AJ968" s="25">
        <v>415000406.70967698</v>
      </c>
      <c r="AK968" s="24">
        <f t="shared" si="346"/>
        <v>2.3267733478680986E-2</v>
      </c>
      <c r="AL968" s="22">
        <f t="shared" si="347"/>
        <v>26455.120155794455</v>
      </c>
      <c r="AM968" s="22">
        <f t="shared" si="348"/>
        <v>82095.66087510233</v>
      </c>
      <c r="AN968" s="22">
        <f t="shared" si="349"/>
        <v>-55640.540719307872</v>
      </c>
      <c r="AO968" s="26" t="str">
        <f t="shared" si="350"/>
        <v>YES</v>
      </c>
      <c r="AP968" s="26" t="str">
        <f t="shared" si="351"/>
        <v>pre-launch</v>
      </c>
      <c r="AQ968" s="28">
        <v>43</v>
      </c>
      <c r="AR968" s="28">
        <v>24</v>
      </c>
    </row>
    <row r="969" spans="1:44" x14ac:dyDescent="0.25">
      <c r="A969" s="43">
        <v>46030</v>
      </c>
      <c r="B969" s="17">
        <v>7190845724.5500002</v>
      </c>
      <c r="C969" s="17">
        <v>419621834.60000002</v>
      </c>
      <c r="D969" s="17">
        <v>120194070</v>
      </c>
      <c r="E969" s="19">
        <f t="shared" si="330"/>
        <v>7610467559.1500006</v>
      </c>
      <c r="F969" s="19">
        <f t="shared" si="331"/>
        <v>7730661629.1500006</v>
      </c>
      <c r="G969" s="20">
        <f t="shared" si="332"/>
        <v>5.5137457894487998E-2</v>
      </c>
      <c r="H969" s="17">
        <v>2768182</v>
      </c>
      <c r="I969" s="17">
        <v>62662</v>
      </c>
      <c r="J969" s="17">
        <v>26479</v>
      </c>
      <c r="K969" s="19">
        <f t="shared" si="333"/>
        <v>2830844</v>
      </c>
      <c r="L969" s="17">
        <v>43859.903923136902</v>
      </c>
      <c r="M969" s="17">
        <v>25023.130515356399</v>
      </c>
      <c r="N969" s="17">
        <v>18836.7734077805</v>
      </c>
      <c r="O969" s="19">
        <f t="shared" si="334"/>
        <v>2724322.0960768629</v>
      </c>
      <c r="P969" s="21">
        <f t="shared" si="335"/>
        <v>3.7885976148477996</v>
      </c>
      <c r="Q969" s="17">
        <v>2575107</v>
      </c>
      <c r="R969" s="17">
        <v>46361</v>
      </c>
      <c r="S969" s="19">
        <f t="shared" si="336"/>
        <v>2621468</v>
      </c>
      <c r="T969" s="20">
        <f t="shared" si="337"/>
        <v>0.01</v>
      </c>
      <c r="U969" s="19">
        <f t="shared" si="338"/>
        <v>26479.474747474749</v>
      </c>
      <c r="V969" s="17">
        <v>26479</v>
      </c>
      <c r="W969" s="19">
        <f t="shared" si="339"/>
        <v>0.47474747474916512</v>
      </c>
      <c r="X969" s="19">
        <f t="shared" si="340"/>
        <v>209375</v>
      </c>
      <c r="Y969" s="17">
        <v>193074</v>
      </c>
      <c r="Z969" s="17">
        <v>16301</v>
      </c>
      <c r="AA969" s="19">
        <f t="shared" si="341"/>
        <v>182896</v>
      </c>
      <c r="AB969" s="17">
        <v>2621468</v>
      </c>
      <c r="AC969" s="27">
        <v>25.667000000000002</v>
      </c>
      <c r="AD969" s="27">
        <v>26.29175</v>
      </c>
      <c r="AE969" s="22">
        <f t="shared" si="342"/>
        <v>99706.866222294062</v>
      </c>
      <c r="AF969" s="23">
        <f t="shared" si="343"/>
        <v>1</v>
      </c>
      <c r="AG969" s="23">
        <f t="shared" si="344"/>
        <v>0</v>
      </c>
      <c r="AH969" s="17">
        <v>2153498.6324160099</v>
      </c>
      <c r="AI969" s="24">
        <f t="shared" si="345"/>
        <v>0.82148576004590168</v>
      </c>
      <c r="AJ969" s="25">
        <v>415155173.45622098</v>
      </c>
      <c r="AK969" s="24">
        <f t="shared" si="346"/>
        <v>2.3263396055813693E-2</v>
      </c>
      <c r="AL969" s="22">
        <f t="shared" si="347"/>
        <v>26460.052670498906</v>
      </c>
      <c r="AM969" s="22">
        <f t="shared" si="348"/>
        <v>99706.866222294062</v>
      </c>
      <c r="AN969" s="22">
        <f t="shared" si="349"/>
        <v>-73246.81355179516</v>
      </c>
      <c r="AO969" s="26" t="str">
        <f t="shared" si="350"/>
        <v>YES</v>
      </c>
      <c r="AP969" s="26" t="str">
        <f t="shared" si="351"/>
        <v>pre-launch</v>
      </c>
      <c r="AQ969" s="28">
        <v>44</v>
      </c>
      <c r="AR969" s="28">
        <v>24</v>
      </c>
    </row>
    <row r="970" spans="1:44" x14ac:dyDescent="0.25">
      <c r="A970" s="43">
        <v>46031</v>
      </c>
      <c r="B970" s="17">
        <v>6932577333.9300003</v>
      </c>
      <c r="C970" s="17">
        <v>311747368.45999998</v>
      </c>
      <c r="D970" s="17">
        <v>109133587</v>
      </c>
      <c r="E970" s="19">
        <f t="shared" si="330"/>
        <v>7244324702.3900003</v>
      </c>
      <c r="F970" s="19">
        <f t="shared" si="331"/>
        <v>7353458289.3900003</v>
      </c>
      <c r="G970" s="20">
        <f t="shared" si="332"/>
        <v>4.3033323500415478E-2</v>
      </c>
      <c r="H970" s="17">
        <v>2313384</v>
      </c>
      <c r="I970" s="17">
        <v>52906</v>
      </c>
      <c r="J970" s="17">
        <v>22258</v>
      </c>
      <c r="K970" s="19">
        <f t="shared" si="333"/>
        <v>2366290</v>
      </c>
      <c r="L970" s="17">
        <v>32086.6644034686</v>
      </c>
      <c r="M970" s="17">
        <v>18520.9444167248</v>
      </c>
      <c r="N970" s="17">
        <v>13565.719986743799</v>
      </c>
      <c r="O970" s="19">
        <f t="shared" si="334"/>
        <v>2281297.3355965316</v>
      </c>
      <c r="P970" s="21">
        <f t="shared" si="335"/>
        <v>3.2906915072280771</v>
      </c>
      <c r="Q970" s="17">
        <v>2163913</v>
      </c>
      <c r="R970" s="17">
        <v>39558</v>
      </c>
      <c r="S970" s="19">
        <f t="shared" si="336"/>
        <v>2203471</v>
      </c>
      <c r="T970" s="20">
        <f t="shared" si="337"/>
        <v>0.01</v>
      </c>
      <c r="U970" s="19">
        <f t="shared" si="338"/>
        <v>22257.282828282827</v>
      </c>
      <c r="V970" s="17">
        <v>22258</v>
      </c>
      <c r="W970" s="19">
        <f t="shared" si="339"/>
        <v>-0.71717171717318706</v>
      </c>
      <c r="X970" s="19">
        <f t="shared" si="340"/>
        <v>162819</v>
      </c>
      <c r="Y970" s="17">
        <v>149471</v>
      </c>
      <c r="Z970" s="17">
        <v>13348</v>
      </c>
      <c r="AA970" s="19">
        <f t="shared" si="341"/>
        <v>140561</v>
      </c>
      <c r="AB970" s="17">
        <v>2203471</v>
      </c>
      <c r="AC970" s="27">
        <v>25.065000000000001</v>
      </c>
      <c r="AD970" s="27">
        <v>25.47325</v>
      </c>
      <c r="AE970" s="22">
        <f t="shared" si="342"/>
        <v>86501.369083254001</v>
      </c>
      <c r="AF970" s="23">
        <f t="shared" si="343"/>
        <v>0</v>
      </c>
      <c r="AG970" s="23">
        <f t="shared" si="344"/>
        <v>0</v>
      </c>
      <c r="AH970" s="17">
        <v>1568443.92752004</v>
      </c>
      <c r="AI970" s="24">
        <f t="shared" si="345"/>
        <v>0.71180602218955458</v>
      </c>
      <c r="AJ970" s="25">
        <v>415309940.20276499</v>
      </c>
      <c r="AK970" s="24">
        <f t="shared" si="346"/>
        <v>2.325906105770674E-2</v>
      </c>
      <c r="AL970" s="22">
        <f t="shared" si="347"/>
        <v>26464.984265886702</v>
      </c>
      <c r="AM970" s="22">
        <f t="shared" si="348"/>
        <v>86501.369083254001</v>
      </c>
      <c r="AN970" s="22">
        <f t="shared" si="349"/>
        <v>-60036.384817367303</v>
      </c>
      <c r="AO970" s="26" t="str">
        <f t="shared" si="350"/>
        <v>YES</v>
      </c>
      <c r="AP970" s="26" t="str">
        <f t="shared" si="351"/>
        <v>pre-launch</v>
      </c>
      <c r="AQ970" s="28">
        <v>46</v>
      </c>
      <c r="AR970" s="28">
        <v>24</v>
      </c>
    </row>
    <row r="971" spans="1:44" x14ac:dyDescent="0.25">
      <c r="A971" s="43">
        <v>46032</v>
      </c>
      <c r="B971" s="17">
        <v>1439990710.6900001</v>
      </c>
      <c r="C971" s="17">
        <v>78168233.379999995</v>
      </c>
      <c r="D971" s="17">
        <v>56606100</v>
      </c>
      <c r="E971" s="19">
        <f t="shared" si="330"/>
        <v>1518158944.0700002</v>
      </c>
      <c r="F971" s="19">
        <f t="shared" si="331"/>
        <v>1574765044.0700002</v>
      </c>
      <c r="G971" s="20">
        <f t="shared" si="332"/>
        <v>5.1488833685911985E-2</v>
      </c>
      <c r="H971" s="17">
        <v>580683</v>
      </c>
      <c r="I971" s="17">
        <v>29394</v>
      </c>
      <c r="J971" s="17">
        <v>5618</v>
      </c>
      <c r="K971" s="19">
        <f t="shared" si="333"/>
        <v>610077</v>
      </c>
      <c r="L971" s="17">
        <v>10827.408260807601</v>
      </c>
      <c r="M971" s="17">
        <v>6678.31113624717</v>
      </c>
      <c r="N971" s="17">
        <v>4149.0971245603796</v>
      </c>
      <c r="O971" s="19">
        <f t="shared" si="334"/>
        <v>569855.59173919237</v>
      </c>
      <c r="P971" s="21">
        <f t="shared" si="335"/>
        <v>3.9573560267353032</v>
      </c>
      <c r="Q971" s="17">
        <v>530668</v>
      </c>
      <c r="R971" s="17">
        <v>25567</v>
      </c>
      <c r="S971" s="19">
        <f t="shared" si="336"/>
        <v>556235</v>
      </c>
      <c r="T971" s="20">
        <f t="shared" si="337"/>
        <v>0.01</v>
      </c>
      <c r="U971" s="19">
        <f t="shared" si="338"/>
        <v>5618.5353535353543</v>
      </c>
      <c r="V971" s="17">
        <v>5618</v>
      </c>
      <c r="W971" s="19">
        <f t="shared" si="339"/>
        <v>0.53535353535426111</v>
      </c>
      <c r="X971" s="19">
        <f t="shared" si="340"/>
        <v>53843</v>
      </c>
      <c r="Y971" s="17">
        <v>50015</v>
      </c>
      <c r="Z971" s="17">
        <v>3828</v>
      </c>
      <c r="AA971" s="19">
        <f t="shared" si="341"/>
        <v>48225</v>
      </c>
      <c r="AB971" s="17">
        <v>556235</v>
      </c>
      <c r="AC971" s="27">
        <v>24.018000000000001</v>
      </c>
      <c r="AD971" s="27">
        <v>24.483000000000001</v>
      </c>
      <c r="AE971" s="22">
        <f t="shared" si="342"/>
        <v>22719.233754033412</v>
      </c>
      <c r="AF971" s="23">
        <f t="shared" si="343"/>
        <v>-1</v>
      </c>
      <c r="AG971" s="23">
        <f t="shared" si="344"/>
        <v>0</v>
      </c>
      <c r="AH971" s="17">
        <v>742922.04810905503</v>
      </c>
      <c r="AI971" s="24">
        <f t="shared" si="345"/>
        <v>1.3356262157344558</v>
      </c>
      <c r="AJ971" s="25">
        <v>415464706.94930899</v>
      </c>
      <c r="AK971" s="24">
        <f t="shared" si="346"/>
        <v>2.3254728482101764E-2</v>
      </c>
      <c r="AL971" s="22">
        <f t="shared" si="347"/>
        <v>26469.914942471667</v>
      </c>
      <c r="AM971" s="22">
        <f t="shared" si="348"/>
        <v>22719.233754033412</v>
      </c>
      <c r="AN971" s="22">
        <f t="shared" si="349"/>
        <v>3750.681188438255</v>
      </c>
      <c r="AO971" s="26" t="str">
        <f t="shared" si="350"/>
        <v>YES</v>
      </c>
      <c r="AP971" s="26" t="str">
        <f t="shared" si="351"/>
        <v>pre-launch</v>
      </c>
      <c r="AQ971" s="28">
        <v>46</v>
      </c>
      <c r="AR971" s="28">
        <v>24</v>
      </c>
    </row>
    <row r="972" spans="1:44" x14ac:dyDescent="0.25">
      <c r="A972" s="43">
        <v>46033</v>
      </c>
      <c r="B972" s="17">
        <v>2900575618.3000002</v>
      </c>
      <c r="C972" s="17">
        <v>172892115.16</v>
      </c>
      <c r="D972" s="17">
        <v>57524305</v>
      </c>
      <c r="E972" s="19">
        <f t="shared" si="330"/>
        <v>3073467733.46</v>
      </c>
      <c r="F972" s="19">
        <f t="shared" si="331"/>
        <v>3130992038.46</v>
      </c>
      <c r="G972" s="20">
        <f t="shared" si="332"/>
        <v>5.6253108915955412E-2</v>
      </c>
      <c r="H972" s="17">
        <v>1196204</v>
      </c>
      <c r="I972" s="17">
        <v>28522</v>
      </c>
      <c r="J972" s="17">
        <v>10754</v>
      </c>
      <c r="K972" s="19">
        <f t="shared" si="333"/>
        <v>1224726</v>
      </c>
      <c r="L972" s="17">
        <v>21702.021386562101</v>
      </c>
      <c r="M972" s="17">
        <v>12008.1106178678</v>
      </c>
      <c r="N972" s="17">
        <v>9693.9107686943098</v>
      </c>
      <c r="O972" s="19">
        <f t="shared" si="334"/>
        <v>1174501.9786134379</v>
      </c>
      <c r="P972" s="21">
        <f t="shared" si="335"/>
        <v>4.0492031002515372</v>
      </c>
      <c r="Q972" s="17">
        <v>1046416</v>
      </c>
      <c r="R972" s="17">
        <v>18163</v>
      </c>
      <c r="S972" s="19">
        <f t="shared" si="336"/>
        <v>1064579</v>
      </c>
      <c r="T972" s="20">
        <f t="shared" si="337"/>
        <v>0.01</v>
      </c>
      <c r="U972" s="19">
        <f t="shared" si="338"/>
        <v>10753.323232323233</v>
      </c>
      <c r="V972" s="17">
        <v>10754</v>
      </c>
      <c r="W972" s="19">
        <f t="shared" si="339"/>
        <v>-0.67676767676675809</v>
      </c>
      <c r="X972" s="19">
        <f t="shared" si="340"/>
        <v>160147</v>
      </c>
      <c r="Y972" s="17">
        <v>149788</v>
      </c>
      <c r="Z972" s="17">
        <v>10359</v>
      </c>
      <c r="AA972" s="19">
        <f t="shared" si="341"/>
        <v>149393</v>
      </c>
      <c r="AB972" s="17">
        <v>1064579</v>
      </c>
      <c r="AC972" s="27">
        <v>24.396000000000001</v>
      </c>
      <c r="AD972" s="27">
        <v>24.2575</v>
      </c>
      <c r="AE972" s="22">
        <f t="shared" si="342"/>
        <v>43886.591775739464</v>
      </c>
      <c r="AF972" s="23">
        <f t="shared" si="343"/>
        <v>0</v>
      </c>
      <c r="AG972" s="23">
        <f t="shared" si="344"/>
        <v>0</v>
      </c>
      <c r="AH972" s="17">
        <v>837345.86522996402</v>
      </c>
      <c r="AI972" s="24">
        <f t="shared" si="345"/>
        <v>0.786551176784404</v>
      </c>
      <c r="AJ972" s="25">
        <v>415619473.69585299</v>
      </c>
      <c r="AK972" s="24">
        <f t="shared" si="346"/>
        <v>2.3250398326743353E-2</v>
      </c>
      <c r="AL972" s="22">
        <f t="shared" si="347"/>
        <v>26474.84470076716</v>
      </c>
      <c r="AM972" s="22">
        <f t="shared" si="348"/>
        <v>43886.591775739464</v>
      </c>
      <c r="AN972" s="22">
        <f t="shared" si="349"/>
        <v>-17411.747074972303</v>
      </c>
      <c r="AO972" s="26" t="str">
        <f t="shared" si="350"/>
        <v>YES</v>
      </c>
      <c r="AP972" s="26" t="str">
        <f t="shared" si="351"/>
        <v>pre-launch</v>
      </c>
      <c r="AQ972" s="28">
        <v>46</v>
      </c>
      <c r="AR972" s="28">
        <v>24</v>
      </c>
    </row>
    <row r="973" spans="1:44" x14ac:dyDescent="0.25">
      <c r="A973" s="43">
        <v>46034</v>
      </c>
      <c r="B973" s="17">
        <v>6684693885.21</v>
      </c>
      <c r="C973" s="17">
        <v>445655150.26999998</v>
      </c>
      <c r="D973" s="17">
        <v>123128335</v>
      </c>
      <c r="E973" s="19">
        <f t="shared" si="330"/>
        <v>7130349035.4799995</v>
      </c>
      <c r="F973" s="19">
        <f t="shared" si="331"/>
        <v>7253477370.4799995</v>
      </c>
      <c r="G973" s="20">
        <f t="shared" si="332"/>
        <v>6.2501169024469699E-2</v>
      </c>
      <c r="H973" s="17">
        <v>2534533</v>
      </c>
      <c r="I973" s="17">
        <v>56846</v>
      </c>
      <c r="J973" s="17">
        <v>24019</v>
      </c>
      <c r="K973" s="19">
        <f t="shared" si="333"/>
        <v>2591379</v>
      </c>
      <c r="L973" s="17">
        <v>64174.8245807044</v>
      </c>
      <c r="M973" s="17">
        <v>34997.936835931803</v>
      </c>
      <c r="N973" s="17">
        <v>29176.887744772601</v>
      </c>
      <c r="O973" s="19">
        <f t="shared" si="334"/>
        <v>2470358.1754192957</v>
      </c>
      <c r="P973" s="21">
        <f t="shared" si="335"/>
        <v>3.6955442056741079</v>
      </c>
      <c r="Q973" s="17">
        <v>2332377</v>
      </c>
      <c r="R973" s="17">
        <v>45377</v>
      </c>
      <c r="S973" s="19">
        <f t="shared" si="336"/>
        <v>2377754</v>
      </c>
      <c r="T973" s="20">
        <f t="shared" si="337"/>
        <v>0.01</v>
      </c>
      <c r="U973" s="19">
        <f t="shared" si="338"/>
        <v>24017.717171717173</v>
      </c>
      <c r="V973" s="17">
        <v>24019</v>
      </c>
      <c r="W973" s="19">
        <f t="shared" si="339"/>
        <v>-1.2828282828268129</v>
      </c>
      <c r="X973" s="19">
        <f t="shared" si="340"/>
        <v>213624</v>
      </c>
      <c r="Y973" s="17">
        <v>202155</v>
      </c>
      <c r="Z973" s="17">
        <v>11469</v>
      </c>
      <c r="AA973" s="19">
        <f t="shared" si="341"/>
        <v>189605</v>
      </c>
      <c r="AB973" s="17">
        <v>2377754</v>
      </c>
      <c r="AC973" s="27">
        <v>23.742000000000001</v>
      </c>
      <c r="AD973" s="27">
        <v>24.149000000000001</v>
      </c>
      <c r="AE973" s="22">
        <f t="shared" si="342"/>
        <v>98461.799660441422</v>
      </c>
      <c r="AF973" s="23">
        <f t="shared" si="343"/>
        <v>1</v>
      </c>
      <c r="AG973" s="23">
        <f t="shared" si="344"/>
        <v>0</v>
      </c>
      <c r="AH973" s="17">
        <v>1958486.3700389899</v>
      </c>
      <c r="AI973" s="24">
        <f t="shared" si="345"/>
        <v>0.82367072877976022</v>
      </c>
      <c r="AJ973" s="25">
        <v>415774240.44239599</v>
      </c>
      <c r="AK973" s="24">
        <f t="shared" si="346"/>
        <v>2.3246070589379057E-2</v>
      </c>
      <c r="AL973" s="22">
        <f t="shared" si="347"/>
        <v>26479.77354128602</v>
      </c>
      <c r="AM973" s="22">
        <f t="shared" si="348"/>
        <v>98461.799660441422</v>
      </c>
      <c r="AN973" s="22">
        <f t="shared" si="349"/>
        <v>-71982.026119155402</v>
      </c>
      <c r="AO973" s="26" t="str">
        <f t="shared" si="350"/>
        <v>YES</v>
      </c>
      <c r="AP973" s="26" t="str">
        <f t="shared" si="351"/>
        <v>pre-launch</v>
      </c>
      <c r="AQ973" s="28">
        <v>49</v>
      </c>
      <c r="AR973" s="28">
        <v>26</v>
      </c>
    </row>
    <row r="974" spans="1:44" x14ac:dyDescent="0.25">
      <c r="A974" s="43">
        <v>46035</v>
      </c>
      <c r="B974" s="17">
        <v>8466035742.96</v>
      </c>
      <c r="C974" s="17">
        <v>580538259.25999999</v>
      </c>
      <c r="D974" s="17">
        <v>133261195</v>
      </c>
      <c r="E974" s="19">
        <f t="shared" si="330"/>
        <v>9046574002.2199993</v>
      </c>
      <c r="F974" s="19">
        <f t="shared" si="331"/>
        <v>9179835197.2199993</v>
      </c>
      <c r="G974" s="20">
        <f t="shared" si="332"/>
        <v>6.4172167178153605E-2</v>
      </c>
      <c r="H974" s="17">
        <v>3044751</v>
      </c>
      <c r="I974" s="17">
        <v>65354</v>
      </c>
      <c r="J974" s="17">
        <v>28981</v>
      </c>
      <c r="K974" s="19">
        <f t="shared" si="333"/>
        <v>3110105</v>
      </c>
      <c r="L974" s="17">
        <v>65538.526050531902</v>
      </c>
      <c r="M974" s="17">
        <v>35797.665458787502</v>
      </c>
      <c r="N974" s="17">
        <v>29740.8605917444</v>
      </c>
      <c r="O974" s="19">
        <f t="shared" si="334"/>
        <v>2979212.4739494682</v>
      </c>
      <c r="P974" s="21">
        <f t="shared" si="335"/>
        <v>3.5190171225379676</v>
      </c>
      <c r="Q974" s="17">
        <v>2824092</v>
      </c>
      <c r="R974" s="17">
        <v>45204</v>
      </c>
      <c r="S974" s="19">
        <f t="shared" si="336"/>
        <v>2869296</v>
      </c>
      <c r="T974" s="20">
        <f t="shared" si="337"/>
        <v>0.01</v>
      </c>
      <c r="U974" s="19">
        <f t="shared" si="338"/>
        <v>28982.78787878788</v>
      </c>
      <c r="V974" s="17">
        <v>28981</v>
      </c>
      <c r="W974" s="19">
        <f t="shared" si="339"/>
        <v>1.7878787878798903</v>
      </c>
      <c r="X974" s="19">
        <f t="shared" si="340"/>
        <v>240809</v>
      </c>
      <c r="Y974" s="17">
        <v>220659</v>
      </c>
      <c r="Z974" s="17">
        <v>20150</v>
      </c>
      <c r="AA974" s="19">
        <f t="shared" si="341"/>
        <v>211828</v>
      </c>
      <c r="AB974" s="17">
        <v>2869296</v>
      </c>
      <c r="AC974" s="27">
        <v>25.763000000000002</v>
      </c>
      <c r="AD974" s="27">
        <v>24.77675</v>
      </c>
      <c r="AE974" s="22">
        <f t="shared" si="342"/>
        <v>115805.98746809004</v>
      </c>
      <c r="AF974" s="23">
        <f t="shared" si="343"/>
        <v>0</v>
      </c>
      <c r="AG974" s="23">
        <f t="shared" si="344"/>
        <v>0</v>
      </c>
      <c r="AH974" s="17">
        <v>2318416.82035601</v>
      </c>
      <c r="AI974" s="24">
        <f t="shared" si="345"/>
        <v>0.80800894029615977</v>
      </c>
      <c r="AJ974" s="25">
        <v>415929007.18893999</v>
      </c>
      <c r="AK974" s="24">
        <f t="shared" si="346"/>
        <v>2.3241745267759288E-2</v>
      </c>
      <c r="AL974" s="22">
        <f t="shared" si="347"/>
        <v>26484.701464540725</v>
      </c>
      <c r="AM974" s="22">
        <f t="shared" si="348"/>
        <v>115805.98746809004</v>
      </c>
      <c r="AN974" s="22">
        <f t="shared" si="349"/>
        <v>-89321.286003549321</v>
      </c>
      <c r="AO974" s="26" t="str">
        <f t="shared" si="350"/>
        <v>YES</v>
      </c>
      <c r="AP974" s="26" t="str">
        <f t="shared" si="351"/>
        <v>pre-launch</v>
      </c>
      <c r="AQ974" s="28">
        <v>50</v>
      </c>
      <c r="AR974" s="28">
        <v>27</v>
      </c>
    </row>
    <row r="975" spans="1:44" x14ac:dyDescent="0.25">
      <c r="A975" s="43">
        <v>46036</v>
      </c>
      <c r="B975" s="17">
        <v>8219958038.5799999</v>
      </c>
      <c r="C975" s="17">
        <v>706622982.74000001</v>
      </c>
      <c r="D975" s="17">
        <v>152194040</v>
      </c>
      <c r="E975" s="19">
        <f t="shared" si="330"/>
        <v>8926581021.3199997</v>
      </c>
      <c r="F975" s="19">
        <f t="shared" si="331"/>
        <v>9078775061.3199997</v>
      </c>
      <c r="G975" s="20">
        <f t="shared" si="332"/>
        <v>7.9159420729204288E-2</v>
      </c>
      <c r="H975" s="17">
        <v>3136902</v>
      </c>
      <c r="I975" s="17">
        <v>76627</v>
      </c>
      <c r="J975" s="17">
        <v>29792</v>
      </c>
      <c r="K975" s="19">
        <f t="shared" si="333"/>
        <v>3213529</v>
      </c>
      <c r="L975" s="17">
        <v>83560.756939281695</v>
      </c>
      <c r="M975" s="17">
        <v>44917.317215859097</v>
      </c>
      <c r="N975" s="17">
        <v>38643.439723422598</v>
      </c>
      <c r="O975" s="19">
        <f t="shared" si="334"/>
        <v>3053341.2430607183</v>
      </c>
      <c r="P975" s="21">
        <f t="shared" si="335"/>
        <v>3.7145460216828354</v>
      </c>
      <c r="Q975" s="17">
        <v>2891885</v>
      </c>
      <c r="R975" s="17">
        <v>57386</v>
      </c>
      <c r="S975" s="19">
        <f t="shared" si="336"/>
        <v>2949271</v>
      </c>
      <c r="T975" s="20">
        <f t="shared" si="337"/>
        <v>0.01</v>
      </c>
      <c r="U975" s="19">
        <f t="shared" si="338"/>
        <v>29790.616161616163</v>
      </c>
      <c r="V975" s="17">
        <v>29792</v>
      </c>
      <c r="W975" s="19">
        <f t="shared" si="339"/>
        <v>-1.3838383838374284</v>
      </c>
      <c r="X975" s="19">
        <f t="shared" si="340"/>
        <v>264259</v>
      </c>
      <c r="Y975" s="17">
        <v>245018</v>
      </c>
      <c r="Z975" s="17">
        <v>19241</v>
      </c>
      <c r="AA975" s="19">
        <f t="shared" si="341"/>
        <v>234467</v>
      </c>
      <c r="AB975" s="17">
        <v>2949271</v>
      </c>
      <c r="AC975" s="27">
        <v>25.984000000000002</v>
      </c>
      <c r="AD975" s="27">
        <v>26.0625</v>
      </c>
      <c r="AE975" s="22">
        <f t="shared" si="342"/>
        <v>113161.47721822542</v>
      </c>
      <c r="AF975" s="23">
        <f t="shared" si="343"/>
        <v>-1</v>
      </c>
      <c r="AG975" s="23">
        <f t="shared" si="344"/>
        <v>0</v>
      </c>
      <c r="AH975" s="17">
        <v>2459094.0188909802</v>
      </c>
      <c r="AI975" s="24">
        <f t="shared" si="345"/>
        <v>0.83379723968769914</v>
      </c>
      <c r="AJ975" s="25">
        <v>416083773.93548399</v>
      </c>
      <c r="AK975" s="24">
        <f t="shared" si="346"/>
        <v>2.3237422359637449E-2</v>
      </c>
      <c r="AL975" s="22">
        <f t="shared" si="347"/>
        <v>26489.62847104315</v>
      </c>
      <c r="AM975" s="22">
        <f t="shared" si="348"/>
        <v>113161.47721822542</v>
      </c>
      <c r="AN975" s="22">
        <f t="shared" si="349"/>
        <v>-86671.848747182274</v>
      </c>
      <c r="AO975" s="26" t="str">
        <f t="shared" si="350"/>
        <v>YES</v>
      </c>
      <c r="AP975" s="26" t="str">
        <f t="shared" si="351"/>
        <v>pre-launch</v>
      </c>
      <c r="AQ975" s="28">
        <v>54</v>
      </c>
      <c r="AR975" s="28">
        <v>30</v>
      </c>
    </row>
    <row r="976" spans="1:44" x14ac:dyDescent="0.25">
      <c r="A976" s="43">
        <v>46037</v>
      </c>
      <c r="B976" s="17">
        <v>6587910191.3699999</v>
      </c>
      <c r="C976" s="17">
        <v>726261251.03999996</v>
      </c>
      <c r="D976" s="17">
        <v>136715830</v>
      </c>
      <c r="E976" s="19">
        <f t="shared" si="330"/>
        <v>7314171442.4099998</v>
      </c>
      <c r="F976" s="19">
        <f t="shared" si="331"/>
        <v>7450887272.4099998</v>
      </c>
      <c r="G976" s="20">
        <f t="shared" si="332"/>
        <v>9.9295081713411254E-2</v>
      </c>
      <c r="H976" s="17">
        <v>2542398</v>
      </c>
      <c r="I976" s="17">
        <v>67540</v>
      </c>
      <c r="J976" s="17">
        <v>23807</v>
      </c>
      <c r="K976" s="19">
        <f t="shared" si="333"/>
        <v>2609938</v>
      </c>
      <c r="L976" s="17">
        <v>83667.627524782103</v>
      </c>
      <c r="M976" s="17">
        <v>44816.536806820499</v>
      </c>
      <c r="N976" s="17">
        <v>38851.090717961597</v>
      </c>
      <c r="O976" s="19">
        <f t="shared" si="334"/>
        <v>2458730.372475218</v>
      </c>
      <c r="P976" s="21">
        <f t="shared" si="335"/>
        <v>3.7321856264769582</v>
      </c>
      <c r="Q976" s="17">
        <v>2308568</v>
      </c>
      <c r="R976" s="17">
        <v>48357</v>
      </c>
      <c r="S976" s="19">
        <f t="shared" si="336"/>
        <v>2356925</v>
      </c>
      <c r="T976" s="20">
        <f t="shared" si="337"/>
        <v>0.01</v>
      </c>
      <c r="U976" s="19">
        <f t="shared" si="338"/>
        <v>23807.323232323233</v>
      </c>
      <c r="V976" s="17">
        <v>23807</v>
      </c>
      <c r="W976" s="19">
        <f t="shared" si="339"/>
        <v>0.32323232323324191</v>
      </c>
      <c r="X976" s="19">
        <f t="shared" si="340"/>
        <v>253013</v>
      </c>
      <c r="Y976" s="17">
        <v>233830</v>
      </c>
      <c r="Z976" s="17">
        <v>19183</v>
      </c>
      <c r="AA976" s="19">
        <f t="shared" si="341"/>
        <v>229206</v>
      </c>
      <c r="AB976" s="17">
        <v>2356925</v>
      </c>
      <c r="AC976" s="27">
        <v>24.733000000000001</v>
      </c>
      <c r="AD976" s="27">
        <v>25.29325</v>
      </c>
      <c r="AE976" s="22">
        <f t="shared" si="342"/>
        <v>93183.952240222192</v>
      </c>
      <c r="AF976" s="23">
        <f t="shared" si="343"/>
        <v>0</v>
      </c>
      <c r="AG976" s="23">
        <f t="shared" si="344"/>
        <v>0</v>
      </c>
      <c r="AH976" s="17">
        <v>1959803.4405169501</v>
      </c>
      <c r="AI976" s="24">
        <f t="shared" si="345"/>
        <v>0.83150861419729105</v>
      </c>
      <c r="AJ976" s="25">
        <v>416238540.682028</v>
      </c>
      <c r="AK976" s="24">
        <f t="shared" si="346"/>
        <v>2.3233101862769855E-2</v>
      </c>
      <c r="AL976" s="22">
        <f t="shared" si="347"/>
        <v>26494.55456130474</v>
      </c>
      <c r="AM976" s="22">
        <f t="shared" si="348"/>
        <v>93183.952240222192</v>
      </c>
      <c r="AN976" s="22">
        <f t="shared" si="349"/>
        <v>-66689.397678917449</v>
      </c>
      <c r="AO976" s="26" t="str">
        <f t="shared" si="350"/>
        <v>YES</v>
      </c>
      <c r="AP976" s="26" t="str">
        <f t="shared" si="351"/>
        <v>pre-launch</v>
      </c>
      <c r="AQ976" s="28">
        <v>57</v>
      </c>
      <c r="AR976" s="28">
        <v>32</v>
      </c>
    </row>
    <row r="977" spans="1:44" x14ac:dyDescent="0.25">
      <c r="A977" s="43">
        <v>46038</v>
      </c>
      <c r="B977" s="17">
        <v>3680382990.9699998</v>
      </c>
      <c r="C977" s="17">
        <v>546552809.10000002</v>
      </c>
      <c r="D977" s="17">
        <v>75921802</v>
      </c>
      <c r="E977" s="19">
        <f t="shared" si="330"/>
        <v>4226935800.0699997</v>
      </c>
      <c r="F977" s="19">
        <f t="shared" si="331"/>
        <v>4302857602.0699997</v>
      </c>
      <c r="G977" s="20">
        <f t="shared" si="332"/>
        <v>0.1293023681814493</v>
      </c>
      <c r="H977" s="17">
        <v>1724657</v>
      </c>
      <c r="I977" s="17">
        <v>37561</v>
      </c>
      <c r="J977" s="17">
        <v>15248</v>
      </c>
      <c r="K977" s="19">
        <f t="shared" si="333"/>
        <v>1762218</v>
      </c>
      <c r="L977" s="17">
        <v>70627.712615421304</v>
      </c>
      <c r="M977" s="17">
        <v>37129.820753832799</v>
      </c>
      <c r="N977" s="17">
        <v>33497.891861588498</v>
      </c>
      <c r="O977" s="19">
        <f t="shared" si="334"/>
        <v>1654029.2873845787</v>
      </c>
      <c r="P977" s="21">
        <f t="shared" si="335"/>
        <v>4.4941770773390175</v>
      </c>
      <c r="Q977" s="17">
        <v>1481824</v>
      </c>
      <c r="R977" s="17">
        <v>27726</v>
      </c>
      <c r="S977" s="19">
        <f t="shared" si="336"/>
        <v>1509550</v>
      </c>
      <c r="T977" s="20">
        <f t="shared" si="337"/>
        <v>0.01</v>
      </c>
      <c r="U977" s="19">
        <f t="shared" si="338"/>
        <v>15247.979797979799</v>
      </c>
      <c r="V977" s="17">
        <v>15248</v>
      </c>
      <c r="W977" s="19">
        <f t="shared" si="339"/>
        <v>-2.0202020201395499E-2</v>
      </c>
      <c r="X977" s="19">
        <f t="shared" si="340"/>
        <v>252668</v>
      </c>
      <c r="Y977" s="17">
        <v>242833</v>
      </c>
      <c r="Z977" s="17">
        <v>9835</v>
      </c>
      <c r="AA977" s="19">
        <f t="shared" si="341"/>
        <v>237420</v>
      </c>
      <c r="AB977" s="17">
        <v>1509550</v>
      </c>
      <c r="AC977" s="27">
        <v>25</v>
      </c>
      <c r="AD977" s="27">
        <v>24.867000000000001</v>
      </c>
      <c r="AE977" s="22">
        <f t="shared" si="342"/>
        <v>60704.95033578638</v>
      </c>
      <c r="AF977" s="23">
        <f t="shared" si="343"/>
        <v>0</v>
      </c>
      <c r="AG977" s="23">
        <f t="shared" si="344"/>
        <v>0</v>
      </c>
      <c r="AH977" s="17">
        <v>1005512.99032199</v>
      </c>
      <c r="AI977" s="24">
        <f t="shared" si="345"/>
        <v>0.6661011495624457</v>
      </c>
      <c r="AJ977" s="25">
        <v>416393307.42857099</v>
      </c>
      <c r="AK977" s="24">
        <f t="shared" si="346"/>
        <v>2.322878377491577E-2</v>
      </c>
      <c r="AL977" s="22">
        <f t="shared" si="347"/>
        <v>26499.479735836449</v>
      </c>
      <c r="AM977" s="22">
        <f t="shared" si="348"/>
        <v>60704.95033578638</v>
      </c>
      <c r="AN977" s="22">
        <f t="shared" si="349"/>
        <v>-34205.470599949927</v>
      </c>
      <c r="AO977" s="26" t="str">
        <f t="shared" si="350"/>
        <v>YES</v>
      </c>
      <c r="AP977" s="26" t="str">
        <f t="shared" si="351"/>
        <v>pre-launch</v>
      </c>
      <c r="AQ977" s="28">
        <v>58</v>
      </c>
      <c r="AR977" s="28">
        <v>33</v>
      </c>
    </row>
    <row r="978" spans="1:44" x14ac:dyDescent="0.25">
      <c r="A978" s="43">
        <v>46039</v>
      </c>
      <c r="B978" s="17">
        <v>1630527036.51</v>
      </c>
      <c r="C978" s="17">
        <v>172135960.37</v>
      </c>
      <c r="D978" s="17">
        <v>51251339</v>
      </c>
      <c r="E978" s="19">
        <f t="shared" si="330"/>
        <v>1802662996.8800001</v>
      </c>
      <c r="F978" s="19">
        <f t="shared" si="331"/>
        <v>1853914335.8800001</v>
      </c>
      <c r="G978" s="20">
        <f t="shared" si="332"/>
        <v>9.5489817380136066E-2</v>
      </c>
      <c r="H978" s="17">
        <v>840077</v>
      </c>
      <c r="I978" s="17">
        <v>26219</v>
      </c>
      <c r="J978" s="17">
        <v>7142</v>
      </c>
      <c r="K978" s="19">
        <f t="shared" si="333"/>
        <v>866296</v>
      </c>
      <c r="L978" s="17">
        <v>16278.5539716569</v>
      </c>
      <c r="M978" s="17">
        <v>9891.2191877724508</v>
      </c>
      <c r="N978" s="17">
        <v>6387.3347838844602</v>
      </c>
      <c r="O978" s="19">
        <f t="shared" si="334"/>
        <v>823798.44602834305</v>
      </c>
      <c r="P978" s="21">
        <f t="shared" si="335"/>
        <v>5.0523445952273889</v>
      </c>
      <c r="Q978" s="17">
        <v>686114</v>
      </c>
      <c r="R978" s="17">
        <v>20548</v>
      </c>
      <c r="S978" s="19">
        <f t="shared" si="336"/>
        <v>706662</v>
      </c>
      <c r="T978" s="20">
        <f t="shared" si="337"/>
        <v>0.01</v>
      </c>
      <c r="U978" s="19">
        <f t="shared" si="338"/>
        <v>7138</v>
      </c>
      <c r="V978" s="17">
        <v>7142</v>
      </c>
      <c r="W978" s="19">
        <f t="shared" si="339"/>
        <v>-4</v>
      </c>
      <c r="X978" s="19">
        <f t="shared" si="340"/>
        <v>159633</v>
      </c>
      <c r="Y978" s="17">
        <v>153962</v>
      </c>
      <c r="Z978" s="17">
        <v>5671</v>
      </c>
      <c r="AA978" s="19">
        <f t="shared" si="341"/>
        <v>152491</v>
      </c>
      <c r="AB978" s="17">
        <v>706662</v>
      </c>
      <c r="AC978" s="27">
        <v>25.408999999999999</v>
      </c>
      <c r="AD978" s="27">
        <v>25.25675</v>
      </c>
      <c r="AE978" s="22">
        <f t="shared" si="342"/>
        <v>27979.134290833143</v>
      </c>
      <c r="AF978" s="23">
        <f t="shared" si="343"/>
        <v>1</v>
      </c>
      <c r="AG978" s="23">
        <f t="shared" si="344"/>
        <v>0</v>
      </c>
      <c r="AH978" s="18"/>
      <c r="AI978" s="24">
        <f t="shared" si="345"/>
        <v>0</v>
      </c>
      <c r="AJ978" s="25">
        <v>416548074.17511499</v>
      </c>
      <c r="AK978" s="24">
        <f t="shared" si="346"/>
        <v>2.3224468093837269E-2</v>
      </c>
      <c r="AL978" s="22">
        <f t="shared" si="347"/>
        <v>26504.403995148816</v>
      </c>
      <c r="AM978" s="22">
        <f t="shared" si="348"/>
        <v>27979.134290833143</v>
      </c>
      <c r="AN978" s="22">
        <f t="shared" si="349"/>
        <v>-1474.7302956843268</v>
      </c>
      <c r="AO978" s="26" t="str">
        <f t="shared" si="350"/>
        <v>YES</v>
      </c>
      <c r="AP978" s="26" t="str">
        <f t="shared" si="351"/>
        <v>pre-launch</v>
      </c>
      <c r="AQ978" s="28">
        <v>58</v>
      </c>
      <c r="AR978" s="28">
        <v>33</v>
      </c>
    </row>
    <row r="979" spans="1:44" x14ac:dyDescent="0.25">
      <c r="A979" s="43">
        <v>46040</v>
      </c>
      <c r="B979" s="17">
        <v>2699241901.1900001</v>
      </c>
      <c r="C979" s="17">
        <v>184847427.13999999</v>
      </c>
      <c r="D979" s="17">
        <v>57878167</v>
      </c>
      <c r="E979" s="19">
        <f t="shared" si="330"/>
        <v>2884089328.3299999</v>
      </c>
      <c r="F979" s="19">
        <f t="shared" si="331"/>
        <v>2941967495.3299999</v>
      </c>
      <c r="G979" s="20">
        <f t="shared" si="332"/>
        <v>6.4092129645316451E-2</v>
      </c>
      <c r="H979" s="17">
        <v>1059881</v>
      </c>
      <c r="I979" s="17">
        <v>29239</v>
      </c>
      <c r="J979" s="17">
        <v>10008</v>
      </c>
      <c r="K979" s="19">
        <f t="shared" si="333"/>
        <v>1089120</v>
      </c>
      <c r="L979" s="17">
        <v>25723.612441479199</v>
      </c>
      <c r="M979" s="17">
        <v>14922.5419871903</v>
      </c>
      <c r="N979" s="17">
        <v>10801.070454289</v>
      </c>
      <c r="O979" s="19">
        <f t="shared" si="334"/>
        <v>1034157.3875585208</v>
      </c>
      <c r="P979" s="21">
        <f t="shared" si="335"/>
        <v>3.8312882854352455</v>
      </c>
      <c r="Q979" s="17">
        <v>968504</v>
      </c>
      <c r="R979" s="17">
        <v>21914</v>
      </c>
      <c r="S979" s="19">
        <f t="shared" si="336"/>
        <v>990418</v>
      </c>
      <c r="T979" s="20">
        <f t="shared" si="337"/>
        <v>0.01</v>
      </c>
      <c r="U979" s="19">
        <f t="shared" si="338"/>
        <v>10004.222222222223</v>
      </c>
      <c r="V979" s="17">
        <v>10008</v>
      </c>
      <c r="W979" s="19">
        <f t="shared" si="339"/>
        <v>-3.7777777777773736</v>
      </c>
      <c r="X979" s="19">
        <f t="shared" si="340"/>
        <v>98701</v>
      </c>
      <c r="Y979" s="17">
        <v>91376</v>
      </c>
      <c r="Z979" s="17">
        <v>7325</v>
      </c>
      <c r="AA979" s="19">
        <f t="shared" si="341"/>
        <v>88693</v>
      </c>
      <c r="AB979" s="17">
        <v>990418</v>
      </c>
      <c r="AC979" s="27">
        <v>24.471</v>
      </c>
      <c r="AD979" s="27">
        <v>25.103750000000002</v>
      </c>
      <c r="AE979" s="22">
        <f t="shared" si="342"/>
        <v>39452.990091121843</v>
      </c>
      <c r="AF979" s="23">
        <f t="shared" si="343"/>
        <v>1</v>
      </c>
      <c r="AG979" s="23">
        <f t="shared" si="344"/>
        <v>0</v>
      </c>
      <c r="AH979" s="17">
        <v>1318943.34858</v>
      </c>
      <c r="AI979" s="24">
        <f t="shared" si="345"/>
        <v>1.3317037337568582</v>
      </c>
      <c r="AJ979" s="25">
        <v>416702840.92165899</v>
      </c>
      <c r="AK979" s="24">
        <f t="shared" si="346"/>
        <v>2.3220154817299447E-2</v>
      </c>
      <c r="AL979" s="22">
        <f t="shared" si="347"/>
        <v>26509.32733975185</v>
      </c>
      <c r="AM979" s="22">
        <f t="shared" si="348"/>
        <v>39452.990091121843</v>
      </c>
      <c r="AN979" s="22">
        <f t="shared" si="349"/>
        <v>-12943.662751369993</v>
      </c>
      <c r="AO979" s="26" t="str">
        <f t="shared" si="350"/>
        <v>YES</v>
      </c>
      <c r="AP979" s="26" t="str">
        <f t="shared" si="351"/>
        <v>pre-launch</v>
      </c>
      <c r="AQ979" s="28">
        <v>58</v>
      </c>
      <c r="AR979" s="28">
        <v>33</v>
      </c>
    </row>
    <row r="980" spans="1:44" x14ac:dyDescent="0.25">
      <c r="A980" s="43">
        <v>46041</v>
      </c>
      <c r="B980" s="17">
        <v>6013442913.3599997</v>
      </c>
      <c r="C980" s="17">
        <v>427432035.37</v>
      </c>
      <c r="D980" s="17">
        <v>117444553</v>
      </c>
      <c r="E980" s="19">
        <f t="shared" si="330"/>
        <v>6440874948.7299995</v>
      </c>
      <c r="F980" s="19">
        <f t="shared" si="331"/>
        <v>6558319501.7299995</v>
      </c>
      <c r="G980" s="20">
        <f t="shared" si="332"/>
        <v>6.6362417959112879E-2</v>
      </c>
      <c r="H980" s="17">
        <v>2224537</v>
      </c>
      <c r="I980" s="17">
        <v>56525</v>
      </c>
      <c r="J980" s="17">
        <v>21301</v>
      </c>
      <c r="K980" s="19">
        <f t="shared" si="333"/>
        <v>2281062</v>
      </c>
      <c r="L980" s="17">
        <v>55007.4721902608</v>
      </c>
      <c r="M980" s="17">
        <v>31263.222511365901</v>
      </c>
      <c r="N980" s="17">
        <v>23744.249678894899</v>
      </c>
      <c r="O980" s="19">
        <f t="shared" si="334"/>
        <v>2169529.5278097391</v>
      </c>
      <c r="P980" s="21">
        <f t="shared" si="335"/>
        <v>3.6077993240606299</v>
      </c>
      <c r="Q980" s="17">
        <v>2068038</v>
      </c>
      <c r="R980" s="17">
        <v>40687</v>
      </c>
      <c r="S980" s="19">
        <f t="shared" si="336"/>
        <v>2108725</v>
      </c>
      <c r="T980" s="20">
        <f t="shared" si="337"/>
        <v>0.01</v>
      </c>
      <c r="U980" s="19">
        <f t="shared" si="338"/>
        <v>21300.252525252527</v>
      </c>
      <c r="V980" s="17">
        <v>21301</v>
      </c>
      <c r="W980" s="19">
        <f t="shared" si="339"/>
        <v>-0.74747474747346132</v>
      </c>
      <c r="X980" s="19">
        <f t="shared" si="340"/>
        <v>172336</v>
      </c>
      <c r="Y980" s="17">
        <v>156498</v>
      </c>
      <c r="Z980" s="17">
        <v>15838</v>
      </c>
      <c r="AA980" s="19">
        <f t="shared" si="341"/>
        <v>151035</v>
      </c>
      <c r="AB980" s="17">
        <v>2108725</v>
      </c>
      <c r="AC980" s="27">
        <v>23.712</v>
      </c>
      <c r="AD980" s="27">
        <v>23.954750000000001</v>
      </c>
      <c r="AE980" s="22">
        <f t="shared" si="342"/>
        <v>88029.513979482144</v>
      </c>
      <c r="AF980" s="23">
        <f t="shared" si="343"/>
        <v>1</v>
      </c>
      <c r="AG980" s="23">
        <f t="shared" si="344"/>
        <v>0</v>
      </c>
      <c r="AH980" s="17">
        <v>1966859.6148580301</v>
      </c>
      <c r="AI980" s="24">
        <f t="shared" si="345"/>
        <v>0.93272456809590165</v>
      </c>
      <c r="AJ980" s="25">
        <v>416857607.668203</v>
      </c>
      <c r="AK980" s="24">
        <f t="shared" si="346"/>
        <v>2.3215843943070254E-2</v>
      </c>
      <c r="AL980" s="22">
        <f t="shared" si="347"/>
        <v>26514.249770155086</v>
      </c>
      <c r="AM980" s="22">
        <f t="shared" si="348"/>
        <v>88029.513979482144</v>
      </c>
      <c r="AN980" s="22">
        <f t="shared" si="349"/>
        <v>-61515.264209327055</v>
      </c>
      <c r="AO980" s="26" t="str">
        <f t="shared" si="350"/>
        <v>YES</v>
      </c>
      <c r="AP980" s="26" t="str">
        <f t="shared" si="351"/>
        <v>pre-launch</v>
      </c>
      <c r="AQ980" s="28">
        <v>59</v>
      </c>
      <c r="AR980" s="28">
        <v>33</v>
      </c>
    </row>
    <row r="981" spans="1:44" x14ac:dyDescent="0.25">
      <c r="A981" s="43">
        <v>46042</v>
      </c>
      <c r="B981" s="17">
        <v>8421930690.8599997</v>
      </c>
      <c r="C981" s="17">
        <v>761702992.45000005</v>
      </c>
      <c r="D981" s="17">
        <v>197108564</v>
      </c>
      <c r="E981" s="19">
        <f t="shared" si="330"/>
        <v>9183633683.3099995</v>
      </c>
      <c r="F981" s="19">
        <f t="shared" si="331"/>
        <v>9380742247.3099995</v>
      </c>
      <c r="G981" s="20">
        <f t="shared" si="332"/>
        <v>8.2941351834872432E-2</v>
      </c>
      <c r="H981" s="17">
        <v>3116817</v>
      </c>
      <c r="I981" s="17">
        <v>91965</v>
      </c>
      <c r="J981" s="17">
        <v>30095</v>
      </c>
      <c r="K981" s="19">
        <f t="shared" si="333"/>
        <v>3208782</v>
      </c>
      <c r="L981" s="17">
        <v>84572.988128060693</v>
      </c>
      <c r="M981" s="17">
        <v>46855.819344489602</v>
      </c>
      <c r="N981" s="17">
        <v>37717.168783571098</v>
      </c>
      <c r="O981" s="19">
        <f t="shared" si="334"/>
        <v>3032244.0118719395</v>
      </c>
      <c r="P981" s="21">
        <f t="shared" si="335"/>
        <v>3.6004143505511368</v>
      </c>
      <c r="Q981" s="17">
        <v>2909227</v>
      </c>
      <c r="R981" s="17">
        <v>70546</v>
      </c>
      <c r="S981" s="19">
        <f t="shared" si="336"/>
        <v>2979773</v>
      </c>
      <c r="T981" s="20">
        <f t="shared" si="337"/>
        <v>0.01</v>
      </c>
      <c r="U981" s="19">
        <f t="shared" si="338"/>
        <v>30098.717171717173</v>
      </c>
      <c r="V981" s="17">
        <v>30095</v>
      </c>
      <c r="W981" s="19">
        <f t="shared" si="339"/>
        <v>3.7171717171731871</v>
      </c>
      <c r="X981" s="19">
        <f t="shared" si="340"/>
        <v>229009</v>
      </c>
      <c r="Y981" s="17">
        <v>207590</v>
      </c>
      <c r="Z981" s="17">
        <v>21419</v>
      </c>
      <c r="AA981" s="19">
        <f t="shared" si="341"/>
        <v>198914</v>
      </c>
      <c r="AB981" s="17">
        <v>2979773</v>
      </c>
      <c r="AC981" s="27">
        <v>20.972999999999999</v>
      </c>
      <c r="AD981" s="27">
        <v>22.338999999999999</v>
      </c>
      <c r="AE981" s="22">
        <f t="shared" si="342"/>
        <v>133388.82671560947</v>
      </c>
      <c r="AF981" s="23">
        <f t="shared" si="343"/>
        <v>0</v>
      </c>
      <c r="AG981" s="23">
        <f t="shared" si="344"/>
        <v>0</v>
      </c>
      <c r="AH981" s="17">
        <v>2518456.1541010099</v>
      </c>
      <c r="AI981" s="24">
        <f t="shared" si="345"/>
        <v>0.84518389625686585</v>
      </c>
      <c r="AJ981" s="25">
        <v>417012374.414747</v>
      </c>
      <c r="AK981" s="24">
        <f t="shared" si="346"/>
        <v>2.321153546892055E-2</v>
      </c>
      <c r="AL981" s="22">
        <f t="shared" si="347"/>
        <v>26519.171286867604</v>
      </c>
      <c r="AM981" s="22">
        <f t="shared" si="348"/>
        <v>133388.82671560947</v>
      </c>
      <c r="AN981" s="22">
        <f t="shared" si="349"/>
        <v>-106869.65542874185</v>
      </c>
      <c r="AO981" s="26" t="str">
        <f t="shared" si="350"/>
        <v>YES</v>
      </c>
      <c r="AP981" s="26" t="str">
        <f t="shared" si="351"/>
        <v>pre-launch</v>
      </c>
      <c r="AQ981" s="28">
        <v>68</v>
      </c>
      <c r="AR981" s="28">
        <v>34</v>
      </c>
    </row>
    <row r="982" spans="1:44" x14ac:dyDescent="0.25">
      <c r="A982" s="43">
        <v>46043</v>
      </c>
      <c r="B982" s="17">
        <v>8995511956.8999996</v>
      </c>
      <c r="C982" s="17">
        <v>985570732.37</v>
      </c>
      <c r="D982" s="17">
        <v>151704575</v>
      </c>
      <c r="E982" s="19">
        <f t="shared" si="330"/>
        <v>9981082689.2700005</v>
      </c>
      <c r="F982" s="19">
        <f t="shared" si="331"/>
        <v>10132787264.27</v>
      </c>
      <c r="G982" s="20">
        <f t="shared" si="332"/>
        <v>9.8743870084306753E-2</v>
      </c>
      <c r="H982" s="17">
        <v>3306784</v>
      </c>
      <c r="I982" s="17">
        <v>70936</v>
      </c>
      <c r="J982" s="17">
        <v>31557</v>
      </c>
      <c r="K982" s="19">
        <f t="shared" si="333"/>
        <v>3377720</v>
      </c>
      <c r="L982" s="17">
        <v>132613.61334044699</v>
      </c>
      <c r="M982" s="17">
        <v>70632.993695760204</v>
      </c>
      <c r="N982" s="17">
        <v>61980.6196446865</v>
      </c>
      <c r="O982" s="19">
        <f t="shared" si="334"/>
        <v>3174170.3866595528</v>
      </c>
      <c r="P982" s="21">
        <f t="shared" si="335"/>
        <v>3.5286156050571509</v>
      </c>
      <c r="Q982" s="17">
        <v>3070305</v>
      </c>
      <c r="R982" s="17">
        <v>53892</v>
      </c>
      <c r="S982" s="19">
        <f t="shared" si="336"/>
        <v>3124197</v>
      </c>
      <c r="T982" s="20">
        <f t="shared" si="337"/>
        <v>0.01</v>
      </c>
      <c r="U982" s="19">
        <f t="shared" si="338"/>
        <v>31557.545454545456</v>
      </c>
      <c r="V982" s="17">
        <v>31557</v>
      </c>
      <c r="W982" s="19">
        <f t="shared" si="339"/>
        <v>0.54545454545586836</v>
      </c>
      <c r="X982" s="19">
        <f t="shared" si="340"/>
        <v>253523</v>
      </c>
      <c r="Y982" s="17">
        <v>236479</v>
      </c>
      <c r="Z982" s="17">
        <v>17044</v>
      </c>
      <c r="AA982" s="19">
        <f t="shared" si="341"/>
        <v>221966</v>
      </c>
      <c r="AB982" s="17">
        <v>3124197</v>
      </c>
      <c r="AC982" s="27">
        <v>21.524000000000001</v>
      </c>
      <c r="AD982" s="27">
        <v>21.266500000000001</v>
      </c>
      <c r="AE982" s="22">
        <f t="shared" si="342"/>
        <v>146906.9663555357</v>
      </c>
      <c r="AF982" s="23">
        <f t="shared" si="343"/>
        <v>0</v>
      </c>
      <c r="AG982" s="23">
        <f t="shared" si="344"/>
        <v>0</v>
      </c>
      <c r="AH982" s="17">
        <v>2526229.53299403</v>
      </c>
      <c r="AI982" s="24">
        <f t="shared" si="345"/>
        <v>0.80860122872982398</v>
      </c>
      <c r="AJ982" s="25">
        <v>417167141.16128999</v>
      </c>
      <c r="AK982" s="24">
        <f t="shared" si="346"/>
        <v>2.3207229392624113E-2</v>
      </c>
      <c r="AL982" s="22">
        <f t="shared" si="347"/>
        <v>26524.09189039798</v>
      </c>
      <c r="AM982" s="22">
        <f t="shared" si="348"/>
        <v>146906.9663555357</v>
      </c>
      <c r="AN982" s="22">
        <f t="shared" si="349"/>
        <v>-120382.87446513772</v>
      </c>
      <c r="AO982" s="26" t="str">
        <f t="shared" si="350"/>
        <v>YES</v>
      </c>
      <c r="AP982" s="26" t="str">
        <f t="shared" si="351"/>
        <v>pre-launch</v>
      </c>
      <c r="AQ982" s="28">
        <v>71</v>
      </c>
      <c r="AR982" s="28">
        <v>36</v>
      </c>
    </row>
    <row r="983" spans="1:44" x14ac:dyDescent="0.25">
      <c r="A983" s="43">
        <v>46044</v>
      </c>
      <c r="B983" s="17">
        <v>5239104696.7299995</v>
      </c>
      <c r="C983" s="17">
        <v>921048637.94000006</v>
      </c>
      <c r="D983" s="17">
        <v>96399001</v>
      </c>
      <c r="E983" s="19">
        <f t="shared" si="330"/>
        <v>6160153334.6700001</v>
      </c>
      <c r="F983" s="19">
        <f t="shared" si="331"/>
        <v>6256552335.6700001</v>
      </c>
      <c r="G983" s="20">
        <f t="shared" si="332"/>
        <v>0.14951716100250947</v>
      </c>
      <c r="H983" s="17">
        <v>2373145</v>
      </c>
      <c r="I983" s="17">
        <v>90001</v>
      </c>
      <c r="J983" s="17">
        <v>21056</v>
      </c>
      <c r="K983" s="19">
        <f t="shared" si="333"/>
        <v>2463146</v>
      </c>
      <c r="L983" s="17">
        <v>99577.542765135993</v>
      </c>
      <c r="M983" s="17">
        <v>52407.759477857697</v>
      </c>
      <c r="N983" s="17">
        <v>47169.783287278296</v>
      </c>
      <c r="O983" s="19">
        <f t="shared" si="334"/>
        <v>2273567.4572348641</v>
      </c>
      <c r="P983" s="21">
        <f t="shared" si="335"/>
        <v>4.3396106564809003</v>
      </c>
      <c r="Q983" s="17">
        <v>2006358</v>
      </c>
      <c r="R983" s="17">
        <v>78243</v>
      </c>
      <c r="S983" s="19">
        <f t="shared" si="336"/>
        <v>2084601</v>
      </c>
      <c r="T983" s="20">
        <f t="shared" si="337"/>
        <v>0.01</v>
      </c>
      <c r="U983" s="19">
        <f t="shared" si="338"/>
        <v>21056.57575757576</v>
      </c>
      <c r="V983" s="17">
        <v>21056</v>
      </c>
      <c r="W983" s="19">
        <f t="shared" si="339"/>
        <v>0.57575757575978059</v>
      </c>
      <c r="X983" s="19">
        <f t="shared" si="340"/>
        <v>378544</v>
      </c>
      <c r="Y983" s="17">
        <v>366786</v>
      </c>
      <c r="Z983" s="17">
        <v>11758</v>
      </c>
      <c r="AA983" s="19">
        <f t="shared" si="341"/>
        <v>357488</v>
      </c>
      <c r="AB983" s="17">
        <v>2084601</v>
      </c>
      <c r="AC983" s="27">
        <v>21.439</v>
      </c>
      <c r="AD983" s="27">
        <v>21.573250000000002</v>
      </c>
      <c r="AE983" s="22">
        <f t="shared" si="342"/>
        <v>96628.973381386662</v>
      </c>
      <c r="AF983" s="23">
        <f t="shared" si="343"/>
        <v>1</v>
      </c>
      <c r="AG983" s="23">
        <f t="shared" si="344"/>
        <v>0</v>
      </c>
      <c r="AH983" s="17">
        <v>1536469.0548759699</v>
      </c>
      <c r="AI983" s="24">
        <f t="shared" si="345"/>
        <v>0.73705666210270926</v>
      </c>
      <c r="AJ983" s="25">
        <v>417321907.90783399</v>
      </c>
      <c r="AK983" s="24">
        <f t="shared" si="346"/>
        <v>2.3202925711957534E-2</v>
      </c>
      <c r="AL983" s="22">
        <f t="shared" si="347"/>
        <v>26529.011581254399</v>
      </c>
      <c r="AM983" s="22">
        <f t="shared" si="348"/>
        <v>96628.973381386662</v>
      </c>
      <c r="AN983" s="22">
        <f t="shared" si="349"/>
        <v>-70099.961800132267</v>
      </c>
      <c r="AO983" s="26" t="str">
        <f t="shared" si="350"/>
        <v>YES</v>
      </c>
      <c r="AP983" s="26" t="str">
        <f t="shared" si="351"/>
        <v>pre-launch</v>
      </c>
      <c r="AQ983" s="28">
        <v>73</v>
      </c>
      <c r="AR983" s="28">
        <v>38</v>
      </c>
    </row>
    <row r="984" spans="1:44" x14ac:dyDescent="0.25">
      <c r="A984" s="43">
        <v>46045</v>
      </c>
      <c r="B984" s="17">
        <v>6156586362.8800001</v>
      </c>
      <c r="C984" s="17">
        <v>879774169.55999994</v>
      </c>
      <c r="D984" s="17">
        <v>119850134</v>
      </c>
      <c r="E984" s="19">
        <f t="shared" si="330"/>
        <v>7036360532.4400005</v>
      </c>
      <c r="F984" s="19">
        <f t="shared" si="331"/>
        <v>7156210666.4400005</v>
      </c>
      <c r="G984" s="20">
        <f t="shared" si="332"/>
        <v>0.12503255987295472</v>
      </c>
      <c r="H984" s="17">
        <v>2437459</v>
      </c>
      <c r="I984" s="17">
        <v>190413</v>
      </c>
      <c r="J984" s="17">
        <v>22743</v>
      </c>
      <c r="K984" s="19">
        <f t="shared" si="333"/>
        <v>2627872</v>
      </c>
      <c r="L984" s="17">
        <v>104277.153014636</v>
      </c>
      <c r="M984" s="17">
        <v>55689.614365792499</v>
      </c>
      <c r="N984" s="17">
        <v>48587.538648843904</v>
      </c>
      <c r="O984" s="19">
        <f t="shared" si="334"/>
        <v>2333181.8469853639</v>
      </c>
      <c r="P984" s="21">
        <f t="shared" si="335"/>
        <v>3.7897329940059845</v>
      </c>
      <c r="Q984" s="17">
        <v>2073039</v>
      </c>
      <c r="R984" s="17">
        <v>178658</v>
      </c>
      <c r="S984" s="19">
        <f t="shared" si="336"/>
        <v>2251697</v>
      </c>
      <c r="T984" s="20">
        <f t="shared" si="337"/>
        <v>0.01</v>
      </c>
      <c r="U984" s="19">
        <f t="shared" si="338"/>
        <v>22744.414141414141</v>
      </c>
      <c r="V984" s="17">
        <v>22743</v>
      </c>
      <c r="W984" s="19">
        <f t="shared" si="339"/>
        <v>1.4141414141413406</v>
      </c>
      <c r="X984" s="19">
        <f t="shared" si="340"/>
        <v>376174</v>
      </c>
      <c r="Y984" s="17">
        <v>364420</v>
      </c>
      <c r="Z984" s="17">
        <v>11754</v>
      </c>
      <c r="AA984" s="19">
        <f t="shared" si="341"/>
        <v>353431</v>
      </c>
      <c r="AB984" s="17">
        <v>2251697</v>
      </c>
      <c r="AC984" s="27">
        <v>22.632999999999999</v>
      </c>
      <c r="AD984" s="27">
        <v>21.98075</v>
      </c>
      <c r="AE984" s="22">
        <f t="shared" si="342"/>
        <v>102439.49819728626</v>
      </c>
      <c r="AF984" s="23">
        <f t="shared" si="343"/>
        <v>1</v>
      </c>
      <c r="AG984" s="23">
        <f t="shared" si="344"/>
        <v>0</v>
      </c>
      <c r="AH984" s="17">
        <v>1655286.4435069601</v>
      </c>
      <c r="AI984" s="24">
        <f t="shared" si="345"/>
        <v>0.73512841359515069</v>
      </c>
      <c r="AJ984" s="25">
        <v>417476674.654378</v>
      </c>
      <c r="AK984" s="24">
        <f t="shared" si="346"/>
        <v>2.3198624424700366E-2</v>
      </c>
      <c r="AL984" s="22">
        <f t="shared" si="347"/>
        <v>26533.930359944497</v>
      </c>
      <c r="AM984" s="22">
        <f t="shared" si="348"/>
        <v>102439.49819728626</v>
      </c>
      <c r="AN984" s="22">
        <f t="shared" si="349"/>
        <v>-75905.567837341761</v>
      </c>
      <c r="AO984" s="26" t="str">
        <f t="shared" si="350"/>
        <v>YES</v>
      </c>
      <c r="AP984" s="26" t="str">
        <f t="shared" si="351"/>
        <v>pre-launch</v>
      </c>
      <c r="AQ984" s="28">
        <v>74</v>
      </c>
      <c r="AR984" s="28">
        <v>39</v>
      </c>
    </row>
    <row r="985" spans="1:44" x14ac:dyDescent="0.25">
      <c r="A985" s="43">
        <v>46046</v>
      </c>
      <c r="B985" s="17">
        <v>1329722684.0899999</v>
      </c>
      <c r="C985" s="17">
        <v>196541142.21000001</v>
      </c>
      <c r="D985" s="17">
        <v>89581735</v>
      </c>
      <c r="E985" s="19">
        <f t="shared" si="330"/>
        <v>1526263826.3</v>
      </c>
      <c r="F985" s="19">
        <f t="shared" si="331"/>
        <v>1615845561.3</v>
      </c>
      <c r="G985" s="20">
        <f t="shared" si="332"/>
        <v>0.12877271859771391</v>
      </c>
      <c r="H985" s="17">
        <v>543414</v>
      </c>
      <c r="I985" s="17">
        <v>44628</v>
      </c>
      <c r="J985" s="17">
        <v>5245</v>
      </c>
      <c r="K985" s="19">
        <f t="shared" si="333"/>
        <v>588042</v>
      </c>
      <c r="L985" s="17">
        <v>27503.130259854599</v>
      </c>
      <c r="M985" s="17">
        <v>16212.5521577288</v>
      </c>
      <c r="N985" s="17">
        <v>11290.578102125801</v>
      </c>
      <c r="O985" s="19">
        <f t="shared" si="334"/>
        <v>515910.8697401454</v>
      </c>
      <c r="P985" s="21">
        <f t="shared" si="335"/>
        <v>3.8798380738553067</v>
      </c>
      <c r="Q985" s="17">
        <v>486125</v>
      </c>
      <c r="R985" s="17">
        <v>33081</v>
      </c>
      <c r="S985" s="19">
        <f t="shared" si="336"/>
        <v>519206</v>
      </c>
      <c r="T985" s="20">
        <f t="shared" si="337"/>
        <v>0.01</v>
      </c>
      <c r="U985" s="19">
        <f t="shared" si="338"/>
        <v>5244.5050505050513</v>
      </c>
      <c r="V985" s="17">
        <v>5245</v>
      </c>
      <c r="W985" s="19">
        <f t="shared" si="339"/>
        <v>-0.49494949494874163</v>
      </c>
      <c r="X985" s="19">
        <f t="shared" si="340"/>
        <v>68836</v>
      </c>
      <c r="Y985" s="17">
        <v>57289</v>
      </c>
      <c r="Z985" s="17">
        <v>11547</v>
      </c>
      <c r="AA985" s="19">
        <f t="shared" si="341"/>
        <v>63591</v>
      </c>
      <c r="AB985" s="17">
        <v>519206</v>
      </c>
      <c r="AC985" s="27">
        <v>23.196999999999999</v>
      </c>
      <c r="AD985" s="27">
        <v>23.018000000000001</v>
      </c>
      <c r="AE985" s="22">
        <f t="shared" si="342"/>
        <v>22556.52098357807</v>
      </c>
      <c r="AF985" s="23">
        <f t="shared" si="343"/>
        <v>0</v>
      </c>
      <c r="AG985" s="23">
        <f t="shared" si="344"/>
        <v>0</v>
      </c>
      <c r="AH985" s="17">
        <v>442682.76862108702</v>
      </c>
      <c r="AI985" s="24">
        <f t="shared" si="345"/>
        <v>0.85261489393629319</v>
      </c>
      <c r="AJ985" s="25">
        <v>417631441.400922</v>
      </c>
      <c r="AK985" s="24">
        <f t="shared" si="346"/>
        <v>2.3194325528635013E-2</v>
      </c>
      <c r="AL985" s="22">
        <f t="shared" si="347"/>
        <v>26538.84822697546</v>
      </c>
      <c r="AM985" s="22">
        <f t="shared" si="348"/>
        <v>22556.52098357807</v>
      </c>
      <c r="AN985" s="22">
        <f t="shared" si="349"/>
        <v>3982.3272433973907</v>
      </c>
      <c r="AO985" s="26" t="str">
        <f t="shared" si="350"/>
        <v>YES</v>
      </c>
      <c r="AP985" s="26" t="str">
        <f t="shared" si="351"/>
        <v>pre-launch</v>
      </c>
      <c r="AQ985" s="28">
        <v>74</v>
      </c>
      <c r="AR985" s="28">
        <v>39</v>
      </c>
    </row>
    <row r="986" spans="1:44" x14ac:dyDescent="0.25">
      <c r="A986" s="43">
        <v>46047</v>
      </c>
      <c r="B986" s="17">
        <v>5536552062.8599997</v>
      </c>
      <c r="C986" s="17">
        <v>446920723.86000001</v>
      </c>
      <c r="D986" s="17">
        <v>106819108</v>
      </c>
      <c r="E986" s="19">
        <f t="shared" si="330"/>
        <v>5983472786.7199993</v>
      </c>
      <c r="F986" s="19">
        <f t="shared" si="331"/>
        <v>6090291894.7199993</v>
      </c>
      <c r="G986" s="20">
        <f t="shared" si="332"/>
        <v>7.4692530540444155E-2</v>
      </c>
      <c r="H986" s="17">
        <v>2065833</v>
      </c>
      <c r="I986" s="17">
        <v>47236</v>
      </c>
      <c r="J986" s="17">
        <v>19133</v>
      </c>
      <c r="K986" s="19">
        <f t="shared" si="333"/>
        <v>2113069</v>
      </c>
      <c r="L986" s="17">
        <v>61860.728141135398</v>
      </c>
      <c r="M986" s="17">
        <v>35315.334115117199</v>
      </c>
      <c r="N986" s="17">
        <v>26545.394026018199</v>
      </c>
      <c r="O986" s="19">
        <f t="shared" si="334"/>
        <v>2003972.2718588647</v>
      </c>
      <c r="P986" s="21">
        <f t="shared" si="335"/>
        <v>3.619531161463835</v>
      </c>
      <c r="Q986" s="17">
        <v>1857752</v>
      </c>
      <c r="R986" s="17">
        <v>36242</v>
      </c>
      <c r="S986" s="19">
        <f t="shared" si="336"/>
        <v>1893994</v>
      </c>
      <c r="T986" s="20">
        <f t="shared" si="337"/>
        <v>0.01</v>
      </c>
      <c r="U986" s="19">
        <f t="shared" si="338"/>
        <v>19131.252525252523</v>
      </c>
      <c r="V986" s="17">
        <v>19133</v>
      </c>
      <c r="W986" s="19">
        <f t="shared" si="339"/>
        <v>-1.7474747474770993</v>
      </c>
      <c r="X986" s="19">
        <f t="shared" si="340"/>
        <v>219075</v>
      </c>
      <c r="Y986" s="17">
        <v>208081</v>
      </c>
      <c r="Z986" s="17">
        <v>10994</v>
      </c>
      <c r="AA986" s="19">
        <f t="shared" si="341"/>
        <v>199942</v>
      </c>
      <c r="AB986" s="17">
        <v>1893994</v>
      </c>
      <c r="AC986" s="27">
        <v>22.192</v>
      </c>
      <c r="AD986" s="27">
        <v>22.608000000000001</v>
      </c>
      <c r="AE986" s="22">
        <f t="shared" si="342"/>
        <v>83775.389242745936</v>
      </c>
      <c r="AF986" s="23">
        <f t="shared" si="343"/>
        <v>0</v>
      </c>
      <c r="AG986" s="23">
        <f t="shared" si="344"/>
        <v>0</v>
      </c>
      <c r="AH986" s="17">
        <v>1477880.4763460199</v>
      </c>
      <c r="AI986" s="24">
        <f t="shared" si="345"/>
        <v>0.78029839394740419</v>
      </c>
      <c r="AJ986" s="25">
        <v>417786208.147466</v>
      </c>
      <c r="AK986" s="24">
        <f t="shared" si="346"/>
        <v>2.3190029021546762E-2</v>
      </c>
      <c r="AL986" s="22">
        <f t="shared" si="347"/>
        <v>26543.765182854004</v>
      </c>
      <c r="AM986" s="22">
        <f t="shared" si="348"/>
        <v>83775.389242745936</v>
      </c>
      <c r="AN986" s="22">
        <f t="shared" si="349"/>
        <v>-57231.624059891932</v>
      </c>
      <c r="AO986" s="26" t="str">
        <f t="shared" si="350"/>
        <v>YES</v>
      </c>
      <c r="AP986" s="26" t="str">
        <f t="shared" si="351"/>
        <v>pre-launch</v>
      </c>
      <c r="AQ986" s="28">
        <v>74</v>
      </c>
      <c r="AR986" s="28">
        <v>39</v>
      </c>
    </row>
    <row r="987" spans="1:44" x14ac:dyDescent="0.25">
      <c r="A987" s="43">
        <v>46048</v>
      </c>
      <c r="B987" s="17">
        <v>5544134683.9099998</v>
      </c>
      <c r="C987" s="17">
        <v>1695665627.0899999</v>
      </c>
      <c r="D987" s="17">
        <v>120206697</v>
      </c>
      <c r="E987" s="19">
        <f t="shared" si="330"/>
        <v>7239800311</v>
      </c>
      <c r="F987" s="19">
        <f t="shared" si="331"/>
        <v>7360007008</v>
      </c>
      <c r="G987" s="20">
        <f t="shared" si="332"/>
        <v>0.23421441949353786</v>
      </c>
      <c r="H987" s="17">
        <v>2377294</v>
      </c>
      <c r="I987" s="17">
        <v>57894</v>
      </c>
      <c r="J987" s="17">
        <v>21826</v>
      </c>
      <c r="K987" s="19">
        <f t="shared" si="333"/>
        <v>2435188</v>
      </c>
      <c r="L987" s="17">
        <v>202565.89397956899</v>
      </c>
      <c r="M987" s="17">
        <v>105123.167063246</v>
      </c>
      <c r="N987" s="17">
        <v>97442.726916322805</v>
      </c>
      <c r="O987" s="19">
        <f t="shared" si="334"/>
        <v>2174728.106020431</v>
      </c>
      <c r="P987" s="21">
        <f t="shared" si="335"/>
        <v>3.9225744503138666</v>
      </c>
      <c r="Q987" s="17">
        <v>2113795</v>
      </c>
      <c r="R987" s="17">
        <v>47489</v>
      </c>
      <c r="S987" s="19">
        <f t="shared" si="336"/>
        <v>2161284</v>
      </c>
      <c r="T987" s="20">
        <f t="shared" si="337"/>
        <v>0.01</v>
      </c>
      <c r="U987" s="19">
        <f t="shared" si="338"/>
        <v>21831.151515151516</v>
      </c>
      <c r="V987" s="17">
        <v>21826</v>
      </c>
      <c r="W987" s="19">
        <f t="shared" si="339"/>
        <v>5.1515151515159232</v>
      </c>
      <c r="X987" s="19">
        <f t="shared" si="340"/>
        <v>273904</v>
      </c>
      <c r="Y987" s="17">
        <v>263499</v>
      </c>
      <c r="Z987" s="17">
        <v>10405</v>
      </c>
      <c r="AA987" s="19">
        <f t="shared" si="341"/>
        <v>252078</v>
      </c>
      <c r="AB987" s="17">
        <v>2161284</v>
      </c>
      <c r="AC987" s="27">
        <v>24.928999999999998</v>
      </c>
      <c r="AD987" s="27">
        <v>23.572749999999999</v>
      </c>
      <c r="AE987" s="22">
        <f t="shared" si="342"/>
        <v>91685.696407928655</v>
      </c>
      <c r="AF987" s="23">
        <f t="shared" si="343"/>
        <v>0</v>
      </c>
      <c r="AG987" s="23">
        <f t="shared" si="344"/>
        <v>0</v>
      </c>
      <c r="AH987" s="17">
        <v>1740666.91604495</v>
      </c>
      <c r="AI987" s="24">
        <f t="shared" si="345"/>
        <v>0.80538555601436457</v>
      </c>
      <c r="AJ987" s="25">
        <v>417940974.89400899</v>
      </c>
      <c r="AK987" s="24">
        <f t="shared" si="346"/>
        <v>2.3185734901223793E-2</v>
      </c>
      <c r="AL987" s="22">
        <f t="shared" si="347"/>
        <v>26548.681228086356</v>
      </c>
      <c r="AM987" s="22">
        <f t="shared" si="348"/>
        <v>91685.696407928655</v>
      </c>
      <c r="AN987" s="22">
        <f t="shared" si="349"/>
        <v>-65137.015179842303</v>
      </c>
      <c r="AO987" s="26" t="str">
        <f t="shared" si="350"/>
        <v>YES</v>
      </c>
      <c r="AP987" s="26" t="str">
        <f t="shared" si="351"/>
        <v>pre-launch</v>
      </c>
      <c r="AQ987" s="28">
        <v>75</v>
      </c>
      <c r="AR987" s="28">
        <v>40</v>
      </c>
    </row>
    <row r="988" spans="1:44" x14ac:dyDescent="0.25">
      <c r="A988" s="43">
        <v>46049</v>
      </c>
      <c r="B988" s="17">
        <v>5192276666.2700005</v>
      </c>
      <c r="C988" s="17">
        <v>1786393675.5599999</v>
      </c>
      <c r="D988" s="17">
        <v>207050020</v>
      </c>
      <c r="E988" s="19">
        <f t="shared" si="330"/>
        <v>6978670341.8299999</v>
      </c>
      <c r="F988" s="19">
        <f t="shared" si="331"/>
        <v>7185720361.8299999</v>
      </c>
      <c r="G988" s="20">
        <f t="shared" si="332"/>
        <v>0.25597908886058057</v>
      </c>
      <c r="H988" s="17">
        <v>2075882</v>
      </c>
      <c r="I988" s="17">
        <v>110490</v>
      </c>
      <c r="J988" s="17">
        <v>19932</v>
      </c>
      <c r="K988" s="19">
        <f t="shared" si="333"/>
        <v>2186372</v>
      </c>
      <c r="L988" s="17">
        <v>205929.91536963699</v>
      </c>
      <c r="M988" s="17">
        <v>107481.401273689</v>
      </c>
      <c r="N988" s="17">
        <v>98448.514095948194</v>
      </c>
      <c r="O988" s="19">
        <f t="shared" si="334"/>
        <v>1869952.0846303629</v>
      </c>
      <c r="P988" s="21">
        <f t="shared" si="335"/>
        <v>3.6014107198445742</v>
      </c>
      <c r="Q988" s="17">
        <v>1877313</v>
      </c>
      <c r="R988" s="17">
        <v>98349</v>
      </c>
      <c r="S988" s="19">
        <f t="shared" si="336"/>
        <v>1975662</v>
      </c>
      <c r="T988" s="20">
        <f t="shared" si="337"/>
        <v>0.01</v>
      </c>
      <c r="U988" s="19">
        <f t="shared" si="338"/>
        <v>19956.181818181816</v>
      </c>
      <c r="V988" s="17">
        <v>19932</v>
      </c>
      <c r="W988" s="19">
        <f t="shared" si="339"/>
        <v>24.181818181816197</v>
      </c>
      <c r="X988" s="19">
        <f t="shared" si="340"/>
        <v>210710</v>
      </c>
      <c r="Y988" s="17">
        <v>198569</v>
      </c>
      <c r="Z988" s="17">
        <v>12141</v>
      </c>
      <c r="AA988" s="19">
        <f t="shared" si="341"/>
        <v>190778</v>
      </c>
      <c r="AB988" s="17">
        <v>1975662</v>
      </c>
      <c r="AC988" s="27">
        <v>30.8</v>
      </c>
      <c r="AD988" s="27">
        <v>27.899249999999999</v>
      </c>
      <c r="AE988" s="22">
        <f t="shared" si="342"/>
        <v>70814.161671012669</v>
      </c>
      <c r="AF988" s="23">
        <f t="shared" si="343"/>
        <v>0</v>
      </c>
      <c r="AG988" s="23">
        <f t="shared" si="344"/>
        <v>0</v>
      </c>
      <c r="AH988" s="17">
        <v>1680272.13032496</v>
      </c>
      <c r="AI988" s="24">
        <f t="shared" si="345"/>
        <v>0.85048562472981715</v>
      </c>
      <c r="AJ988" s="25">
        <v>418095741.640553</v>
      </c>
      <c r="AK988" s="24">
        <f t="shared" si="346"/>
        <v>2.3181443165457075E-2</v>
      </c>
      <c r="AL988" s="22">
        <f t="shared" si="347"/>
        <v>26553.596363178363</v>
      </c>
      <c r="AM988" s="22">
        <f t="shared" si="348"/>
        <v>70814.161671012669</v>
      </c>
      <c r="AN988" s="22">
        <f t="shared" si="349"/>
        <v>-44260.565307834302</v>
      </c>
      <c r="AO988" s="26" t="str">
        <f t="shared" si="350"/>
        <v>YES</v>
      </c>
      <c r="AP988" s="26" t="str">
        <f t="shared" si="351"/>
        <v>pre-launch</v>
      </c>
      <c r="AQ988" s="28">
        <v>80</v>
      </c>
      <c r="AR988" s="28">
        <v>44</v>
      </c>
    </row>
    <row r="989" spans="1:44" x14ac:dyDescent="0.25">
      <c r="A989" s="43">
        <v>46050</v>
      </c>
      <c r="B989" s="17">
        <v>7223191379.3699999</v>
      </c>
      <c r="C989" s="17">
        <v>2225317776.75</v>
      </c>
      <c r="D989" s="17">
        <v>308503112</v>
      </c>
      <c r="E989" s="19">
        <f t="shared" si="330"/>
        <v>9448509156.1199989</v>
      </c>
      <c r="F989" s="19">
        <f t="shared" si="331"/>
        <v>9757012268.1199989</v>
      </c>
      <c r="G989" s="20">
        <f t="shared" si="332"/>
        <v>0.23552051863214998</v>
      </c>
      <c r="H989" s="17">
        <v>2792633</v>
      </c>
      <c r="I989" s="17">
        <v>158693</v>
      </c>
      <c r="J989" s="17">
        <v>27377</v>
      </c>
      <c r="K989" s="19">
        <f t="shared" si="333"/>
        <v>2951326</v>
      </c>
      <c r="L989" s="17">
        <v>286376.699132788</v>
      </c>
      <c r="M989" s="17">
        <v>148207.93521519299</v>
      </c>
      <c r="N989" s="17">
        <v>138168.763917595</v>
      </c>
      <c r="O989" s="19">
        <f t="shared" si="334"/>
        <v>2506256.300867212</v>
      </c>
      <c r="P989" s="21">
        <f t="shared" si="335"/>
        <v>3.4697354247393695</v>
      </c>
      <c r="Q989" s="17">
        <v>2568483</v>
      </c>
      <c r="R989" s="17">
        <v>141364</v>
      </c>
      <c r="S989" s="19">
        <f t="shared" si="336"/>
        <v>2709847</v>
      </c>
      <c r="T989" s="20">
        <f t="shared" si="337"/>
        <v>0.01</v>
      </c>
      <c r="U989" s="19">
        <f t="shared" si="338"/>
        <v>27372.191919191922</v>
      </c>
      <c r="V989" s="17">
        <v>27377</v>
      </c>
      <c r="W989" s="19">
        <f t="shared" si="339"/>
        <v>-4.8080808080776478</v>
      </c>
      <c r="X989" s="19">
        <f t="shared" si="340"/>
        <v>241479</v>
      </c>
      <c r="Y989" s="17">
        <v>224150</v>
      </c>
      <c r="Z989" s="17">
        <v>17329</v>
      </c>
      <c r="AA989" s="19">
        <f t="shared" si="341"/>
        <v>214102</v>
      </c>
      <c r="AB989" s="17">
        <v>2709847</v>
      </c>
      <c r="AC989" s="27">
        <v>34.435000000000002</v>
      </c>
      <c r="AD989" s="27">
        <v>32.695999999999998</v>
      </c>
      <c r="AE989" s="22">
        <f t="shared" si="342"/>
        <v>82880.077073648165</v>
      </c>
      <c r="AF989" s="23">
        <f t="shared" si="343"/>
        <v>0</v>
      </c>
      <c r="AG989" s="23">
        <f t="shared" si="344"/>
        <v>0</v>
      </c>
      <c r="AH989" s="17">
        <v>2213694.4171030498</v>
      </c>
      <c r="AI989" s="24">
        <f t="shared" si="345"/>
        <v>0.81690752913468911</v>
      </c>
      <c r="AJ989" s="25">
        <v>418250508.387097</v>
      </c>
      <c r="AK989" s="24">
        <f t="shared" si="346"/>
        <v>2.3177153812040507E-2</v>
      </c>
      <c r="AL989" s="22">
        <f t="shared" si="347"/>
        <v>26558.510588635301</v>
      </c>
      <c r="AM989" s="22">
        <f t="shared" si="348"/>
        <v>82880.077073648165</v>
      </c>
      <c r="AN989" s="22">
        <f t="shared" si="349"/>
        <v>-56321.566485012867</v>
      </c>
      <c r="AO989" s="26" t="str">
        <f t="shared" si="350"/>
        <v>YES</v>
      </c>
      <c r="AP989" s="26" t="str">
        <f t="shared" si="351"/>
        <v>pre-launch</v>
      </c>
      <c r="AQ989" s="28">
        <v>85</v>
      </c>
      <c r="AR989" s="28">
        <v>47</v>
      </c>
    </row>
    <row r="990" spans="1:44" x14ac:dyDescent="0.25">
      <c r="A990" s="43">
        <v>46051</v>
      </c>
      <c r="B990" s="17">
        <v>11593690775.93</v>
      </c>
      <c r="C990" s="17">
        <v>3335351796.1500001</v>
      </c>
      <c r="D990" s="17">
        <v>330268020</v>
      </c>
      <c r="E990" s="19">
        <f t="shared" si="330"/>
        <v>14929042572.08</v>
      </c>
      <c r="F990" s="19">
        <f t="shared" si="331"/>
        <v>15259310592.08</v>
      </c>
      <c r="G990" s="20">
        <f t="shared" si="332"/>
        <v>0.22341364357736571</v>
      </c>
      <c r="H990" s="17">
        <v>4528504</v>
      </c>
      <c r="I990" s="17">
        <v>164983</v>
      </c>
      <c r="J990" s="17">
        <v>43439</v>
      </c>
      <c r="K990" s="19">
        <f t="shared" si="333"/>
        <v>4693487</v>
      </c>
      <c r="L990" s="17">
        <v>488817.00456638198</v>
      </c>
      <c r="M990" s="17">
        <v>250905.98280152801</v>
      </c>
      <c r="N990" s="17">
        <v>237911.02176485499</v>
      </c>
      <c r="O990" s="19">
        <f t="shared" si="334"/>
        <v>4039686.9954336178</v>
      </c>
      <c r="P990" s="21">
        <f t="shared" si="335"/>
        <v>3.4843839408072963</v>
      </c>
      <c r="Q990" s="17">
        <v>4159521</v>
      </c>
      <c r="R990" s="17">
        <v>140577</v>
      </c>
      <c r="S990" s="19">
        <f t="shared" si="336"/>
        <v>4300098</v>
      </c>
      <c r="T990" s="20">
        <f t="shared" si="337"/>
        <v>0.01</v>
      </c>
      <c r="U990" s="19">
        <f t="shared" si="338"/>
        <v>43435.333333333336</v>
      </c>
      <c r="V990" s="17">
        <v>43439</v>
      </c>
      <c r="W990" s="19">
        <f t="shared" si="339"/>
        <v>-3.6666666666642413</v>
      </c>
      <c r="X990" s="19">
        <f t="shared" si="340"/>
        <v>393389</v>
      </c>
      <c r="Y990" s="17">
        <v>368983</v>
      </c>
      <c r="Z990" s="17">
        <v>24406</v>
      </c>
      <c r="AA990" s="19">
        <f t="shared" si="341"/>
        <v>349950</v>
      </c>
      <c r="AB990" s="17">
        <v>4300098</v>
      </c>
      <c r="AC990" s="27">
        <v>30.786000000000001</v>
      </c>
      <c r="AD990" s="27">
        <v>32.528750000000002</v>
      </c>
      <c r="AE990" s="22">
        <f t="shared" si="342"/>
        <v>132193.76705222303</v>
      </c>
      <c r="AF990" s="23">
        <f t="shared" si="343"/>
        <v>0</v>
      </c>
      <c r="AG990" s="23">
        <f t="shared" si="344"/>
        <v>0</v>
      </c>
      <c r="AH990" s="17">
        <v>3535598.7233250099</v>
      </c>
      <c r="AI990" s="24">
        <f t="shared" si="345"/>
        <v>0.82221352241856116</v>
      </c>
      <c r="AJ990" s="25">
        <v>418405275.133641</v>
      </c>
      <c r="AK990" s="24">
        <f t="shared" si="346"/>
        <v>2.3172866838770834E-2</v>
      </c>
      <c r="AL990" s="22">
        <f t="shared" si="347"/>
        <v>26563.423904962023</v>
      </c>
      <c r="AM990" s="22">
        <f t="shared" si="348"/>
        <v>132193.76705222303</v>
      </c>
      <c r="AN990" s="22">
        <f t="shared" si="349"/>
        <v>-105630.34314726101</v>
      </c>
      <c r="AO990" s="26" t="str">
        <f t="shared" si="350"/>
        <v>YES</v>
      </c>
      <c r="AP990" s="26" t="str">
        <f t="shared" si="351"/>
        <v>pre-launch</v>
      </c>
      <c r="AQ990" s="28">
        <v>90</v>
      </c>
      <c r="AR990" s="28">
        <v>57</v>
      </c>
    </row>
    <row r="991" spans="1:44" x14ac:dyDescent="0.25">
      <c r="A991" s="43">
        <v>46052</v>
      </c>
      <c r="B991" s="17">
        <v>10744921449.01</v>
      </c>
      <c r="C991" s="17">
        <v>4986241499.8900003</v>
      </c>
      <c r="D991" s="17">
        <v>370980740</v>
      </c>
      <c r="E991" s="19">
        <f t="shared" si="330"/>
        <v>15731162948.900002</v>
      </c>
      <c r="F991" s="19">
        <f t="shared" si="331"/>
        <v>16102143688.900002</v>
      </c>
      <c r="G991" s="20">
        <f t="shared" si="332"/>
        <v>0.31696585408764472</v>
      </c>
      <c r="H991" s="17">
        <v>4561815</v>
      </c>
      <c r="I991" s="17">
        <v>177806</v>
      </c>
      <c r="J991" s="17">
        <v>43948</v>
      </c>
      <c r="K991" s="19">
        <f t="shared" si="333"/>
        <v>4739621</v>
      </c>
      <c r="L991" s="17">
        <v>656262.45253031002</v>
      </c>
      <c r="M991" s="17">
        <v>335026.93006224401</v>
      </c>
      <c r="N991" s="17">
        <v>321235.52246806503</v>
      </c>
      <c r="O991" s="19">
        <f t="shared" si="334"/>
        <v>3905552.54746969</v>
      </c>
      <c r="P991" s="21">
        <f t="shared" si="335"/>
        <v>3.6347892965095006</v>
      </c>
      <c r="Q991" s="17">
        <v>4197996</v>
      </c>
      <c r="R991" s="17">
        <v>152715</v>
      </c>
      <c r="S991" s="19">
        <f t="shared" si="336"/>
        <v>4350711</v>
      </c>
      <c r="T991" s="20">
        <f t="shared" si="337"/>
        <v>0.01</v>
      </c>
      <c r="U991" s="19">
        <f t="shared" si="338"/>
        <v>43946.57575757576</v>
      </c>
      <c r="V991" s="17">
        <v>43948</v>
      </c>
      <c r="W991" s="19">
        <f t="shared" si="339"/>
        <v>-1.4242424242402194</v>
      </c>
      <c r="X991" s="19">
        <f t="shared" si="340"/>
        <v>388910</v>
      </c>
      <c r="Y991" s="17">
        <v>363819</v>
      </c>
      <c r="Z991" s="17">
        <v>25091</v>
      </c>
      <c r="AA991" s="19">
        <f t="shared" si="341"/>
        <v>344962</v>
      </c>
      <c r="AB991" s="17">
        <v>4350711</v>
      </c>
      <c r="AC991" s="27">
        <v>30.58</v>
      </c>
      <c r="AD991" s="27">
        <v>30.593499999999999</v>
      </c>
      <c r="AE991" s="22">
        <f t="shared" si="342"/>
        <v>142210.30611077516</v>
      </c>
      <c r="AF991" s="23">
        <f t="shared" si="343"/>
        <v>0</v>
      </c>
      <c r="AG991" s="23">
        <f t="shared" si="344"/>
        <v>0</v>
      </c>
      <c r="AH991" s="17">
        <v>3552855.5631799698</v>
      </c>
      <c r="AI991" s="24">
        <f t="shared" si="345"/>
        <v>0.81661493102620919</v>
      </c>
      <c r="AJ991" s="25">
        <v>418560041.88018399</v>
      </c>
      <c r="AK991" s="24">
        <f t="shared" si="346"/>
        <v>2.3168582243447672E-2</v>
      </c>
      <c r="AL991" s="22">
        <f t="shared" si="347"/>
        <v>26568.336312662861</v>
      </c>
      <c r="AM991" s="22">
        <f t="shared" si="348"/>
        <v>142210.30611077516</v>
      </c>
      <c r="AN991" s="22">
        <f t="shared" si="349"/>
        <v>-115641.96979811229</v>
      </c>
      <c r="AO991" s="26" t="str">
        <f t="shared" si="350"/>
        <v>YES</v>
      </c>
      <c r="AP991" s="26" t="str">
        <f t="shared" si="351"/>
        <v>pre-launch</v>
      </c>
      <c r="AQ991" s="28">
        <v>92</v>
      </c>
      <c r="AR991" s="28">
        <v>57</v>
      </c>
    </row>
    <row r="992" spans="1:44" x14ac:dyDescent="0.25">
      <c r="A992" s="43">
        <v>46053</v>
      </c>
      <c r="B992" s="17">
        <v>12880731728.440001</v>
      </c>
      <c r="C992" s="17">
        <v>453762452.82999998</v>
      </c>
      <c r="D992" s="17">
        <v>353806191</v>
      </c>
      <c r="E992" s="19">
        <f t="shared" si="330"/>
        <v>13334494181.27</v>
      </c>
      <c r="F992" s="19">
        <f t="shared" si="331"/>
        <v>13688300372.27</v>
      </c>
      <c r="G992" s="20">
        <f t="shared" si="332"/>
        <v>3.4029221255903901E-2</v>
      </c>
      <c r="H992" s="17">
        <v>4470885</v>
      </c>
      <c r="I992" s="17">
        <v>168742</v>
      </c>
      <c r="J992" s="17">
        <v>43586</v>
      </c>
      <c r="K992" s="19">
        <f t="shared" si="333"/>
        <v>4639627</v>
      </c>
      <c r="L992" s="17">
        <v>79829.086384686903</v>
      </c>
      <c r="M992" s="17">
        <v>47230.943933415503</v>
      </c>
      <c r="N992" s="17">
        <v>32598.1424512714</v>
      </c>
      <c r="O992" s="19">
        <f t="shared" si="334"/>
        <v>4391055.9136153134</v>
      </c>
      <c r="P992" s="21">
        <f t="shared" si="335"/>
        <v>3.4090112318076509</v>
      </c>
      <c r="Q992" s="17">
        <v>4181537</v>
      </c>
      <c r="R992" s="17">
        <v>134186</v>
      </c>
      <c r="S992" s="19">
        <f t="shared" si="336"/>
        <v>4315723</v>
      </c>
      <c r="T992" s="20">
        <f t="shared" si="337"/>
        <v>0.01</v>
      </c>
      <c r="U992" s="19">
        <f t="shared" si="338"/>
        <v>43593.161616161618</v>
      </c>
      <c r="V992" s="17">
        <v>43586</v>
      </c>
      <c r="W992" s="19">
        <f t="shared" si="339"/>
        <v>7.1616161616184399</v>
      </c>
      <c r="X992" s="19">
        <f t="shared" si="340"/>
        <v>323904</v>
      </c>
      <c r="Y992" s="17">
        <v>289348</v>
      </c>
      <c r="Z992" s="17">
        <v>34556</v>
      </c>
      <c r="AA992" s="19">
        <f t="shared" si="341"/>
        <v>280318</v>
      </c>
      <c r="AB992" s="17">
        <v>4315723</v>
      </c>
      <c r="AC992" s="27">
        <v>30.975000000000001</v>
      </c>
      <c r="AD992" s="27">
        <v>30.265250000000002</v>
      </c>
      <c r="AE992" s="22">
        <f t="shared" si="342"/>
        <v>142596.64136261883</v>
      </c>
      <c r="AF992" s="23">
        <f t="shared" si="343"/>
        <v>0</v>
      </c>
      <c r="AG992" s="23">
        <f t="shared" si="344"/>
        <v>0</v>
      </c>
      <c r="AH992" s="17">
        <v>3515062.15822506</v>
      </c>
      <c r="AI992" s="24">
        <f t="shared" si="345"/>
        <v>0.81447816697806141</v>
      </c>
      <c r="AJ992" s="25">
        <v>418714808.626728</v>
      </c>
      <c r="AK992" s="24">
        <f t="shared" si="346"/>
        <v>2.3164300023873399E-2</v>
      </c>
      <c r="AL992" s="22">
        <f t="shared" si="347"/>
        <v>26573.247812241811</v>
      </c>
      <c r="AM992" s="22">
        <f t="shared" si="348"/>
        <v>142596.64136261883</v>
      </c>
      <c r="AN992" s="22">
        <f t="shared" si="349"/>
        <v>-116023.39355037702</v>
      </c>
      <c r="AO992" s="26" t="str">
        <f t="shared" si="350"/>
        <v>YES</v>
      </c>
      <c r="AP992" s="26" t="str">
        <f t="shared" si="351"/>
        <v>pre-launch</v>
      </c>
      <c r="AQ992" s="28">
        <v>92</v>
      </c>
      <c r="AR992" s="28">
        <v>57</v>
      </c>
    </row>
    <row r="993" spans="1:44" x14ac:dyDescent="0.25">
      <c r="A993" s="43">
        <v>46054</v>
      </c>
      <c r="B993" s="17">
        <v>7709887204.0900002</v>
      </c>
      <c r="C993" s="17">
        <v>573256994.85000002</v>
      </c>
      <c r="D993" s="17">
        <v>216693089</v>
      </c>
      <c r="E993" s="19">
        <f t="shared" si="330"/>
        <v>8283144198.9400005</v>
      </c>
      <c r="F993" s="19">
        <f t="shared" si="331"/>
        <v>8499837287.9400005</v>
      </c>
      <c r="G993" s="20">
        <f t="shared" si="332"/>
        <v>6.920765606415015E-2</v>
      </c>
      <c r="H993" s="17">
        <v>3172139</v>
      </c>
      <c r="I993" s="17">
        <v>103743</v>
      </c>
      <c r="J993" s="17">
        <v>29751</v>
      </c>
      <c r="K993" s="19">
        <f t="shared" si="333"/>
        <v>3275882</v>
      </c>
      <c r="L993" s="17">
        <v>92265.779894624997</v>
      </c>
      <c r="M993" s="17">
        <v>50813.883256923502</v>
      </c>
      <c r="N993" s="17">
        <v>41451.8966377014</v>
      </c>
      <c r="O993" s="19">
        <f t="shared" si="334"/>
        <v>3079873.2201053752</v>
      </c>
      <c r="P993" s="21">
        <f t="shared" si="335"/>
        <v>3.994705938721828</v>
      </c>
      <c r="Q993" s="17">
        <v>2858425</v>
      </c>
      <c r="R993" s="17">
        <v>87509</v>
      </c>
      <c r="S993" s="19">
        <f t="shared" si="336"/>
        <v>2945934</v>
      </c>
      <c r="T993" s="20">
        <f t="shared" si="337"/>
        <v>0.01</v>
      </c>
      <c r="U993" s="19">
        <f t="shared" si="338"/>
        <v>29756.909090909092</v>
      </c>
      <c r="V993" s="17">
        <v>29751</v>
      </c>
      <c r="W993" s="19">
        <f t="shared" si="339"/>
        <v>5.9090909090919013</v>
      </c>
      <c r="X993" s="19">
        <f t="shared" si="340"/>
        <v>329948</v>
      </c>
      <c r="Y993" s="17">
        <v>313714</v>
      </c>
      <c r="Z993" s="17">
        <v>16234</v>
      </c>
      <c r="AA993" s="19">
        <f t="shared" si="341"/>
        <v>300197</v>
      </c>
      <c r="AB993" s="17">
        <v>2945934</v>
      </c>
      <c r="AC993" s="27">
        <v>30.564</v>
      </c>
      <c r="AD993" s="27">
        <v>30.635750000000002</v>
      </c>
      <c r="AE993" s="22">
        <f t="shared" si="342"/>
        <v>96160.00913964893</v>
      </c>
      <c r="AF993" s="23">
        <f t="shared" si="343"/>
        <v>0</v>
      </c>
      <c r="AG993" s="23">
        <f t="shared" si="344"/>
        <v>0</v>
      </c>
      <c r="AH993" s="17">
        <v>2261880.5760399099</v>
      </c>
      <c r="AI993" s="24">
        <f t="shared" si="345"/>
        <v>0.76779743743067896</v>
      </c>
      <c r="AJ993" s="25">
        <v>418869575.373272</v>
      </c>
      <c r="AK993" s="24">
        <f t="shared" si="346"/>
        <v>2.3160020177853322E-2</v>
      </c>
      <c r="AL993" s="22">
        <f t="shared" si="347"/>
        <v>26578.158404202281</v>
      </c>
      <c r="AM993" s="22">
        <f t="shared" si="348"/>
        <v>96160.00913964893</v>
      </c>
      <c r="AN993" s="22">
        <f t="shared" si="349"/>
        <v>-69581.850735446642</v>
      </c>
      <c r="AO993" s="26" t="str">
        <f t="shared" si="350"/>
        <v>YES</v>
      </c>
      <c r="AP993" s="26" t="str">
        <f t="shared" si="351"/>
        <v>pre-launch</v>
      </c>
      <c r="AQ993" s="28">
        <v>92</v>
      </c>
      <c r="AR993" s="28">
        <v>57</v>
      </c>
    </row>
    <row r="994" spans="1:44" x14ac:dyDescent="0.25">
      <c r="A994" s="43">
        <v>46055</v>
      </c>
      <c r="B994" s="17">
        <v>8410401449.9200001</v>
      </c>
      <c r="C994" s="17">
        <v>3535691413.8699999</v>
      </c>
      <c r="D994" s="17">
        <v>345233535</v>
      </c>
      <c r="E994" s="19">
        <f t="shared" si="330"/>
        <v>11946092863.790001</v>
      </c>
      <c r="F994" s="19">
        <f t="shared" si="331"/>
        <v>12291326398.790001</v>
      </c>
      <c r="G994" s="20">
        <f t="shared" si="332"/>
        <v>0.29597052812029384</v>
      </c>
      <c r="H994" s="17">
        <v>3532693</v>
      </c>
      <c r="I994" s="17">
        <v>165128</v>
      </c>
      <c r="J994" s="17">
        <v>34178</v>
      </c>
      <c r="K994" s="19">
        <f t="shared" si="333"/>
        <v>3697821</v>
      </c>
      <c r="L994" s="17">
        <v>499039.80571852298</v>
      </c>
      <c r="M994" s="17">
        <v>256078.171390442</v>
      </c>
      <c r="N994" s="17">
        <v>242961.634328082</v>
      </c>
      <c r="O994" s="19">
        <f t="shared" si="334"/>
        <v>3033653.194281477</v>
      </c>
      <c r="P994" s="21">
        <f t="shared" si="335"/>
        <v>3.6070254343332602</v>
      </c>
      <c r="Q994" s="17">
        <v>3247348</v>
      </c>
      <c r="R994" s="17">
        <v>138368</v>
      </c>
      <c r="S994" s="19">
        <f t="shared" si="336"/>
        <v>3385716</v>
      </c>
      <c r="T994" s="20">
        <f t="shared" si="337"/>
        <v>0.01</v>
      </c>
      <c r="U994" s="19">
        <f t="shared" si="338"/>
        <v>34199.15151515152</v>
      </c>
      <c r="V994" s="17">
        <v>34178</v>
      </c>
      <c r="W994" s="19">
        <f t="shared" si="339"/>
        <v>21.151515151519561</v>
      </c>
      <c r="X994" s="19">
        <f t="shared" si="340"/>
        <v>312105</v>
      </c>
      <c r="Y994" s="17">
        <v>285345</v>
      </c>
      <c r="Z994" s="17">
        <v>26760</v>
      </c>
      <c r="AA994" s="19">
        <f t="shared" si="341"/>
        <v>277927</v>
      </c>
      <c r="AB994" s="17">
        <v>3385716</v>
      </c>
      <c r="AC994" s="27">
        <v>33.283000000000001</v>
      </c>
      <c r="AD994" s="27">
        <v>31.828250000000001</v>
      </c>
      <c r="AE994" s="22">
        <f t="shared" si="342"/>
        <v>106374.557193688</v>
      </c>
      <c r="AF994" s="23">
        <f t="shared" si="343"/>
        <v>0</v>
      </c>
      <c r="AG994" s="23">
        <f t="shared" si="344"/>
        <v>0</v>
      </c>
      <c r="AH994" s="17">
        <v>2789448.4205610799</v>
      </c>
      <c r="AI994" s="24">
        <f t="shared" si="345"/>
        <v>0.82388730199493398</v>
      </c>
      <c r="AJ994" s="25">
        <v>419024342.11981601</v>
      </c>
      <c r="AK994" s="24">
        <f t="shared" si="346"/>
        <v>2.3155742703195561E-2</v>
      </c>
      <c r="AL994" s="22">
        <f t="shared" si="347"/>
        <v>26583.068089047258</v>
      </c>
      <c r="AM994" s="22">
        <f t="shared" si="348"/>
        <v>106374.557193688</v>
      </c>
      <c r="AN994" s="22">
        <f t="shared" si="349"/>
        <v>-79791.489104640743</v>
      </c>
      <c r="AO994" s="26" t="str">
        <f t="shared" si="350"/>
        <v>YES</v>
      </c>
      <c r="AP994" s="26" t="str">
        <f t="shared" si="351"/>
        <v>pre-launch</v>
      </c>
      <c r="AQ994" s="28">
        <v>94</v>
      </c>
      <c r="AR994" s="28">
        <v>57</v>
      </c>
    </row>
    <row r="995" spans="1:44" x14ac:dyDescent="0.25">
      <c r="A995" s="43">
        <v>46056</v>
      </c>
      <c r="B995" s="17">
        <v>10448088018.209999</v>
      </c>
      <c r="C995" s="17">
        <v>2746628279.6399999</v>
      </c>
      <c r="D995" s="17">
        <v>418094057</v>
      </c>
      <c r="E995" s="19">
        <f t="shared" si="330"/>
        <v>13194716297.849998</v>
      </c>
      <c r="F995" s="19">
        <f t="shared" si="331"/>
        <v>13612810354.849998</v>
      </c>
      <c r="G995" s="20">
        <f t="shared" si="332"/>
        <v>0.20816122284399149</v>
      </c>
      <c r="H995" s="17">
        <v>4075229</v>
      </c>
      <c r="I995" s="17">
        <v>193813</v>
      </c>
      <c r="J995" s="17">
        <v>39870</v>
      </c>
      <c r="K995" s="19">
        <f t="shared" si="333"/>
        <v>4269042</v>
      </c>
      <c r="L995" s="17">
        <v>428401.11389650201</v>
      </c>
      <c r="M995" s="17">
        <v>222289.31420326501</v>
      </c>
      <c r="N995" s="17">
        <v>206111.799693237</v>
      </c>
      <c r="O995" s="19">
        <f t="shared" si="334"/>
        <v>3646827.8861034978</v>
      </c>
      <c r="P995" s="21">
        <f t="shared" si="335"/>
        <v>3.4904260758020342</v>
      </c>
      <c r="Q995" s="17">
        <v>3778351</v>
      </c>
      <c r="R995" s="17">
        <v>169063</v>
      </c>
      <c r="S995" s="19">
        <f t="shared" si="336"/>
        <v>3947414</v>
      </c>
      <c r="T995" s="20">
        <f t="shared" si="337"/>
        <v>0.01</v>
      </c>
      <c r="U995" s="19">
        <f t="shared" si="338"/>
        <v>39872.868686868685</v>
      </c>
      <c r="V995" s="17">
        <v>39870</v>
      </c>
      <c r="W995" s="19">
        <f t="shared" si="339"/>
        <v>2.8686868686854723</v>
      </c>
      <c r="X995" s="19">
        <f t="shared" si="340"/>
        <v>321628</v>
      </c>
      <c r="Y995" s="17">
        <v>296878</v>
      </c>
      <c r="Z995" s="17">
        <v>24750</v>
      </c>
      <c r="AA995" s="19">
        <f t="shared" si="341"/>
        <v>281758</v>
      </c>
      <c r="AB995" s="17">
        <v>3947414</v>
      </c>
      <c r="AC995" s="27">
        <v>32.665999999999997</v>
      </c>
      <c r="AD995" s="27">
        <v>34.142249999999997</v>
      </c>
      <c r="AE995" s="22">
        <f t="shared" si="342"/>
        <v>115616.69192862217</v>
      </c>
      <c r="AF995" s="23">
        <f t="shared" si="343"/>
        <v>0</v>
      </c>
      <c r="AG995" s="23">
        <f t="shared" si="344"/>
        <v>0</v>
      </c>
      <c r="AH995" s="17">
        <v>3228464.9324349202</v>
      </c>
      <c r="AI995" s="24">
        <f t="shared" si="345"/>
        <v>0.81786833923042279</v>
      </c>
      <c r="AJ995" s="25">
        <v>419179108.86636001</v>
      </c>
      <c r="AK995" s="24">
        <f t="shared" si="346"/>
        <v>2.3151467597711056E-2</v>
      </c>
      <c r="AL995" s="22">
        <f t="shared" si="347"/>
        <v>26587.976867279256</v>
      </c>
      <c r="AM995" s="22">
        <f t="shared" si="348"/>
        <v>115616.69192862217</v>
      </c>
      <c r="AN995" s="22">
        <f t="shared" si="349"/>
        <v>-89028.715061342911</v>
      </c>
      <c r="AO995" s="26" t="str">
        <f t="shared" si="350"/>
        <v>YES</v>
      </c>
      <c r="AP995" s="26" t="str">
        <f t="shared" si="351"/>
        <v>pre-launch</v>
      </c>
      <c r="AQ995" s="28">
        <v>95</v>
      </c>
      <c r="AR995" s="28">
        <v>66</v>
      </c>
    </row>
    <row r="996" spans="1:44" x14ac:dyDescent="0.25">
      <c r="A996" s="43">
        <v>46057</v>
      </c>
      <c r="B996" s="17">
        <v>10216254336.33</v>
      </c>
      <c r="C996" s="17">
        <v>2644071681.1100001</v>
      </c>
      <c r="D996" s="17">
        <v>535928526</v>
      </c>
      <c r="E996" s="19">
        <f t="shared" si="330"/>
        <v>12860326017.440001</v>
      </c>
      <c r="F996" s="19">
        <f t="shared" si="331"/>
        <v>13396254543.440001</v>
      </c>
      <c r="G996" s="20">
        <f t="shared" si="332"/>
        <v>0.20559911759035901</v>
      </c>
      <c r="H996" s="17">
        <v>3989263</v>
      </c>
      <c r="I996" s="17">
        <v>291087</v>
      </c>
      <c r="J996" s="17">
        <v>39825</v>
      </c>
      <c r="K996" s="19">
        <f t="shared" si="333"/>
        <v>4280350</v>
      </c>
      <c r="L996" s="17">
        <v>336412.27402124298</v>
      </c>
      <c r="M996" s="17">
        <v>175221.06358716701</v>
      </c>
      <c r="N996" s="17">
        <v>161191.210434076</v>
      </c>
      <c r="O996" s="19">
        <f t="shared" si="334"/>
        <v>3652850.7259787573</v>
      </c>
      <c r="P996" s="21">
        <f t="shared" si="335"/>
        <v>3.5755283744149389</v>
      </c>
      <c r="Q996" s="17">
        <v>3695256</v>
      </c>
      <c r="R996" s="17">
        <v>246598</v>
      </c>
      <c r="S996" s="19">
        <f t="shared" si="336"/>
        <v>3941854</v>
      </c>
      <c r="T996" s="20">
        <f t="shared" si="337"/>
        <v>0.01</v>
      </c>
      <c r="U996" s="19">
        <f t="shared" si="338"/>
        <v>39816.707070707074</v>
      </c>
      <c r="V996" s="17">
        <v>39825</v>
      </c>
      <c r="W996" s="19">
        <f t="shared" si="339"/>
        <v>-8.2929292929256917</v>
      </c>
      <c r="X996" s="19">
        <f t="shared" si="340"/>
        <v>338496</v>
      </c>
      <c r="Y996" s="17">
        <v>294007</v>
      </c>
      <c r="Z996" s="17">
        <v>44489</v>
      </c>
      <c r="AA996" s="19">
        <f t="shared" si="341"/>
        <v>298671</v>
      </c>
      <c r="AB996" s="17">
        <v>3941854</v>
      </c>
      <c r="AC996" s="27">
        <v>35.442999999999998</v>
      </c>
      <c r="AD996" s="27">
        <v>34.170999999999999</v>
      </c>
      <c r="AE996" s="22">
        <f t="shared" si="342"/>
        <v>115356.70597875392</v>
      </c>
      <c r="AF996" s="23">
        <f t="shared" si="343"/>
        <v>0</v>
      </c>
      <c r="AG996" s="23">
        <f t="shared" si="344"/>
        <v>0</v>
      </c>
      <c r="AH996" s="17">
        <v>3147072.1529830699</v>
      </c>
      <c r="AI996" s="24">
        <f t="shared" si="345"/>
        <v>0.79837359602437585</v>
      </c>
      <c r="AJ996" s="25">
        <v>419333875.612903</v>
      </c>
      <c r="AK996" s="24">
        <f t="shared" si="346"/>
        <v>2.3147194859213616E-2</v>
      </c>
      <c r="AL996" s="22">
        <f t="shared" si="347"/>
        <v>26592.884739400302</v>
      </c>
      <c r="AM996" s="22">
        <f t="shared" si="348"/>
        <v>115356.70597875392</v>
      </c>
      <c r="AN996" s="22">
        <f t="shared" si="349"/>
        <v>-88763.821239353623</v>
      </c>
      <c r="AO996" s="26" t="str">
        <f t="shared" si="350"/>
        <v>YES</v>
      </c>
      <c r="AP996" s="26" t="str">
        <f t="shared" si="351"/>
        <v>pre-launch</v>
      </c>
      <c r="AQ996" s="28">
        <v>96</v>
      </c>
      <c r="AR996" s="28">
        <v>67</v>
      </c>
    </row>
    <row r="997" spans="1:44" x14ac:dyDescent="0.25">
      <c r="A997" s="43">
        <v>46058</v>
      </c>
      <c r="B997" s="17">
        <v>20020496107.07</v>
      </c>
      <c r="C997" s="17">
        <v>5287058767.7399998</v>
      </c>
      <c r="D997" s="17">
        <v>661577186</v>
      </c>
      <c r="E997" s="19">
        <f t="shared" si="330"/>
        <v>25307554874.809998</v>
      </c>
      <c r="F997" s="19">
        <f t="shared" si="331"/>
        <v>25969132060.809998</v>
      </c>
      <c r="G997" s="20">
        <f t="shared" si="332"/>
        <v>0.20891227121283457</v>
      </c>
      <c r="H997" s="17">
        <v>7147661</v>
      </c>
      <c r="I997" s="17">
        <v>275345</v>
      </c>
      <c r="J997" s="17">
        <v>69102</v>
      </c>
      <c r="K997" s="19">
        <f t="shared" si="333"/>
        <v>7423006</v>
      </c>
      <c r="L997" s="17">
        <v>491145.27387121401</v>
      </c>
      <c r="M997" s="17">
        <v>258169.23718146299</v>
      </c>
      <c r="N997" s="17">
        <v>232976.036689751</v>
      </c>
      <c r="O997" s="19">
        <f t="shared" si="334"/>
        <v>6656515.7261287859</v>
      </c>
      <c r="P997" s="21">
        <f t="shared" si="335"/>
        <v>3.3248505384330191</v>
      </c>
      <c r="Q997" s="17">
        <v>6642117</v>
      </c>
      <c r="R997" s="17">
        <v>199828</v>
      </c>
      <c r="S997" s="19">
        <f t="shared" si="336"/>
        <v>6841945</v>
      </c>
      <c r="T997" s="20">
        <f t="shared" si="337"/>
        <v>0.01</v>
      </c>
      <c r="U997" s="19">
        <f t="shared" si="338"/>
        <v>69110.555555555547</v>
      </c>
      <c r="V997" s="17">
        <v>69102</v>
      </c>
      <c r="W997" s="19">
        <f t="shared" si="339"/>
        <v>8.5555555555474712</v>
      </c>
      <c r="X997" s="19">
        <f t="shared" si="340"/>
        <v>581063</v>
      </c>
      <c r="Y997" s="17">
        <v>505545</v>
      </c>
      <c r="Z997" s="17">
        <v>75518</v>
      </c>
      <c r="AA997" s="19">
        <f t="shared" si="341"/>
        <v>511961</v>
      </c>
      <c r="AB997" s="17">
        <v>6841945</v>
      </c>
      <c r="AC997" s="27">
        <v>33.03</v>
      </c>
      <c r="AD997" s="27">
        <v>33.744</v>
      </c>
      <c r="AE997" s="22">
        <f t="shared" si="342"/>
        <v>202760.34257942153</v>
      </c>
      <c r="AF997" s="23">
        <f t="shared" si="343"/>
        <v>-2</v>
      </c>
      <c r="AG997" s="23">
        <f t="shared" si="344"/>
        <v>0</v>
      </c>
      <c r="AH997" s="17">
        <v>5427197.2138589602</v>
      </c>
      <c r="AI997" s="24">
        <f t="shared" si="345"/>
        <v>0.79322432639533935</v>
      </c>
      <c r="AJ997" s="25">
        <v>419488642.359447</v>
      </c>
      <c r="AK997" s="24">
        <f t="shared" si="346"/>
        <v>2.3142924485519783E-2</v>
      </c>
      <c r="AL997" s="22">
        <f t="shared" si="347"/>
        <v>26597.791705912045</v>
      </c>
      <c r="AM997" s="22">
        <f t="shared" si="348"/>
        <v>202760.34257942153</v>
      </c>
      <c r="AN997" s="22">
        <f t="shared" si="349"/>
        <v>-176162.55087350949</v>
      </c>
      <c r="AO997" s="26" t="str">
        <f t="shared" si="350"/>
        <v>YES</v>
      </c>
      <c r="AP997" s="26" t="str">
        <f t="shared" si="351"/>
        <v>pre-launch</v>
      </c>
      <c r="AQ997" s="28">
        <v>97</v>
      </c>
      <c r="AR997" s="28">
        <v>67</v>
      </c>
    </row>
    <row r="998" spans="1:44" x14ac:dyDescent="0.25">
      <c r="A998" s="43">
        <v>46059</v>
      </c>
      <c r="B998" s="17">
        <v>13809374959.68</v>
      </c>
      <c r="C998" s="17">
        <v>3088162874.0999999</v>
      </c>
      <c r="D998" s="17">
        <v>527718065</v>
      </c>
      <c r="E998" s="19">
        <f t="shared" si="330"/>
        <v>16897537833.780001</v>
      </c>
      <c r="F998" s="19">
        <f t="shared" si="331"/>
        <v>17425255898.779999</v>
      </c>
      <c r="G998" s="20">
        <f t="shared" si="332"/>
        <v>0.18275815710419238</v>
      </c>
      <c r="H998" s="17">
        <v>5371538</v>
      </c>
      <c r="I998" s="17">
        <v>217386</v>
      </c>
      <c r="J998" s="17">
        <v>50503</v>
      </c>
      <c r="K998" s="19">
        <f t="shared" si="333"/>
        <v>5588924</v>
      </c>
      <c r="L998" s="17">
        <v>295162.86271020398</v>
      </c>
      <c r="M998" s="17">
        <v>157714.016232636</v>
      </c>
      <c r="N998" s="17">
        <v>137448.84647756899</v>
      </c>
      <c r="O998" s="19">
        <f t="shared" si="334"/>
        <v>5076375.137289796</v>
      </c>
      <c r="P998" s="21">
        <f t="shared" si="335"/>
        <v>3.6760354122554939</v>
      </c>
      <c r="Q998" s="17">
        <v>4842992</v>
      </c>
      <c r="R998" s="17">
        <v>156172</v>
      </c>
      <c r="S998" s="19">
        <f t="shared" si="336"/>
        <v>4999164</v>
      </c>
      <c r="T998" s="20">
        <f t="shared" si="337"/>
        <v>0.01</v>
      </c>
      <c r="U998" s="19">
        <f t="shared" si="338"/>
        <v>50496.606060606064</v>
      </c>
      <c r="V998" s="17">
        <v>50503</v>
      </c>
      <c r="W998" s="19">
        <f t="shared" si="339"/>
        <v>-6.3939393939363072</v>
      </c>
      <c r="X998" s="19">
        <f t="shared" si="340"/>
        <v>589760</v>
      </c>
      <c r="Y998" s="17">
        <v>528546</v>
      </c>
      <c r="Z998" s="17">
        <v>61214</v>
      </c>
      <c r="AA998" s="19">
        <f t="shared" si="341"/>
        <v>539257</v>
      </c>
      <c r="AB998" s="17">
        <v>4999164</v>
      </c>
      <c r="AC998" s="27">
        <v>32.359000000000002</v>
      </c>
      <c r="AD998" s="27">
        <v>33.417000000000002</v>
      </c>
      <c r="AE998" s="22">
        <f t="shared" si="342"/>
        <v>149599.42544214023</v>
      </c>
      <c r="AF998" s="23">
        <f t="shared" si="343"/>
        <v>0</v>
      </c>
      <c r="AG998" s="23">
        <f t="shared" si="344"/>
        <v>0</v>
      </c>
      <c r="AH998" s="17">
        <v>3973864.3534640102</v>
      </c>
      <c r="AI998" s="24">
        <f t="shared" si="345"/>
        <v>0.79490577893904069</v>
      </c>
      <c r="AJ998" s="25">
        <v>419643409.10599101</v>
      </c>
      <c r="AK998" s="24">
        <f t="shared" si="346"/>
        <v>2.3138656474449001E-2</v>
      </c>
      <c r="AL998" s="22">
        <f t="shared" si="347"/>
        <v>26602.697767315589</v>
      </c>
      <c r="AM998" s="22">
        <f t="shared" si="348"/>
        <v>149599.42544214023</v>
      </c>
      <c r="AN998" s="22">
        <f t="shared" si="349"/>
        <v>-122996.72767482464</v>
      </c>
      <c r="AO998" s="26" t="str">
        <f t="shared" si="350"/>
        <v>YES</v>
      </c>
      <c r="AP998" s="26" t="str">
        <f t="shared" si="351"/>
        <v>pre-launch</v>
      </c>
      <c r="AQ998" s="28">
        <v>98</v>
      </c>
      <c r="AR998" s="28">
        <v>68</v>
      </c>
    </row>
    <row r="999" spans="1:44" x14ac:dyDescent="0.25">
      <c r="A999" s="43">
        <v>46060</v>
      </c>
      <c r="B999" s="17">
        <v>6290232454.8999996</v>
      </c>
      <c r="C999" s="17">
        <v>154170328.31999999</v>
      </c>
      <c r="D999" s="17">
        <v>209507105</v>
      </c>
      <c r="E999" s="19">
        <f t="shared" si="330"/>
        <v>6444402783.2199993</v>
      </c>
      <c r="F999" s="19">
        <f t="shared" si="331"/>
        <v>6653909888.2199993</v>
      </c>
      <c r="G999" s="20">
        <f t="shared" si="332"/>
        <v>2.3923136635939368E-2</v>
      </c>
      <c r="H999" s="17">
        <v>2262199</v>
      </c>
      <c r="I999" s="17">
        <v>73305</v>
      </c>
      <c r="J999" s="17">
        <v>20903</v>
      </c>
      <c r="K999" s="19">
        <f t="shared" si="333"/>
        <v>2335504</v>
      </c>
      <c r="L999" s="17">
        <v>29598.001845818901</v>
      </c>
      <c r="M999" s="17">
        <v>19073.188751899001</v>
      </c>
      <c r="N999" s="17">
        <v>10524.8130939199</v>
      </c>
      <c r="O999" s="19">
        <f t="shared" si="334"/>
        <v>2232600.9981541811</v>
      </c>
      <c r="P999" s="21">
        <f t="shared" si="335"/>
        <v>3.549313978714757</v>
      </c>
      <c r="Q999" s="17">
        <v>2017159</v>
      </c>
      <c r="R999" s="17">
        <v>52536</v>
      </c>
      <c r="S999" s="19">
        <f t="shared" si="336"/>
        <v>2069695</v>
      </c>
      <c r="T999" s="20">
        <f t="shared" si="337"/>
        <v>0.01</v>
      </c>
      <c r="U999" s="19">
        <f t="shared" si="338"/>
        <v>20906.010101010103</v>
      </c>
      <c r="V999" s="17">
        <v>20903</v>
      </c>
      <c r="W999" s="19">
        <f t="shared" si="339"/>
        <v>3.0101010101025167</v>
      </c>
      <c r="X999" s="19">
        <f t="shared" si="340"/>
        <v>265809</v>
      </c>
      <c r="Y999" s="17">
        <v>245040</v>
      </c>
      <c r="Z999" s="17">
        <v>20769</v>
      </c>
      <c r="AA999" s="19">
        <f t="shared" si="341"/>
        <v>244906</v>
      </c>
      <c r="AB999" s="17">
        <v>2069695</v>
      </c>
      <c r="AC999" s="27">
        <v>31.4</v>
      </c>
      <c r="AD999" s="27">
        <v>32.156500000000001</v>
      </c>
      <c r="AE999" s="22">
        <f t="shared" si="342"/>
        <v>64363.192511622845</v>
      </c>
      <c r="AF999" s="23">
        <f t="shared" si="343"/>
        <v>0</v>
      </c>
      <c r="AG999" s="23">
        <f t="shared" si="344"/>
        <v>0</v>
      </c>
      <c r="AH999" s="17">
        <v>1679689.6101460501</v>
      </c>
      <c r="AI999" s="24">
        <f t="shared" si="345"/>
        <v>0.81156383435532775</v>
      </c>
      <c r="AJ999" s="25">
        <v>419798175.85253501</v>
      </c>
      <c r="AK999" s="24">
        <f t="shared" si="346"/>
        <v>2.3134390823823507E-2</v>
      </c>
      <c r="AL999" s="22">
        <f t="shared" si="347"/>
        <v>26607.602924111598</v>
      </c>
      <c r="AM999" s="22">
        <f t="shared" si="348"/>
        <v>64363.192511622845</v>
      </c>
      <c r="AN999" s="22">
        <f t="shared" si="349"/>
        <v>-37755.589587511247</v>
      </c>
      <c r="AO999" s="26" t="str">
        <f t="shared" si="350"/>
        <v>YES</v>
      </c>
      <c r="AP999" s="26" t="str">
        <f t="shared" si="351"/>
        <v>pre-launch</v>
      </c>
      <c r="AQ999" s="28">
        <v>98</v>
      </c>
      <c r="AR999" s="28">
        <v>68</v>
      </c>
    </row>
    <row r="1000" spans="1:44" x14ac:dyDescent="0.25">
      <c r="A1000" s="43">
        <v>46061</v>
      </c>
      <c r="B1000" s="17">
        <v>3613387085.9400001</v>
      </c>
      <c r="C1000" s="17">
        <v>268637350.74000001</v>
      </c>
      <c r="D1000" s="17">
        <v>113846302</v>
      </c>
      <c r="E1000" s="19">
        <f t="shared" si="330"/>
        <v>3882024436.6800003</v>
      </c>
      <c r="F1000" s="19">
        <f t="shared" si="331"/>
        <v>3995870738.6800003</v>
      </c>
      <c r="G1000" s="20">
        <f t="shared" si="332"/>
        <v>6.9200324501240154E-2</v>
      </c>
      <c r="H1000" s="17">
        <v>1496368</v>
      </c>
      <c r="I1000" s="17">
        <v>44772</v>
      </c>
      <c r="J1000" s="17">
        <v>13884</v>
      </c>
      <c r="K1000" s="19">
        <f t="shared" si="333"/>
        <v>1541140</v>
      </c>
      <c r="L1000" s="17">
        <v>45871.651295122203</v>
      </c>
      <c r="M1000" s="17">
        <v>25276.9837897527</v>
      </c>
      <c r="N1000" s="17">
        <v>20594.667505369602</v>
      </c>
      <c r="O1000" s="19">
        <f t="shared" si="334"/>
        <v>1450496.3487048778</v>
      </c>
      <c r="P1000" s="21">
        <f t="shared" si="335"/>
        <v>4.0142290715237339</v>
      </c>
      <c r="Q1000" s="17">
        <v>1340164</v>
      </c>
      <c r="R1000" s="17">
        <v>34527</v>
      </c>
      <c r="S1000" s="19">
        <f t="shared" si="336"/>
        <v>1374691</v>
      </c>
      <c r="T1000" s="20">
        <f t="shared" si="337"/>
        <v>0.01</v>
      </c>
      <c r="U1000" s="19">
        <f t="shared" si="338"/>
        <v>13885.767676767677</v>
      </c>
      <c r="V1000" s="17">
        <v>13884</v>
      </c>
      <c r="W1000" s="19">
        <f t="shared" si="339"/>
        <v>1.7676767676766758</v>
      </c>
      <c r="X1000" s="19">
        <f t="shared" si="340"/>
        <v>166449</v>
      </c>
      <c r="Y1000" s="17">
        <v>156204</v>
      </c>
      <c r="Z1000" s="17">
        <v>10245</v>
      </c>
      <c r="AA1000" s="19">
        <f t="shared" si="341"/>
        <v>152565</v>
      </c>
      <c r="AB1000" s="17">
        <v>1374691</v>
      </c>
      <c r="AC1000" s="27">
        <v>32.436</v>
      </c>
      <c r="AD1000" s="27">
        <v>31.840499999999999</v>
      </c>
      <c r="AE1000" s="22">
        <f t="shared" si="342"/>
        <v>43174.290604732967</v>
      </c>
      <c r="AF1000" s="23">
        <f t="shared" si="343"/>
        <v>0</v>
      </c>
      <c r="AG1000" s="23">
        <f t="shared" si="344"/>
        <v>0</v>
      </c>
      <c r="AH1000" s="17">
        <v>1062247.7442019</v>
      </c>
      <c r="AI1000" s="24">
        <f t="shared" si="345"/>
        <v>0.77271746465343849</v>
      </c>
      <c r="AJ1000" s="25">
        <v>419952942.599078</v>
      </c>
      <c r="AK1000" s="24">
        <f t="shared" si="346"/>
        <v>2.3130127531468366E-2</v>
      </c>
      <c r="AL1000" s="22">
        <f t="shared" si="347"/>
        <v>26612.507176800242</v>
      </c>
      <c r="AM1000" s="22">
        <f t="shared" si="348"/>
        <v>43174.290604732967</v>
      </c>
      <c r="AN1000" s="22">
        <f t="shared" si="349"/>
        <v>-16561.783427932725</v>
      </c>
      <c r="AO1000" s="26" t="str">
        <f t="shared" si="350"/>
        <v>YES</v>
      </c>
      <c r="AP1000" s="26" t="str">
        <f t="shared" si="351"/>
        <v>pre-launch</v>
      </c>
      <c r="AQ1000" s="28">
        <v>98</v>
      </c>
      <c r="AR1000" s="28">
        <v>68</v>
      </c>
    </row>
    <row r="1001" spans="1:44" x14ac:dyDescent="0.25">
      <c r="A1001" s="43">
        <v>46062</v>
      </c>
      <c r="B1001" s="17">
        <v>5355649078.9799995</v>
      </c>
      <c r="C1001" s="17">
        <v>1365060008.21</v>
      </c>
      <c r="D1001" s="17">
        <v>153907485</v>
      </c>
      <c r="E1001" s="19">
        <f t="shared" si="330"/>
        <v>6720709087.1899996</v>
      </c>
      <c r="F1001" s="19">
        <f t="shared" si="331"/>
        <v>6874616572.1899996</v>
      </c>
      <c r="G1001" s="20">
        <f t="shared" si="332"/>
        <v>0.2031124975803329</v>
      </c>
      <c r="H1001" s="17">
        <v>2247951</v>
      </c>
      <c r="I1001" s="17">
        <v>59450</v>
      </c>
      <c r="J1001" s="17">
        <v>21115</v>
      </c>
      <c r="K1001" s="19">
        <f t="shared" si="333"/>
        <v>2307401</v>
      </c>
      <c r="L1001" s="17">
        <v>149098.37515822001</v>
      </c>
      <c r="M1001" s="17">
        <v>77522.450336207301</v>
      </c>
      <c r="N1001" s="17">
        <v>71575.924822012807</v>
      </c>
      <c r="O1001" s="19">
        <f t="shared" si="334"/>
        <v>2098852.6248417799</v>
      </c>
      <c r="P1001" s="21">
        <f t="shared" si="335"/>
        <v>3.9189509878072766</v>
      </c>
      <c r="Q1001" s="17">
        <v>2044947</v>
      </c>
      <c r="R1001" s="17">
        <v>45487</v>
      </c>
      <c r="S1001" s="19">
        <f t="shared" si="336"/>
        <v>2090434</v>
      </c>
      <c r="T1001" s="20">
        <f t="shared" si="337"/>
        <v>0.01</v>
      </c>
      <c r="U1001" s="19">
        <f t="shared" si="338"/>
        <v>21115.494949494951</v>
      </c>
      <c r="V1001" s="17">
        <v>21115</v>
      </c>
      <c r="W1001" s="19">
        <f t="shared" si="339"/>
        <v>0.49494949495056062</v>
      </c>
      <c r="X1001" s="19">
        <f t="shared" si="340"/>
        <v>216967</v>
      </c>
      <c r="Y1001" s="17">
        <v>203004</v>
      </c>
      <c r="Z1001" s="17">
        <v>13963</v>
      </c>
      <c r="AA1001" s="19">
        <f t="shared" si="341"/>
        <v>195852</v>
      </c>
      <c r="AB1001" s="17">
        <v>2090434</v>
      </c>
      <c r="AC1001" s="27">
        <v>31.338999999999999</v>
      </c>
      <c r="AD1001" s="27">
        <v>32.052750000000003</v>
      </c>
      <c r="AE1001" s="22">
        <f t="shared" si="342"/>
        <v>65218.553790236401</v>
      </c>
      <c r="AF1001" s="23">
        <f t="shared" si="343"/>
        <v>0</v>
      </c>
      <c r="AG1001" s="23">
        <f t="shared" si="344"/>
        <v>0</v>
      </c>
      <c r="AH1001" s="17">
        <v>1674643.8469131</v>
      </c>
      <c r="AI1001" s="24">
        <f t="shared" si="345"/>
        <v>0.80109864598121727</v>
      </c>
      <c r="AJ1001" s="25">
        <v>420107709.345622</v>
      </c>
      <c r="AK1001" s="24">
        <f t="shared" si="346"/>
        <v>2.3125866595211375E-2</v>
      </c>
      <c r="AL1001" s="22">
        <f t="shared" si="347"/>
        <v>26617.41052588134</v>
      </c>
      <c r="AM1001" s="22">
        <f t="shared" si="348"/>
        <v>65218.553790236401</v>
      </c>
      <c r="AN1001" s="22">
        <f t="shared" si="349"/>
        <v>-38601.143264355065</v>
      </c>
      <c r="AO1001" s="26" t="str">
        <f t="shared" si="350"/>
        <v>YES</v>
      </c>
      <c r="AP1001" s="26" t="str">
        <f t="shared" si="351"/>
        <v>pre-launch</v>
      </c>
      <c r="AQ1001" s="28">
        <v>98</v>
      </c>
      <c r="AR1001" s="28">
        <v>68</v>
      </c>
    </row>
    <row r="1002" spans="1:44" x14ac:dyDescent="0.25">
      <c r="A1002" s="43">
        <v>46063</v>
      </c>
      <c r="B1002" s="17">
        <v>4890772662.8599997</v>
      </c>
      <c r="C1002" s="17">
        <v>1121940128.05</v>
      </c>
      <c r="D1002" s="17">
        <v>161284369</v>
      </c>
      <c r="E1002" s="19">
        <f t="shared" si="330"/>
        <v>6012712790.9099998</v>
      </c>
      <c r="F1002" s="19">
        <f t="shared" si="331"/>
        <v>6173997159.9099998</v>
      </c>
      <c r="G1002" s="20">
        <f t="shared" si="332"/>
        <v>0.18659466484847662</v>
      </c>
      <c r="H1002" s="17">
        <v>1920792</v>
      </c>
      <c r="I1002" s="17">
        <v>64530</v>
      </c>
      <c r="J1002" s="17">
        <v>18176</v>
      </c>
      <c r="K1002" s="19">
        <f t="shared" si="333"/>
        <v>1985322</v>
      </c>
      <c r="L1002" s="17">
        <v>104887.46140436501</v>
      </c>
      <c r="M1002" s="17">
        <v>54980.464366401502</v>
      </c>
      <c r="N1002" s="17">
        <v>49906.997037962901</v>
      </c>
      <c r="O1002" s="19">
        <f t="shared" si="334"/>
        <v>1815904.538595635</v>
      </c>
      <c r="P1002" s="21">
        <f t="shared" si="335"/>
        <v>3.7129195400665793</v>
      </c>
      <c r="Q1002" s="17">
        <v>1750785</v>
      </c>
      <c r="R1002" s="17">
        <v>48654</v>
      </c>
      <c r="S1002" s="19">
        <f t="shared" si="336"/>
        <v>1799439</v>
      </c>
      <c r="T1002" s="20">
        <f t="shared" si="337"/>
        <v>0.01</v>
      </c>
      <c r="U1002" s="19">
        <f t="shared" si="338"/>
        <v>18176.151515151516</v>
      </c>
      <c r="V1002" s="17">
        <v>18176</v>
      </c>
      <c r="W1002" s="19">
        <f t="shared" si="339"/>
        <v>0.15151515151592321</v>
      </c>
      <c r="X1002" s="19">
        <f t="shared" si="340"/>
        <v>185883</v>
      </c>
      <c r="Y1002" s="17">
        <v>170007</v>
      </c>
      <c r="Z1002" s="17">
        <v>15876</v>
      </c>
      <c r="AA1002" s="19">
        <f t="shared" si="341"/>
        <v>167707</v>
      </c>
      <c r="AB1002" s="17">
        <v>1799439</v>
      </c>
      <c r="AC1002" s="27">
        <v>28.827000000000002</v>
      </c>
      <c r="AD1002" s="27">
        <v>30.114249999999998</v>
      </c>
      <c r="AE1002" s="22">
        <f t="shared" si="342"/>
        <v>59753.737848360826</v>
      </c>
      <c r="AF1002" s="23">
        <f t="shared" si="343"/>
        <v>0</v>
      </c>
      <c r="AG1002" s="23">
        <f t="shared" si="344"/>
        <v>0</v>
      </c>
      <c r="AH1002" s="17">
        <v>1413787.7178199301</v>
      </c>
      <c r="AI1002" s="24">
        <f t="shared" si="345"/>
        <v>0.78568249205442919</v>
      </c>
      <c r="AJ1002" s="25">
        <v>420262476.09216601</v>
      </c>
      <c r="AK1002" s="24">
        <f t="shared" si="346"/>
        <v>2.3121608012883196E-2</v>
      </c>
      <c r="AL1002" s="22">
        <f t="shared" si="347"/>
        <v>26622.312971854135</v>
      </c>
      <c r="AM1002" s="22">
        <f t="shared" si="348"/>
        <v>59753.737848360826</v>
      </c>
      <c r="AN1002" s="22">
        <f t="shared" si="349"/>
        <v>-33131.424876506688</v>
      </c>
      <c r="AO1002" s="26" t="str">
        <f t="shared" si="350"/>
        <v>YES</v>
      </c>
      <c r="AP1002" s="26" t="str">
        <f t="shared" si="351"/>
        <v>pre-launch</v>
      </c>
      <c r="AQ1002" s="28">
        <v>98</v>
      </c>
      <c r="AR1002" s="28">
        <v>68</v>
      </c>
    </row>
    <row r="1003" spans="1:44" x14ac:dyDescent="0.25">
      <c r="A1003" s="43">
        <v>46064</v>
      </c>
      <c r="B1003" s="17">
        <v>6073821007.1499996</v>
      </c>
      <c r="C1003" s="17">
        <v>1378309412.1900001</v>
      </c>
      <c r="D1003" s="17">
        <v>173284691</v>
      </c>
      <c r="E1003" s="19">
        <f t="shared" si="330"/>
        <v>7452130419.3400002</v>
      </c>
      <c r="F1003" s="19">
        <f t="shared" si="331"/>
        <v>7625415110.3400002</v>
      </c>
      <c r="G1003" s="20">
        <f t="shared" si="332"/>
        <v>0.18495508460412458</v>
      </c>
      <c r="H1003" s="17">
        <v>2498638</v>
      </c>
      <c r="I1003" s="17">
        <v>74916</v>
      </c>
      <c r="J1003" s="17">
        <v>23529</v>
      </c>
      <c r="K1003" s="19">
        <f t="shared" si="333"/>
        <v>2573554</v>
      </c>
      <c r="L1003" s="17">
        <v>142897.265921568</v>
      </c>
      <c r="M1003" s="17">
        <v>76714.730044953496</v>
      </c>
      <c r="N1003" s="17">
        <v>66182.535876614304</v>
      </c>
      <c r="O1003" s="19">
        <f t="shared" si="334"/>
        <v>2355740.734078432</v>
      </c>
      <c r="P1003" s="21">
        <f t="shared" si="335"/>
        <v>3.87851523992112</v>
      </c>
      <c r="Q1003" s="17">
        <v>2271814</v>
      </c>
      <c r="R1003" s="17">
        <v>57516</v>
      </c>
      <c r="S1003" s="19">
        <f t="shared" si="336"/>
        <v>2329330</v>
      </c>
      <c r="T1003" s="20">
        <f t="shared" si="337"/>
        <v>0.01</v>
      </c>
      <c r="U1003" s="19">
        <f t="shared" si="338"/>
        <v>23528.585858585859</v>
      </c>
      <c r="V1003" s="17">
        <v>23529</v>
      </c>
      <c r="W1003" s="19">
        <f t="shared" si="339"/>
        <v>-0.41414141414134065</v>
      </c>
      <c r="X1003" s="19">
        <f t="shared" si="340"/>
        <v>244225</v>
      </c>
      <c r="Y1003" s="17">
        <v>226825</v>
      </c>
      <c r="Z1003" s="17">
        <v>17400</v>
      </c>
      <c r="AA1003" s="19">
        <f t="shared" si="341"/>
        <v>220696</v>
      </c>
      <c r="AB1003" s="17">
        <v>2329330</v>
      </c>
      <c r="AC1003" s="27">
        <v>29.390999999999998</v>
      </c>
      <c r="AD1003" s="27">
        <v>29.179749999999999</v>
      </c>
      <c r="AE1003" s="22">
        <f t="shared" si="342"/>
        <v>79826.934774972367</v>
      </c>
      <c r="AF1003" s="23">
        <f t="shared" si="343"/>
        <v>-1</v>
      </c>
      <c r="AG1003" s="23">
        <f t="shared" si="344"/>
        <v>0</v>
      </c>
      <c r="AH1003" s="17">
        <v>1791958.0129690201</v>
      </c>
      <c r="AI1003" s="24">
        <f t="shared" si="345"/>
        <v>0.76930190783144514</v>
      </c>
      <c r="AJ1003" s="25">
        <v>420417242.83871001</v>
      </c>
      <c r="AK1003" s="24">
        <f t="shared" si="346"/>
        <v>2.3117351782317282E-2</v>
      </c>
      <c r="AL1003" s="22">
        <f t="shared" si="347"/>
        <v>26627.214515217456</v>
      </c>
      <c r="AM1003" s="22">
        <f t="shared" si="348"/>
        <v>79826.934774972367</v>
      </c>
      <c r="AN1003" s="22">
        <f t="shared" si="349"/>
        <v>-53199.720259754911</v>
      </c>
      <c r="AO1003" s="26" t="str">
        <f t="shared" si="350"/>
        <v>YES</v>
      </c>
      <c r="AP1003" s="26" t="str">
        <f t="shared" si="351"/>
        <v>pre-launch</v>
      </c>
      <c r="AQ1003" s="28">
        <v>99</v>
      </c>
      <c r="AR1003" s="28">
        <v>69</v>
      </c>
    </row>
    <row r="1004" spans="1:44" x14ac:dyDescent="0.25">
      <c r="A1004" s="43">
        <v>46065</v>
      </c>
      <c r="B1004" s="17">
        <v>4959760947.3400002</v>
      </c>
      <c r="C1004" s="17">
        <v>1817533711.4300001</v>
      </c>
      <c r="D1004" s="17">
        <v>135631971</v>
      </c>
      <c r="E1004" s="19">
        <f t="shared" si="330"/>
        <v>6777294658.7700005</v>
      </c>
      <c r="F1004" s="19">
        <f t="shared" si="331"/>
        <v>6912926629.7700005</v>
      </c>
      <c r="G1004" s="20">
        <f t="shared" si="332"/>
        <v>0.26817982734129214</v>
      </c>
      <c r="H1004" s="17">
        <v>1931543</v>
      </c>
      <c r="I1004" s="17">
        <v>57119</v>
      </c>
      <c r="J1004" s="17">
        <v>18346</v>
      </c>
      <c r="K1004" s="19">
        <f t="shared" si="333"/>
        <v>1988662</v>
      </c>
      <c r="L1004" s="17">
        <v>165759.56917375399</v>
      </c>
      <c r="M1004" s="17">
        <v>88077.623917809993</v>
      </c>
      <c r="N1004" s="17">
        <v>77681.945255943705</v>
      </c>
      <c r="O1004" s="19">
        <f t="shared" si="334"/>
        <v>1765783.430826246</v>
      </c>
      <c r="P1004" s="21">
        <f t="shared" si="335"/>
        <v>3.560218828234583</v>
      </c>
      <c r="Q1004" s="17">
        <v>1770788</v>
      </c>
      <c r="R1004" s="17">
        <v>45473</v>
      </c>
      <c r="S1004" s="19">
        <f t="shared" si="336"/>
        <v>1816261</v>
      </c>
      <c r="T1004" s="20">
        <f t="shared" si="337"/>
        <v>0.01</v>
      </c>
      <c r="U1004" s="19">
        <f t="shared" si="338"/>
        <v>18346.070707070707</v>
      </c>
      <c r="V1004" s="17">
        <v>18346</v>
      </c>
      <c r="W1004" s="19">
        <f t="shared" si="339"/>
        <v>7.0707070706703234E-2</v>
      </c>
      <c r="X1004" s="19">
        <f t="shared" si="340"/>
        <v>172399</v>
      </c>
      <c r="Y1004" s="17">
        <v>160754</v>
      </c>
      <c r="Z1004" s="17">
        <v>11645</v>
      </c>
      <c r="AA1004" s="19">
        <f t="shared" si="341"/>
        <v>154053</v>
      </c>
      <c r="AB1004" s="17">
        <v>1816261</v>
      </c>
      <c r="AC1004" s="27">
        <v>31.085000000000001</v>
      </c>
      <c r="AD1004" s="27">
        <v>30.390750000000001</v>
      </c>
      <c r="AE1004" s="22">
        <f t="shared" si="342"/>
        <v>59763.612283342794</v>
      </c>
      <c r="AF1004" s="23">
        <f t="shared" si="343"/>
        <v>2</v>
      </c>
      <c r="AG1004" s="23">
        <f t="shared" si="344"/>
        <v>0</v>
      </c>
      <c r="AH1004" s="17">
        <v>1518053.97176206</v>
      </c>
      <c r="AI1004" s="24">
        <f t="shared" si="345"/>
        <v>0.83581267877362342</v>
      </c>
      <c r="AJ1004" s="25">
        <v>420572009.58525401</v>
      </c>
      <c r="AK1004" s="24">
        <f t="shared" si="346"/>
        <v>2.3113097901349858E-2</v>
      </c>
      <c r="AL1004" s="22">
        <f t="shared" si="347"/>
        <v>26632.115156469663</v>
      </c>
      <c r="AM1004" s="22">
        <f t="shared" si="348"/>
        <v>59763.612283342794</v>
      </c>
      <c r="AN1004" s="22">
        <f t="shared" si="349"/>
        <v>-33131.497126873131</v>
      </c>
      <c r="AO1004" s="26" t="str">
        <f t="shared" si="350"/>
        <v>YES</v>
      </c>
      <c r="AP1004" s="26" t="str">
        <f t="shared" si="351"/>
        <v>pre-launch</v>
      </c>
      <c r="AQ1004" s="28">
        <v>99</v>
      </c>
      <c r="AR1004" s="28">
        <v>69</v>
      </c>
    </row>
    <row r="1005" spans="1:44" x14ac:dyDescent="0.25">
      <c r="A1005" s="43">
        <v>46066</v>
      </c>
      <c r="B1005" s="17">
        <v>4176929200.79</v>
      </c>
      <c r="C1005" s="17">
        <v>1457985348.8399999</v>
      </c>
      <c r="D1005" s="17">
        <v>120931518</v>
      </c>
      <c r="E1005" s="19">
        <f t="shared" si="330"/>
        <v>5634914549.6300001</v>
      </c>
      <c r="F1005" s="19">
        <f t="shared" si="331"/>
        <v>5755846067.6300001</v>
      </c>
      <c r="G1005" s="20">
        <f t="shared" si="332"/>
        <v>0.25874134132801252</v>
      </c>
      <c r="H1005" s="17">
        <v>1725142</v>
      </c>
      <c r="I1005" s="17">
        <v>51109</v>
      </c>
      <c r="J1005" s="17">
        <v>16113</v>
      </c>
      <c r="K1005" s="19">
        <f t="shared" si="333"/>
        <v>1776251</v>
      </c>
      <c r="L1005" s="17">
        <v>120908.235058479</v>
      </c>
      <c r="M1005" s="17">
        <v>64363.475959413197</v>
      </c>
      <c r="N1005" s="17">
        <v>56544.759099065603</v>
      </c>
      <c r="O1005" s="19">
        <f t="shared" si="334"/>
        <v>1604233.764941521</v>
      </c>
      <c r="P1005" s="21">
        <f t="shared" si="335"/>
        <v>3.840701356963641</v>
      </c>
      <c r="Q1005" s="17">
        <v>1556306</v>
      </c>
      <c r="R1005" s="17">
        <v>38899</v>
      </c>
      <c r="S1005" s="19">
        <f t="shared" si="336"/>
        <v>1595205</v>
      </c>
      <c r="T1005" s="20">
        <f t="shared" si="337"/>
        <v>0.01</v>
      </c>
      <c r="U1005" s="19">
        <f t="shared" si="338"/>
        <v>16113.18181818182</v>
      </c>
      <c r="V1005" s="17">
        <v>16113</v>
      </c>
      <c r="W1005" s="19">
        <f t="shared" si="339"/>
        <v>0.18181818181983544</v>
      </c>
      <c r="X1005" s="19">
        <f t="shared" si="340"/>
        <v>181046</v>
      </c>
      <c r="Y1005" s="17">
        <v>168836</v>
      </c>
      <c r="Z1005" s="17">
        <v>12210</v>
      </c>
      <c r="AA1005" s="19">
        <f t="shared" si="341"/>
        <v>164933</v>
      </c>
      <c r="AB1005" s="17">
        <v>1595205</v>
      </c>
      <c r="AC1005" s="27">
        <v>31.562999999999999</v>
      </c>
      <c r="AD1005" s="27">
        <v>31.236249999999998</v>
      </c>
      <c r="AE1005" s="22">
        <f t="shared" si="342"/>
        <v>51069.03037336428</v>
      </c>
      <c r="AF1005" s="23">
        <f t="shared" si="343"/>
        <v>0</v>
      </c>
      <c r="AG1005" s="23">
        <f t="shared" si="344"/>
        <v>0</v>
      </c>
      <c r="AH1005" s="17">
        <v>1268161.83659399</v>
      </c>
      <c r="AI1005" s="24">
        <f t="shared" si="345"/>
        <v>0.7949836143906206</v>
      </c>
      <c r="AJ1005" s="25">
        <v>420726776.331797</v>
      </c>
      <c r="AK1005" s="24">
        <f t="shared" si="346"/>
        <v>2.3108846367819978E-2</v>
      </c>
      <c r="AL1005" s="22">
        <f t="shared" si="347"/>
        <v>26637.014896108645</v>
      </c>
      <c r="AM1005" s="22">
        <f t="shared" si="348"/>
        <v>51069.03037336428</v>
      </c>
      <c r="AN1005" s="22">
        <f t="shared" si="349"/>
        <v>-24432.015477255634</v>
      </c>
      <c r="AO1005" s="26" t="str">
        <f t="shared" si="350"/>
        <v>YES</v>
      </c>
      <c r="AP1005" s="26" t="str">
        <f t="shared" si="351"/>
        <v>pre-launch</v>
      </c>
      <c r="AQ1005" s="28">
        <v>99</v>
      </c>
      <c r="AR1005" s="28">
        <v>69</v>
      </c>
    </row>
    <row r="1006" spans="1:44" x14ac:dyDescent="0.25">
      <c r="A1006" s="43">
        <v>46067</v>
      </c>
      <c r="B1006" s="17">
        <v>2558509697.5100002</v>
      </c>
      <c r="C1006" s="17">
        <v>110989746.98999999</v>
      </c>
      <c r="D1006" s="17">
        <v>57585932</v>
      </c>
      <c r="E1006" s="19">
        <f t="shared" si="330"/>
        <v>2669499444.5</v>
      </c>
      <c r="F1006" s="19">
        <f t="shared" si="331"/>
        <v>2727085376.5</v>
      </c>
      <c r="G1006" s="20">
        <f t="shared" si="332"/>
        <v>4.1576988232259582E-2</v>
      </c>
      <c r="H1006" s="17">
        <v>1026385</v>
      </c>
      <c r="I1006" s="17">
        <v>26581</v>
      </c>
      <c r="J1006" s="17">
        <v>9513</v>
      </c>
      <c r="K1006" s="19">
        <f t="shared" si="333"/>
        <v>1052966</v>
      </c>
      <c r="L1006" s="17">
        <v>16101.582219960301</v>
      </c>
      <c r="M1006" s="17">
        <v>10218.3611393437</v>
      </c>
      <c r="N1006" s="17">
        <v>5883.2210806166904</v>
      </c>
      <c r="O1006" s="19">
        <f t="shared" si="334"/>
        <v>1010283.4177800397</v>
      </c>
      <c r="P1006" s="21">
        <f t="shared" si="335"/>
        <v>3.9487183447585541</v>
      </c>
      <c r="Q1006" s="17">
        <v>920742</v>
      </c>
      <c r="R1006" s="17">
        <v>21045</v>
      </c>
      <c r="S1006" s="19">
        <f t="shared" si="336"/>
        <v>941787</v>
      </c>
      <c r="T1006" s="20">
        <f t="shared" si="337"/>
        <v>0.01</v>
      </c>
      <c r="U1006" s="19">
        <f t="shared" si="338"/>
        <v>9513</v>
      </c>
      <c r="V1006" s="17">
        <v>9513</v>
      </c>
      <c r="W1006" s="19">
        <f t="shared" si="339"/>
        <v>0</v>
      </c>
      <c r="X1006" s="19">
        <f t="shared" si="340"/>
        <v>111178</v>
      </c>
      <c r="Y1006" s="17">
        <v>105642</v>
      </c>
      <c r="Z1006" s="17">
        <v>5536</v>
      </c>
      <c r="AA1006" s="19">
        <f t="shared" si="341"/>
        <v>101665</v>
      </c>
      <c r="AB1006" s="17">
        <v>941787</v>
      </c>
      <c r="AC1006" s="27">
        <v>31.829000000000001</v>
      </c>
      <c r="AD1006" s="27">
        <v>31.607250000000001</v>
      </c>
      <c r="AE1006" s="22">
        <f t="shared" si="342"/>
        <v>29796.549842203924</v>
      </c>
      <c r="AF1006" s="23">
        <f t="shared" si="343"/>
        <v>1</v>
      </c>
      <c r="AG1006" s="23">
        <f t="shared" si="344"/>
        <v>0</v>
      </c>
      <c r="AH1006" s="17">
        <v>759731.62082302605</v>
      </c>
      <c r="AI1006" s="24">
        <f t="shared" si="345"/>
        <v>0.80669155639547585</v>
      </c>
      <c r="AJ1006" s="25">
        <v>420881543.07834101</v>
      </c>
      <c r="AK1006" s="24">
        <f t="shared" si="346"/>
        <v>2.3104597179569374E-2</v>
      </c>
      <c r="AL1006" s="22">
        <f t="shared" si="347"/>
        <v>26641.9137346319</v>
      </c>
      <c r="AM1006" s="22">
        <f t="shared" si="348"/>
        <v>29796.549842203924</v>
      </c>
      <c r="AN1006" s="22">
        <f t="shared" si="349"/>
        <v>-3154.6361075720233</v>
      </c>
      <c r="AO1006" s="26" t="str">
        <f t="shared" si="350"/>
        <v>YES</v>
      </c>
      <c r="AP1006" s="26" t="str">
        <f t="shared" si="351"/>
        <v>pre-launch</v>
      </c>
      <c r="AQ1006" s="28">
        <v>99</v>
      </c>
      <c r="AR1006" s="28">
        <v>69</v>
      </c>
    </row>
    <row r="1007" spans="1:44" x14ac:dyDescent="0.25">
      <c r="A1007" s="43">
        <v>46068</v>
      </c>
      <c r="B1007" s="17">
        <v>3378583385.4200001</v>
      </c>
      <c r="C1007" s="17">
        <v>261444231.63</v>
      </c>
      <c r="D1007" s="17">
        <v>64873396</v>
      </c>
      <c r="E1007" s="19">
        <f t="shared" si="330"/>
        <v>3640027617.0500002</v>
      </c>
      <c r="F1007" s="19">
        <f t="shared" si="331"/>
        <v>3704901013.0500002</v>
      </c>
      <c r="G1007" s="20">
        <f t="shared" si="332"/>
        <v>7.1824793417881574E-2</v>
      </c>
      <c r="H1007" s="17">
        <v>1381259</v>
      </c>
      <c r="I1007" s="17">
        <v>28320</v>
      </c>
      <c r="J1007" s="17">
        <v>12746</v>
      </c>
      <c r="K1007" s="19">
        <f t="shared" si="333"/>
        <v>1409579</v>
      </c>
      <c r="L1007" s="17">
        <v>35468.148996154399</v>
      </c>
      <c r="M1007" s="17">
        <v>21040.726888983201</v>
      </c>
      <c r="N1007" s="17">
        <v>14427.4221071712</v>
      </c>
      <c r="O1007" s="19">
        <f t="shared" si="334"/>
        <v>1345790.8510038457</v>
      </c>
      <c r="P1007" s="21">
        <f t="shared" si="335"/>
        <v>3.98329920407321</v>
      </c>
      <c r="Q1007" s="17">
        <v>1240226</v>
      </c>
      <c r="R1007" s="17">
        <v>21614</v>
      </c>
      <c r="S1007" s="19">
        <f t="shared" si="336"/>
        <v>1261840</v>
      </c>
      <c r="T1007" s="20">
        <f t="shared" si="337"/>
        <v>0.01</v>
      </c>
      <c r="U1007" s="19">
        <f t="shared" si="338"/>
        <v>12745.858585858585</v>
      </c>
      <c r="V1007" s="17">
        <v>12746</v>
      </c>
      <c r="W1007" s="19">
        <f t="shared" si="339"/>
        <v>-0.14141414141522546</v>
      </c>
      <c r="X1007" s="19">
        <f t="shared" si="340"/>
        <v>147740</v>
      </c>
      <c r="Y1007" s="17">
        <v>141033</v>
      </c>
      <c r="Z1007" s="17">
        <v>6707</v>
      </c>
      <c r="AA1007" s="19">
        <f t="shared" si="341"/>
        <v>134994</v>
      </c>
      <c r="AB1007" s="17">
        <v>1261840</v>
      </c>
      <c r="AC1007" s="27">
        <v>30.701000000000001</v>
      </c>
      <c r="AD1007" s="27">
        <v>31.205749999999998</v>
      </c>
      <c r="AE1007" s="22">
        <f t="shared" si="342"/>
        <v>40436.137570800252</v>
      </c>
      <c r="AF1007" s="23">
        <f t="shared" si="343"/>
        <v>-1</v>
      </c>
      <c r="AG1007" s="23">
        <f t="shared" si="344"/>
        <v>0</v>
      </c>
      <c r="AH1007" s="17">
        <v>1008458.9942309899</v>
      </c>
      <c r="AI1007" s="24">
        <f t="shared" si="345"/>
        <v>0.79919719951102353</v>
      </c>
      <c r="AJ1007" s="25">
        <v>421036309.82488501</v>
      </c>
      <c r="AK1007" s="24">
        <f t="shared" si="346"/>
        <v>2.310035033444266E-2</v>
      </c>
      <c r="AL1007" s="22">
        <f t="shared" si="347"/>
        <v>26646.811672536402</v>
      </c>
      <c r="AM1007" s="22">
        <f t="shared" si="348"/>
        <v>40436.137570800252</v>
      </c>
      <c r="AN1007" s="22">
        <f t="shared" si="349"/>
        <v>-13789.325898263851</v>
      </c>
      <c r="AO1007" s="26" t="str">
        <f t="shared" si="350"/>
        <v>YES</v>
      </c>
      <c r="AP1007" s="26" t="str">
        <f t="shared" si="351"/>
        <v>pre-launch</v>
      </c>
      <c r="AQ1007" s="28">
        <v>99</v>
      </c>
      <c r="AR1007" s="28">
        <v>69</v>
      </c>
    </row>
    <row r="1008" spans="1:44" x14ac:dyDescent="0.25">
      <c r="A1008" s="43">
        <v>46069</v>
      </c>
      <c r="B1008" s="17">
        <v>3258245724.3800001</v>
      </c>
      <c r="C1008" s="17">
        <v>440376955.43000001</v>
      </c>
      <c r="D1008" s="17">
        <v>69678119</v>
      </c>
      <c r="E1008" s="19">
        <f t="shared" si="330"/>
        <v>3698622679.8099999</v>
      </c>
      <c r="F1008" s="19">
        <f t="shared" si="331"/>
        <v>3768300798.8099999</v>
      </c>
      <c r="G1008" s="20">
        <f t="shared" si="332"/>
        <v>0.11906512060122401</v>
      </c>
      <c r="H1008" s="17">
        <v>1279554</v>
      </c>
      <c r="I1008" s="17">
        <v>32589</v>
      </c>
      <c r="J1008" s="17">
        <v>11945</v>
      </c>
      <c r="K1008" s="19">
        <f t="shared" si="333"/>
        <v>1312143</v>
      </c>
      <c r="L1008" s="17">
        <v>48252.078507412698</v>
      </c>
      <c r="M1008" s="17">
        <v>26174.1191204805</v>
      </c>
      <c r="N1008" s="17">
        <v>22077.959386932202</v>
      </c>
      <c r="O1008" s="19">
        <f t="shared" si="334"/>
        <v>1231301.9214925873</v>
      </c>
      <c r="P1008" s="21">
        <f t="shared" si="335"/>
        <v>3.7790333377231313</v>
      </c>
      <c r="Q1008" s="17">
        <v>1158303</v>
      </c>
      <c r="R1008" s="17">
        <v>24203</v>
      </c>
      <c r="S1008" s="19">
        <f t="shared" si="336"/>
        <v>1182506</v>
      </c>
      <c r="T1008" s="20">
        <f t="shared" si="337"/>
        <v>0.01</v>
      </c>
      <c r="U1008" s="19">
        <f t="shared" si="338"/>
        <v>11944.505050505049</v>
      </c>
      <c r="V1008" s="17">
        <v>11945</v>
      </c>
      <c r="W1008" s="19">
        <f t="shared" si="339"/>
        <v>-0.49494949495056062</v>
      </c>
      <c r="X1008" s="19">
        <f t="shared" si="340"/>
        <v>129635</v>
      </c>
      <c r="Y1008" s="17">
        <v>121250</v>
      </c>
      <c r="Z1008" s="17">
        <v>8385</v>
      </c>
      <c r="AA1008" s="19">
        <f t="shared" si="341"/>
        <v>117690</v>
      </c>
      <c r="AB1008" s="17">
        <v>1182506</v>
      </c>
      <c r="AC1008" s="27">
        <v>31.202999999999999</v>
      </c>
      <c r="AD1008" s="27">
        <v>30.665749999999999</v>
      </c>
      <c r="AE1008" s="22">
        <f t="shared" si="342"/>
        <v>38561.130903369398</v>
      </c>
      <c r="AF1008" s="23">
        <f t="shared" si="343"/>
        <v>2</v>
      </c>
      <c r="AG1008" s="23">
        <f t="shared" si="344"/>
        <v>0</v>
      </c>
      <c r="AH1008" s="17">
        <v>972778.93717300904</v>
      </c>
      <c r="AI1008" s="24">
        <f t="shared" si="345"/>
        <v>0.82264186158295094</v>
      </c>
      <c r="AJ1008" s="25">
        <v>421191076.57142901</v>
      </c>
      <c r="AK1008" s="24">
        <f t="shared" si="346"/>
        <v>2.3096105830287181E-2</v>
      </c>
      <c r="AL1008" s="22">
        <f t="shared" si="347"/>
        <v>26651.708710318675</v>
      </c>
      <c r="AM1008" s="22">
        <f t="shared" si="348"/>
        <v>38561.130903369398</v>
      </c>
      <c r="AN1008" s="22">
        <f t="shared" si="349"/>
        <v>-11909.422193050723</v>
      </c>
      <c r="AO1008" s="26" t="str">
        <f t="shared" si="350"/>
        <v>YES</v>
      </c>
      <c r="AP1008" s="26" t="str">
        <f t="shared" si="351"/>
        <v>pre-launch</v>
      </c>
      <c r="AQ1008" s="28">
        <v>99</v>
      </c>
      <c r="AR1008" s="28">
        <v>69</v>
      </c>
    </row>
    <row r="1009" spans="1:44" x14ac:dyDescent="0.25">
      <c r="A1009" s="43">
        <v>46070</v>
      </c>
      <c r="B1009" s="17">
        <v>4233647628.23</v>
      </c>
      <c r="C1009" s="17">
        <v>1356915465.98</v>
      </c>
      <c r="D1009" s="17">
        <v>90934681</v>
      </c>
      <c r="E1009" s="19">
        <f t="shared" si="330"/>
        <v>5590563094.21</v>
      </c>
      <c r="F1009" s="19">
        <f t="shared" si="331"/>
        <v>5681497775.21</v>
      </c>
      <c r="G1009" s="20">
        <f t="shared" si="332"/>
        <v>0.24271534783058291</v>
      </c>
      <c r="H1009" s="17">
        <v>1670170</v>
      </c>
      <c r="I1009" s="17">
        <v>41760</v>
      </c>
      <c r="J1009" s="17">
        <v>15780</v>
      </c>
      <c r="K1009" s="19">
        <f t="shared" si="333"/>
        <v>1711930</v>
      </c>
      <c r="L1009" s="17">
        <v>135258.96300319501</v>
      </c>
      <c r="M1009" s="17">
        <v>70482.456522920795</v>
      </c>
      <c r="N1009" s="17">
        <v>64776.506480274402</v>
      </c>
      <c r="O1009" s="19">
        <f t="shared" si="334"/>
        <v>1534911.0369968051</v>
      </c>
      <c r="P1009" s="21">
        <f t="shared" si="335"/>
        <v>3.6255049351816733</v>
      </c>
      <c r="Q1009" s="17">
        <v>1530265</v>
      </c>
      <c r="R1009" s="17">
        <v>31978</v>
      </c>
      <c r="S1009" s="19">
        <f t="shared" si="336"/>
        <v>1562243</v>
      </c>
      <c r="T1009" s="20">
        <f t="shared" si="337"/>
        <v>0.01</v>
      </c>
      <c r="U1009" s="19">
        <f t="shared" si="338"/>
        <v>15780.232323232323</v>
      </c>
      <c r="V1009" s="17">
        <v>15780</v>
      </c>
      <c r="W1009" s="19">
        <f t="shared" si="339"/>
        <v>0.23232323232332419</v>
      </c>
      <c r="X1009" s="19">
        <f t="shared" si="340"/>
        <v>149687</v>
      </c>
      <c r="Y1009" s="17">
        <v>139905</v>
      </c>
      <c r="Z1009" s="17">
        <v>9782</v>
      </c>
      <c r="AA1009" s="19">
        <f t="shared" si="341"/>
        <v>133907</v>
      </c>
      <c r="AB1009" s="17">
        <v>1562243</v>
      </c>
      <c r="AC1009" s="27">
        <v>29.5</v>
      </c>
      <c r="AD1009" s="27">
        <v>30.27525</v>
      </c>
      <c r="AE1009" s="22">
        <f t="shared" si="342"/>
        <v>51601.324514248437</v>
      </c>
      <c r="AF1009" s="23">
        <f t="shared" si="343"/>
        <v>0</v>
      </c>
      <c r="AG1009" s="23">
        <f t="shared" si="344"/>
        <v>0</v>
      </c>
      <c r="AH1009" s="17">
        <v>1306893.00433898</v>
      </c>
      <c r="AI1009" s="24">
        <f t="shared" si="345"/>
        <v>0.83654911837593759</v>
      </c>
      <c r="AJ1009" s="25">
        <v>421345843.317972</v>
      </c>
      <c r="AK1009" s="24">
        <f t="shared" si="346"/>
        <v>2.3091863664953086E-2</v>
      </c>
      <c r="AL1009" s="22">
        <f t="shared" si="347"/>
        <v>26656.604848474781</v>
      </c>
      <c r="AM1009" s="22">
        <f t="shared" si="348"/>
        <v>51601.324514248437</v>
      </c>
      <c r="AN1009" s="22">
        <f t="shared" si="349"/>
        <v>-24944.719665773657</v>
      </c>
      <c r="AO1009" s="26" t="str">
        <f t="shared" si="350"/>
        <v>YES</v>
      </c>
      <c r="AP1009" s="26" t="str">
        <f t="shared" si="351"/>
        <v>pre-launch</v>
      </c>
      <c r="AQ1009" s="28">
        <v>99</v>
      </c>
      <c r="AR1009" s="28">
        <v>69</v>
      </c>
    </row>
    <row r="1010" spans="1:44" x14ac:dyDescent="0.25">
      <c r="A1010" s="43">
        <v>46071</v>
      </c>
      <c r="B1010" s="17">
        <v>3949344180.8800001</v>
      </c>
      <c r="C1010" s="17">
        <v>864856258.45000005</v>
      </c>
      <c r="D1010" s="17">
        <v>81402606</v>
      </c>
      <c r="E1010" s="19">
        <f t="shared" si="330"/>
        <v>4814200439.3299999</v>
      </c>
      <c r="F1010" s="19">
        <f t="shared" si="331"/>
        <v>4895603045.3299999</v>
      </c>
      <c r="G1010" s="20">
        <f t="shared" si="332"/>
        <v>0.17964691527683121</v>
      </c>
      <c r="H1010" s="17">
        <v>1588766</v>
      </c>
      <c r="I1010" s="17">
        <v>38248</v>
      </c>
      <c r="J1010" s="17">
        <v>14825</v>
      </c>
      <c r="K1010" s="19">
        <f t="shared" si="333"/>
        <v>1627014</v>
      </c>
      <c r="L1010" s="17">
        <v>85896.554183983593</v>
      </c>
      <c r="M1010" s="17">
        <v>46052.012754726798</v>
      </c>
      <c r="N1010" s="17">
        <v>39844.5414292567</v>
      </c>
      <c r="O1010" s="19">
        <f t="shared" si="334"/>
        <v>1502869.4458160163</v>
      </c>
      <c r="P1010" s="21">
        <f t="shared" si="335"/>
        <v>3.8053645794961941</v>
      </c>
      <c r="Q1010" s="17">
        <v>1437912</v>
      </c>
      <c r="R1010" s="17">
        <v>29790</v>
      </c>
      <c r="S1010" s="19">
        <f t="shared" si="336"/>
        <v>1467702</v>
      </c>
      <c r="T1010" s="20">
        <f t="shared" si="337"/>
        <v>0.01</v>
      </c>
      <c r="U1010" s="19">
        <f t="shared" si="338"/>
        <v>14825.272727272728</v>
      </c>
      <c r="V1010" s="17">
        <v>14825</v>
      </c>
      <c r="W1010" s="19">
        <f t="shared" si="339"/>
        <v>0.27272727272793418</v>
      </c>
      <c r="X1010" s="19">
        <f t="shared" si="340"/>
        <v>159311</v>
      </c>
      <c r="Y1010" s="17">
        <v>150853</v>
      </c>
      <c r="Z1010" s="17">
        <v>8458</v>
      </c>
      <c r="AA1010" s="19">
        <f t="shared" si="341"/>
        <v>144486</v>
      </c>
      <c r="AB1010" s="17">
        <v>1467702</v>
      </c>
      <c r="AC1010" s="27">
        <v>28.686</v>
      </c>
      <c r="AD1010" s="27">
        <v>29.044499999999999</v>
      </c>
      <c r="AE1010" s="22">
        <f t="shared" si="342"/>
        <v>50532.871972318339</v>
      </c>
      <c r="AF1010" s="23">
        <f t="shared" si="343"/>
        <v>1</v>
      </c>
      <c r="AG1010" s="23">
        <f t="shared" si="344"/>
        <v>0</v>
      </c>
      <c r="AH1010" s="17">
        <v>1221629.0545099999</v>
      </c>
      <c r="AI1010" s="24">
        <f t="shared" si="345"/>
        <v>0.83234134348116984</v>
      </c>
      <c r="AJ1010" s="25">
        <v>421500610.06451601</v>
      </c>
      <c r="AK1010" s="24">
        <f t="shared" si="346"/>
        <v>2.3087623836293189E-2</v>
      </c>
      <c r="AL1010" s="22">
        <f t="shared" si="347"/>
        <v>26661.500087500383</v>
      </c>
      <c r="AM1010" s="22">
        <f t="shared" si="348"/>
        <v>50532.871972318339</v>
      </c>
      <c r="AN1010" s="22">
        <f t="shared" si="349"/>
        <v>-23871.371884817956</v>
      </c>
      <c r="AO1010" s="26" t="str">
        <f t="shared" si="350"/>
        <v>YES</v>
      </c>
      <c r="AP1010" s="26" t="str">
        <f t="shared" si="351"/>
        <v>pre-launch</v>
      </c>
      <c r="AQ1010" s="28">
        <v>99</v>
      </c>
      <c r="AR1010" s="28">
        <v>69</v>
      </c>
    </row>
    <row r="1011" spans="1:44" x14ac:dyDescent="0.25">
      <c r="A1011" s="43">
        <v>46072</v>
      </c>
      <c r="B1011" s="17">
        <v>3394527222.8200002</v>
      </c>
      <c r="C1011" s="17">
        <v>1019263680.8099999</v>
      </c>
      <c r="D1011" s="17">
        <v>90699102</v>
      </c>
      <c r="E1011" s="19">
        <f t="shared" si="330"/>
        <v>4413790903.6300001</v>
      </c>
      <c r="F1011" s="19">
        <f t="shared" si="331"/>
        <v>4504490005.6300001</v>
      </c>
      <c r="G1011" s="20">
        <f t="shared" si="332"/>
        <v>0.23092704277670578</v>
      </c>
      <c r="H1011" s="17">
        <v>1419299</v>
      </c>
      <c r="I1011" s="17">
        <v>43158</v>
      </c>
      <c r="J1011" s="17">
        <v>13157</v>
      </c>
      <c r="K1011" s="19">
        <f t="shared" si="333"/>
        <v>1462457</v>
      </c>
      <c r="L1011" s="17">
        <v>96844.883559012596</v>
      </c>
      <c r="M1011" s="17">
        <v>51678.469383923402</v>
      </c>
      <c r="N1011" s="17">
        <v>45166.414175089303</v>
      </c>
      <c r="O1011" s="19">
        <f t="shared" si="334"/>
        <v>1322454.1164409874</v>
      </c>
      <c r="P1011" s="21">
        <f t="shared" si="335"/>
        <v>3.8958418349120207</v>
      </c>
      <c r="Q1011" s="17">
        <v>1270173</v>
      </c>
      <c r="R1011" s="17">
        <v>32343</v>
      </c>
      <c r="S1011" s="19">
        <f t="shared" si="336"/>
        <v>1302516</v>
      </c>
      <c r="T1011" s="20">
        <f t="shared" si="337"/>
        <v>0.01</v>
      </c>
      <c r="U1011" s="19">
        <f t="shared" si="338"/>
        <v>13156.727272727272</v>
      </c>
      <c r="V1011" s="17">
        <v>13157</v>
      </c>
      <c r="W1011" s="19">
        <f t="shared" si="339"/>
        <v>-0.27272727272793418</v>
      </c>
      <c r="X1011" s="19">
        <f t="shared" si="340"/>
        <v>159941</v>
      </c>
      <c r="Y1011" s="17">
        <v>149126</v>
      </c>
      <c r="Z1011" s="17">
        <v>10815</v>
      </c>
      <c r="AA1011" s="19">
        <f t="shared" si="341"/>
        <v>146784</v>
      </c>
      <c r="AB1011" s="17">
        <v>1302516</v>
      </c>
      <c r="AC1011" s="27">
        <v>29.009</v>
      </c>
      <c r="AD1011" s="27">
        <v>28.708749999999998</v>
      </c>
      <c r="AE1011" s="22">
        <f t="shared" si="342"/>
        <v>45370.000435407324</v>
      </c>
      <c r="AF1011" s="23">
        <f t="shared" si="343"/>
        <v>0</v>
      </c>
      <c r="AG1011" s="23">
        <f t="shared" si="344"/>
        <v>0</v>
      </c>
      <c r="AH1011" s="17">
        <v>1082534.49589503</v>
      </c>
      <c r="AI1011" s="24">
        <f t="shared" si="345"/>
        <v>0.831110324859756</v>
      </c>
      <c r="AJ1011" s="25">
        <v>421655376.81106001</v>
      </c>
      <c r="AK1011" s="24">
        <f t="shared" si="346"/>
        <v>2.3083386342163163E-2</v>
      </c>
      <c r="AL1011" s="22">
        <f t="shared" si="347"/>
        <v>26666.394427890642</v>
      </c>
      <c r="AM1011" s="22">
        <f t="shared" si="348"/>
        <v>45370.000435407324</v>
      </c>
      <c r="AN1011" s="22">
        <f t="shared" si="349"/>
        <v>-18703.606007516682</v>
      </c>
      <c r="AO1011" s="26" t="str">
        <f t="shared" si="350"/>
        <v>YES</v>
      </c>
      <c r="AP1011" s="26" t="str">
        <f t="shared" si="351"/>
        <v>pre-launch</v>
      </c>
      <c r="AQ1011" s="28">
        <v>101</v>
      </c>
      <c r="AR1011" s="28">
        <v>70</v>
      </c>
    </row>
    <row r="1012" spans="1:44" x14ac:dyDescent="0.25">
      <c r="A1012" s="43">
        <v>46073</v>
      </c>
      <c r="B1012" s="17">
        <v>4540174807.0500002</v>
      </c>
      <c r="C1012" s="17">
        <v>1601164994.27</v>
      </c>
      <c r="D1012" s="17">
        <v>95305873</v>
      </c>
      <c r="E1012" s="19">
        <f t="shared" si="330"/>
        <v>6141339801.3199997</v>
      </c>
      <c r="F1012" s="19">
        <f t="shared" si="331"/>
        <v>6236645674.3199997</v>
      </c>
      <c r="G1012" s="20">
        <f t="shared" si="332"/>
        <v>0.26071916651246863</v>
      </c>
      <c r="H1012" s="17">
        <v>1875024</v>
      </c>
      <c r="I1012" s="17">
        <v>43689</v>
      </c>
      <c r="J1012" s="17">
        <v>17508</v>
      </c>
      <c r="K1012" s="19">
        <f t="shared" si="333"/>
        <v>1918713</v>
      </c>
      <c r="L1012" s="17">
        <v>143184.09001172701</v>
      </c>
      <c r="M1012" s="17">
        <v>75146.780278201506</v>
      </c>
      <c r="N1012" s="17">
        <v>68037.309733525399</v>
      </c>
      <c r="O1012" s="19">
        <f t="shared" si="334"/>
        <v>1731839.9099882729</v>
      </c>
      <c r="P1012" s="21">
        <f t="shared" si="335"/>
        <v>3.8144784806502727</v>
      </c>
      <c r="Q1012" s="17">
        <v>1697968</v>
      </c>
      <c r="R1012" s="17">
        <v>35356</v>
      </c>
      <c r="S1012" s="19">
        <f t="shared" si="336"/>
        <v>1733324</v>
      </c>
      <c r="T1012" s="20">
        <f t="shared" si="337"/>
        <v>0.01</v>
      </c>
      <c r="U1012" s="19">
        <f t="shared" si="338"/>
        <v>17508.323232323233</v>
      </c>
      <c r="V1012" s="17">
        <v>17508</v>
      </c>
      <c r="W1012" s="19">
        <f t="shared" si="339"/>
        <v>0.32323232323324191</v>
      </c>
      <c r="X1012" s="19">
        <f t="shared" si="340"/>
        <v>185390</v>
      </c>
      <c r="Y1012" s="17">
        <v>177057</v>
      </c>
      <c r="Z1012" s="17">
        <v>8333</v>
      </c>
      <c r="AA1012" s="19">
        <f t="shared" si="341"/>
        <v>167882</v>
      </c>
      <c r="AB1012" s="17">
        <v>1733324</v>
      </c>
      <c r="AC1012" s="27">
        <v>30.35</v>
      </c>
      <c r="AD1012" s="27">
        <v>29.6035</v>
      </c>
      <c r="AE1012" s="22">
        <f t="shared" si="342"/>
        <v>58551.319945276737</v>
      </c>
      <c r="AF1012" s="23">
        <f t="shared" si="343"/>
        <v>-1</v>
      </c>
      <c r="AG1012" s="23">
        <f t="shared" si="344"/>
        <v>0</v>
      </c>
      <c r="AH1012" s="17">
        <v>1427449.1590929001</v>
      </c>
      <c r="AI1012" s="24">
        <f t="shared" si="345"/>
        <v>0.82353279542249469</v>
      </c>
      <c r="AJ1012" s="25">
        <v>421810143.55760401</v>
      </c>
      <c r="AK1012" s="24">
        <f t="shared" si="346"/>
        <v>2.3079151180421406E-2</v>
      </c>
      <c r="AL1012" s="22">
        <f t="shared" si="347"/>
        <v>26671.287870140273</v>
      </c>
      <c r="AM1012" s="22">
        <f t="shared" si="348"/>
        <v>58551.319945276737</v>
      </c>
      <c r="AN1012" s="22">
        <f t="shared" si="349"/>
        <v>-31880.032075136463</v>
      </c>
      <c r="AO1012" s="26" t="str">
        <f t="shared" si="350"/>
        <v>YES</v>
      </c>
      <c r="AP1012" s="26" t="str">
        <f t="shared" si="351"/>
        <v>pre-launch</v>
      </c>
      <c r="AQ1012" s="28">
        <v>103</v>
      </c>
      <c r="AR1012" s="28">
        <v>72</v>
      </c>
    </row>
    <row r="1013" spans="1:44" x14ac:dyDescent="0.25">
      <c r="A1013" s="43">
        <v>46074</v>
      </c>
      <c r="B1013" s="17">
        <v>1525661792.03</v>
      </c>
      <c r="C1013" s="17">
        <v>212487416.09</v>
      </c>
      <c r="D1013" s="17">
        <v>42166095</v>
      </c>
      <c r="E1013" s="19">
        <f t="shared" si="330"/>
        <v>1738149208.1199999</v>
      </c>
      <c r="F1013" s="19">
        <f t="shared" si="331"/>
        <v>1780315303.1199999</v>
      </c>
      <c r="G1013" s="20">
        <f t="shared" si="332"/>
        <v>0.12224923792349714</v>
      </c>
      <c r="H1013" s="17">
        <v>736113</v>
      </c>
      <c r="I1013" s="17">
        <v>21946</v>
      </c>
      <c r="J1013" s="17">
        <v>6558</v>
      </c>
      <c r="K1013" s="19">
        <f t="shared" si="333"/>
        <v>758059</v>
      </c>
      <c r="L1013" s="17">
        <v>28445.355008444501</v>
      </c>
      <c r="M1013" s="17">
        <v>15740.3274351091</v>
      </c>
      <c r="N1013" s="17">
        <v>12705.027573335399</v>
      </c>
      <c r="O1013" s="19">
        <f t="shared" si="334"/>
        <v>707667.64499155548</v>
      </c>
      <c r="P1013" s="21">
        <f t="shared" si="335"/>
        <v>4.6384306711250467</v>
      </c>
      <c r="Q1013" s="17">
        <v>632714</v>
      </c>
      <c r="R1013" s="17">
        <v>16539</v>
      </c>
      <c r="S1013" s="19">
        <f t="shared" si="336"/>
        <v>649253</v>
      </c>
      <c r="T1013" s="20">
        <f t="shared" si="337"/>
        <v>0.01</v>
      </c>
      <c r="U1013" s="19">
        <f t="shared" si="338"/>
        <v>6558.1111111111113</v>
      </c>
      <c r="V1013" s="17">
        <v>6558</v>
      </c>
      <c r="W1013" s="19">
        <f t="shared" si="339"/>
        <v>0.11111111111131322</v>
      </c>
      <c r="X1013" s="19">
        <f t="shared" si="340"/>
        <v>108806</v>
      </c>
      <c r="Y1013" s="17">
        <v>103399</v>
      </c>
      <c r="Z1013" s="17">
        <v>5407</v>
      </c>
      <c r="AA1013" s="19">
        <f t="shared" si="341"/>
        <v>102248</v>
      </c>
      <c r="AB1013" s="17">
        <v>649253</v>
      </c>
      <c r="AC1013" s="27">
        <v>29.748000000000001</v>
      </c>
      <c r="AD1013" s="27">
        <v>30.053999999999998</v>
      </c>
      <c r="AE1013" s="22">
        <f t="shared" si="342"/>
        <v>21602.881480002663</v>
      </c>
      <c r="AF1013" s="23">
        <f t="shared" si="343"/>
        <v>0</v>
      </c>
      <c r="AG1013" s="23">
        <f t="shared" si="344"/>
        <v>0</v>
      </c>
      <c r="AH1013" s="17">
        <v>107354.869624019</v>
      </c>
      <c r="AI1013" s="24">
        <f t="shared" si="345"/>
        <v>0.16535136475922177</v>
      </c>
      <c r="AJ1013" s="25">
        <v>421964910.30414802</v>
      </c>
      <c r="AK1013" s="24">
        <f t="shared" si="346"/>
        <v>2.3074918348929045E-2</v>
      </c>
      <c r="AL1013" s="22">
        <f t="shared" si="347"/>
        <v>26676.180414743518</v>
      </c>
      <c r="AM1013" s="22">
        <f t="shared" si="348"/>
        <v>21602.881480002663</v>
      </c>
      <c r="AN1013" s="22">
        <f t="shared" si="349"/>
        <v>5073.2989347408547</v>
      </c>
      <c r="AO1013" s="26" t="str">
        <f t="shared" si="350"/>
        <v>YES</v>
      </c>
      <c r="AP1013" s="26" t="str">
        <f t="shared" si="351"/>
        <v>pre-launch</v>
      </c>
      <c r="AQ1013" s="28">
        <v>103</v>
      </c>
      <c r="AR1013" s="28">
        <v>72</v>
      </c>
    </row>
    <row r="1014" spans="1:44" x14ac:dyDescent="0.25">
      <c r="A1014" s="43">
        <v>46075</v>
      </c>
      <c r="B1014" s="17">
        <v>1564968333.9200001</v>
      </c>
      <c r="C1014" s="17">
        <v>339213110.01999998</v>
      </c>
      <c r="D1014" s="17">
        <v>45387039</v>
      </c>
      <c r="E1014" s="19">
        <f t="shared" si="330"/>
        <v>1904181443.9400001</v>
      </c>
      <c r="F1014" s="19">
        <f t="shared" si="331"/>
        <v>1949568482.9400001</v>
      </c>
      <c r="G1014" s="20">
        <f t="shared" si="332"/>
        <v>0.17814116984467812</v>
      </c>
      <c r="H1014" s="17">
        <v>715380</v>
      </c>
      <c r="I1014" s="17">
        <v>24651</v>
      </c>
      <c r="J1014" s="17">
        <v>6446</v>
      </c>
      <c r="K1014" s="19">
        <f t="shared" si="333"/>
        <v>740031</v>
      </c>
      <c r="L1014" s="17">
        <v>49247.619993000801</v>
      </c>
      <c r="M1014" s="17">
        <v>26263.462043791202</v>
      </c>
      <c r="N1014" s="17">
        <v>22984.157949209501</v>
      </c>
      <c r="O1014" s="19">
        <f t="shared" si="334"/>
        <v>666132.38000699924</v>
      </c>
      <c r="P1014" s="21">
        <f t="shared" si="335"/>
        <v>4.2565230590860716</v>
      </c>
      <c r="Q1014" s="17">
        <v>619345</v>
      </c>
      <c r="R1014" s="17">
        <v>18858</v>
      </c>
      <c r="S1014" s="19">
        <f t="shared" si="336"/>
        <v>638203</v>
      </c>
      <c r="T1014" s="20">
        <f t="shared" si="337"/>
        <v>0.01</v>
      </c>
      <c r="U1014" s="19">
        <f t="shared" si="338"/>
        <v>6446.4949494949497</v>
      </c>
      <c r="V1014" s="17">
        <v>6446</v>
      </c>
      <c r="W1014" s="19">
        <f t="shared" si="339"/>
        <v>0.49494949494965113</v>
      </c>
      <c r="X1014" s="19">
        <f t="shared" si="340"/>
        <v>101828</v>
      </c>
      <c r="Y1014" s="17">
        <v>96035</v>
      </c>
      <c r="Z1014" s="17">
        <v>5793</v>
      </c>
      <c r="AA1014" s="19">
        <f t="shared" si="341"/>
        <v>95382</v>
      </c>
      <c r="AB1014" s="17">
        <v>638203</v>
      </c>
      <c r="AC1014" s="27">
        <v>29.021999999999998</v>
      </c>
      <c r="AD1014" s="27">
        <v>29.34825</v>
      </c>
      <c r="AE1014" s="22">
        <f t="shared" si="342"/>
        <v>21745.862189398005</v>
      </c>
      <c r="AF1014" s="23">
        <f t="shared" si="343"/>
        <v>0</v>
      </c>
      <c r="AG1014" s="23">
        <f t="shared" si="344"/>
        <v>0</v>
      </c>
      <c r="AH1014" s="17">
        <v>944831.48126900196</v>
      </c>
      <c r="AI1014" s="24">
        <f t="shared" si="345"/>
        <v>1.4804560324363909</v>
      </c>
      <c r="AJ1014" s="25">
        <v>422119677.05069101</v>
      </c>
      <c r="AK1014" s="24">
        <f t="shared" si="346"/>
        <v>2.3070687845550008E-2</v>
      </c>
      <c r="AL1014" s="22">
        <f t="shared" si="347"/>
        <v>26681.072062194169</v>
      </c>
      <c r="AM1014" s="22">
        <f t="shared" si="348"/>
        <v>21745.862189398005</v>
      </c>
      <c r="AN1014" s="22">
        <f t="shared" si="349"/>
        <v>4935.2098727961638</v>
      </c>
      <c r="AO1014" s="26" t="str">
        <f t="shared" si="350"/>
        <v>YES</v>
      </c>
      <c r="AP1014" s="26" t="str">
        <f t="shared" si="351"/>
        <v>pre-launch</v>
      </c>
      <c r="AQ1014" s="28">
        <v>103</v>
      </c>
      <c r="AR1014" s="28">
        <v>72</v>
      </c>
    </row>
    <row r="1015" spans="1:44" x14ac:dyDescent="0.25">
      <c r="A1015" s="43">
        <v>46076</v>
      </c>
      <c r="B1015" s="17">
        <v>5505684756.5799999</v>
      </c>
      <c r="C1015" s="17">
        <v>1334898476.1099999</v>
      </c>
      <c r="D1015" s="17">
        <v>153889474</v>
      </c>
      <c r="E1015" s="19">
        <f t="shared" si="330"/>
        <v>6840583232.6899996</v>
      </c>
      <c r="F1015" s="19">
        <f t="shared" si="331"/>
        <v>6994472706.6899996</v>
      </c>
      <c r="G1015" s="20">
        <f t="shared" si="332"/>
        <v>0.19514395639990814</v>
      </c>
      <c r="H1015" s="17">
        <v>2255968</v>
      </c>
      <c r="I1015" s="17">
        <v>74281</v>
      </c>
      <c r="J1015" s="17">
        <v>21361</v>
      </c>
      <c r="K1015" s="19">
        <f t="shared" si="333"/>
        <v>2330249</v>
      </c>
      <c r="L1015" s="17">
        <v>133204.23857377001</v>
      </c>
      <c r="M1015" s="17">
        <v>70877.911400686993</v>
      </c>
      <c r="N1015" s="17">
        <v>62326.327173082696</v>
      </c>
      <c r="O1015" s="19">
        <f t="shared" si="334"/>
        <v>2122763.76142623</v>
      </c>
      <c r="P1015" s="21">
        <f t="shared" si="335"/>
        <v>3.8555853727172713</v>
      </c>
      <c r="Q1015" s="17">
        <v>2057709</v>
      </c>
      <c r="R1015" s="17">
        <v>56747</v>
      </c>
      <c r="S1015" s="19">
        <f t="shared" si="336"/>
        <v>2114456</v>
      </c>
      <c r="T1015" s="20">
        <f t="shared" si="337"/>
        <v>0.01</v>
      </c>
      <c r="U1015" s="19">
        <f t="shared" si="338"/>
        <v>21358.141414141417</v>
      </c>
      <c r="V1015" s="17">
        <v>21361</v>
      </c>
      <c r="W1015" s="19">
        <f t="shared" si="339"/>
        <v>-2.8585858585829556</v>
      </c>
      <c r="X1015" s="19">
        <f t="shared" si="340"/>
        <v>215793</v>
      </c>
      <c r="Y1015" s="17">
        <v>198259</v>
      </c>
      <c r="Z1015" s="17">
        <v>17534</v>
      </c>
      <c r="AA1015" s="19">
        <f t="shared" si="341"/>
        <v>194432</v>
      </c>
      <c r="AB1015" s="17">
        <v>2114456</v>
      </c>
      <c r="AC1015" s="27">
        <v>26.376999999999999</v>
      </c>
      <c r="AD1015" s="27">
        <v>27.514749999999999</v>
      </c>
      <c r="AE1015" s="22">
        <f t="shared" si="342"/>
        <v>76848.090569603577</v>
      </c>
      <c r="AF1015" s="23">
        <f t="shared" si="343"/>
        <v>0</v>
      </c>
      <c r="AG1015" s="23">
        <f t="shared" si="344"/>
        <v>0</v>
      </c>
      <c r="AH1015" s="17">
        <v>1765723.5177190299</v>
      </c>
      <c r="AI1015" s="24">
        <f t="shared" si="345"/>
        <v>0.83507224445390682</v>
      </c>
      <c r="AJ1015" s="25">
        <v>422274443.79723501</v>
      </c>
      <c r="AK1015" s="24">
        <f t="shared" si="346"/>
        <v>2.3066459668150859E-2</v>
      </c>
      <c r="AL1015" s="22">
        <f t="shared" si="347"/>
        <v>26685.962812985639</v>
      </c>
      <c r="AM1015" s="22">
        <f t="shared" si="348"/>
        <v>76848.090569603577</v>
      </c>
      <c r="AN1015" s="22">
        <f t="shared" si="349"/>
        <v>-50162.127756617934</v>
      </c>
      <c r="AO1015" s="26" t="str">
        <f t="shared" si="350"/>
        <v>YES</v>
      </c>
      <c r="AP1015" s="26" t="str">
        <f t="shared" si="351"/>
        <v>pre-launch</v>
      </c>
      <c r="AQ1015" s="28">
        <v>103</v>
      </c>
      <c r="AR1015" s="28">
        <v>72</v>
      </c>
    </row>
    <row r="1016" spans="1:44" x14ac:dyDescent="0.25">
      <c r="A1016" s="43">
        <v>46077</v>
      </c>
      <c r="B1016" s="17">
        <v>4905981647.0699997</v>
      </c>
      <c r="C1016" s="17">
        <v>1545542142.4400001</v>
      </c>
      <c r="D1016" s="17">
        <v>128088494</v>
      </c>
      <c r="E1016" s="19">
        <f t="shared" si="330"/>
        <v>6451523789.5100002</v>
      </c>
      <c r="F1016" s="19">
        <f t="shared" si="331"/>
        <v>6579612283.5100002</v>
      </c>
      <c r="G1016" s="20">
        <f t="shared" si="332"/>
        <v>0.23956234106320881</v>
      </c>
      <c r="H1016" s="17">
        <v>2102604</v>
      </c>
      <c r="I1016" s="17">
        <v>56014</v>
      </c>
      <c r="J1016" s="17">
        <v>19818</v>
      </c>
      <c r="K1016" s="19">
        <f t="shared" si="333"/>
        <v>2158618</v>
      </c>
      <c r="L1016" s="17">
        <v>153821.24373049999</v>
      </c>
      <c r="M1016" s="17">
        <v>80522.819024370605</v>
      </c>
      <c r="N1016" s="17">
        <v>73298.424706129706</v>
      </c>
      <c r="O1016" s="19">
        <f t="shared" si="334"/>
        <v>1948782.7562695001</v>
      </c>
      <c r="P1016" s="21">
        <f t="shared" si="335"/>
        <v>3.9722585538683619</v>
      </c>
      <c r="Q1016" s="17">
        <v>1923279</v>
      </c>
      <c r="R1016" s="17">
        <v>38833</v>
      </c>
      <c r="S1016" s="19">
        <f t="shared" si="336"/>
        <v>1962112</v>
      </c>
      <c r="T1016" s="20">
        <f t="shared" si="337"/>
        <v>0.01</v>
      </c>
      <c r="U1016" s="19">
        <f t="shared" si="338"/>
        <v>19819.313131313131</v>
      </c>
      <c r="V1016" s="17">
        <v>19818</v>
      </c>
      <c r="W1016" s="19">
        <f t="shared" si="339"/>
        <v>1.3131313131307252</v>
      </c>
      <c r="X1016" s="19">
        <f t="shared" si="340"/>
        <v>196506</v>
      </c>
      <c r="Y1016" s="17">
        <v>179325</v>
      </c>
      <c r="Z1016" s="17">
        <v>17181</v>
      </c>
      <c r="AA1016" s="19">
        <f t="shared" si="341"/>
        <v>176688</v>
      </c>
      <c r="AB1016" s="17">
        <v>1962112</v>
      </c>
      <c r="AC1016" s="27">
        <v>27.102</v>
      </c>
      <c r="AD1016" s="27">
        <v>26.6265</v>
      </c>
      <c r="AE1016" s="22">
        <f t="shared" si="342"/>
        <v>73690.195857510378</v>
      </c>
      <c r="AF1016" s="23">
        <f t="shared" si="343"/>
        <v>0</v>
      </c>
      <c r="AG1016" s="23">
        <f t="shared" si="344"/>
        <v>0</v>
      </c>
      <c r="AH1016" s="17">
        <v>1611156.64784694</v>
      </c>
      <c r="AI1016" s="24">
        <f t="shared" si="345"/>
        <v>0.82113388422625211</v>
      </c>
      <c r="AJ1016" s="25">
        <v>422429210.54377902</v>
      </c>
      <c r="AK1016" s="24">
        <f t="shared" si="346"/>
        <v>2.3062233814600992E-2</v>
      </c>
      <c r="AL1016" s="22">
        <f t="shared" si="347"/>
        <v>26690.852667610801</v>
      </c>
      <c r="AM1016" s="22">
        <f t="shared" si="348"/>
        <v>73690.195857510378</v>
      </c>
      <c r="AN1016" s="22">
        <f t="shared" si="349"/>
        <v>-46999.343189899577</v>
      </c>
      <c r="AO1016" s="26" t="str">
        <f t="shared" si="350"/>
        <v>YES</v>
      </c>
      <c r="AP1016" s="26" t="str">
        <f t="shared" si="351"/>
        <v>pre-launch</v>
      </c>
      <c r="AQ1016" s="28">
        <v>105</v>
      </c>
      <c r="AR1016" s="28">
        <v>74</v>
      </c>
    </row>
    <row r="1017" spans="1:44" x14ac:dyDescent="0.25">
      <c r="A1017" s="43">
        <v>46078</v>
      </c>
      <c r="B1017" s="17">
        <v>6732727148.8900003</v>
      </c>
      <c r="C1017" s="17">
        <v>1919021665.78</v>
      </c>
      <c r="D1017" s="17">
        <v>144239731</v>
      </c>
      <c r="E1017" s="19">
        <f t="shared" si="330"/>
        <v>8651748814.6700001</v>
      </c>
      <c r="F1017" s="19">
        <f t="shared" si="331"/>
        <v>8795988545.6700001</v>
      </c>
      <c r="G1017" s="20">
        <f t="shared" si="332"/>
        <v>0.22180737176813153</v>
      </c>
      <c r="H1017" s="17">
        <v>2375529</v>
      </c>
      <c r="I1017" s="17">
        <v>63522</v>
      </c>
      <c r="J1017" s="17">
        <v>22270</v>
      </c>
      <c r="K1017" s="19">
        <f t="shared" si="333"/>
        <v>2439051</v>
      </c>
      <c r="L1017" s="17">
        <v>166494.72794102901</v>
      </c>
      <c r="M1017" s="17">
        <v>90791.373861315893</v>
      </c>
      <c r="N1017" s="17">
        <v>75703.354079712706</v>
      </c>
      <c r="O1017" s="19">
        <f t="shared" si="334"/>
        <v>2209034.2720589712</v>
      </c>
      <c r="P1017" s="21">
        <f t="shared" si="335"/>
        <v>3.2810393518221903</v>
      </c>
      <c r="Q1017" s="17">
        <v>2159502</v>
      </c>
      <c r="R1017" s="17">
        <v>45209</v>
      </c>
      <c r="S1017" s="19">
        <f t="shared" si="336"/>
        <v>2204711</v>
      </c>
      <c r="T1017" s="20">
        <f t="shared" si="337"/>
        <v>0.01</v>
      </c>
      <c r="U1017" s="19">
        <f t="shared" si="338"/>
        <v>22269.808080808081</v>
      </c>
      <c r="V1017" s="17">
        <v>22270</v>
      </c>
      <c r="W1017" s="19">
        <f t="shared" si="339"/>
        <v>-0.1919191919187142</v>
      </c>
      <c r="X1017" s="19">
        <f t="shared" si="340"/>
        <v>234340</v>
      </c>
      <c r="Y1017" s="17">
        <v>216027</v>
      </c>
      <c r="Z1017" s="17">
        <v>18313</v>
      </c>
      <c r="AA1017" s="19">
        <f t="shared" si="341"/>
        <v>212070</v>
      </c>
      <c r="AB1017" s="17">
        <v>2204711</v>
      </c>
      <c r="AC1017" s="27">
        <v>27.902000000000001</v>
      </c>
      <c r="AD1017" s="27">
        <v>27.71125</v>
      </c>
      <c r="AE1017" s="22">
        <f t="shared" si="342"/>
        <v>79560.142541386624</v>
      </c>
      <c r="AF1017" s="23">
        <f t="shared" si="343"/>
        <v>0</v>
      </c>
      <c r="AG1017" s="23">
        <f t="shared" si="344"/>
        <v>0</v>
      </c>
      <c r="AH1017" s="17">
        <v>2132710.0652250098</v>
      </c>
      <c r="AI1017" s="24">
        <f t="shared" si="345"/>
        <v>0.96734223452643442</v>
      </c>
      <c r="AJ1017" s="25">
        <v>422583977.29032302</v>
      </c>
      <c r="AK1017" s="24">
        <f t="shared" si="346"/>
        <v>2.3058010282772497E-2</v>
      </c>
      <c r="AL1017" s="22">
        <f t="shared" si="347"/>
        <v>26695.741626562103</v>
      </c>
      <c r="AM1017" s="22">
        <f t="shared" si="348"/>
        <v>79560.142541386624</v>
      </c>
      <c r="AN1017" s="22">
        <f t="shared" si="349"/>
        <v>-52864.400914824524</v>
      </c>
      <c r="AO1017" s="26" t="str">
        <f t="shared" si="350"/>
        <v>YES</v>
      </c>
      <c r="AP1017" s="26" t="str">
        <f t="shared" si="351"/>
        <v>pre-launch</v>
      </c>
      <c r="AQ1017" s="28">
        <v>105</v>
      </c>
      <c r="AR1017" s="28">
        <v>74</v>
      </c>
    </row>
    <row r="1018" spans="1:44" x14ac:dyDescent="0.25">
      <c r="A1018" s="43">
        <v>46079</v>
      </c>
      <c r="B1018" s="17">
        <v>4572377200.7399998</v>
      </c>
      <c r="C1018" s="17">
        <v>1710210217.5799999</v>
      </c>
      <c r="D1018" s="17">
        <v>96492289</v>
      </c>
      <c r="E1018" s="19">
        <f t="shared" si="330"/>
        <v>6282587418.3199997</v>
      </c>
      <c r="F1018" s="19">
        <f t="shared" si="331"/>
        <v>6379079707.3199997</v>
      </c>
      <c r="G1018" s="20">
        <f t="shared" si="332"/>
        <v>0.27221431294263154</v>
      </c>
      <c r="H1018" s="17">
        <v>1976987</v>
      </c>
      <c r="I1018" s="17">
        <v>43110</v>
      </c>
      <c r="J1018" s="17">
        <v>17974</v>
      </c>
      <c r="K1018" s="19">
        <f t="shared" si="333"/>
        <v>2020097</v>
      </c>
      <c r="L1018" s="17">
        <v>138835.842398607</v>
      </c>
      <c r="M1018" s="17">
        <v>73880.967240699101</v>
      </c>
      <c r="N1018" s="17">
        <v>64954.875157907802</v>
      </c>
      <c r="O1018" s="19">
        <f t="shared" si="334"/>
        <v>1838151.1576013931</v>
      </c>
      <c r="P1018" s="21">
        <f t="shared" si="335"/>
        <v>4.0201214311538083</v>
      </c>
      <c r="Q1018" s="17">
        <v>1745645</v>
      </c>
      <c r="R1018" s="17">
        <v>33766</v>
      </c>
      <c r="S1018" s="19">
        <f t="shared" si="336"/>
        <v>1779411</v>
      </c>
      <c r="T1018" s="20">
        <f t="shared" si="337"/>
        <v>0.01</v>
      </c>
      <c r="U1018" s="19">
        <f t="shared" si="338"/>
        <v>17973.848484848484</v>
      </c>
      <c r="V1018" s="17">
        <v>17974</v>
      </c>
      <c r="W1018" s="19">
        <f t="shared" si="339"/>
        <v>-0.15151515151592321</v>
      </c>
      <c r="X1018" s="19">
        <f t="shared" si="340"/>
        <v>240687</v>
      </c>
      <c r="Y1018" s="17">
        <v>231343</v>
      </c>
      <c r="Z1018" s="17">
        <v>9344</v>
      </c>
      <c r="AA1018" s="19">
        <f t="shared" si="341"/>
        <v>222713</v>
      </c>
      <c r="AB1018" s="17">
        <v>1779411</v>
      </c>
      <c r="AC1018" s="27">
        <v>28.128</v>
      </c>
      <c r="AD1018" s="27">
        <v>28.28725</v>
      </c>
      <c r="AE1018" s="22">
        <f t="shared" si="342"/>
        <v>62905.054397299136</v>
      </c>
      <c r="AF1018" s="23">
        <f t="shared" si="343"/>
        <v>-1</v>
      </c>
      <c r="AG1018" s="23">
        <f t="shared" si="344"/>
        <v>0</v>
      </c>
      <c r="AH1018" s="17">
        <v>1502104.8654069901</v>
      </c>
      <c r="AI1018" s="24">
        <f t="shared" si="345"/>
        <v>0.84415846895798108</v>
      </c>
      <c r="AJ1018" s="25">
        <v>422738744.03686601</v>
      </c>
      <c r="AK1018" s="24">
        <f t="shared" si="346"/>
        <v>2.3053789070540232E-2</v>
      </c>
      <c r="AL1018" s="22">
        <f t="shared" si="347"/>
        <v>26700.629690331523</v>
      </c>
      <c r="AM1018" s="22">
        <f t="shared" si="348"/>
        <v>62905.054397299136</v>
      </c>
      <c r="AN1018" s="22">
        <f t="shared" si="349"/>
        <v>-36204.424706967613</v>
      </c>
      <c r="AO1018" s="26" t="str">
        <f t="shared" si="350"/>
        <v>YES</v>
      </c>
      <c r="AP1018" s="26" t="str">
        <f t="shared" si="351"/>
        <v>pre-launch</v>
      </c>
      <c r="AQ1018" s="28">
        <v>107</v>
      </c>
      <c r="AR1018" s="28">
        <v>76</v>
      </c>
    </row>
    <row r="1019" spans="1:44" x14ac:dyDescent="0.25">
      <c r="A1019" s="43">
        <v>46080</v>
      </c>
      <c r="B1019" s="17">
        <v>4095817647.6799998</v>
      </c>
      <c r="C1019" s="17">
        <v>1486608800.54</v>
      </c>
      <c r="D1019" s="17">
        <v>115711001</v>
      </c>
      <c r="E1019" s="19">
        <f t="shared" si="330"/>
        <v>5582426448.2199993</v>
      </c>
      <c r="F1019" s="19">
        <f t="shared" si="331"/>
        <v>5698137449.2199993</v>
      </c>
      <c r="G1019" s="20">
        <f t="shared" si="332"/>
        <v>0.26630154724457084</v>
      </c>
      <c r="H1019" s="17">
        <v>1819863</v>
      </c>
      <c r="I1019" s="17">
        <v>52593</v>
      </c>
      <c r="J1019" s="17">
        <v>16756</v>
      </c>
      <c r="K1019" s="19">
        <f t="shared" si="333"/>
        <v>1872456</v>
      </c>
      <c r="L1019" s="17">
        <v>145409.59842103999</v>
      </c>
      <c r="M1019" s="17">
        <v>77139.676757997397</v>
      </c>
      <c r="N1019" s="17">
        <v>68269.921663042696</v>
      </c>
      <c r="O1019" s="19">
        <f t="shared" si="334"/>
        <v>1674453.40157896</v>
      </c>
      <c r="P1019" s="21">
        <f t="shared" si="335"/>
        <v>4.0882030051494684</v>
      </c>
      <c r="Q1019" s="17">
        <v>1617306</v>
      </c>
      <c r="R1019" s="17">
        <v>41532</v>
      </c>
      <c r="S1019" s="19">
        <f t="shared" si="336"/>
        <v>1658838</v>
      </c>
      <c r="T1019" s="20">
        <f t="shared" si="337"/>
        <v>0.01</v>
      </c>
      <c r="U1019" s="19">
        <f t="shared" si="338"/>
        <v>16755.939393939396</v>
      </c>
      <c r="V1019" s="17">
        <v>16756</v>
      </c>
      <c r="W1019" s="19">
        <f t="shared" si="339"/>
        <v>-6.0606060604186496E-2</v>
      </c>
      <c r="X1019" s="19">
        <f t="shared" si="340"/>
        <v>213618</v>
      </c>
      <c r="Y1019" s="17">
        <v>202557</v>
      </c>
      <c r="Z1019" s="17">
        <v>11061</v>
      </c>
      <c r="AA1019" s="19">
        <f t="shared" si="341"/>
        <v>196862</v>
      </c>
      <c r="AB1019" s="17">
        <v>1658838</v>
      </c>
      <c r="AC1019" s="27">
        <v>27.314</v>
      </c>
      <c r="AD1019" s="27">
        <v>28.034749999999999</v>
      </c>
      <c r="AE1019" s="22">
        <f t="shared" si="342"/>
        <v>59170.779122339241</v>
      </c>
      <c r="AF1019" s="23">
        <f t="shared" si="343"/>
        <v>0</v>
      </c>
      <c r="AG1019" s="23">
        <f t="shared" si="344"/>
        <v>0</v>
      </c>
      <c r="AH1019" s="17">
        <v>1351615.8493339999</v>
      </c>
      <c r="AI1019" s="24">
        <f t="shared" si="345"/>
        <v>0.81479677300254749</v>
      </c>
      <c r="AJ1019" s="25">
        <v>422893510.78341001</v>
      </c>
      <c r="AK1019" s="24">
        <f t="shared" si="346"/>
        <v>2.3049570175781672E-2</v>
      </c>
      <c r="AL1019" s="22">
        <f t="shared" si="347"/>
        <v>26705.516859410662</v>
      </c>
      <c r="AM1019" s="22">
        <f t="shared" si="348"/>
        <v>59170.779122339241</v>
      </c>
      <c r="AN1019" s="22">
        <f t="shared" si="349"/>
        <v>-32465.26226292858</v>
      </c>
      <c r="AO1019" s="26" t="str">
        <f t="shared" si="350"/>
        <v>YES</v>
      </c>
      <c r="AP1019" s="26" t="str">
        <f t="shared" si="351"/>
        <v>pre-launch</v>
      </c>
      <c r="AQ1019" s="28">
        <v>107</v>
      </c>
      <c r="AR1019" s="28">
        <v>76</v>
      </c>
    </row>
    <row r="1020" spans="1:44" x14ac:dyDescent="0.25">
      <c r="A1020" s="43">
        <v>46081</v>
      </c>
      <c r="B1020" s="17">
        <v>5891188961.3000002</v>
      </c>
      <c r="C1020" s="17">
        <v>802335810.62</v>
      </c>
      <c r="D1020" s="17">
        <v>166843058</v>
      </c>
      <c r="E1020" s="19">
        <f t="shared" si="330"/>
        <v>6693524771.9200001</v>
      </c>
      <c r="F1020" s="19">
        <f t="shared" si="331"/>
        <v>6860367829.9200001</v>
      </c>
      <c r="G1020" s="20">
        <f t="shared" si="332"/>
        <v>0.11986745966577703</v>
      </c>
      <c r="H1020" s="17">
        <v>2712519</v>
      </c>
      <c r="I1020" s="17">
        <v>80534</v>
      </c>
      <c r="J1020" s="17">
        <v>24938</v>
      </c>
      <c r="K1020" s="19">
        <f t="shared" si="333"/>
        <v>2793053</v>
      </c>
      <c r="L1020" s="17">
        <v>162337.332471873</v>
      </c>
      <c r="M1020" s="17">
        <v>86674.091059851198</v>
      </c>
      <c r="N1020" s="17">
        <v>75663.241412021496</v>
      </c>
      <c r="O1020" s="19">
        <f t="shared" si="334"/>
        <v>2550181.6675281269</v>
      </c>
      <c r="P1020" s="21">
        <f t="shared" si="335"/>
        <v>4.3288064332694258</v>
      </c>
      <c r="Q1020" s="17">
        <v>2406226</v>
      </c>
      <c r="R1020" s="17">
        <v>62751</v>
      </c>
      <c r="S1020" s="19">
        <f t="shared" si="336"/>
        <v>2468977</v>
      </c>
      <c r="T1020" s="20">
        <f t="shared" si="337"/>
        <v>0.01</v>
      </c>
      <c r="U1020" s="19">
        <f t="shared" si="338"/>
        <v>24939.161616161618</v>
      </c>
      <c r="V1020" s="17">
        <v>24938</v>
      </c>
      <c r="W1020" s="19">
        <f t="shared" si="339"/>
        <v>1.1616161616184399</v>
      </c>
      <c r="X1020" s="19">
        <f t="shared" si="340"/>
        <v>324076</v>
      </c>
      <c r="Y1020" s="17">
        <v>306293</v>
      </c>
      <c r="Z1020" s="17">
        <v>17783</v>
      </c>
      <c r="AA1020" s="19">
        <f t="shared" si="341"/>
        <v>299138</v>
      </c>
      <c r="AB1020" s="17">
        <v>2468977</v>
      </c>
      <c r="AC1020" s="27">
        <v>31.231000000000002</v>
      </c>
      <c r="AD1020" s="27">
        <v>28.997499999999999</v>
      </c>
      <c r="AE1020" s="22">
        <f t="shared" si="342"/>
        <v>85144.477972238994</v>
      </c>
      <c r="AF1020" s="23">
        <f t="shared" si="343"/>
        <v>0</v>
      </c>
      <c r="AG1020" s="23">
        <f t="shared" si="344"/>
        <v>0</v>
      </c>
      <c r="AH1020" s="17">
        <v>1953945.4731650399</v>
      </c>
      <c r="AI1020" s="24">
        <f t="shared" si="345"/>
        <v>0.79139881544665658</v>
      </c>
      <c r="AJ1020" s="25">
        <v>423048277.52995402</v>
      </c>
      <c r="AK1020" s="24">
        <f t="shared" si="346"/>
        <v>2.3045353596377122E-2</v>
      </c>
      <c r="AL1020" s="22">
        <f t="shared" si="347"/>
        <v>26710.403134290609</v>
      </c>
      <c r="AM1020" s="22">
        <f t="shared" si="348"/>
        <v>85144.477972238994</v>
      </c>
      <c r="AN1020" s="22">
        <f t="shared" si="349"/>
        <v>-58434.074837948385</v>
      </c>
      <c r="AO1020" s="26" t="str">
        <f t="shared" si="350"/>
        <v>YES</v>
      </c>
      <c r="AP1020" s="26" t="str">
        <f t="shared" si="351"/>
        <v>pre-launch</v>
      </c>
      <c r="AQ1020" s="28">
        <v>107</v>
      </c>
      <c r="AR1020" s="28">
        <v>76</v>
      </c>
    </row>
    <row r="1021" spans="1:44" x14ac:dyDescent="0.25">
      <c r="A1021" s="43">
        <v>46082</v>
      </c>
      <c r="B1021" s="17">
        <v>4547115999.3599997</v>
      </c>
      <c r="C1021" s="17">
        <v>674952474.30999994</v>
      </c>
      <c r="D1021" s="17">
        <v>142720568</v>
      </c>
      <c r="E1021" s="19">
        <f t="shared" si="330"/>
        <v>5222068473.6700001</v>
      </c>
      <c r="F1021" s="19">
        <f t="shared" si="331"/>
        <v>5364789041.6700001</v>
      </c>
      <c r="G1021" s="20">
        <f t="shared" si="332"/>
        <v>0.12925002376226069</v>
      </c>
      <c r="H1021" s="17">
        <v>2103840</v>
      </c>
      <c r="I1021" s="17">
        <v>65418</v>
      </c>
      <c r="J1021" s="17">
        <v>19260</v>
      </c>
      <c r="K1021" s="19">
        <f t="shared" si="333"/>
        <v>2169258</v>
      </c>
      <c r="L1021" s="17">
        <v>110924.49996941299</v>
      </c>
      <c r="M1021" s="17">
        <v>60068.364163144899</v>
      </c>
      <c r="N1021" s="17">
        <v>50856.135806267703</v>
      </c>
      <c r="O1021" s="19">
        <f t="shared" si="334"/>
        <v>1992915.500030587</v>
      </c>
      <c r="P1021" s="21">
        <f t="shared" si="335"/>
        <v>4.3828120952073508</v>
      </c>
      <c r="Q1021" s="17">
        <v>1859255</v>
      </c>
      <c r="R1021" s="17">
        <v>47317</v>
      </c>
      <c r="S1021" s="19">
        <f t="shared" si="336"/>
        <v>1906572</v>
      </c>
      <c r="T1021" s="20">
        <f t="shared" si="337"/>
        <v>0.01</v>
      </c>
      <c r="U1021" s="19">
        <f t="shared" si="338"/>
        <v>19258.303030303032</v>
      </c>
      <c r="V1021" s="17">
        <v>19260</v>
      </c>
      <c r="W1021" s="19">
        <f t="shared" si="339"/>
        <v>-1.6969696969681536</v>
      </c>
      <c r="X1021" s="19">
        <f t="shared" si="340"/>
        <v>262687</v>
      </c>
      <c r="Y1021" s="17">
        <v>244585</v>
      </c>
      <c r="Z1021" s="17">
        <v>18102</v>
      </c>
      <c r="AA1021" s="19">
        <f t="shared" si="341"/>
        <v>243427</v>
      </c>
      <c r="AB1021" s="17">
        <v>1906572</v>
      </c>
      <c r="AC1021" s="27">
        <v>31.56</v>
      </c>
      <c r="AD1021" s="27">
        <v>31.321249999999999</v>
      </c>
      <c r="AE1021" s="22">
        <f t="shared" si="342"/>
        <v>60871.516941373673</v>
      </c>
      <c r="AF1021" s="23">
        <f t="shared" si="343"/>
        <v>-1</v>
      </c>
      <c r="AG1021" s="23">
        <f t="shared" si="344"/>
        <v>0</v>
      </c>
      <c r="AH1021" s="17">
        <v>1525781.7877090001</v>
      </c>
      <c r="AI1021" s="24">
        <f t="shared" si="345"/>
        <v>0.80027493727433319</v>
      </c>
      <c r="AJ1021" s="25">
        <v>423203044.27649802</v>
      </c>
      <c r="AK1021" s="24">
        <f t="shared" si="346"/>
        <v>2.3041139330209546E-2</v>
      </c>
      <c r="AL1021" s="22">
        <f t="shared" si="347"/>
        <v>26715.288515462002</v>
      </c>
      <c r="AM1021" s="22">
        <f t="shared" si="348"/>
        <v>60871.516941373673</v>
      </c>
      <c r="AN1021" s="22">
        <f t="shared" si="349"/>
        <v>-34156.228425911671</v>
      </c>
      <c r="AO1021" s="26" t="str">
        <f t="shared" si="350"/>
        <v>YES</v>
      </c>
      <c r="AP1021" s="26" t="str">
        <f t="shared" si="351"/>
        <v>pre-launch</v>
      </c>
      <c r="AQ1021" s="28">
        <v>107</v>
      </c>
      <c r="AR1021" s="28">
        <v>76</v>
      </c>
    </row>
    <row r="1022" spans="1:44" x14ac:dyDescent="0.25">
      <c r="A1022" s="43">
        <v>46083</v>
      </c>
      <c r="B1022" s="17">
        <v>6215232506.7200003</v>
      </c>
      <c r="C1022" s="17">
        <v>2622547393.3499999</v>
      </c>
      <c r="D1022" s="17">
        <v>179137288</v>
      </c>
      <c r="E1022" s="19">
        <f t="shared" si="330"/>
        <v>8837779900.0699997</v>
      </c>
      <c r="F1022" s="19">
        <f t="shared" si="331"/>
        <v>9016917188.0699997</v>
      </c>
      <c r="G1022" s="20">
        <f t="shared" si="332"/>
        <v>0.29674278189811309</v>
      </c>
      <c r="H1022" s="17">
        <v>2721328</v>
      </c>
      <c r="I1022" s="17">
        <v>83228</v>
      </c>
      <c r="J1022" s="17">
        <v>25636</v>
      </c>
      <c r="K1022" s="19">
        <f t="shared" si="333"/>
        <v>2804556</v>
      </c>
      <c r="L1022" s="17">
        <v>266666.95930500701</v>
      </c>
      <c r="M1022" s="17">
        <v>138664.37072102999</v>
      </c>
      <c r="N1022" s="17">
        <v>128002.58858397701</v>
      </c>
      <c r="O1022" s="19">
        <f t="shared" si="334"/>
        <v>2454661.040694993</v>
      </c>
      <c r="P1022" s="21">
        <f t="shared" si="335"/>
        <v>3.9494275363648548</v>
      </c>
      <c r="Q1022" s="17">
        <v>2470625</v>
      </c>
      <c r="R1022" s="17">
        <v>67367</v>
      </c>
      <c r="S1022" s="19">
        <f t="shared" si="336"/>
        <v>2537992</v>
      </c>
      <c r="T1022" s="20">
        <f t="shared" si="337"/>
        <v>0.01</v>
      </c>
      <c r="U1022" s="19">
        <f t="shared" si="338"/>
        <v>25636.28282828283</v>
      </c>
      <c r="V1022" s="17">
        <v>25636</v>
      </c>
      <c r="W1022" s="19">
        <f t="shared" si="339"/>
        <v>0.28282828283045092</v>
      </c>
      <c r="X1022" s="19">
        <f t="shared" si="340"/>
        <v>266564</v>
      </c>
      <c r="Y1022" s="17">
        <v>250703</v>
      </c>
      <c r="Z1022" s="17">
        <v>15861</v>
      </c>
      <c r="AA1022" s="19">
        <f t="shared" si="341"/>
        <v>240928</v>
      </c>
      <c r="AB1022" s="17">
        <v>2537992</v>
      </c>
      <c r="AC1022" s="27">
        <v>32.829000000000001</v>
      </c>
      <c r="AD1022" s="27">
        <v>32.013750000000002</v>
      </c>
      <c r="AE1022" s="22">
        <f t="shared" si="342"/>
        <v>79278.185154816281</v>
      </c>
      <c r="AF1022" s="23">
        <f t="shared" si="343"/>
        <v>0</v>
      </c>
      <c r="AG1022" s="23">
        <f t="shared" si="344"/>
        <v>0</v>
      </c>
      <c r="AH1022" s="17">
        <v>2085138.9371919599</v>
      </c>
      <c r="AI1022" s="24">
        <f t="shared" si="345"/>
        <v>0.82157033481270225</v>
      </c>
      <c r="AJ1022" s="25">
        <v>423357811.02304202</v>
      </c>
      <c r="AK1022" s="24">
        <f t="shared" si="346"/>
        <v>2.3036927375164627E-2</v>
      </c>
      <c r="AL1022" s="22">
        <f t="shared" si="347"/>
        <v>26720.173003415039</v>
      </c>
      <c r="AM1022" s="22">
        <f t="shared" si="348"/>
        <v>79278.185154816281</v>
      </c>
      <c r="AN1022" s="22">
        <f t="shared" si="349"/>
        <v>-52558.012151401243</v>
      </c>
      <c r="AO1022" s="26" t="str">
        <f t="shared" si="350"/>
        <v>YES</v>
      </c>
      <c r="AP1022" s="26" t="str">
        <f t="shared" si="351"/>
        <v>pre-launch</v>
      </c>
      <c r="AQ1022" s="28">
        <v>110</v>
      </c>
      <c r="AR1022" s="28">
        <v>79</v>
      </c>
    </row>
    <row r="1023" spans="1:44" x14ac:dyDescent="0.25">
      <c r="A1023" s="43">
        <v>46084</v>
      </c>
      <c r="B1023" s="17">
        <v>6245339721.3800001</v>
      </c>
      <c r="C1023" s="17">
        <v>3970747772.5100002</v>
      </c>
      <c r="D1023" s="17">
        <v>157567502</v>
      </c>
      <c r="E1023" s="19">
        <f t="shared" si="330"/>
        <v>10216087493.889999</v>
      </c>
      <c r="F1023" s="19">
        <f t="shared" si="331"/>
        <v>10373654995.889999</v>
      </c>
      <c r="G1023" s="20">
        <f t="shared" si="332"/>
        <v>0.38867597550283423</v>
      </c>
      <c r="H1023" s="17">
        <v>2641731</v>
      </c>
      <c r="I1023" s="17">
        <v>69875</v>
      </c>
      <c r="J1023" s="17">
        <v>25019</v>
      </c>
      <c r="K1023" s="19">
        <f t="shared" si="333"/>
        <v>2711606</v>
      </c>
      <c r="L1023" s="17">
        <v>414399.85753712099</v>
      </c>
      <c r="M1023" s="17">
        <v>212262.86596337799</v>
      </c>
      <c r="N1023" s="17">
        <v>202136.991573743</v>
      </c>
      <c r="O1023" s="19">
        <f t="shared" si="334"/>
        <v>2227331.142462879</v>
      </c>
      <c r="P1023" s="21">
        <f t="shared" si="335"/>
        <v>3.56638908663037</v>
      </c>
      <c r="Q1023" s="17">
        <v>2422753</v>
      </c>
      <c r="R1023" s="17">
        <v>54133</v>
      </c>
      <c r="S1023" s="19">
        <f t="shared" si="336"/>
        <v>2476886</v>
      </c>
      <c r="T1023" s="20">
        <f t="shared" si="337"/>
        <v>0.01</v>
      </c>
      <c r="U1023" s="19">
        <f t="shared" si="338"/>
        <v>25019.050505050505</v>
      </c>
      <c r="V1023" s="17">
        <v>25019</v>
      </c>
      <c r="W1023" s="19">
        <f t="shared" si="339"/>
        <v>5.0505050505307736E-2</v>
      </c>
      <c r="X1023" s="19">
        <f t="shared" si="340"/>
        <v>234720</v>
      </c>
      <c r="Y1023" s="17">
        <v>218978</v>
      </c>
      <c r="Z1023" s="17">
        <v>15742</v>
      </c>
      <c r="AA1023" s="19">
        <f t="shared" si="341"/>
        <v>209701</v>
      </c>
      <c r="AB1023" s="17">
        <v>2476886</v>
      </c>
      <c r="AC1023" s="27">
        <v>31.297999999999998</v>
      </c>
      <c r="AD1023" s="27">
        <v>32.120249999999999</v>
      </c>
      <c r="AE1023" s="22">
        <f t="shared" si="342"/>
        <v>77112.911636740071</v>
      </c>
      <c r="AF1023" s="23">
        <f t="shared" si="343"/>
        <v>0</v>
      </c>
      <c r="AG1023" s="23">
        <f t="shared" si="344"/>
        <v>0</v>
      </c>
      <c r="AH1023" s="17">
        <v>2156682.4232561602</v>
      </c>
      <c r="AI1023" s="24">
        <f t="shared" si="345"/>
        <v>0.87072332891225523</v>
      </c>
      <c r="AJ1023" s="25">
        <v>423512577.76958501</v>
      </c>
      <c r="AK1023" s="24">
        <f t="shared" si="346"/>
        <v>2.3032717729130788E-2</v>
      </c>
      <c r="AL1023" s="22">
        <f t="shared" si="347"/>
        <v>26725.056598639458</v>
      </c>
      <c r="AM1023" s="22">
        <f t="shared" si="348"/>
        <v>77112.911636740071</v>
      </c>
      <c r="AN1023" s="22">
        <f t="shared" si="349"/>
        <v>-50387.855038100613</v>
      </c>
      <c r="AO1023" s="26" t="str">
        <f t="shared" si="350"/>
        <v>YES</v>
      </c>
      <c r="AP1023" s="26" t="str">
        <f t="shared" si="351"/>
        <v>pre-launch</v>
      </c>
      <c r="AQ1023" s="28">
        <v>110</v>
      </c>
      <c r="AR1023" s="28">
        <v>79</v>
      </c>
    </row>
    <row r="1024" spans="1:44" x14ac:dyDescent="0.25">
      <c r="A1024" s="43">
        <v>46085</v>
      </c>
      <c r="B1024" s="17">
        <v>7672968416.2200003</v>
      </c>
      <c r="C1024" s="17">
        <v>2625618610.6900001</v>
      </c>
      <c r="D1024" s="17">
        <v>231627388</v>
      </c>
      <c r="E1024" s="19">
        <f t="shared" si="330"/>
        <v>10298587026.91</v>
      </c>
      <c r="F1024" s="19">
        <f t="shared" si="331"/>
        <v>10530214414.91</v>
      </c>
      <c r="G1024" s="20">
        <f t="shared" si="332"/>
        <v>0.25494940265390892</v>
      </c>
      <c r="H1024" s="17">
        <v>3357921</v>
      </c>
      <c r="I1024" s="17">
        <v>113394</v>
      </c>
      <c r="J1024" s="17">
        <v>31491</v>
      </c>
      <c r="K1024" s="19">
        <f t="shared" si="333"/>
        <v>3471315</v>
      </c>
      <c r="L1024" s="17">
        <v>229198.01205401699</v>
      </c>
      <c r="M1024" s="17">
        <v>122199.828644255</v>
      </c>
      <c r="N1024" s="17">
        <v>106998.183409762</v>
      </c>
      <c r="O1024" s="19">
        <f t="shared" si="334"/>
        <v>3128722.9879459832</v>
      </c>
      <c r="P1024" s="21">
        <f t="shared" si="335"/>
        <v>4.0775913808430779</v>
      </c>
      <c r="Q1024" s="17">
        <v>3039916</v>
      </c>
      <c r="R1024" s="17">
        <v>77670</v>
      </c>
      <c r="S1024" s="19">
        <f t="shared" si="336"/>
        <v>3117586</v>
      </c>
      <c r="T1024" s="20">
        <f t="shared" si="337"/>
        <v>0.01</v>
      </c>
      <c r="U1024" s="19">
        <f t="shared" si="338"/>
        <v>31490.767676767678</v>
      </c>
      <c r="V1024" s="17">
        <v>31491</v>
      </c>
      <c r="W1024" s="19">
        <f t="shared" si="339"/>
        <v>-0.2323232323215052</v>
      </c>
      <c r="X1024" s="19">
        <f t="shared" si="340"/>
        <v>353729</v>
      </c>
      <c r="Y1024" s="17">
        <v>318005</v>
      </c>
      <c r="Z1024" s="17">
        <v>35724</v>
      </c>
      <c r="AA1024" s="19">
        <f t="shared" si="341"/>
        <v>322238</v>
      </c>
      <c r="AB1024" s="17">
        <v>3117586</v>
      </c>
      <c r="AC1024" s="27">
        <v>32.159999999999997</v>
      </c>
      <c r="AD1024" s="27">
        <v>31.865749999999998</v>
      </c>
      <c r="AE1024" s="22">
        <f t="shared" si="342"/>
        <v>97835.010944352485</v>
      </c>
      <c r="AF1024" s="23">
        <f t="shared" si="343"/>
        <v>0</v>
      </c>
      <c r="AG1024" s="23">
        <f t="shared" si="344"/>
        <v>0</v>
      </c>
      <c r="AH1024" s="17">
        <v>2501583.1626388999</v>
      </c>
      <c r="AI1024" s="24">
        <f t="shared" si="345"/>
        <v>0.80241031446731537</v>
      </c>
      <c r="AJ1024" s="25">
        <v>423667344.51612902</v>
      </c>
      <c r="AK1024" s="24">
        <f t="shared" si="346"/>
        <v>2.3028510389999056E-2</v>
      </c>
      <c r="AL1024" s="22">
        <f t="shared" si="347"/>
        <v>26729.939301624618</v>
      </c>
      <c r="AM1024" s="22">
        <f t="shared" si="348"/>
        <v>97835.010944352485</v>
      </c>
      <c r="AN1024" s="22">
        <f t="shared" si="349"/>
        <v>-71105.071642727868</v>
      </c>
      <c r="AO1024" s="26" t="str">
        <f t="shared" si="350"/>
        <v>YES</v>
      </c>
      <c r="AP1024" s="26" t="str">
        <f t="shared" si="351"/>
        <v>pre-launch</v>
      </c>
      <c r="AQ1024" s="28">
        <v>112</v>
      </c>
      <c r="AR1024" s="28">
        <v>81</v>
      </c>
    </row>
    <row r="1025" spans="1:44" x14ac:dyDescent="0.25">
      <c r="A1025" s="43">
        <v>46086</v>
      </c>
      <c r="B1025" s="17">
        <v>5195422668.2299995</v>
      </c>
      <c r="C1025" s="17">
        <v>2307526091.29</v>
      </c>
      <c r="D1025" s="17">
        <v>135986441</v>
      </c>
      <c r="E1025" s="19">
        <f t="shared" si="330"/>
        <v>7502948759.5199995</v>
      </c>
      <c r="F1025" s="19">
        <f t="shared" si="331"/>
        <v>7638935200.5199995</v>
      </c>
      <c r="G1025" s="20">
        <f t="shared" si="332"/>
        <v>0.30754922701053122</v>
      </c>
      <c r="H1025" s="17">
        <v>2252757</v>
      </c>
      <c r="I1025" s="17">
        <v>58371</v>
      </c>
      <c r="J1025" s="17">
        <v>20981</v>
      </c>
      <c r="K1025" s="19">
        <f t="shared" si="333"/>
        <v>2311128</v>
      </c>
      <c r="L1025" s="17">
        <v>210918.31893971699</v>
      </c>
      <c r="M1025" s="17">
        <v>110154.746990411</v>
      </c>
      <c r="N1025" s="17">
        <v>100763.57194930701</v>
      </c>
      <c r="O1025" s="19">
        <f t="shared" si="334"/>
        <v>2041838.681060283</v>
      </c>
      <c r="P1025" s="21">
        <f t="shared" si="335"/>
        <v>3.930072318362321</v>
      </c>
      <c r="Q1025" s="17">
        <v>2032131</v>
      </c>
      <c r="R1025" s="17">
        <v>44998</v>
      </c>
      <c r="S1025" s="19">
        <f t="shared" si="336"/>
        <v>2077129</v>
      </c>
      <c r="T1025" s="20">
        <f t="shared" si="337"/>
        <v>0.01</v>
      </c>
      <c r="U1025" s="19">
        <f t="shared" si="338"/>
        <v>20981.101010101011</v>
      </c>
      <c r="V1025" s="17">
        <v>20981</v>
      </c>
      <c r="W1025" s="19">
        <f t="shared" si="339"/>
        <v>0.10101010101061547</v>
      </c>
      <c r="X1025" s="19">
        <f t="shared" si="340"/>
        <v>234000</v>
      </c>
      <c r="Y1025" s="17">
        <v>220626</v>
      </c>
      <c r="Z1025" s="17">
        <v>13374</v>
      </c>
      <c r="AA1025" s="19">
        <f t="shared" si="341"/>
        <v>213019</v>
      </c>
      <c r="AB1025" s="17">
        <v>2077129</v>
      </c>
      <c r="AC1025" s="27">
        <v>30.53</v>
      </c>
      <c r="AD1025" s="27">
        <v>31.29325</v>
      </c>
      <c r="AE1025" s="22">
        <f t="shared" si="342"/>
        <v>66376.263251659708</v>
      </c>
      <c r="AF1025" s="23">
        <f t="shared" si="343"/>
        <v>-1</v>
      </c>
      <c r="AG1025" s="23">
        <f t="shared" si="344"/>
        <v>0</v>
      </c>
      <c r="AH1025" s="17">
        <v>1718461.1344220601</v>
      </c>
      <c r="AI1025" s="24">
        <f t="shared" si="345"/>
        <v>0.82732518510986086</v>
      </c>
      <c r="AJ1025" s="25">
        <v>423822111.26267302</v>
      </c>
      <c r="AK1025" s="24">
        <f t="shared" si="346"/>
        <v>2.3024305355663251E-2</v>
      </c>
      <c r="AL1025" s="22">
        <f t="shared" si="347"/>
        <v>26734.821112859365</v>
      </c>
      <c r="AM1025" s="22">
        <f t="shared" si="348"/>
        <v>66376.263251659708</v>
      </c>
      <c r="AN1025" s="22">
        <f t="shared" si="349"/>
        <v>-39641.442138800339</v>
      </c>
      <c r="AO1025" s="26" t="str">
        <f t="shared" si="350"/>
        <v>YES</v>
      </c>
      <c r="AP1025" s="26" t="str">
        <f t="shared" si="351"/>
        <v>pre-launch</v>
      </c>
      <c r="AQ1025" s="28">
        <v>112</v>
      </c>
      <c r="AR1025" s="28">
        <v>81</v>
      </c>
    </row>
    <row r="1026" spans="1:44" x14ac:dyDescent="0.25">
      <c r="A1026" s="43">
        <v>46087</v>
      </c>
      <c r="B1026" s="17">
        <v>5743031424.9499998</v>
      </c>
      <c r="C1026" s="17">
        <v>2350692291.4699998</v>
      </c>
      <c r="D1026" s="17">
        <v>155182594</v>
      </c>
      <c r="E1026" s="19">
        <f t="shared" si="330"/>
        <v>8093723716.4200001</v>
      </c>
      <c r="F1026" s="19">
        <f t="shared" si="331"/>
        <v>8248906310.4200001</v>
      </c>
      <c r="G1026" s="20">
        <f t="shared" si="332"/>
        <v>0.29043396758170459</v>
      </c>
      <c r="H1026" s="17">
        <v>2629551</v>
      </c>
      <c r="I1026" s="17">
        <v>68818</v>
      </c>
      <c r="J1026" s="17">
        <v>24579</v>
      </c>
      <c r="K1026" s="19">
        <f t="shared" si="333"/>
        <v>2698369</v>
      </c>
      <c r="L1026" s="17">
        <v>193958.99124738801</v>
      </c>
      <c r="M1026" s="17">
        <v>100991.37071759001</v>
      </c>
      <c r="N1026" s="17">
        <v>92967.620529798907</v>
      </c>
      <c r="O1026" s="19">
        <f t="shared" si="334"/>
        <v>2435592.0087526119</v>
      </c>
      <c r="P1026" s="21">
        <f t="shared" si="335"/>
        <v>4.2409519094244148</v>
      </c>
      <c r="Q1026" s="17">
        <v>2383854</v>
      </c>
      <c r="R1026" s="17">
        <v>49166</v>
      </c>
      <c r="S1026" s="19">
        <f t="shared" si="336"/>
        <v>2433020</v>
      </c>
      <c r="T1026" s="20">
        <f t="shared" si="337"/>
        <v>0.01</v>
      </c>
      <c r="U1026" s="19">
        <f t="shared" si="338"/>
        <v>24575.959595959597</v>
      </c>
      <c r="V1026" s="17">
        <v>24579</v>
      </c>
      <c r="W1026" s="19">
        <f t="shared" si="339"/>
        <v>-3.040404040402791</v>
      </c>
      <c r="X1026" s="19">
        <f t="shared" si="340"/>
        <v>265349</v>
      </c>
      <c r="Y1026" s="17">
        <v>245697</v>
      </c>
      <c r="Z1026" s="17">
        <v>19652</v>
      </c>
      <c r="AA1026" s="19">
        <f t="shared" si="341"/>
        <v>240770</v>
      </c>
      <c r="AB1026" s="17">
        <v>2433020</v>
      </c>
      <c r="AC1026" s="27">
        <v>31.035</v>
      </c>
      <c r="AD1026" s="27">
        <v>30.592500000000001</v>
      </c>
      <c r="AE1026" s="22">
        <f t="shared" si="342"/>
        <v>79529.950151180848</v>
      </c>
      <c r="AF1026" s="23">
        <f t="shared" si="343"/>
        <v>0</v>
      </c>
      <c r="AG1026" s="23">
        <f t="shared" si="344"/>
        <v>0</v>
      </c>
      <c r="AH1026" s="17">
        <v>1957352.29811287</v>
      </c>
      <c r="AI1026" s="24">
        <f t="shared" si="345"/>
        <v>0.80449494788898979</v>
      </c>
      <c r="AJ1026" s="25">
        <v>423976878.00921702</v>
      </c>
      <c r="AK1026" s="24">
        <f t="shared" si="346"/>
        <v>2.302010262401984E-2</v>
      </c>
      <c r="AL1026" s="22">
        <f t="shared" si="347"/>
        <v>26739.702032832098</v>
      </c>
      <c r="AM1026" s="22">
        <f t="shared" si="348"/>
        <v>79529.950151180848</v>
      </c>
      <c r="AN1026" s="22">
        <f t="shared" si="349"/>
        <v>-52790.248118348754</v>
      </c>
      <c r="AO1026" s="26" t="str">
        <f t="shared" si="350"/>
        <v>YES</v>
      </c>
      <c r="AP1026" s="26" t="str">
        <f t="shared" si="351"/>
        <v>pre-launch</v>
      </c>
      <c r="AQ1026" s="28">
        <v>112</v>
      </c>
      <c r="AR1026" s="28">
        <v>81</v>
      </c>
    </row>
    <row r="1027" spans="1:44" x14ac:dyDescent="0.25">
      <c r="A1027" s="43">
        <v>46088</v>
      </c>
      <c r="B1027" s="17">
        <v>2483108671.4499998</v>
      </c>
      <c r="C1027" s="17">
        <v>442352707.13</v>
      </c>
      <c r="D1027" s="17">
        <v>77353585</v>
      </c>
      <c r="E1027" s="19">
        <f t="shared" si="330"/>
        <v>2925461378.5799999</v>
      </c>
      <c r="F1027" s="19">
        <f t="shared" si="331"/>
        <v>3002814963.5799999</v>
      </c>
      <c r="G1027" s="20">
        <f t="shared" si="332"/>
        <v>0.15120784378452987</v>
      </c>
      <c r="H1027" s="17">
        <v>1089235</v>
      </c>
      <c r="I1027" s="17">
        <v>32483</v>
      </c>
      <c r="J1027" s="17">
        <v>9950</v>
      </c>
      <c r="K1027" s="19">
        <f t="shared" si="333"/>
        <v>1121718</v>
      </c>
      <c r="L1027" s="17">
        <v>33825.465061356699</v>
      </c>
      <c r="M1027" s="17">
        <v>18686.009862176201</v>
      </c>
      <c r="N1027" s="17">
        <v>15139.4551991805</v>
      </c>
      <c r="O1027" s="19">
        <f t="shared" si="334"/>
        <v>1055409.5349386432</v>
      </c>
      <c r="P1027" s="21">
        <f t="shared" si="335"/>
        <v>4.2503558022788495</v>
      </c>
      <c r="Q1027" s="17">
        <v>959036</v>
      </c>
      <c r="R1027" s="17">
        <v>25966</v>
      </c>
      <c r="S1027" s="19">
        <f t="shared" si="336"/>
        <v>985002</v>
      </c>
      <c r="T1027" s="20">
        <f t="shared" si="337"/>
        <v>0.01</v>
      </c>
      <c r="U1027" s="19">
        <f t="shared" si="338"/>
        <v>9949.515151515152</v>
      </c>
      <c r="V1027" s="17">
        <v>9950</v>
      </c>
      <c r="W1027" s="19">
        <f t="shared" si="339"/>
        <v>-0.48484848484804388</v>
      </c>
      <c r="X1027" s="19">
        <f t="shared" si="340"/>
        <v>136716</v>
      </c>
      <c r="Y1027" s="17">
        <v>130199</v>
      </c>
      <c r="Z1027" s="17">
        <v>6517</v>
      </c>
      <c r="AA1027" s="19">
        <f t="shared" si="341"/>
        <v>126766</v>
      </c>
      <c r="AB1027" s="17">
        <v>985002</v>
      </c>
      <c r="AC1027" s="27">
        <v>30.292999999999999</v>
      </c>
      <c r="AD1027" s="27">
        <v>30.561250000000001</v>
      </c>
      <c r="AE1027" s="22">
        <f t="shared" si="342"/>
        <v>32230.422512168185</v>
      </c>
      <c r="AF1027" s="23">
        <f t="shared" si="343"/>
        <v>0</v>
      </c>
      <c r="AG1027" s="23">
        <f t="shared" si="344"/>
        <v>0</v>
      </c>
      <c r="AH1027" s="17">
        <v>762827.50359916699</v>
      </c>
      <c r="AI1027" s="24">
        <f t="shared" si="345"/>
        <v>0.77444259361825352</v>
      </c>
      <c r="AJ1027" s="25">
        <v>424131644.75576001</v>
      </c>
      <c r="AK1027" s="24">
        <f t="shared" si="346"/>
        <v>2.3015902192968014E-2</v>
      </c>
      <c r="AL1027" s="22">
        <f t="shared" si="347"/>
        <v>26744.58206203076</v>
      </c>
      <c r="AM1027" s="22">
        <f t="shared" si="348"/>
        <v>32230.422512168185</v>
      </c>
      <c r="AN1027" s="22">
        <f t="shared" si="349"/>
        <v>-5485.8404501374243</v>
      </c>
      <c r="AO1027" s="26" t="str">
        <f t="shared" si="350"/>
        <v>YES</v>
      </c>
      <c r="AP1027" s="26" t="str">
        <f t="shared" si="351"/>
        <v>pre-launch</v>
      </c>
      <c r="AQ1027" s="28">
        <v>112</v>
      </c>
      <c r="AR1027" s="28">
        <v>81</v>
      </c>
    </row>
    <row r="1028" spans="1:44" x14ac:dyDescent="0.25">
      <c r="A1028" s="43">
        <v>46089</v>
      </c>
      <c r="B1028" s="17">
        <v>3757524066.1199999</v>
      </c>
      <c r="C1028" s="17">
        <v>875541392.57000005</v>
      </c>
      <c r="D1028" s="17">
        <v>93022962</v>
      </c>
      <c r="E1028" s="19">
        <f t="shared" si="330"/>
        <v>4633065458.6899996</v>
      </c>
      <c r="F1028" s="19">
        <f t="shared" si="331"/>
        <v>4726088420.6899996</v>
      </c>
      <c r="G1028" s="20">
        <f t="shared" si="332"/>
        <v>0.18897669380599677</v>
      </c>
      <c r="H1028" s="17">
        <v>1780540</v>
      </c>
      <c r="I1028" s="17">
        <v>38422</v>
      </c>
      <c r="J1028" s="17">
        <v>15868</v>
      </c>
      <c r="K1028" s="19">
        <f t="shared" si="333"/>
        <v>1818962</v>
      </c>
      <c r="L1028" s="17">
        <v>75587.461527445106</v>
      </c>
      <c r="M1028" s="17">
        <v>40520.107271982197</v>
      </c>
      <c r="N1028" s="17">
        <v>35067.354255462902</v>
      </c>
      <c r="O1028" s="19">
        <f t="shared" si="334"/>
        <v>1704952.5384725549</v>
      </c>
      <c r="P1028" s="21">
        <f t="shared" si="335"/>
        <v>4.5374361107767438</v>
      </c>
      <c r="Q1028" s="17">
        <v>1541844</v>
      </c>
      <c r="R1028" s="17">
        <v>29097</v>
      </c>
      <c r="S1028" s="19">
        <f t="shared" si="336"/>
        <v>1570941</v>
      </c>
      <c r="T1028" s="20">
        <f t="shared" si="337"/>
        <v>0.01</v>
      </c>
      <c r="U1028" s="19">
        <f t="shared" si="338"/>
        <v>15868.09090909091</v>
      </c>
      <c r="V1028" s="17">
        <v>15868</v>
      </c>
      <c r="W1028" s="19">
        <f t="shared" si="339"/>
        <v>9.0909090909917722E-2</v>
      </c>
      <c r="X1028" s="19">
        <f t="shared" si="340"/>
        <v>248021</v>
      </c>
      <c r="Y1028" s="17">
        <v>238696</v>
      </c>
      <c r="Z1028" s="17">
        <v>9325</v>
      </c>
      <c r="AA1028" s="19">
        <f t="shared" si="341"/>
        <v>232153</v>
      </c>
      <c r="AB1028" s="17">
        <v>1570941</v>
      </c>
      <c r="AC1028" s="27">
        <v>30.716999999999999</v>
      </c>
      <c r="AD1028" s="27">
        <v>30.47775</v>
      </c>
      <c r="AE1028" s="22">
        <f t="shared" si="342"/>
        <v>51543.863966336095</v>
      </c>
      <c r="AF1028" s="23">
        <f t="shared" si="343"/>
        <v>0</v>
      </c>
      <c r="AG1028" s="23">
        <f t="shared" si="344"/>
        <v>0</v>
      </c>
      <c r="AH1028" s="17">
        <v>1178361.8305909601</v>
      </c>
      <c r="AI1028" s="24">
        <f t="shared" si="345"/>
        <v>0.75009935483952617</v>
      </c>
      <c r="AJ1028" s="25">
        <v>424286411.50230402</v>
      </c>
      <c r="AK1028" s="24">
        <f t="shared" si="346"/>
        <v>2.3011704060409567E-2</v>
      </c>
      <c r="AL1028" s="22">
        <f t="shared" si="347"/>
        <v>26749.46120094294</v>
      </c>
      <c r="AM1028" s="22">
        <f t="shared" si="348"/>
        <v>51543.863966336095</v>
      </c>
      <c r="AN1028" s="22">
        <f t="shared" si="349"/>
        <v>-24794.402765393155</v>
      </c>
      <c r="AO1028" s="26" t="str">
        <f t="shared" si="350"/>
        <v>YES</v>
      </c>
      <c r="AP1028" s="26" t="str">
        <f t="shared" si="351"/>
        <v>pre-launch</v>
      </c>
      <c r="AQ1028" s="28">
        <v>112</v>
      </c>
      <c r="AR1028" s="28">
        <v>82</v>
      </c>
    </row>
    <row r="1029" spans="1:44" x14ac:dyDescent="0.25">
      <c r="A1029" s="43">
        <v>46090</v>
      </c>
      <c r="B1029" s="17">
        <v>6133376257.3500004</v>
      </c>
      <c r="C1029" s="17">
        <v>4129289893.77</v>
      </c>
      <c r="D1029" s="17">
        <v>214665220</v>
      </c>
      <c r="E1029" s="19">
        <f t="shared" ref="E1029:E1092" si="352">B1029+C1029</f>
        <v>10262666151.120001</v>
      </c>
      <c r="F1029" s="19">
        <f t="shared" ref="F1029:F1092" si="353">E1029+D1029</f>
        <v>10477331371.120001</v>
      </c>
      <c r="G1029" s="20">
        <f t="shared" ref="G1029:G1092" si="354">IFERROR(C1029/E1029,0)</f>
        <v>0.40236034505705481</v>
      </c>
      <c r="H1029" s="17">
        <v>2921136</v>
      </c>
      <c r="I1029" s="17">
        <v>97117</v>
      </c>
      <c r="J1029" s="17">
        <v>26985</v>
      </c>
      <c r="K1029" s="19">
        <f t="shared" ref="K1029:K1092" si="355">H1029+I1029</f>
        <v>3018253</v>
      </c>
      <c r="L1029" s="17">
        <v>296415.59671573999</v>
      </c>
      <c r="M1029" s="17">
        <v>154592.35320929001</v>
      </c>
      <c r="N1029" s="17">
        <v>141823.24350645</v>
      </c>
      <c r="O1029" s="19">
        <f t="shared" ref="O1029:O1092" si="356">IF(H1029=0,0,H1029-L1029)</f>
        <v>2624720.4032842601</v>
      </c>
      <c r="P1029" s="21">
        <f t="shared" ref="P1029:P1092" si="357">IF(B1029=0,0,O1029/B1029*10000)</f>
        <v>4.279405490799455</v>
      </c>
      <c r="Q1029" s="17">
        <v>2596854</v>
      </c>
      <c r="R1029" s="17">
        <v>74733</v>
      </c>
      <c r="S1029" s="19">
        <f t="shared" ref="S1029:S1092" si="358">Q1029+R1029</f>
        <v>2671587</v>
      </c>
      <c r="T1029" s="20">
        <f t="shared" ref="T1029:T1092" si="359">IF(A1029&lt;HlpChangeDate,HlpSharePre,HlpSharePost)</f>
        <v>0.01</v>
      </c>
      <c r="U1029" s="19">
        <f t="shared" ref="U1029:U1092" si="360">S1029*T1029/(1-T1029)</f>
        <v>26985.727272727272</v>
      </c>
      <c r="V1029" s="17">
        <v>26985</v>
      </c>
      <c r="W1029" s="19">
        <f t="shared" ref="W1029:W1092" si="361">U1029-V1029</f>
        <v>0.72727272727206582</v>
      </c>
      <c r="X1029" s="19">
        <f t="shared" ref="X1029:X1092" si="362">Y1029+Z1029</f>
        <v>346666</v>
      </c>
      <c r="Y1029" s="17">
        <v>324283</v>
      </c>
      <c r="Z1029" s="17">
        <v>22383</v>
      </c>
      <c r="AA1029" s="19">
        <f t="shared" ref="AA1029:AA1092" si="363">X1029-V1029</f>
        <v>319681</v>
      </c>
      <c r="AB1029" s="17">
        <v>2671587</v>
      </c>
      <c r="AC1029" s="27">
        <v>34.682000000000002</v>
      </c>
      <c r="AD1029" s="27">
        <v>32.750999999999998</v>
      </c>
      <c r="AE1029" s="22">
        <f t="shared" ref="AE1029:AE1092" si="364">IFERROR(AB1029/AD1029,0)</f>
        <v>81572.684803517463</v>
      </c>
      <c r="AF1029" s="23">
        <f t="shared" ref="AF1029:AF1092" si="365">K1029-S1029-X1029</f>
        <v>0</v>
      </c>
      <c r="AG1029" s="23">
        <f t="shared" ref="AG1029:AG1092" si="366">S1029-AB1029</f>
        <v>0</v>
      </c>
      <c r="AH1029" s="17">
        <v>2124463.5223629498</v>
      </c>
      <c r="AI1029" s="24">
        <f t="shared" ref="AI1029:AI1092" si="367">IFERROR(AH1029/S1029,0)</f>
        <v>0.79520656537217382</v>
      </c>
      <c r="AJ1029" s="25">
        <v>424441178.24884802</v>
      </c>
      <c r="AK1029" s="24">
        <f t="shared" ref="AK1029:AK1092" si="368">IF(AJ1029&gt;0,AprCoef/SQRT(AJ1029),0)</f>
        <v>2.3007508224249042E-2</v>
      </c>
      <c r="AL1029" s="22">
        <f t="shared" ref="AL1029:AL1092" si="369">AJ1029*AK1029/365</f>
        <v>26754.339450055682</v>
      </c>
      <c r="AM1029" s="22">
        <f t="shared" ref="AM1029:AM1092" si="370">AE1029</f>
        <v>81572.684803517463</v>
      </c>
      <c r="AN1029" s="22">
        <f t="shared" ref="AN1029:AN1092" si="371">AL1029-AM1029</f>
        <v>-54818.34535346178</v>
      </c>
      <c r="AO1029" s="26" t="str">
        <f t="shared" ref="AO1029:AO1092" si="372">IF(A1029&gt;=Hip3LaunchDate,"YES","")</f>
        <v>YES</v>
      </c>
      <c r="AP1029" s="26" t="str">
        <f t="shared" ref="AP1029:AP1092" si="373">IF(A1029&lt;Hip4LaunchDate,"pre-launch","live (zero-fee)")</f>
        <v>pre-launch</v>
      </c>
      <c r="AQ1029" s="28">
        <v>112</v>
      </c>
      <c r="AR1029" s="28">
        <v>82</v>
      </c>
    </row>
    <row r="1030" spans="1:44" x14ac:dyDescent="0.25">
      <c r="A1030" s="43">
        <v>46091</v>
      </c>
      <c r="B1030" s="17">
        <v>5305133316.71</v>
      </c>
      <c r="C1030" s="17">
        <v>2699625399.3899999</v>
      </c>
      <c r="D1030" s="17">
        <v>138168410</v>
      </c>
      <c r="E1030" s="19">
        <f t="shared" si="352"/>
        <v>8004758716.1000004</v>
      </c>
      <c r="F1030" s="19">
        <f t="shared" si="353"/>
        <v>8142927126.1000004</v>
      </c>
      <c r="G1030" s="20">
        <f t="shared" si="354"/>
        <v>0.33725256377312579</v>
      </c>
      <c r="H1030" s="17">
        <v>2569896</v>
      </c>
      <c r="I1030" s="17">
        <v>65840</v>
      </c>
      <c r="J1030" s="17">
        <v>23581</v>
      </c>
      <c r="K1030" s="19">
        <f t="shared" si="355"/>
        <v>2635736</v>
      </c>
      <c r="L1030" s="17">
        <v>213207.26838267699</v>
      </c>
      <c r="M1030" s="17">
        <v>112186.244618543</v>
      </c>
      <c r="N1030" s="17">
        <v>101021.023764135</v>
      </c>
      <c r="O1030" s="19">
        <f t="shared" si="356"/>
        <v>2356688.7316173231</v>
      </c>
      <c r="P1030" s="21">
        <f t="shared" si="357"/>
        <v>4.4422799408155749</v>
      </c>
      <c r="Q1030" s="17">
        <v>2283759</v>
      </c>
      <c r="R1030" s="17">
        <v>50782</v>
      </c>
      <c r="S1030" s="19">
        <f t="shared" si="358"/>
        <v>2334541</v>
      </c>
      <c r="T1030" s="20">
        <f t="shared" si="359"/>
        <v>0.01</v>
      </c>
      <c r="U1030" s="19">
        <f t="shared" si="360"/>
        <v>23581.222222222223</v>
      </c>
      <c r="V1030" s="17">
        <v>23581</v>
      </c>
      <c r="W1030" s="19">
        <f t="shared" si="361"/>
        <v>0.22222222222262644</v>
      </c>
      <c r="X1030" s="19">
        <f t="shared" si="362"/>
        <v>301194</v>
      </c>
      <c r="Y1030" s="17">
        <v>286136</v>
      </c>
      <c r="Z1030" s="17">
        <v>15058</v>
      </c>
      <c r="AA1030" s="19">
        <f t="shared" si="363"/>
        <v>277613</v>
      </c>
      <c r="AB1030" s="17">
        <v>2334541</v>
      </c>
      <c r="AC1030" s="27">
        <v>34.191000000000003</v>
      </c>
      <c r="AD1030" s="27">
        <v>34.389000000000003</v>
      </c>
      <c r="AE1030" s="22">
        <f t="shared" si="364"/>
        <v>67886.27177295064</v>
      </c>
      <c r="AF1030" s="23">
        <f t="shared" si="365"/>
        <v>1</v>
      </c>
      <c r="AG1030" s="23">
        <f t="shared" si="366"/>
        <v>0</v>
      </c>
      <c r="AH1030" s="17">
        <v>1811573.9217679501</v>
      </c>
      <c r="AI1030" s="24">
        <f t="shared" si="367"/>
        <v>0.7759871948138628</v>
      </c>
      <c r="AJ1030" s="25">
        <v>424595944.99539202</v>
      </c>
      <c r="AK1030" s="24">
        <f t="shared" si="368"/>
        <v>2.3003314682393642E-2</v>
      </c>
      <c r="AL1030" s="22">
        <f t="shared" si="369"/>
        <v>26759.216809855632</v>
      </c>
      <c r="AM1030" s="22">
        <f t="shared" si="370"/>
        <v>67886.27177295064</v>
      </c>
      <c r="AN1030" s="22">
        <f t="shared" si="371"/>
        <v>-41127.054963095012</v>
      </c>
      <c r="AO1030" s="26" t="str">
        <f t="shared" si="372"/>
        <v>YES</v>
      </c>
      <c r="AP1030" s="26" t="str">
        <f t="shared" si="373"/>
        <v>pre-launch</v>
      </c>
      <c r="AQ1030" s="28">
        <v>114</v>
      </c>
      <c r="AR1030" s="28">
        <v>84</v>
      </c>
    </row>
    <row r="1031" spans="1:44" x14ac:dyDescent="0.25">
      <c r="A1031" s="43">
        <v>46092</v>
      </c>
      <c r="B1031" s="17">
        <v>4413251988.9399996</v>
      </c>
      <c r="C1031" s="17">
        <v>2321195729.1700001</v>
      </c>
      <c r="D1031" s="17">
        <v>153775554</v>
      </c>
      <c r="E1031" s="19">
        <f t="shared" si="352"/>
        <v>6734447718.1099997</v>
      </c>
      <c r="F1031" s="19">
        <f t="shared" si="353"/>
        <v>6888223272.1099997</v>
      </c>
      <c r="G1031" s="20">
        <f t="shared" si="354"/>
        <v>0.34467499434703991</v>
      </c>
      <c r="H1031" s="17">
        <v>1946525</v>
      </c>
      <c r="I1031" s="17">
        <v>79918</v>
      </c>
      <c r="J1031" s="17">
        <v>18307</v>
      </c>
      <c r="K1031" s="19">
        <f t="shared" si="355"/>
        <v>2026443</v>
      </c>
      <c r="L1031" s="17">
        <v>177556.74057759199</v>
      </c>
      <c r="M1031" s="17">
        <v>93169.149925299105</v>
      </c>
      <c r="N1031" s="17">
        <v>84387.590652293205</v>
      </c>
      <c r="O1031" s="19">
        <f t="shared" si="356"/>
        <v>1768968.259422408</v>
      </c>
      <c r="P1031" s="21">
        <f t="shared" si="357"/>
        <v>4.0083101165661947</v>
      </c>
      <c r="Q1031" s="17">
        <v>1748526</v>
      </c>
      <c r="R1031" s="17">
        <v>63829</v>
      </c>
      <c r="S1031" s="19">
        <f t="shared" si="358"/>
        <v>1812355</v>
      </c>
      <c r="T1031" s="20">
        <f t="shared" si="359"/>
        <v>0.01</v>
      </c>
      <c r="U1031" s="19">
        <f t="shared" si="360"/>
        <v>18306.616161616163</v>
      </c>
      <c r="V1031" s="17">
        <v>18307</v>
      </c>
      <c r="W1031" s="19">
        <f t="shared" si="361"/>
        <v>-0.38383838383742841</v>
      </c>
      <c r="X1031" s="19">
        <f t="shared" si="362"/>
        <v>214090</v>
      </c>
      <c r="Y1031" s="17">
        <v>198000</v>
      </c>
      <c r="Z1031" s="17">
        <v>16090</v>
      </c>
      <c r="AA1031" s="19">
        <f t="shared" si="363"/>
        <v>195783</v>
      </c>
      <c r="AB1031" s="17">
        <v>1812355</v>
      </c>
      <c r="AC1031" s="27">
        <v>36.22</v>
      </c>
      <c r="AD1031" s="27">
        <v>35.371749999999999</v>
      </c>
      <c r="AE1031" s="22">
        <f t="shared" si="364"/>
        <v>51237.357495741657</v>
      </c>
      <c r="AF1031" s="23">
        <f t="shared" si="365"/>
        <v>-2</v>
      </c>
      <c r="AG1031" s="23">
        <f t="shared" si="366"/>
        <v>0</v>
      </c>
      <c r="AH1031" s="17">
        <v>1451958.9881861201</v>
      </c>
      <c r="AI1031" s="24">
        <f t="shared" si="367"/>
        <v>0.80114491266121701</v>
      </c>
      <c r="AJ1031" s="25">
        <v>424750711.74193603</v>
      </c>
      <c r="AK1031" s="24">
        <f t="shared" si="368"/>
        <v>2.2999123432753229E-2</v>
      </c>
      <c r="AL1031" s="22">
        <f t="shared" si="369"/>
        <v>26764.093280828969</v>
      </c>
      <c r="AM1031" s="22">
        <f t="shared" si="370"/>
        <v>51237.357495741657</v>
      </c>
      <c r="AN1031" s="22">
        <f t="shared" si="371"/>
        <v>-24473.264214912688</v>
      </c>
      <c r="AO1031" s="26" t="str">
        <f t="shared" si="372"/>
        <v>YES</v>
      </c>
      <c r="AP1031" s="26" t="str">
        <f t="shared" si="373"/>
        <v>pre-launch</v>
      </c>
      <c r="AQ1031" s="28">
        <v>115</v>
      </c>
      <c r="AR1031" s="28">
        <v>85</v>
      </c>
    </row>
    <row r="1032" spans="1:44" x14ac:dyDescent="0.25">
      <c r="A1032" s="43">
        <v>46093</v>
      </c>
      <c r="B1032" s="17">
        <v>4232718804.1700001</v>
      </c>
      <c r="C1032" s="17">
        <v>2718505715.4200001</v>
      </c>
      <c r="D1032" s="17">
        <v>157881742</v>
      </c>
      <c r="E1032" s="19">
        <f t="shared" si="352"/>
        <v>6951224519.5900002</v>
      </c>
      <c r="F1032" s="19">
        <f t="shared" si="353"/>
        <v>7109106261.5900002</v>
      </c>
      <c r="G1032" s="20">
        <f t="shared" si="354"/>
        <v>0.39108299663730961</v>
      </c>
      <c r="H1032" s="17">
        <v>1963750</v>
      </c>
      <c r="I1032" s="17">
        <v>74559</v>
      </c>
      <c r="J1032" s="17">
        <v>18215</v>
      </c>
      <c r="K1032" s="19">
        <f t="shared" si="355"/>
        <v>2038309</v>
      </c>
      <c r="L1032" s="17">
        <v>208845.08179477599</v>
      </c>
      <c r="M1032" s="17">
        <v>108402.576256428</v>
      </c>
      <c r="N1032" s="17">
        <v>100442.505538347</v>
      </c>
      <c r="O1032" s="19">
        <f t="shared" si="356"/>
        <v>1754904.918205224</v>
      </c>
      <c r="P1032" s="21">
        <f t="shared" si="357"/>
        <v>4.1460465469057919</v>
      </c>
      <c r="Q1032" s="17">
        <v>1748647</v>
      </c>
      <c r="R1032" s="17">
        <v>54617</v>
      </c>
      <c r="S1032" s="19">
        <f t="shared" si="358"/>
        <v>1803264</v>
      </c>
      <c r="T1032" s="20">
        <f t="shared" si="359"/>
        <v>0.01</v>
      </c>
      <c r="U1032" s="19">
        <f t="shared" si="360"/>
        <v>18214.78787878788</v>
      </c>
      <c r="V1032" s="17">
        <v>18215</v>
      </c>
      <c r="W1032" s="19">
        <f t="shared" si="361"/>
        <v>-0.2121212121201097</v>
      </c>
      <c r="X1032" s="19">
        <f t="shared" si="362"/>
        <v>235044</v>
      </c>
      <c r="Y1032" s="17">
        <v>215102</v>
      </c>
      <c r="Z1032" s="17">
        <v>19942</v>
      </c>
      <c r="AA1032" s="19">
        <f t="shared" si="363"/>
        <v>216829</v>
      </c>
      <c r="AB1032" s="17">
        <v>1803264</v>
      </c>
      <c r="AC1032" s="27">
        <v>37.280999999999999</v>
      </c>
      <c r="AD1032" s="27">
        <v>36.834249999999997</v>
      </c>
      <c r="AE1032" s="22">
        <f t="shared" si="364"/>
        <v>48956.175298804781</v>
      </c>
      <c r="AF1032" s="23">
        <f t="shared" si="365"/>
        <v>1</v>
      </c>
      <c r="AG1032" s="23">
        <f t="shared" si="366"/>
        <v>0</v>
      </c>
      <c r="AH1032" s="17">
        <v>1466620.4300768401</v>
      </c>
      <c r="AI1032" s="24">
        <f t="shared" si="367"/>
        <v>0.81331431785741859</v>
      </c>
      <c r="AJ1032" s="25">
        <v>424905478.48847902</v>
      </c>
      <c r="AK1032" s="24">
        <f t="shared" si="368"/>
        <v>2.2994934473240362E-2</v>
      </c>
      <c r="AL1032" s="22">
        <f t="shared" si="369"/>
        <v>26768.968863461418</v>
      </c>
      <c r="AM1032" s="22">
        <f t="shared" si="370"/>
        <v>48956.175298804781</v>
      </c>
      <c r="AN1032" s="22">
        <f t="shared" si="371"/>
        <v>-22187.206435343363</v>
      </c>
      <c r="AO1032" s="26" t="str">
        <f t="shared" si="372"/>
        <v>YES</v>
      </c>
      <c r="AP1032" s="26" t="str">
        <f t="shared" si="373"/>
        <v>pre-launch</v>
      </c>
      <c r="AQ1032" s="28">
        <v>116</v>
      </c>
      <c r="AR1032" s="28">
        <v>85</v>
      </c>
    </row>
    <row r="1033" spans="1:44" x14ac:dyDescent="0.25">
      <c r="A1033" s="43">
        <v>46094</v>
      </c>
      <c r="B1033" s="17">
        <v>5911524982.1199999</v>
      </c>
      <c r="C1033" s="17">
        <v>2101414975.8399999</v>
      </c>
      <c r="D1033" s="17">
        <v>182728315</v>
      </c>
      <c r="E1033" s="19">
        <f t="shared" si="352"/>
        <v>8012939957.96</v>
      </c>
      <c r="F1033" s="19">
        <f t="shared" si="353"/>
        <v>8195668272.96</v>
      </c>
      <c r="G1033" s="20">
        <f t="shared" si="354"/>
        <v>0.26225267964880589</v>
      </c>
      <c r="H1033" s="17">
        <v>2653568</v>
      </c>
      <c r="I1033" s="17">
        <v>81922</v>
      </c>
      <c r="J1033" s="17">
        <v>24678</v>
      </c>
      <c r="K1033" s="19">
        <f t="shared" si="355"/>
        <v>2735490</v>
      </c>
      <c r="L1033" s="17">
        <v>193009.41312407199</v>
      </c>
      <c r="M1033" s="17">
        <v>101704.929942369</v>
      </c>
      <c r="N1033" s="17">
        <v>91304.483181703195</v>
      </c>
      <c r="O1033" s="19">
        <f t="shared" si="356"/>
        <v>2460558.5868759281</v>
      </c>
      <c r="P1033" s="21">
        <f t="shared" si="357"/>
        <v>4.1623076859492842</v>
      </c>
      <c r="Q1033" s="17">
        <v>2377525</v>
      </c>
      <c r="R1033" s="17">
        <v>65639</v>
      </c>
      <c r="S1033" s="19">
        <f t="shared" si="358"/>
        <v>2443164</v>
      </c>
      <c r="T1033" s="20">
        <f t="shared" si="359"/>
        <v>0.01</v>
      </c>
      <c r="U1033" s="19">
        <f t="shared" si="360"/>
        <v>24678.424242424244</v>
      </c>
      <c r="V1033" s="17">
        <v>24678</v>
      </c>
      <c r="W1033" s="19">
        <f t="shared" si="361"/>
        <v>0.42424242424385739</v>
      </c>
      <c r="X1033" s="19">
        <f t="shared" si="362"/>
        <v>292326</v>
      </c>
      <c r="Y1033" s="17">
        <v>276043</v>
      </c>
      <c r="Z1033" s="17">
        <v>16283</v>
      </c>
      <c r="AA1033" s="19">
        <f t="shared" si="363"/>
        <v>267648</v>
      </c>
      <c r="AB1033" s="17">
        <v>2443164</v>
      </c>
      <c r="AC1033" s="27">
        <v>36.460999999999999</v>
      </c>
      <c r="AD1033" s="27">
        <v>37.064</v>
      </c>
      <c r="AE1033" s="22">
        <f t="shared" si="364"/>
        <v>65917.440103604575</v>
      </c>
      <c r="AF1033" s="23">
        <f t="shared" si="365"/>
        <v>0</v>
      </c>
      <c r="AG1033" s="23">
        <f t="shared" si="366"/>
        <v>0</v>
      </c>
      <c r="AH1033" s="17">
        <v>1956157.01508713</v>
      </c>
      <c r="AI1033" s="24">
        <f t="shared" si="367"/>
        <v>0.80066545474930462</v>
      </c>
      <c r="AJ1033" s="25">
        <v>425060245.23502302</v>
      </c>
      <c r="AK1033" s="24">
        <f t="shared" si="368"/>
        <v>2.2990747801770173E-2</v>
      </c>
      <c r="AL1033" s="22">
        <f t="shared" si="369"/>
        <v>26773.843558238346</v>
      </c>
      <c r="AM1033" s="22">
        <f t="shared" si="370"/>
        <v>65917.440103604575</v>
      </c>
      <c r="AN1033" s="22">
        <f t="shared" si="371"/>
        <v>-39143.596545366228</v>
      </c>
      <c r="AO1033" s="26" t="str">
        <f t="shared" si="372"/>
        <v>YES</v>
      </c>
      <c r="AP1033" s="26" t="str">
        <f t="shared" si="373"/>
        <v>pre-launch</v>
      </c>
      <c r="AQ1033" s="28">
        <v>116</v>
      </c>
      <c r="AR1033" s="28">
        <v>85</v>
      </c>
    </row>
    <row r="1034" spans="1:44" x14ac:dyDescent="0.25">
      <c r="A1034" s="43">
        <v>46095</v>
      </c>
      <c r="B1034" s="17">
        <v>1960683156.5799999</v>
      </c>
      <c r="C1034" s="17">
        <v>631763413.63999999</v>
      </c>
      <c r="D1034" s="17">
        <v>81103244</v>
      </c>
      <c r="E1034" s="19">
        <f t="shared" si="352"/>
        <v>2592446570.2199998</v>
      </c>
      <c r="F1034" s="19">
        <f t="shared" si="353"/>
        <v>2673549814.2199998</v>
      </c>
      <c r="G1034" s="20">
        <f t="shared" si="354"/>
        <v>0.24369389938338726</v>
      </c>
      <c r="H1034" s="17">
        <v>899107</v>
      </c>
      <c r="I1034" s="17">
        <v>42502</v>
      </c>
      <c r="J1034" s="17">
        <v>8250</v>
      </c>
      <c r="K1034" s="19">
        <f t="shared" si="355"/>
        <v>941609</v>
      </c>
      <c r="L1034" s="17">
        <v>47241.421471271002</v>
      </c>
      <c r="M1034" s="17">
        <v>25208.450733568799</v>
      </c>
      <c r="N1034" s="17">
        <v>22032.9707377021</v>
      </c>
      <c r="O1034" s="19">
        <f t="shared" si="356"/>
        <v>851865.57852872903</v>
      </c>
      <c r="P1034" s="21">
        <f t="shared" si="357"/>
        <v>4.3447385961872067</v>
      </c>
      <c r="Q1034" s="17">
        <v>782588</v>
      </c>
      <c r="R1034" s="17">
        <v>34134</v>
      </c>
      <c r="S1034" s="19">
        <f t="shared" si="358"/>
        <v>816722</v>
      </c>
      <c r="T1034" s="20">
        <f t="shared" si="359"/>
        <v>0.01</v>
      </c>
      <c r="U1034" s="19">
        <f t="shared" si="360"/>
        <v>8249.7171717171714</v>
      </c>
      <c r="V1034" s="17">
        <v>8250</v>
      </c>
      <c r="W1034" s="19">
        <f t="shared" si="361"/>
        <v>-0.28282828282863193</v>
      </c>
      <c r="X1034" s="19">
        <f t="shared" si="362"/>
        <v>124885</v>
      </c>
      <c r="Y1034" s="17">
        <v>116518</v>
      </c>
      <c r="Z1034" s="17">
        <v>8367</v>
      </c>
      <c r="AA1034" s="19">
        <f t="shared" si="363"/>
        <v>116635</v>
      </c>
      <c r="AB1034" s="17">
        <v>816722</v>
      </c>
      <c r="AC1034" s="27">
        <v>37.826000000000001</v>
      </c>
      <c r="AD1034" s="27">
        <v>37.371250000000003</v>
      </c>
      <c r="AE1034" s="22">
        <f t="shared" si="364"/>
        <v>21854.286383249153</v>
      </c>
      <c r="AF1034" s="23">
        <f t="shared" si="365"/>
        <v>2</v>
      </c>
      <c r="AG1034" s="23">
        <f t="shared" si="366"/>
        <v>0</v>
      </c>
      <c r="AH1034" s="17">
        <v>639637.61679601704</v>
      </c>
      <c r="AI1034" s="24">
        <f t="shared" si="367"/>
        <v>0.78317667063703078</v>
      </c>
      <c r="AJ1034" s="25">
        <v>425215011.98156703</v>
      </c>
      <c r="AK1034" s="24">
        <f t="shared" si="368"/>
        <v>2.2986563416260541E-2</v>
      </c>
      <c r="AL1034" s="22">
        <f t="shared" si="369"/>
        <v>26778.717365644592</v>
      </c>
      <c r="AM1034" s="22">
        <f t="shared" si="370"/>
        <v>21854.286383249153</v>
      </c>
      <c r="AN1034" s="22">
        <f t="shared" si="371"/>
        <v>4924.4309823954391</v>
      </c>
      <c r="AO1034" s="26" t="str">
        <f t="shared" si="372"/>
        <v>YES</v>
      </c>
      <c r="AP1034" s="26" t="str">
        <f t="shared" si="373"/>
        <v>pre-launch</v>
      </c>
      <c r="AQ1034" s="28">
        <v>116</v>
      </c>
      <c r="AR1034" s="28">
        <v>85</v>
      </c>
    </row>
    <row r="1035" spans="1:44" x14ac:dyDescent="0.25">
      <c r="A1035" s="43">
        <v>46096</v>
      </c>
      <c r="B1035" s="17">
        <v>2957907186.0799999</v>
      </c>
      <c r="C1035" s="17">
        <v>963730907.55999994</v>
      </c>
      <c r="D1035" s="17">
        <v>70648682</v>
      </c>
      <c r="E1035" s="19">
        <f t="shared" si="352"/>
        <v>3921638093.6399999</v>
      </c>
      <c r="F1035" s="19">
        <f t="shared" si="353"/>
        <v>3992286775.6399999</v>
      </c>
      <c r="G1035" s="20">
        <f t="shared" si="354"/>
        <v>0.24574702829487277</v>
      </c>
      <c r="H1035" s="17">
        <v>1401696</v>
      </c>
      <c r="I1035" s="17">
        <v>31407</v>
      </c>
      <c r="J1035" s="17">
        <v>12798</v>
      </c>
      <c r="K1035" s="19">
        <f t="shared" si="355"/>
        <v>1433103</v>
      </c>
      <c r="L1035" s="17">
        <v>83840.959329433506</v>
      </c>
      <c r="M1035" s="17">
        <v>44461.028229514799</v>
      </c>
      <c r="N1035" s="17">
        <v>39379.931099918802</v>
      </c>
      <c r="O1035" s="19">
        <f t="shared" si="356"/>
        <v>1317855.0406705665</v>
      </c>
      <c r="P1035" s="21">
        <f t="shared" si="357"/>
        <v>4.4553630582880759</v>
      </c>
      <c r="Q1035" s="17">
        <v>1244657</v>
      </c>
      <c r="R1035" s="17">
        <v>22322</v>
      </c>
      <c r="S1035" s="19">
        <f t="shared" si="358"/>
        <v>1266979</v>
      </c>
      <c r="T1035" s="20">
        <f t="shared" si="359"/>
        <v>0.01</v>
      </c>
      <c r="U1035" s="19">
        <f t="shared" si="360"/>
        <v>12797.767676767678</v>
      </c>
      <c r="V1035" s="17">
        <v>12798</v>
      </c>
      <c r="W1035" s="19">
        <f t="shared" si="361"/>
        <v>-0.2323232323215052</v>
      </c>
      <c r="X1035" s="19">
        <f t="shared" si="362"/>
        <v>166124</v>
      </c>
      <c r="Y1035" s="17">
        <v>157039</v>
      </c>
      <c r="Z1035" s="17">
        <v>9085</v>
      </c>
      <c r="AA1035" s="19">
        <f t="shared" si="363"/>
        <v>153326</v>
      </c>
      <c r="AB1035" s="17">
        <v>1266979</v>
      </c>
      <c r="AC1035" s="27">
        <v>37.270000000000003</v>
      </c>
      <c r="AD1035" s="27">
        <v>37.539749999999998</v>
      </c>
      <c r="AE1035" s="22">
        <f t="shared" si="364"/>
        <v>33750.331315472271</v>
      </c>
      <c r="AF1035" s="23">
        <f t="shared" si="365"/>
        <v>0</v>
      </c>
      <c r="AG1035" s="23">
        <f t="shared" si="366"/>
        <v>0</v>
      </c>
      <c r="AH1035" s="17">
        <v>982229.15292191505</v>
      </c>
      <c r="AI1035" s="24">
        <f t="shared" si="367"/>
        <v>0.77525290705048389</v>
      </c>
      <c r="AJ1035" s="25">
        <v>425369778.72811103</v>
      </c>
      <c r="AK1035" s="24">
        <f t="shared" si="368"/>
        <v>2.2982381314631959E-2</v>
      </c>
      <c r="AL1035" s="22">
        <f t="shared" si="369"/>
        <v>26783.590286164574</v>
      </c>
      <c r="AM1035" s="22">
        <f t="shared" si="370"/>
        <v>33750.331315472271</v>
      </c>
      <c r="AN1035" s="22">
        <f t="shared" si="371"/>
        <v>-6966.7410293076973</v>
      </c>
      <c r="AO1035" s="26" t="str">
        <f t="shared" si="372"/>
        <v>YES</v>
      </c>
      <c r="AP1035" s="26" t="str">
        <f t="shared" si="373"/>
        <v>pre-launch</v>
      </c>
      <c r="AQ1035" s="28">
        <v>116</v>
      </c>
      <c r="AR1035" s="28">
        <v>85</v>
      </c>
    </row>
    <row r="1036" spans="1:44" x14ac:dyDescent="0.25">
      <c r="A1036" s="43">
        <v>46097</v>
      </c>
      <c r="B1036" s="17">
        <v>6531047568.4399996</v>
      </c>
      <c r="C1036" s="17">
        <v>2059851992.0899999</v>
      </c>
      <c r="D1036" s="17">
        <v>184912298</v>
      </c>
      <c r="E1036" s="19">
        <f t="shared" si="352"/>
        <v>8590899560.5299988</v>
      </c>
      <c r="F1036" s="19">
        <f t="shared" si="353"/>
        <v>8775811858.5299988</v>
      </c>
      <c r="G1036" s="20">
        <f t="shared" si="354"/>
        <v>0.23977139734630087</v>
      </c>
      <c r="H1036" s="17">
        <v>2864970</v>
      </c>
      <c r="I1036" s="17">
        <v>90856</v>
      </c>
      <c r="J1036" s="17">
        <v>27025</v>
      </c>
      <c r="K1036" s="19">
        <f t="shared" si="355"/>
        <v>2955826</v>
      </c>
      <c r="L1036" s="17">
        <v>169967.267374747</v>
      </c>
      <c r="M1036" s="17">
        <v>93212.974657016093</v>
      </c>
      <c r="N1036" s="17">
        <v>76754.292717730597</v>
      </c>
      <c r="O1036" s="19">
        <f t="shared" si="356"/>
        <v>2695002.732625253</v>
      </c>
      <c r="P1036" s="21">
        <f t="shared" si="357"/>
        <v>4.1264478697848146</v>
      </c>
      <c r="Q1036" s="17">
        <v>2606001</v>
      </c>
      <c r="R1036" s="17">
        <v>69669</v>
      </c>
      <c r="S1036" s="19">
        <f t="shared" si="358"/>
        <v>2675670</v>
      </c>
      <c r="T1036" s="20">
        <f t="shared" si="359"/>
        <v>0.01</v>
      </c>
      <c r="U1036" s="19">
        <f t="shared" si="360"/>
        <v>27026.9696969697</v>
      </c>
      <c r="V1036" s="17">
        <v>27025</v>
      </c>
      <c r="W1036" s="19">
        <f t="shared" si="361"/>
        <v>1.9696969696997257</v>
      </c>
      <c r="X1036" s="19">
        <f t="shared" si="362"/>
        <v>280156</v>
      </c>
      <c r="Y1036" s="17">
        <v>258969</v>
      </c>
      <c r="Z1036" s="17">
        <v>21187</v>
      </c>
      <c r="AA1036" s="19">
        <f t="shared" si="363"/>
        <v>253131</v>
      </c>
      <c r="AB1036" s="17">
        <v>2675670</v>
      </c>
      <c r="AC1036" s="27">
        <v>40.793999999999997</v>
      </c>
      <c r="AD1036" s="27">
        <v>39.179499999999997</v>
      </c>
      <c r="AE1036" s="22">
        <f t="shared" si="364"/>
        <v>68292.601998494109</v>
      </c>
      <c r="AF1036" s="23">
        <f t="shared" si="365"/>
        <v>0</v>
      </c>
      <c r="AG1036" s="23">
        <f t="shared" si="366"/>
        <v>0</v>
      </c>
      <c r="AH1036" s="17">
        <v>2121058.9091310501</v>
      </c>
      <c r="AI1036" s="24">
        <f t="shared" si="367"/>
        <v>0.79272066776958672</v>
      </c>
      <c r="AJ1036" s="25">
        <v>425524545.47465402</v>
      </c>
      <c r="AK1036" s="24">
        <f t="shared" si="368"/>
        <v>2.2978201494807605E-2</v>
      </c>
      <c r="AL1036" s="22">
        <f t="shared" si="369"/>
        <v>26788.462320282248</v>
      </c>
      <c r="AM1036" s="22">
        <f t="shared" si="370"/>
        <v>68292.601998494109</v>
      </c>
      <c r="AN1036" s="22">
        <f t="shared" si="371"/>
        <v>-41504.139678211861</v>
      </c>
      <c r="AO1036" s="26" t="str">
        <f t="shared" si="372"/>
        <v>YES</v>
      </c>
      <c r="AP1036" s="26" t="str">
        <f t="shared" si="373"/>
        <v>pre-launch</v>
      </c>
      <c r="AQ1036" s="28">
        <v>116</v>
      </c>
      <c r="AR1036" s="28">
        <v>85</v>
      </c>
    </row>
    <row r="1037" spans="1:44" x14ac:dyDescent="0.25">
      <c r="A1037" s="43">
        <v>46098</v>
      </c>
      <c r="B1037" s="17">
        <v>5637136890.5299997</v>
      </c>
      <c r="C1037" s="17">
        <v>1418430243.02</v>
      </c>
      <c r="D1037" s="17">
        <v>150934969</v>
      </c>
      <c r="E1037" s="19">
        <f t="shared" si="352"/>
        <v>7055567133.5499992</v>
      </c>
      <c r="F1037" s="19">
        <f t="shared" si="353"/>
        <v>7206502102.5499992</v>
      </c>
      <c r="G1037" s="20">
        <f t="shared" si="354"/>
        <v>0.20103702738157048</v>
      </c>
      <c r="H1037" s="17">
        <v>2383712</v>
      </c>
      <c r="I1037" s="17">
        <v>71225</v>
      </c>
      <c r="J1037" s="17">
        <v>22259</v>
      </c>
      <c r="K1037" s="19">
        <f t="shared" si="355"/>
        <v>2454937</v>
      </c>
      <c r="L1037" s="17">
        <v>115129.589141374</v>
      </c>
      <c r="M1037" s="17">
        <v>62558.985259363202</v>
      </c>
      <c r="N1037" s="17">
        <v>52570.603882011303</v>
      </c>
      <c r="O1037" s="19">
        <f t="shared" si="356"/>
        <v>2268582.410858626</v>
      </c>
      <c r="P1037" s="21">
        <f t="shared" si="357"/>
        <v>4.0243521754273655</v>
      </c>
      <c r="Q1037" s="17">
        <v>2149345</v>
      </c>
      <c r="R1037" s="17">
        <v>54316</v>
      </c>
      <c r="S1037" s="19">
        <f t="shared" si="358"/>
        <v>2203661</v>
      </c>
      <c r="T1037" s="20">
        <f t="shared" si="359"/>
        <v>0.01</v>
      </c>
      <c r="U1037" s="19">
        <f t="shared" si="360"/>
        <v>22259.202020202021</v>
      </c>
      <c r="V1037" s="17">
        <v>22259</v>
      </c>
      <c r="W1037" s="19">
        <f t="shared" si="361"/>
        <v>0.20202020202123094</v>
      </c>
      <c r="X1037" s="19">
        <f t="shared" si="362"/>
        <v>251275</v>
      </c>
      <c r="Y1037" s="17">
        <v>234367</v>
      </c>
      <c r="Z1037" s="17">
        <v>16908</v>
      </c>
      <c r="AA1037" s="19">
        <f t="shared" si="363"/>
        <v>229016</v>
      </c>
      <c r="AB1037" s="17">
        <v>2203661</v>
      </c>
      <c r="AC1037" s="27">
        <v>41.173999999999999</v>
      </c>
      <c r="AD1037" s="27">
        <v>40.936500000000002</v>
      </c>
      <c r="AE1037" s="22">
        <f t="shared" si="364"/>
        <v>53831.201983559899</v>
      </c>
      <c r="AF1037" s="23">
        <f t="shared" si="365"/>
        <v>1</v>
      </c>
      <c r="AG1037" s="23">
        <f t="shared" si="366"/>
        <v>0</v>
      </c>
      <c r="AH1037" s="17">
        <v>1822405.2555899599</v>
      </c>
      <c r="AI1037" s="24">
        <f t="shared" si="367"/>
        <v>0.82698983899518119</v>
      </c>
      <c r="AJ1037" s="25">
        <v>425679312.22119802</v>
      </c>
      <c r="AK1037" s="24">
        <f t="shared" si="368"/>
        <v>2.2974023954713211E-2</v>
      </c>
      <c r="AL1037" s="22">
        <f t="shared" si="369"/>
        <v>26793.333468481225</v>
      </c>
      <c r="AM1037" s="22">
        <f t="shared" si="370"/>
        <v>53831.201983559899</v>
      </c>
      <c r="AN1037" s="22">
        <f t="shared" si="371"/>
        <v>-27037.868515078673</v>
      </c>
      <c r="AO1037" s="26" t="str">
        <f t="shared" si="372"/>
        <v>YES</v>
      </c>
      <c r="AP1037" s="26" t="str">
        <f t="shared" si="373"/>
        <v>pre-launch</v>
      </c>
      <c r="AQ1037" s="28">
        <v>116</v>
      </c>
      <c r="AR1037" s="28">
        <v>85</v>
      </c>
    </row>
    <row r="1038" spans="1:44" x14ac:dyDescent="0.25">
      <c r="A1038" s="43">
        <v>46099</v>
      </c>
      <c r="B1038" s="17">
        <v>6125236903.6099997</v>
      </c>
      <c r="C1038" s="17">
        <v>2452609457.6999998</v>
      </c>
      <c r="D1038" s="17">
        <v>201452297</v>
      </c>
      <c r="E1038" s="19">
        <f t="shared" si="352"/>
        <v>8577846361.3099995</v>
      </c>
      <c r="F1038" s="19">
        <f t="shared" si="353"/>
        <v>8779298658.3099995</v>
      </c>
      <c r="G1038" s="20">
        <f t="shared" si="354"/>
        <v>0.28592368694808845</v>
      </c>
      <c r="H1038" s="17">
        <v>2752355</v>
      </c>
      <c r="I1038" s="17">
        <v>100923</v>
      </c>
      <c r="J1038" s="17">
        <v>26272</v>
      </c>
      <c r="K1038" s="19">
        <f t="shared" si="355"/>
        <v>2853278</v>
      </c>
      <c r="L1038" s="17">
        <v>200167.85217314001</v>
      </c>
      <c r="M1038" s="17">
        <v>105654.88593807</v>
      </c>
      <c r="N1038" s="17">
        <v>94512.966235070795</v>
      </c>
      <c r="O1038" s="19">
        <f t="shared" si="356"/>
        <v>2552187.1478268602</v>
      </c>
      <c r="P1038" s="21">
        <f t="shared" si="357"/>
        <v>4.1666750004766193</v>
      </c>
      <c r="Q1038" s="17">
        <v>2514986</v>
      </c>
      <c r="R1038" s="17">
        <v>85894</v>
      </c>
      <c r="S1038" s="19">
        <f t="shared" si="358"/>
        <v>2600880</v>
      </c>
      <c r="T1038" s="20">
        <f t="shared" si="359"/>
        <v>0.01</v>
      </c>
      <c r="U1038" s="19">
        <f t="shared" si="360"/>
        <v>26271.515151515152</v>
      </c>
      <c r="V1038" s="17">
        <v>26272</v>
      </c>
      <c r="W1038" s="19">
        <f t="shared" si="361"/>
        <v>-0.48484848484804388</v>
      </c>
      <c r="X1038" s="19">
        <f t="shared" si="362"/>
        <v>252398</v>
      </c>
      <c r="Y1038" s="17">
        <v>237369</v>
      </c>
      <c r="Z1038" s="17">
        <v>15029</v>
      </c>
      <c r="AA1038" s="19">
        <f t="shared" si="363"/>
        <v>226126</v>
      </c>
      <c r="AB1038" s="17">
        <v>2600880</v>
      </c>
      <c r="AC1038" s="27">
        <v>42.1</v>
      </c>
      <c r="AD1038" s="27">
        <v>41.813249999999996</v>
      </c>
      <c r="AE1038" s="22">
        <f t="shared" si="364"/>
        <v>62202.292335563492</v>
      </c>
      <c r="AF1038" s="23">
        <f t="shared" si="365"/>
        <v>0</v>
      </c>
      <c r="AG1038" s="23">
        <f t="shared" si="366"/>
        <v>0</v>
      </c>
      <c r="AH1038" s="17">
        <v>2064325.83102799</v>
      </c>
      <c r="AI1038" s="24">
        <f t="shared" si="367"/>
        <v>0.79370283558948895</v>
      </c>
      <c r="AJ1038" s="25">
        <v>425834078.96774203</v>
      </c>
      <c r="AK1038" s="24">
        <f t="shared" si="368"/>
        <v>2.296984869227723E-2</v>
      </c>
      <c r="AL1038" s="22">
        <f t="shared" si="369"/>
        <v>26798.203731244568</v>
      </c>
      <c r="AM1038" s="22">
        <f t="shared" si="370"/>
        <v>62202.292335563492</v>
      </c>
      <c r="AN1038" s="22">
        <f t="shared" si="371"/>
        <v>-35404.088604318924</v>
      </c>
      <c r="AO1038" s="26" t="str">
        <f t="shared" si="372"/>
        <v>YES</v>
      </c>
      <c r="AP1038" s="26" t="str">
        <f t="shared" si="373"/>
        <v>pre-launch</v>
      </c>
      <c r="AQ1038" s="28">
        <v>118</v>
      </c>
      <c r="AR1038" s="28">
        <v>87</v>
      </c>
    </row>
    <row r="1039" spans="1:44" x14ac:dyDescent="0.25">
      <c r="A1039" s="43">
        <v>46100</v>
      </c>
      <c r="B1039" s="17">
        <v>5811944336.3299999</v>
      </c>
      <c r="C1039" s="17">
        <v>3946538604.3499999</v>
      </c>
      <c r="D1039" s="17">
        <v>172378544</v>
      </c>
      <c r="E1039" s="19">
        <f t="shared" si="352"/>
        <v>9758482940.6800003</v>
      </c>
      <c r="F1039" s="19">
        <f t="shared" si="353"/>
        <v>9930861484.6800003</v>
      </c>
      <c r="G1039" s="20">
        <f t="shared" si="354"/>
        <v>0.40442132535766806</v>
      </c>
      <c r="H1039" s="17">
        <v>2709227</v>
      </c>
      <c r="I1039" s="17">
        <v>85429</v>
      </c>
      <c r="J1039" s="17">
        <v>25691</v>
      </c>
      <c r="K1039" s="19">
        <f t="shared" si="355"/>
        <v>2794656</v>
      </c>
      <c r="L1039" s="17">
        <v>377792.569371527</v>
      </c>
      <c r="M1039" s="17">
        <v>193600.02326642201</v>
      </c>
      <c r="N1039" s="17">
        <v>184192.54610510601</v>
      </c>
      <c r="O1039" s="19">
        <f t="shared" si="356"/>
        <v>2331434.4306284729</v>
      </c>
      <c r="P1039" s="21">
        <f t="shared" si="357"/>
        <v>4.011453475310943</v>
      </c>
      <c r="Q1039" s="17">
        <v>2470527</v>
      </c>
      <c r="R1039" s="17">
        <v>72863</v>
      </c>
      <c r="S1039" s="19">
        <f t="shared" si="358"/>
        <v>2543390</v>
      </c>
      <c r="T1039" s="20">
        <f t="shared" si="359"/>
        <v>0.01</v>
      </c>
      <c r="U1039" s="19">
        <f t="shared" si="360"/>
        <v>25690.808080808081</v>
      </c>
      <c r="V1039" s="17">
        <v>25691</v>
      </c>
      <c r="W1039" s="19">
        <f t="shared" si="361"/>
        <v>-0.1919191919187142</v>
      </c>
      <c r="X1039" s="19">
        <f t="shared" si="362"/>
        <v>251265</v>
      </c>
      <c r="Y1039" s="17">
        <v>238700</v>
      </c>
      <c r="Z1039" s="17">
        <v>12565</v>
      </c>
      <c r="AA1039" s="19">
        <f t="shared" si="363"/>
        <v>225574</v>
      </c>
      <c r="AB1039" s="17">
        <v>2543390</v>
      </c>
      <c r="AC1039" s="27">
        <v>39.335000000000001</v>
      </c>
      <c r="AD1039" s="27">
        <v>40.541249999999998</v>
      </c>
      <c r="AE1039" s="22">
        <f t="shared" si="364"/>
        <v>62735.85545586286</v>
      </c>
      <c r="AF1039" s="23">
        <f t="shared" si="365"/>
        <v>1</v>
      </c>
      <c r="AG1039" s="23">
        <f t="shared" si="366"/>
        <v>0</v>
      </c>
      <c r="AH1039" s="17">
        <v>2092068.46619511</v>
      </c>
      <c r="AI1039" s="24">
        <f t="shared" si="367"/>
        <v>0.82255118805810745</v>
      </c>
      <c r="AJ1039" s="25">
        <v>425988845.71428603</v>
      </c>
      <c r="AK1039" s="24">
        <f t="shared" si="368"/>
        <v>2.2965675705430726E-2</v>
      </c>
      <c r="AL1039" s="22">
        <f t="shared" si="369"/>
        <v>26803.073109054949</v>
      </c>
      <c r="AM1039" s="22">
        <f t="shared" si="370"/>
        <v>62735.85545586286</v>
      </c>
      <c r="AN1039" s="22">
        <f t="shared" si="371"/>
        <v>-35932.782346807915</v>
      </c>
      <c r="AO1039" s="26" t="str">
        <f t="shared" si="372"/>
        <v>YES</v>
      </c>
      <c r="AP1039" s="26" t="str">
        <f t="shared" si="373"/>
        <v>pre-launch</v>
      </c>
      <c r="AQ1039" s="28">
        <v>118</v>
      </c>
      <c r="AR1039" s="28">
        <v>87</v>
      </c>
    </row>
    <row r="1040" spans="1:44" x14ac:dyDescent="0.25">
      <c r="A1040" s="43">
        <v>46101</v>
      </c>
      <c r="B1040" s="17">
        <v>4389707256.6499996</v>
      </c>
      <c r="C1040" s="17">
        <v>2324820773.9899998</v>
      </c>
      <c r="D1040" s="17">
        <v>115811184</v>
      </c>
      <c r="E1040" s="19">
        <f t="shared" si="352"/>
        <v>6714528030.6399994</v>
      </c>
      <c r="F1040" s="19">
        <f t="shared" si="353"/>
        <v>6830339214.6399994</v>
      </c>
      <c r="G1040" s="20">
        <f t="shared" si="354"/>
        <v>0.34623740691546534</v>
      </c>
      <c r="H1040" s="17">
        <v>2041365</v>
      </c>
      <c r="I1040" s="17">
        <v>55418</v>
      </c>
      <c r="J1040" s="17">
        <v>19137</v>
      </c>
      <c r="K1040" s="19">
        <f t="shared" si="355"/>
        <v>2096783</v>
      </c>
      <c r="L1040" s="17">
        <v>232165.50423793099</v>
      </c>
      <c r="M1040" s="17">
        <v>119609.077981429</v>
      </c>
      <c r="N1040" s="17">
        <v>112556.426256502</v>
      </c>
      <c r="O1040" s="19">
        <f t="shared" si="356"/>
        <v>1809199.495762069</v>
      </c>
      <c r="P1040" s="21">
        <f t="shared" si="357"/>
        <v>4.1214581975171569</v>
      </c>
      <c r="Q1040" s="17">
        <v>1849593</v>
      </c>
      <c r="R1040" s="17">
        <v>44927</v>
      </c>
      <c r="S1040" s="19">
        <f t="shared" si="358"/>
        <v>1894520</v>
      </c>
      <c r="T1040" s="20">
        <f t="shared" si="359"/>
        <v>0.01</v>
      </c>
      <c r="U1040" s="19">
        <f t="shared" si="360"/>
        <v>19136.565656565657</v>
      </c>
      <c r="V1040" s="17">
        <v>19137</v>
      </c>
      <c r="W1040" s="19">
        <f t="shared" si="361"/>
        <v>-0.43434343434273615</v>
      </c>
      <c r="X1040" s="19">
        <f t="shared" si="362"/>
        <v>202263</v>
      </c>
      <c r="Y1040" s="17">
        <v>191772</v>
      </c>
      <c r="Z1040" s="17">
        <v>10491</v>
      </c>
      <c r="AA1040" s="19">
        <f t="shared" si="363"/>
        <v>183126</v>
      </c>
      <c r="AB1040" s="17">
        <v>1894520</v>
      </c>
      <c r="AC1040" s="27">
        <v>39.542000000000002</v>
      </c>
      <c r="AD1040" s="27">
        <v>39.497750000000003</v>
      </c>
      <c r="AE1040" s="22">
        <f t="shared" si="364"/>
        <v>47965.263844143017</v>
      </c>
      <c r="AF1040" s="23">
        <f t="shared" si="365"/>
        <v>0</v>
      </c>
      <c r="AG1040" s="23">
        <f t="shared" si="366"/>
        <v>0</v>
      </c>
      <c r="AH1040" s="17">
        <v>1532475.0565228499</v>
      </c>
      <c r="AI1040" s="24">
        <f t="shared" si="367"/>
        <v>0.80889885381144033</v>
      </c>
      <c r="AJ1040" s="25">
        <v>426143612.46082997</v>
      </c>
      <c r="AK1040" s="24">
        <f t="shared" si="368"/>
        <v>2.2961504992107393E-2</v>
      </c>
      <c r="AL1040" s="22">
        <f t="shared" si="369"/>
        <v>26807.941602394592</v>
      </c>
      <c r="AM1040" s="22">
        <f t="shared" si="370"/>
        <v>47965.263844143017</v>
      </c>
      <c r="AN1040" s="22">
        <f t="shared" si="371"/>
        <v>-21157.322241748425</v>
      </c>
      <c r="AO1040" s="26" t="str">
        <f t="shared" si="372"/>
        <v>YES</v>
      </c>
      <c r="AP1040" s="26" t="str">
        <f t="shared" si="373"/>
        <v>pre-launch</v>
      </c>
      <c r="AQ1040" s="28">
        <v>118</v>
      </c>
      <c r="AR1040" s="28">
        <v>87</v>
      </c>
    </row>
    <row r="1041" spans="1:44" x14ac:dyDescent="0.25">
      <c r="A1041" s="43">
        <v>46102</v>
      </c>
      <c r="B1041" s="17">
        <v>1817402958.3199999</v>
      </c>
      <c r="C1041" s="17">
        <v>386899671.89999998</v>
      </c>
      <c r="D1041" s="17">
        <v>50810059</v>
      </c>
      <c r="E1041" s="19">
        <f t="shared" si="352"/>
        <v>2204302630.2199998</v>
      </c>
      <c r="F1041" s="19">
        <f t="shared" si="353"/>
        <v>2255112689.2199998</v>
      </c>
      <c r="G1041" s="20">
        <f t="shared" si="354"/>
        <v>0.17552021514458999</v>
      </c>
      <c r="H1041" s="17">
        <v>844325</v>
      </c>
      <c r="I1041" s="17">
        <v>25527</v>
      </c>
      <c r="J1041" s="17">
        <v>7720</v>
      </c>
      <c r="K1041" s="19">
        <f t="shared" si="355"/>
        <v>869852</v>
      </c>
      <c r="L1041" s="17">
        <v>44322.634469148899</v>
      </c>
      <c r="M1041" s="17">
        <v>23476.798672454501</v>
      </c>
      <c r="N1041" s="17">
        <v>20845.835796694399</v>
      </c>
      <c r="O1041" s="19">
        <f t="shared" si="356"/>
        <v>800002.36553085106</v>
      </c>
      <c r="P1041" s="21">
        <f t="shared" si="357"/>
        <v>4.4018986646217968</v>
      </c>
      <c r="Q1041" s="17">
        <v>743654</v>
      </c>
      <c r="R1041" s="17">
        <v>20586</v>
      </c>
      <c r="S1041" s="19">
        <f t="shared" si="358"/>
        <v>764240</v>
      </c>
      <c r="T1041" s="20">
        <f t="shared" si="359"/>
        <v>0.01</v>
      </c>
      <c r="U1041" s="19">
        <f t="shared" si="360"/>
        <v>7719.5959595959603</v>
      </c>
      <c r="V1041" s="17">
        <v>7720</v>
      </c>
      <c r="W1041" s="19">
        <f t="shared" si="361"/>
        <v>-0.4040404040397334</v>
      </c>
      <c r="X1041" s="19">
        <f t="shared" si="362"/>
        <v>105613</v>
      </c>
      <c r="Y1041" s="17">
        <v>100672</v>
      </c>
      <c r="Z1041" s="17">
        <v>4941</v>
      </c>
      <c r="AA1041" s="19">
        <f t="shared" si="363"/>
        <v>97893</v>
      </c>
      <c r="AB1041" s="17">
        <v>764240</v>
      </c>
      <c r="AC1041" s="27">
        <v>39.14</v>
      </c>
      <c r="AD1041" s="27">
        <v>39.517749999999999</v>
      </c>
      <c r="AE1041" s="22">
        <f t="shared" si="364"/>
        <v>19339.157720264946</v>
      </c>
      <c r="AF1041" s="23">
        <f t="shared" si="365"/>
        <v>-1</v>
      </c>
      <c r="AG1041" s="23">
        <f t="shared" si="366"/>
        <v>0</v>
      </c>
      <c r="AH1041" s="17">
        <v>496496.16037702601</v>
      </c>
      <c r="AI1041" s="24">
        <f t="shared" si="367"/>
        <v>0.6496600025869177</v>
      </c>
      <c r="AJ1041" s="25">
        <v>426298379.20737302</v>
      </c>
      <c r="AK1041" s="24">
        <f t="shared" si="368"/>
        <v>2.2957336550243571E-2</v>
      </c>
      <c r="AL1041" s="22">
        <f t="shared" si="369"/>
        <v>26812.809211745254</v>
      </c>
      <c r="AM1041" s="22">
        <f t="shared" si="370"/>
        <v>19339.157720264946</v>
      </c>
      <c r="AN1041" s="22">
        <f t="shared" si="371"/>
        <v>7473.6514914803083</v>
      </c>
      <c r="AO1041" s="26" t="str">
        <f t="shared" si="372"/>
        <v>YES</v>
      </c>
      <c r="AP1041" s="26" t="str">
        <f t="shared" si="373"/>
        <v>pre-launch</v>
      </c>
      <c r="AQ1041" s="28">
        <v>118</v>
      </c>
      <c r="AR1041" s="28">
        <v>87</v>
      </c>
    </row>
    <row r="1042" spans="1:44" x14ac:dyDescent="0.25">
      <c r="A1042" s="43">
        <v>46103</v>
      </c>
      <c r="B1042" s="17">
        <v>4118695064.1399999</v>
      </c>
      <c r="C1042" s="17">
        <v>931723061.23000002</v>
      </c>
      <c r="D1042" s="17">
        <v>98254347</v>
      </c>
      <c r="E1042" s="19">
        <f t="shared" si="352"/>
        <v>5050418125.3699999</v>
      </c>
      <c r="F1042" s="19">
        <f t="shared" si="353"/>
        <v>5148672472.3699999</v>
      </c>
      <c r="G1042" s="20">
        <f t="shared" si="354"/>
        <v>0.18448434131614416</v>
      </c>
      <c r="H1042" s="17">
        <v>1761091</v>
      </c>
      <c r="I1042" s="17">
        <v>46563</v>
      </c>
      <c r="J1042" s="17">
        <v>16365</v>
      </c>
      <c r="K1042" s="19">
        <f t="shared" si="355"/>
        <v>1807654</v>
      </c>
      <c r="L1042" s="17">
        <v>99480.032641420097</v>
      </c>
      <c r="M1042" s="17">
        <v>52103.9922990208</v>
      </c>
      <c r="N1042" s="17">
        <v>47376.040342399298</v>
      </c>
      <c r="O1042" s="19">
        <f t="shared" si="356"/>
        <v>1661610.9673585799</v>
      </c>
      <c r="P1042" s="21">
        <f t="shared" si="357"/>
        <v>4.0343141249412477</v>
      </c>
      <c r="Q1042" s="17">
        <v>1585172</v>
      </c>
      <c r="R1042" s="17">
        <v>34921</v>
      </c>
      <c r="S1042" s="19">
        <f t="shared" si="358"/>
        <v>1620093</v>
      </c>
      <c r="T1042" s="20">
        <f t="shared" si="359"/>
        <v>0.01</v>
      </c>
      <c r="U1042" s="19">
        <f t="shared" si="360"/>
        <v>16364.575757575758</v>
      </c>
      <c r="V1042" s="17">
        <v>16365</v>
      </c>
      <c r="W1042" s="19">
        <f t="shared" si="361"/>
        <v>-0.4242424242420384</v>
      </c>
      <c r="X1042" s="19">
        <f t="shared" si="362"/>
        <v>187561</v>
      </c>
      <c r="Y1042" s="17">
        <v>175919</v>
      </c>
      <c r="Z1042" s="17">
        <v>11642</v>
      </c>
      <c r="AA1042" s="19">
        <f t="shared" si="363"/>
        <v>171196</v>
      </c>
      <c r="AB1042" s="17">
        <v>1620093</v>
      </c>
      <c r="AC1042" s="27">
        <v>38.348999999999997</v>
      </c>
      <c r="AD1042" s="27">
        <v>38.616</v>
      </c>
      <c r="AE1042" s="22">
        <f t="shared" si="364"/>
        <v>41953.931013051588</v>
      </c>
      <c r="AF1042" s="23">
        <f t="shared" si="365"/>
        <v>0</v>
      </c>
      <c r="AG1042" s="23">
        <f t="shared" si="366"/>
        <v>0</v>
      </c>
      <c r="AH1042" s="17">
        <v>1365298.0101380399</v>
      </c>
      <c r="AI1042" s="24">
        <f t="shared" si="367"/>
        <v>0.84272817062850092</v>
      </c>
      <c r="AJ1042" s="25">
        <v>426453145.95391703</v>
      </c>
      <c r="AK1042" s="24">
        <f t="shared" si="368"/>
        <v>2.2953170377778151E-2</v>
      </c>
      <c r="AL1042" s="22">
        <f t="shared" si="369"/>
        <v>26817.675937588359</v>
      </c>
      <c r="AM1042" s="22">
        <f t="shared" si="370"/>
        <v>41953.931013051588</v>
      </c>
      <c r="AN1042" s="22">
        <f t="shared" si="371"/>
        <v>-15136.255075463228</v>
      </c>
      <c r="AO1042" s="26" t="str">
        <f t="shared" si="372"/>
        <v>YES</v>
      </c>
      <c r="AP1042" s="26" t="str">
        <f t="shared" si="373"/>
        <v>pre-launch</v>
      </c>
      <c r="AQ1042" s="28">
        <v>118</v>
      </c>
      <c r="AR1042" s="28">
        <v>87</v>
      </c>
    </row>
    <row r="1043" spans="1:44" x14ac:dyDescent="0.25">
      <c r="A1043" s="43">
        <v>46104</v>
      </c>
      <c r="B1043" s="17">
        <v>6523699526.4399996</v>
      </c>
      <c r="C1043" s="17">
        <v>5961410742.8500004</v>
      </c>
      <c r="D1043" s="17">
        <v>238315622</v>
      </c>
      <c r="E1043" s="19">
        <f t="shared" si="352"/>
        <v>12485110269.290001</v>
      </c>
      <c r="F1043" s="19">
        <f t="shared" si="353"/>
        <v>12723425891.290001</v>
      </c>
      <c r="G1043" s="20">
        <f t="shared" si="354"/>
        <v>0.47748162525351984</v>
      </c>
      <c r="H1043" s="17">
        <v>3375694</v>
      </c>
      <c r="I1043" s="17">
        <v>112724</v>
      </c>
      <c r="J1043" s="17">
        <v>32061</v>
      </c>
      <c r="K1043" s="19">
        <f t="shared" si="355"/>
        <v>3488418</v>
      </c>
      <c r="L1043" s="17">
        <v>659602.11102615495</v>
      </c>
      <c r="M1043" s="17">
        <v>334565.523630418</v>
      </c>
      <c r="N1043" s="17">
        <v>325036.587395738</v>
      </c>
      <c r="O1043" s="19">
        <f t="shared" si="356"/>
        <v>2716091.8889738452</v>
      </c>
      <c r="P1043" s="21">
        <f t="shared" si="357"/>
        <v>4.1634227296425221</v>
      </c>
      <c r="Q1043" s="17">
        <v>3081818</v>
      </c>
      <c r="R1043" s="17">
        <v>92233</v>
      </c>
      <c r="S1043" s="19">
        <f t="shared" si="358"/>
        <v>3174051</v>
      </c>
      <c r="T1043" s="20">
        <f t="shared" si="359"/>
        <v>0.01</v>
      </c>
      <c r="U1043" s="19">
        <f t="shared" si="360"/>
        <v>32061.121212121216</v>
      </c>
      <c r="V1043" s="17">
        <v>32061</v>
      </c>
      <c r="W1043" s="19">
        <f t="shared" si="361"/>
        <v>0.12121212121564895</v>
      </c>
      <c r="X1043" s="19">
        <f t="shared" si="362"/>
        <v>314367</v>
      </c>
      <c r="Y1043" s="17">
        <v>293876</v>
      </c>
      <c r="Z1043" s="17">
        <v>20491</v>
      </c>
      <c r="AA1043" s="19">
        <f t="shared" si="363"/>
        <v>282306</v>
      </c>
      <c r="AB1043" s="17">
        <v>3174051</v>
      </c>
      <c r="AC1043" s="27">
        <v>37.347000000000001</v>
      </c>
      <c r="AD1043" s="27">
        <v>38.007750000000001</v>
      </c>
      <c r="AE1043" s="22">
        <f t="shared" si="364"/>
        <v>83510.626122304006</v>
      </c>
      <c r="AF1043" s="23">
        <f t="shared" si="365"/>
        <v>0</v>
      </c>
      <c r="AG1043" s="23">
        <f t="shared" si="366"/>
        <v>0</v>
      </c>
      <c r="AH1043" s="17">
        <v>2688579.7210659999</v>
      </c>
      <c r="AI1043" s="24">
        <f t="shared" si="367"/>
        <v>0.84704994376775922</v>
      </c>
      <c r="AJ1043" s="25">
        <v>426607912.70046097</v>
      </c>
      <c r="AK1043" s="24">
        <f t="shared" si="368"/>
        <v>2.294900647265271E-2</v>
      </c>
      <c r="AL1043" s="22">
        <f t="shared" si="369"/>
        <v>26822.541780404772</v>
      </c>
      <c r="AM1043" s="22">
        <f t="shared" si="370"/>
        <v>83510.626122304006</v>
      </c>
      <c r="AN1043" s="22">
        <f t="shared" si="371"/>
        <v>-56688.08434189923</v>
      </c>
      <c r="AO1043" s="26" t="str">
        <f t="shared" si="372"/>
        <v>YES</v>
      </c>
      <c r="AP1043" s="26" t="str">
        <f t="shared" si="373"/>
        <v>pre-launch</v>
      </c>
      <c r="AQ1043" s="28">
        <v>118</v>
      </c>
      <c r="AR1043" s="28">
        <v>87</v>
      </c>
    </row>
    <row r="1044" spans="1:44" x14ac:dyDescent="0.25">
      <c r="A1044" s="43">
        <v>46105</v>
      </c>
      <c r="B1044" s="17">
        <v>4661942955.9399996</v>
      </c>
      <c r="C1044" s="17">
        <v>3482831917.29</v>
      </c>
      <c r="D1044" s="17">
        <v>115812748</v>
      </c>
      <c r="E1044" s="19">
        <f t="shared" si="352"/>
        <v>8144774873.2299995</v>
      </c>
      <c r="F1044" s="19">
        <f t="shared" si="353"/>
        <v>8260587621.2299995</v>
      </c>
      <c r="G1044" s="20">
        <f t="shared" si="354"/>
        <v>0.42761549232468865</v>
      </c>
      <c r="H1044" s="17">
        <v>2223736</v>
      </c>
      <c r="I1044" s="17">
        <v>57914</v>
      </c>
      <c r="J1044" s="17">
        <v>20970</v>
      </c>
      <c r="K1044" s="19">
        <f t="shared" si="355"/>
        <v>2281650</v>
      </c>
      <c r="L1044" s="17">
        <v>329766.52178851899</v>
      </c>
      <c r="M1044" s="17">
        <v>168118.23870667999</v>
      </c>
      <c r="N1044" s="17">
        <v>161648.28308183901</v>
      </c>
      <c r="O1044" s="19">
        <f t="shared" si="356"/>
        <v>1893969.4782114811</v>
      </c>
      <c r="P1044" s="21">
        <f t="shared" si="357"/>
        <v>4.0626183033798942</v>
      </c>
      <c r="Q1044" s="17">
        <v>2029349</v>
      </c>
      <c r="R1044" s="17">
        <v>46696</v>
      </c>
      <c r="S1044" s="19">
        <f t="shared" si="358"/>
        <v>2076045</v>
      </c>
      <c r="T1044" s="20">
        <f t="shared" si="359"/>
        <v>0.01</v>
      </c>
      <c r="U1044" s="19">
        <f t="shared" si="360"/>
        <v>20970.151515151516</v>
      </c>
      <c r="V1044" s="17">
        <v>20970</v>
      </c>
      <c r="W1044" s="19">
        <f t="shared" si="361"/>
        <v>0.15151515151592321</v>
      </c>
      <c r="X1044" s="19">
        <f t="shared" si="362"/>
        <v>205604</v>
      </c>
      <c r="Y1044" s="17">
        <v>194386</v>
      </c>
      <c r="Z1044" s="17">
        <v>11218</v>
      </c>
      <c r="AA1044" s="19">
        <f t="shared" si="363"/>
        <v>184634</v>
      </c>
      <c r="AB1044" s="17">
        <v>2076045</v>
      </c>
      <c r="AC1044" s="27">
        <v>40.338000000000001</v>
      </c>
      <c r="AD1044" s="27">
        <v>38.84825</v>
      </c>
      <c r="AE1044" s="22">
        <f t="shared" si="364"/>
        <v>53439.858938304817</v>
      </c>
      <c r="AF1044" s="23">
        <f t="shared" si="365"/>
        <v>1</v>
      </c>
      <c r="AG1044" s="23">
        <f t="shared" si="366"/>
        <v>0</v>
      </c>
      <c r="AH1044" s="17">
        <v>1705365.3630280499</v>
      </c>
      <c r="AI1044" s="24">
        <f t="shared" si="367"/>
        <v>0.8214491318964906</v>
      </c>
      <c r="AJ1044" s="25">
        <v>426762679.44700497</v>
      </c>
      <c r="AK1044" s="24">
        <f t="shared" si="368"/>
        <v>2.2944844832811423E-2</v>
      </c>
      <c r="AL1044" s="22">
        <f t="shared" si="369"/>
        <v>26827.406740674985</v>
      </c>
      <c r="AM1044" s="22">
        <f t="shared" si="370"/>
        <v>53439.858938304817</v>
      </c>
      <c r="AN1044" s="22">
        <f t="shared" si="371"/>
        <v>-26612.452197629831</v>
      </c>
      <c r="AO1044" s="26" t="str">
        <f t="shared" si="372"/>
        <v>YES</v>
      </c>
      <c r="AP1044" s="26" t="str">
        <f t="shared" si="373"/>
        <v>pre-launch</v>
      </c>
      <c r="AQ1044" s="28">
        <v>118</v>
      </c>
      <c r="AR1044" s="28">
        <v>87</v>
      </c>
    </row>
    <row r="1045" spans="1:44" x14ac:dyDescent="0.25">
      <c r="A1045" s="43">
        <v>46106</v>
      </c>
      <c r="B1045" s="17">
        <v>4584129064.8000002</v>
      </c>
      <c r="C1045" s="17">
        <v>2546300862.6999998</v>
      </c>
      <c r="D1045" s="17">
        <v>91591642</v>
      </c>
      <c r="E1045" s="19">
        <f t="shared" si="352"/>
        <v>7130429927.5</v>
      </c>
      <c r="F1045" s="19">
        <f t="shared" si="353"/>
        <v>7222021569.5</v>
      </c>
      <c r="G1045" s="20">
        <f t="shared" si="354"/>
        <v>0.35710341292039854</v>
      </c>
      <c r="H1045" s="17">
        <v>2052280</v>
      </c>
      <c r="I1045" s="17">
        <v>46508</v>
      </c>
      <c r="J1045" s="17">
        <v>19244</v>
      </c>
      <c r="K1045" s="19">
        <f t="shared" si="355"/>
        <v>2098788</v>
      </c>
      <c r="L1045" s="17">
        <v>228267.86533977499</v>
      </c>
      <c r="M1045" s="17">
        <v>117250.48805145</v>
      </c>
      <c r="N1045" s="17">
        <v>111017.37728832501</v>
      </c>
      <c r="O1045" s="19">
        <f t="shared" si="356"/>
        <v>1824012.1346602249</v>
      </c>
      <c r="P1045" s="21">
        <f t="shared" si="357"/>
        <v>3.9789720334582337</v>
      </c>
      <c r="Q1045" s="17">
        <v>1866987</v>
      </c>
      <c r="R1045" s="17">
        <v>38141</v>
      </c>
      <c r="S1045" s="19">
        <f t="shared" si="358"/>
        <v>1905128</v>
      </c>
      <c r="T1045" s="20">
        <f t="shared" si="359"/>
        <v>0.01</v>
      </c>
      <c r="U1045" s="19">
        <f t="shared" si="360"/>
        <v>19243.71717171717</v>
      </c>
      <c r="V1045" s="17">
        <v>19244</v>
      </c>
      <c r="W1045" s="19">
        <f t="shared" si="361"/>
        <v>-0.28282828283045092</v>
      </c>
      <c r="X1045" s="19">
        <f t="shared" si="362"/>
        <v>193661</v>
      </c>
      <c r="Y1045" s="17">
        <v>185293</v>
      </c>
      <c r="Z1045" s="17">
        <v>8368</v>
      </c>
      <c r="AA1045" s="19">
        <f t="shared" si="363"/>
        <v>174417</v>
      </c>
      <c r="AB1045" s="17">
        <v>1905128</v>
      </c>
      <c r="AC1045" s="27">
        <v>40.332000000000001</v>
      </c>
      <c r="AD1045" s="27">
        <v>40.49</v>
      </c>
      <c r="AE1045" s="22">
        <f t="shared" si="364"/>
        <v>47051.815263027907</v>
      </c>
      <c r="AF1045" s="23">
        <f t="shared" si="365"/>
        <v>-1</v>
      </c>
      <c r="AG1045" s="23">
        <f t="shared" si="366"/>
        <v>0</v>
      </c>
      <c r="AH1045" s="17">
        <v>1537685.1314139401</v>
      </c>
      <c r="AI1045" s="24">
        <f t="shared" si="367"/>
        <v>0.8071295636901773</v>
      </c>
      <c r="AJ1045" s="25">
        <v>426917446.19354802</v>
      </c>
      <c r="AK1045" s="24">
        <f t="shared" si="368"/>
        <v>2.2940685456201093E-2</v>
      </c>
      <c r="AL1045" s="22">
        <f t="shared" si="369"/>
        <v>26832.270818879013</v>
      </c>
      <c r="AM1045" s="22">
        <f t="shared" si="370"/>
        <v>47051.815263027907</v>
      </c>
      <c r="AN1045" s="22">
        <f t="shared" si="371"/>
        <v>-20219.544444148894</v>
      </c>
      <c r="AO1045" s="26" t="str">
        <f t="shared" si="372"/>
        <v>YES</v>
      </c>
      <c r="AP1045" s="26" t="str">
        <f t="shared" si="373"/>
        <v>pre-launch</v>
      </c>
      <c r="AQ1045" s="28">
        <v>122</v>
      </c>
      <c r="AR1045" s="28">
        <v>91</v>
      </c>
    </row>
    <row r="1046" spans="1:44" x14ac:dyDescent="0.25">
      <c r="A1046" s="43">
        <v>46107</v>
      </c>
      <c r="B1046" s="17">
        <v>4504998235.4200001</v>
      </c>
      <c r="C1046" s="17">
        <v>2417392546.0599999</v>
      </c>
      <c r="D1046" s="17">
        <v>101819543</v>
      </c>
      <c r="E1046" s="19">
        <f t="shared" si="352"/>
        <v>6922390781.4799995</v>
      </c>
      <c r="F1046" s="19">
        <f t="shared" si="353"/>
        <v>7024210324.4799995</v>
      </c>
      <c r="G1046" s="20">
        <f t="shared" si="354"/>
        <v>0.34921353364323704</v>
      </c>
      <c r="H1046" s="17">
        <v>2071055</v>
      </c>
      <c r="I1046" s="17">
        <v>52042</v>
      </c>
      <c r="J1046" s="17">
        <v>19080</v>
      </c>
      <c r="K1046" s="19">
        <f t="shared" si="355"/>
        <v>2123097</v>
      </c>
      <c r="L1046" s="17">
        <v>212230.61404290699</v>
      </c>
      <c r="M1046" s="17">
        <v>108939.48769640599</v>
      </c>
      <c r="N1046" s="17">
        <v>103291.126346501</v>
      </c>
      <c r="O1046" s="19">
        <f t="shared" si="356"/>
        <v>1858824.385957093</v>
      </c>
      <c r="P1046" s="21">
        <f t="shared" si="357"/>
        <v>4.1261378780180475</v>
      </c>
      <c r="Q1046" s="17">
        <v>1850748</v>
      </c>
      <c r="R1046" s="17">
        <v>38198</v>
      </c>
      <c r="S1046" s="19">
        <f t="shared" si="358"/>
        <v>1888946</v>
      </c>
      <c r="T1046" s="20">
        <f t="shared" si="359"/>
        <v>0.01</v>
      </c>
      <c r="U1046" s="19">
        <f t="shared" si="360"/>
        <v>19080.262626262625</v>
      </c>
      <c r="V1046" s="17">
        <v>19080</v>
      </c>
      <c r="W1046" s="19">
        <f t="shared" si="361"/>
        <v>0.26262626262541744</v>
      </c>
      <c r="X1046" s="19">
        <f t="shared" si="362"/>
        <v>234151</v>
      </c>
      <c r="Y1046" s="17">
        <v>220307</v>
      </c>
      <c r="Z1046" s="17">
        <v>13844</v>
      </c>
      <c r="AA1046" s="19">
        <f t="shared" si="363"/>
        <v>215071</v>
      </c>
      <c r="AB1046" s="17">
        <v>1888946</v>
      </c>
      <c r="AC1046" s="27">
        <v>39.131999999999998</v>
      </c>
      <c r="AD1046" s="27">
        <v>39.527999999999999</v>
      </c>
      <c r="AE1046" s="22">
        <f t="shared" si="364"/>
        <v>47787.543007488362</v>
      </c>
      <c r="AF1046" s="23">
        <f t="shared" si="365"/>
        <v>0</v>
      </c>
      <c r="AG1046" s="23">
        <f t="shared" si="366"/>
        <v>0</v>
      </c>
      <c r="AH1046" s="17">
        <v>1506412.3381590799</v>
      </c>
      <c r="AI1046" s="24">
        <f t="shared" si="367"/>
        <v>0.79748830202614573</v>
      </c>
      <c r="AJ1046" s="25">
        <v>427072212.94009203</v>
      </c>
      <c r="AK1046" s="24">
        <f t="shared" si="368"/>
        <v>2.2936528340771051E-2</v>
      </c>
      <c r="AL1046" s="22">
        <f t="shared" si="369"/>
        <v>26837.134015496518</v>
      </c>
      <c r="AM1046" s="22">
        <f t="shared" si="370"/>
        <v>47787.543007488362</v>
      </c>
      <c r="AN1046" s="22">
        <f t="shared" si="371"/>
        <v>-20950.408991991844</v>
      </c>
      <c r="AO1046" s="26" t="str">
        <f t="shared" si="372"/>
        <v>YES</v>
      </c>
      <c r="AP1046" s="26" t="str">
        <f t="shared" si="373"/>
        <v>pre-launch</v>
      </c>
      <c r="AQ1046" s="28">
        <v>122</v>
      </c>
      <c r="AR1046" s="28">
        <v>91</v>
      </c>
    </row>
    <row r="1047" spans="1:44" x14ac:dyDescent="0.25">
      <c r="A1047" s="43">
        <v>46108</v>
      </c>
      <c r="B1047" s="17">
        <v>4108634204.3800001</v>
      </c>
      <c r="C1047" s="17">
        <v>2332432540.5799999</v>
      </c>
      <c r="D1047" s="17">
        <v>120863991</v>
      </c>
      <c r="E1047" s="19">
        <f t="shared" si="352"/>
        <v>6441066744.96</v>
      </c>
      <c r="F1047" s="19">
        <f t="shared" si="353"/>
        <v>6561930735.96</v>
      </c>
      <c r="G1047" s="20">
        <f t="shared" si="354"/>
        <v>0.36211898322666497</v>
      </c>
      <c r="H1047" s="17">
        <v>2035185</v>
      </c>
      <c r="I1047" s="17">
        <v>56514</v>
      </c>
      <c r="J1047" s="17">
        <v>18509</v>
      </c>
      <c r="K1047" s="19">
        <f t="shared" si="355"/>
        <v>2091699</v>
      </c>
      <c r="L1047" s="17">
        <v>219357.93779698299</v>
      </c>
      <c r="M1047" s="17">
        <v>112648.534311194</v>
      </c>
      <c r="N1047" s="17">
        <v>106709.40348578899</v>
      </c>
      <c r="O1047" s="19">
        <f t="shared" si="356"/>
        <v>1815827.0622030171</v>
      </c>
      <c r="P1047" s="21">
        <f t="shared" si="357"/>
        <v>4.4195393697186738</v>
      </c>
      <c r="Q1047" s="17">
        <v>1791762</v>
      </c>
      <c r="R1047" s="17">
        <v>40677</v>
      </c>
      <c r="S1047" s="19">
        <f t="shared" si="358"/>
        <v>1832439</v>
      </c>
      <c r="T1047" s="20">
        <f t="shared" si="359"/>
        <v>0.01</v>
      </c>
      <c r="U1047" s="19">
        <f t="shared" si="360"/>
        <v>18509.484848484848</v>
      </c>
      <c r="V1047" s="17">
        <v>18509</v>
      </c>
      <c r="W1047" s="19">
        <f t="shared" si="361"/>
        <v>0.48484848484804388</v>
      </c>
      <c r="X1047" s="19">
        <f t="shared" si="362"/>
        <v>259260</v>
      </c>
      <c r="Y1047" s="17">
        <v>243423</v>
      </c>
      <c r="Z1047" s="17">
        <v>15837</v>
      </c>
      <c r="AA1047" s="19">
        <f t="shared" si="363"/>
        <v>240751</v>
      </c>
      <c r="AB1047" s="17">
        <v>1832439</v>
      </c>
      <c r="AC1047" s="27">
        <v>38.656999999999996</v>
      </c>
      <c r="AD1047" s="27">
        <v>38.776499999999999</v>
      </c>
      <c r="AE1047" s="22">
        <f t="shared" si="364"/>
        <v>47256.43108583807</v>
      </c>
      <c r="AF1047" s="23">
        <f t="shared" si="365"/>
        <v>0</v>
      </c>
      <c r="AG1047" s="23">
        <f t="shared" si="366"/>
        <v>0</v>
      </c>
      <c r="AH1047" s="17">
        <v>1430888.31713986</v>
      </c>
      <c r="AI1047" s="24">
        <f t="shared" si="367"/>
        <v>0.78086545698921495</v>
      </c>
      <c r="AJ1047" s="25">
        <v>427226979.68663597</v>
      </c>
      <c r="AK1047" s="24">
        <f t="shared" si="368"/>
        <v>2.2932373484473311E-2</v>
      </c>
      <c r="AL1047" s="22">
        <f t="shared" si="369"/>
        <v>26841.996331006656</v>
      </c>
      <c r="AM1047" s="22">
        <f t="shared" si="370"/>
        <v>47256.43108583807</v>
      </c>
      <c r="AN1047" s="22">
        <f t="shared" si="371"/>
        <v>-20414.434754831414</v>
      </c>
      <c r="AO1047" s="26" t="str">
        <f t="shared" si="372"/>
        <v>YES</v>
      </c>
      <c r="AP1047" s="26" t="str">
        <f t="shared" si="373"/>
        <v>pre-launch</v>
      </c>
      <c r="AQ1047" s="28">
        <v>122</v>
      </c>
      <c r="AR1047" s="28">
        <v>91</v>
      </c>
    </row>
    <row r="1048" spans="1:44" x14ac:dyDescent="0.25">
      <c r="A1048" s="43">
        <v>46109</v>
      </c>
      <c r="B1048" s="17">
        <v>2008402372.05</v>
      </c>
      <c r="C1048" s="17">
        <v>387184913.10000002</v>
      </c>
      <c r="D1048" s="17">
        <v>74599473</v>
      </c>
      <c r="E1048" s="19">
        <f t="shared" si="352"/>
        <v>2395587285.1500001</v>
      </c>
      <c r="F1048" s="19">
        <f t="shared" si="353"/>
        <v>2470186758.1500001</v>
      </c>
      <c r="G1048" s="20">
        <f t="shared" si="354"/>
        <v>0.16162421444633623</v>
      </c>
      <c r="H1048" s="17">
        <v>889966</v>
      </c>
      <c r="I1048" s="17">
        <v>36535</v>
      </c>
      <c r="J1048" s="17">
        <v>8225</v>
      </c>
      <c r="K1048" s="19">
        <f t="shared" si="355"/>
        <v>926501</v>
      </c>
      <c r="L1048" s="17">
        <v>31000.5264942496</v>
      </c>
      <c r="M1048" s="17">
        <v>16955.505957010901</v>
      </c>
      <c r="N1048" s="17">
        <v>14045.020537238701</v>
      </c>
      <c r="O1048" s="19">
        <f t="shared" si="356"/>
        <v>858965.47350575041</v>
      </c>
      <c r="P1048" s="21">
        <f t="shared" si="357"/>
        <v>4.2768594852285213</v>
      </c>
      <c r="Q1048" s="17">
        <v>785984</v>
      </c>
      <c r="R1048" s="17">
        <v>28275</v>
      </c>
      <c r="S1048" s="19">
        <f t="shared" si="358"/>
        <v>814259</v>
      </c>
      <c r="T1048" s="20">
        <f t="shared" si="359"/>
        <v>0.01</v>
      </c>
      <c r="U1048" s="19">
        <f t="shared" si="360"/>
        <v>8224.8383838383834</v>
      </c>
      <c r="V1048" s="17">
        <v>8225</v>
      </c>
      <c r="W1048" s="19">
        <f t="shared" si="361"/>
        <v>-0.16161616161662096</v>
      </c>
      <c r="X1048" s="19">
        <f t="shared" si="362"/>
        <v>112242</v>
      </c>
      <c r="Y1048" s="17">
        <v>103982</v>
      </c>
      <c r="Z1048" s="17">
        <v>8260</v>
      </c>
      <c r="AA1048" s="19">
        <f t="shared" si="363"/>
        <v>104017</v>
      </c>
      <c r="AB1048" s="17">
        <v>814259</v>
      </c>
      <c r="AC1048" s="27">
        <v>39.466000000000001</v>
      </c>
      <c r="AD1048" s="27">
        <v>39.097999999999999</v>
      </c>
      <c r="AE1048" s="22">
        <f t="shared" si="364"/>
        <v>20826.103637014683</v>
      </c>
      <c r="AF1048" s="23">
        <f t="shared" si="365"/>
        <v>0</v>
      </c>
      <c r="AG1048" s="23">
        <f t="shared" si="366"/>
        <v>0</v>
      </c>
      <c r="AH1048" s="17">
        <v>657862.01150608098</v>
      </c>
      <c r="AI1048" s="24">
        <f t="shared" si="367"/>
        <v>0.80792722156719299</v>
      </c>
      <c r="AJ1048" s="25">
        <v>427381746.43317997</v>
      </c>
      <c r="AK1048" s="24">
        <f t="shared" si="368"/>
        <v>2.2928220885262442E-2</v>
      </c>
      <c r="AL1048" s="22">
        <f t="shared" si="369"/>
        <v>26846.857765888148</v>
      </c>
      <c r="AM1048" s="22">
        <f t="shared" si="370"/>
        <v>20826.103637014683</v>
      </c>
      <c r="AN1048" s="22">
        <f t="shared" si="371"/>
        <v>6020.7541288734647</v>
      </c>
      <c r="AO1048" s="26" t="str">
        <f t="shared" si="372"/>
        <v>YES</v>
      </c>
      <c r="AP1048" s="26" t="str">
        <f t="shared" si="373"/>
        <v>pre-launch</v>
      </c>
      <c r="AQ1048" s="28">
        <v>122</v>
      </c>
      <c r="AR1048" s="28">
        <v>91</v>
      </c>
    </row>
    <row r="1049" spans="1:44" x14ac:dyDescent="0.25">
      <c r="A1049" s="43">
        <v>46110</v>
      </c>
      <c r="B1049" s="17">
        <v>2199415237.0999999</v>
      </c>
      <c r="C1049" s="17">
        <v>643844781.62</v>
      </c>
      <c r="D1049" s="17">
        <v>68340801</v>
      </c>
      <c r="E1049" s="19">
        <f t="shared" si="352"/>
        <v>2843260018.7199998</v>
      </c>
      <c r="F1049" s="19">
        <f t="shared" si="353"/>
        <v>2911600819.7199998</v>
      </c>
      <c r="G1049" s="20">
        <f t="shared" si="354"/>
        <v>0.22644597306645592</v>
      </c>
      <c r="H1049" s="17">
        <v>1030715</v>
      </c>
      <c r="I1049" s="17">
        <v>31483</v>
      </c>
      <c r="J1049" s="17">
        <v>9462</v>
      </c>
      <c r="K1049" s="19">
        <f t="shared" si="355"/>
        <v>1062198</v>
      </c>
      <c r="L1049" s="17">
        <v>58451.077766596798</v>
      </c>
      <c r="M1049" s="17">
        <v>31093.699666279401</v>
      </c>
      <c r="N1049" s="17">
        <v>27357.378100317401</v>
      </c>
      <c r="O1049" s="19">
        <f t="shared" si="356"/>
        <v>972263.92223340319</v>
      </c>
      <c r="P1049" s="21">
        <f t="shared" si="357"/>
        <v>4.4205564544299722</v>
      </c>
      <c r="Q1049" s="17">
        <v>912372</v>
      </c>
      <c r="R1049" s="17">
        <v>24415</v>
      </c>
      <c r="S1049" s="19">
        <f t="shared" si="358"/>
        <v>936787</v>
      </c>
      <c r="T1049" s="20">
        <f t="shared" si="359"/>
        <v>0.01</v>
      </c>
      <c r="U1049" s="19">
        <f t="shared" si="360"/>
        <v>9462.4949494949506</v>
      </c>
      <c r="V1049" s="17">
        <v>9462</v>
      </c>
      <c r="W1049" s="19">
        <f t="shared" si="361"/>
        <v>0.49494949495056062</v>
      </c>
      <c r="X1049" s="19">
        <f t="shared" si="362"/>
        <v>125412</v>
      </c>
      <c r="Y1049" s="17">
        <v>118344</v>
      </c>
      <c r="Z1049" s="17">
        <v>7068</v>
      </c>
      <c r="AA1049" s="19">
        <f t="shared" si="363"/>
        <v>115950</v>
      </c>
      <c r="AB1049" s="17">
        <v>936787</v>
      </c>
      <c r="AC1049" s="27">
        <v>37.807000000000002</v>
      </c>
      <c r="AD1049" s="27">
        <v>38.76</v>
      </c>
      <c r="AE1049" s="22">
        <f t="shared" si="364"/>
        <v>24168.91124871001</v>
      </c>
      <c r="AF1049" s="23">
        <f t="shared" si="365"/>
        <v>-1</v>
      </c>
      <c r="AG1049" s="23">
        <f t="shared" si="366"/>
        <v>0</v>
      </c>
      <c r="AH1049" s="17">
        <v>710679.99952793098</v>
      </c>
      <c r="AI1049" s="24">
        <f t="shared" si="367"/>
        <v>0.75863563385052413</v>
      </c>
      <c r="AJ1049" s="25">
        <v>427536513.17972398</v>
      </c>
      <c r="AK1049" s="24">
        <f t="shared" si="368"/>
        <v>2.2924070541095621E-2</v>
      </c>
      <c r="AL1049" s="22">
        <f t="shared" si="369"/>
        <v>26851.718320619315</v>
      </c>
      <c r="AM1049" s="22">
        <f t="shared" si="370"/>
        <v>24168.91124871001</v>
      </c>
      <c r="AN1049" s="22">
        <f t="shared" si="371"/>
        <v>2682.8070719093048</v>
      </c>
      <c r="AO1049" s="26" t="str">
        <f t="shared" si="372"/>
        <v>YES</v>
      </c>
      <c r="AP1049" s="26" t="str">
        <f t="shared" si="373"/>
        <v>pre-launch</v>
      </c>
      <c r="AQ1049" s="28">
        <v>122</v>
      </c>
      <c r="AR1049" s="28">
        <v>91</v>
      </c>
    </row>
    <row r="1050" spans="1:44" x14ac:dyDescent="0.25">
      <c r="A1050" s="43">
        <v>46111</v>
      </c>
      <c r="B1050" s="17">
        <v>3825866607.0599999</v>
      </c>
      <c r="C1050" s="17">
        <v>2298306018.0700002</v>
      </c>
      <c r="D1050" s="17">
        <v>110827708</v>
      </c>
      <c r="E1050" s="19">
        <f t="shared" si="352"/>
        <v>6124172625.1300001</v>
      </c>
      <c r="F1050" s="19">
        <f t="shared" si="353"/>
        <v>6235000333.1300001</v>
      </c>
      <c r="G1050" s="20">
        <f t="shared" si="354"/>
        <v>0.37528432961525365</v>
      </c>
      <c r="H1050" s="17">
        <v>1827243</v>
      </c>
      <c r="I1050" s="17">
        <v>54539</v>
      </c>
      <c r="J1050" s="17">
        <v>17059</v>
      </c>
      <c r="K1050" s="19">
        <f t="shared" si="355"/>
        <v>1881782</v>
      </c>
      <c r="L1050" s="17">
        <v>188313.36102707501</v>
      </c>
      <c r="M1050" s="17">
        <v>97055.791604913</v>
      </c>
      <c r="N1050" s="17">
        <v>91257.569422162007</v>
      </c>
      <c r="O1050" s="19">
        <f t="shared" si="356"/>
        <v>1638929.638972925</v>
      </c>
      <c r="P1050" s="21">
        <f t="shared" si="357"/>
        <v>4.2838128123666239</v>
      </c>
      <c r="Q1050" s="17">
        <v>1641794</v>
      </c>
      <c r="R1050" s="17">
        <v>47024</v>
      </c>
      <c r="S1050" s="19">
        <f t="shared" si="358"/>
        <v>1688818</v>
      </c>
      <c r="T1050" s="20">
        <f t="shared" si="359"/>
        <v>0.01</v>
      </c>
      <c r="U1050" s="19">
        <f t="shared" si="360"/>
        <v>17058.767676767678</v>
      </c>
      <c r="V1050" s="17">
        <v>17059</v>
      </c>
      <c r="W1050" s="19">
        <f t="shared" si="361"/>
        <v>-0.2323232323215052</v>
      </c>
      <c r="X1050" s="19">
        <f t="shared" si="362"/>
        <v>192964</v>
      </c>
      <c r="Y1050" s="17">
        <v>185449</v>
      </c>
      <c r="Z1050" s="17">
        <v>7515</v>
      </c>
      <c r="AA1050" s="19">
        <f t="shared" si="363"/>
        <v>175905</v>
      </c>
      <c r="AB1050" s="17">
        <v>1688818</v>
      </c>
      <c r="AC1050" s="27">
        <v>36.845999999999997</v>
      </c>
      <c r="AD1050" s="27">
        <v>37.49</v>
      </c>
      <c r="AE1050" s="22">
        <f t="shared" si="364"/>
        <v>45047.159242464651</v>
      </c>
      <c r="AF1050" s="23">
        <f t="shared" si="365"/>
        <v>0</v>
      </c>
      <c r="AG1050" s="23">
        <f t="shared" si="366"/>
        <v>0</v>
      </c>
      <c r="AH1050" s="17">
        <v>1355017.7419021099</v>
      </c>
      <c r="AI1050" s="24">
        <f t="shared" si="367"/>
        <v>0.80234681410436759</v>
      </c>
      <c r="AJ1050" s="25">
        <v>427691279.92626703</v>
      </c>
      <c r="AK1050" s="24">
        <f t="shared" si="368"/>
        <v>2.2919922449932632E-2</v>
      </c>
      <c r="AL1050" s="22">
        <f t="shared" si="369"/>
        <v>26856.577995677995</v>
      </c>
      <c r="AM1050" s="22">
        <f t="shared" si="370"/>
        <v>45047.159242464651</v>
      </c>
      <c r="AN1050" s="22">
        <f t="shared" si="371"/>
        <v>-18190.581246786656</v>
      </c>
      <c r="AO1050" s="26" t="str">
        <f t="shared" si="372"/>
        <v>YES</v>
      </c>
      <c r="AP1050" s="26" t="str">
        <f t="shared" si="373"/>
        <v>pre-launch</v>
      </c>
      <c r="AQ1050" s="28">
        <v>123</v>
      </c>
      <c r="AR1050" s="28">
        <v>92</v>
      </c>
    </row>
    <row r="1051" spans="1:44" x14ac:dyDescent="0.25">
      <c r="A1051" s="43">
        <v>46112</v>
      </c>
      <c r="B1051" s="17">
        <v>6145403430.0500002</v>
      </c>
      <c r="C1051" s="17">
        <v>3635530094.1500001</v>
      </c>
      <c r="D1051" s="17">
        <v>133363888</v>
      </c>
      <c r="E1051" s="19">
        <f t="shared" si="352"/>
        <v>9780933524.2000008</v>
      </c>
      <c r="F1051" s="19">
        <f t="shared" si="353"/>
        <v>9914297412.2000008</v>
      </c>
      <c r="G1051" s="20">
        <f t="shared" si="354"/>
        <v>0.3716956142432587</v>
      </c>
      <c r="H1051" s="17">
        <v>2717385</v>
      </c>
      <c r="I1051" s="17">
        <v>62621</v>
      </c>
      <c r="J1051" s="17">
        <v>25529</v>
      </c>
      <c r="K1051" s="19">
        <f t="shared" si="355"/>
        <v>2780006</v>
      </c>
      <c r="L1051" s="17">
        <v>296095.84293040499</v>
      </c>
      <c r="M1051" s="17">
        <v>151968.29318610099</v>
      </c>
      <c r="N1051" s="17">
        <v>144127.54974430401</v>
      </c>
      <c r="O1051" s="19">
        <f t="shared" si="356"/>
        <v>2421289.1570695951</v>
      </c>
      <c r="P1051" s="21">
        <f t="shared" si="357"/>
        <v>3.940000334607642</v>
      </c>
      <c r="Q1051" s="17">
        <v>2475250</v>
      </c>
      <c r="R1051" s="17">
        <v>52106</v>
      </c>
      <c r="S1051" s="19">
        <f t="shared" si="358"/>
        <v>2527356</v>
      </c>
      <c r="T1051" s="20">
        <f t="shared" si="359"/>
        <v>0.01</v>
      </c>
      <c r="U1051" s="19">
        <f t="shared" si="360"/>
        <v>25528.848484848488</v>
      </c>
      <c r="V1051" s="17">
        <v>25529</v>
      </c>
      <c r="W1051" s="19">
        <f t="shared" si="361"/>
        <v>-0.15151515151228523</v>
      </c>
      <c r="X1051" s="19">
        <f t="shared" si="362"/>
        <v>252650</v>
      </c>
      <c r="Y1051" s="17">
        <v>242135</v>
      </c>
      <c r="Z1051" s="17">
        <v>10515</v>
      </c>
      <c r="AA1051" s="19">
        <f t="shared" si="363"/>
        <v>227121</v>
      </c>
      <c r="AB1051" s="17">
        <v>2527356</v>
      </c>
      <c r="AC1051" s="27">
        <v>36.594000000000001</v>
      </c>
      <c r="AD1051" s="27">
        <v>36.677999999999997</v>
      </c>
      <c r="AE1051" s="22">
        <f t="shared" si="364"/>
        <v>68906.592507770329</v>
      </c>
      <c r="AF1051" s="23">
        <f t="shared" si="365"/>
        <v>0</v>
      </c>
      <c r="AG1051" s="23">
        <f t="shared" si="366"/>
        <v>0</v>
      </c>
      <c r="AH1051" s="17">
        <v>2019073.85503006</v>
      </c>
      <c r="AI1051" s="24">
        <f t="shared" si="367"/>
        <v>0.79888779223427964</v>
      </c>
      <c r="AJ1051" s="25">
        <v>427846046.67281097</v>
      </c>
      <c r="AK1051" s="24">
        <f t="shared" si="368"/>
        <v>2.2915776609735764E-2</v>
      </c>
      <c r="AL1051" s="22">
        <f t="shared" si="369"/>
        <v>26861.436791541691</v>
      </c>
      <c r="AM1051" s="22">
        <f t="shared" si="370"/>
        <v>68906.592507770329</v>
      </c>
      <c r="AN1051" s="22">
        <f t="shared" si="371"/>
        <v>-42045.155716228634</v>
      </c>
      <c r="AO1051" s="26" t="str">
        <f t="shared" si="372"/>
        <v>YES</v>
      </c>
      <c r="AP1051" s="26" t="str">
        <f t="shared" si="373"/>
        <v>pre-launch</v>
      </c>
      <c r="AQ1051" s="28">
        <v>124</v>
      </c>
      <c r="AR1051" s="28">
        <v>93</v>
      </c>
    </row>
    <row r="1052" spans="1:44" x14ac:dyDescent="0.25">
      <c r="A1052" s="43">
        <v>46113</v>
      </c>
      <c r="B1052" s="17">
        <v>4987928250.75</v>
      </c>
      <c r="C1052" s="17">
        <v>3221732947.5599999</v>
      </c>
      <c r="D1052" s="17">
        <v>96719004</v>
      </c>
      <c r="E1052" s="19">
        <f t="shared" si="352"/>
        <v>8209661198.3099995</v>
      </c>
      <c r="F1052" s="19">
        <f t="shared" si="353"/>
        <v>8306380202.3099995</v>
      </c>
      <c r="G1052" s="20">
        <f t="shared" si="354"/>
        <v>0.392431900627423</v>
      </c>
      <c r="H1052" s="17">
        <v>2321769</v>
      </c>
      <c r="I1052" s="17">
        <v>47354</v>
      </c>
      <c r="J1052" s="17">
        <v>21523</v>
      </c>
      <c r="K1052" s="19">
        <f t="shared" si="355"/>
        <v>2369123</v>
      </c>
      <c r="L1052" s="17">
        <v>244358.01233167801</v>
      </c>
      <c r="M1052" s="17">
        <v>124412.103830279</v>
      </c>
      <c r="N1052" s="17">
        <v>119945.90850139799</v>
      </c>
      <c r="O1052" s="19">
        <f t="shared" si="356"/>
        <v>2077410.9876683219</v>
      </c>
      <c r="P1052" s="21">
        <f t="shared" si="357"/>
        <v>4.1648774465750513</v>
      </c>
      <c r="Q1052" s="17">
        <v>2096278</v>
      </c>
      <c r="R1052" s="17">
        <v>34405</v>
      </c>
      <c r="S1052" s="19">
        <f t="shared" si="358"/>
        <v>2130683</v>
      </c>
      <c r="T1052" s="20">
        <f t="shared" si="359"/>
        <v>0.01</v>
      </c>
      <c r="U1052" s="19">
        <f t="shared" si="360"/>
        <v>21522.050505050505</v>
      </c>
      <c r="V1052" s="17">
        <v>21523</v>
      </c>
      <c r="W1052" s="19">
        <f t="shared" si="361"/>
        <v>-0.94949494949469226</v>
      </c>
      <c r="X1052" s="19">
        <f t="shared" si="362"/>
        <v>238440</v>
      </c>
      <c r="Y1052" s="17">
        <v>225491</v>
      </c>
      <c r="Z1052" s="17">
        <v>12949</v>
      </c>
      <c r="AA1052" s="19">
        <f t="shared" si="363"/>
        <v>216917</v>
      </c>
      <c r="AB1052" s="17">
        <v>2130683</v>
      </c>
      <c r="AC1052" s="27">
        <v>36.018999999999998</v>
      </c>
      <c r="AD1052" s="27">
        <v>36.5685</v>
      </c>
      <c r="AE1052" s="22">
        <f t="shared" si="364"/>
        <v>58265.529075570506</v>
      </c>
      <c r="AF1052" s="23">
        <f t="shared" si="365"/>
        <v>0</v>
      </c>
      <c r="AG1052" s="23">
        <f t="shared" si="366"/>
        <v>0</v>
      </c>
      <c r="AH1052" s="17">
        <v>1709518.1823318</v>
      </c>
      <c r="AI1052" s="24">
        <f t="shared" si="367"/>
        <v>0.80233342188012013</v>
      </c>
      <c r="AJ1052" s="25">
        <v>428000813.41935498</v>
      </c>
      <c r="AK1052" s="24">
        <f t="shared" si="368"/>
        <v>2.2911633018469966E-2</v>
      </c>
      <c r="AL1052" s="22">
        <f t="shared" si="369"/>
        <v>26866.29470868739</v>
      </c>
      <c r="AM1052" s="22">
        <f t="shared" si="370"/>
        <v>58265.529075570506</v>
      </c>
      <c r="AN1052" s="22">
        <f t="shared" si="371"/>
        <v>-31399.234366883116</v>
      </c>
      <c r="AO1052" s="26" t="str">
        <f t="shared" si="372"/>
        <v>YES</v>
      </c>
      <c r="AP1052" s="26" t="str">
        <f t="shared" si="373"/>
        <v>pre-launch</v>
      </c>
      <c r="AQ1052" s="28">
        <v>127</v>
      </c>
      <c r="AR1052" s="28">
        <v>93</v>
      </c>
    </row>
    <row r="1053" spans="1:44" x14ac:dyDescent="0.25">
      <c r="A1053" s="43">
        <v>46114</v>
      </c>
      <c r="B1053" s="17">
        <v>5289345653.8900003</v>
      </c>
      <c r="C1053" s="17">
        <v>4257436050.5999999</v>
      </c>
      <c r="D1053" s="17">
        <v>119770724</v>
      </c>
      <c r="E1053" s="19">
        <f t="shared" si="352"/>
        <v>9546781704.4899998</v>
      </c>
      <c r="F1053" s="19">
        <f t="shared" si="353"/>
        <v>9666552428.4899998</v>
      </c>
      <c r="G1053" s="20">
        <f t="shared" si="354"/>
        <v>0.44595510637869323</v>
      </c>
      <c r="H1053" s="17">
        <v>2683884</v>
      </c>
      <c r="I1053" s="17">
        <v>58823</v>
      </c>
      <c r="J1053" s="17">
        <v>24620</v>
      </c>
      <c r="K1053" s="19">
        <f t="shared" si="355"/>
        <v>2742707</v>
      </c>
      <c r="L1053" s="17">
        <v>363628.70889951801</v>
      </c>
      <c r="M1053" s="17">
        <v>184959.863855442</v>
      </c>
      <c r="N1053" s="17">
        <v>178668.84504407601</v>
      </c>
      <c r="O1053" s="19">
        <f t="shared" si="356"/>
        <v>2320255.291100482</v>
      </c>
      <c r="P1053" s="21">
        <f t="shared" si="357"/>
        <v>4.3866584695482542</v>
      </c>
      <c r="Q1053" s="17">
        <v>2388486</v>
      </c>
      <c r="R1053" s="17">
        <v>49147</v>
      </c>
      <c r="S1053" s="19">
        <f t="shared" si="358"/>
        <v>2437633</v>
      </c>
      <c r="T1053" s="20">
        <f t="shared" si="359"/>
        <v>0.01</v>
      </c>
      <c r="U1053" s="19">
        <f t="shared" si="360"/>
        <v>24622.555555555558</v>
      </c>
      <c r="V1053" s="17">
        <v>24620</v>
      </c>
      <c r="W1053" s="19">
        <f t="shared" si="361"/>
        <v>2.5555555555583851</v>
      </c>
      <c r="X1053" s="19">
        <f t="shared" si="362"/>
        <v>305075</v>
      </c>
      <c r="Y1053" s="17">
        <v>295399</v>
      </c>
      <c r="Z1053" s="17">
        <v>9676</v>
      </c>
      <c r="AA1053" s="19">
        <f t="shared" si="363"/>
        <v>280455</v>
      </c>
      <c r="AB1053" s="17">
        <v>2437633</v>
      </c>
      <c r="AC1053" s="27">
        <v>35.203000000000003</v>
      </c>
      <c r="AD1053" s="27">
        <v>35.488</v>
      </c>
      <c r="AE1053" s="22">
        <f t="shared" si="364"/>
        <v>68688.937105500445</v>
      </c>
      <c r="AF1053" s="23">
        <f t="shared" si="365"/>
        <v>-1</v>
      </c>
      <c r="AG1053" s="23">
        <f t="shared" si="366"/>
        <v>0</v>
      </c>
      <c r="AH1053" s="17">
        <v>1938463.3020401001</v>
      </c>
      <c r="AI1053" s="24">
        <f t="shared" si="367"/>
        <v>0.79522360504641187</v>
      </c>
      <c r="AJ1053" s="25">
        <v>428155580.16589898</v>
      </c>
      <c r="AK1053" s="24">
        <f t="shared" si="368"/>
        <v>2.2907491674102727E-2</v>
      </c>
      <c r="AL1053" s="22">
        <f t="shared" si="369"/>
        <v>26871.151747591655</v>
      </c>
      <c r="AM1053" s="22">
        <f t="shared" si="370"/>
        <v>68688.937105500445</v>
      </c>
      <c r="AN1053" s="22">
        <f t="shared" si="371"/>
        <v>-41817.78535790879</v>
      </c>
      <c r="AO1053" s="26" t="str">
        <f t="shared" si="372"/>
        <v>YES</v>
      </c>
      <c r="AP1053" s="26" t="str">
        <f t="shared" si="373"/>
        <v>pre-launch</v>
      </c>
      <c r="AQ1053" s="28">
        <v>128</v>
      </c>
      <c r="AR1053" s="28">
        <v>93</v>
      </c>
    </row>
    <row r="1054" spans="1:44" x14ac:dyDescent="0.25">
      <c r="A1054" s="43">
        <v>46115</v>
      </c>
      <c r="B1054" s="17">
        <v>2436403173.1399999</v>
      </c>
      <c r="C1054" s="17">
        <v>475343463.98000002</v>
      </c>
      <c r="D1054" s="17">
        <v>60250905</v>
      </c>
      <c r="E1054" s="19">
        <f t="shared" si="352"/>
        <v>2911746637.1199999</v>
      </c>
      <c r="F1054" s="19">
        <f t="shared" si="353"/>
        <v>2971997542.1199999</v>
      </c>
      <c r="G1054" s="20">
        <f t="shared" si="354"/>
        <v>0.16325028349656165</v>
      </c>
      <c r="H1054" s="17">
        <v>1037285</v>
      </c>
      <c r="I1054" s="17">
        <v>28451</v>
      </c>
      <c r="J1054" s="17">
        <v>9673</v>
      </c>
      <c r="K1054" s="19">
        <f t="shared" si="355"/>
        <v>1065736</v>
      </c>
      <c r="L1054" s="17">
        <v>40997.1319214459</v>
      </c>
      <c r="M1054" s="17">
        <v>21866.437110278199</v>
      </c>
      <c r="N1054" s="17">
        <v>19130.694811167701</v>
      </c>
      <c r="O1054" s="19">
        <f t="shared" si="356"/>
        <v>996287.86807855405</v>
      </c>
      <c r="P1054" s="21">
        <f t="shared" si="357"/>
        <v>4.0891748913401438</v>
      </c>
      <c r="Q1054" s="17">
        <v>934810</v>
      </c>
      <c r="R1054" s="17">
        <v>22768</v>
      </c>
      <c r="S1054" s="19">
        <f t="shared" si="358"/>
        <v>957578</v>
      </c>
      <c r="T1054" s="20">
        <f t="shared" si="359"/>
        <v>0.01</v>
      </c>
      <c r="U1054" s="19">
        <f t="shared" si="360"/>
        <v>9672.5050505050513</v>
      </c>
      <c r="V1054" s="17">
        <v>9673</v>
      </c>
      <c r="W1054" s="19">
        <f t="shared" si="361"/>
        <v>-0.49494949494874163</v>
      </c>
      <c r="X1054" s="19">
        <f t="shared" si="362"/>
        <v>108158</v>
      </c>
      <c r="Y1054" s="17">
        <v>102475</v>
      </c>
      <c r="Z1054" s="17">
        <v>5683</v>
      </c>
      <c r="AA1054" s="19">
        <f t="shared" si="363"/>
        <v>98485</v>
      </c>
      <c r="AB1054" s="17">
        <v>957578</v>
      </c>
      <c r="AC1054" s="27">
        <v>35.606000000000002</v>
      </c>
      <c r="AD1054" s="27">
        <v>35.509500000000003</v>
      </c>
      <c r="AE1054" s="22">
        <f t="shared" si="364"/>
        <v>26966.811698277925</v>
      </c>
      <c r="AF1054" s="23">
        <f t="shared" si="365"/>
        <v>0</v>
      </c>
      <c r="AG1054" s="23">
        <f t="shared" si="366"/>
        <v>0</v>
      </c>
      <c r="AH1054" s="17">
        <v>774617.79772210098</v>
      </c>
      <c r="AI1054" s="24">
        <f t="shared" si="367"/>
        <v>0.80893441340768169</v>
      </c>
      <c r="AJ1054" s="25">
        <v>428310346.91244203</v>
      </c>
      <c r="AK1054" s="24">
        <f t="shared" si="368"/>
        <v>2.2903352574604147E-2</v>
      </c>
      <c r="AL1054" s="22">
        <f t="shared" si="369"/>
        <v>26876.007908730619</v>
      </c>
      <c r="AM1054" s="22">
        <f t="shared" si="370"/>
        <v>26966.811698277925</v>
      </c>
      <c r="AN1054" s="22">
        <f t="shared" si="371"/>
        <v>-90.803789547306224</v>
      </c>
      <c r="AO1054" s="26" t="str">
        <f t="shared" si="372"/>
        <v>YES</v>
      </c>
      <c r="AP1054" s="26" t="str">
        <f t="shared" si="373"/>
        <v>pre-launch</v>
      </c>
      <c r="AQ1054" s="28">
        <v>128</v>
      </c>
      <c r="AR1054" s="28">
        <v>93</v>
      </c>
    </row>
    <row r="1055" spans="1:44" x14ac:dyDescent="0.25">
      <c r="A1055" s="43">
        <v>46116</v>
      </c>
      <c r="B1055" s="17">
        <v>1228125067.76</v>
      </c>
      <c r="C1055" s="17">
        <v>213778772.59</v>
      </c>
      <c r="D1055" s="17">
        <v>40329525</v>
      </c>
      <c r="E1055" s="19">
        <f t="shared" si="352"/>
        <v>1441903840.3499999</v>
      </c>
      <c r="F1055" s="19">
        <f t="shared" si="353"/>
        <v>1482233365.3499999</v>
      </c>
      <c r="G1055" s="20">
        <f t="shared" si="354"/>
        <v>0.14826146280192201</v>
      </c>
      <c r="H1055" s="17">
        <v>589751</v>
      </c>
      <c r="I1055" s="17">
        <v>23303</v>
      </c>
      <c r="J1055" s="17">
        <v>5333</v>
      </c>
      <c r="K1055" s="19">
        <f t="shared" si="355"/>
        <v>613054</v>
      </c>
      <c r="L1055" s="17">
        <v>16522.4143830092</v>
      </c>
      <c r="M1055" s="17">
        <v>9144.0101996055291</v>
      </c>
      <c r="N1055" s="17">
        <v>7378.4041834036498</v>
      </c>
      <c r="O1055" s="19">
        <f t="shared" si="356"/>
        <v>573228.58561699081</v>
      </c>
      <c r="P1055" s="21">
        <f t="shared" si="357"/>
        <v>4.6675098543710458</v>
      </c>
      <c r="Q1055" s="17">
        <v>511015</v>
      </c>
      <c r="R1055" s="17">
        <v>16977</v>
      </c>
      <c r="S1055" s="19">
        <f t="shared" si="358"/>
        <v>527992</v>
      </c>
      <c r="T1055" s="20">
        <f t="shared" si="359"/>
        <v>0.01</v>
      </c>
      <c r="U1055" s="19">
        <f t="shared" si="360"/>
        <v>5333.2525252525256</v>
      </c>
      <c r="V1055" s="17">
        <v>5333</v>
      </c>
      <c r="W1055" s="19">
        <f t="shared" si="361"/>
        <v>0.25252525252562918</v>
      </c>
      <c r="X1055" s="19">
        <f t="shared" si="362"/>
        <v>85062</v>
      </c>
      <c r="Y1055" s="17">
        <v>78736</v>
      </c>
      <c r="Z1055" s="17">
        <v>6326</v>
      </c>
      <c r="AA1055" s="19">
        <f t="shared" si="363"/>
        <v>79729</v>
      </c>
      <c r="AB1055" s="17">
        <v>527992</v>
      </c>
      <c r="AC1055" s="27">
        <v>36.387999999999998</v>
      </c>
      <c r="AD1055" s="27">
        <v>36.015500000000003</v>
      </c>
      <c r="AE1055" s="22">
        <f t="shared" si="364"/>
        <v>14660.132442975939</v>
      </c>
      <c r="AF1055" s="23">
        <f t="shared" si="365"/>
        <v>0</v>
      </c>
      <c r="AG1055" s="23">
        <f t="shared" si="366"/>
        <v>0</v>
      </c>
      <c r="AH1055" s="17">
        <v>407079.12601184798</v>
      </c>
      <c r="AI1055" s="24">
        <f t="shared" si="367"/>
        <v>0.77099487494478702</v>
      </c>
      <c r="AJ1055" s="25">
        <v>428465113.65898597</v>
      </c>
      <c r="AK1055" s="24">
        <f t="shared" si="368"/>
        <v>2.2899215717946807E-2</v>
      </c>
      <c r="AL1055" s="22">
        <f t="shared" si="369"/>
        <v>26880.863192580044</v>
      </c>
      <c r="AM1055" s="22">
        <f t="shared" si="370"/>
        <v>14660.132442975939</v>
      </c>
      <c r="AN1055" s="22">
        <f t="shared" si="371"/>
        <v>12220.730749604105</v>
      </c>
      <c r="AO1055" s="26" t="str">
        <f t="shared" si="372"/>
        <v>YES</v>
      </c>
      <c r="AP1055" s="26" t="str">
        <f t="shared" si="373"/>
        <v>pre-launch</v>
      </c>
      <c r="AQ1055" s="28">
        <v>128</v>
      </c>
      <c r="AR1055" s="28">
        <v>93</v>
      </c>
    </row>
    <row r="1056" spans="1:44" x14ac:dyDescent="0.25">
      <c r="A1056" s="43">
        <v>46117</v>
      </c>
      <c r="B1056" s="17">
        <v>2483587092.3200002</v>
      </c>
      <c r="C1056" s="17">
        <v>760617550.82000005</v>
      </c>
      <c r="D1056" s="17">
        <v>57508417</v>
      </c>
      <c r="E1056" s="19">
        <f t="shared" si="352"/>
        <v>3244204643.1400003</v>
      </c>
      <c r="F1056" s="19">
        <f t="shared" si="353"/>
        <v>3301713060.1400003</v>
      </c>
      <c r="G1056" s="20">
        <f t="shared" si="354"/>
        <v>0.23445424518097405</v>
      </c>
      <c r="H1056" s="17">
        <v>1153294</v>
      </c>
      <c r="I1056" s="17">
        <v>33119</v>
      </c>
      <c r="J1056" s="17">
        <v>10642</v>
      </c>
      <c r="K1056" s="19">
        <f t="shared" si="355"/>
        <v>1186413</v>
      </c>
      <c r="L1056" s="17">
        <v>68036.620251402695</v>
      </c>
      <c r="M1056" s="17">
        <v>35523.019020513602</v>
      </c>
      <c r="N1056" s="17">
        <v>32513.6012308891</v>
      </c>
      <c r="O1056" s="19">
        <f t="shared" si="356"/>
        <v>1085257.3797485973</v>
      </c>
      <c r="P1056" s="21">
        <f t="shared" si="357"/>
        <v>4.3697174264777754</v>
      </c>
      <c r="Q1056" s="17">
        <v>1027751</v>
      </c>
      <c r="R1056" s="17">
        <v>25904</v>
      </c>
      <c r="S1056" s="19">
        <f t="shared" si="358"/>
        <v>1053655</v>
      </c>
      <c r="T1056" s="20">
        <f t="shared" si="359"/>
        <v>0.01</v>
      </c>
      <c r="U1056" s="19">
        <f t="shared" si="360"/>
        <v>10642.979797979799</v>
      </c>
      <c r="V1056" s="17">
        <v>10642</v>
      </c>
      <c r="W1056" s="19">
        <f t="shared" si="361"/>
        <v>0.9797979797986045</v>
      </c>
      <c r="X1056" s="19">
        <f t="shared" si="362"/>
        <v>132759</v>
      </c>
      <c r="Y1056" s="17">
        <v>125543</v>
      </c>
      <c r="Z1056" s="17">
        <v>7216</v>
      </c>
      <c r="AA1056" s="19">
        <f t="shared" si="363"/>
        <v>122117</v>
      </c>
      <c r="AB1056" s="17">
        <v>1053655</v>
      </c>
      <c r="AC1056" s="27">
        <v>36.843000000000004</v>
      </c>
      <c r="AD1056" s="27">
        <v>36.350499999999997</v>
      </c>
      <c r="AE1056" s="22">
        <f t="shared" si="364"/>
        <v>28985.983686606789</v>
      </c>
      <c r="AF1056" s="23">
        <f t="shared" si="365"/>
        <v>-1</v>
      </c>
      <c r="AG1056" s="23">
        <f t="shared" si="366"/>
        <v>0</v>
      </c>
      <c r="AH1056" s="17">
        <v>806074.25158405304</v>
      </c>
      <c r="AI1056" s="24">
        <f t="shared" si="367"/>
        <v>0.76502674175517893</v>
      </c>
      <c r="AJ1056" s="25">
        <v>428619880.40552998</v>
      </c>
      <c r="AK1056" s="24">
        <f t="shared" si="368"/>
        <v>2.2895081102105926E-2</v>
      </c>
      <c r="AL1056" s="22">
        <f t="shared" si="369"/>
        <v>26885.717599615211</v>
      </c>
      <c r="AM1056" s="22">
        <f t="shared" si="370"/>
        <v>28985.983686606789</v>
      </c>
      <c r="AN1056" s="22">
        <f t="shared" si="371"/>
        <v>-2100.266086991578</v>
      </c>
      <c r="AO1056" s="26" t="str">
        <f t="shared" si="372"/>
        <v>YES</v>
      </c>
      <c r="AP1056" s="26" t="str">
        <f t="shared" si="373"/>
        <v>pre-launch</v>
      </c>
      <c r="AQ1056" s="28">
        <v>128</v>
      </c>
      <c r="AR1056" s="28">
        <v>93</v>
      </c>
    </row>
    <row r="1057" spans="1:44" x14ac:dyDescent="0.25">
      <c r="A1057" s="43">
        <v>46118</v>
      </c>
      <c r="B1057" s="17">
        <v>4595306827.6000004</v>
      </c>
      <c r="C1057" s="17">
        <v>2690260514.2199998</v>
      </c>
      <c r="D1057" s="17">
        <v>92885393</v>
      </c>
      <c r="E1057" s="19">
        <f t="shared" si="352"/>
        <v>7285567341.8199997</v>
      </c>
      <c r="F1057" s="19">
        <f t="shared" si="353"/>
        <v>7378452734.8199997</v>
      </c>
      <c r="G1057" s="20">
        <f t="shared" si="354"/>
        <v>0.36925889062579836</v>
      </c>
      <c r="H1057" s="17">
        <v>2110359</v>
      </c>
      <c r="I1057" s="17">
        <v>47287</v>
      </c>
      <c r="J1057" s="17">
        <v>19771</v>
      </c>
      <c r="K1057" s="19">
        <f t="shared" si="355"/>
        <v>2157646</v>
      </c>
      <c r="L1057" s="17">
        <v>198334.63014988901</v>
      </c>
      <c r="M1057" s="17">
        <v>101539.899758706</v>
      </c>
      <c r="N1057" s="17">
        <v>96794.730391183097</v>
      </c>
      <c r="O1057" s="19">
        <f t="shared" si="356"/>
        <v>1912024.369850111</v>
      </c>
      <c r="P1057" s="21">
        <f t="shared" si="357"/>
        <v>4.1608198137418118</v>
      </c>
      <c r="Q1057" s="17">
        <v>1923100</v>
      </c>
      <c r="R1057" s="17">
        <v>34608</v>
      </c>
      <c r="S1057" s="19">
        <f t="shared" si="358"/>
        <v>1957708</v>
      </c>
      <c r="T1057" s="20">
        <f t="shared" si="359"/>
        <v>0.01</v>
      </c>
      <c r="U1057" s="19">
        <f t="shared" si="360"/>
        <v>19774.828282828286</v>
      </c>
      <c r="V1057" s="17">
        <v>19771</v>
      </c>
      <c r="W1057" s="19">
        <f t="shared" si="361"/>
        <v>3.8282828282863193</v>
      </c>
      <c r="X1057" s="19">
        <f t="shared" si="362"/>
        <v>199938</v>
      </c>
      <c r="Y1057" s="17">
        <v>187259</v>
      </c>
      <c r="Z1057" s="17">
        <v>12679</v>
      </c>
      <c r="AA1057" s="19">
        <f t="shared" si="363"/>
        <v>180167</v>
      </c>
      <c r="AB1057" s="17">
        <v>1957708</v>
      </c>
      <c r="AC1057" s="27">
        <v>36.295999999999999</v>
      </c>
      <c r="AD1057" s="27">
        <v>36.737250000000003</v>
      </c>
      <c r="AE1057" s="22">
        <f t="shared" si="364"/>
        <v>53289.454164369949</v>
      </c>
      <c r="AF1057" s="23">
        <f t="shared" si="365"/>
        <v>0</v>
      </c>
      <c r="AG1057" s="23">
        <f t="shared" si="366"/>
        <v>0</v>
      </c>
      <c r="AH1057" s="17">
        <v>1607073.69766808</v>
      </c>
      <c r="AI1057" s="24">
        <f t="shared" si="367"/>
        <v>0.82089550518671839</v>
      </c>
      <c r="AJ1057" s="25">
        <v>428774647.15207398</v>
      </c>
      <c r="AK1057" s="24">
        <f t="shared" si="368"/>
        <v>2.2890948725059257E-2</v>
      </c>
      <c r="AL1057" s="22">
        <f t="shared" si="369"/>
        <v>26890.57113031096</v>
      </c>
      <c r="AM1057" s="22">
        <f t="shared" si="370"/>
        <v>53289.454164369949</v>
      </c>
      <c r="AN1057" s="22">
        <f t="shared" si="371"/>
        <v>-26398.883034058988</v>
      </c>
      <c r="AO1057" s="26" t="str">
        <f t="shared" si="372"/>
        <v>YES</v>
      </c>
      <c r="AP1057" s="26" t="str">
        <f t="shared" si="373"/>
        <v>pre-launch</v>
      </c>
      <c r="AQ1057" s="28">
        <v>128</v>
      </c>
      <c r="AR1057" s="28">
        <v>93</v>
      </c>
    </row>
    <row r="1058" spans="1:44" x14ac:dyDescent="0.25">
      <c r="A1058" s="43">
        <v>46119</v>
      </c>
      <c r="B1058" s="17">
        <v>6460062931.7200003</v>
      </c>
      <c r="C1058" s="17">
        <v>5469209347.1099997</v>
      </c>
      <c r="D1058" s="17">
        <v>156937806</v>
      </c>
      <c r="E1058" s="19">
        <f t="shared" si="352"/>
        <v>11929272278.83</v>
      </c>
      <c r="F1058" s="19">
        <f t="shared" si="353"/>
        <v>12086210084.83</v>
      </c>
      <c r="G1058" s="20">
        <f t="shared" si="354"/>
        <v>0.45846965508665621</v>
      </c>
      <c r="H1058" s="17">
        <v>3160539</v>
      </c>
      <c r="I1058" s="17">
        <v>75695</v>
      </c>
      <c r="J1058" s="17">
        <v>29015</v>
      </c>
      <c r="K1058" s="19">
        <f t="shared" si="355"/>
        <v>3236234</v>
      </c>
      <c r="L1058" s="17">
        <v>378079.40783210599</v>
      </c>
      <c r="M1058" s="17">
        <v>192449.886516131</v>
      </c>
      <c r="N1058" s="17">
        <v>185629.521315975</v>
      </c>
      <c r="O1058" s="19">
        <f t="shared" si="356"/>
        <v>2782459.5921678939</v>
      </c>
      <c r="P1058" s="21">
        <f t="shared" si="357"/>
        <v>4.3071710315785738</v>
      </c>
      <c r="Q1058" s="17">
        <v>2818840</v>
      </c>
      <c r="R1058" s="17">
        <v>53908</v>
      </c>
      <c r="S1058" s="19">
        <f t="shared" si="358"/>
        <v>2872748</v>
      </c>
      <c r="T1058" s="20">
        <f t="shared" si="359"/>
        <v>0.01</v>
      </c>
      <c r="U1058" s="19">
        <f t="shared" si="360"/>
        <v>29017.656565656565</v>
      </c>
      <c r="V1058" s="17">
        <v>29015</v>
      </c>
      <c r="W1058" s="19">
        <f t="shared" si="361"/>
        <v>2.6565656565653626</v>
      </c>
      <c r="X1058" s="19">
        <f t="shared" si="362"/>
        <v>363486</v>
      </c>
      <c r="Y1058" s="17">
        <v>341699</v>
      </c>
      <c r="Z1058" s="17">
        <v>21787</v>
      </c>
      <c r="AA1058" s="19">
        <f t="shared" si="363"/>
        <v>334471</v>
      </c>
      <c r="AB1058" s="17">
        <v>2872748</v>
      </c>
      <c r="AC1058" s="27">
        <v>38.637999999999998</v>
      </c>
      <c r="AD1058" s="27">
        <v>37.482999999999997</v>
      </c>
      <c r="AE1058" s="22">
        <f t="shared" si="364"/>
        <v>76641.357415361636</v>
      </c>
      <c r="AF1058" s="23">
        <f t="shared" si="365"/>
        <v>0</v>
      </c>
      <c r="AG1058" s="23">
        <f t="shared" si="366"/>
        <v>0</v>
      </c>
      <c r="AH1058" s="17">
        <v>2285242.0294318199</v>
      </c>
      <c r="AI1058" s="24">
        <f t="shared" si="367"/>
        <v>0.79548990354594973</v>
      </c>
      <c r="AJ1058" s="25">
        <v>428929413.89861798</v>
      </c>
      <c r="AK1058" s="24">
        <f t="shared" si="368"/>
        <v>2.2886818584787107E-2</v>
      </c>
      <c r="AL1058" s="22">
        <f t="shared" si="369"/>
        <v>26895.423785141727</v>
      </c>
      <c r="AM1058" s="22">
        <f t="shared" si="370"/>
        <v>76641.357415361636</v>
      </c>
      <c r="AN1058" s="22">
        <f t="shared" si="371"/>
        <v>-49745.933630219908</v>
      </c>
      <c r="AO1058" s="26" t="str">
        <f t="shared" si="372"/>
        <v>YES</v>
      </c>
      <c r="AP1058" s="26" t="str">
        <f t="shared" si="373"/>
        <v>pre-launch</v>
      </c>
      <c r="AQ1058" s="28">
        <v>129</v>
      </c>
      <c r="AR1058" s="28">
        <v>94</v>
      </c>
    </row>
    <row r="1059" spans="1:44" x14ac:dyDescent="0.25">
      <c r="A1059" s="43">
        <v>46120</v>
      </c>
      <c r="B1059" s="17">
        <v>5074261886.2200003</v>
      </c>
      <c r="C1059" s="17">
        <v>4715527280.3199997</v>
      </c>
      <c r="D1059" s="17">
        <v>187268911</v>
      </c>
      <c r="E1059" s="19">
        <f t="shared" si="352"/>
        <v>9789789166.5400009</v>
      </c>
      <c r="F1059" s="19">
        <f t="shared" si="353"/>
        <v>9977058077.5400009</v>
      </c>
      <c r="G1059" s="20">
        <f t="shared" si="354"/>
        <v>0.48167812402303301</v>
      </c>
      <c r="H1059" s="17">
        <v>2565015</v>
      </c>
      <c r="I1059" s="17">
        <v>97142</v>
      </c>
      <c r="J1059" s="17">
        <v>23888</v>
      </c>
      <c r="K1059" s="19">
        <f t="shared" si="355"/>
        <v>2662157</v>
      </c>
      <c r="L1059" s="17">
        <v>318365.32478711603</v>
      </c>
      <c r="M1059" s="17">
        <v>162123.453850177</v>
      </c>
      <c r="N1059" s="17">
        <v>156241.870936939</v>
      </c>
      <c r="O1059" s="19">
        <f t="shared" si="356"/>
        <v>2246649.6752128839</v>
      </c>
      <c r="P1059" s="21">
        <f t="shared" si="357"/>
        <v>4.427539858189097</v>
      </c>
      <c r="Q1059" s="17">
        <v>2290391</v>
      </c>
      <c r="R1059" s="17">
        <v>74580</v>
      </c>
      <c r="S1059" s="19">
        <f t="shared" si="358"/>
        <v>2364971</v>
      </c>
      <c r="T1059" s="20">
        <f t="shared" si="359"/>
        <v>0.01</v>
      </c>
      <c r="U1059" s="19">
        <f t="shared" si="360"/>
        <v>23888.595959595958</v>
      </c>
      <c r="V1059" s="17">
        <v>23888</v>
      </c>
      <c r="W1059" s="19">
        <f t="shared" si="361"/>
        <v>0.59595959595753811</v>
      </c>
      <c r="X1059" s="19">
        <f t="shared" si="362"/>
        <v>297187</v>
      </c>
      <c r="Y1059" s="17">
        <v>274624</v>
      </c>
      <c r="Z1059" s="17">
        <v>22563</v>
      </c>
      <c r="AA1059" s="19">
        <f t="shared" si="363"/>
        <v>273299</v>
      </c>
      <c r="AB1059" s="17">
        <v>2364971</v>
      </c>
      <c r="AC1059" s="27">
        <v>38.816000000000003</v>
      </c>
      <c r="AD1059" s="27">
        <v>38.781750000000002</v>
      </c>
      <c r="AE1059" s="22">
        <f t="shared" si="364"/>
        <v>60981.544154144663</v>
      </c>
      <c r="AF1059" s="23">
        <f t="shared" si="365"/>
        <v>-1</v>
      </c>
      <c r="AG1059" s="23">
        <f t="shared" si="366"/>
        <v>0</v>
      </c>
      <c r="AH1059" s="17">
        <v>1928361.66277814</v>
      </c>
      <c r="AI1059" s="24">
        <f t="shared" si="367"/>
        <v>0.81538490864291358</v>
      </c>
      <c r="AJ1059" s="25">
        <v>429084180.64516097</v>
      </c>
      <c r="AK1059" s="24">
        <f t="shared" si="368"/>
        <v>2.2882690679272361E-2</v>
      </c>
      <c r="AL1059" s="22">
        <f t="shared" si="369"/>
        <v>26900.275564581487</v>
      </c>
      <c r="AM1059" s="22">
        <f t="shared" si="370"/>
        <v>60981.544154144663</v>
      </c>
      <c r="AN1059" s="22">
        <f t="shared" si="371"/>
        <v>-34081.268589563173</v>
      </c>
      <c r="AO1059" s="26" t="str">
        <f t="shared" si="372"/>
        <v>YES</v>
      </c>
      <c r="AP1059" s="26" t="str">
        <f t="shared" si="373"/>
        <v>pre-launch</v>
      </c>
      <c r="AQ1059" s="28">
        <v>129</v>
      </c>
      <c r="AR1059" s="28">
        <v>94</v>
      </c>
    </row>
    <row r="1060" spans="1:44" x14ac:dyDescent="0.25">
      <c r="A1060" s="43">
        <v>46121</v>
      </c>
      <c r="B1060" s="17">
        <v>5161111759.8800001</v>
      </c>
      <c r="C1060" s="17">
        <v>3293688178.9099998</v>
      </c>
      <c r="D1060" s="17">
        <v>117406505</v>
      </c>
      <c r="E1060" s="19">
        <f t="shared" si="352"/>
        <v>8454799938.79</v>
      </c>
      <c r="F1060" s="19">
        <f t="shared" si="353"/>
        <v>8572206443.79</v>
      </c>
      <c r="G1060" s="20">
        <f t="shared" si="354"/>
        <v>0.38956429516431262</v>
      </c>
      <c r="H1060" s="17">
        <v>2463897</v>
      </c>
      <c r="I1060" s="17">
        <v>60612</v>
      </c>
      <c r="J1060" s="17">
        <v>22693</v>
      </c>
      <c r="K1060" s="19">
        <f t="shared" si="355"/>
        <v>2524509</v>
      </c>
      <c r="L1060" s="17">
        <v>220124.843166081</v>
      </c>
      <c r="M1060" s="17">
        <v>112877.902358383</v>
      </c>
      <c r="N1060" s="17">
        <v>107246.940807698</v>
      </c>
      <c r="O1060" s="19">
        <f t="shared" si="356"/>
        <v>2243772.1568339188</v>
      </c>
      <c r="P1060" s="21">
        <f t="shared" si="357"/>
        <v>4.3474589608307337</v>
      </c>
      <c r="Q1060" s="17">
        <v>2201203</v>
      </c>
      <c r="R1060" s="17">
        <v>45143</v>
      </c>
      <c r="S1060" s="19">
        <f t="shared" si="358"/>
        <v>2246346</v>
      </c>
      <c r="T1060" s="20">
        <f t="shared" si="359"/>
        <v>0.01</v>
      </c>
      <c r="U1060" s="19">
        <f t="shared" si="360"/>
        <v>22690.363636363636</v>
      </c>
      <c r="V1060" s="17">
        <v>22693</v>
      </c>
      <c r="W1060" s="19">
        <f t="shared" si="361"/>
        <v>-2.6363636363639671</v>
      </c>
      <c r="X1060" s="19">
        <f t="shared" si="362"/>
        <v>278163</v>
      </c>
      <c r="Y1060" s="17">
        <v>262694</v>
      </c>
      <c r="Z1060" s="17">
        <v>15469</v>
      </c>
      <c r="AA1060" s="19">
        <f t="shared" si="363"/>
        <v>255470</v>
      </c>
      <c r="AB1060" s="17">
        <v>2246346</v>
      </c>
      <c r="AC1060" s="27">
        <v>39.476999999999997</v>
      </c>
      <c r="AD1060" s="27">
        <v>39.212249999999997</v>
      </c>
      <c r="AE1060" s="22">
        <f t="shared" si="364"/>
        <v>57286.842759596817</v>
      </c>
      <c r="AF1060" s="23">
        <f t="shared" si="365"/>
        <v>0</v>
      </c>
      <c r="AG1060" s="23">
        <f t="shared" si="366"/>
        <v>0</v>
      </c>
      <c r="AH1060" s="17">
        <v>1786748.63912797</v>
      </c>
      <c r="AI1060" s="24">
        <f t="shared" si="367"/>
        <v>0.79540223951607192</v>
      </c>
      <c r="AJ1060" s="25">
        <v>429238947.39170498</v>
      </c>
      <c r="AK1060" s="24">
        <f t="shared" si="368"/>
        <v>2.287856500650037E-2</v>
      </c>
      <c r="AL1060" s="22">
        <f t="shared" si="369"/>
        <v>26905.126469103874</v>
      </c>
      <c r="AM1060" s="22">
        <f t="shared" si="370"/>
        <v>57286.842759596817</v>
      </c>
      <c r="AN1060" s="22">
        <f t="shared" si="371"/>
        <v>-30381.716290492943</v>
      </c>
      <c r="AO1060" s="26" t="str">
        <f t="shared" si="372"/>
        <v>YES</v>
      </c>
      <c r="AP1060" s="26" t="str">
        <f t="shared" si="373"/>
        <v>pre-launch</v>
      </c>
      <c r="AQ1060" s="28">
        <v>133</v>
      </c>
      <c r="AR1060" s="28">
        <v>98</v>
      </c>
    </row>
    <row r="1061" spans="1:44" x14ac:dyDescent="0.25">
      <c r="A1061" s="43">
        <v>46122</v>
      </c>
      <c r="B1061" s="17">
        <v>3916764791.25</v>
      </c>
      <c r="C1061" s="17">
        <v>2003318945.54</v>
      </c>
      <c r="D1061" s="17">
        <v>126827403</v>
      </c>
      <c r="E1061" s="19">
        <f t="shared" si="352"/>
        <v>5920083736.79</v>
      </c>
      <c r="F1061" s="19">
        <f t="shared" si="353"/>
        <v>6046911139.79</v>
      </c>
      <c r="G1061" s="20">
        <f t="shared" si="354"/>
        <v>0.33839368404377396</v>
      </c>
      <c r="H1061" s="17">
        <v>1809888</v>
      </c>
      <c r="I1061" s="17">
        <v>69574</v>
      </c>
      <c r="J1061" s="17">
        <v>17176</v>
      </c>
      <c r="K1061" s="19">
        <f t="shared" si="355"/>
        <v>1879462</v>
      </c>
      <c r="L1061" s="17">
        <v>145275.95601950699</v>
      </c>
      <c r="M1061" s="17">
        <v>75215.8427786221</v>
      </c>
      <c r="N1061" s="17">
        <v>70060.113240885301</v>
      </c>
      <c r="O1061" s="19">
        <f t="shared" si="356"/>
        <v>1664612.043980493</v>
      </c>
      <c r="P1061" s="21">
        <f t="shared" si="357"/>
        <v>4.249966828999316</v>
      </c>
      <c r="Q1061" s="17">
        <v>1643803</v>
      </c>
      <c r="R1061" s="17">
        <v>56613</v>
      </c>
      <c r="S1061" s="19">
        <f t="shared" si="358"/>
        <v>1700416</v>
      </c>
      <c r="T1061" s="20">
        <f t="shared" si="359"/>
        <v>0.01</v>
      </c>
      <c r="U1061" s="19">
        <f t="shared" si="360"/>
        <v>17175.919191919191</v>
      </c>
      <c r="V1061" s="17">
        <v>17176</v>
      </c>
      <c r="W1061" s="19">
        <f t="shared" si="361"/>
        <v>-8.0808080809219973E-2</v>
      </c>
      <c r="X1061" s="19">
        <f t="shared" si="362"/>
        <v>179046</v>
      </c>
      <c r="Y1061" s="17">
        <v>166085</v>
      </c>
      <c r="Z1061" s="17">
        <v>12961</v>
      </c>
      <c r="AA1061" s="19">
        <f t="shared" si="363"/>
        <v>161870</v>
      </c>
      <c r="AB1061" s="17">
        <v>1700416</v>
      </c>
      <c r="AC1061" s="27">
        <v>41.609000000000002</v>
      </c>
      <c r="AD1061" s="27">
        <v>40.695500000000003</v>
      </c>
      <c r="AE1061" s="22">
        <f t="shared" si="364"/>
        <v>41783.882738877757</v>
      </c>
      <c r="AF1061" s="23">
        <f t="shared" si="365"/>
        <v>0</v>
      </c>
      <c r="AG1061" s="23">
        <f t="shared" si="366"/>
        <v>0</v>
      </c>
      <c r="AH1061" s="17">
        <v>1406410.5311858701</v>
      </c>
      <c r="AI1061" s="24">
        <f t="shared" si="367"/>
        <v>0.82709791673676913</v>
      </c>
      <c r="AJ1061" s="25">
        <v>429393714.13824898</v>
      </c>
      <c r="AK1061" s="24">
        <f t="shared" si="368"/>
        <v>2.2874441564459107E-2</v>
      </c>
      <c r="AL1061" s="22">
        <f t="shared" si="369"/>
        <v>26909.976499182012</v>
      </c>
      <c r="AM1061" s="22">
        <f t="shared" si="370"/>
        <v>41783.882738877757</v>
      </c>
      <c r="AN1061" s="22">
        <f t="shared" si="371"/>
        <v>-14873.906239695745</v>
      </c>
      <c r="AO1061" s="26" t="str">
        <f t="shared" si="372"/>
        <v>YES</v>
      </c>
      <c r="AP1061" s="26" t="str">
        <f t="shared" si="373"/>
        <v>pre-launch</v>
      </c>
      <c r="AQ1061" s="28">
        <v>133</v>
      </c>
      <c r="AR1061" s="28">
        <v>98</v>
      </c>
    </row>
    <row r="1062" spans="1:44" x14ac:dyDescent="0.25">
      <c r="A1062" s="43">
        <v>46123</v>
      </c>
      <c r="B1062" s="17">
        <v>2265924052.8800001</v>
      </c>
      <c r="C1062" s="17">
        <v>546485976.38999999</v>
      </c>
      <c r="D1062" s="17">
        <v>84074982</v>
      </c>
      <c r="E1062" s="19">
        <f t="shared" si="352"/>
        <v>2812410029.27</v>
      </c>
      <c r="F1062" s="19">
        <f t="shared" si="353"/>
        <v>2896485011.27</v>
      </c>
      <c r="G1062" s="20">
        <f t="shared" si="354"/>
        <v>0.19431234091134569</v>
      </c>
      <c r="H1062" s="17">
        <v>1075167</v>
      </c>
      <c r="I1062" s="17">
        <v>49045</v>
      </c>
      <c r="J1062" s="17">
        <v>9902</v>
      </c>
      <c r="K1062" s="19">
        <f t="shared" si="355"/>
        <v>1124212</v>
      </c>
      <c r="L1062" s="17">
        <v>37621.453320020199</v>
      </c>
      <c r="M1062" s="17">
        <v>20169.341208200902</v>
      </c>
      <c r="N1062" s="17">
        <v>17452.1121118193</v>
      </c>
      <c r="O1062" s="19">
        <f t="shared" si="356"/>
        <v>1037545.5466799798</v>
      </c>
      <c r="P1062" s="21">
        <f t="shared" si="357"/>
        <v>4.5789069821702739</v>
      </c>
      <c r="Q1062" s="17">
        <v>943788</v>
      </c>
      <c r="R1062" s="17">
        <v>36400</v>
      </c>
      <c r="S1062" s="19">
        <f t="shared" si="358"/>
        <v>980188</v>
      </c>
      <c r="T1062" s="20">
        <f t="shared" si="359"/>
        <v>0.01</v>
      </c>
      <c r="U1062" s="19">
        <f t="shared" si="360"/>
        <v>9900.8888888888905</v>
      </c>
      <c r="V1062" s="17">
        <v>9902</v>
      </c>
      <c r="W1062" s="19">
        <f t="shared" si="361"/>
        <v>-1.1111111111094942</v>
      </c>
      <c r="X1062" s="19">
        <f t="shared" si="362"/>
        <v>144024</v>
      </c>
      <c r="Y1062" s="17">
        <v>131380</v>
      </c>
      <c r="Z1062" s="17">
        <v>12644</v>
      </c>
      <c r="AA1062" s="19">
        <f t="shared" si="363"/>
        <v>134122</v>
      </c>
      <c r="AB1062" s="17">
        <v>980188</v>
      </c>
      <c r="AC1062" s="27">
        <v>42.293999999999997</v>
      </c>
      <c r="AD1062" s="27">
        <v>42.139000000000003</v>
      </c>
      <c r="AE1062" s="22">
        <f t="shared" si="364"/>
        <v>23260.827262156196</v>
      </c>
      <c r="AF1062" s="23">
        <f t="shared" si="365"/>
        <v>0</v>
      </c>
      <c r="AG1062" s="23">
        <f t="shared" si="366"/>
        <v>0</v>
      </c>
      <c r="AH1062" s="17">
        <v>770650.88699102402</v>
      </c>
      <c r="AI1062" s="24">
        <f t="shared" si="367"/>
        <v>0.78622762877226005</v>
      </c>
      <c r="AJ1062" s="25">
        <v>429548480.88479298</v>
      </c>
      <c r="AK1062" s="24">
        <f t="shared" si="368"/>
        <v>2.2870320351139055E-2</v>
      </c>
      <c r="AL1062" s="22">
        <f t="shared" si="369"/>
        <v>26914.825655288623</v>
      </c>
      <c r="AM1062" s="22">
        <f t="shared" si="370"/>
        <v>23260.827262156196</v>
      </c>
      <c r="AN1062" s="22">
        <f t="shared" si="371"/>
        <v>3653.9983931324277</v>
      </c>
      <c r="AO1062" s="26" t="str">
        <f t="shared" si="372"/>
        <v>YES</v>
      </c>
      <c r="AP1062" s="26" t="str">
        <f t="shared" si="373"/>
        <v>pre-launch</v>
      </c>
      <c r="AQ1062" s="28">
        <v>133</v>
      </c>
      <c r="AR1062" s="28">
        <v>98</v>
      </c>
    </row>
    <row r="1063" spans="1:44" x14ac:dyDescent="0.25">
      <c r="A1063" s="43">
        <v>46124</v>
      </c>
      <c r="B1063" s="17">
        <v>3506506816.25</v>
      </c>
      <c r="C1063" s="17">
        <v>1961035125.8399999</v>
      </c>
      <c r="D1063" s="17">
        <v>85379962</v>
      </c>
      <c r="E1063" s="19">
        <f t="shared" si="352"/>
        <v>5467541942.0900002</v>
      </c>
      <c r="F1063" s="19">
        <f t="shared" si="353"/>
        <v>5552921904.0900002</v>
      </c>
      <c r="G1063" s="20">
        <f t="shared" si="354"/>
        <v>0.35866851075135653</v>
      </c>
      <c r="H1063" s="17">
        <v>1727746</v>
      </c>
      <c r="I1063" s="17">
        <v>42336</v>
      </c>
      <c r="J1063" s="17">
        <v>15708</v>
      </c>
      <c r="K1063" s="19">
        <f t="shared" si="355"/>
        <v>1770082</v>
      </c>
      <c r="L1063" s="17">
        <v>135572.393147878</v>
      </c>
      <c r="M1063" s="17">
        <v>69469.450653627398</v>
      </c>
      <c r="N1063" s="17">
        <v>66102.942494250805</v>
      </c>
      <c r="O1063" s="19">
        <f t="shared" si="356"/>
        <v>1592173.6068521221</v>
      </c>
      <c r="P1063" s="21">
        <f t="shared" si="357"/>
        <v>4.5406260141106953</v>
      </c>
      <c r="Q1063" s="17">
        <v>1523352</v>
      </c>
      <c r="R1063" s="17">
        <v>31665</v>
      </c>
      <c r="S1063" s="19">
        <f t="shared" si="358"/>
        <v>1555017</v>
      </c>
      <c r="T1063" s="20">
        <f t="shared" si="359"/>
        <v>0.01</v>
      </c>
      <c r="U1063" s="19">
        <f t="shared" si="360"/>
        <v>15707.242424242424</v>
      </c>
      <c r="V1063" s="17">
        <v>15708</v>
      </c>
      <c r="W1063" s="19">
        <f t="shared" si="361"/>
        <v>-0.75757575757597806</v>
      </c>
      <c r="X1063" s="19">
        <f t="shared" si="362"/>
        <v>215065</v>
      </c>
      <c r="Y1063" s="17">
        <v>204394</v>
      </c>
      <c r="Z1063" s="17">
        <v>10671</v>
      </c>
      <c r="AA1063" s="19">
        <f t="shared" si="363"/>
        <v>199357</v>
      </c>
      <c r="AB1063" s="17">
        <v>1555017</v>
      </c>
      <c r="AC1063" s="27">
        <v>40.854999999999997</v>
      </c>
      <c r="AD1063" s="27">
        <v>41.542000000000002</v>
      </c>
      <c r="AE1063" s="22">
        <f t="shared" si="364"/>
        <v>37432.405758028021</v>
      </c>
      <c r="AF1063" s="23">
        <f t="shared" si="365"/>
        <v>0</v>
      </c>
      <c r="AG1063" s="23">
        <f t="shared" si="366"/>
        <v>0</v>
      </c>
      <c r="AH1063" s="17">
        <v>1230955.85909104</v>
      </c>
      <c r="AI1063" s="24">
        <f t="shared" si="367"/>
        <v>0.7916028307671491</v>
      </c>
      <c r="AJ1063" s="25">
        <v>429703247.63133597</v>
      </c>
      <c r="AK1063" s="24">
        <f t="shared" si="368"/>
        <v>2.2866201364533253E-2</v>
      </c>
      <c r="AL1063" s="22">
        <f t="shared" si="369"/>
        <v>26919.673937895961</v>
      </c>
      <c r="AM1063" s="22">
        <f t="shared" si="370"/>
        <v>37432.405758028021</v>
      </c>
      <c r="AN1063" s="22">
        <f t="shared" si="371"/>
        <v>-10512.73182013206</v>
      </c>
      <c r="AO1063" s="26" t="str">
        <f t="shared" si="372"/>
        <v>YES</v>
      </c>
      <c r="AP1063" s="26" t="str">
        <f t="shared" si="373"/>
        <v>pre-launch</v>
      </c>
      <c r="AQ1063" s="28">
        <v>133</v>
      </c>
      <c r="AR1063" s="28">
        <v>98</v>
      </c>
    </row>
    <row r="1064" spans="1:44" x14ac:dyDescent="0.25">
      <c r="A1064" s="43">
        <v>46125</v>
      </c>
      <c r="B1064" s="17">
        <v>5296830121.8999996</v>
      </c>
      <c r="C1064" s="17">
        <v>2674583225.3400002</v>
      </c>
      <c r="D1064" s="17">
        <v>113867245</v>
      </c>
      <c r="E1064" s="19">
        <f t="shared" si="352"/>
        <v>7971413347.2399998</v>
      </c>
      <c r="F1064" s="19">
        <f t="shared" si="353"/>
        <v>8085280592.2399998</v>
      </c>
      <c r="G1064" s="20">
        <f t="shared" si="354"/>
        <v>0.33552183393752133</v>
      </c>
      <c r="H1064" s="17">
        <v>2246517</v>
      </c>
      <c r="I1064" s="17">
        <v>59322</v>
      </c>
      <c r="J1064" s="17">
        <v>21173</v>
      </c>
      <c r="K1064" s="19">
        <f t="shared" si="355"/>
        <v>2305839</v>
      </c>
      <c r="L1064" s="17">
        <v>181734.28280446099</v>
      </c>
      <c r="M1064" s="17">
        <v>93274.171223373996</v>
      </c>
      <c r="N1064" s="17">
        <v>88460.111581087403</v>
      </c>
      <c r="O1064" s="19">
        <f t="shared" si="356"/>
        <v>2064782.717195539</v>
      </c>
      <c r="P1064" s="21">
        <f t="shared" si="357"/>
        <v>3.8981478916203018</v>
      </c>
      <c r="Q1064" s="17">
        <v>2047727</v>
      </c>
      <c r="R1064" s="17">
        <v>48527</v>
      </c>
      <c r="S1064" s="19">
        <f t="shared" si="358"/>
        <v>2096254</v>
      </c>
      <c r="T1064" s="20">
        <f t="shared" si="359"/>
        <v>0.01</v>
      </c>
      <c r="U1064" s="19">
        <f t="shared" si="360"/>
        <v>21174.28282828283</v>
      </c>
      <c r="V1064" s="17">
        <v>21173</v>
      </c>
      <c r="W1064" s="19">
        <f t="shared" si="361"/>
        <v>1.2828282828304509</v>
      </c>
      <c r="X1064" s="19">
        <f t="shared" si="362"/>
        <v>209584</v>
      </c>
      <c r="Y1064" s="17">
        <v>198790</v>
      </c>
      <c r="Z1064" s="17">
        <v>10794</v>
      </c>
      <c r="AA1064" s="19">
        <f t="shared" si="363"/>
        <v>188411</v>
      </c>
      <c r="AB1064" s="17">
        <v>2096254</v>
      </c>
      <c r="AC1064" s="27">
        <v>44.360999999999997</v>
      </c>
      <c r="AD1064" s="27">
        <v>42.65775</v>
      </c>
      <c r="AE1064" s="22">
        <f t="shared" si="364"/>
        <v>49141.222872748796</v>
      </c>
      <c r="AF1064" s="23">
        <f t="shared" si="365"/>
        <v>1</v>
      </c>
      <c r="AG1064" s="23">
        <f t="shared" si="366"/>
        <v>0</v>
      </c>
      <c r="AH1064" s="17">
        <v>1799003.9077639601</v>
      </c>
      <c r="AI1064" s="24">
        <f t="shared" si="367"/>
        <v>0.85819939175498772</v>
      </c>
      <c r="AJ1064" s="25">
        <v>429858014.37787998</v>
      </c>
      <c r="AK1064" s="24">
        <f t="shared" si="368"/>
        <v>2.2862084602637195E-2</v>
      </c>
      <c r="AL1064" s="22">
        <f t="shared" si="369"/>
        <v>26924.521347475966</v>
      </c>
      <c r="AM1064" s="22">
        <f t="shared" si="370"/>
        <v>49141.222872748796</v>
      </c>
      <c r="AN1064" s="22">
        <f t="shared" si="371"/>
        <v>-22216.701525272831</v>
      </c>
      <c r="AO1064" s="26" t="str">
        <f t="shared" si="372"/>
        <v>YES</v>
      </c>
      <c r="AP1064" s="26" t="str">
        <f t="shared" si="373"/>
        <v>pre-launch</v>
      </c>
      <c r="AQ1064" s="28">
        <v>133</v>
      </c>
      <c r="AR1064" s="28">
        <v>98</v>
      </c>
    </row>
    <row r="1065" spans="1:44" x14ac:dyDescent="0.25">
      <c r="A1065" s="43">
        <v>46126</v>
      </c>
      <c r="B1065" s="17">
        <v>5642745694.3599997</v>
      </c>
      <c r="C1065" s="17">
        <v>2221769151.7199998</v>
      </c>
      <c r="D1065" s="17">
        <v>162702381</v>
      </c>
      <c r="E1065" s="19">
        <f t="shared" si="352"/>
        <v>7864514846.0799999</v>
      </c>
      <c r="F1065" s="19">
        <f t="shared" si="353"/>
        <v>8027217227.0799999</v>
      </c>
      <c r="G1065" s="20">
        <f t="shared" si="354"/>
        <v>0.28250555758406654</v>
      </c>
      <c r="H1065" s="17">
        <v>2674984</v>
      </c>
      <c r="I1065" s="17">
        <v>83581</v>
      </c>
      <c r="J1065" s="17">
        <v>25368</v>
      </c>
      <c r="K1065" s="19">
        <f t="shared" si="355"/>
        <v>2758565</v>
      </c>
      <c r="L1065" s="17">
        <v>154403.32992990399</v>
      </c>
      <c r="M1065" s="17">
        <v>79340.867268481496</v>
      </c>
      <c r="N1065" s="17">
        <v>75062.462661422294</v>
      </c>
      <c r="O1065" s="19">
        <f t="shared" si="356"/>
        <v>2520580.6700700959</v>
      </c>
      <c r="P1065" s="21">
        <f t="shared" si="357"/>
        <v>4.466940044080757</v>
      </c>
      <c r="Q1065" s="17">
        <v>2446802</v>
      </c>
      <c r="R1065" s="17">
        <v>64541</v>
      </c>
      <c r="S1065" s="19">
        <f t="shared" si="358"/>
        <v>2511343</v>
      </c>
      <c r="T1065" s="20">
        <f t="shared" si="359"/>
        <v>0.01</v>
      </c>
      <c r="U1065" s="19">
        <f t="shared" si="360"/>
        <v>25367.101010101011</v>
      </c>
      <c r="V1065" s="17">
        <v>25368</v>
      </c>
      <c r="W1065" s="19">
        <f t="shared" si="361"/>
        <v>-0.89898989898938453</v>
      </c>
      <c r="X1065" s="19">
        <f t="shared" si="362"/>
        <v>247223</v>
      </c>
      <c r="Y1065" s="17">
        <v>228183</v>
      </c>
      <c r="Z1065" s="17">
        <v>19040</v>
      </c>
      <c r="AA1065" s="19">
        <f t="shared" si="363"/>
        <v>221855</v>
      </c>
      <c r="AB1065" s="17">
        <v>2511343</v>
      </c>
      <c r="AC1065" s="27">
        <v>43.554000000000002</v>
      </c>
      <c r="AD1065" s="27">
        <v>44.059249999999999</v>
      </c>
      <c r="AE1065" s="22">
        <f t="shared" si="364"/>
        <v>56999.222637698098</v>
      </c>
      <c r="AF1065" s="23">
        <f t="shared" si="365"/>
        <v>-1</v>
      </c>
      <c r="AG1065" s="23">
        <f t="shared" si="366"/>
        <v>0</v>
      </c>
      <c r="AH1065" s="17">
        <v>1998309.1708841301</v>
      </c>
      <c r="AI1065" s="24">
        <f t="shared" si="367"/>
        <v>0.79571335770706353</v>
      </c>
      <c r="AJ1065" s="25">
        <v>430012781.12442398</v>
      </c>
      <c r="AK1065" s="24">
        <f t="shared" si="368"/>
        <v>2.285797006344898E-2</v>
      </c>
      <c r="AL1065" s="22">
        <f t="shared" si="369"/>
        <v>26929.367884500058</v>
      </c>
      <c r="AM1065" s="22">
        <f t="shared" si="370"/>
        <v>56999.222637698098</v>
      </c>
      <c r="AN1065" s="22">
        <f t="shared" si="371"/>
        <v>-30069.85475319804</v>
      </c>
      <c r="AO1065" s="26" t="str">
        <f t="shared" si="372"/>
        <v>YES</v>
      </c>
      <c r="AP1065" s="26" t="str">
        <f t="shared" si="373"/>
        <v>pre-launch</v>
      </c>
      <c r="AQ1065" s="28">
        <v>133</v>
      </c>
      <c r="AR1065" s="28">
        <v>98</v>
      </c>
    </row>
    <row r="1066" spans="1:44" x14ac:dyDescent="0.25">
      <c r="A1066" s="43">
        <v>46127</v>
      </c>
      <c r="B1066" s="17">
        <v>4022178926.25</v>
      </c>
      <c r="C1066" s="17">
        <v>2049221398.1600001</v>
      </c>
      <c r="D1066" s="17">
        <v>115480502</v>
      </c>
      <c r="E1066" s="19">
        <f t="shared" si="352"/>
        <v>6071400324.4099998</v>
      </c>
      <c r="F1066" s="19">
        <f t="shared" si="353"/>
        <v>6186880826.4099998</v>
      </c>
      <c r="G1066" s="20">
        <f t="shared" si="354"/>
        <v>0.33752038881724328</v>
      </c>
      <c r="H1066" s="17">
        <v>1823939</v>
      </c>
      <c r="I1066" s="17">
        <v>58909</v>
      </c>
      <c r="J1066" s="17">
        <v>17220</v>
      </c>
      <c r="K1066" s="19">
        <f t="shared" si="355"/>
        <v>1882848</v>
      </c>
      <c r="L1066" s="17">
        <v>145647.384576296</v>
      </c>
      <c r="M1066" s="17">
        <v>74128.1986349996</v>
      </c>
      <c r="N1066" s="17">
        <v>71519.185941296106</v>
      </c>
      <c r="O1066" s="19">
        <f t="shared" si="356"/>
        <v>1678291.615423704</v>
      </c>
      <c r="P1066" s="21">
        <f t="shared" si="357"/>
        <v>4.172593129735346</v>
      </c>
      <c r="Q1066" s="17">
        <v>1660601</v>
      </c>
      <c r="R1066" s="17">
        <v>44217</v>
      </c>
      <c r="S1066" s="19">
        <f t="shared" si="358"/>
        <v>1704818</v>
      </c>
      <c r="T1066" s="20">
        <f t="shared" si="359"/>
        <v>0.01</v>
      </c>
      <c r="U1066" s="19">
        <f t="shared" si="360"/>
        <v>17220.383838383837</v>
      </c>
      <c r="V1066" s="17">
        <v>17220</v>
      </c>
      <c r="W1066" s="19">
        <f t="shared" si="361"/>
        <v>0.38383838383742841</v>
      </c>
      <c r="X1066" s="19">
        <f t="shared" si="362"/>
        <v>178030</v>
      </c>
      <c r="Y1066" s="17">
        <v>163338</v>
      </c>
      <c r="Z1066" s="17">
        <v>14692</v>
      </c>
      <c r="AA1066" s="19">
        <f t="shared" si="363"/>
        <v>160810</v>
      </c>
      <c r="AB1066" s="17">
        <v>1704818</v>
      </c>
      <c r="AC1066" s="27">
        <v>44.673000000000002</v>
      </c>
      <c r="AD1066" s="27">
        <v>44.164000000000001</v>
      </c>
      <c r="AE1066" s="22">
        <f t="shared" si="364"/>
        <v>38601.98351598587</v>
      </c>
      <c r="AF1066" s="23">
        <f t="shared" si="365"/>
        <v>0</v>
      </c>
      <c r="AG1066" s="23">
        <f t="shared" si="366"/>
        <v>0</v>
      </c>
      <c r="AH1066" s="17">
        <v>1410239.17837191</v>
      </c>
      <c r="AI1066" s="24">
        <f t="shared" si="367"/>
        <v>0.8272080529252448</v>
      </c>
      <c r="AJ1066" s="25">
        <v>430167547.87096798</v>
      </c>
      <c r="AK1066" s="24">
        <f t="shared" si="368"/>
        <v>2.2853857744969199E-2</v>
      </c>
      <c r="AL1066" s="22">
        <f t="shared" si="369"/>
        <v>26934.213549439261</v>
      </c>
      <c r="AM1066" s="22">
        <f t="shared" si="370"/>
        <v>38601.98351598587</v>
      </c>
      <c r="AN1066" s="22">
        <f t="shared" si="371"/>
        <v>-11667.76996654661</v>
      </c>
      <c r="AO1066" s="26" t="str">
        <f t="shared" si="372"/>
        <v>YES</v>
      </c>
      <c r="AP1066" s="26" t="str">
        <f t="shared" si="373"/>
        <v>pre-launch</v>
      </c>
      <c r="AQ1066" s="28">
        <v>133</v>
      </c>
      <c r="AR1066" s="28">
        <v>98</v>
      </c>
    </row>
    <row r="1067" spans="1:44" x14ac:dyDescent="0.25">
      <c r="A1067" s="43">
        <v>46128</v>
      </c>
      <c r="B1067" s="17">
        <v>5167577550.9200001</v>
      </c>
      <c r="C1067" s="17">
        <v>1789154932.4000001</v>
      </c>
      <c r="D1067" s="17">
        <v>141168806</v>
      </c>
      <c r="E1067" s="19">
        <f t="shared" si="352"/>
        <v>6956732483.3199997</v>
      </c>
      <c r="F1067" s="19">
        <f t="shared" si="353"/>
        <v>7097901289.3199997</v>
      </c>
      <c r="G1067" s="20">
        <f t="shared" si="354"/>
        <v>0.25718323030098061</v>
      </c>
      <c r="H1067" s="17">
        <v>2177909</v>
      </c>
      <c r="I1067" s="17">
        <v>79066</v>
      </c>
      <c r="J1067" s="17">
        <v>20548</v>
      </c>
      <c r="K1067" s="19">
        <f t="shared" si="355"/>
        <v>2256975</v>
      </c>
      <c r="L1067" s="17">
        <v>122229.30816545</v>
      </c>
      <c r="M1067" s="17">
        <v>63694.8583761755</v>
      </c>
      <c r="N1067" s="17">
        <v>58534.449789273996</v>
      </c>
      <c r="O1067" s="19">
        <f t="shared" si="356"/>
        <v>2055679.6918345499</v>
      </c>
      <c r="P1067" s="21">
        <f t="shared" si="357"/>
        <v>3.9780335593968408</v>
      </c>
      <c r="Q1067" s="17">
        <v>1971385</v>
      </c>
      <c r="R1067" s="17">
        <v>62800</v>
      </c>
      <c r="S1067" s="19">
        <f t="shared" si="358"/>
        <v>2034185</v>
      </c>
      <c r="T1067" s="20">
        <f t="shared" si="359"/>
        <v>0.01</v>
      </c>
      <c r="U1067" s="19">
        <f t="shared" si="360"/>
        <v>20547.323232323233</v>
      </c>
      <c r="V1067" s="17">
        <v>20548</v>
      </c>
      <c r="W1067" s="19">
        <f t="shared" si="361"/>
        <v>-0.67676767676675809</v>
      </c>
      <c r="X1067" s="19">
        <f t="shared" si="362"/>
        <v>222790</v>
      </c>
      <c r="Y1067" s="17">
        <v>206524</v>
      </c>
      <c r="Z1067" s="17">
        <v>16266</v>
      </c>
      <c r="AA1067" s="19">
        <f t="shared" si="363"/>
        <v>202242</v>
      </c>
      <c r="AB1067" s="17">
        <v>2034185</v>
      </c>
      <c r="AC1067" s="27">
        <v>43.834000000000003</v>
      </c>
      <c r="AD1067" s="27">
        <v>44.411499999999997</v>
      </c>
      <c r="AE1067" s="22">
        <f t="shared" si="364"/>
        <v>45803.114058295716</v>
      </c>
      <c r="AF1067" s="23">
        <f t="shared" si="365"/>
        <v>0</v>
      </c>
      <c r="AG1067" s="23">
        <f t="shared" si="366"/>
        <v>0</v>
      </c>
      <c r="AH1067" s="17">
        <v>1708420.2039070099</v>
      </c>
      <c r="AI1067" s="24">
        <f t="shared" si="367"/>
        <v>0.83985488237648487</v>
      </c>
      <c r="AJ1067" s="25">
        <v>430322314.61751199</v>
      </c>
      <c r="AK1067" s="24">
        <f t="shared" si="368"/>
        <v>2.2849747645200962E-2</v>
      </c>
      <c r="AL1067" s="22">
        <f t="shared" si="369"/>
        <v>26939.058342764169</v>
      </c>
      <c r="AM1067" s="22">
        <f t="shared" si="370"/>
        <v>45803.114058295716</v>
      </c>
      <c r="AN1067" s="22">
        <f t="shared" si="371"/>
        <v>-18864.055715531547</v>
      </c>
      <c r="AO1067" s="26" t="str">
        <f t="shared" si="372"/>
        <v>YES</v>
      </c>
      <c r="AP1067" s="26" t="str">
        <f t="shared" si="373"/>
        <v>pre-launch</v>
      </c>
      <c r="AQ1067" s="28">
        <v>134</v>
      </c>
      <c r="AR1067" s="28">
        <v>99</v>
      </c>
    </row>
    <row r="1068" spans="1:44" x14ac:dyDescent="0.25">
      <c r="A1068" s="43">
        <v>46129</v>
      </c>
      <c r="B1068" s="17">
        <v>5816989369.25</v>
      </c>
      <c r="C1068" s="17">
        <v>2689503709.8000002</v>
      </c>
      <c r="D1068" s="17">
        <v>158902450</v>
      </c>
      <c r="E1068" s="19">
        <f t="shared" si="352"/>
        <v>8506493079.0500002</v>
      </c>
      <c r="F1068" s="19">
        <f t="shared" si="353"/>
        <v>8665395529.0499992</v>
      </c>
      <c r="G1068" s="20">
        <f t="shared" si="354"/>
        <v>0.31617068100881385</v>
      </c>
      <c r="H1068" s="17">
        <v>2788862</v>
      </c>
      <c r="I1068" s="17">
        <v>84416</v>
      </c>
      <c r="J1068" s="17">
        <v>26035</v>
      </c>
      <c r="K1068" s="19">
        <f t="shared" si="355"/>
        <v>2873278</v>
      </c>
      <c r="L1068" s="17">
        <v>191799.93144744201</v>
      </c>
      <c r="M1068" s="17">
        <v>99959.379768232902</v>
      </c>
      <c r="N1068" s="17">
        <v>91840.551679209006</v>
      </c>
      <c r="O1068" s="19">
        <f t="shared" si="356"/>
        <v>2597062.0685525578</v>
      </c>
      <c r="P1068" s="21">
        <f t="shared" si="357"/>
        <v>4.4646154629080987</v>
      </c>
      <c r="Q1068" s="17">
        <v>2514980</v>
      </c>
      <c r="R1068" s="17">
        <v>62537</v>
      </c>
      <c r="S1068" s="19">
        <f t="shared" si="358"/>
        <v>2577517</v>
      </c>
      <c r="T1068" s="20">
        <f t="shared" si="359"/>
        <v>0.01</v>
      </c>
      <c r="U1068" s="19">
        <f t="shared" si="360"/>
        <v>26035.525252525254</v>
      </c>
      <c r="V1068" s="17">
        <v>26035</v>
      </c>
      <c r="W1068" s="19">
        <f t="shared" si="361"/>
        <v>0.52525252525447286</v>
      </c>
      <c r="X1068" s="19">
        <f t="shared" si="362"/>
        <v>295761</v>
      </c>
      <c r="Y1068" s="17">
        <v>273882</v>
      </c>
      <c r="Z1068" s="17">
        <v>21879</v>
      </c>
      <c r="AA1068" s="19">
        <f t="shared" si="363"/>
        <v>269726</v>
      </c>
      <c r="AB1068" s="17">
        <v>2577517</v>
      </c>
      <c r="AC1068" s="27">
        <v>44.667999999999999</v>
      </c>
      <c r="AD1068" s="27">
        <v>44.317250000000001</v>
      </c>
      <c r="AE1068" s="22">
        <f t="shared" si="364"/>
        <v>58160.580812211949</v>
      </c>
      <c r="AF1068" s="23">
        <f t="shared" si="365"/>
        <v>0</v>
      </c>
      <c r="AG1068" s="23">
        <f t="shared" si="366"/>
        <v>0</v>
      </c>
      <c r="AH1068" s="17">
        <v>2051522.23971009</v>
      </c>
      <c r="AI1068" s="24">
        <f t="shared" si="367"/>
        <v>0.7959296639789728</v>
      </c>
      <c r="AJ1068" s="25">
        <v>430477081.36405498</v>
      </c>
      <c r="AK1068" s="24">
        <f t="shared" si="368"/>
        <v>2.2845639762149914E-2</v>
      </c>
      <c r="AL1068" s="22">
        <f t="shared" si="369"/>
        <v>26943.902264944929</v>
      </c>
      <c r="AM1068" s="22">
        <f t="shared" si="370"/>
        <v>58160.580812211949</v>
      </c>
      <c r="AN1068" s="22">
        <f t="shared" si="371"/>
        <v>-31216.67854726702</v>
      </c>
      <c r="AO1068" s="26" t="str">
        <f t="shared" si="372"/>
        <v>YES</v>
      </c>
      <c r="AP1068" s="26" t="str">
        <f t="shared" si="373"/>
        <v>pre-launch</v>
      </c>
      <c r="AQ1068" s="28">
        <v>134</v>
      </c>
      <c r="AR1068" s="28">
        <v>99</v>
      </c>
    </row>
    <row r="1069" spans="1:44" x14ac:dyDescent="0.25">
      <c r="A1069" s="43">
        <v>46130</v>
      </c>
      <c r="B1069" s="17">
        <v>2712772923.77</v>
      </c>
      <c r="C1069" s="17">
        <v>701433721.03999996</v>
      </c>
      <c r="D1069" s="17">
        <v>73766452</v>
      </c>
      <c r="E1069" s="19">
        <f t="shared" si="352"/>
        <v>3414206644.8099999</v>
      </c>
      <c r="F1069" s="19">
        <f t="shared" si="353"/>
        <v>3487973096.8099999</v>
      </c>
      <c r="G1069" s="20">
        <f t="shared" si="354"/>
        <v>0.20544559659453027</v>
      </c>
      <c r="H1069" s="17">
        <v>1253472</v>
      </c>
      <c r="I1069" s="17">
        <v>38508</v>
      </c>
      <c r="J1069" s="17">
        <v>11519</v>
      </c>
      <c r="K1069" s="19">
        <f t="shared" si="355"/>
        <v>1291980</v>
      </c>
      <c r="L1069" s="17">
        <v>60185.222715807802</v>
      </c>
      <c r="M1069" s="17">
        <v>31440.1292261979</v>
      </c>
      <c r="N1069" s="17">
        <v>28745.093489610001</v>
      </c>
      <c r="O1069" s="19">
        <f t="shared" si="356"/>
        <v>1193286.7772841922</v>
      </c>
      <c r="P1069" s="21">
        <f t="shared" si="357"/>
        <v>4.3987713340409469</v>
      </c>
      <c r="Q1069" s="17">
        <v>1110003</v>
      </c>
      <c r="R1069" s="17">
        <v>30391</v>
      </c>
      <c r="S1069" s="19">
        <f t="shared" si="358"/>
        <v>1140394</v>
      </c>
      <c r="T1069" s="20">
        <f t="shared" si="359"/>
        <v>0.01</v>
      </c>
      <c r="U1069" s="19">
        <f t="shared" si="360"/>
        <v>11519.131313131315</v>
      </c>
      <c r="V1069" s="17">
        <v>11519</v>
      </c>
      <c r="W1069" s="19">
        <f t="shared" si="361"/>
        <v>0.13131313131452771</v>
      </c>
      <c r="X1069" s="19">
        <f t="shared" si="362"/>
        <v>151585</v>
      </c>
      <c r="Y1069" s="17">
        <v>143468</v>
      </c>
      <c r="Z1069" s="17">
        <v>8117</v>
      </c>
      <c r="AA1069" s="19">
        <f t="shared" si="363"/>
        <v>140066</v>
      </c>
      <c r="AB1069" s="17">
        <v>1140394</v>
      </c>
      <c r="AC1069" s="27">
        <v>43.805</v>
      </c>
      <c r="AD1069" s="27">
        <v>44.425249999999998</v>
      </c>
      <c r="AE1069" s="22">
        <f t="shared" si="364"/>
        <v>25669.951210178897</v>
      </c>
      <c r="AF1069" s="23">
        <f t="shared" si="365"/>
        <v>1</v>
      </c>
      <c r="AG1069" s="23">
        <f t="shared" si="366"/>
        <v>0</v>
      </c>
      <c r="AH1069" s="17">
        <v>922441.05821490299</v>
      </c>
      <c r="AI1069" s="24">
        <f t="shared" si="367"/>
        <v>0.80887926296955526</v>
      </c>
      <c r="AJ1069" s="25">
        <v>430631848.11059898</v>
      </c>
      <c r="AK1069" s="24">
        <f t="shared" si="368"/>
        <v>2.2841534093824133E-2</v>
      </c>
      <c r="AL1069" s="22">
        <f t="shared" si="369"/>
        <v>26948.74531645135</v>
      </c>
      <c r="AM1069" s="22">
        <f t="shared" si="370"/>
        <v>25669.951210178897</v>
      </c>
      <c r="AN1069" s="22">
        <f t="shared" si="371"/>
        <v>1278.7941062724531</v>
      </c>
      <c r="AO1069" s="26" t="str">
        <f t="shared" si="372"/>
        <v>YES</v>
      </c>
      <c r="AP1069" s="26" t="str">
        <f t="shared" si="373"/>
        <v>pre-launch</v>
      </c>
      <c r="AQ1069" s="28">
        <v>134</v>
      </c>
      <c r="AR1069" s="28">
        <v>99</v>
      </c>
    </row>
    <row r="1070" spans="1:44" x14ac:dyDescent="0.25">
      <c r="A1070" s="43">
        <v>46131</v>
      </c>
      <c r="B1070" s="17">
        <v>4234853702.0799999</v>
      </c>
      <c r="C1070" s="17">
        <v>1106759045.99</v>
      </c>
      <c r="D1070" s="17">
        <v>119868281</v>
      </c>
      <c r="E1070" s="19">
        <f t="shared" si="352"/>
        <v>5341612748.0699997</v>
      </c>
      <c r="F1070" s="19">
        <f t="shared" si="353"/>
        <v>5461481029.0699997</v>
      </c>
      <c r="G1070" s="20">
        <f t="shared" si="354"/>
        <v>0.20719567257845259</v>
      </c>
      <c r="H1070" s="17">
        <v>1785294</v>
      </c>
      <c r="I1070" s="17">
        <v>60343</v>
      </c>
      <c r="J1070" s="17">
        <v>16796</v>
      </c>
      <c r="K1070" s="19">
        <f t="shared" si="355"/>
        <v>1845637</v>
      </c>
      <c r="L1070" s="17">
        <v>87307.263721914496</v>
      </c>
      <c r="M1070" s="17">
        <v>45205.578980055703</v>
      </c>
      <c r="N1070" s="17">
        <v>42101.6847418588</v>
      </c>
      <c r="O1070" s="19">
        <f t="shared" si="356"/>
        <v>1697986.7362780855</v>
      </c>
      <c r="P1070" s="21">
        <f t="shared" si="357"/>
        <v>4.0095522908951935</v>
      </c>
      <c r="Q1070" s="17">
        <v>1614899</v>
      </c>
      <c r="R1070" s="17">
        <v>48237</v>
      </c>
      <c r="S1070" s="19">
        <f t="shared" si="358"/>
        <v>1663136</v>
      </c>
      <c r="T1070" s="20">
        <f t="shared" si="359"/>
        <v>0.01</v>
      </c>
      <c r="U1070" s="19">
        <f t="shared" si="360"/>
        <v>16799.353535353537</v>
      </c>
      <c r="V1070" s="17">
        <v>16796</v>
      </c>
      <c r="W1070" s="19">
        <f t="shared" si="361"/>
        <v>3.3535353535371542</v>
      </c>
      <c r="X1070" s="19">
        <f t="shared" si="362"/>
        <v>182500</v>
      </c>
      <c r="Y1070" s="17">
        <v>170394</v>
      </c>
      <c r="Z1070" s="17">
        <v>12106</v>
      </c>
      <c r="AA1070" s="19">
        <f t="shared" si="363"/>
        <v>165704</v>
      </c>
      <c r="AB1070" s="17">
        <v>1663136</v>
      </c>
      <c r="AC1070" s="27">
        <v>40.680999999999997</v>
      </c>
      <c r="AD1070" s="27">
        <v>42.238750000000003</v>
      </c>
      <c r="AE1070" s="22">
        <f t="shared" si="364"/>
        <v>39374.650054748301</v>
      </c>
      <c r="AF1070" s="23">
        <f t="shared" si="365"/>
        <v>1</v>
      </c>
      <c r="AG1070" s="23">
        <f t="shared" si="366"/>
        <v>0</v>
      </c>
      <c r="AH1070" s="17">
        <v>1408326.43012905</v>
      </c>
      <c r="AI1070" s="24">
        <f t="shared" si="367"/>
        <v>0.84678969737234355</v>
      </c>
      <c r="AJ1070" s="25">
        <v>430786614.85714298</v>
      </c>
      <c r="AK1070" s="24">
        <f t="shared" si="368"/>
        <v>2.2837430638234284E-2</v>
      </c>
      <c r="AL1070" s="22">
        <f t="shared" si="369"/>
        <v>26953.587497752738</v>
      </c>
      <c r="AM1070" s="22">
        <f t="shared" si="370"/>
        <v>39374.650054748301</v>
      </c>
      <c r="AN1070" s="22">
        <f t="shared" si="371"/>
        <v>-12421.062556995563</v>
      </c>
      <c r="AO1070" s="26" t="str">
        <f t="shared" si="372"/>
        <v>YES</v>
      </c>
      <c r="AP1070" s="26" t="str">
        <f t="shared" si="373"/>
        <v>pre-launch</v>
      </c>
      <c r="AQ1070" s="28">
        <v>134</v>
      </c>
      <c r="AR1070" s="28">
        <v>99</v>
      </c>
    </row>
    <row r="1071" spans="1:44" x14ac:dyDescent="0.25">
      <c r="A1071" s="43">
        <v>46132</v>
      </c>
      <c r="B1071" s="17">
        <v>4058293784.0700002</v>
      </c>
      <c r="C1071" s="17">
        <v>2139681562.5</v>
      </c>
      <c r="D1071" s="17">
        <v>103370678</v>
      </c>
      <c r="E1071" s="19">
        <f t="shared" si="352"/>
        <v>6197975346.5699997</v>
      </c>
      <c r="F1071" s="19">
        <f t="shared" si="353"/>
        <v>6301346024.5699997</v>
      </c>
      <c r="G1071" s="20">
        <f t="shared" si="354"/>
        <v>0.34522266431474496</v>
      </c>
      <c r="H1071" s="17">
        <v>1867067</v>
      </c>
      <c r="I1071" s="17">
        <v>49071</v>
      </c>
      <c r="J1071" s="17">
        <v>17444</v>
      </c>
      <c r="K1071" s="19">
        <f t="shared" si="355"/>
        <v>1916138</v>
      </c>
      <c r="L1071" s="17">
        <v>157563.52540231199</v>
      </c>
      <c r="M1071" s="17">
        <v>81924.412749213894</v>
      </c>
      <c r="N1071" s="17">
        <v>75639.112653098302</v>
      </c>
      <c r="O1071" s="19">
        <f t="shared" si="356"/>
        <v>1709503.4745976881</v>
      </c>
      <c r="P1071" s="21">
        <f t="shared" si="357"/>
        <v>4.212369940559733</v>
      </c>
      <c r="Q1071" s="17">
        <v>1691184</v>
      </c>
      <c r="R1071" s="17">
        <v>35796</v>
      </c>
      <c r="S1071" s="19">
        <f t="shared" si="358"/>
        <v>1726980</v>
      </c>
      <c r="T1071" s="20">
        <f t="shared" si="359"/>
        <v>0.01</v>
      </c>
      <c r="U1071" s="19">
        <f t="shared" si="360"/>
        <v>17444.242424242424</v>
      </c>
      <c r="V1071" s="17">
        <v>17444</v>
      </c>
      <c r="W1071" s="19">
        <f t="shared" si="361"/>
        <v>0.24242424242402194</v>
      </c>
      <c r="X1071" s="19">
        <f t="shared" si="362"/>
        <v>189158</v>
      </c>
      <c r="Y1071" s="17">
        <v>175883</v>
      </c>
      <c r="Z1071" s="17">
        <v>13275</v>
      </c>
      <c r="AA1071" s="19">
        <f t="shared" si="363"/>
        <v>171714</v>
      </c>
      <c r="AB1071" s="17">
        <v>1726980</v>
      </c>
      <c r="AC1071" s="27">
        <v>40.728000000000002</v>
      </c>
      <c r="AD1071" s="27">
        <v>40.941499999999998</v>
      </c>
      <c r="AE1071" s="22">
        <f t="shared" si="364"/>
        <v>42181.649426620912</v>
      </c>
      <c r="AF1071" s="23">
        <f t="shared" si="365"/>
        <v>0</v>
      </c>
      <c r="AG1071" s="23">
        <f t="shared" si="366"/>
        <v>0</v>
      </c>
      <c r="AH1071" s="17">
        <v>1395458.0195870399</v>
      </c>
      <c r="AI1071" s="24">
        <f t="shared" si="367"/>
        <v>0.80803368862814851</v>
      </c>
      <c r="AJ1071" s="25">
        <v>430941381.60368699</v>
      </c>
      <c r="AK1071" s="24">
        <f t="shared" si="368"/>
        <v>2.2833329393393501E-2</v>
      </c>
      <c r="AL1071" s="22">
        <f t="shared" si="369"/>
        <v>26958.428809318004</v>
      </c>
      <c r="AM1071" s="22">
        <f t="shared" si="370"/>
        <v>42181.649426620912</v>
      </c>
      <c r="AN1071" s="22">
        <f t="shared" si="371"/>
        <v>-15223.220617302908</v>
      </c>
      <c r="AO1071" s="26" t="str">
        <f t="shared" si="372"/>
        <v>YES</v>
      </c>
      <c r="AP1071" s="26" t="str">
        <f t="shared" si="373"/>
        <v>pre-launch</v>
      </c>
      <c r="AQ1071" s="28">
        <v>135</v>
      </c>
      <c r="AR1071" s="28">
        <v>100</v>
      </c>
    </row>
    <row r="1072" spans="1:44" x14ac:dyDescent="0.25">
      <c r="A1072" s="43">
        <v>46133</v>
      </c>
      <c r="B1072" s="17">
        <v>4994273036.25</v>
      </c>
      <c r="C1072" s="17">
        <v>2529122736.8200002</v>
      </c>
      <c r="D1072" s="17">
        <v>138769783</v>
      </c>
      <c r="E1072" s="19">
        <f t="shared" si="352"/>
        <v>7523395773.0699997</v>
      </c>
      <c r="F1072" s="19">
        <f t="shared" si="353"/>
        <v>7662165556.0699997</v>
      </c>
      <c r="G1072" s="20">
        <f t="shared" si="354"/>
        <v>0.33616771111164945</v>
      </c>
      <c r="H1072" s="17">
        <v>2305458</v>
      </c>
      <c r="I1072" s="17">
        <v>74746</v>
      </c>
      <c r="J1072" s="17">
        <v>21715</v>
      </c>
      <c r="K1072" s="19">
        <f t="shared" si="355"/>
        <v>2380204</v>
      </c>
      <c r="L1072" s="17">
        <v>193778.54985998099</v>
      </c>
      <c r="M1072" s="17">
        <v>98630.782648522698</v>
      </c>
      <c r="N1072" s="17">
        <v>95147.767211458195</v>
      </c>
      <c r="O1072" s="19">
        <f t="shared" si="356"/>
        <v>2111679.4501400189</v>
      </c>
      <c r="P1072" s="21">
        <f t="shared" si="357"/>
        <v>4.2282018520268858</v>
      </c>
      <c r="Q1072" s="17">
        <v>2093615</v>
      </c>
      <c r="R1072" s="17">
        <v>56201</v>
      </c>
      <c r="S1072" s="19">
        <f t="shared" si="358"/>
        <v>2149816</v>
      </c>
      <c r="T1072" s="20">
        <f t="shared" si="359"/>
        <v>0.01</v>
      </c>
      <c r="U1072" s="19">
        <f t="shared" si="360"/>
        <v>21715.313131313131</v>
      </c>
      <c r="V1072" s="17">
        <v>21715</v>
      </c>
      <c r="W1072" s="19">
        <f t="shared" si="361"/>
        <v>0.31313131313072518</v>
      </c>
      <c r="X1072" s="19">
        <f t="shared" si="362"/>
        <v>230389</v>
      </c>
      <c r="Y1072" s="17">
        <v>211843</v>
      </c>
      <c r="Z1072" s="17">
        <v>18546</v>
      </c>
      <c r="AA1072" s="19">
        <f t="shared" si="363"/>
        <v>208674</v>
      </c>
      <c r="AB1072" s="17">
        <v>2149816</v>
      </c>
      <c r="AC1072" s="27">
        <v>39.774999999999999</v>
      </c>
      <c r="AD1072" s="27">
        <v>40.199249999999999</v>
      </c>
      <c r="AE1072" s="22">
        <f t="shared" si="364"/>
        <v>53479.007692929597</v>
      </c>
      <c r="AF1072" s="23">
        <f t="shared" si="365"/>
        <v>-1</v>
      </c>
      <c r="AG1072" s="23">
        <f t="shared" si="366"/>
        <v>0</v>
      </c>
      <c r="AH1072" s="17">
        <v>1737248.18587685</v>
      </c>
      <c r="AI1072" s="24">
        <f t="shared" si="367"/>
        <v>0.80809156963984363</v>
      </c>
      <c r="AJ1072" s="25">
        <v>431096148.35022998</v>
      </c>
      <c r="AK1072" s="24">
        <f t="shared" si="368"/>
        <v>2.2829230357317445E-2</v>
      </c>
      <c r="AL1072" s="22">
        <f t="shared" si="369"/>
        <v>26963.269251615606</v>
      </c>
      <c r="AM1072" s="22">
        <f t="shared" si="370"/>
        <v>53479.007692929597</v>
      </c>
      <c r="AN1072" s="22">
        <f t="shared" si="371"/>
        <v>-26515.738441313992</v>
      </c>
      <c r="AO1072" s="26" t="str">
        <f t="shared" si="372"/>
        <v>YES</v>
      </c>
      <c r="AP1072" s="26" t="str">
        <f t="shared" si="373"/>
        <v>pre-launch</v>
      </c>
      <c r="AQ1072" s="28">
        <v>135</v>
      </c>
      <c r="AR1072" s="28">
        <v>100</v>
      </c>
    </row>
    <row r="1073" spans="1:44" x14ac:dyDescent="0.25">
      <c r="A1073" s="43">
        <v>46134</v>
      </c>
      <c r="B1073" s="17">
        <v>4816091751.8299999</v>
      </c>
      <c r="C1073" s="17">
        <v>1824132531.3900001</v>
      </c>
      <c r="D1073" s="17">
        <v>123714513</v>
      </c>
      <c r="E1073" s="19">
        <f t="shared" si="352"/>
        <v>6640224283.2200003</v>
      </c>
      <c r="F1073" s="19">
        <f t="shared" si="353"/>
        <v>6763938796.2200003</v>
      </c>
      <c r="G1073" s="20">
        <f t="shared" si="354"/>
        <v>0.27470947570244353</v>
      </c>
      <c r="H1073" s="17">
        <v>2162565</v>
      </c>
      <c r="I1073" s="17">
        <v>67009</v>
      </c>
      <c r="J1073" s="17">
        <v>20395</v>
      </c>
      <c r="K1073" s="19">
        <f t="shared" si="355"/>
        <v>2229574</v>
      </c>
      <c r="L1073" s="17">
        <v>140394.89925421201</v>
      </c>
      <c r="M1073" s="17">
        <v>73030.417266939199</v>
      </c>
      <c r="N1073" s="17">
        <v>67364.481987272797</v>
      </c>
      <c r="O1073" s="19">
        <f t="shared" si="356"/>
        <v>2022170.1007457881</v>
      </c>
      <c r="P1073" s="21">
        <f t="shared" si="357"/>
        <v>4.1987781897581415</v>
      </c>
      <c r="Q1073" s="17">
        <v>1971494</v>
      </c>
      <c r="R1073" s="17">
        <v>47656</v>
      </c>
      <c r="S1073" s="19">
        <f t="shared" si="358"/>
        <v>2019150</v>
      </c>
      <c r="T1073" s="20">
        <f t="shared" si="359"/>
        <v>0.01</v>
      </c>
      <c r="U1073" s="19">
        <f t="shared" si="360"/>
        <v>20395.454545454544</v>
      </c>
      <c r="V1073" s="17">
        <v>20395</v>
      </c>
      <c r="W1073" s="19">
        <f t="shared" si="361"/>
        <v>0.45454545454413164</v>
      </c>
      <c r="X1073" s="19">
        <f t="shared" si="362"/>
        <v>210424</v>
      </c>
      <c r="Y1073" s="17">
        <v>191071</v>
      </c>
      <c r="Z1073" s="17">
        <v>19353</v>
      </c>
      <c r="AA1073" s="19">
        <f t="shared" si="363"/>
        <v>190029</v>
      </c>
      <c r="AB1073" s="17">
        <v>2019150</v>
      </c>
      <c r="AC1073" s="27">
        <v>41.186</v>
      </c>
      <c r="AD1073" s="27">
        <v>40.584249999999997</v>
      </c>
      <c r="AE1073" s="22">
        <f t="shared" si="364"/>
        <v>49752.058988400677</v>
      </c>
      <c r="AF1073" s="23">
        <f t="shared" si="365"/>
        <v>0</v>
      </c>
      <c r="AG1073" s="23">
        <f t="shared" si="366"/>
        <v>0</v>
      </c>
      <c r="AH1073" s="17">
        <v>1660500.8148560501</v>
      </c>
      <c r="AI1073" s="24">
        <f t="shared" si="367"/>
        <v>0.82237615573684475</v>
      </c>
      <c r="AJ1073" s="25">
        <v>431250915.09677398</v>
      </c>
      <c r="AK1073" s="24">
        <f t="shared" si="368"/>
        <v>2.2825133528024184E-2</v>
      </c>
      <c r="AL1073" s="22">
        <f t="shared" si="369"/>
        <v>26968.108825113661</v>
      </c>
      <c r="AM1073" s="22">
        <f t="shared" si="370"/>
        <v>49752.058988400677</v>
      </c>
      <c r="AN1073" s="22">
        <f t="shared" si="371"/>
        <v>-22783.950163287016</v>
      </c>
      <c r="AO1073" s="26" t="str">
        <f t="shared" si="372"/>
        <v>YES</v>
      </c>
      <c r="AP1073" s="26" t="str">
        <f t="shared" si="373"/>
        <v>pre-launch</v>
      </c>
      <c r="AQ1073" s="28">
        <v>135</v>
      </c>
      <c r="AR1073" s="28">
        <v>100</v>
      </c>
    </row>
    <row r="1074" spans="1:44" x14ac:dyDescent="0.25">
      <c r="A1074" s="43">
        <v>46135</v>
      </c>
      <c r="B1074" s="17">
        <v>4963968243.6199999</v>
      </c>
      <c r="C1074" s="17">
        <v>2700249742.8699999</v>
      </c>
      <c r="D1074" s="17">
        <v>101104527</v>
      </c>
      <c r="E1074" s="19">
        <f t="shared" si="352"/>
        <v>7664217986.4899998</v>
      </c>
      <c r="F1074" s="19">
        <f t="shared" si="353"/>
        <v>7765322513.4899998</v>
      </c>
      <c r="G1074" s="20">
        <f t="shared" si="354"/>
        <v>0.35231901645149316</v>
      </c>
      <c r="H1074" s="17">
        <v>2191755</v>
      </c>
      <c r="I1074" s="17">
        <v>53928</v>
      </c>
      <c r="J1074" s="17">
        <v>20694</v>
      </c>
      <c r="K1074" s="19">
        <f t="shared" si="355"/>
        <v>2245683</v>
      </c>
      <c r="L1074" s="17">
        <v>189724.76315545401</v>
      </c>
      <c r="M1074" s="17">
        <v>99312.071756297199</v>
      </c>
      <c r="N1074" s="17">
        <v>90412.691399156596</v>
      </c>
      <c r="O1074" s="19">
        <f t="shared" si="356"/>
        <v>2002030.2368445459</v>
      </c>
      <c r="P1074" s="21">
        <f t="shared" si="357"/>
        <v>4.0331245861971006</v>
      </c>
      <c r="Q1074" s="17">
        <v>2009871</v>
      </c>
      <c r="R1074" s="17">
        <v>38869</v>
      </c>
      <c r="S1074" s="19">
        <f t="shared" si="358"/>
        <v>2048740</v>
      </c>
      <c r="T1074" s="20">
        <f t="shared" si="359"/>
        <v>0.01</v>
      </c>
      <c r="U1074" s="19">
        <f t="shared" si="360"/>
        <v>20694.343434343435</v>
      </c>
      <c r="V1074" s="17">
        <v>20694</v>
      </c>
      <c r="W1074" s="19">
        <f t="shared" si="361"/>
        <v>0.34343434343463741</v>
      </c>
      <c r="X1074" s="19">
        <f t="shared" si="362"/>
        <v>196942</v>
      </c>
      <c r="Y1074" s="17">
        <v>181884</v>
      </c>
      <c r="Z1074" s="17">
        <v>15058</v>
      </c>
      <c r="AA1074" s="19">
        <f t="shared" si="363"/>
        <v>176248</v>
      </c>
      <c r="AB1074" s="17">
        <v>2048740</v>
      </c>
      <c r="AC1074" s="27">
        <v>41.311999999999998</v>
      </c>
      <c r="AD1074" s="27">
        <v>41.236249999999998</v>
      </c>
      <c r="AE1074" s="22">
        <f t="shared" si="364"/>
        <v>49682.98523750341</v>
      </c>
      <c r="AF1074" s="23">
        <f t="shared" si="365"/>
        <v>1</v>
      </c>
      <c r="AG1074" s="23">
        <f t="shared" si="366"/>
        <v>0</v>
      </c>
      <c r="AH1074" s="17">
        <v>1670656.9992160799</v>
      </c>
      <c r="AI1074" s="24">
        <f t="shared" si="367"/>
        <v>0.8154558407685113</v>
      </c>
      <c r="AJ1074" s="25">
        <v>431405681.84331799</v>
      </c>
      <c r="AK1074" s="24">
        <f t="shared" si="368"/>
        <v>2.2821038903534371E-2</v>
      </c>
      <c r="AL1074" s="22">
        <f t="shared" si="369"/>
        <v>26972.947530279809</v>
      </c>
      <c r="AM1074" s="22">
        <f t="shared" si="370"/>
        <v>49682.98523750341</v>
      </c>
      <c r="AN1074" s="22">
        <f t="shared" si="371"/>
        <v>-22710.037707223601</v>
      </c>
      <c r="AO1074" s="26" t="str">
        <f t="shared" si="372"/>
        <v>YES</v>
      </c>
      <c r="AP1074" s="26" t="str">
        <f t="shared" si="373"/>
        <v>pre-launch</v>
      </c>
      <c r="AQ1074" s="28">
        <v>135</v>
      </c>
      <c r="AR1074" s="28">
        <v>100</v>
      </c>
    </row>
    <row r="1075" spans="1:44" x14ac:dyDescent="0.25">
      <c r="A1075" s="43">
        <v>46136</v>
      </c>
      <c r="B1075" s="17">
        <v>3300662588.1300001</v>
      </c>
      <c r="C1075" s="17">
        <v>2242972827.5799999</v>
      </c>
      <c r="D1075" s="17">
        <v>84954703</v>
      </c>
      <c r="E1075" s="19">
        <f t="shared" si="352"/>
        <v>5543635415.71</v>
      </c>
      <c r="F1075" s="19">
        <f t="shared" si="353"/>
        <v>5628590118.71</v>
      </c>
      <c r="G1075" s="20">
        <f t="shared" si="354"/>
        <v>0.40460323585199759</v>
      </c>
      <c r="H1075" s="17">
        <v>1542035</v>
      </c>
      <c r="I1075" s="17">
        <v>44984</v>
      </c>
      <c r="J1075" s="17">
        <v>14239</v>
      </c>
      <c r="K1075" s="19">
        <f t="shared" si="355"/>
        <v>1587019</v>
      </c>
      <c r="L1075" s="17">
        <v>148882.968312351</v>
      </c>
      <c r="M1075" s="17">
        <v>75377.356777864596</v>
      </c>
      <c r="N1075" s="17">
        <v>73505.611534486598</v>
      </c>
      <c r="O1075" s="19">
        <f t="shared" si="356"/>
        <v>1393152.031687649</v>
      </c>
      <c r="P1075" s="21">
        <f t="shared" si="357"/>
        <v>4.220825347909746</v>
      </c>
      <c r="Q1075" s="17">
        <v>1378198</v>
      </c>
      <c r="R1075" s="17">
        <v>31477</v>
      </c>
      <c r="S1075" s="19">
        <f t="shared" si="358"/>
        <v>1409675</v>
      </c>
      <c r="T1075" s="20">
        <f t="shared" si="359"/>
        <v>0.01</v>
      </c>
      <c r="U1075" s="19">
        <f t="shared" si="360"/>
        <v>14239.141414141413</v>
      </c>
      <c r="V1075" s="17">
        <v>14239</v>
      </c>
      <c r="W1075" s="19">
        <f t="shared" si="361"/>
        <v>0.14141414141340647</v>
      </c>
      <c r="X1075" s="19">
        <f t="shared" si="362"/>
        <v>177344</v>
      </c>
      <c r="Y1075" s="17">
        <v>163837</v>
      </c>
      <c r="Z1075" s="17">
        <v>13507</v>
      </c>
      <c r="AA1075" s="19">
        <f t="shared" si="363"/>
        <v>163105</v>
      </c>
      <c r="AB1075" s="17">
        <v>1409675</v>
      </c>
      <c r="AC1075" s="27">
        <v>41.173000000000002</v>
      </c>
      <c r="AD1075" s="27">
        <v>41.176499999999997</v>
      </c>
      <c r="AE1075" s="22">
        <f t="shared" si="364"/>
        <v>34234.939832185839</v>
      </c>
      <c r="AF1075" s="23">
        <f t="shared" si="365"/>
        <v>0</v>
      </c>
      <c r="AG1075" s="23">
        <f t="shared" si="366"/>
        <v>0</v>
      </c>
      <c r="AH1075" s="17">
        <v>1120278.02518702</v>
      </c>
      <c r="AI1075" s="24">
        <f t="shared" si="367"/>
        <v>0.79470659917145436</v>
      </c>
      <c r="AJ1075" s="25">
        <v>431560448.58986199</v>
      </c>
      <c r="AK1075" s="24">
        <f t="shared" si="368"/>
        <v>2.2816946481871093E-2</v>
      </c>
      <c r="AL1075" s="22">
        <f t="shared" si="369"/>
        <v>26977.785367581262</v>
      </c>
      <c r="AM1075" s="22">
        <f t="shared" si="370"/>
        <v>34234.939832185839</v>
      </c>
      <c r="AN1075" s="22">
        <f t="shared" si="371"/>
        <v>-7257.1544646045768</v>
      </c>
      <c r="AO1075" s="26" t="str">
        <f t="shared" si="372"/>
        <v>YES</v>
      </c>
      <c r="AP1075" s="26" t="str">
        <f t="shared" si="373"/>
        <v>pre-launch</v>
      </c>
      <c r="AQ1075" s="28">
        <v>135</v>
      </c>
      <c r="AR1075" s="28">
        <v>100</v>
      </c>
    </row>
    <row r="1076" spans="1:44" x14ac:dyDescent="0.25">
      <c r="A1076" s="43">
        <v>46137</v>
      </c>
      <c r="B1076" s="17">
        <v>1383524813.5899999</v>
      </c>
      <c r="C1076" s="17">
        <v>316992190.48000002</v>
      </c>
      <c r="D1076" s="17">
        <v>42520081</v>
      </c>
      <c r="E1076" s="19">
        <f t="shared" si="352"/>
        <v>1700517004.0699999</v>
      </c>
      <c r="F1076" s="19">
        <f t="shared" si="353"/>
        <v>1743037085.0699999</v>
      </c>
      <c r="G1076" s="20">
        <f t="shared" si="354"/>
        <v>0.18640930359491506</v>
      </c>
      <c r="H1076" s="17">
        <v>617869</v>
      </c>
      <c r="I1076" s="17">
        <v>28026</v>
      </c>
      <c r="J1076" s="17">
        <v>5717</v>
      </c>
      <c r="K1076" s="19">
        <f t="shared" si="355"/>
        <v>645895</v>
      </c>
      <c r="L1076" s="17">
        <v>24439.868377090199</v>
      </c>
      <c r="M1076" s="17">
        <v>12878.4733942762</v>
      </c>
      <c r="N1076" s="17">
        <v>11561.394982813999</v>
      </c>
      <c r="O1076" s="19">
        <f t="shared" si="356"/>
        <v>593429.1316229098</v>
      </c>
      <c r="P1076" s="21">
        <f t="shared" si="357"/>
        <v>4.2892554278305077</v>
      </c>
      <c r="Q1076" s="17">
        <v>544670</v>
      </c>
      <c r="R1076" s="17">
        <v>21311</v>
      </c>
      <c r="S1076" s="19">
        <f t="shared" si="358"/>
        <v>565981</v>
      </c>
      <c r="T1076" s="20">
        <f t="shared" si="359"/>
        <v>0.01</v>
      </c>
      <c r="U1076" s="19">
        <f t="shared" si="360"/>
        <v>5716.9797979797986</v>
      </c>
      <c r="V1076" s="17">
        <v>5717</v>
      </c>
      <c r="W1076" s="19">
        <f t="shared" si="361"/>
        <v>-2.0202020201395499E-2</v>
      </c>
      <c r="X1076" s="19">
        <f t="shared" si="362"/>
        <v>79914</v>
      </c>
      <c r="Y1076" s="17">
        <v>73199</v>
      </c>
      <c r="Z1076" s="17">
        <v>6715</v>
      </c>
      <c r="AA1076" s="19">
        <f t="shared" si="363"/>
        <v>74197</v>
      </c>
      <c r="AB1076" s="17">
        <v>565981</v>
      </c>
      <c r="AC1076" s="27">
        <v>41.506</v>
      </c>
      <c r="AD1076" s="27">
        <v>41.354500000000002</v>
      </c>
      <c r="AE1076" s="22">
        <f t="shared" si="364"/>
        <v>13686.080112200607</v>
      </c>
      <c r="AF1076" s="23">
        <f t="shared" si="365"/>
        <v>0</v>
      </c>
      <c r="AG1076" s="23">
        <f t="shared" si="366"/>
        <v>0</v>
      </c>
      <c r="AH1076" s="17">
        <v>454195.67632389098</v>
      </c>
      <c r="AI1076" s="24">
        <f t="shared" si="367"/>
        <v>0.80249279803366358</v>
      </c>
      <c r="AJ1076" s="25">
        <v>431715215.33640599</v>
      </c>
      <c r="AK1076" s="24">
        <f t="shared" si="368"/>
        <v>2.2812856261059937E-2</v>
      </c>
      <c r="AL1076" s="22">
        <f t="shared" si="369"/>
        <v>26982.622337484845</v>
      </c>
      <c r="AM1076" s="22">
        <f t="shared" si="370"/>
        <v>13686.080112200607</v>
      </c>
      <c r="AN1076" s="22">
        <f t="shared" si="371"/>
        <v>13296.542225284238</v>
      </c>
      <c r="AO1076" s="26" t="str">
        <f t="shared" si="372"/>
        <v>YES</v>
      </c>
      <c r="AP1076" s="26" t="str">
        <f t="shared" si="373"/>
        <v>pre-launch</v>
      </c>
      <c r="AQ1076" s="28">
        <v>135</v>
      </c>
      <c r="AR1076" s="28">
        <v>100</v>
      </c>
    </row>
    <row r="1077" spans="1:44" x14ac:dyDescent="0.25">
      <c r="A1077" s="43">
        <v>46138</v>
      </c>
      <c r="B1077" s="17">
        <v>2132404227.8900001</v>
      </c>
      <c r="C1077" s="17">
        <v>557229313.71000004</v>
      </c>
      <c r="D1077" s="17">
        <v>64354684</v>
      </c>
      <c r="E1077" s="19">
        <f t="shared" si="352"/>
        <v>2689633541.6000004</v>
      </c>
      <c r="F1077" s="19">
        <f t="shared" si="353"/>
        <v>2753988225.6000004</v>
      </c>
      <c r="G1077" s="20">
        <f t="shared" si="354"/>
        <v>0.20717666741266072</v>
      </c>
      <c r="H1077" s="17">
        <v>944308</v>
      </c>
      <c r="I1077" s="17">
        <v>38494</v>
      </c>
      <c r="J1077" s="17">
        <v>8883</v>
      </c>
      <c r="K1077" s="19">
        <f t="shared" si="355"/>
        <v>982802</v>
      </c>
      <c r="L1077" s="17">
        <v>68806.664962021998</v>
      </c>
      <c r="M1077" s="17">
        <v>35442.858693446004</v>
      </c>
      <c r="N1077" s="17">
        <v>33363.806268576001</v>
      </c>
      <c r="O1077" s="19">
        <f t="shared" si="356"/>
        <v>875501.33503797802</v>
      </c>
      <c r="P1077" s="21">
        <f t="shared" si="357"/>
        <v>4.105700615235981</v>
      </c>
      <c r="Q1077" s="17">
        <v>852067</v>
      </c>
      <c r="R1077" s="17">
        <v>27303</v>
      </c>
      <c r="S1077" s="19">
        <f t="shared" si="358"/>
        <v>879370</v>
      </c>
      <c r="T1077" s="20">
        <f t="shared" si="359"/>
        <v>0.01</v>
      </c>
      <c r="U1077" s="19">
        <f t="shared" si="360"/>
        <v>8882.5252525252527</v>
      </c>
      <c r="V1077" s="17">
        <v>8883</v>
      </c>
      <c r="W1077" s="19">
        <f t="shared" si="361"/>
        <v>-0.47474747474734613</v>
      </c>
      <c r="X1077" s="19">
        <f t="shared" si="362"/>
        <v>103433</v>
      </c>
      <c r="Y1077" s="17">
        <v>92241</v>
      </c>
      <c r="Z1077" s="17">
        <v>11192</v>
      </c>
      <c r="AA1077" s="19">
        <f t="shared" si="363"/>
        <v>94550</v>
      </c>
      <c r="AB1077" s="17">
        <v>879370</v>
      </c>
      <c r="AC1077" s="27">
        <v>42.47</v>
      </c>
      <c r="AD1077" s="27">
        <v>41.890500000000003</v>
      </c>
      <c r="AE1077" s="22">
        <f t="shared" si="364"/>
        <v>20992.110383022402</v>
      </c>
      <c r="AF1077" s="23">
        <f t="shared" si="365"/>
        <v>-1</v>
      </c>
      <c r="AG1077" s="23">
        <f t="shared" si="366"/>
        <v>0</v>
      </c>
      <c r="AH1077" s="17">
        <v>719098.994750023</v>
      </c>
      <c r="AI1077" s="24">
        <f t="shared" si="367"/>
        <v>0.81774337849826917</v>
      </c>
      <c r="AJ1077" s="25">
        <v>431869982.08294898</v>
      </c>
      <c r="AK1077" s="24">
        <f t="shared" si="368"/>
        <v>2.2808768239128984E-2</v>
      </c>
      <c r="AL1077" s="22">
        <f t="shared" si="369"/>
        <v>26987.458440456907</v>
      </c>
      <c r="AM1077" s="22">
        <f t="shared" si="370"/>
        <v>20992.110383022402</v>
      </c>
      <c r="AN1077" s="22">
        <f t="shared" si="371"/>
        <v>5995.3480574345049</v>
      </c>
      <c r="AO1077" s="26" t="str">
        <f t="shared" si="372"/>
        <v>YES</v>
      </c>
      <c r="AP1077" s="26" t="str">
        <f t="shared" si="373"/>
        <v>pre-launch</v>
      </c>
      <c r="AQ1077" s="28">
        <v>135</v>
      </c>
      <c r="AR1077" s="28">
        <v>100</v>
      </c>
    </row>
    <row r="1078" spans="1:44" x14ac:dyDescent="0.25">
      <c r="A1078" s="43">
        <v>46139</v>
      </c>
      <c r="B1078" s="17">
        <v>4064087617.71</v>
      </c>
      <c r="C1078" s="17">
        <v>1708185313.8900001</v>
      </c>
      <c r="D1078" s="17">
        <v>100460569</v>
      </c>
      <c r="E1078" s="19">
        <f t="shared" si="352"/>
        <v>5772272931.6000004</v>
      </c>
      <c r="F1078" s="19">
        <f t="shared" si="353"/>
        <v>5872733500.6000004</v>
      </c>
      <c r="G1078" s="20">
        <f t="shared" si="354"/>
        <v>0.29592940842049076</v>
      </c>
      <c r="H1078" s="17">
        <v>1773183</v>
      </c>
      <c r="I1078" s="17">
        <v>58044</v>
      </c>
      <c r="J1078" s="17">
        <v>16617</v>
      </c>
      <c r="K1078" s="19">
        <f t="shared" si="355"/>
        <v>1831227</v>
      </c>
      <c r="L1078" s="17">
        <v>124788.706062454</v>
      </c>
      <c r="M1078" s="17">
        <v>63991.686444440798</v>
      </c>
      <c r="N1078" s="17">
        <v>60797.019618012702</v>
      </c>
      <c r="O1078" s="19">
        <f t="shared" si="356"/>
        <v>1648394.293937546</v>
      </c>
      <c r="P1078" s="21">
        <f t="shared" si="357"/>
        <v>4.0560008764436288</v>
      </c>
      <c r="Q1078" s="17">
        <v>1604588</v>
      </c>
      <c r="R1078" s="17">
        <v>40452</v>
      </c>
      <c r="S1078" s="19">
        <f t="shared" si="358"/>
        <v>1645040</v>
      </c>
      <c r="T1078" s="20">
        <f t="shared" si="359"/>
        <v>0.01</v>
      </c>
      <c r="U1078" s="19">
        <f t="shared" si="360"/>
        <v>16616.565656565657</v>
      </c>
      <c r="V1078" s="17">
        <v>16617</v>
      </c>
      <c r="W1078" s="19">
        <f t="shared" si="361"/>
        <v>-0.43434343434273615</v>
      </c>
      <c r="X1078" s="19">
        <f t="shared" si="362"/>
        <v>186186</v>
      </c>
      <c r="Y1078" s="17">
        <v>168594</v>
      </c>
      <c r="Z1078" s="17">
        <v>17592</v>
      </c>
      <c r="AA1078" s="19">
        <f t="shared" si="363"/>
        <v>169569</v>
      </c>
      <c r="AB1078" s="17">
        <v>1645040</v>
      </c>
      <c r="AC1078" s="27">
        <v>41.670999999999999</v>
      </c>
      <c r="AD1078" s="27">
        <v>42.243000000000002</v>
      </c>
      <c r="AE1078" s="22">
        <f t="shared" si="364"/>
        <v>38942.309968515488</v>
      </c>
      <c r="AF1078" s="23">
        <f t="shared" si="365"/>
        <v>1</v>
      </c>
      <c r="AG1078" s="23">
        <f t="shared" si="366"/>
        <v>0</v>
      </c>
      <c r="AH1078" s="17">
        <v>1391263.6143109801</v>
      </c>
      <c r="AI1078" s="24">
        <f t="shared" si="367"/>
        <v>0.84573239210656281</v>
      </c>
      <c r="AJ1078" s="25">
        <v>432024748.82949299</v>
      </c>
      <c r="AK1078" s="24">
        <f t="shared" si="368"/>
        <v>2.2804682414108709E-2</v>
      </c>
      <c r="AL1078" s="22">
        <f t="shared" si="369"/>
        <v>26992.29367696348</v>
      </c>
      <c r="AM1078" s="22">
        <f t="shared" si="370"/>
        <v>38942.309968515488</v>
      </c>
      <c r="AN1078" s="22">
        <f t="shared" si="371"/>
        <v>-11950.016291552009</v>
      </c>
      <c r="AO1078" s="26" t="str">
        <f t="shared" si="372"/>
        <v>YES</v>
      </c>
      <c r="AP1078" s="26" t="str">
        <f t="shared" si="373"/>
        <v>pre-launch</v>
      </c>
      <c r="AQ1078" s="28">
        <v>135</v>
      </c>
      <c r="AR1078" s="28">
        <v>100</v>
      </c>
    </row>
    <row r="1079" spans="1:44" x14ac:dyDescent="0.25">
      <c r="A1079" s="43">
        <v>46140</v>
      </c>
      <c r="B1079" s="17">
        <v>3424089671.5700002</v>
      </c>
      <c r="C1079" s="17">
        <v>2420831169.7399998</v>
      </c>
      <c r="D1079" s="17">
        <v>90874010</v>
      </c>
      <c r="E1079" s="19">
        <f t="shared" si="352"/>
        <v>5844920841.3099995</v>
      </c>
      <c r="F1079" s="19">
        <f t="shared" si="353"/>
        <v>5935794851.3099995</v>
      </c>
      <c r="G1079" s="20">
        <f t="shared" si="354"/>
        <v>0.4141768957126592</v>
      </c>
      <c r="H1079" s="17">
        <v>1660525</v>
      </c>
      <c r="I1079" s="17">
        <v>51372</v>
      </c>
      <c r="J1079" s="17">
        <v>15662</v>
      </c>
      <c r="K1079" s="19">
        <f t="shared" si="355"/>
        <v>1711897</v>
      </c>
      <c r="L1079" s="17">
        <v>180699.96595278499</v>
      </c>
      <c r="M1079" s="17">
        <v>91049.2091943251</v>
      </c>
      <c r="N1079" s="17">
        <v>89650.756758460106</v>
      </c>
      <c r="O1079" s="19">
        <f t="shared" si="356"/>
        <v>1479825.034047215</v>
      </c>
      <c r="P1079" s="21">
        <f t="shared" si="357"/>
        <v>4.3218057235302823</v>
      </c>
      <c r="Q1079" s="17">
        <v>1509187</v>
      </c>
      <c r="R1079" s="17">
        <v>41351</v>
      </c>
      <c r="S1079" s="19">
        <f t="shared" si="358"/>
        <v>1550538</v>
      </c>
      <c r="T1079" s="20">
        <f t="shared" si="359"/>
        <v>0.01</v>
      </c>
      <c r="U1079" s="19">
        <f t="shared" si="360"/>
        <v>15662.000000000002</v>
      </c>
      <c r="V1079" s="17">
        <v>15662</v>
      </c>
      <c r="W1079" s="19">
        <f t="shared" si="361"/>
        <v>0</v>
      </c>
      <c r="X1079" s="19">
        <f t="shared" si="362"/>
        <v>161359</v>
      </c>
      <c r="Y1079" s="17">
        <v>151338</v>
      </c>
      <c r="Z1079" s="17">
        <v>10021</v>
      </c>
      <c r="AA1079" s="19">
        <f t="shared" si="363"/>
        <v>145697</v>
      </c>
      <c r="AB1079" s="17">
        <v>1550538</v>
      </c>
      <c r="AC1079" s="27">
        <v>40.18</v>
      </c>
      <c r="AD1079" s="27">
        <v>40.783499999999997</v>
      </c>
      <c r="AE1079" s="22">
        <f t="shared" si="364"/>
        <v>38018.757585788371</v>
      </c>
      <c r="AF1079" s="23">
        <f t="shared" si="365"/>
        <v>0</v>
      </c>
      <c r="AG1079" s="23">
        <f t="shared" si="366"/>
        <v>0</v>
      </c>
      <c r="AH1079" s="17">
        <v>1240157.44625711</v>
      </c>
      <c r="AI1079" s="24">
        <f t="shared" si="367"/>
        <v>0.79982396191329075</v>
      </c>
      <c r="AJ1079" s="25">
        <v>432179515.57603699</v>
      </c>
      <c r="AK1079" s="24">
        <f t="shared" si="368"/>
        <v>2.280059878403214E-2</v>
      </c>
      <c r="AL1079" s="22">
        <f t="shared" si="369"/>
        <v>26997.128047470105</v>
      </c>
      <c r="AM1079" s="22">
        <f t="shared" si="370"/>
        <v>38018.757585788371</v>
      </c>
      <c r="AN1079" s="22">
        <f t="shared" si="371"/>
        <v>-11021.629538318266</v>
      </c>
      <c r="AO1079" s="26" t="str">
        <f t="shared" si="372"/>
        <v>YES</v>
      </c>
      <c r="AP1079" s="26" t="str">
        <f t="shared" si="373"/>
        <v>pre-launch</v>
      </c>
      <c r="AQ1079" s="28">
        <v>135</v>
      </c>
      <c r="AR1079" s="28">
        <v>100</v>
      </c>
    </row>
    <row r="1080" spans="1:44" x14ac:dyDescent="0.25">
      <c r="A1080" s="43">
        <v>46141</v>
      </c>
      <c r="B1080" s="17">
        <v>4854199470.9700003</v>
      </c>
      <c r="C1080" s="17">
        <v>2933014955.9400001</v>
      </c>
      <c r="D1080" s="17">
        <v>105796892</v>
      </c>
      <c r="E1080" s="19">
        <f t="shared" si="352"/>
        <v>7787214426.9099998</v>
      </c>
      <c r="F1080" s="19">
        <f t="shared" si="353"/>
        <v>7893011318.9099998</v>
      </c>
      <c r="G1080" s="20">
        <f t="shared" si="354"/>
        <v>0.37664494582356495</v>
      </c>
      <c r="H1080" s="17">
        <v>2243462</v>
      </c>
      <c r="I1080" s="17">
        <v>54836</v>
      </c>
      <c r="J1080" s="17">
        <v>20928</v>
      </c>
      <c r="K1080" s="19">
        <f t="shared" si="355"/>
        <v>2298298</v>
      </c>
      <c r="L1080" s="17">
        <v>209742.990157191</v>
      </c>
      <c r="M1080" s="17">
        <v>105911.311490772</v>
      </c>
      <c r="N1080" s="17">
        <v>103831.67866642</v>
      </c>
      <c r="O1080" s="19">
        <f t="shared" si="356"/>
        <v>2033719.0098428091</v>
      </c>
      <c r="P1080" s="21">
        <f t="shared" si="357"/>
        <v>4.189607415198406</v>
      </c>
      <c r="Q1080" s="17">
        <v>2033687</v>
      </c>
      <c r="R1080" s="17">
        <v>38117</v>
      </c>
      <c r="S1080" s="19">
        <f t="shared" si="358"/>
        <v>2071804</v>
      </c>
      <c r="T1080" s="20">
        <f t="shared" si="359"/>
        <v>0.01</v>
      </c>
      <c r="U1080" s="19">
        <f t="shared" si="360"/>
        <v>20927.313131313131</v>
      </c>
      <c r="V1080" s="17">
        <v>20928</v>
      </c>
      <c r="W1080" s="19">
        <f t="shared" si="361"/>
        <v>-0.68686868686927482</v>
      </c>
      <c r="X1080" s="19">
        <f t="shared" si="362"/>
        <v>226494</v>
      </c>
      <c r="Y1080" s="17">
        <v>209775</v>
      </c>
      <c r="Z1080" s="17">
        <v>16719</v>
      </c>
      <c r="AA1080" s="19">
        <f t="shared" si="363"/>
        <v>205566</v>
      </c>
      <c r="AB1080" s="17">
        <v>2071804</v>
      </c>
      <c r="AC1080" s="27">
        <v>39.957000000000001</v>
      </c>
      <c r="AD1080" s="27">
        <v>40.046500000000002</v>
      </c>
      <c r="AE1080" s="22">
        <f t="shared" si="364"/>
        <v>51734.95811119573</v>
      </c>
      <c r="AF1080" s="23">
        <f t="shared" si="365"/>
        <v>0</v>
      </c>
      <c r="AG1080" s="23">
        <f t="shared" si="366"/>
        <v>0</v>
      </c>
      <c r="AH1080" s="17">
        <v>1695127.5128860499</v>
      </c>
      <c r="AI1080" s="24">
        <f t="shared" si="367"/>
        <v>0.81818913028744511</v>
      </c>
      <c r="AJ1080" s="25">
        <v>432334282.32258099</v>
      </c>
      <c r="AK1080" s="24">
        <f t="shared" si="368"/>
        <v>2.2796517346934737E-2</v>
      </c>
      <c r="AL1080" s="22">
        <f t="shared" si="369"/>
        <v>27001.96155244191</v>
      </c>
      <c r="AM1080" s="22">
        <f t="shared" si="370"/>
        <v>51734.95811119573</v>
      </c>
      <c r="AN1080" s="22">
        <f t="shared" si="371"/>
        <v>-24732.996558753821</v>
      </c>
      <c r="AO1080" s="26" t="str">
        <f t="shared" si="372"/>
        <v>YES</v>
      </c>
      <c r="AP1080" s="26" t="str">
        <f t="shared" si="373"/>
        <v>pre-launch</v>
      </c>
      <c r="AQ1080" s="28">
        <v>135</v>
      </c>
      <c r="AR1080" s="28">
        <v>100</v>
      </c>
    </row>
    <row r="1081" spans="1:44" x14ac:dyDescent="0.25">
      <c r="A1081" s="43">
        <v>46142</v>
      </c>
      <c r="B1081" s="17">
        <v>3653523406.1900001</v>
      </c>
      <c r="C1081" s="17">
        <v>2856832342.6900001</v>
      </c>
      <c r="D1081" s="17">
        <v>89686875</v>
      </c>
      <c r="E1081" s="19">
        <f t="shared" si="352"/>
        <v>6510355748.8800001</v>
      </c>
      <c r="F1081" s="19">
        <f t="shared" si="353"/>
        <v>6600042623.8800001</v>
      </c>
      <c r="G1081" s="20">
        <f t="shared" si="354"/>
        <v>0.4388135538033342</v>
      </c>
      <c r="H1081" s="17">
        <v>1825340</v>
      </c>
      <c r="I1081" s="17">
        <v>44667</v>
      </c>
      <c r="J1081" s="17">
        <v>16537</v>
      </c>
      <c r="K1081" s="19">
        <f t="shared" si="355"/>
        <v>1870007</v>
      </c>
      <c r="L1081" s="17">
        <v>206694.08540776101</v>
      </c>
      <c r="M1081" s="17">
        <v>103893.644558607</v>
      </c>
      <c r="N1081" s="17">
        <v>102800.44084915399</v>
      </c>
      <c r="O1081" s="19">
        <f t="shared" si="356"/>
        <v>1618645.9145922391</v>
      </c>
      <c r="P1081" s="21">
        <f t="shared" si="357"/>
        <v>4.4303696312711178</v>
      </c>
      <c r="Q1081" s="17">
        <v>1603787</v>
      </c>
      <c r="R1081" s="17">
        <v>33383</v>
      </c>
      <c r="S1081" s="19">
        <f t="shared" si="358"/>
        <v>1637170</v>
      </c>
      <c r="T1081" s="20">
        <f t="shared" si="359"/>
        <v>0.01</v>
      </c>
      <c r="U1081" s="19">
        <f t="shared" si="360"/>
        <v>16537.070707070707</v>
      </c>
      <c r="V1081" s="17">
        <v>16537</v>
      </c>
      <c r="W1081" s="19">
        <f t="shared" si="361"/>
        <v>7.0707070706703234E-2</v>
      </c>
      <c r="X1081" s="19">
        <f t="shared" si="362"/>
        <v>232836</v>
      </c>
      <c r="Y1081" s="17">
        <v>221552</v>
      </c>
      <c r="Z1081" s="17">
        <v>11284</v>
      </c>
      <c r="AA1081" s="19">
        <f t="shared" si="363"/>
        <v>216299</v>
      </c>
      <c r="AB1081" s="17">
        <v>1637170</v>
      </c>
      <c r="AC1081" s="27">
        <v>39.716000000000001</v>
      </c>
      <c r="AD1081" s="27">
        <v>39.694749999999999</v>
      </c>
      <c r="AE1081" s="22">
        <f t="shared" si="364"/>
        <v>41243.993223285193</v>
      </c>
      <c r="AF1081" s="23">
        <f t="shared" si="365"/>
        <v>1</v>
      </c>
      <c r="AG1081" s="23">
        <f t="shared" si="366"/>
        <v>0</v>
      </c>
      <c r="AH1081" s="17">
        <v>1283995.03754401</v>
      </c>
      <c r="AI1081" s="24">
        <f t="shared" si="367"/>
        <v>0.78427715969875456</v>
      </c>
      <c r="AJ1081" s="25">
        <v>432489049.06912398</v>
      </c>
      <c r="AK1081" s="24">
        <f t="shared" si="368"/>
        <v>2.2792438100854451E-2</v>
      </c>
      <c r="AL1081" s="22">
        <f t="shared" si="369"/>
        <v>27006.794192343594</v>
      </c>
      <c r="AM1081" s="22">
        <f t="shared" si="370"/>
        <v>41243.993223285193</v>
      </c>
      <c r="AN1081" s="22">
        <f t="shared" si="371"/>
        <v>-14237.1990309416</v>
      </c>
      <c r="AO1081" s="26" t="str">
        <f t="shared" si="372"/>
        <v>YES</v>
      </c>
      <c r="AP1081" s="26" t="str">
        <f t="shared" si="373"/>
        <v>pre-launch</v>
      </c>
      <c r="AQ1081" s="28">
        <v>137</v>
      </c>
      <c r="AR1081" s="28">
        <v>102</v>
      </c>
    </row>
    <row r="1082" spans="1:44" x14ac:dyDescent="0.25">
      <c r="A1082" s="43">
        <v>46143</v>
      </c>
      <c r="B1082" s="17">
        <v>3909311276.8699999</v>
      </c>
      <c r="C1082" s="17">
        <v>2322920331</v>
      </c>
      <c r="D1082" s="17">
        <v>108148310</v>
      </c>
      <c r="E1082" s="19">
        <f t="shared" si="352"/>
        <v>6232231607.8699999</v>
      </c>
      <c r="F1082" s="19">
        <f t="shared" si="353"/>
        <v>6340379917.8699999</v>
      </c>
      <c r="G1082" s="20">
        <f t="shared" si="354"/>
        <v>0.37272689417810456</v>
      </c>
      <c r="H1082" s="17">
        <v>1763950</v>
      </c>
      <c r="I1082" s="17">
        <v>56089</v>
      </c>
      <c r="J1082" s="17">
        <v>16544</v>
      </c>
      <c r="K1082" s="19">
        <f t="shared" si="355"/>
        <v>1820039</v>
      </c>
      <c r="L1082" s="17">
        <v>168454.928006406</v>
      </c>
      <c r="M1082" s="17">
        <v>85127.1796729044</v>
      </c>
      <c r="N1082" s="17">
        <v>83327.748333501993</v>
      </c>
      <c r="O1082" s="19">
        <f t="shared" si="356"/>
        <v>1595495.0719935941</v>
      </c>
      <c r="P1082" s="21">
        <f t="shared" si="357"/>
        <v>4.0812689473810106</v>
      </c>
      <c r="Q1082" s="17">
        <v>1597170</v>
      </c>
      <c r="R1082" s="17">
        <v>40707</v>
      </c>
      <c r="S1082" s="19">
        <f t="shared" si="358"/>
        <v>1637877</v>
      </c>
      <c r="T1082" s="20">
        <f t="shared" si="359"/>
        <v>0.01</v>
      </c>
      <c r="U1082" s="19">
        <f t="shared" si="360"/>
        <v>16544.21212121212</v>
      </c>
      <c r="V1082" s="17">
        <v>16544</v>
      </c>
      <c r="W1082" s="19">
        <f t="shared" si="361"/>
        <v>0.2121212121201097</v>
      </c>
      <c r="X1082" s="19">
        <f t="shared" si="362"/>
        <v>182161</v>
      </c>
      <c r="Y1082" s="17">
        <v>166780</v>
      </c>
      <c r="Z1082" s="17">
        <v>15381</v>
      </c>
      <c r="AA1082" s="19">
        <f t="shared" si="363"/>
        <v>165617</v>
      </c>
      <c r="AB1082" s="17">
        <v>1637877</v>
      </c>
      <c r="AC1082" s="27">
        <v>41.15</v>
      </c>
      <c r="AD1082" s="27">
        <v>40.431249999999999</v>
      </c>
      <c r="AE1082" s="22">
        <f t="shared" si="364"/>
        <v>40510.174679239448</v>
      </c>
      <c r="AF1082" s="23">
        <f t="shared" si="365"/>
        <v>1</v>
      </c>
      <c r="AG1082" s="23">
        <f t="shared" si="366"/>
        <v>0</v>
      </c>
      <c r="AH1082" s="17">
        <v>1366557.30921984</v>
      </c>
      <c r="AI1082" s="24">
        <f t="shared" si="367"/>
        <v>0.83434672397245946</v>
      </c>
      <c r="AJ1082" s="25">
        <v>432643815.81566799</v>
      </c>
      <c r="AK1082" s="24">
        <f t="shared" si="368"/>
        <v>2.2788361043831609E-2</v>
      </c>
      <c r="AL1082" s="22">
        <f t="shared" si="369"/>
        <v>27011.62596763952</v>
      </c>
      <c r="AM1082" s="22">
        <f t="shared" si="370"/>
        <v>40510.174679239448</v>
      </c>
      <c r="AN1082" s="22">
        <f t="shared" si="371"/>
        <v>-13498.548711599928</v>
      </c>
      <c r="AO1082" s="26" t="str">
        <f t="shared" si="372"/>
        <v>YES</v>
      </c>
      <c r="AP1082" s="26" t="str">
        <f t="shared" si="373"/>
        <v>pre-launch</v>
      </c>
      <c r="AQ1082" s="28">
        <v>138</v>
      </c>
      <c r="AR1082" s="28">
        <v>103</v>
      </c>
    </row>
    <row r="1083" spans="1:44" x14ac:dyDescent="0.25">
      <c r="A1083" s="43">
        <v>46144</v>
      </c>
      <c r="B1083" s="17">
        <v>1733079087.0699999</v>
      </c>
      <c r="C1083" s="17">
        <v>229825622.77000001</v>
      </c>
      <c r="D1083" s="17">
        <v>56423380</v>
      </c>
      <c r="E1083" s="19">
        <f t="shared" si="352"/>
        <v>1962904709.8399999</v>
      </c>
      <c r="F1083" s="19">
        <f t="shared" si="353"/>
        <v>2019328089.8399999</v>
      </c>
      <c r="G1083" s="20">
        <f t="shared" si="354"/>
        <v>0.11708445224971391</v>
      </c>
      <c r="H1083" s="17">
        <v>709629</v>
      </c>
      <c r="I1083" s="17">
        <v>29270</v>
      </c>
      <c r="J1083" s="17">
        <v>6665</v>
      </c>
      <c r="K1083" s="19">
        <f t="shared" si="355"/>
        <v>738899</v>
      </c>
      <c r="L1083" s="17">
        <v>17446.572294860402</v>
      </c>
      <c r="M1083" s="17">
        <v>9297.1406340021294</v>
      </c>
      <c r="N1083" s="17">
        <v>8149.4316608582703</v>
      </c>
      <c r="O1083" s="19">
        <f t="shared" si="356"/>
        <v>692182.42770513962</v>
      </c>
      <c r="P1083" s="21">
        <f t="shared" si="357"/>
        <v>3.9939459939786466</v>
      </c>
      <c r="Q1083" s="17">
        <v>635509</v>
      </c>
      <c r="R1083" s="17">
        <v>24289</v>
      </c>
      <c r="S1083" s="19">
        <f t="shared" si="358"/>
        <v>659798</v>
      </c>
      <c r="T1083" s="20">
        <f t="shared" si="359"/>
        <v>0.01</v>
      </c>
      <c r="U1083" s="19">
        <f t="shared" si="360"/>
        <v>6664.6262626262633</v>
      </c>
      <c r="V1083" s="17">
        <v>6665</v>
      </c>
      <c r="W1083" s="19">
        <f t="shared" si="361"/>
        <v>-0.37373737373673066</v>
      </c>
      <c r="X1083" s="19">
        <f t="shared" si="362"/>
        <v>79101</v>
      </c>
      <c r="Y1083" s="17">
        <v>74120</v>
      </c>
      <c r="Z1083" s="17">
        <v>4981</v>
      </c>
      <c r="AA1083" s="19">
        <f t="shared" si="363"/>
        <v>72436</v>
      </c>
      <c r="AB1083" s="17">
        <v>659798</v>
      </c>
      <c r="AC1083" s="27">
        <v>41.26</v>
      </c>
      <c r="AD1083" s="27">
        <v>41.46275</v>
      </c>
      <c r="AE1083" s="22">
        <f t="shared" si="364"/>
        <v>15913.030370633882</v>
      </c>
      <c r="AF1083" s="23">
        <f t="shared" si="365"/>
        <v>0</v>
      </c>
      <c r="AG1083" s="23">
        <f t="shared" si="366"/>
        <v>0</v>
      </c>
      <c r="AH1083" s="17">
        <v>555746.25204014801</v>
      </c>
      <c r="AI1083" s="24">
        <f t="shared" si="367"/>
        <v>0.84229756992314009</v>
      </c>
      <c r="AJ1083" s="25">
        <v>432798582.56221199</v>
      </c>
      <c r="AK1083" s="24">
        <f t="shared" si="368"/>
        <v>2.2784286173909075E-2</v>
      </c>
      <c r="AL1083" s="22">
        <f t="shared" si="369"/>
        <v>27016.456878793568</v>
      </c>
      <c r="AM1083" s="22">
        <f t="shared" si="370"/>
        <v>15913.030370633882</v>
      </c>
      <c r="AN1083" s="22">
        <f t="shared" si="371"/>
        <v>11103.426508159686</v>
      </c>
      <c r="AO1083" s="26" t="str">
        <f t="shared" si="372"/>
        <v>YES</v>
      </c>
      <c r="AP1083" s="26" t="str">
        <f t="shared" si="373"/>
        <v>live (zero-fee)</v>
      </c>
      <c r="AQ1083" s="28">
        <v>138</v>
      </c>
      <c r="AR1083" s="28">
        <v>103</v>
      </c>
    </row>
    <row r="1084" spans="1:44" x14ac:dyDescent="0.25">
      <c r="A1084" s="43">
        <v>46145</v>
      </c>
      <c r="B1084" s="17">
        <v>2296714073.6100001</v>
      </c>
      <c r="C1084" s="17">
        <v>691033738.73000002</v>
      </c>
      <c r="D1084" s="17">
        <v>67677761</v>
      </c>
      <c r="E1084" s="19">
        <f t="shared" si="352"/>
        <v>2987747812.3400002</v>
      </c>
      <c r="F1084" s="19">
        <f t="shared" si="353"/>
        <v>3055425573.3400002</v>
      </c>
      <c r="G1084" s="20">
        <f t="shared" si="354"/>
        <v>0.23128917905182342</v>
      </c>
      <c r="H1084" s="17">
        <v>1041156</v>
      </c>
      <c r="I1084" s="17">
        <v>32707</v>
      </c>
      <c r="J1084" s="17">
        <v>9493</v>
      </c>
      <c r="K1084" s="19">
        <f t="shared" si="355"/>
        <v>1073863</v>
      </c>
      <c r="L1084" s="17">
        <v>48177.326717399199</v>
      </c>
      <c r="M1084" s="17">
        <v>24701.736118907302</v>
      </c>
      <c r="N1084" s="17">
        <v>23475.590598491901</v>
      </c>
      <c r="O1084" s="19">
        <f t="shared" si="356"/>
        <v>992978.67328260082</v>
      </c>
      <c r="P1084" s="21">
        <f t="shared" si="357"/>
        <v>4.3234753715852241</v>
      </c>
      <c r="Q1084" s="17">
        <v>915087</v>
      </c>
      <c r="R1084" s="17">
        <v>24716</v>
      </c>
      <c r="S1084" s="19">
        <f t="shared" si="358"/>
        <v>939803</v>
      </c>
      <c r="T1084" s="20">
        <f t="shared" si="359"/>
        <v>0.01</v>
      </c>
      <c r="U1084" s="19">
        <f t="shared" si="360"/>
        <v>9492.9595959595972</v>
      </c>
      <c r="V1084" s="17">
        <v>9493</v>
      </c>
      <c r="W1084" s="19">
        <f t="shared" si="361"/>
        <v>-4.0404040402790997E-2</v>
      </c>
      <c r="X1084" s="19">
        <f t="shared" si="362"/>
        <v>134062</v>
      </c>
      <c r="Y1084" s="17">
        <v>126070</v>
      </c>
      <c r="Z1084" s="17">
        <v>7992</v>
      </c>
      <c r="AA1084" s="19">
        <f t="shared" si="363"/>
        <v>124569</v>
      </c>
      <c r="AB1084" s="17">
        <v>939803</v>
      </c>
      <c r="AC1084" s="27">
        <v>41.539000000000001</v>
      </c>
      <c r="AD1084" s="27">
        <v>41.296750000000003</v>
      </c>
      <c r="AE1084" s="22">
        <f t="shared" si="364"/>
        <v>22757.311410704231</v>
      </c>
      <c r="AF1084" s="23">
        <f t="shared" si="365"/>
        <v>-2</v>
      </c>
      <c r="AG1084" s="23">
        <f t="shared" si="366"/>
        <v>0</v>
      </c>
      <c r="AH1084" s="17">
        <v>753745.22897887195</v>
      </c>
      <c r="AI1084" s="24">
        <f t="shared" si="367"/>
        <v>0.80202471047535706</v>
      </c>
      <c r="AJ1084" s="25">
        <v>432953349.30875599</v>
      </c>
      <c r="AK1084" s="24">
        <f t="shared" si="368"/>
        <v>2.2780213489132121E-2</v>
      </c>
      <c r="AL1084" s="22">
        <f t="shared" si="369"/>
        <v>27021.286926269189</v>
      </c>
      <c r="AM1084" s="22">
        <f t="shared" si="370"/>
        <v>22757.311410704231</v>
      </c>
      <c r="AN1084" s="22">
        <f t="shared" si="371"/>
        <v>4263.9755155649582</v>
      </c>
      <c r="AO1084" s="26" t="str">
        <f t="shared" si="372"/>
        <v>YES</v>
      </c>
      <c r="AP1084" s="26" t="str">
        <f t="shared" si="373"/>
        <v>live (zero-fee)</v>
      </c>
      <c r="AQ1084" s="28">
        <v>138</v>
      </c>
      <c r="AR1084" s="28">
        <v>103</v>
      </c>
    </row>
    <row r="1085" spans="1:44" x14ac:dyDescent="0.25">
      <c r="A1085" s="43">
        <v>46146</v>
      </c>
      <c r="B1085" s="17">
        <v>5976535140.1199999</v>
      </c>
      <c r="C1085" s="17">
        <v>3308564622.2199998</v>
      </c>
      <c r="D1085" s="17">
        <v>138183840</v>
      </c>
      <c r="E1085" s="19">
        <f t="shared" si="352"/>
        <v>9285099762.3400002</v>
      </c>
      <c r="F1085" s="19">
        <f t="shared" si="353"/>
        <v>9423283602.3400002</v>
      </c>
      <c r="G1085" s="20">
        <f t="shared" si="354"/>
        <v>0.35633054107177264</v>
      </c>
      <c r="H1085" s="17">
        <v>2737965</v>
      </c>
      <c r="I1085" s="17">
        <v>68796</v>
      </c>
      <c r="J1085" s="17">
        <v>25524</v>
      </c>
      <c r="K1085" s="19">
        <f t="shared" si="355"/>
        <v>2806761</v>
      </c>
      <c r="L1085" s="17">
        <v>240920.438421375</v>
      </c>
      <c r="M1085" s="17">
        <v>123096.99719780299</v>
      </c>
      <c r="N1085" s="17">
        <v>117823.44122357199</v>
      </c>
      <c r="O1085" s="19">
        <f t="shared" si="356"/>
        <v>2497044.5615786249</v>
      </c>
      <c r="P1085" s="21">
        <f t="shared" si="357"/>
        <v>4.1780806153320604</v>
      </c>
      <c r="Q1085" s="17">
        <v>2477035</v>
      </c>
      <c r="R1085" s="17">
        <v>49812</v>
      </c>
      <c r="S1085" s="19">
        <f t="shared" si="358"/>
        <v>2526847</v>
      </c>
      <c r="T1085" s="20">
        <f t="shared" si="359"/>
        <v>0.01</v>
      </c>
      <c r="U1085" s="19">
        <f t="shared" si="360"/>
        <v>25523.707070707071</v>
      </c>
      <c r="V1085" s="17">
        <v>25524</v>
      </c>
      <c r="W1085" s="19">
        <f t="shared" si="361"/>
        <v>-0.29292929292932968</v>
      </c>
      <c r="X1085" s="19">
        <f t="shared" si="362"/>
        <v>279913</v>
      </c>
      <c r="Y1085" s="17">
        <v>260929</v>
      </c>
      <c r="Z1085" s="17">
        <v>18984</v>
      </c>
      <c r="AA1085" s="19">
        <f t="shared" si="363"/>
        <v>254389</v>
      </c>
      <c r="AB1085" s="17">
        <v>2526847</v>
      </c>
      <c r="AC1085" s="27">
        <v>41.790999999999997</v>
      </c>
      <c r="AD1085" s="27">
        <v>41.701250000000002</v>
      </c>
      <c r="AE1085" s="22">
        <f t="shared" si="364"/>
        <v>60594.034950990674</v>
      </c>
      <c r="AF1085" s="23">
        <f t="shared" si="365"/>
        <v>1</v>
      </c>
      <c r="AG1085" s="23">
        <f t="shared" si="366"/>
        <v>0</v>
      </c>
      <c r="AH1085" s="17">
        <v>2046627.89656496</v>
      </c>
      <c r="AI1085" s="24">
        <f t="shared" si="367"/>
        <v>0.80995323284906451</v>
      </c>
      <c r="AJ1085" s="25">
        <v>433108116.0553</v>
      </c>
      <c r="AK1085" s="24">
        <f t="shared" si="368"/>
        <v>2.2776142987548487E-2</v>
      </c>
      <c r="AL1085" s="22">
        <f t="shared" si="369"/>
        <v>27026.11611052947</v>
      </c>
      <c r="AM1085" s="22">
        <f t="shared" si="370"/>
        <v>60594.034950990674</v>
      </c>
      <c r="AN1085" s="22">
        <f t="shared" si="371"/>
        <v>-33567.918840461207</v>
      </c>
      <c r="AO1085" s="26" t="str">
        <f t="shared" si="372"/>
        <v>YES</v>
      </c>
      <c r="AP1085" s="26" t="str">
        <f t="shared" si="373"/>
        <v>live (zero-fee)</v>
      </c>
      <c r="AQ1085" s="28">
        <v>146</v>
      </c>
      <c r="AR1085" s="28">
        <v>111</v>
      </c>
    </row>
    <row r="1086" spans="1:44" x14ac:dyDescent="0.25">
      <c r="A1086" s="43">
        <v>46147</v>
      </c>
      <c r="B1086" s="17">
        <v>4949133444.1499996</v>
      </c>
      <c r="C1086" s="17">
        <v>2356667754.1999998</v>
      </c>
      <c r="D1086" s="17">
        <v>138979501</v>
      </c>
      <c r="E1086" s="19">
        <f t="shared" si="352"/>
        <v>7305801198.3499994</v>
      </c>
      <c r="F1086" s="19">
        <f t="shared" si="353"/>
        <v>7444780699.3499994</v>
      </c>
      <c r="G1086" s="20">
        <f t="shared" si="354"/>
        <v>0.32257485390271068</v>
      </c>
      <c r="H1086" s="17">
        <v>2255905</v>
      </c>
      <c r="I1086" s="17">
        <v>70963</v>
      </c>
      <c r="J1086" s="17">
        <v>21276</v>
      </c>
      <c r="K1086" s="19">
        <f t="shared" si="355"/>
        <v>2326868</v>
      </c>
      <c r="L1086" s="17">
        <v>163470.412673171</v>
      </c>
      <c r="M1086" s="17">
        <v>83300.130130592297</v>
      </c>
      <c r="N1086" s="17">
        <v>80170.282542579007</v>
      </c>
      <c r="O1086" s="19">
        <f t="shared" si="356"/>
        <v>2092434.5873268291</v>
      </c>
      <c r="P1086" s="21">
        <f t="shared" si="357"/>
        <v>4.2278807208161648</v>
      </c>
      <c r="Q1086" s="17">
        <v>2050742</v>
      </c>
      <c r="R1086" s="17">
        <v>55602</v>
      </c>
      <c r="S1086" s="19">
        <f t="shared" si="358"/>
        <v>2106344</v>
      </c>
      <c r="T1086" s="20">
        <f t="shared" si="359"/>
        <v>0.01</v>
      </c>
      <c r="U1086" s="19">
        <f t="shared" si="360"/>
        <v>21276.202020202018</v>
      </c>
      <c r="V1086" s="17">
        <v>21276</v>
      </c>
      <c r="W1086" s="19">
        <f t="shared" si="361"/>
        <v>0.20202020201759296</v>
      </c>
      <c r="X1086" s="19">
        <f t="shared" si="362"/>
        <v>220525</v>
      </c>
      <c r="Y1086" s="17">
        <v>205164</v>
      </c>
      <c r="Z1086" s="17">
        <v>15361</v>
      </c>
      <c r="AA1086" s="19">
        <f t="shared" si="363"/>
        <v>199249</v>
      </c>
      <c r="AB1086" s="17">
        <v>2106344</v>
      </c>
      <c r="AC1086" s="27">
        <v>43.728000000000002</v>
      </c>
      <c r="AD1086" s="27">
        <v>42.97775</v>
      </c>
      <c r="AE1086" s="22">
        <f t="shared" si="364"/>
        <v>49010.104065475738</v>
      </c>
      <c r="AF1086" s="23">
        <f t="shared" si="365"/>
        <v>-1</v>
      </c>
      <c r="AG1086" s="23">
        <f t="shared" si="366"/>
        <v>0</v>
      </c>
      <c r="AH1086" s="17">
        <v>1727327.1039750599</v>
      </c>
      <c r="AI1086" s="24">
        <f t="shared" si="367"/>
        <v>0.82005935591482682</v>
      </c>
      <c r="AJ1086" s="25">
        <v>433262882.80184299</v>
      </c>
      <c r="AK1086" s="24">
        <f t="shared" si="368"/>
        <v>2.2772074667208354E-2</v>
      </c>
      <c r="AL1086" s="22">
        <f t="shared" si="369"/>
        <v>27030.944432037017</v>
      </c>
      <c r="AM1086" s="22">
        <f t="shared" si="370"/>
        <v>49010.104065475738</v>
      </c>
      <c r="AN1086" s="22">
        <f t="shared" si="371"/>
        <v>-21979.159633438721</v>
      </c>
      <c r="AO1086" s="26" t="str">
        <f t="shared" si="372"/>
        <v>YES</v>
      </c>
      <c r="AP1086" s="26" t="str">
        <f t="shared" si="373"/>
        <v>live (zero-fee)</v>
      </c>
      <c r="AQ1086" s="28">
        <v>148</v>
      </c>
      <c r="AR1086" s="28">
        <v>113</v>
      </c>
    </row>
    <row r="1087" spans="1:44" x14ac:dyDescent="0.25">
      <c r="A1087" s="43">
        <v>46148</v>
      </c>
      <c r="B1087" s="17">
        <v>5981705992.9200001</v>
      </c>
      <c r="C1087" s="17">
        <v>3587951764.1999998</v>
      </c>
      <c r="D1087" s="17">
        <v>131146721</v>
      </c>
      <c r="E1087" s="19">
        <f t="shared" si="352"/>
        <v>9569657757.1199989</v>
      </c>
      <c r="F1087" s="19">
        <f t="shared" si="353"/>
        <v>9700804478.1199989</v>
      </c>
      <c r="G1087" s="20">
        <f t="shared" si="354"/>
        <v>0.3749299980483104</v>
      </c>
      <c r="H1087" s="17">
        <v>2730632</v>
      </c>
      <c r="I1087" s="17">
        <v>62363</v>
      </c>
      <c r="J1087" s="17">
        <v>25780</v>
      </c>
      <c r="K1087" s="19">
        <f t="shared" si="355"/>
        <v>2792995</v>
      </c>
      <c r="L1087" s="17">
        <v>250625.575475783</v>
      </c>
      <c r="M1087" s="17">
        <v>126856.92478056</v>
      </c>
      <c r="N1087" s="17">
        <v>123768.650695223</v>
      </c>
      <c r="O1087" s="19">
        <f t="shared" si="356"/>
        <v>2480006.4245242169</v>
      </c>
      <c r="P1087" s="21">
        <f t="shared" si="357"/>
        <v>4.1459851545020339</v>
      </c>
      <c r="Q1087" s="17">
        <v>2503867</v>
      </c>
      <c r="R1087" s="17">
        <v>48312</v>
      </c>
      <c r="S1087" s="19">
        <f t="shared" si="358"/>
        <v>2552179</v>
      </c>
      <c r="T1087" s="20">
        <f t="shared" si="359"/>
        <v>0.01</v>
      </c>
      <c r="U1087" s="19">
        <f t="shared" si="360"/>
        <v>25779.585858585859</v>
      </c>
      <c r="V1087" s="17">
        <v>25780</v>
      </c>
      <c r="W1087" s="19">
        <f t="shared" si="361"/>
        <v>-0.41414141414134065</v>
      </c>
      <c r="X1087" s="19">
        <f t="shared" si="362"/>
        <v>240815</v>
      </c>
      <c r="Y1087" s="17">
        <v>226764</v>
      </c>
      <c r="Z1087" s="17">
        <v>14051</v>
      </c>
      <c r="AA1087" s="19">
        <f t="shared" si="363"/>
        <v>215035</v>
      </c>
      <c r="AB1087" s="17">
        <v>2552179</v>
      </c>
      <c r="AC1087" s="27">
        <v>43.110999999999997</v>
      </c>
      <c r="AD1087" s="27">
        <v>43.637749999999997</v>
      </c>
      <c r="AE1087" s="22">
        <f t="shared" si="364"/>
        <v>58485.577281138467</v>
      </c>
      <c r="AF1087" s="23">
        <f t="shared" si="365"/>
        <v>1</v>
      </c>
      <c r="AG1087" s="23">
        <f t="shared" si="366"/>
        <v>0</v>
      </c>
      <c r="AH1087" s="17">
        <v>2119053.1291279802</v>
      </c>
      <c r="AI1087" s="24">
        <f t="shared" si="367"/>
        <v>0.83029173468161133</v>
      </c>
      <c r="AJ1087" s="25">
        <v>433417649.54838699</v>
      </c>
      <c r="AK1087" s="24">
        <f t="shared" si="368"/>
        <v>2.2768008526164285E-2</v>
      </c>
      <c r="AL1087" s="22">
        <f t="shared" si="369"/>
        <v>27035.771891254135</v>
      </c>
      <c r="AM1087" s="22">
        <f t="shared" si="370"/>
        <v>58485.577281138467</v>
      </c>
      <c r="AN1087" s="22">
        <f t="shared" si="371"/>
        <v>-31449.805389884332</v>
      </c>
      <c r="AO1087" s="26" t="str">
        <f t="shared" si="372"/>
        <v>YES</v>
      </c>
      <c r="AP1087" s="26" t="str">
        <f t="shared" si="373"/>
        <v>live (zero-fee)</v>
      </c>
      <c r="AQ1087" s="28">
        <v>148</v>
      </c>
      <c r="AR1087" s="28">
        <v>113</v>
      </c>
    </row>
    <row r="1088" spans="1:44" x14ac:dyDescent="0.25">
      <c r="A1088" s="43">
        <v>46149</v>
      </c>
      <c r="B1088" s="17">
        <v>5002311688.75</v>
      </c>
      <c r="C1088" s="17">
        <v>3663773293.7600002</v>
      </c>
      <c r="D1088" s="17">
        <v>110893957</v>
      </c>
      <c r="E1088" s="19">
        <f t="shared" si="352"/>
        <v>8666084982.5100002</v>
      </c>
      <c r="F1088" s="19">
        <f t="shared" si="353"/>
        <v>8776978939.5100002</v>
      </c>
      <c r="G1088" s="20">
        <f t="shared" si="354"/>
        <v>0.42277144767842373</v>
      </c>
      <c r="H1088" s="17">
        <v>2236068</v>
      </c>
      <c r="I1088" s="17">
        <v>51769</v>
      </c>
      <c r="J1088" s="17">
        <v>20969</v>
      </c>
      <c r="K1088" s="19">
        <f t="shared" si="355"/>
        <v>2287837</v>
      </c>
      <c r="L1088" s="17">
        <v>250916.16750967299</v>
      </c>
      <c r="M1088" s="17">
        <v>126601.433460906</v>
      </c>
      <c r="N1088" s="17">
        <v>124314.734048768</v>
      </c>
      <c r="O1088" s="19">
        <f t="shared" si="356"/>
        <v>1985151.8324903271</v>
      </c>
      <c r="P1088" s="21">
        <f t="shared" si="357"/>
        <v>3.9684688920021807</v>
      </c>
      <c r="Q1088" s="17">
        <v>2037475</v>
      </c>
      <c r="R1088" s="17">
        <v>38455</v>
      </c>
      <c r="S1088" s="19">
        <f t="shared" si="358"/>
        <v>2075930</v>
      </c>
      <c r="T1088" s="20">
        <f t="shared" si="359"/>
        <v>0.01</v>
      </c>
      <c r="U1088" s="19">
        <f t="shared" si="360"/>
        <v>20968.989898989897</v>
      </c>
      <c r="V1088" s="17">
        <v>20969</v>
      </c>
      <c r="W1088" s="19">
        <f t="shared" si="361"/>
        <v>-1.0101010102516739E-2</v>
      </c>
      <c r="X1088" s="19">
        <f t="shared" si="362"/>
        <v>211907</v>
      </c>
      <c r="Y1088" s="17">
        <v>198593</v>
      </c>
      <c r="Z1088" s="17">
        <v>13314</v>
      </c>
      <c r="AA1088" s="19">
        <f t="shared" si="363"/>
        <v>190938</v>
      </c>
      <c r="AB1088" s="17">
        <v>2075930</v>
      </c>
      <c r="AC1088" s="27">
        <v>42.524999999999999</v>
      </c>
      <c r="AD1088" s="27">
        <v>42.753999999999998</v>
      </c>
      <c r="AE1088" s="22">
        <f t="shared" si="364"/>
        <v>48555.222903120179</v>
      </c>
      <c r="AF1088" s="23">
        <f t="shared" si="365"/>
        <v>0</v>
      </c>
      <c r="AG1088" s="23">
        <f t="shared" si="366"/>
        <v>0</v>
      </c>
      <c r="AH1088" s="17">
        <v>1755060.1272180099</v>
      </c>
      <c r="AI1088" s="24">
        <f t="shared" si="367"/>
        <v>0.84543319245736126</v>
      </c>
      <c r="AJ1088" s="25">
        <v>433572416.29493099</v>
      </c>
      <c r="AK1088" s="24">
        <f t="shared" si="368"/>
        <v>2.2763944562471342E-2</v>
      </c>
      <c r="AL1088" s="22">
        <f t="shared" si="369"/>
        <v>27040.598488642616</v>
      </c>
      <c r="AM1088" s="22">
        <f t="shared" si="370"/>
        <v>48555.222903120179</v>
      </c>
      <c r="AN1088" s="22">
        <f t="shared" si="371"/>
        <v>-21514.624414477563</v>
      </c>
      <c r="AO1088" s="26" t="str">
        <f t="shared" si="372"/>
        <v>YES</v>
      </c>
      <c r="AP1088" s="26" t="str">
        <f t="shared" si="373"/>
        <v>live (zero-fee)</v>
      </c>
      <c r="AQ1088" s="28">
        <v>148</v>
      </c>
      <c r="AR1088" s="28">
        <v>113</v>
      </c>
    </row>
    <row r="1089" spans="1:44" x14ac:dyDescent="0.25">
      <c r="A1089" s="43">
        <v>46150</v>
      </c>
      <c r="B1089" s="17">
        <v>4312624504.25</v>
      </c>
      <c r="C1089" s="17">
        <v>2406272803.1700001</v>
      </c>
      <c r="D1089" s="17">
        <v>84826141</v>
      </c>
      <c r="E1089" s="19">
        <f t="shared" si="352"/>
        <v>6718897307.4200001</v>
      </c>
      <c r="F1089" s="19">
        <f t="shared" si="353"/>
        <v>6803723448.4200001</v>
      </c>
      <c r="G1089" s="20">
        <f t="shared" si="354"/>
        <v>0.35813507679491363</v>
      </c>
      <c r="H1089" s="17">
        <v>1889593</v>
      </c>
      <c r="I1089" s="17">
        <v>41401</v>
      </c>
      <c r="J1089" s="17">
        <v>17633</v>
      </c>
      <c r="K1089" s="19">
        <f t="shared" si="355"/>
        <v>1930994</v>
      </c>
      <c r="L1089" s="17">
        <v>160751.56580420499</v>
      </c>
      <c r="M1089" s="17">
        <v>81331.745087435396</v>
      </c>
      <c r="N1089" s="17">
        <v>79419.820716769202</v>
      </c>
      <c r="O1089" s="19">
        <f t="shared" si="356"/>
        <v>1728841.4341957951</v>
      </c>
      <c r="P1089" s="21">
        <f t="shared" si="357"/>
        <v>4.0087919374665208</v>
      </c>
      <c r="Q1089" s="17">
        <v>1716503</v>
      </c>
      <c r="R1089" s="17">
        <v>29153</v>
      </c>
      <c r="S1089" s="19">
        <f t="shared" si="358"/>
        <v>1745656</v>
      </c>
      <c r="T1089" s="20">
        <f t="shared" si="359"/>
        <v>0.01</v>
      </c>
      <c r="U1089" s="19">
        <f t="shared" si="360"/>
        <v>17632.888888888891</v>
      </c>
      <c r="V1089" s="17">
        <v>17633</v>
      </c>
      <c r="W1089" s="19">
        <f t="shared" si="361"/>
        <v>-0.11111111110949423</v>
      </c>
      <c r="X1089" s="19">
        <f t="shared" si="362"/>
        <v>185337</v>
      </c>
      <c r="Y1089" s="17">
        <v>173090</v>
      </c>
      <c r="Z1089" s="17">
        <v>12247</v>
      </c>
      <c r="AA1089" s="19">
        <f t="shared" si="363"/>
        <v>167704</v>
      </c>
      <c r="AB1089" s="17">
        <v>1745656</v>
      </c>
      <c r="AC1089" s="27">
        <v>43.277999999999999</v>
      </c>
      <c r="AD1089" s="27">
        <v>42.83775</v>
      </c>
      <c r="AE1089" s="22">
        <f t="shared" si="364"/>
        <v>40750.412895168396</v>
      </c>
      <c r="AF1089" s="23">
        <f t="shared" si="365"/>
        <v>1</v>
      </c>
      <c r="AG1089" s="23">
        <f t="shared" si="366"/>
        <v>0</v>
      </c>
      <c r="AH1089" s="17">
        <v>1438844.9279620701</v>
      </c>
      <c r="AI1089" s="24">
        <f t="shared" si="367"/>
        <v>0.82424310858615335</v>
      </c>
      <c r="AJ1089" s="25">
        <v>433727183.041475</v>
      </c>
      <c r="AK1089" s="24">
        <f t="shared" si="368"/>
        <v>2.2759882774186987E-2</v>
      </c>
      <c r="AL1089" s="22">
        <f t="shared" si="369"/>
        <v>27045.424224663871</v>
      </c>
      <c r="AM1089" s="22">
        <f t="shared" si="370"/>
        <v>40750.412895168396</v>
      </c>
      <c r="AN1089" s="22">
        <f t="shared" si="371"/>
        <v>-13704.988670504525</v>
      </c>
      <c r="AO1089" s="26" t="str">
        <f t="shared" si="372"/>
        <v>YES</v>
      </c>
      <c r="AP1089" s="26" t="str">
        <f t="shared" si="373"/>
        <v>live (zero-fee)</v>
      </c>
      <c r="AQ1089" s="28">
        <v>148</v>
      </c>
      <c r="AR1089" s="28">
        <v>113</v>
      </c>
    </row>
    <row r="1090" spans="1:44" x14ac:dyDescent="0.25">
      <c r="A1090" s="43">
        <v>46151</v>
      </c>
      <c r="B1090" s="17">
        <v>2588102509.4899998</v>
      </c>
      <c r="C1090" s="17">
        <v>310968363.07999998</v>
      </c>
      <c r="D1090" s="17">
        <v>71886076</v>
      </c>
      <c r="E1090" s="19">
        <f t="shared" si="352"/>
        <v>2899070872.5699997</v>
      </c>
      <c r="F1090" s="19">
        <f t="shared" si="353"/>
        <v>2970956948.5699997</v>
      </c>
      <c r="G1090" s="20">
        <f t="shared" si="354"/>
        <v>0.1072648364764982</v>
      </c>
      <c r="H1090" s="17">
        <v>1118269</v>
      </c>
      <c r="I1090" s="17">
        <v>36744</v>
      </c>
      <c r="J1090" s="17">
        <v>10440</v>
      </c>
      <c r="K1090" s="19">
        <f t="shared" si="355"/>
        <v>1155013</v>
      </c>
      <c r="L1090" s="17">
        <v>27742.223575765001</v>
      </c>
      <c r="M1090" s="17">
        <v>14300.5523681985</v>
      </c>
      <c r="N1090" s="17">
        <v>13441.6712075665</v>
      </c>
      <c r="O1090" s="19">
        <f t="shared" si="356"/>
        <v>1090526.776424235</v>
      </c>
      <c r="P1090" s="21">
        <f t="shared" si="357"/>
        <v>4.2136150806450452</v>
      </c>
      <c r="Q1090" s="17">
        <v>1004023</v>
      </c>
      <c r="R1090" s="17">
        <v>29565</v>
      </c>
      <c r="S1090" s="19">
        <f t="shared" si="358"/>
        <v>1033588</v>
      </c>
      <c r="T1090" s="20">
        <f t="shared" si="359"/>
        <v>0.01</v>
      </c>
      <c r="U1090" s="19">
        <f t="shared" si="360"/>
        <v>10440.282828282829</v>
      </c>
      <c r="V1090" s="17">
        <v>10440</v>
      </c>
      <c r="W1090" s="19">
        <f t="shared" si="361"/>
        <v>0.28282828282863193</v>
      </c>
      <c r="X1090" s="19">
        <f t="shared" si="362"/>
        <v>121425</v>
      </c>
      <c r="Y1090" s="17">
        <v>114246</v>
      </c>
      <c r="Z1090" s="17">
        <v>7179</v>
      </c>
      <c r="AA1090" s="19">
        <f t="shared" si="363"/>
        <v>110985</v>
      </c>
      <c r="AB1090" s="17">
        <v>1033588</v>
      </c>
      <c r="AC1090" s="27">
        <v>42.9</v>
      </c>
      <c r="AD1090" s="27">
        <v>43.274250000000002</v>
      </c>
      <c r="AE1090" s="22">
        <f t="shared" si="364"/>
        <v>23884.596497917351</v>
      </c>
      <c r="AF1090" s="23">
        <f t="shared" si="365"/>
        <v>0</v>
      </c>
      <c r="AG1090" s="23">
        <f t="shared" si="366"/>
        <v>0</v>
      </c>
      <c r="AH1090" s="17">
        <v>869867.76088190102</v>
      </c>
      <c r="AI1090" s="24">
        <f t="shared" si="367"/>
        <v>0.84160009682958881</v>
      </c>
      <c r="AJ1090" s="25">
        <v>433881949.78801799</v>
      </c>
      <c r="AK1090" s="24">
        <f t="shared" si="368"/>
        <v>2.2755823159371153E-2</v>
      </c>
      <c r="AL1090" s="22">
        <f t="shared" si="369"/>
        <v>27050.249099778877</v>
      </c>
      <c r="AM1090" s="22">
        <f t="shared" si="370"/>
        <v>23884.596497917351</v>
      </c>
      <c r="AN1090" s="22">
        <f t="shared" si="371"/>
        <v>3165.6526018615259</v>
      </c>
      <c r="AO1090" s="26" t="str">
        <f t="shared" si="372"/>
        <v>YES</v>
      </c>
      <c r="AP1090" s="26" t="str">
        <f t="shared" si="373"/>
        <v>live (zero-fee)</v>
      </c>
      <c r="AQ1090" s="28">
        <v>148</v>
      </c>
      <c r="AR1090" s="28">
        <v>113</v>
      </c>
    </row>
    <row r="1091" spans="1:44" x14ac:dyDescent="0.25">
      <c r="A1091" s="43">
        <v>46152</v>
      </c>
      <c r="B1091" s="17">
        <v>3790978434.3800001</v>
      </c>
      <c r="C1091" s="17">
        <v>834468766.21000004</v>
      </c>
      <c r="D1091" s="17">
        <v>76297993</v>
      </c>
      <c r="E1091" s="19">
        <f t="shared" si="352"/>
        <v>4625447200.5900002</v>
      </c>
      <c r="F1091" s="19">
        <f t="shared" si="353"/>
        <v>4701745193.5900002</v>
      </c>
      <c r="G1091" s="20">
        <f t="shared" si="354"/>
        <v>0.18040823514395735</v>
      </c>
      <c r="H1091" s="17">
        <v>1623984</v>
      </c>
      <c r="I1091" s="17">
        <v>37280</v>
      </c>
      <c r="J1091" s="17">
        <v>15228</v>
      </c>
      <c r="K1091" s="19">
        <f t="shared" si="355"/>
        <v>1661264</v>
      </c>
      <c r="L1091" s="17">
        <v>66375.850987617407</v>
      </c>
      <c r="M1091" s="17">
        <v>34322.265338499703</v>
      </c>
      <c r="N1091" s="17">
        <v>32053.585649117798</v>
      </c>
      <c r="O1091" s="19">
        <f t="shared" si="356"/>
        <v>1557608.1490123826</v>
      </c>
      <c r="P1091" s="21">
        <f t="shared" si="357"/>
        <v>4.1087233176706883</v>
      </c>
      <c r="Q1091" s="17">
        <v>1477862</v>
      </c>
      <c r="R1091" s="17">
        <v>29726</v>
      </c>
      <c r="S1091" s="19">
        <f t="shared" si="358"/>
        <v>1507588</v>
      </c>
      <c r="T1091" s="20">
        <f t="shared" si="359"/>
        <v>0.01</v>
      </c>
      <c r="U1091" s="19">
        <f t="shared" si="360"/>
        <v>15228.161616161617</v>
      </c>
      <c r="V1091" s="17">
        <v>15228</v>
      </c>
      <c r="W1091" s="19">
        <f t="shared" si="361"/>
        <v>0.16161616161662096</v>
      </c>
      <c r="X1091" s="19">
        <f t="shared" si="362"/>
        <v>153675</v>
      </c>
      <c r="Y1091" s="17">
        <v>146122</v>
      </c>
      <c r="Z1091" s="17">
        <v>7553</v>
      </c>
      <c r="AA1091" s="19">
        <f t="shared" si="363"/>
        <v>138447</v>
      </c>
      <c r="AB1091" s="17">
        <v>1507588</v>
      </c>
      <c r="AC1091" s="27">
        <v>43.021000000000001</v>
      </c>
      <c r="AD1091" s="27">
        <v>42.963999999999999</v>
      </c>
      <c r="AE1091" s="22">
        <f t="shared" si="364"/>
        <v>35089.563355367289</v>
      </c>
      <c r="AF1091" s="23">
        <f t="shared" si="365"/>
        <v>1</v>
      </c>
      <c r="AG1091" s="23">
        <f t="shared" si="366"/>
        <v>0</v>
      </c>
      <c r="AH1091" s="17">
        <v>1225794.4749851199</v>
      </c>
      <c r="AI1091" s="24">
        <f t="shared" si="367"/>
        <v>0.81308319977680898</v>
      </c>
      <c r="AJ1091" s="25">
        <v>434036716.53456199</v>
      </c>
      <c r="AK1091" s="24">
        <f t="shared" si="368"/>
        <v>2.2751765716086086E-2</v>
      </c>
      <c r="AL1091" s="22">
        <f t="shared" si="369"/>
        <v>27055.073114448282</v>
      </c>
      <c r="AM1091" s="22">
        <f t="shared" si="370"/>
        <v>35089.563355367289</v>
      </c>
      <c r="AN1091" s="22">
        <f t="shared" si="371"/>
        <v>-8034.4902409190072</v>
      </c>
      <c r="AO1091" s="26" t="str">
        <f t="shared" si="372"/>
        <v>YES</v>
      </c>
      <c r="AP1091" s="26" t="str">
        <f t="shared" si="373"/>
        <v>live (zero-fee)</v>
      </c>
      <c r="AQ1091" s="28">
        <v>148</v>
      </c>
      <c r="AR1091" s="28">
        <v>113</v>
      </c>
    </row>
    <row r="1092" spans="1:44" x14ac:dyDescent="0.25">
      <c r="A1092" s="43">
        <v>46153</v>
      </c>
      <c r="B1092" s="17">
        <v>4437432025.8000002</v>
      </c>
      <c r="C1092" s="17">
        <v>2547098867.0500002</v>
      </c>
      <c r="D1092" s="17">
        <v>94198406</v>
      </c>
      <c r="E1092" s="19">
        <f t="shared" si="352"/>
        <v>6984530892.8500004</v>
      </c>
      <c r="F1092" s="19">
        <f t="shared" si="353"/>
        <v>7078729298.8500004</v>
      </c>
      <c r="G1092" s="20">
        <f t="shared" si="354"/>
        <v>0.36467715672321555</v>
      </c>
      <c r="H1092" s="17">
        <v>1955647</v>
      </c>
      <c r="I1092" s="17">
        <v>44212</v>
      </c>
      <c r="J1092" s="17">
        <v>18271</v>
      </c>
      <c r="K1092" s="19">
        <f t="shared" si="355"/>
        <v>1999859</v>
      </c>
      <c r="L1092" s="17">
        <v>183859.498767802</v>
      </c>
      <c r="M1092" s="17">
        <v>92969.763827989605</v>
      </c>
      <c r="N1092" s="17">
        <v>90889.734939812799</v>
      </c>
      <c r="O1092" s="19">
        <f t="shared" si="356"/>
        <v>1771787.501232198</v>
      </c>
      <c r="P1092" s="21">
        <f t="shared" si="357"/>
        <v>3.9928217287176859</v>
      </c>
      <c r="Q1092" s="17">
        <v>1775834</v>
      </c>
      <c r="R1092" s="17">
        <v>32988</v>
      </c>
      <c r="S1092" s="19">
        <f t="shared" si="358"/>
        <v>1808822</v>
      </c>
      <c r="T1092" s="20">
        <f t="shared" si="359"/>
        <v>0.01</v>
      </c>
      <c r="U1092" s="19">
        <f t="shared" si="360"/>
        <v>18270.929292929293</v>
      </c>
      <c r="V1092" s="17">
        <v>18271</v>
      </c>
      <c r="W1092" s="19">
        <f t="shared" si="361"/>
        <v>-7.0707070706703234E-2</v>
      </c>
      <c r="X1092" s="19">
        <f t="shared" si="362"/>
        <v>191036</v>
      </c>
      <c r="Y1092" s="17">
        <v>179813</v>
      </c>
      <c r="Z1092" s="17">
        <v>11223</v>
      </c>
      <c r="AA1092" s="19">
        <f t="shared" si="363"/>
        <v>172765</v>
      </c>
      <c r="AB1092" s="17">
        <v>1808822</v>
      </c>
      <c r="AC1092" s="27">
        <v>42.018000000000001</v>
      </c>
      <c r="AD1092" s="27">
        <v>42.263249999999999</v>
      </c>
      <c r="AE1092" s="22">
        <f t="shared" si="364"/>
        <v>42798.932879037937</v>
      </c>
      <c r="AF1092" s="23">
        <f t="shared" si="365"/>
        <v>1</v>
      </c>
      <c r="AG1092" s="23">
        <f t="shared" si="366"/>
        <v>0</v>
      </c>
      <c r="AH1092" s="17">
        <v>1525446.6201529501</v>
      </c>
      <c r="AI1092" s="24">
        <f t="shared" si="367"/>
        <v>0.84333705591426356</v>
      </c>
      <c r="AJ1092" s="25">
        <v>434191483.281106</v>
      </c>
      <c r="AK1092" s="24">
        <f t="shared" si="368"/>
        <v>2.2747710442396558E-2</v>
      </c>
      <c r="AL1092" s="22">
        <f t="shared" si="369"/>
        <v>27059.896269132234</v>
      </c>
      <c r="AM1092" s="22">
        <f t="shared" si="370"/>
        <v>42798.932879037937</v>
      </c>
      <c r="AN1092" s="22">
        <f t="shared" si="371"/>
        <v>-15739.036609905703</v>
      </c>
      <c r="AO1092" s="26" t="str">
        <f t="shared" si="372"/>
        <v>YES</v>
      </c>
      <c r="AP1092" s="26" t="str">
        <f t="shared" si="373"/>
        <v>live (zero-fee)</v>
      </c>
      <c r="AQ1092" s="28">
        <v>148</v>
      </c>
      <c r="AR1092" s="28">
        <v>113</v>
      </c>
    </row>
    <row r="1093" spans="1:44" x14ac:dyDescent="0.25">
      <c r="A1093" s="43">
        <v>46154</v>
      </c>
      <c r="B1093" s="17">
        <v>3850095832.77</v>
      </c>
      <c r="C1093" s="17">
        <v>2481041310.3699999</v>
      </c>
      <c r="D1093" s="17">
        <v>98551144</v>
      </c>
      <c r="E1093" s="19">
        <f t="shared" ref="E1093:E1101" si="374">B1093+C1093</f>
        <v>6331137143.1399994</v>
      </c>
      <c r="F1093" s="19">
        <f t="shared" ref="F1093:F1156" si="375">E1093+D1093</f>
        <v>6429688287.1399994</v>
      </c>
      <c r="G1093" s="20">
        <f t="shared" ref="G1093:G1101" si="376">IFERROR(C1093/E1093,0)</f>
        <v>0.3918792555391557</v>
      </c>
      <c r="H1093" s="17">
        <v>1858866</v>
      </c>
      <c r="I1093" s="17">
        <v>47865</v>
      </c>
      <c r="J1093" s="17">
        <v>17341</v>
      </c>
      <c r="K1093" s="19">
        <f t="shared" ref="K1093:K1101" si="377">H1093+I1093</f>
        <v>1906731</v>
      </c>
      <c r="L1093" s="17">
        <v>177332.28815834501</v>
      </c>
      <c r="M1093" s="17">
        <v>89372.786814998297</v>
      </c>
      <c r="N1093" s="17">
        <v>87959.501343346506</v>
      </c>
      <c r="O1093" s="19">
        <f t="shared" ref="O1093:O1101" si="378">IF(H1093=0,0,H1093-L1093)</f>
        <v>1681533.711841655</v>
      </c>
      <c r="P1093" s="21">
        <f t="shared" ref="P1093:P1156" si="379">IF(B1093=0,0,O1093/B1093*10000)</f>
        <v>4.3675113162880788</v>
      </c>
      <c r="Q1093" s="17">
        <v>1679189</v>
      </c>
      <c r="R1093" s="17">
        <v>37575</v>
      </c>
      <c r="S1093" s="19">
        <f t="shared" ref="S1093:S1156" si="380">Q1093+R1093</f>
        <v>1716764</v>
      </c>
      <c r="T1093" s="20">
        <f t="shared" ref="T1093:T1101" si="381">IF(A1093&lt;HlpChangeDate,HlpSharePre,HlpSharePost)</f>
        <v>0.01</v>
      </c>
      <c r="U1093" s="19">
        <f t="shared" ref="U1093:U1156" si="382">S1093*T1093/(1-T1093)</f>
        <v>17341.050505050505</v>
      </c>
      <c r="V1093" s="17">
        <v>17341</v>
      </c>
      <c r="W1093" s="19">
        <f t="shared" ref="W1093:W1156" si="383">U1093-V1093</f>
        <v>5.0505050505307736E-2</v>
      </c>
      <c r="X1093" s="19">
        <f t="shared" ref="X1093:X1156" si="384">Y1093+Z1093</f>
        <v>189968</v>
      </c>
      <c r="Y1093" s="17">
        <v>179678</v>
      </c>
      <c r="Z1093" s="17">
        <v>10290</v>
      </c>
      <c r="AA1093" s="19">
        <f t="shared" ref="AA1093:AA1101" si="385">X1093-V1093</f>
        <v>172627</v>
      </c>
      <c r="AB1093" s="17">
        <v>1716764</v>
      </c>
      <c r="AC1093" s="27">
        <v>40.241</v>
      </c>
      <c r="AD1093" s="27">
        <v>41.03125</v>
      </c>
      <c r="AE1093" s="22">
        <f t="shared" ref="AE1093:AE1156" si="386">IFERROR(AB1093/AD1093,0)</f>
        <v>41840.402132520947</v>
      </c>
      <c r="AF1093" s="23">
        <f t="shared" ref="AF1093:AF1101" si="387">K1093-S1093-X1093</f>
        <v>-1</v>
      </c>
      <c r="AG1093" s="23">
        <f t="shared" ref="AG1093:AG1101" si="388">S1093-AB1093</f>
        <v>0</v>
      </c>
      <c r="AH1093" s="17">
        <v>1390796.01087308</v>
      </c>
      <c r="AI1093" s="24">
        <f t="shared" ref="AI1093:AI1156" si="389">IFERROR(AH1093/S1093,0)</f>
        <v>0.81012650013227216</v>
      </c>
      <c r="AJ1093" s="25">
        <v>434346250.02765</v>
      </c>
      <c r="AK1093" s="24">
        <f t="shared" ref="AK1093:AK1156" si="390">IF(AJ1093&gt;0,AprCoef/SQRT(AJ1093),0)</f>
        <v>2.2743657336369703E-2</v>
      </c>
      <c r="AL1093" s="22">
        <f t="shared" ref="AL1093:AL1156" si="391">AJ1093*AK1093/365</f>
        <v>27064.718564290499</v>
      </c>
      <c r="AM1093" s="22">
        <f t="shared" ref="AM1093:AM1101" si="392">AE1093</f>
        <v>41840.402132520947</v>
      </c>
      <c r="AN1093" s="22">
        <f t="shared" ref="AN1093:AN1156" si="393">AL1093-AM1093</f>
        <v>-14775.683568230448</v>
      </c>
      <c r="AO1093" s="26" t="str">
        <f t="shared" ref="AO1093:AO1101" si="394">IF(A1093&gt;=Hip3LaunchDate,"YES","")</f>
        <v>YES</v>
      </c>
      <c r="AP1093" s="26" t="str">
        <f t="shared" ref="AP1093:AP1101" si="395">IF(A1093&lt;Hip4LaunchDate,"pre-launch","live (zero-fee)")</f>
        <v>live (zero-fee)</v>
      </c>
      <c r="AQ1093" s="28">
        <v>148</v>
      </c>
      <c r="AR1093" s="28">
        <v>113</v>
      </c>
    </row>
    <row r="1094" spans="1:44" x14ac:dyDescent="0.25">
      <c r="A1094" s="43">
        <v>46155</v>
      </c>
      <c r="B1094" s="17">
        <v>4167182327.9400001</v>
      </c>
      <c r="C1094" s="17">
        <v>2370813929.3400002</v>
      </c>
      <c r="D1094" s="17">
        <v>111453205</v>
      </c>
      <c r="E1094" s="19">
        <f t="shared" si="374"/>
        <v>6537996257.2800007</v>
      </c>
      <c r="F1094" s="19">
        <f t="shared" si="375"/>
        <v>6649449462.2800007</v>
      </c>
      <c r="G1094" s="20">
        <f t="shared" si="376"/>
        <v>0.36262087588381836</v>
      </c>
      <c r="H1094" s="17">
        <v>1905818</v>
      </c>
      <c r="I1094" s="17">
        <v>52693</v>
      </c>
      <c r="J1094" s="17">
        <v>17797</v>
      </c>
      <c r="K1094" s="19">
        <f t="shared" si="377"/>
        <v>1958511</v>
      </c>
      <c r="L1094" s="17">
        <v>165515.360230811</v>
      </c>
      <c r="M1094" s="17">
        <v>83700.845458729294</v>
      </c>
      <c r="N1094" s="17">
        <v>81814.514772081995</v>
      </c>
      <c r="O1094" s="19">
        <f t="shared" si="378"/>
        <v>1740302.6397691891</v>
      </c>
      <c r="P1094" s="21">
        <f t="shared" si="379"/>
        <v>4.1762094931648654</v>
      </c>
      <c r="Q1094" s="17">
        <v>1719687</v>
      </c>
      <c r="R1094" s="17">
        <v>41602</v>
      </c>
      <c r="S1094" s="19">
        <f t="shared" si="380"/>
        <v>1761289</v>
      </c>
      <c r="T1094" s="20">
        <f t="shared" si="381"/>
        <v>0.01</v>
      </c>
      <c r="U1094" s="19">
        <f t="shared" si="382"/>
        <v>17790.797979797979</v>
      </c>
      <c r="V1094" s="17">
        <v>17797</v>
      </c>
      <c r="W1094" s="19">
        <f t="shared" si="383"/>
        <v>-6.2020202020212309</v>
      </c>
      <c r="X1094" s="19">
        <f t="shared" si="384"/>
        <v>197223</v>
      </c>
      <c r="Y1094" s="17">
        <v>186131</v>
      </c>
      <c r="Z1094" s="17">
        <v>11092</v>
      </c>
      <c r="AA1094" s="19">
        <f t="shared" si="385"/>
        <v>179426</v>
      </c>
      <c r="AB1094" s="17">
        <v>1761289</v>
      </c>
      <c r="AC1094" s="27">
        <v>38.79</v>
      </c>
      <c r="AD1094" s="27">
        <v>39.591250000000002</v>
      </c>
      <c r="AE1094" s="22">
        <f t="shared" si="386"/>
        <v>44486.824740315089</v>
      </c>
      <c r="AF1094" s="23">
        <f t="shared" si="387"/>
        <v>-1</v>
      </c>
      <c r="AG1094" s="23">
        <f t="shared" si="388"/>
        <v>0</v>
      </c>
      <c r="AH1094" s="17">
        <v>1501373.5393578999</v>
      </c>
      <c r="AI1094" s="24">
        <f t="shared" si="389"/>
        <v>0.85242884010398057</v>
      </c>
      <c r="AJ1094" s="25">
        <v>434501016.774194</v>
      </c>
      <c r="AK1094" s="24">
        <f t="shared" si="390"/>
        <v>2.2739606396075085E-2</v>
      </c>
      <c r="AL1094" s="22">
        <f t="shared" si="391"/>
        <v>27069.54000038244</v>
      </c>
      <c r="AM1094" s="22">
        <f t="shared" si="392"/>
        <v>44486.824740315089</v>
      </c>
      <c r="AN1094" s="22">
        <f t="shared" si="393"/>
        <v>-17417.284739932649</v>
      </c>
      <c r="AO1094" s="26" t="str">
        <f t="shared" si="394"/>
        <v>YES</v>
      </c>
      <c r="AP1094" s="26" t="str">
        <f t="shared" si="395"/>
        <v>live (zero-fee)</v>
      </c>
      <c r="AQ1094" s="28">
        <v>148</v>
      </c>
      <c r="AR1094" s="28">
        <v>113</v>
      </c>
    </row>
    <row r="1095" spans="1:44" x14ac:dyDescent="0.25">
      <c r="A1095" s="43">
        <v>46156</v>
      </c>
      <c r="B1095" s="17">
        <v>5315894261.5799999</v>
      </c>
      <c r="C1095" s="17">
        <v>2768265128.04</v>
      </c>
      <c r="D1095" s="17">
        <v>208016733</v>
      </c>
      <c r="E1095" s="19">
        <f t="shared" si="374"/>
        <v>8084159389.6199999</v>
      </c>
      <c r="F1095" s="19">
        <f t="shared" si="375"/>
        <v>8292176122.6199999</v>
      </c>
      <c r="G1095" s="20">
        <f t="shared" si="376"/>
        <v>0.34243079516646241</v>
      </c>
      <c r="H1095" s="17">
        <v>2438921</v>
      </c>
      <c r="I1095" s="17">
        <v>103348</v>
      </c>
      <c r="J1095" s="17">
        <v>23169</v>
      </c>
      <c r="K1095" s="19">
        <f t="shared" si="377"/>
        <v>2542269</v>
      </c>
      <c r="L1095" s="17">
        <v>185423.623740874</v>
      </c>
      <c r="M1095" s="17">
        <v>93711.670567558307</v>
      </c>
      <c r="N1095" s="17">
        <v>91711.953173315793</v>
      </c>
      <c r="O1095" s="19">
        <f t="shared" si="378"/>
        <v>2253497.3762591258</v>
      </c>
      <c r="P1095" s="21">
        <f t="shared" si="379"/>
        <v>4.2391689250593503</v>
      </c>
      <c r="Q1095" s="17">
        <v>2203452</v>
      </c>
      <c r="R1095" s="17">
        <v>90313</v>
      </c>
      <c r="S1095" s="19">
        <f t="shared" si="380"/>
        <v>2293765</v>
      </c>
      <c r="T1095" s="20">
        <f t="shared" si="381"/>
        <v>0.01</v>
      </c>
      <c r="U1095" s="19">
        <f t="shared" si="382"/>
        <v>23169.343434343435</v>
      </c>
      <c r="V1095" s="17">
        <v>23169</v>
      </c>
      <c r="W1095" s="19">
        <f t="shared" si="383"/>
        <v>0.34343434343463741</v>
      </c>
      <c r="X1095" s="19">
        <f t="shared" si="384"/>
        <v>248504</v>
      </c>
      <c r="Y1095" s="17">
        <v>235469</v>
      </c>
      <c r="Z1095" s="17">
        <v>13035</v>
      </c>
      <c r="AA1095" s="19">
        <f t="shared" si="385"/>
        <v>225335</v>
      </c>
      <c r="AB1095" s="17">
        <v>2293765</v>
      </c>
      <c r="AC1095" s="27">
        <v>44.161000000000001</v>
      </c>
      <c r="AD1095" s="27">
        <v>41.472499999999997</v>
      </c>
      <c r="AE1095" s="22">
        <f t="shared" si="386"/>
        <v>55308.095726083557</v>
      </c>
      <c r="AF1095" s="23">
        <f t="shared" si="387"/>
        <v>0</v>
      </c>
      <c r="AG1095" s="23">
        <f t="shared" si="388"/>
        <v>0</v>
      </c>
      <c r="AH1095" s="17">
        <v>1851246.69610095</v>
      </c>
      <c r="AI1095" s="24">
        <f t="shared" si="389"/>
        <v>0.8070777503802482</v>
      </c>
      <c r="AJ1095" s="25">
        <v>434655783.52073699</v>
      </c>
      <c r="AK1095" s="24">
        <f t="shared" si="390"/>
        <v>2.2735557619584693E-2</v>
      </c>
      <c r="AL1095" s="22">
        <f t="shared" si="391"/>
        <v>27074.360577866977</v>
      </c>
      <c r="AM1095" s="22">
        <f t="shared" si="392"/>
        <v>55308.095726083557</v>
      </c>
      <c r="AN1095" s="22">
        <f t="shared" si="393"/>
        <v>-28233.73514821658</v>
      </c>
      <c r="AO1095" s="26" t="str">
        <f t="shared" si="394"/>
        <v>YES</v>
      </c>
      <c r="AP1095" s="26" t="str">
        <f t="shared" si="395"/>
        <v>live (zero-fee)</v>
      </c>
      <c r="AQ1095" s="28">
        <v>149</v>
      </c>
      <c r="AR1095" s="28">
        <v>113</v>
      </c>
    </row>
    <row r="1096" spans="1:44" x14ac:dyDescent="0.25">
      <c r="A1096" s="43">
        <v>46157</v>
      </c>
      <c r="B1096" s="17">
        <v>5178753406.46</v>
      </c>
      <c r="C1096" s="17">
        <v>2956002966.25</v>
      </c>
      <c r="D1096" s="17">
        <v>192791720</v>
      </c>
      <c r="E1096" s="19">
        <f t="shared" si="374"/>
        <v>8134756372.71</v>
      </c>
      <c r="F1096" s="19">
        <f t="shared" si="375"/>
        <v>8327548092.71</v>
      </c>
      <c r="G1096" s="20">
        <f t="shared" si="376"/>
        <v>0.36337940939038127</v>
      </c>
      <c r="H1096" s="17">
        <v>2346261</v>
      </c>
      <c r="I1096" s="17">
        <v>94867</v>
      </c>
      <c r="J1096" s="17">
        <v>22443</v>
      </c>
      <c r="K1096" s="19">
        <f t="shared" si="377"/>
        <v>2441128</v>
      </c>
      <c r="L1096" s="17">
        <v>213950.408291617</v>
      </c>
      <c r="M1096" s="17">
        <v>108797.52320265</v>
      </c>
      <c r="N1096" s="17">
        <v>105152.885088967</v>
      </c>
      <c r="O1096" s="19">
        <f t="shared" si="378"/>
        <v>2132310.5917083831</v>
      </c>
      <c r="P1096" s="21">
        <f t="shared" si="379"/>
        <v>4.1174205920840512</v>
      </c>
      <c r="Q1096" s="17">
        <v>2137741</v>
      </c>
      <c r="R1096" s="17">
        <v>84143</v>
      </c>
      <c r="S1096" s="19">
        <f t="shared" si="380"/>
        <v>2221884</v>
      </c>
      <c r="T1096" s="20">
        <f t="shared" si="381"/>
        <v>0.01</v>
      </c>
      <c r="U1096" s="19">
        <f t="shared" si="382"/>
        <v>22443.272727272728</v>
      </c>
      <c r="V1096" s="17">
        <v>22443</v>
      </c>
      <c r="W1096" s="19">
        <f t="shared" si="383"/>
        <v>0.27272727272793418</v>
      </c>
      <c r="X1096" s="19">
        <f t="shared" si="384"/>
        <v>219245</v>
      </c>
      <c r="Y1096" s="17">
        <v>208520</v>
      </c>
      <c r="Z1096" s="17">
        <v>10725</v>
      </c>
      <c r="AA1096" s="19">
        <f t="shared" si="385"/>
        <v>196802</v>
      </c>
      <c r="AB1096" s="17">
        <v>2221884</v>
      </c>
      <c r="AC1096" s="27">
        <v>44.179000000000002</v>
      </c>
      <c r="AD1096" s="27">
        <v>44.486499999999999</v>
      </c>
      <c r="AE1096" s="22">
        <f t="shared" si="386"/>
        <v>49945.129421285106</v>
      </c>
      <c r="AF1096" s="23">
        <f t="shared" si="387"/>
        <v>-1</v>
      </c>
      <c r="AG1096" s="23">
        <f t="shared" si="388"/>
        <v>0</v>
      </c>
      <c r="AH1096" s="17">
        <v>1821819.46313</v>
      </c>
      <c r="AI1096" s="24">
        <f t="shared" si="389"/>
        <v>0.81994355381739104</v>
      </c>
      <c r="AJ1096" s="25">
        <v>434810550.267281</v>
      </c>
      <c r="AK1096" s="24">
        <f t="shared" si="390"/>
        <v>2.2731511004972831E-2</v>
      </c>
      <c r="AL1096" s="22">
        <f t="shared" si="391"/>
        <v>27079.180297202714</v>
      </c>
      <c r="AM1096" s="22">
        <f t="shared" si="392"/>
        <v>49945.129421285106</v>
      </c>
      <c r="AN1096" s="22">
        <f t="shared" si="393"/>
        <v>-22865.949124082392</v>
      </c>
      <c r="AO1096" s="26" t="str">
        <f t="shared" si="394"/>
        <v>YES</v>
      </c>
      <c r="AP1096" s="26" t="str">
        <f t="shared" si="395"/>
        <v>live (zero-fee)</v>
      </c>
      <c r="AQ1096" s="28">
        <v>149</v>
      </c>
      <c r="AR1096" s="28">
        <v>113</v>
      </c>
    </row>
    <row r="1097" spans="1:44" x14ac:dyDescent="0.25">
      <c r="A1097" s="43">
        <v>46158</v>
      </c>
      <c r="B1097" s="17">
        <v>3179282899.5900002</v>
      </c>
      <c r="C1097" s="17">
        <v>302932910.19999999</v>
      </c>
      <c r="D1097" s="17">
        <v>127315216</v>
      </c>
      <c r="E1097" s="19">
        <f t="shared" si="374"/>
        <v>3482215809.79</v>
      </c>
      <c r="F1097" s="19">
        <f t="shared" si="375"/>
        <v>3609531025.79</v>
      </c>
      <c r="G1097" s="20">
        <f t="shared" si="376"/>
        <v>8.6994295226713356E-2</v>
      </c>
      <c r="H1097" s="17">
        <v>1282475</v>
      </c>
      <c r="I1097" s="17">
        <v>60919</v>
      </c>
      <c r="J1097" s="17">
        <v>12377</v>
      </c>
      <c r="K1097" s="19">
        <f t="shared" si="377"/>
        <v>1343394</v>
      </c>
      <c r="L1097" s="17">
        <v>34962.010818942203</v>
      </c>
      <c r="M1097" s="17">
        <v>18409.0829717544</v>
      </c>
      <c r="N1097" s="17">
        <v>16552.927847187799</v>
      </c>
      <c r="O1097" s="19">
        <f t="shared" si="378"/>
        <v>1247512.9891810578</v>
      </c>
      <c r="P1097" s="21">
        <f t="shared" si="379"/>
        <v>3.9238816694857097</v>
      </c>
      <c r="Q1097" s="17">
        <v>1170741</v>
      </c>
      <c r="R1097" s="17">
        <v>54626</v>
      </c>
      <c r="S1097" s="19">
        <f t="shared" si="380"/>
        <v>1225367</v>
      </c>
      <c r="T1097" s="20">
        <f t="shared" si="381"/>
        <v>0.01</v>
      </c>
      <c r="U1097" s="19">
        <f t="shared" si="382"/>
        <v>12377.444444444445</v>
      </c>
      <c r="V1097" s="17">
        <v>12377</v>
      </c>
      <c r="W1097" s="19">
        <f t="shared" si="383"/>
        <v>0.44444444444525288</v>
      </c>
      <c r="X1097" s="19">
        <f t="shared" si="384"/>
        <v>118028</v>
      </c>
      <c r="Y1097" s="17">
        <v>111734</v>
      </c>
      <c r="Z1097" s="17">
        <v>6294</v>
      </c>
      <c r="AA1097" s="19">
        <f t="shared" si="385"/>
        <v>105651</v>
      </c>
      <c r="AB1097" s="17">
        <v>1225367</v>
      </c>
      <c r="AC1097" s="27">
        <v>41.822000000000003</v>
      </c>
      <c r="AD1097" s="27">
        <v>42.655749999999998</v>
      </c>
      <c r="AE1097" s="22">
        <f t="shared" si="386"/>
        <v>28726.889106392457</v>
      </c>
      <c r="AF1097" s="23">
        <f t="shared" si="387"/>
        <v>-1</v>
      </c>
      <c r="AG1097" s="23">
        <f t="shared" si="388"/>
        <v>0</v>
      </c>
      <c r="AH1097" s="17">
        <v>1016347.27288008</v>
      </c>
      <c r="AI1097" s="24">
        <f t="shared" si="389"/>
        <v>0.82942275488084793</v>
      </c>
      <c r="AJ1097" s="25">
        <v>434965317.013825</v>
      </c>
      <c r="AK1097" s="24">
        <f t="shared" si="390"/>
        <v>2.2727466550316291E-2</v>
      </c>
      <c r="AL1097" s="22">
        <f t="shared" si="391"/>
        <v>27083.99915884775</v>
      </c>
      <c r="AM1097" s="22">
        <f t="shared" si="392"/>
        <v>28726.889106392457</v>
      </c>
      <c r="AN1097" s="22">
        <f t="shared" si="393"/>
        <v>-1642.889947544707</v>
      </c>
      <c r="AO1097" s="26" t="str">
        <f t="shared" si="394"/>
        <v>YES</v>
      </c>
      <c r="AP1097" s="26" t="str">
        <f t="shared" si="395"/>
        <v>live (zero-fee)</v>
      </c>
      <c r="AQ1097" s="28">
        <v>149</v>
      </c>
      <c r="AR1097" s="28">
        <v>113</v>
      </c>
    </row>
    <row r="1098" spans="1:44" x14ac:dyDescent="0.25">
      <c r="A1098" s="43">
        <v>46159</v>
      </c>
      <c r="B1098" s="17">
        <v>3483019195.6999998</v>
      </c>
      <c r="C1098" s="17">
        <v>480977985.01999998</v>
      </c>
      <c r="D1098" s="17">
        <v>150653145</v>
      </c>
      <c r="E1098" s="19">
        <f t="shared" si="374"/>
        <v>3963997180.7199998</v>
      </c>
      <c r="F1098" s="19">
        <f t="shared" si="375"/>
        <v>4114650325.7199998</v>
      </c>
      <c r="G1098" s="20">
        <f t="shared" si="376"/>
        <v>0.12133661127696303</v>
      </c>
      <c r="H1098" s="17">
        <v>1442833</v>
      </c>
      <c r="I1098" s="17">
        <v>74652</v>
      </c>
      <c r="J1098" s="17">
        <v>14000</v>
      </c>
      <c r="K1098" s="19">
        <f t="shared" si="377"/>
        <v>1517485</v>
      </c>
      <c r="L1098" s="17">
        <v>36601.662584273603</v>
      </c>
      <c r="M1098" s="17">
        <v>19923.126752449301</v>
      </c>
      <c r="N1098" s="17">
        <v>16678.5358318244</v>
      </c>
      <c r="O1098" s="19">
        <f t="shared" si="378"/>
        <v>1406231.3374157264</v>
      </c>
      <c r="P1098" s="21">
        <f t="shared" si="379"/>
        <v>4.0373918672392186</v>
      </c>
      <c r="Q1098" s="17">
        <v>1319876</v>
      </c>
      <c r="R1098" s="17">
        <v>66106</v>
      </c>
      <c r="S1098" s="19">
        <f t="shared" si="380"/>
        <v>1385982</v>
      </c>
      <c r="T1098" s="20">
        <f t="shared" si="381"/>
        <v>0.01</v>
      </c>
      <c r="U1098" s="19">
        <f t="shared" si="382"/>
        <v>13999.818181818182</v>
      </c>
      <c r="V1098" s="17">
        <v>14000</v>
      </c>
      <c r="W1098" s="19">
        <f t="shared" si="383"/>
        <v>-0.18181818181801646</v>
      </c>
      <c r="X1098" s="19">
        <f t="shared" si="384"/>
        <v>131503</v>
      </c>
      <c r="Y1098" s="17">
        <v>122957</v>
      </c>
      <c r="Z1098" s="17">
        <v>8546</v>
      </c>
      <c r="AA1098" s="19">
        <f t="shared" si="385"/>
        <v>117503</v>
      </c>
      <c r="AB1098" s="17">
        <v>1385982</v>
      </c>
      <c r="AC1098" s="27">
        <v>45.728000000000002</v>
      </c>
      <c r="AD1098" s="27">
        <v>44.049250000000001</v>
      </c>
      <c r="AE1098" s="22">
        <f t="shared" si="386"/>
        <v>31464.372265135047</v>
      </c>
      <c r="AF1098" s="23">
        <f t="shared" si="387"/>
        <v>0</v>
      </c>
      <c r="AG1098" s="23">
        <f t="shared" si="388"/>
        <v>0</v>
      </c>
      <c r="AH1098" s="17">
        <v>943146.34586405801</v>
      </c>
      <c r="AI1098" s="24">
        <f t="shared" si="389"/>
        <v>0.68048960654904467</v>
      </c>
      <c r="AJ1098" s="25">
        <v>435120083.760369</v>
      </c>
      <c r="AK1098" s="24">
        <f t="shared" si="390"/>
        <v>2.2723424253694231E-2</v>
      </c>
      <c r="AL1098" s="22">
        <f t="shared" si="391"/>
        <v>27088.817163259821</v>
      </c>
      <c r="AM1098" s="22">
        <f t="shared" si="392"/>
        <v>31464.372265135047</v>
      </c>
      <c r="AN1098" s="22">
        <f t="shared" si="393"/>
        <v>-4375.5551018752267</v>
      </c>
      <c r="AO1098" s="26" t="str">
        <f t="shared" si="394"/>
        <v>YES</v>
      </c>
      <c r="AP1098" s="26" t="str">
        <f t="shared" si="395"/>
        <v>live (zero-fee)</v>
      </c>
      <c r="AQ1098" s="28">
        <v>150</v>
      </c>
      <c r="AR1098" s="28">
        <v>114</v>
      </c>
    </row>
    <row r="1099" spans="1:44" x14ac:dyDescent="0.25">
      <c r="A1099" s="43">
        <v>46160</v>
      </c>
      <c r="B1099" s="17">
        <v>5881158113.5500002</v>
      </c>
      <c r="C1099" s="17">
        <v>3540504508.7199998</v>
      </c>
      <c r="D1099" s="17">
        <v>175295578</v>
      </c>
      <c r="E1099" s="19">
        <f t="shared" si="374"/>
        <v>9421662622.2700005</v>
      </c>
      <c r="F1099" s="19">
        <f t="shared" si="375"/>
        <v>9596958200.2700005</v>
      </c>
      <c r="G1099" s="20">
        <f t="shared" si="376"/>
        <v>0.37578341006939719</v>
      </c>
      <c r="H1099" s="17">
        <v>2398869</v>
      </c>
      <c r="I1099" s="17">
        <v>81857</v>
      </c>
      <c r="J1099" s="17">
        <v>22718</v>
      </c>
      <c r="K1099" s="19">
        <f t="shared" si="377"/>
        <v>2480726</v>
      </c>
      <c r="L1099" s="17">
        <v>232612.331376385</v>
      </c>
      <c r="M1099" s="17">
        <v>119126.655597454</v>
      </c>
      <c r="N1099" s="17">
        <v>113485.67577893101</v>
      </c>
      <c r="O1099" s="19">
        <f t="shared" si="378"/>
        <v>2166256.6686236151</v>
      </c>
      <c r="P1099" s="21">
        <f t="shared" si="379"/>
        <v>3.6833845082869461</v>
      </c>
      <c r="Q1099" s="17">
        <v>2178450</v>
      </c>
      <c r="R1099" s="17">
        <v>70649</v>
      </c>
      <c r="S1099" s="19">
        <f t="shared" si="380"/>
        <v>2249099</v>
      </c>
      <c r="T1099" s="20">
        <f t="shared" si="381"/>
        <v>0.01</v>
      </c>
      <c r="U1099" s="19">
        <f t="shared" si="382"/>
        <v>22718.171717171717</v>
      </c>
      <c r="V1099" s="17">
        <v>22718</v>
      </c>
      <c r="W1099" s="19">
        <f t="shared" si="383"/>
        <v>0.17171717171731871</v>
      </c>
      <c r="X1099" s="19">
        <f t="shared" si="384"/>
        <v>231627</v>
      </c>
      <c r="Y1099" s="17">
        <v>220419</v>
      </c>
      <c r="Z1099" s="17">
        <v>11208</v>
      </c>
      <c r="AA1099" s="19">
        <f t="shared" si="385"/>
        <v>208909</v>
      </c>
      <c r="AB1099" s="17">
        <v>2249099</v>
      </c>
      <c r="AC1099" s="27">
        <v>47.74</v>
      </c>
      <c r="AD1099" s="27">
        <v>46.40625</v>
      </c>
      <c r="AE1099" s="22">
        <f t="shared" si="386"/>
        <v>48465.432996632997</v>
      </c>
      <c r="AF1099" s="23">
        <f t="shared" si="387"/>
        <v>0</v>
      </c>
      <c r="AG1099" s="23">
        <f t="shared" si="388"/>
        <v>0</v>
      </c>
      <c r="AH1099" s="17">
        <v>2037760.7162468401</v>
      </c>
      <c r="AI1099" s="24">
        <f t="shared" si="389"/>
        <v>0.90603424582325642</v>
      </c>
      <c r="AJ1099" s="25">
        <v>435274850.50691301</v>
      </c>
      <c r="AK1099" s="24">
        <f t="shared" si="390"/>
        <v>2.2719384113188204E-2</v>
      </c>
      <c r="AL1099" s="22">
        <f t="shared" si="391"/>
        <v>27093.634310896246</v>
      </c>
      <c r="AM1099" s="22">
        <f t="shared" si="392"/>
        <v>48465.432996632997</v>
      </c>
      <c r="AN1099" s="22">
        <f t="shared" si="393"/>
        <v>-21371.79868573675</v>
      </c>
      <c r="AO1099" s="26" t="str">
        <f t="shared" si="394"/>
        <v>YES</v>
      </c>
      <c r="AP1099" s="26" t="str">
        <f t="shared" si="395"/>
        <v>live (zero-fee)</v>
      </c>
      <c r="AQ1099" s="28">
        <v>151</v>
      </c>
      <c r="AR1099" s="28">
        <v>115</v>
      </c>
    </row>
    <row r="1100" spans="1:44" x14ac:dyDescent="0.25">
      <c r="A1100" s="43">
        <v>46161</v>
      </c>
      <c r="B1100" s="18"/>
      <c r="C1100" s="18"/>
      <c r="D1100" s="17">
        <v>146149107</v>
      </c>
      <c r="E1100" s="19">
        <f t="shared" si="374"/>
        <v>0</v>
      </c>
      <c r="F1100" s="19">
        <f t="shared" si="375"/>
        <v>146149107</v>
      </c>
      <c r="G1100" s="20">
        <f t="shared" si="376"/>
        <v>0</v>
      </c>
      <c r="H1100" s="17">
        <v>1585955</v>
      </c>
      <c r="I1100" s="17">
        <v>71739</v>
      </c>
      <c r="J1100" s="17">
        <v>15309</v>
      </c>
      <c r="K1100" s="19">
        <f t="shared" si="377"/>
        <v>1657694</v>
      </c>
      <c r="L1100" s="17">
        <v>321900.42667133303</v>
      </c>
      <c r="M1100" s="17">
        <v>162505.71437458601</v>
      </c>
      <c r="N1100" s="17">
        <v>159394.71229674801</v>
      </c>
      <c r="O1100" s="19">
        <f t="shared" si="378"/>
        <v>1264054.5733286669</v>
      </c>
      <c r="P1100" s="21">
        <f t="shared" si="379"/>
        <v>0</v>
      </c>
      <c r="Q1100" s="17">
        <v>1451085</v>
      </c>
      <c r="R1100" s="17">
        <v>64462</v>
      </c>
      <c r="S1100" s="19">
        <f t="shared" si="380"/>
        <v>1515547</v>
      </c>
      <c r="T1100" s="20">
        <f t="shared" si="381"/>
        <v>0.01</v>
      </c>
      <c r="U1100" s="19">
        <f t="shared" si="382"/>
        <v>15308.555555555557</v>
      </c>
      <c r="V1100" s="17">
        <v>15309</v>
      </c>
      <c r="W1100" s="19">
        <f t="shared" si="383"/>
        <v>-0.44444444444343389</v>
      </c>
      <c r="X1100" s="19">
        <f t="shared" si="384"/>
        <v>142147</v>
      </c>
      <c r="Y1100" s="17">
        <v>134869</v>
      </c>
      <c r="Z1100" s="17">
        <v>7278</v>
      </c>
      <c r="AA1100" s="19">
        <f t="shared" si="385"/>
        <v>126838</v>
      </c>
      <c r="AB1100" s="17">
        <v>1515547</v>
      </c>
      <c r="AC1100" s="27">
        <v>48.029000000000003</v>
      </c>
      <c r="AD1100" s="27">
        <v>47.877499999999998</v>
      </c>
      <c r="AE1100" s="22">
        <f t="shared" si="386"/>
        <v>31654.681217690984</v>
      </c>
      <c r="AF1100" s="23">
        <f t="shared" si="387"/>
        <v>0</v>
      </c>
      <c r="AG1100" s="23">
        <f t="shared" si="388"/>
        <v>0</v>
      </c>
      <c r="AH1100" s="17">
        <v>1328879.7114059899</v>
      </c>
      <c r="AI1100" s="24">
        <f t="shared" si="389"/>
        <v>0.87683173890746369</v>
      </c>
      <c r="AJ1100" s="25">
        <v>435429617.253456</v>
      </c>
      <c r="AK1100" s="24">
        <f t="shared" si="390"/>
        <v>2.2715346126882155E-2</v>
      </c>
      <c r="AL1100" s="22">
        <f t="shared" si="391"/>
        <v>27098.450602213892</v>
      </c>
      <c r="AM1100" s="22">
        <f t="shared" si="392"/>
        <v>31654.681217690984</v>
      </c>
      <c r="AN1100" s="22">
        <f t="shared" si="393"/>
        <v>-4556.2306154770922</v>
      </c>
      <c r="AO1100" s="26" t="str">
        <f t="shared" si="394"/>
        <v>YES</v>
      </c>
      <c r="AP1100" s="26" t="str">
        <f t="shared" si="395"/>
        <v>live (zero-fee)</v>
      </c>
      <c r="AQ1100" s="28">
        <v>151</v>
      </c>
      <c r="AR1100" s="28">
        <v>115</v>
      </c>
    </row>
    <row r="1101" spans="1:44" x14ac:dyDescent="0.25">
      <c r="A1101" s="43">
        <v>46162</v>
      </c>
      <c r="B1101" s="18"/>
      <c r="C1101" s="18"/>
      <c r="D1101" s="18"/>
      <c r="E1101" s="19">
        <f t="shared" si="374"/>
        <v>0</v>
      </c>
      <c r="F1101" s="19">
        <f t="shared" si="375"/>
        <v>0</v>
      </c>
      <c r="G1101" s="20">
        <f t="shared" si="376"/>
        <v>0</v>
      </c>
      <c r="H1101" s="18"/>
      <c r="I1101" s="18"/>
      <c r="J1101" s="18"/>
      <c r="K1101" s="19">
        <f t="shared" si="377"/>
        <v>0</v>
      </c>
      <c r="L1101" s="17">
        <v>20072.965453498298</v>
      </c>
      <c r="M1101" s="17">
        <v>10144.171012422499</v>
      </c>
      <c r="N1101" s="17">
        <v>9928.79444107581</v>
      </c>
      <c r="O1101" s="19">
        <f t="shared" si="378"/>
        <v>0</v>
      </c>
      <c r="P1101" s="21">
        <f t="shared" si="379"/>
        <v>0</v>
      </c>
      <c r="Q1101" s="18"/>
      <c r="R1101" s="18"/>
      <c r="S1101" s="19">
        <f t="shared" si="380"/>
        <v>0</v>
      </c>
      <c r="T1101" s="20">
        <f t="shared" si="381"/>
        <v>0.01</v>
      </c>
      <c r="U1101" s="19">
        <f t="shared" si="382"/>
        <v>0</v>
      </c>
      <c r="V1101" s="18"/>
      <c r="W1101" s="19">
        <f t="shared" si="383"/>
        <v>0</v>
      </c>
      <c r="X1101" s="19">
        <f t="shared" si="384"/>
        <v>0</v>
      </c>
      <c r="Y1101" s="18"/>
      <c r="Z1101" s="18"/>
      <c r="AA1101" s="19">
        <f t="shared" si="385"/>
        <v>0</v>
      </c>
      <c r="AB1101" s="17">
        <v>0</v>
      </c>
      <c r="AC1101" s="27">
        <v>47.707000000000001</v>
      </c>
      <c r="AD1101" s="27">
        <v>47.725999999999999</v>
      </c>
      <c r="AE1101" s="22">
        <f t="shared" si="386"/>
        <v>0</v>
      </c>
      <c r="AF1101" s="23">
        <f t="shared" si="387"/>
        <v>0</v>
      </c>
      <c r="AG1101" s="23">
        <f t="shared" si="388"/>
        <v>0</v>
      </c>
      <c r="AH1101" s="17">
        <v>121523.704078198</v>
      </c>
      <c r="AI1101" s="24">
        <f t="shared" si="389"/>
        <v>0</v>
      </c>
      <c r="AJ1101" s="25">
        <v>435584384</v>
      </c>
      <c r="AK1101" s="24">
        <f t="shared" si="390"/>
        <v>2.2711310292862365E-2</v>
      </c>
      <c r="AL1101" s="22">
        <f t="shared" si="391"/>
        <v>27103.266037669349</v>
      </c>
      <c r="AM1101" s="22">
        <f t="shared" si="392"/>
        <v>0</v>
      </c>
      <c r="AN1101" s="22">
        <f t="shared" si="393"/>
        <v>27103.266037669349</v>
      </c>
      <c r="AO1101" s="26" t="str">
        <f t="shared" si="394"/>
        <v>YES</v>
      </c>
      <c r="AP1101" s="26" t="str">
        <f t="shared" si="395"/>
        <v>live (zero-fee)</v>
      </c>
      <c r="AQ1101" s="28">
        <v>134</v>
      </c>
      <c r="AR1101" s="28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4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9" width="18" customWidth="1"/>
  </cols>
  <sheetData>
    <row r="1" spans="1:9" ht="18" x14ac:dyDescent="0.25">
      <c r="A1" s="1" t="s">
        <v>112</v>
      </c>
    </row>
    <row r="2" spans="1:9" x14ac:dyDescent="0.25">
      <c r="A2" s="14" t="s">
        <v>113</v>
      </c>
    </row>
    <row r="4" spans="1:9" x14ac:dyDescent="0.25">
      <c r="A4" s="4" t="s">
        <v>114</v>
      </c>
    </row>
    <row r="5" spans="1:9" x14ac:dyDescent="0.25">
      <c r="A5" s="29" t="s">
        <v>115</v>
      </c>
      <c r="B5" s="29" t="s">
        <v>116</v>
      </c>
      <c r="C5" s="29" t="s">
        <v>117</v>
      </c>
      <c r="D5" s="29" t="s">
        <v>118</v>
      </c>
      <c r="E5" s="29" t="s">
        <v>119</v>
      </c>
      <c r="F5" s="29" t="s">
        <v>120</v>
      </c>
      <c r="G5" s="29" t="s">
        <v>121</v>
      </c>
      <c r="H5" s="29" t="s">
        <v>122</v>
      </c>
      <c r="I5" s="29" t="s">
        <v>123</v>
      </c>
    </row>
    <row r="6" spans="1:9" x14ac:dyDescent="0.25">
      <c r="A6" t="s">
        <v>124</v>
      </c>
      <c r="B6" t="s">
        <v>125</v>
      </c>
      <c r="C6" s="30">
        <v>1</v>
      </c>
      <c r="D6" s="30">
        <v>2</v>
      </c>
      <c r="E6" s="31">
        <v>0.5</v>
      </c>
      <c r="F6" t="s">
        <v>126</v>
      </c>
      <c r="H6" s="32">
        <f t="shared" ref="H6:H37" si="0">CoreBpsBlended*D6*GrowthModeFactor</f>
        <v>0.57940000000000003</v>
      </c>
      <c r="I6" s="32">
        <f t="shared" ref="I6:I37" si="1">CoreBpsBlended*D6</f>
        <v>5.7939999999999996</v>
      </c>
    </row>
    <row r="7" spans="1:9" x14ac:dyDescent="0.25">
      <c r="A7" t="s">
        <v>127</v>
      </c>
      <c r="B7" t="s">
        <v>128</v>
      </c>
      <c r="C7" s="30">
        <v>1</v>
      </c>
      <c r="D7" s="30">
        <v>2</v>
      </c>
      <c r="E7" s="31">
        <v>0.5</v>
      </c>
      <c r="F7" t="s">
        <v>129</v>
      </c>
      <c r="G7" s="33">
        <v>46049</v>
      </c>
      <c r="H7" s="32">
        <f t="shared" si="0"/>
        <v>0.57940000000000003</v>
      </c>
      <c r="I7" s="32">
        <f t="shared" si="1"/>
        <v>5.7939999999999996</v>
      </c>
    </row>
    <row r="8" spans="1:9" x14ac:dyDescent="0.25">
      <c r="A8" t="s">
        <v>130</v>
      </c>
      <c r="B8" t="s">
        <v>128</v>
      </c>
      <c r="C8" s="30">
        <v>1</v>
      </c>
      <c r="D8" s="30">
        <v>2</v>
      </c>
      <c r="E8" s="31">
        <v>0.5</v>
      </c>
      <c r="F8" t="s">
        <v>126</v>
      </c>
      <c r="H8" s="32">
        <f t="shared" si="0"/>
        <v>0.57940000000000003</v>
      </c>
      <c r="I8" s="32">
        <f t="shared" si="1"/>
        <v>5.7939999999999996</v>
      </c>
    </row>
    <row r="9" spans="1:9" x14ac:dyDescent="0.25">
      <c r="A9" t="s">
        <v>131</v>
      </c>
      <c r="B9" t="s">
        <v>128</v>
      </c>
      <c r="C9" s="30">
        <v>1</v>
      </c>
      <c r="D9" s="30">
        <v>2</v>
      </c>
      <c r="E9" s="31">
        <v>0.5</v>
      </c>
      <c r="F9" t="s">
        <v>129</v>
      </c>
      <c r="G9" s="33">
        <v>46141</v>
      </c>
      <c r="H9" s="32">
        <f t="shared" si="0"/>
        <v>0.57940000000000003</v>
      </c>
      <c r="I9" s="32">
        <f t="shared" si="1"/>
        <v>5.7939999999999996</v>
      </c>
    </row>
    <row r="10" spans="1:9" x14ac:dyDescent="0.25">
      <c r="A10" t="s">
        <v>132</v>
      </c>
      <c r="B10" t="s">
        <v>128</v>
      </c>
      <c r="C10" s="30">
        <v>1</v>
      </c>
      <c r="D10" s="30">
        <v>2</v>
      </c>
      <c r="E10" s="31">
        <v>0.5</v>
      </c>
      <c r="F10" t="s">
        <v>126</v>
      </c>
      <c r="H10" s="32">
        <f t="shared" si="0"/>
        <v>0.57940000000000003</v>
      </c>
      <c r="I10" s="32">
        <f t="shared" si="1"/>
        <v>5.7939999999999996</v>
      </c>
    </row>
    <row r="11" spans="1:9" x14ac:dyDescent="0.25">
      <c r="A11" t="s">
        <v>133</v>
      </c>
      <c r="B11" t="s">
        <v>128</v>
      </c>
      <c r="C11" s="30">
        <v>1</v>
      </c>
      <c r="D11" s="30">
        <v>2</v>
      </c>
      <c r="E11" s="31">
        <v>0.5</v>
      </c>
      <c r="F11" t="s">
        <v>129</v>
      </c>
      <c r="G11" s="33">
        <v>46079</v>
      </c>
      <c r="H11" s="32">
        <f t="shared" si="0"/>
        <v>0.57940000000000003</v>
      </c>
      <c r="I11" s="32">
        <f t="shared" si="1"/>
        <v>5.7939999999999996</v>
      </c>
    </row>
    <row r="12" spans="1:9" x14ac:dyDescent="0.25">
      <c r="A12" t="s">
        <v>134</v>
      </c>
      <c r="B12" t="s">
        <v>128</v>
      </c>
      <c r="C12" s="30">
        <v>1</v>
      </c>
      <c r="D12" s="30">
        <v>2</v>
      </c>
      <c r="E12" s="31">
        <v>0.5</v>
      </c>
      <c r="F12" t="s">
        <v>126</v>
      </c>
      <c r="H12" s="32">
        <f t="shared" si="0"/>
        <v>0.57940000000000003</v>
      </c>
      <c r="I12" s="32">
        <f t="shared" si="1"/>
        <v>5.7939999999999996</v>
      </c>
    </row>
    <row r="13" spans="1:9" x14ac:dyDescent="0.25">
      <c r="A13" t="s">
        <v>135</v>
      </c>
      <c r="B13" t="s">
        <v>128</v>
      </c>
      <c r="C13" s="30">
        <v>1</v>
      </c>
      <c r="D13" s="30">
        <v>2</v>
      </c>
      <c r="E13" s="31">
        <v>0.5</v>
      </c>
      <c r="F13" t="s">
        <v>129</v>
      </c>
      <c r="G13" s="33">
        <v>46049</v>
      </c>
      <c r="H13" s="32">
        <f t="shared" si="0"/>
        <v>0.57940000000000003</v>
      </c>
      <c r="I13" s="32">
        <f t="shared" si="1"/>
        <v>5.7939999999999996</v>
      </c>
    </row>
    <row r="14" spans="1:9" x14ac:dyDescent="0.25">
      <c r="A14" t="s">
        <v>136</v>
      </c>
      <c r="B14" t="s">
        <v>128</v>
      </c>
      <c r="C14" s="30">
        <v>1</v>
      </c>
      <c r="D14" s="30">
        <v>2</v>
      </c>
      <c r="E14" s="31">
        <v>0.5</v>
      </c>
      <c r="F14" t="s">
        <v>129</v>
      </c>
      <c r="G14" s="33">
        <v>46049</v>
      </c>
      <c r="H14" s="32">
        <f t="shared" si="0"/>
        <v>0.57940000000000003</v>
      </c>
      <c r="I14" s="32">
        <f t="shared" si="1"/>
        <v>5.7939999999999996</v>
      </c>
    </row>
    <row r="15" spans="1:9" x14ac:dyDescent="0.25">
      <c r="A15" t="s">
        <v>137</v>
      </c>
      <c r="B15" t="s">
        <v>128</v>
      </c>
      <c r="C15" s="30">
        <v>1</v>
      </c>
      <c r="D15" s="30">
        <v>2</v>
      </c>
      <c r="E15" s="31">
        <v>0.5</v>
      </c>
      <c r="F15" t="s">
        <v>129</v>
      </c>
      <c r="G15" s="33">
        <v>46049</v>
      </c>
      <c r="H15" s="32">
        <f t="shared" si="0"/>
        <v>0.57940000000000003</v>
      </c>
      <c r="I15" s="32">
        <f t="shared" si="1"/>
        <v>5.7939999999999996</v>
      </c>
    </row>
    <row r="16" spans="1:9" x14ac:dyDescent="0.25">
      <c r="A16" t="s">
        <v>138</v>
      </c>
      <c r="B16" t="s">
        <v>128</v>
      </c>
      <c r="C16" s="30">
        <v>1</v>
      </c>
      <c r="D16" s="30">
        <v>2</v>
      </c>
      <c r="E16" s="31">
        <v>0.5</v>
      </c>
      <c r="F16" t="s">
        <v>129</v>
      </c>
      <c r="G16" s="33">
        <v>46099</v>
      </c>
      <c r="H16" s="32">
        <f t="shared" si="0"/>
        <v>0.57940000000000003</v>
      </c>
      <c r="I16" s="32">
        <f t="shared" si="1"/>
        <v>5.7939999999999996</v>
      </c>
    </row>
    <row r="17" spans="1:9" x14ac:dyDescent="0.25">
      <c r="A17" t="s">
        <v>139</v>
      </c>
      <c r="B17" t="s">
        <v>128</v>
      </c>
      <c r="C17" s="30">
        <v>1</v>
      </c>
      <c r="D17" s="30">
        <v>2</v>
      </c>
      <c r="E17" s="31">
        <v>0.5</v>
      </c>
      <c r="F17" t="s">
        <v>129</v>
      </c>
      <c r="G17" s="33">
        <v>46049</v>
      </c>
      <c r="H17" s="32">
        <f t="shared" si="0"/>
        <v>0.57940000000000003</v>
      </c>
      <c r="I17" s="32">
        <f t="shared" si="1"/>
        <v>5.7939999999999996</v>
      </c>
    </row>
    <row r="18" spans="1:9" x14ac:dyDescent="0.25">
      <c r="A18" t="s">
        <v>140</v>
      </c>
      <c r="B18" t="s">
        <v>128</v>
      </c>
      <c r="C18" s="30">
        <v>1</v>
      </c>
      <c r="D18" s="30">
        <v>2</v>
      </c>
      <c r="E18" s="31">
        <v>0.5</v>
      </c>
      <c r="F18" t="s">
        <v>129</v>
      </c>
      <c r="G18" s="33">
        <v>46049</v>
      </c>
      <c r="H18" s="32">
        <f t="shared" si="0"/>
        <v>0.57940000000000003</v>
      </c>
      <c r="I18" s="32">
        <f t="shared" si="1"/>
        <v>5.7939999999999996</v>
      </c>
    </row>
    <row r="19" spans="1:9" x14ac:dyDescent="0.25">
      <c r="A19" t="s">
        <v>141</v>
      </c>
      <c r="B19" t="s">
        <v>128</v>
      </c>
      <c r="C19" s="30">
        <v>1</v>
      </c>
      <c r="D19" s="30">
        <v>2</v>
      </c>
      <c r="E19" s="31">
        <v>0.5</v>
      </c>
      <c r="F19" t="s">
        <v>129</v>
      </c>
      <c r="G19" s="33">
        <v>46045</v>
      </c>
      <c r="H19" s="32">
        <f t="shared" si="0"/>
        <v>0.57940000000000003</v>
      </c>
      <c r="I19" s="32">
        <f t="shared" si="1"/>
        <v>5.7939999999999996</v>
      </c>
    </row>
    <row r="20" spans="1:9" x14ac:dyDescent="0.25">
      <c r="A20" t="s">
        <v>142</v>
      </c>
      <c r="B20" t="s">
        <v>128</v>
      </c>
      <c r="C20" s="30">
        <v>1</v>
      </c>
      <c r="D20" s="30">
        <v>2</v>
      </c>
      <c r="E20" s="31">
        <v>0.5</v>
      </c>
      <c r="F20" t="s">
        <v>129</v>
      </c>
      <c r="G20" s="33">
        <v>46059</v>
      </c>
      <c r="H20" s="32">
        <f t="shared" si="0"/>
        <v>0.57940000000000003</v>
      </c>
      <c r="I20" s="32">
        <f t="shared" si="1"/>
        <v>5.7939999999999996</v>
      </c>
    </row>
    <row r="21" spans="1:9" x14ac:dyDescent="0.25">
      <c r="A21" t="s">
        <v>143</v>
      </c>
      <c r="B21" t="s">
        <v>128</v>
      </c>
      <c r="C21" s="30">
        <v>1</v>
      </c>
      <c r="D21" s="30">
        <v>2</v>
      </c>
      <c r="E21" s="31">
        <v>0.5</v>
      </c>
      <c r="F21" t="s">
        <v>129</v>
      </c>
      <c r="G21" s="33">
        <v>46044</v>
      </c>
      <c r="H21" s="32">
        <f t="shared" si="0"/>
        <v>0.57940000000000003</v>
      </c>
      <c r="I21" s="32">
        <f t="shared" si="1"/>
        <v>5.7939999999999996</v>
      </c>
    </row>
    <row r="22" spans="1:9" x14ac:dyDescent="0.25">
      <c r="A22" t="s">
        <v>144</v>
      </c>
      <c r="B22" t="s">
        <v>128</v>
      </c>
      <c r="C22" s="30">
        <v>1</v>
      </c>
      <c r="D22" s="30">
        <v>2</v>
      </c>
      <c r="E22" s="31">
        <v>0.5</v>
      </c>
      <c r="F22" t="s">
        <v>129</v>
      </c>
      <c r="G22" s="33">
        <v>46042</v>
      </c>
      <c r="H22" s="32">
        <f t="shared" si="0"/>
        <v>0.57940000000000003</v>
      </c>
      <c r="I22" s="32">
        <f t="shared" si="1"/>
        <v>5.7939999999999996</v>
      </c>
    </row>
    <row r="23" spans="1:9" x14ac:dyDescent="0.25">
      <c r="A23" t="s">
        <v>145</v>
      </c>
      <c r="B23" t="s">
        <v>128</v>
      </c>
      <c r="C23" s="30">
        <v>1</v>
      </c>
      <c r="D23" s="30">
        <v>2</v>
      </c>
      <c r="E23" s="31">
        <v>0.5</v>
      </c>
      <c r="F23" t="s">
        <v>129</v>
      </c>
      <c r="G23" s="33">
        <v>46092</v>
      </c>
      <c r="H23" s="32">
        <f t="shared" si="0"/>
        <v>0.57940000000000003</v>
      </c>
      <c r="I23" s="32">
        <f t="shared" si="1"/>
        <v>5.7939999999999996</v>
      </c>
    </row>
    <row r="24" spans="1:9" x14ac:dyDescent="0.25">
      <c r="A24" t="s">
        <v>146</v>
      </c>
      <c r="B24" t="s">
        <v>147</v>
      </c>
      <c r="C24" s="30">
        <v>1</v>
      </c>
      <c r="D24" s="30">
        <v>2</v>
      </c>
      <c r="E24" s="31">
        <v>0.5</v>
      </c>
      <c r="F24" t="s">
        <v>126</v>
      </c>
      <c r="H24" s="32">
        <f t="shared" si="0"/>
        <v>0.57940000000000003</v>
      </c>
      <c r="I24" s="32">
        <f t="shared" si="1"/>
        <v>5.7939999999999996</v>
      </c>
    </row>
    <row r="25" spans="1:9" x14ac:dyDescent="0.25">
      <c r="A25" t="s">
        <v>148</v>
      </c>
      <c r="B25" t="s">
        <v>147</v>
      </c>
      <c r="C25" s="30">
        <v>1</v>
      </c>
      <c r="D25" s="30">
        <v>2</v>
      </c>
      <c r="E25" s="31">
        <v>0.5</v>
      </c>
      <c r="F25" t="s">
        <v>129</v>
      </c>
      <c r="G25" s="33">
        <v>45985</v>
      </c>
      <c r="H25" s="32">
        <f t="shared" si="0"/>
        <v>0.57940000000000003</v>
      </c>
      <c r="I25" s="32">
        <f t="shared" si="1"/>
        <v>5.7939999999999996</v>
      </c>
    </row>
    <row r="26" spans="1:9" x14ac:dyDescent="0.25">
      <c r="A26" t="s">
        <v>149</v>
      </c>
      <c r="B26" t="s">
        <v>147</v>
      </c>
      <c r="C26" s="30">
        <v>1</v>
      </c>
      <c r="D26" s="30">
        <v>2</v>
      </c>
      <c r="E26" s="31">
        <v>0.5</v>
      </c>
      <c r="F26" t="s">
        <v>129</v>
      </c>
      <c r="G26" s="33">
        <v>46051</v>
      </c>
      <c r="H26" s="32">
        <f t="shared" si="0"/>
        <v>0.57940000000000003</v>
      </c>
      <c r="I26" s="32">
        <f t="shared" si="1"/>
        <v>5.7939999999999996</v>
      </c>
    </row>
    <row r="27" spans="1:9" x14ac:dyDescent="0.25">
      <c r="A27" t="s">
        <v>150</v>
      </c>
      <c r="B27" t="s">
        <v>147</v>
      </c>
      <c r="C27" s="30">
        <v>1</v>
      </c>
      <c r="D27" s="30">
        <v>2</v>
      </c>
      <c r="E27" s="31">
        <v>0.5</v>
      </c>
      <c r="F27" t="s">
        <v>129</v>
      </c>
      <c r="G27" s="33">
        <v>45985</v>
      </c>
      <c r="H27" s="32">
        <f t="shared" si="0"/>
        <v>0.57940000000000003</v>
      </c>
      <c r="I27" s="32">
        <f t="shared" si="1"/>
        <v>5.7939999999999996</v>
      </c>
    </row>
    <row r="28" spans="1:9" x14ac:dyDescent="0.25">
      <c r="A28" t="s">
        <v>151</v>
      </c>
      <c r="B28" t="s">
        <v>147</v>
      </c>
      <c r="C28" s="30">
        <v>1</v>
      </c>
      <c r="D28" s="30">
        <v>2</v>
      </c>
      <c r="E28" s="31">
        <v>0.5</v>
      </c>
      <c r="F28" t="s">
        <v>129</v>
      </c>
      <c r="G28" s="33">
        <v>46112</v>
      </c>
      <c r="H28" s="32">
        <f t="shared" si="0"/>
        <v>0.57940000000000003</v>
      </c>
      <c r="I28" s="32">
        <f t="shared" si="1"/>
        <v>5.7939999999999996</v>
      </c>
    </row>
    <row r="29" spans="1:9" x14ac:dyDescent="0.25">
      <c r="A29" t="s">
        <v>152</v>
      </c>
      <c r="B29" t="s">
        <v>147</v>
      </c>
      <c r="C29" s="30">
        <v>1</v>
      </c>
      <c r="D29" s="30">
        <v>2</v>
      </c>
      <c r="E29" s="31">
        <v>0.5</v>
      </c>
      <c r="F29" t="s">
        <v>126</v>
      </c>
      <c r="H29" s="32">
        <f t="shared" si="0"/>
        <v>0.57940000000000003</v>
      </c>
      <c r="I29" s="32">
        <f t="shared" si="1"/>
        <v>5.7939999999999996</v>
      </c>
    </row>
    <row r="30" spans="1:9" x14ac:dyDescent="0.25">
      <c r="A30" t="s">
        <v>153</v>
      </c>
      <c r="B30" t="s">
        <v>147</v>
      </c>
      <c r="C30" s="30">
        <v>1</v>
      </c>
      <c r="D30" s="30">
        <v>2</v>
      </c>
      <c r="E30" s="31">
        <v>0.5</v>
      </c>
      <c r="F30" t="s">
        <v>129</v>
      </c>
      <c r="G30" s="33">
        <v>46089</v>
      </c>
      <c r="H30" s="32">
        <f t="shared" si="0"/>
        <v>0.57940000000000003</v>
      </c>
      <c r="I30" s="32">
        <f t="shared" si="1"/>
        <v>5.7939999999999996</v>
      </c>
    </row>
    <row r="31" spans="1:9" x14ac:dyDescent="0.25">
      <c r="A31" t="s">
        <v>154</v>
      </c>
      <c r="B31" t="s">
        <v>147</v>
      </c>
      <c r="C31" s="30">
        <v>1</v>
      </c>
      <c r="D31" s="30">
        <v>2</v>
      </c>
      <c r="E31" s="31">
        <v>0.5</v>
      </c>
      <c r="F31" t="s">
        <v>129</v>
      </c>
      <c r="G31" s="33">
        <v>46051</v>
      </c>
      <c r="H31" s="32">
        <f t="shared" si="0"/>
        <v>0.57940000000000003</v>
      </c>
      <c r="I31" s="32">
        <f t="shared" si="1"/>
        <v>5.7939999999999996</v>
      </c>
    </row>
    <row r="32" spans="1:9" x14ac:dyDescent="0.25">
      <c r="A32" t="s">
        <v>155</v>
      </c>
      <c r="B32" t="s">
        <v>147</v>
      </c>
      <c r="C32" s="30">
        <v>1</v>
      </c>
      <c r="D32" s="30">
        <v>2</v>
      </c>
      <c r="E32" s="31">
        <v>0.5</v>
      </c>
      <c r="F32" t="s">
        <v>129</v>
      </c>
      <c r="G32" s="33">
        <v>46051</v>
      </c>
      <c r="H32" s="32">
        <f t="shared" si="0"/>
        <v>0.57940000000000003</v>
      </c>
      <c r="I32" s="32">
        <f t="shared" si="1"/>
        <v>5.7939999999999996</v>
      </c>
    </row>
    <row r="33" spans="1:9" x14ac:dyDescent="0.25">
      <c r="A33" t="s">
        <v>156</v>
      </c>
      <c r="B33" t="s">
        <v>147</v>
      </c>
      <c r="C33" s="30">
        <v>1</v>
      </c>
      <c r="D33" s="30">
        <v>2</v>
      </c>
      <c r="E33" s="31">
        <v>0.5</v>
      </c>
      <c r="F33" t="s">
        <v>129</v>
      </c>
      <c r="G33" s="33">
        <v>46051</v>
      </c>
      <c r="H33" s="32">
        <f t="shared" si="0"/>
        <v>0.57940000000000003</v>
      </c>
      <c r="I33" s="32">
        <f t="shared" si="1"/>
        <v>5.7939999999999996</v>
      </c>
    </row>
    <row r="34" spans="1:9" x14ac:dyDescent="0.25">
      <c r="A34" t="s">
        <v>157</v>
      </c>
      <c r="B34" t="s">
        <v>147</v>
      </c>
      <c r="C34" s="30">
        <v>1</v>
      </c>
      <c r="D34" s="30">
        <v>2</v>
      </c>
      <c r="E34" s="31">
        <v>0.5</v>
      </c>
      <c r="F34" t="s">
        <v>129</v>
      </c>
      <c r="G34" s="33">
        <v>46051</v>
      </c>
      <c r="H34" s="32">
        <f t="shared" si="0"/>
        <v>0.57940000000000003</v>
      </c>
      <c r="I34" s="32">
        <f t="shared" si="1"/>
        <v>5.7939999999999996</v>
      </c>
    </row>
    <row r="35" spans="1:9" x14ac:dyDescent="0.25">
      <c r="A35" t="s">
        <v>158</v>
      </c>
      <c r="B35" t="s">
        <v>147</v>
      </c>
      <c r="C35" s="30">
        <v>1</v>
      </c>
      <c r="D35" s="30">
        <v>2</v>
      </c>
      <c r="E35" s="31">
        <v>0.5</v>
      </c>
      <c r="F35" t="s">
        <v>129</v>
      </c>
      <c r="G35" s="33">
        <v>45985</v>
      </c>
      <c r="H35" s="32">
        <f t="shared" si="0"/>
        <v>0.57940000000000003</v>
      </c>
      <c r="I35" s="32">
        <f t="shared" si="1"/>
        <v>5.7939999999999996</v>
      </c>
    </row>
    <row r="36" spans="1:9" x14ac:dyDescent="0.25">
      <c r="A36" t="s">
        <v>159</v>
      </c>
      <c r="B36" t="s">
        <v>147</v>
      </c>
      <c r="C36" s="30">
        <v>1</v>
      </c>
      <c r="D36" s="30">
        <v>2</v>
      </c>
      <c r="E36" s="31">
        <v>0.5</v>
      </c>
      <c r="F36" t="s">
        <v>129</v>
      </c>
      <c r="G36" s="33">
        <v>46111</v>
      </c>
      <c r="H36" s="32">
        <f t="shared" si="0"/>
        <v>0.57940000000000003</v>
      </c>
      <c r="I36" s="32">
        <f t="shared" si="1"/>
        <v>5.7939999999999996</v>
      </c>
    </row>
    <row r="37" spans="1:9" x14ac:dyDescent="0.25">
      <c r="A37" t="s">
        <v>160</v>
      </c>
      <c r="B37" t="s">
        <v>147</v>
      </c>
      <c r="C37" s="30">
        <v>1</v>
      </c>
      <c r="D37" s="30">
        <v>2</v>
      </c>
      <c r="E37" s="31">
        <v>0.5</v>
      </c>
      <c r="F37" t="s">
        <v>129</v>
      </c>
      <c r="G37" s="33">
        <v>46091</v>
      </c>
      <c r="H37" s="32">
        <f t="shared" si="0"/>
        <v>0.57940000000000003</v>
      </c>
      <c r="I37" s="32">
        <f t="shared" si="1"/>
        <v>5.7939999999999996</v>
      </c>
    </row>
    <row r="38" spans="1:9" x14ac:dyDescent="0.25">
      <c r="A38" t="s">
        <v>161</v>
      </c>
      <c r="B38" t="s">
        <v>147</v>
      </c>
      <c r="C38" s="30">
        <v>1</v>
      </c>
      <c r="D38" s="30">
        <v>2</v>
      </c>
      <c r="E38" s="31">
        <v>0.5</v>
      </c>
      <c r="F38" t="s">
        <v>126</v>
      </c>
      <c r="H38" s="32">
        <f t="shared" ref="H38:H69" si="2">CoreBpsBlended*D38*GrowthModeFactor</f>
        <v>0.57940000000000003</v>
      </c>
      <c r="I38" s="32">
        <f t="shared" ref="I38:I69" si="3">CoreBpsBlended*D38</f>
        <v>5.7939999999999996</v>
      </c>
    </row>
    <row r="39" spans="1:9" x14ac:dyDescent="0.25">
      <c r="A39" t="s">
        <v>162</v>
      </c>
      <c r="B39" t="s">
        <v>147</v>
      </c>
      <c r="C39" s="30">
        <v>1</v>
      </c>
      <c r="D39" s="30">
        <v>2</v>
      </c>
      <c r="E39" s="31">
        <v>0.5</v>
      </c>
      <c r="F39" t="s">
        <v>126</v>
      </c>
      <c r="H39" s="32">
        <f t="shared" si="2"/>
        <v>0.57940000000000003</v>
      </c>
      <c r="I39" s="32">
        <f t="shared" si="3"/>
        <v>5.7939999999999996</v>
      </c>
    </row>
    <row r="40" spans="1:9" x14ac:dyDescent="0.25">
      <c r="A40" t="s">
        <v>163</v>
      </c>
      <c r="B40" t="s">
        <v>164</v>
      </c>
      <c r="C40" s="30">
        <v>0.1111</v>
      </c>
      <c r="D40" s="30">
        <v>1.1111</v>
      </c>
      <c r="E40" s="31">
        <v>9.9990999909999101E-2</v>
      </c>
      <c r="F40" t="s">
        <v>126</v>
      </c>
      <c r="H40" s="32">
        <f t="shared" si="2"/>
        <v>0.32188567000000001</v>
      </c>
      <c r="I40" s="32">
        <f t="shared" si="3"/>
        <v>3.2188566999999999</v>
      </c>
    </row>
    <row r="41" spans="1:9" x14ac:dyDescent="0.25">
      <c r="A41" t="s">
        <v>165</v>
      </c>
      <c r="B41" t="s">
        <v>164</v>
      </c>
      <c r="C41" s="30">
        <v>0.1111</v>
      </c>
      <c r="D41" s="30">
        <v>1.1111</v>
      </c>
      <c r="E41" s="31">
        <v>9.9990999909999101E-2</v>
      </c>
      <c r="F41" t="s">
        <v>126</v>
      </c>
      <c r="H41" s="32">
        <f t="shared" si="2"/>
        <v>0.32188567000000001</v>
      </c>
      <c r="I41" s="32">
        <f t="shared" si="3"/>
        <v>3.2188566999999999</v>
      </c>
    </row>
    <row r="42" spans="1:9" x14ac:dyDescent="0.25">
      <c r="A42" t="s">
        <v>166</v>
      </c>
      <c r="B42" t="s">
        <v>164</v>
      </c>
      <c r="C42" s="30">
        <v>0.1111</v>
      </c>
      <c r="D42" s="30">
        <v>1.1111</v>
      </c>
      <c r="E42" s="31">
        <v>9.9990999909999101E-2</v>
      </c>
      <c r="F42" t="s">
        <v>126</v>
      </c>
      <c r="H42" s="32">
        <f t="shared" si="2"/>
        <v>0.32188567000000001</v>
      </c>
      <c r="I42" s="32">
        <f t="shared" si="3"/>
        <v>3.2188566999999999</v>
      </c>
    </row>
    <row r="43" spans="1:9" x14ac:dyDescent="0.25">
      <c r="A43" t="s">
        <v>167</v>
      </c>
      <c r="B43" t="s">
        <v>164</v>
      </c>
      <c r="C43" s="30">
        <v>0.1111</v>
      </c>
      <c r="D43" s="30">
        <v>1.1111</v>
      </c>
      <c r="E43" s="31">
        <v>9.9990999909999101E-2</v>
      </c>
      <c r="F43" t="s">
        <v>126</v>
      </c>
      <c r="H43" s="32">
        <f t="shared" si="2"/>
        <v>0.32188567000000001</v>
      </c>
      <c r="I43" s="32">
        <f t="shared" si="3"/>
        <v>3.2188566999999999</v>
      </c>
    </row>
    <row r="44" spans="1:9" x14ac:dyDescent="0.25">
      <c r="A44" t="s">
        <v>168</v>
      </c>
      <c r="B44" t="s">
        <v>164</v>
      </c>
      <c r="C44" s="30">
        <v>0.1111</v>
      </c>
      <c r="D44" s="30">
        <v>1.1111</v>
      </c>
      <c r="E44" s="31">
        <v>9.9990999909999101E-2</v>
      </c>
      <c r="F44" t="s">
        <v>126</v>
      </c>
      <c r="H44" s="32">
        <f t="shared" si="2"/>
        <v>0.32188567000000001</v>
      </c>
      <c r="I44" s="32">
        <f t="shared" si="3"/>
        <v>3.2188566999999999</v>
      </c>
    </row>
    <row r="45" spans="1:9" x14ac:dyDescent="0.25">
      <c r="A45" t="s">
        <v>169</v>
      </c>
      <c r="B45" t="s">
        <v>164</v>
      </c>
      <c r="C45" s="30">
        <v>0.1111</v>
      </c>
      <c r="D45" s="30">
        <v>1.1111</v>
      </c>
      <c r="E45" s="31">
        <v>9.9990999909999101E-2</v>
      </c>
      <c r="F45" t="s">
        <v>126</v>
      </c>
      <c r="H45" s="32">
        <f t="shared" si="2"/>
        <v>0.32188567000000001</v>
      </c>
      <c r="I45" s="32">
        <f t="shared" si="3"/>
        <v>3.2188566999999999</v>
      </c>
    </row>
    <row r="46" spans="1:9" x14ac:dyDescent="0.25">
      <c r="A46" t="s">
        <v>170</v>
      </c>
      <c r="B46" t="s">
        <v>164</v>
      </c>
      <c r="C46" s="30">
        <v>0.1111</v>
      </c>
      <c r="D46" s="30">
        <v>1.1111</v>
      </c>
      <c r="E46" s="31">
        <v>9.9990999909999101E-2</v>
      </c>
      <c r="F46" t="s">
        <v>126</v>
      </c>
      <c r="H46" s="32">
        <f t="shared" si="2"/>
        <v>0.32188567000000001</v>
      </c>
      <c r="I46" s="32">
        <f t="shared" si="3"/>
        <v>3.2188566999999999</v>
      </c>
    </row>
    <row r="47" spans="1:9" x14ac:dyDescent="0.25">
      <c r="A47" t="s">
        <v>171</v>
      </c>
      <c r="B47" t="s">
        <v>164</v>
      </c>
      <c r="C47" s="30">
        <v>0.1111</v>
      </c>
      <c r="D47" s="30">
        <v>1.1111</v>
      </c>
      <c r="E47" s="31">
        <v>9.9990999909999101E-2</v>
      </c>
      <c r="F47" t="s">
        <v>126</v>
      </c>
      <c r="H47" s="32">
        <f t="shared" si="2"/>
        <v>0.32188567000000001</v>
      </c>
      <c r="I47" s="32">
        <f t="shared" si="3"/>
        <v>3.2188566999999999</v>
      </c>
    </row>
    <row r="48" spans="1:9" x14ac:dyDescent="0.25">
      <c r="A48" t="s">
        <v>172</v>
      </c>
      <c r="B48" t="s">
        <v>164</v>
      </c>
      <c r="C48" s="30">
        <v>0.1111</v>
      </c>
      <c r="D48" s="30">
        <v>1.1111</v>
      </c>
      <c r="E48" s="31">
        <v>9.9990999909999101E-2</v>
      </c>
      <c r="F48" t="s">
        <v>126</v>
      </c>
      <c r="H48" s="32">
        <f t="shared" si="2"/>
        <v>0.32188567000000001</v>
      </c>
      <c r="I48" s="32">
        <f t="shared" si="3"/>
        <v>3.2188566999999999</v>
      </c>
    </row>
    <row r="49" spans="1:9" x14ac:dyDescent="0.25">
      <c r="A49" t="s">
        <v>173</v>
      </c>
      <c r="B49" t="s">
        <v>164</v>
      </c>
      <c r="C49" s="30">
        <v>0.1111</v>
      </c>
      <c r="D49" s="30">
        <v>1.1111</v>
      </c>
      <c r="E49" s="31">
        <v>9.9990999909999101E-2</v>
      </c>
      <c r="F49" t="s">
        <v>126</v>
      </c>
      <c r="H49" s="32">
        <f t="shared" si="2"/>
        <v>0.32188567000000001</v>
      </c>
      <c r="I49" s="32">
        <f t="shared" si="3"/>
        <v>3.2188566999999999</v>
      </c>
    </row>
    <row r="50" spans="1:9" x14ac:dyDescent="0.25">
      <c r="A50" t="s">
        <v>174</v>
      </c>
      <c r="B50" t="s">
        <v>164</v>
      </c>
      <c r="C50" s="30">
        <v>0.1111</v>
      </c>
      <c r="D50" s="30">
        <v>1.1111</v>
      </c>
      <c r="E50" s="31">
        <v>9.9990999909999101E-2</v>
      </c>
      <c r="F50" t="s">
        <v>126</v>
      </c>
      <c r="H50" s="32">
        <f t="shared" si="2"/>
        <v>0.32188567000000001</v>
      </c>
      <c r="I50" s="32">
        <f t="shared" si="3"/>
        <v>3.2188566999999999</v>
      </c>
    </row>
    <row r="51" spans="1:9" x14ac:dyDescent="0.25">
      <c r="A51" t="s">
        <v>175</v>
      </c>
      <c r="B51" t="s">
        <v>164</v>
      </c>
      <c r="C51" s="30">
        <v>0.1111</v>
      </c>
      <c r="D51" s="30">
        <v>1.1111</v>
      </c>
      <c r="E51" s="31">
        <v>9.9990999909999101E-2</v>
      </c>
      <c r="F51" t="s">
        <v>126</v>
      </c>
      <c r="H51" s="32">
        <f t="shared" si="2"/>
        <v>0.32188567000000001</v>
      </c>
      <c r="I51" s="32">
        <f t="shared" si="3"/>
        <v>3.2188566999999999</v>
      </c>
    </row>
    <row r="52" spans="1:9" x14ac:dyDescent="0.25">
      <c r="A52" t="s">
        <v>176</v>
      </c>
      <c r="B52" t="s">
        <v>164</v>
      </c>
      <c r="C52" s="30">
        <v>0.1111</v>
      </c>
      <c r="D52" s="30">
        <v>1.1111</v>
      </c>
      <c r="E52" s="31">
        <v>9.9990999909999101E-2</v>
      </c>
      <c r="F52" t="s">
        <v>126</v>
      </c>
      <c r="H52" s="32">
        <f t="shared" si="2"/>
        <v>0.32188567000000001</v>
      </c>
      <c r="I52" s="32">
        <f t="shared" si="3"/>
        <v>3.2188566999999999</v>
      </c>
    </row>
    <row r="53" spans="1:9" x14ac:dyDescent="0.25">
      <c r="A53" t="s">
        <v>177</v>
      </c>
      <c r="B53" t="s">
        <v>164</v>
      </c>
      <c r="C53" s="30">
        <v>0.1111</v>
      </c>
      <c r="D53" s="30">
        <v>1.1111</v>
      </c>
      <c r="E53" s="31">
        <v>9.9990999909999101E-2</v>
      </c>
      <c r="F53" t="s">
        <v>126</v>
      </c>
      <c r="H53" s="32">
        <f t="shared" si="2"/>
        <v>0.32188567000000001</v>
      </c>
      <c r="I53" s="32">
        <f t="shared" si="3"/>
        <v>3.2188566999999999</v>
      </c>
    </row>
    <row r="54" spans="1:9" x14ac:dyDescent="0.25">
      <c r="A54" t="s">
        <v>178</v>
      </c>
      <c r="B54" t="s">
        <v>164</v>
      </c>
      <c r="C54" s="30">
        <v>0.1111</v>
      </c>
      <c r="D54" s="30">
        <v>1.1111</v>
      </c>
      <c r="E54" s="31">
        <v>9.9990999909999101E-2</v>
      </c>
      <c r="F54" t="s">
        <v>126</v>
      </c>
      <c r="H54" s="32">
        <f t="shared" si="2"/>
        <v>0.32188567000000001</v>
      </c>
      <c r="I54" s="32">
        <f t="shared" si="3"/>
        <v>3.2188566999999999</v>
      </c>
    </row>
    <row r="55" spans="1:9" x14ac:dyDescent="0.25">
      <c r="A55" t="s">
        <v>179</v>
      </c>
      <c r="B55" t="s">
        <v>164</v>
      </c>
      <c r="C55" s="30">
        <v>0.1111</v>
      </c>
      <c r="D55" s="30">
        <v>1.1111</v>
      </c>
      <c r="E55" s="31">
        <v>9.9990999909999101E-2</v>
      </c>
      <c r="F55" t="s">
        <v>126</v>
      </c>
      <c r="H55" s="32">
        <f t="shared" si="2"/>
        <v>0.32188567000000001</v>
      </c>
      <c r="I55" s="32">
        <f t="shared" si="3"/>
        <v>3.2188566999999999</v>
      </c>
    </row>
    <row r="56" spans="1:9" x14ac:dyDescent="0.25">
      <c r="A56" t="s">
        <v>180</v>
      </c>
      <c r="B56" t="s">
        <v>164</v>
      </c>
      <c r="C56" s="30">
        <v>0.1111</v>
      </c>
      <c r="D56" s="30">
        <v>1.1111</v>
      </c>
      <c r="E56" s="31">
        <v>9.9990999909999101E-2</v>
      </c>
      <c r="F56" t="s">
        <v>126</v>
      </c>
      <c r="H56" s="32">
        <f t="shared" si="2"/>
        <v>0.32188567000000001</v>
      </c>
      <c r="I56" s="32">
        <f t="shared" si="3"/>
        <v>3.2188566999999999</v>
      </c>
    </row>
    <row r="57" spans="1:9" x14ac:dyDescent="0.25">
      <c r="A57" t="s">
        <v>181</v>
      </c>
      <c r="B57" t="s">
        <v>164</v>
      </c>
      <c r="C57" s="30">
        <v>0.1111</v>
      </c>
      <c r="D57" s="30">
        <v>1.1111</v>
      </c>
      <c r="E57" s="31">
        <v>9.9990999909999101E-2</v>
      </c>
      <c r="F57" t="s">
        <v>126</v>
      </c>
      <c r="H57" s="32">
        <f t="shared" si="2"/>
        <v>0.32188567000000001</v>
      </c>
      <c r="I57" s="32">
        <f t="shared" si="3"/>
        <v>3.2188566999999999</v>
      </c>
    </row>
    <row r="58" spans="1:9" x14ac:dyDescent="0.25">
      <c r="A58" t="s">
        <v>182</v>
      </c>
      <c r="B58" t="s">
        <v>164</v>
      </c>
      <c r="C58" s="30">
        <v>0.1111</v>
      </c>
      <c r="D58" s="30">
        <v>1.1111</v>
      </c>
      <c r="E58" s="31">
        <v>9.9990999909999101E-2</v>
      </c>
      <c r="F58" t="s">
        <v>129</v>
      </c>
      <c r="G58" s="33">
        <v>46094</v>
      </c>
      <c r="H58" s="32">
        <f t="shared" si="2"/>
        <v>0.32188567000000001</v>
      </c>
      <c r="I58" s="32">
        <f t="shared" si="3"/>
        <v>3.2188566999999999</v>
      </c>
    </row>
    <row r="59" spans="1:9" x14ac:dyDescent="0.25">
      <c r="A59" t="s">
        <v>183</v>
      </c>
      <c r="B59" t="s">
        <v>164</v>
      </c>
      <c r="C59" s="30">
        <v>0.1111</v>
      </c>
      <c r="D59" s="30">
        <v>1.1111</v>
      </c>
      <c r="E59" s="31">
        <v>9.9990999909999101E-2</v>
      </c>
      <c r="F59" t="s">
        <v>126</v>
      </c>
      <c r="H59" s="32">
        <f t="shared" si="2"/>
        <v>0.32188567000000001</v>
      </c>
      <c r="I59" s="32">
        <f t="shared" si="3"/>
        <v>3.2188566999999999</v>
      </c>
    </row>
    <row r="60" spans="1:9" x14ac:dyDescent="0.25">
      <c r="A60" t="s">
        <v>184</v>
      </c>
      <c r="B60" t="s">
        <v>164</v>
      </c>
      <c r="C60" s="30">
        <v>0.1111</v>
      </c>
      <c r="D60" s="30">
        <v>1.1111</v>
      </c>
      <c r="E60" s="31">
        <v>9.9990999909999101E-2</v>
      </c>
      <c r="F60" t="s">
        <v>126</v>
      </c>
      <c r="H60" s="32">
        <f t="shared" si="2"/>
        <v>0.32188567000000001</v>
      </c>
      <c r="I60" s="32">
        <f t="shared" si="3"/>
        <v>3.2188566999999999</v>
      </c>
    </row>
    <row r="61" spans="1:9" x14ac:dyDescent="0.25">
      <c r="A61" t="s">
        <v>185</v>
      </c>
      <c r="B61" t="s">
        <v>164</v>
      </c>
      <c r="C61" s="30">
        <v>0.1111</v>
      </c>
      <c r="D61" s="30">
        <v>1.1111</v>
      </c>
      <c r="E61" s="31">
        <v>9.9990999909999101E-2</v>
      </c>
      <c r="F61" t="s">
        <v>126</v>
      </c>
      <c r="H61" s="32">
        <f t="shared" si="2"/>
        <v>0.32188567000000001</v>
      </c>
      <c r="I61" s="32">
        <f t="shared" si="3"/>
        <v>3.2188566999999999</v>
      </c>
    </row>
    <row r="62" spans="1:9" x14ac:dyDescent="0.25">
      <c r="A62" t="s">
        <v>186</v>
      </c>
      <c r="B62" t="s">
        <v>164</v>
      </c>
      <c r="C62" s="30">
        <v>0.1111</v>
      </c>
      <c r="D62" s="30">
        <v>1.1111</v>
      </c>
      <c r="E62" s="31">
        <v>9.9990999909999101E-2</v>
      </c>
      <c r="F62" t="s">
        <v>126</v>
      </c>
      <c r="H62" s="32">
        <f t="shared" si="2"/>
        <v>0.32188567000000001</v>
      </c>
      <c r="I62" s="32">
        <f t="shared" si="3"/>
        <v>3.2188566999999999</v>
      </c>
    </row>
    <row r="63" spans="1:9" x14ac:dyDescent="0.25">
      <c r="A63" t="s">
        <v>187</v>
      </c>
      <c r="B63" t="s">
        <v>164</v>
      </c>
      <c r="C63" s="30">
        <v>0.1111</v>
      </c>
      <c r="D63" s="30">
        <v>1.1111</v>
      </c>
      <c r="E63" s="31">
        <v>9.9990999909999101E-2</v>
      </c>
      <c r="F63" t="s">
        <v>126</v>
      </c>
      <c r="H63" s="32">
        <f t="shared" si="2"/>
        <v>0.32188567000000001</v>
      </c>
      <c r="I63" s="32">
        <f t="shared" si="3"/>
        <v>3.2188566999999999</v>
      </c>
    </row>
    <row r="64" spans="1:9" x14ac:dyDescent="0.25">
      <c r="A64" t="s">
        <v>188</v>
      </c>
      <c r="B64" t="s">
        <v>164</v>
      </c>
      <c r="C64" s="30">
        <v>0.1111</v>
      </c>
      <c r="D64" s="30">
        <v>1.1111</v>
      </c>
      <c r="E64" s="31">
        <v>9.9990999909999101E-2</v>
      </c>
      <c r="F64" t="s">
        <v>126</v>
      </c>
      <c r="H64" s="32">
        <f t="shared" si="2"/>
        <v>0.32188567000000001</v>
      </c>
      <c r="I64" s="32">
        <f t="shared" si="3"/>
        <v>3.2188566999999999</v>
      </c>
    </row>
    <row r="65" spans="1:9" x14ac:dyDescent="0.25">
      <c r="A65" t="s">
        <v>189</v>
      </c>
      <c r="B65" t="s">
        <v>190</v>
      </c>
      <c r="C65" s="30">
        <v>1</v>
      </c>
      <c r="D65" s="30">
        <v>2</v>
      </c>
      <c r="E65" s="31">
        <v>0.5</v>
      </c>
      <c r="F65" t="s">
        <v>129</v>
      </c>
      <c r="G65" s="33">
        <v>46051</v>
      </c>
      <c r="H65" s="32">
        <f t="shared" si="2"/>
        <v>0.57940000000000003</v>
      </c>
      <c r="I65" s="32">
        <f t="shared" si="3"/>
        <v>5.7939999999999996</v>
      </c>
    </row>
    <row r="66" spans="1:9" x14ac:dyDescent="0.25">
      <c r="A66" t="s">
        <v>191</v>
      </c>
      <c r="B66" t="s">
        <v>190</v>
      </c>
      <c r="C66" s="30">
        <v>1</v>
      </c>
      <c r="D66" s="30">
        <v>2</v>
      </c>
      <c r="E66" s="31">
        <v>0.5</v>
      </c>
      <c r="F66" t="s">
        <v>129</v>
      </c>
      <c r="G66" s="33">
        <v>46037</v>
      </c>
      <c r="H66" s="32">
        <f t="shared" si="2"/>
        <v>0.57940000000000003</v>
      </c>
      <c r="I66" s="32">
        <f t="shared" si="3"/>
        <v>5.7939999999999996</v>
      </c>
    </row>
    <row r="67" spans="1:9" x14ac:dyDescent="0.25">
      <c r="A67" t="s">
        <v>192</v>
      </c>
      <c r="B67" t="s">
        <v>190</v>
      </c>
      <c r="C67" s="30">
        <v>1</v>
      </c>
      <c r="D67" s="30">
        <v>2</v>
      </c>
      <c r="E67" s="31">
        <v>0.5</v>
      </c>
      <c r="F67" t="s">
        <v>126</v>
      </c>
      <c r="G67" s="33">
        <v>46123</v>
      </c>
      <c r="H67" s="32">
        <f t="shared" si="2"/>
        <v>0.57940000000000003</v>
      </c>
      <c r="I67" s="32">
        <f t="shared" si="3"/>
        <v>5.7939999999999996</v>
      </c>
    </row>
    <row r="68" spans="1:9" x14ac:dyDescent="0.25">
      <c r="A68" t="s">
        <v>193</v>
      </c>
      <c r="B68" t="s">
        <v>190</v>
      </c>
      <c r="C68" s="30">
        <v>1</v>
      </c>
      <c r="D68" s="30">
        <v>2</v>
      </c>
      <c r="E68" s="31">
        <v>0.5</v>
      </c>
      <c r="F68" t="s">
        <v>129</v>
      </c>
      <c r="G68" s="33">
        <v>46135</v>
      </c>
      <c r="H68" s="32">
        <f t="shared" si="2"/>
        <v>0.57940000000000003</v>
      </c>
      <c r="I68" s="32">
        <f t="shared" si="3"/>
        <v>5.7939999999999996</v>
      </c>
    </row>
    <row r="69" spans="1:9" x14ac:dyDescent="0.25">
      <c r="A69" t="s">
        <v>194</v>
      </c>
      <c r="B69" t="s">
        <v>190</v>
      </c>
      <c r="C69" s="30">
        <v>1</v>
      </c>
      <c r="D69" s="30">
        <v>2</v>
      </c>
      <c r="E69" s="31">
        <v>0.5</v>
      </c>
      <c r="F69" t="s">
        <v>129</v>
      </c>
      <c r="G69" s="33">
        <v>46078</v>
      </c>
      <c r="H69" s="32">
        <f t="shared" si="2"/>
        <v>0.57940000000000003</v>
      </c>
      <c r="I69" s="32">
        <f t="shared" si="3"/>
        <v>5.7939999999999996</v>
      </c>
    </row>
    <row r="70" spans="1:9" x14ac:dyDescent="0.25">
      <c r="A70" t="s">
        <v>195</v>
      </c>
      <c r="B70" t="s">
        <v>190</v>
      </c>
      <c r="C70" s="30">
        <v>1</v>
      </c>
      <c r="D70" s="30">
        <v>2</v>
      </c>
      <c r="E70" s="31">
        <v>0.5</v>
      </c>
      <c r="F70" t="s">
        <v>126</v>
      </c>
      <c r="H70" s="32">
        <f t="shared" ref="H70:H101" si="4">CoreBpsBlended*D70*GrowthModeFactor</f>
        <v>0.57940000000000003</v>
      </c>
      <c r="I70" s="32">
        <f t="shared" ref="I70:I101" si="5">CoreBpsBlended*D70</f>
        <v>5.7939999999999996</v>
      </c>
    </row>
    <row r="71" spans="1:9" x14ac:dyDescent="0.25">
      <c r="A71" t="s">
        <v>196</v>
      </c>
      <c r="B71" t="s">
        <v>190</v>
      </c>
      <c r="C71" s="30">
        <v>1</v>
      </c>
      <c r="D71" s="30">
        <v>2</v>
      </c>
      <c r="E71" s="31">
        <v>0.5</v>
      </c>
      <c r="F71" t="s">
        <v>129</v>
      </c>
      <c r="G71" s="33">
        <v>46051</v>
      </c>
      <c r="H71" s="32">
        <f t="shared" si="4"/>
        <v>0.57940000000000003</v>
      </c>
      <c r="I71" s="32">
        <f t="shared" si="5"/>
        <v>5.7939999999999996</v>
      </c>
    </row>
    <row r="72" spans="1:9" x14ac:dyDescent="0.25">
      <c r="A72" t="s">
        <v>197</v>
      </c>
      <c r="B72" t="s">
        <v>190</v>
      </c>
      <c r="C72" s="30">
        <v>1</v>
      </c>
      <c r="D72" s="30">
        <v>2</v>
      </c>
      <c r="E72" s="31">
        <v>0.5</v>
      </c>
      <c r="F72" t="s">
        <v>126</v>
      </c>
      <c r="H72" s="32">
        <f t="shared" si="4"/>
        <v>0.57940000000000003</v>
      </c>
      <c r="I72" s="32">
        <f t="shared" si="5"/>
        <v>5.7939999999999996</v>
      </c>
    </row>
    <row r="73" spans="1:9" x14ac:dyDescent="0.25">
      <c r="A73" t="s">
        <v>198</v>
      </c>
      <c r="B73" t="s">
        <v>190</v>
      </c>
      <c r="C73" s="30">
        <v>1</v>
      </c>
      <c r="D73" s="30">
        <v>2</v>
      </c>
      <c r="E73" s="31">
        <v>0.5</v>
      </c>
      <c r="F73" t="s">
        <v>129</v>
      </c>
      <c r="G73" s="33">
        <v>46077</v>
      </c>
      <c r="H73" s="32">
        <f t="shared" si="4"/>
        <v>0.57940000000000003</v>
      </c>
      <c r="I73" s="32">
        <f t="shared" si="5"/>
        <v>5.7939999999999996</v>
      </c>
    </row>
    <row r="74" spans="1:9" x14ac:dyDescent="0.25">
      <c r="A74" t="s">
        <v>199</v>
      </c>
      <c r="B74" t="s">
        <v>190</v>
      </c>
      <c r="C74" s="30">
        <v>1</v>
      </c>
      <c r="D74" s="30">
        <v>2</v>
      </c>
      <c r="E74" s="31">
        <v>0.5</v>
      </c>
      <c r="F74" t="s">
        <v>129</v>
      </c>
      <c r="G74" s="33">
        <v>46064</v>
      </c>
      <c r="H74" s="32">
        <f t="shared" si="4"/>
        <v>0.57940000000000003</v>
      </c>
      <c r="I74" s="32">
        <f t="shared" si="5"/>
        <v>5.7939999999999996</v>
      </c>
    </row>
    <row r="75" spans="1:9" x14ac:dyDescent="0.25">
      <c r="A75" t="s">
        <v>200</v>
      </c>
      <c r="B75" t="s">
        <v>190</v>
      </c>
      <c r="C75" s="30">
        <v>1</v>
      </c>
      <c r="D75" s="30">
        <v>2</v>
      </c>
      <c r="E75" s="31">
        <v>0.5</v>
      </c>
      <c r="F75" t="s">
        <v>129</v>
      </c>
      <c r="G75" s="33">
        <v>46077</v>
      </c>
      <c r="H75" s="32">
        <f t="shared" si="4"/>
        <v>0.57940000000000003</v>
      </c>
      <c r="I75" s="32">
        <f t="shared" si="5"/>
        <v>5.7939999999999996</v>
      </c>
    </row>
    <row r="76" spans="1:9" x14ac:dyDescent="0.25">
      <c r="A76" t="s">
        <v>201</v>
      </c>
      <c r="B76" t="s">
        <v>190</v>
      </c>
      <c r="C76" s="30">
        <v>1</v>
      </c>
      <c r="D76" s="30">
        <v>2</v>
      </c>
      <c r="E76" s="31">
        <v>0.5</v>
      </c>
      <c r="F76" t="s">
        <v>129</v>
      </c>
      <c r="G76" s="33">
        <v>46091</v>
      </c>
      <c r="H76" s="32">
        <f t="shared" si="4"/>
        <v>0.57940000000000003</v>
      </c>
      <c r="I76" s="32">
        <f t="shared" si="5"/>
        <v>5.7939999999999996</v>
      </c>
    </row>
    <row r="77" spans="1:9" x14ac:dyDescent="0.25">
      <c r="A77" t="s">
        <v>202</v>
      </c>
      <c r="B77" t="s">
        <v>190</v>
      </c>
      <c r="C77" s="30">
        <v>1</v>
      </c>
      <c r="D77" s="30">
        <v>2</v>
      </c>
      <c r="E77" s="31">
        <v>0.5</v>
      </c>
      <c r="F77" t="s">
        <v>129</v>
      </c>
      <c r="G77" s="33">
        <v>46078</v>
      </c>
      <c r="H77" s="32">
        <f t="shared" si="4"/>
        <v>0.57940000000000003</v>
      </c>
      <c r="I77" s="32">
        <f t="shared" si="5"/>
        <v>5.7939999999999996</v>
      </c>
    </row>
    <row r="78" spans="1:9" x14ac:dyDescent="0.25">
      <c r="A78" t="s">
        <v>203</v>
      </c>
      <c r="B78" t="s">
        <v>190</v>
      </c>
      <c r="C78" s="30">
        <v>1</v>
      </c>
      <c r="D78" s="30">
        <v>2</v>
      </c>
      <c r="E78" s="31">
        <v>0.5</v>
      </c>
      <c r="F78" t="s">
        <v>129</v>
      </c>
      <c r="G78" s="33">
        <v>46050</v>
      </c>
      <c r="H78" s="32">
        <f t="shared" si="4"/>
        <v>0.57940000000000003</v>
      </c>
      <c r="I78" s="32">
        <f t="shared" si="5"/>
        <v>5.7939999999999996</v>
      </c>
    </row>
    <row r="79" spans="1:9" x14ac:dyDescent="0.25">
      <c r="A79" t="s">
        <v>204</v>
      </c>
      <c r="B79" t="s">
        <v>190</v>
      </c>
      <c r="C79" s="30">
        <v>1</v>
      </c>
      <c r="D79" s="30">
        <v>2</v>
      </c>
      <c r="E79" s="31">
        <v>0.5</v>
      </c>
      <c r="F79" t="s">
        <v>129</v>
      </c>
      <c r="G79" s="33">
        <v>46029</v>
      </c>
      <c r="H79" s="32">
        <f t="shared" si="4"/>
        <v>0.57940000000000003</v>
      </c>
      <c r="I79" s="32">
        <f t="shared" si="5"/>
        <v>5.7939999999999996</v>
      </c>
    </row>
    <row r="80" spans="1:9" x14ac:dyDescent="0.25">
      <c r="A80" t="s">
        <v>205</v>
      </c>
      <c r="B80" t="s">
        <v>190</v>
      </c>
      <c r="C80" s="30">
        <v>1</v>
      </c>
      <c r="D80" s="30">
        <v>2</v>
      </c>
      <c r="E80" s="31">
        <v>0.5</v>
      </c>
      <c r="F80" t="s">
        <v>129</v>
      </c>
      <c r="G80" s="33">
        <v>46121</v>
      </c>
      <c r="H80" s="32">
        <f t="shared" si="4"/>
        <v>0.57940000000000003</v>
      </c>
      <c r="I80" s="32">
        <f t="shared" si="5"/>
        <v>5.7939999999999996</v>
      </c>
    </row>
    <row r="81" spans="1:9" x14ac:dyDescent="0.25">
      <c r="A81" t="s">
        <v>206</v>
      </c>
      <c r="B81" t="s">
        <v>190</v>
      </c>
      <c r="C81" s="30">
        <v>1</v>
      </c>
      <c r="D81" s="30">
        <v>2</v>
      </c>
      <c r="E81" s="31">
        <v>0.5</v>
      </c>
      <c r="F81" t="s">
        <v>129</v>
      </c>
      <c r="G81" s="33">
        <v>46038</v>
      </c>
      <c r="H81" s="32">
        <f t="shared" si="4"/>
        <v>0.57940000000000003</v>
      </c>
      <c r="I81" s="32">
        <f t="shared" si="5"/>
        <v>5.7939999999999996</v>
      </c>
    </row>
    <row r="82" spans="1:9" x14ac:dyDescent="0.25">
      <c r="A82" t="s">
        <v>207</v>
      </c>
      <c r="B82" t="s">
        <v>190</v>
      </c>
      <c r="C82" s="30">
        <v>1</v>
      </c>
      <c r="D82" s="30">
        <v>2</v>
      </c>
      <c r="E82" s="31">
        <v>0.5</v>
      </c>
      <c r="F82" t="s">
        <v>129</v>
      </c>
      <c r="G82" s="33">
        <v>46029</v>
      </c>
      <c r="H82" s="32">
        <f t="shared" si="4"/>
        <v>0.57940000000000003</v>
      </c>
      <c r="I82" s="32">
        <f t="shared" si="5"/>
        <v>5.7939999999999996</v>
      </c>
    </row>
    <row r="83" spans="1:9" x14ac:dyDescent="0.25">
      <c r="A83" t="s">
        <v>208</v>
      </c>
      <c r="B83" t="s">
        <v>190</v>
      </c>
      <c r="C83" s="30">
        <v>1</v>
      </c>
      <c r="D83" s="30">
        <v>2</v>
      </c>
      <c r="E83" s="31">
        <v>0.5</v>
      </c>
      <c r="F83" t="s">
        <v>129</v>
      </c>
      <c r="G83" s="33">
        <v>46043</v>
      </c>
      <c r="H83" s="32">
        <f t="shared" si="4"/>
        <v>0.57940000000000003</v>
      </c>
      <c r="I83" s="32">
        <f t="shared" si="5"/>
        <v>5.7939999999999996</v>
      </c>
    </row>
    <row r="84" spans="1:9" x14ac:dyDescent="0.25">
      <c r="A84" t="s">
        <v>209</v>
      </c>
      <c r="B84" t="s">
        <v>190</v>
      </c>
      <c r="C84" s="30">
        <v>1</v>
      </c>
      <c r="D84" s="30">
        <v>2</v>
      </c>
      <c r="E84" s="31">
        <v>0.5</v>
      </c>
      <c r="F84" t="s">
        <v>129</v>
      </c>
      <c r="G84" s="33">
        <v>46057</v>
      </c>
      <c r="H84" s="32">
        <f t="shared" si="4"/>
        <v>0.57940000000000003</v>
      </c>
      <c r="I84" s="32">
        <f t="shared" si="5"/>
        <v>5.7939999999999996</v>
      </c>
    </row>
    <row r="85" spans="1:9" x14ac:dyDescent="0.25">
      <c r="A85" t="s">
        <v>210</v>
      </c>
      <c r="B85" t="s">
        <v>190</v>
      </c>
      <c r="C85" s="30">
        <v>1</v>
      </c>
      <c r="D85" s="30">
        <v>2</v>
      </c>
      <c r="E85" s="31">
        <v>0.5</v>
      </c>
      <c r="F85" t="s">
        <v>129</v>
      </c>
      <c r="G85" s="33">
        <v>46044</v>
      </c>
      <c r="H85" s="32">
        <f t="shared" si="4"/>
        <v>0.57940000000000003</v>
      </c>
      <c r="I85" s="32">
        <f t="shared" si="5"/>
        <v>5.7939999999999996</v>
      </c>
    </row>
    <row r="86" spans="1:9" x14ac:dyDescent="0.25">
      <c r="A86" t="s">
        <v>211</v>
      </c>
      <c r="B86" t="s">
        <v>190</v>
      </c>
      <c r="C86" s="30">
        <v>1</v>
      </c>
      <c r="D86" s="30">
        <v>2</v>
      </c>
      <c r="E86" s="31">
        <v>0.5</v>
      </c>
      <c r="F86" t="s">
        <v>129</v>
      </c>
      <c r="G86" s="33">
        <v>46029</v>
      </c>
      <c r="H86" s="32">
        <f t="shared" si="4"/>
        <v>0.57940000000000003</v>
      </c>
      <c r="I86" s="32">
        <f t="shared" si="5"/>
        <v>5.7939999999999996</v>
      </c>
    </row>
    <row r="87" spans="1:9" x14ac:dyDescent="0.25">
      <c r="A87" t="s">
        <v>212</v>
      </c>
      <c r="B87" t="s">
        <v>190</v>
      </c>
      <c r="C87" s="30">
        <v>1</v>
      </c>
      <c r="D87" s="30">
        <v>2</v>
      </c>
      <c r="E87" s="31">
        <v>0.5</v>
      </c>
      <c r="F87" t="s">
        <v>129</v>
      </c>
      <c r="G87" s="33">
        <v>46121</v>
      </c>
      <c r="H87" s="32">
        <f t="shared" si="4"/>
        <v>0.57940000000000003</v>
      </c>
      <c r="I87" s="32">
        <f t="shared" si="5"/>
        <v>5.7939999999999996</v>
      </c>
    </row>
    <row r="88" spans="1:9" x14ac:dyDescent="0.25">
      <c r="A88" t="s">
        <v>213</v>
      </c>
      <c r="B88" t="s">
        <v>214</v>
      </c>
      <c r="C88" s="30">
        <v>1</v>
      </c>
      <c r="D88" s="30">
        <v>2</v>
      </c>
      <c r="E88" s="31">
        <v>0.5</v>
      </c>
      <c r="F88" t="s">
        <v>126</v>
      </c>
      <c r="H88" s="32">
        <f t="shared" si="4"/>
        <v>0.57940000000000003</v>
      </c>
      <c r="I88" s="32">
        <f t="shared" si="5"/>
        <v>5.7939999999999996</v>
      </c>
    </row>
    <row r="89" spans="1:9" x14ac:dyDescent="0.25">
      <c r="A89" t="s">
        <v>215</v>
      </c>
      <c r="B89" t="s">
        <v>214</v>
      </c>
      <c r="C89" s="30">
        <v>1</v>
      </c>
      <c r="D89" s="30">
        <v>2</v>
      </c>
      <c r="E89" s="31">
        <v>0.5</v>
      </c>
      <c r="F89" t="s">
        <v>126</v>
      </c>
      <c r="H89" s="32">
        <f t="shared" si="4"/>
        <v>0.57940000000000003</v>
      </c>
      <c r="I89" s="32">
        <f t="shared" si="5"/>
        <v>5.7939999999999996</v>
      </c>
    </row>
    <row r="90" spans="1:9" x14ac:dyDescent="0.25">
      <c r="A90" t="s">
        <v>216</v>
      </c>
      <c r="B90" t="s">
        <v>214</v>
      </c>
      <c r="C90" s="30">
        <v>1</v>
      </c>
      <c r="D90" s="30">
        <v>2</v>
      </c>
      <c r="E90" s="31">
        <v>0.5</v>
      </c>
      <c r="F90" t="s">
        <v>126</v>
      </c>
      <c r="H90" s="32">
        <f t="shared" si="4"/>
        <v>0.57940000000000003</v>
      </c>
      <c r="I90" s="32">
        <f t="shared" si="5"/>
        <v>5.7939999999999996</v>
      </c>
    </row>
    <row r="91" spans="1:9" x14ac:dyDescent="0.25">
      <c r="A91" t="s">
        <v>217</v>
      </c>
      <c r="B91" t="s">
        <v>214</v>
      </c>
      <c r="C91" s="30">
        <v>1</v>
      </c>
      <c r="D91" s="30">
        <v>2</v>
      </c>
      <c r="E91" s="31">
        <v>0.5</v>
      </c>
      <c r="F91" t="s">
        <v>126</v>
      </c>
      <c r="H91" s="32">
        <f t="shared" si="4"/>
        <v>0.57940000000000003</v>
      </c>
      <c r="I91" s="32">
        <f t="shared" si="5"/>
        <v>5.7939999999999996</v>
      </c>
    </row>
    <row r="92" spans="1:9" x14ac:dyDescent="0.25">
      <c r="A92" t="s">
        <v>218</v>
      </c>
      <c r="B92" t="s">
        <v>219</v>
      </c>
      <c r="C92" s="30">
        <v>1</v>
      </c>
      <c r="D92" s="30">
        <v>2</v>
      </c>
      <c r="E92" s="31">
        <v>0.5</v>
      </c>
      <c r="F92" t="s">
        <v>126</v>
      </c>
      <c r="H92" s="32">
        <f t="shared" si="4"/>
        <v>0.57940000000000003</v>
      </c>
      <c r="I92" s="32">
        <f t="shared" si="5"/>
        <v>5.7939999999999996</v>
      </c>
    </row>
    <row r="93" spans="1:9" x14ac:dyDescent="0.25">
      <c r="A93" t="s">
        <v>220</v>
      </c>
      <c r="B93" t="s">
        <v>219</v>
      </c>
      <c r="C93" s="30">
        <v>1</v>
      </c>
      <c r="D93" s="30">
        <v>2</v>
      </c>
      <c r="E93" s="31">
        <v>0.5</v>
      </c>
      <c r="F93" t="s">
        <v>129</v>
      </c>
      <c r="G93" s="33">
        <v>46056</v>
      </c>
      <c r="H93" s="32">
        <f t="shared" si="4"/>
        <v>0.57940000000000003</v>
      </c>
      <c r="I93" s="32">
        <f t="shared" si="5"/>
        <v>5.7939999999999996</v>
      </c>
    </row>
    <row r="94" spans="1:9" x14ac:dyDescent="0.25">
      <c r="A94" t="s">
        <v>221</v>
      </c>
      <c r="B94" t="s">
        <v>219</v>
      </c>
      <c r="C94" s="30">
        <v>1</v>
      </c>
      <c r="D94" s="30">
        <v>2</v>
      </c>
      <c r="E94" s="31">
        <v>0.5</v>
      </c>
      <c r="F94" t="s">
        <v>129</v>
      </c>
      <c r="G94" s="33">
        <v>46056</v>
      </c>
      <c r="H94" s="32">
        <f t="shared" si="4"/>
        <v>0.57940000000000003</v>
      </c>
      <c r="I94" s="32">
        <f t="shared" si="5"/>
        <v>5.7939999999999996</v>
      </c>
    </row>
    <row r="95" spans="1:9" x14ac:dyDescent="0.25">
      <c r="A95" t="s">
        <v>222</v>
      </c>
      <c r="B95" t="s">
        <v>219</v>
      </c>
      <c r="C95" s="30">
        <v>1</v>
      </c>
      <c r="D95" s="30">
        <v>2</v>
      </c>
      <c r="E95" s="31">
        <v>0.5</v>
      </c>
      <c r="F95" t="s">
        <v>129</v>
      </c>
      <c r="G95" s="33">
        <v>46056</v>
      </c>
      <c r="H95" s="32">
        <f t="shared" si="4"/>
        <v>0.57940000000000003</v>
      </c>
      <c r="I95" s="32">
        <f t="shared" si="5"/>
        <v>5.7939999999999996</v>
      </c>
    </row>
    <row r="96" spans="1:9" x14ac:dyDescent="0.25">
      <c r="A96" t="s">
        <v>223</v>
      </c>
      <c r="B96" t="s">
        <v>219</v>
      </c>
      <c r="C96" s="30">
        <v>1</v>
      </c>
      <c r="D96" s="30">
        <v>2</v>
      </c>
      <c r="E96" s="31">
        <v>0.5</v>
      </c>
      <c r="F96" t="s">
        <v>126</v>
      </c>
      <c r="H96" s="32">
        <f t="shared" si="4"/>
        <v>0.57940000000000003</v>
      </c>
      <c r="I96" s="32">
        <f t="shared" si="5"/>
        <v>5.7939999999999996</v>
      </c>
    </row>
    <row r="97" spans="1:9" x14ac:dyDescent="0.25">
      <c r="A97" t="s">
        <v>224</v>
      </c>
      <c r="B97" t="s">
        <v>219</v>
      </c>
      <c r="C97" s="30">
        <v>1</v>
      </c>
      <c r="D97" s="30">
        <v>2</v>
      </c>
      <c r="E97" s="31">
        <v>0.5</v>
      </c>
      <c r="F97" t="s">
        <v>129</v>
      </c>
      <c r="G97" s="33">
        <v>46056</v>
      </c>
      <c r="H97" s="32">
        <f t="shared" si="4"/>
        <v>0.57940000000000003</v>
      </c>
      <c r="I97" s="32">
        <f t="shared" si="5"/>
        <v>5.7939999999999996</v>
      </c>
    </row>
    <row r="98" spans="1:9" x14ac:dyDescent="0.25">
      <c r="A98" t="s">
        <v>225</v>
      </c>
      <c r="B98" t="s">
        <v>219</v>
      </c>
      <c r="C98" s="30">
        <v>1</v>
      </c>
      <c r="D98" s="30">
        <v>2</v>
      </c>
      <c r="E98" s="31">
        <v>0.5</v>
      </c>
      <c r="F98" t="s">
        <v>129</v>
      </c>
      <c r="G98" s="33">
        <v>46056</v>
      </c>
      <c r="H98" s="32">
        <f t="shared" si="4"/>
        <v>0.57940000000000003</v>
      </c>
      <c r="I98" s="32">
        <f t="shared" si="5"/>
        <v>5.7939999999999996</v>
      </c>
    </row>
    <row r="99" spans="1:9" x14ac:dyDescent="0.25">
      <c r="A99" t="s">
        <v>226</v>
      </c>
      <c r="B99" t="s">
        <v>219</v>
      </c>
      <c r="C99" s="30">
        <v>1</v>
      </c>
      <c r="D99" s="30">
        <v>2</v>
      </c>
      <c r="E99" s="31">
        <v>0.5</v>
      </c>
      <c r="F99" t="s">
        <v>129</v>
      </c>
      <c r="G99" s="33">
        <v>46056</v>
      </c>
      <c r="H99" s="32">
        <f t="shared" si="4"/>
        <v>0.57940000000000003</v>
      </c>
      <c r="I99" s="32">
        <f t="shared" si="5"/>
        <v>5.7939999999999996</v>
      </c>
    </row>
    <row r="100" spans="1:9" x14ac:dyDescent="0.25">
      <c r="A100" t="s">
        <v>227</v>
      </c>
      <c r="B100" t="s">
        <v>219</v>
      </c>
      <c r="C100" s="30">
        <v>1</v>
      </c>
      <c r="D100" s="30">
        <v>2</v>
      </c>
      <c r="E100" s="31">
        <v>0.5</v>
      </c>
      <c r="F100" t="s">
        <v>126</v>
      </c>
      <c r="H100" s="32">
        <f t="shared" si="4"/>
        <v>0.57940000000000003</v>
      </c>
      <c r="I100" s="32">
        <f t="shared" si="5"/>
        <v>5.7939999999999996</v>
      </c>
    </row>
    <row r="101" spans="1:9" x14ac:dyDescent="0.25">
      <c r="A101" t="s">
        <v>228</v>
      </c>
      <c r="B101" t="s">
        <v>219</v>
      </c>
      <c r="C101" s="30">
        <v>1</v>
      </c>
      <c r="D101" s="30">
        <v>2</v>
      </c>
      <c r="E101" s="31">
        <v>0.5</v>
      </c>
      <c r="F101" t="s">
        <v>129</v>
      </c>
      <c r="G101" s="33">
        <v>46056</v>
      </c>
      <c r="H101" s="32">
        <f t="shared" si="4"/>
        <v>0.57940000000000003</v>
      </c>
      <c r="I101" s="32">
        <f t="shared" si="5"/>
        <v>5.7939999999999996</v>
      </c>
    </row>
    <row r="102" spans="1:9" x14ac:dyDescent="0.25">
      <c r="A102" t="s">
        <v>229</v>
      </c>
      <c r="B102" t="s">
        <v>219</v>
      </c>
      <c r="C102" s="30">
        <v>1</v>
      </c>
      <c r="D102" s="30">
        <v>2</v>
      </c>
      <c r="E102" s="31">
        <v>0.5</v>
      </c>
      <c r="F102" t="s">
        <v>129</v>
      </c>
      <c r="G102" s="33">
        <v>46056</v>
      </c>
      <c r="H102" s="32">
        <f t="shared" ref="H102:H133" si="6">CoreBpsBlended*D102*GrowthModeFactor</f>
        <v>0.57940000000000003</v>
      </c>
      <c r="I102" s="32">
        <f t="shared" ref="I102:I133" si="7">CoreBpsBlended*D102</f>
        <v>5.7939999999999996</v>
      </c>
    </row>
    <row r="103" spans="1:9" x14ac:dyDescent="0.25">
      <c r="A103" t="s">
        <v>230</v>
      </c>
      <c r="B103" t="s">
        <v>219</v>
      </c>
      <c r="C103" s="30">
        <v>1</v>
      </c>
      <c r="D103" s="30">
        <v>2</v>
      </c>
      <c r="E103" s="31">
        <v>0.5</v>
      </c>
      <c r="F103" t="s">
        <v>126</v>
      </c>
      <c r="H103" s="32">
        <f t="shared" si="6"/>
        <v>0.57940000000000003</v>
      </c>
      <c r="I103" s="32">
        <f t="shared" si="7"/>
        <v>5.7939999999999996</v>
      </c>
    </row>
    <row r="104" spans="1:9" x14ac:dyDescent="0.25">
      <c r="A104" t="s">
        <v>231</v>
      </c>
      <c r="B104" t="s">
        <v>219</v>
      </c>
      <c r="C104" s="30">
        <v>1</v>
      </c>
      <c r="D104" s="30">
        <v>2</v>
      </c>
      <c r="E104" s="31">
        <v>0.5</v>
      </c>
      <c r="F104" t="s">
        <v>129</v>
      </c>
      <c r="G104" s="33">
        <v>46132</v>
      </c>
      <c r="H104" s="32">
        <f t="shared" si="6"/>
        <v>0.57940000000000003</v>
      </c>
      <c r="I104" s="32">
        <f t="shared" si="7"/>
        <v>5.7939999999999996</v>
      </c>
    </row>
    <row r="105" spans="1:9" x14ac:dyDescent="0.25">
      <c r="A105" t="s">
        <v>232</v>
      </c>
      <c r="B105" t="s">
        <v>219</v>
      </c>
      <c r="C105" s="30">
        <v>1</v>
      </c>
      <c r="D105" s="30">
        <v>2</v>
      </c>
      <c r="E105" s="31">
        <v>0.5</v>
      </c>
      <c r="F105" t="s">
        <v>126</v>
      </c>
      <c r="H105" s="32">
        <f t="shared" si="6"/>
        <v>0.57940000000000003</v>
      </c>
      <c r="I105" s="32">
        <f t="shared" si="7"/>
        <v>5.7939999999999996</v>
      </c>
    </row>
    <row r="106" spans="1:9" x14ac:dyDescent="0.25">
      <c r="A106" t="s">
        <v>233</v>
      </c>
      <c r="B106" t="s">
        <v>219</v>
      </c>
      <c r="C106" s="30">
        <v>1</v>
      </c>
      <c r="D106" s="30">
        <v>2</v>
      </c>
      <c r="E106" s="31">
        <v>0.5</v>
      </c>
      <c r="F106" t="s">
        <v>129</v>
      </c>
      <c r="G106" s="33">
        <v>46119</v>
      </c>
      <c r="H106" s="32">
        <f t="shared" si="6"/>
        <v>0.57940000000000003</v>
      </c>
      <c r="I106" s="32">
        <f t="shared" si="7"/>
        <v>5.7939999999999996</v>
      </c>
    </row>
    <row r="107" spans="1:9" x14ac:dyDescent="0.25">
      <c r="A107" t="s">
        <v>234</v>
      </c>
      <c r="B107" t="s">
        <v>235</v>
      </c>
      <c r="C107" s="30">
        <v>1</v>
      </c>
      <c r="D107" s="30">
        <v>2</v>
      </c>
      <c r="E107" s="31">
        <v>0.5</v>
      </c>
      <c r="F107" t="s">
        <v>129</v>
      </c>
      <c r="G107" s="33">
        <v>45984</v>
      </c>
      <c r="H107" s="32">
        <f t="shared" si="6"/>
        <v>0.57940000000000003</v>
      </c>
      <c r="I107" s="32">
        <f t="shared" si="7"/>
        <v>5.7939999999999996</v>
      </c>
    </row>
    <row r="108" spans="1:9" x14ac:dyDescent="0.25">
      <c r="A108" t="s">
        <v>236</v>
      </c>
      <c r="B108" t="s">
        <v>235</v>
      </c>
      <c r="C108" s="30">
        <v>1</v>
      </c>
      <c r="D108" s="30">
        <v>2</v>
      </c>
      <c r="E108" s="31">
        <v>0.5</v>
      </c>
      <c r="F108" t="s">
        <v>129</v>
      </c>
      <c r="G108" s="33">
        <v>46043</v>
      </c>
      <c r="H108" s="32">
        <f t="shared" si="6"/>
        <v>0.57940000000000003</v>
      </c>
      <c r="I108" s="32">
        <f t="shared" si="7"/>
        <v>5.7939999999999996</v>
      </c>
    </row>
    <row r="109" spans="1:9" x14ac:dyDescent="0.25">
      <c r="A109" t="s">
        <v>237</v>
      </c>
      <c r="B109" t="s">
        <v>235</v>
      </c>
      <c r="C109" s="30">
        <v>1</v>
      </c>
      <c r="D109" s="30">
        <v>2</v>
      </c>
      <c r="E109" s="31">
        <v>0.5</v>
      </c>
      <c r="F109" t="s">
        <v>129</v>
      </c>
      <c r="G109" s="33">
        <v>45984</v>
      </c>
      <c r="H109" s="32">
        <f t="shared" si="6"/>
        <v>0.57940000000000003</v>
      </c>
      <c r="I109" s="32">
        <f t="shared" si="7"/>
        <v>5.7939999999999996</v>
      </c>
    </row>
    <row r="110" spans="1:9" x14ac:dyDescent="0.25">
      <c r="A110" t="s">
        <v>238</v>
      </c>
      <c r="B110" t="s">
        <v>235</v>
      </c>
      <c r="C110" s="30">
        <v>1</v>
      </c>
      <c r="D110" s="30">
        <v>2</v>
      </c>
      <c r="E110" s="31">
        <v>0.5</v>
      </c>
      <c r="F110" t="s">
        <v>129</v>
      </c>
      <c r="G110" s="33">
        <v>45984</v>
      </c>
      <c r="H110" s="32">
        <f t="shared" si="6"/>
        <v>0.57940000000000003</v>
      </c>
      <c r="I110" s="32">
        <f t="shared" si="7"/>
        <v>5.7939999999999996</v>
      </c>
    </row>
    <row r="111" spans="1:9" x14ac:dyDescent="0.25">
      <c r="A111" t="s">
        <v>239</v>
      </c>
      <c r="B111" t="s">
        <v>235</v>
      </c>
      <c r="C111" s="30">
        <v>1</v>
      </c>
      <c r="D111" s="30">
        <v>2</v>
      </c>
      <c r="E111" s="31">
        <v>0.5</v>
      </c>
      <c r="F111" t="s">
        <v>129</v>
      </c>
      <c r="G111" s="33">
        <v>46153</v>
      </c>
      <c r="H111" s="32">
        <f t="shared" si="6"/>
        <v>0.57940000000000003</v>
      </c>
      <c r="I111" s="32">
        <f t="shared" si="7"/>
        <v>5.7939999999999996</v>
      </c>
    </row>
    <row r="112" spans="1:9" x14ac:dyDescent="0.25">
      <c r="A112" t="s">
        <v>240</v>
      </c>
      <c r="B112" t="s">
        <v>235</v>
      </c>
      <c r="C112" s="30">
        <v>1</v>
      </c>
      <c r="D112" s="30">
        <v>2</v>
      </c>
      <c r="E112" s="31">
        <v>0.5</v>
      </c>
      <c r="F112" t="s">
        <v>129</v>
      </c>
      <c r="G112" s="33">
        <v>46028</v>
      </c>
      <c r="H112" s="32">
        <f t="shared" si="6"/>
        <v>0.57940000000000003</v>
      </c>
      <c r="I112" s="32">
        <f t="shared" si="7"/>
        <v>5.7939999999999996</v>
      </c>
    </row>
    <row r="113" spans="1:9" x14ac:dyDescent="0.25">
      <c r="A113" t="s">
        <v>241</v>
      </c>
      <c r="B113" t="s">
        <v>235</v>
      </c>
      <c r="C113" s="30">
        <v>1</v>
      </c>
      <c r="D113" s="30">
        <v>2</v>
      </c>
      <c r="E113" s="31">
        <v>0.5</v>
      </c>
      <c r="F113" t="s">
        <v>129</v>
      </c>
      <c r="G113" s="33">
        <v>46127</v>
      </c>
      <c r="H113" s="32">
        <f t="shared" si="6"/>
        <v>0.57940000000000003</v>
      </c>
      <c r="I113" s="32">
        <f t="shared" si="7"/>
        <v>5.7939999999999996</v>
      </c>
    </row>
    <row r="114" spans="1:9" x14ac:dyDescent="0.25">
      <c r="A114" t="s">
        <v>242</v>
      </c>
      <c r="B114" t="s">
        <v>235</v>
      </c>
      <c r="C114" s="30">
        <v>1</v>
      </c>
      <c r="D114" s="30">
        <v>2</v>
      </c>
      <c r="E114" s="31">
        <v>0.5</v>
      </c>
      <c r="F114" t="s">
        <v>129</v>
      </c>
      <c r="G114" s="33">
        <v>46085</v>
      </c>
      <c r="H114" s="32">
        <f t="shared" si="6"/>
        <v>0.57940000000000003</v>
      </c>
      <c r="I114" s="32">
        <f t="shared" si="7"/>
        <v>5.7939999999999996</v>
      </c>
    </row>
    <row r="115" spans="1:9" x14ac:dyDescent="0.25">
      <c r="A115" t="s">
        <v>243</v>
      </c>
      <c r="B115" t="s">
        <v>235</v>
      </c>
      <c r="C115" s="30">
        <v>1</v>
      </c>
      <c r="D115" s="30">
        <v>2</v>
      </c>
      <c r="E115" s="31">
        <v>0.5</v>
      </c>
      <c r="F115" t="s">
        <v>129</v>
      </c>
      <c r="G115" s="33">
        <v>46118</v>
      </c>
      <c r="H115" s="32">
        <f t="shared" si="6"/>
        <v>0.57940000000000003</v>
      </c>
      <c r="I115" s="32">
        <f t="shared" si="7"/>
        <v>5.7939999999999996</v>
      </c>
    </row>
    <row r="116" spans="1:9" x14ac:dyDescent="0.25">
      <c r="A116" t="s">
        <v>244</v>
      </c>
      <c r="B116" t="s">
        <v>235</v>
      </c>
      <c r="C116" s="30">
        <v>1</v>
      </c>
      <c r="D116" s="30">
        <v>2</v>
      </c>
      <c r="E116" s="31">
        <v>0.5</v>
      </c>
      <c r="F116" t="s">
        <v>129</v>
      </c>
      <c r="G116" s="33">
        <v>46136</v>
      </c>
      <c r="H116" s="32">
        <f t="shared" si="6"/>
        <v>0.57940000000000003</v>
      </c>
      <c r="I116" s="32">
        <f t="shared" si="7"/>
        <v>5.7939999999999996</v>
      </c>
    </row>
    <row r="117" spans="1:9" x14ac:dyDescent="0.25">
      <c r="A117" t="s">
        <v>245</v>
      </c>
      <c r="B117" t="s">
        <v>235</v>
      </c>
      <c r="C117" s="30">
        <v>1</v>
      </c>
      <c r="D117" s="30">
        <v>2</v>
      </c>
      <c r="E117" s="31">
        <v>0.5</v>
      </c>
      <c r="F117" t="s">
        <v>129</v>
      </c>
      <c r="G117" s="33">
        <v>46028</v>
      </c>
      <c r="H117" s="32">
        <f t="shared" si="6"/>
        <v>0.57940000000000003</v>
      </c>
      <c r="I117" s="32">
        <f t="shared" si="7"/>
        <v>5.7939999999999996</v>
      </c>
    </row>
    <row r="118" spans="1:9" x14ac:dyDescent="0.25">
      <c r="A118" t="s">
        <v>246</v>
      </c>
      <c r="B118" t="s">
        <v>235</v>
      </c>
      <c r="C118" s="30">
        <v>1</v>
      </c>
      <c r="D118" s="30">
        <v>2</v>
      </c>
      <c r="E118" s="31">
        <v>0.5</v>
      </c>
      <c r="F118" t="s">
        <v>129</v>
      </c>
      <c r="G118" s="33">
        <v>45984</v>
      </c>
      <c r="H118" s="32">
        <f t="shared" si="6"/>
        <v>0.57940000000000003</v>
      </c>
      <c r="I118" s="32">
        <f t="shared" si="7"/>
        <v>5.7939999999999996</v>
      </c>
    </row>
    <row r="119" spans="1:9" x14ac:dyDescent="0.25">
      <c r="A119" t="s">
        <v>247</v>
      </c>
      <c r="B119" t="s">
        <v>235</v>
      </c>
      <c r="C119" s="30">
        <v>1</v>
      </c>
      <c r="D119" s="30">
        <v>2</v>
      </c>
      <c r="E119" s="31">
        <v>0.5</v>
      </c>
      <c r="F119" t="s">
        <v>129</v>
      </c>
      <c r="G119" s="33">
        <v>46031</v>
      </c>
      <c r="H119" s="32">
        <f t="shared" si="6"/>
        <v>0.57940000000000003</v>
      </c>
      <c r="I119" s="32">
        <f t="shared" si="7"/>
        <v>5.7939999999999996</v>
      </c>
    </row>
    <row r="120" spans="1:9" x14ac:dyDescent="0.25">
      <c r="A120" t="s">
        <v>248</v>
      </c>
      <c r="B120" t="s">
        <v>235</v>
      </c>
      <c r="C120" s="30">
        <v>1</v>
      </c>
      <c r="D120" s="30">
        <v>2</v>
      </c>
      <c r="E120" s="31">
        <v>0.5</v>
      </c>
      <c r="F120" t="s">
        <v>129</v>
      </c>
      <c r="G120" s="33">
        <v>46110</v>
      </c>
      <c r="H120" s="32">
        <f t="shared" si="6"/>
        <v>0.57940000000000003</v>
      </c>
      <c r="I120" s="32">
        <f t="shared" si="7"/>
        <v>5.7939999999999996</v>
      </c>
    </row>
    <row r="121" spans="1:9" x14ac:dyDescent="0.25">
      <c r="A121" t="s">
        <v>249</v>
      </c>
      <c r="B121" t="s">
        <v>235</v>
      </c>
      <c r="C121" s="30">
        <v>1</v>
      </c>
      <c r="D121" s="30">
        <v>2</v>
      </c>
      <c r="E121" s="31">
        <v>0.5</v>
      </c>
      <c r="F121" t="s">
        <v>129</v>
      </c>
      <c r="G121" s="33">
        <v>45996</v>
      </c>
      <c r="H121" s="32">
        <f t="shared" si="6"/>
        <v>0.57940000000000003</v>
      </c>
      <c r="I121" s="32">
        <f t="shared" si="7"/>
        <v>5.7939999999999996</v>
      </c>
    </row>
    <row r="122" spans="1:9" x14ac:dyDescent="0.25">
      <c r="A122" t="s">
        <v>250</v>
      </c>
      <c r="B122" t="s">
        <v>235</v>
      </c>
      <c r="C122" s="30">
        <v>1</v>
      </c>
      <c r="D122" s="30">
        <v>2</v>
      </c>
      <c r="E122" s="31">
        <v>0.5</v>
      </c>
      <c r="F122" t="s">
        <v>129</v>
      </c>
      <c r="G122" s="33">
        <v>45996</v>
      </c>
      <c r="H122" s="32">
        <f t="shared" si="6"/>
        <v>0.57940000000000003</v>
      </c>
      <c r="I122" s="32">
        <f t="shared" si="7"/>
        <v>5.7939999999999996</v>
      </c>
    </row>
    <row r="123" spans="1:9" x14ac:dyDescent="0.25">
      <c r="A123" t="s">
        <v>251</v>
      </c>
      <c r="B123" t="s">
        <v>235</v>
      </c>
      <c r="C123" s="30">
        <v>1</v>
      </c>
      <c r="D123" s="30">
        <v>2</v>
      </c>
      <c r="E123" s="31">
        <v>0.5</v>
      </c>
      <c r="F123" t="s">
        <v>129</v>
      </c>
      <c r="G123" s="33">
        <v>46048</v>
      </c>
      <c r="H123" s="32">
        <f t="shared" si="6"/>
        <v>0.57940000000000003</v>
      </c>
      <c r="I123" s="32">
        <f t="shared" si="7"/>
        <v>5.7939999999999996</v>
      </c>
    </row>
    <row r="124" spans="1:9" x14ac:dyDescent="0.25">
      <c r="A124" t="s">
        <v>252</v>
      </c>
      <c r="B124" t="s">
        <v>235</v>
      </c>
      <c r="C124" s="30">
        <v>1</v>
      </c>
      <c r="D124" s="30">
        <v>2</v>
      </c>
      <c r="E124" s="31">
        <v>0.5</v>
      </c>
      <c r="F124" t="s">
        <v>129</v>
      </c>
      <c r="G124" s="33">
        <v>46104</v>
      </c>
      <c r="H124" s="32">
        <f t="shared" si="6"/>
        <v>0.57940000000000003</v>
      </c>
      <c r="I124" s="32">
        <f t="shared" si="7"/>
        <v>5.7939999999999996</v>
      </c>
    </row>
    <row r="125" spans="1:9" x14ac:dyDescent="0.25">
      <c r="A125" t="s">
        <v>253</v>
      </c>
      <c r="B125" t="s">
        <v>235</v>
      </c>
      <c r="C125" s="30">
        <v>1</v>
      </c>
      <c r="D125" s="30">
        <v>2</v>
      </c>
      <c r="E125" s="31">
        <v>0.5</v>
      </c>
      <c r="F125" t="s">
        <v>129</v>
      </c>
      <c r="G125" s="33">
        <v>46134</v>
      </c>
      <c r="H125" s="32">
        <f t="shared" si="6"/>
        <v>0.57940000000000003</v>
      </c>
      <c r="I125" s="32">
        <f t="shared" si="7"/>
        <v>5.7939999999999996</v>
      </c>
    </row>
    <row r="126" spans="1:9" x14ac:dyDescent="0.25">
      <c r="A126" t="s">
        <v>254</v>
      </c>
      <c r="B126" t="s">
        <v>235</v>
      </c>
      <c r="C126" s="30">
        <v>1</v>
      </c>
      <c r="D126" s="30">
        <v>2</v>
      </c>
      <c r="E126" s="31">
        <v>0.5</v>
      </c>
      <c r="F126" t="s">
        <v>129</v>
      </c>
      <c r="G126" s="33">
        <v>46054</v>
      </c>
      <c r="H126" s="32">
        <f t="shared" si="6"/>
        <v>0.57940000000000003</v>
      </c>
      <c r="I126" s="32">
        <f t="shared" si="7"/>
        <v>5.7939999999999996</v>
      </c>
    </row>
    <row r="127" spans="1:9" x14ac:dyDescent="0.25">
      <c r="A127" t="s">
        <v>255</v>
      </c>
      <c r="B127" t="s">
        <v>235</v>
      </c>
      <c r="C127" s="30">
        <v>1</v>
      </c>
      <c r="D127" s="30">
        <v>2</v>
      </c>
      <c r="E127" s="31">
        <v>0.5</v>
      </c>
      <c r="F127" t="s">
        <v>129</v>
      </c>
      <c r="G127" s="33">
        <v>46147</v>
      </c>
      <c r="H127" s="32">
        <f t="shared" si="6"/>
        <v>0.57940000000000003</v>
      </c>
      <c r="I127" s="32">
        <f t="shared" si="7"/>
        <v>5.7939999999999996</v>
      </c>
    </row>
    <row r="128" spans="1:9" x14ac:dyDescent="0.25">
      <c r="A128" t="s">
        <v>256</v>
      </c>
      <c r="B128" t="s">
        <v>235</v>
      </c>
      <c r="C128" s="30">
        <v>1</v>
      </c>
      <c r="D128" s="30">
        <v>2</v>
      </c>
      <c r="E128" s="31">
        <v>0.5</v>
      </c>
      <c r="F128" t="s">
        <v>129</v>
      </c>
      <c r="G128" s="33">
        <v>46010</v>
      </c>
      <c r="H128" s="32">
        <f t="shared" si="6"/>
        <v>0.57940000000000003</v>
      </c>
      <c r="I128" s="32">
        <f t="shared" si="7"/>
        <v>5.7939999999999996</v>
      </c>
    </row>
    <row r="129" spans="1:9" x14ac:dyDescent="0.25">
      <c r="A129" t="s">
        <v>257</v>
      </c>
      <c r="B129" t="s">
        <v>235</v>
      </c>
      <c r="C129" s="30">
        <v>1</v>
      </c>
      <c r="D129" s="30">
        <v>2</v>
      </c>
      <c r="E129" s="31">
        <v>0.5</v>
      </c>
      <c r="F129" t="s">
        <v>129</v>
      </c>
      <c r="G129" s="33">
        <v>46083</v>
      </c>
      <c r="H129" s="32">
        <f t="shared" si="6"/>
        <v>0.57940000000000003</v>
      </c>
      <c r="I129" s="32">
        <f t="shared" si="7"/>
        <v>5.7939999999999996</v>
      </c>
    </row>
    <row r="130" spans="1:9" x14ac:dyDescent="0.25">
      <c r="A130" t="s">
        <v>258</v>
      </c>
      <c r="B130" t="s">
        <v>235</v>
      </c>
      <c r="C130" s="30">
        <v>1</v>
      </c>
      <c r="D130" s="30">
        <v>2</v>
      </c>
      <c r="E130" s="31">
        <v>0.5</v>
      </c>
      <c r="F130" t="s">
        <v>129</v>
      </c>
      <c r="G130" s="33">
        <v>46155</v>
      </c>
      <c r="H130" s="32">
        <f t="shared" si="6"/>
        <v>0.57940000000000003</v>
      </c>
      <c r="I130" s="32">
        <f t="shared" si="7"/>
        <v>5.7939999999999996</v>
      </c>
    </row>
    <row r="131" spans="1:9" x14ac:dyDescent="0.25">
      <c r="A131" t="s">
        <v>259</v>
      </c>
      <c r="B131" t="s">
        <v>235</v>
      </c>
      <c r="C131" s="30">
        <v>1</v>
      </c>
      <c r="D131" s="30">
        <v>2</v>
      </c>
      <c r="E131" s="31">
        <v>0.5</v>
      </c>
      <c r="F131" t="s">
        <v>129</v>
      </c>
      <c r="G131" s="33">
        <v>46081</v>
      </c>
      <c r="H131" s="32">
        <f t="shared" si="6"/>
        <v>0.57940000000000003</v>
      </c>
      <c r="I131" s="32">
        <f t="shared" si="7"/>
        <v>5.7939999999999996</v>
      </c>
    </row>
    <row r="132" spans="1:9" x14ac:dyDescent="0.25">
      <c r="A132" t="s">
        <v>260</v>
      </c>
      <c r="B132" t="s">
        <v>235</v>
      </c>
      <c r="C132" s="30">
        <v>1</v>
      </c>
      <c r="D132" s="30">
        <v>2</v>
      </c>
      <c r="E132" s="31">
        <v>0.5</v>
      </c>
      <c r="F132" t="s">
        <v>129</v>
      </c>
      <c r="G132" s="33">
        <v>46139</v>
      </c>
      <c r="H132" s="32">
        <f t="shared" si="6"/>
        <v>0.57940000000000003</v>
      </c>
      <c r="I132" s="32">
        <f t="shared" si="7"/>
        <v>5.7939999999999996</v>
      </c>
    </row>
    <row r="133" spans="1:9" x14ac:dyDescent="0.25">
      <c r="A133" t="s">
        <v>261</v>
      </c>
      <c r="B133" t="s">
        <v>235</v>
      </c>
      <c r="C133" s="30">
        <v>1</v>
      </c>
      <c r="D133" s="30">
        <v>2</v>
      </c>
      <c r="E133" s="31">
        <v>0.5</v>
      </c>
      <c r="F133" t="s">
        <v>129</v>
      </c>
      <c r="G133" s="33">
        <v>46158</v>
      </c>
      <c r="H133" s="32">
        <f t="shared" si="6"/>
        <v>0.57940000000000003</v>
      </c>
      <c r="I133" s="32">
        <f t="shared" si="7"/>
        <v>5.7939999999999996</v>
      </c>
    </row>
    <row r="134" spans="1:9" x14ac:dyDescent="0.25">
      <c r="A134" t="s">
        <v>262</v>
      </c>
      <c r="B134" t="s">
        <v>235</v>
      </c>
      <c r="C134" s="30">
        <v>1</v>
      </c>
      <c r="D134" s="30">
        <v>2</v>
      </c>
      <c r="E134" s="31">
        <v>0.5</v>
      </c>
      <c r="F134" t="s">
        <v>129</v>
      </c>
      <c r="G134" s="33">
        <v>46056</v>
      </c>
      <c r="H134" s="32">
        <f t="shared" ref="H134:H165" si="8">CoreBpsBlended*D134*GrowthModeFactor</f>
        <v>0.57940000000000003</v>
      </c>
      <c r="I134" s="32">
        <f t="shared" ref="I134:I165" si="9">CoreBpsBlended*D134</f>
        <v>5.7939999999999996</v>
      </c>
    </row>
    <row r="135" spans="1:9" x14ac:dyDescent="0.25">
      <c r="A135" t="s">
        <v>263</v>
      </c>
      <c r="B135" t="s">
        <v>235</v>
      </c>
      <c r="C135" s="30">
        <v>1</v>
      </c>
      <c r="D135" s="30">
        <v>2</v>
      </c>
      <c r="E135" s="31">
        <v>0.5</v>
      </c>
      <c r="F135" t="s">
        <v>126</v>
      </c>
      <c r="H135" s="32">
        <f t="shared" si="8"/>
        <v>0.57940000000000003</v>
      </c>
      <c r="I135" s="32">
        <f t="shared" si="9"/>
        <v>5.7939999999999996</v>
      </c>
    </row>
    <row r="136" spans="1:9" x14ac:dyDescent="0.25">
      <c r="A136" t="s">
        <v>264</v>
      </c>
      <c r="B136" t="s">
        <v>235</v>
      </c>
      <c r="C136" s="30">
        <v>1</v>
      </c>
      <c r="D136" s="30">
        <v>2</v>
      </c>
      <c r="E136" s="31">
        <v>0.5</v>
      </c>
      <c r="F136" t="s">
        <v>129</v>
      </c>
      <c r="G136" s="33">
        <v>45984</v>
      </c>
      <c r="H136" s="32">
        <f t="shared" si="8"/>
        <v>0.57940000000000003</v>
      </c>
      <c r="I136" s="32">
        <f t="shared" si="9"/>
        <v>5.7939999999999996</v>
      </c>
    </row>
    <row r="137" spans="1:9" x14ac:dyDescent="0.25">
      <c r="A137" t="s">
        <v>265</v>
      </c>
      <c r="B137" t="s">
        <v>235</v>
      </c>
      <c r="C137" s="30">
        <v>1</v>
      </c>
      <c r="D137" s="30">
        <v>2</v>
      </c>
      <c r="E137" s="31">
        <v>0.5</v>
      </c>
      <c r="F137" t="s">
        <v>129</v>
      </c>
      <c r="G137" s="33">
        <v>46149</v>
      </c>
      <c r="H137" s="32">
        <f t="shared" si="8"/>
        <v>0.57940000000000003</v>
      </c>
      <c r="I137" s="32">
        <f t="shared" si="9"/>
        <v>5.7939999999999996</v>
      </c>
    </row>
    <row r="138" spans="1:9" x14ac:dyDescent="0.25">
      <c r="A138" t="s">
        <v>266</v>
      </c>
      <c r="B138" t="s">
        <v>235</v>
      </c>
      <c r="C138" s="30">
        <v>1</v>
      </c>
      <c r="D138" s="30">
        <v>2</v>
      </c>
      <c r="E138" s="31">
        <v>0.5</v>
      </c>
      <c r="F138" t="s">
        <v>129</v>
      </c>
      <c r="G138" s="33">
        <v>46096</v>
      </c>
      <c r="H138" s="32">
        <f t="shared" si="8"/>
        <v>0.57940000000000003</v>
      </c>
      <c r="I138" s="32">
        <f t="shared" si="9"/>
        <v>5.7939999999999996</v>
      </c>
    </row>
    <row r="139" spans="1:9" x14ac:dyDescent="0.25">
      <c r="A139" t="s">
        <v>267</v>
      </c>
      <c r="B139" t="s">
        <v>235</v>
      </c>
      <c r="C139" s="30">
        <v>1</v>
      </c>
      <c r="D139" s="30">
        <v>2</v>
      </c>
      <c r="E139" s="31">
        <v>0.5</v>
      </c>
      <c r="F139" t="s">
        <v>129</v>
      </c>
      <c r="G139" s="33">
        <v>45984</v>
      </c>
      <c r="H139" s="32">
        <f t="shared" si="8"/>
        <v>0.57940000000000003</v>
      </c>
      <c r="I139" s="32">
        <f t="shared" si="9"/>
        <v>5.7939999999999996</v>
      </c>
    </row>
    <row r="140" spans="1:9" x14ac:dyDescent="0.25">
      <c r="A140" t="s">
        <v>268</v>
      </c>
      <c r="B140" t="s">
        <v>235</v>
      </c>
      <c r="C140" s="30">
        <v>1</v>
      </c>
      <c r="D140" s="30">
        <v>2</v>
      </c>
      <c r="E140" s="31">
        <v>0.5</v>
      </c>
      <c r="F140" t="s">
        <v>129</v>
      </c>
      <c r="G140" s="33">
        <v>46071</v>
      </c>
      <c r="H140" s="32">
        <f t="shared" si="8"/>
        <v>0.57940000000000003</v>
      </c>
      <c r="I140" s="32">
        <f t="shared" si="9"/>
        <v>5.7939999999999996</v>
      </c>
    </row>
    <row r="141" spans="1:9" x14ac:dyDescent="0.25">
      <c r="A141" t="s">
        <v>269</v>
      </c>
      <c r="B141" t="s">
        <v>235</v>
      </c>
      <c r="C141" s="30">
        <v>1</v>
      </c>
      <c r="D141" s="30">
        <v>2</v>
      </c>
      <c r="E141" s="31">
        <v>0.5</v>
      </c>
      <c r="F141" t="s">
        <v>129</v>
      </c>
      <c r="G141" s="33">
        <v>46162</v>
      </c>
      <c r="H141" s="32">
        <f t="shared" si="8"/>
        <v>0.57940000000000003</v>
      </c>
      <c r="I141" s="32">
        <f t="shared" si="9"/>
        <v>5.7939999999999996</v>
      </c>
    </row>
    <row r="142" spans="1:9" x14ac:dyDescent="0.25">
      <c r="A142" t="s">
        <v>270</v>
      </c>
      <c r="B142" t="s">
        <v>235</v>
      </c>
      <c r="C142" s="30">
        <v>1</v>
      </c>
      <c r="D142" s="30">
        <v>2</v>
      </c>
      <c r="E142" s="31">
        <v>0.5</v>
      </c>
      <c r="F142" t="s">
        <v>129</v>
      </c>
      <c r="G142" s="33">
        <v>45984</v>
      </c>
      <c r="H142" s="32">
        <f t="shared" si="8"/>
        <v>0.57940000000000003</v>
      </c>
      <c r="I142" s="32">
        <f t="shared" si="9"/>
        <v>5.7939999999999996</v>
      </c>
    </row>
    <row r="143" spans="1:9" x14ac:dyDescent="0.25">
      <c r="A143" t="s">
        <v>271</v>
      </c>
      <c r="B143" t="s">
        <v>235</v>
      </c>
      <c r="C143" s="30">
        <v>1</v>
      </c>
      <c r="D143" s="30">
        <v>2</v>
      </c>
      <c r="E143" s="31">
        <v>0.5</v>
      </c>
      <c r="F143" t="s">
        <v>129</v>
      </c>
      <c r="G143" s="33">
        <v>46065</v>
      </c>
      <c r="H143" s="32">
        <f t="shared" si="8"/>
        <v>0.57940000000000003</v>
      </c>
      <c r="I143" s="32">
        <f t="shared" si="9"/>
        <v>5.7939999999999996</v>
      </c>
    </row>
    <row r="144" spans="1:9" x14ac:dyDescent="0.25">
      <c r="A144" t="s">
        <v>272</v>
      </c>
      <c r="B144" t="s">
        <v>235</v>
      </c>
      <c r="C144" s="30">
        <v>1</v>
      </c>
      <c r="D144" s="30">
        <v>2</v>
      </c>
      <c r="E144" s="31">
        <v>0.5</v>
      </c>
      <c r="F144" t="s">
        <v>129</v>
      </c>
      <c r="G144" s="33">
        <v>46010</v>
      </c>
      <c r="H144" s="32">
        <f t="shared" si="8"/>
        <v>0.57940000000000003</v>
      </c>
      <c r="I144" s="32">
        <f t="shared" si="9"/>
        <v>5.7939999999999996</v>
      </c>
    </row>
    <row r="145" spans="1:9" x14ac:dyDescent="0.25">
      <c r="A145" t="s">
        <v>273</v>
      </c>
      <c r="B145" t="s">
        <v>235</v>
      </c>
      <c r="C145" s="30">
        <v>1</v>
      </c>
      <c r="D145" s="30">
        <v>2</v>
      </c>
      <c r="E145" s="31">
        <v>0.5</v>
      </c>
      <c r="F145" t="s">
        <v>129</v>
      </c>
      <c r="G145" s="33">
        <v>46078</v>
      </c>
      <c r="H145" s="32">
        <f t="shared" si="8"/>
        <v>0.57940000000000003</v>
      </c>
      <c r="I145" s="32">
        <f t="shared" si="9"/>
        <v>5.7939999999999996</v>
      </c>
    </row>
    <row r="146" spans="1:9" x14ac:dyDescent="0.25">
      <c r="A146" t="s">
        <v>274</v>
      </c>
      <c r="B146" t="s">
        <v>235</v>
      </c>
      <c r="C146" s="30">
        <v>1</v>
      </c>
      <c r="D146" s="30">
        <v>2</v>
      </c>
      <c r="E146" s="31">
        <v>0.5</v>
      </c>
      <c r="F146" t="s">
        <v>129</v>
      </c>
      <c r="G146" s="33">
        <v>46058</v>
      </c>
      <c r="H146" s="32">
        <f t="shared" si="8"/>
        <v>0.57940000000000003</v>
      </c>
      <c r="I146" s="32">
        <f t="shared" si="9"/>
        <v>5.7939999999999996</v>
      </c>
    </row>
    <row r="147" spans="1:9" x14ac:dyDescent="0.25">
      <c r="A147" t="s">
        <v>275</v>
      </c>
      <c r="B147" t="s">
        <v>235</v>
      </c>
      <c r="C147" s="30">
        <v>1</v>
      </c>
      <c r="D147" s="30">
        <v>2</v>
      </c>
      <c r="E147" s="31">
        <v>0.5</v>
      </c>
      <c r="F147" t="s">
        <v>129</v>
      </c>
      <c r="G147" s="33">
        <v>46142</v>
      </c>
      <c r="H147" s="32">
        <f t="shared" si="8"/>
        <v>0.57940000000000003</v>
      </c>
      <c r="I147" s="32">
        <f t="shared" si="9"/>
        <v>5.7939999999999996</v>
      </c>
    </row>
    <row r="148" spans="1:9" x14ac:dyDescent="0.25">
      <c r="A148" t="s">
        <v>276</v>
      </c>
      <c r="B148" t="s">
        <v>235</v>
      </c>
      <c r="C148" s="30">
        <v>1</v>
      </c>
      <c r="D148" s="30">
        <v>2</v>
      </c>
      <c r="E148" s="31">
        <v>0.5</v>
      </c>
      <c r="F148" t="s">
        <v>129</v>
      </c>
      <c r="G148" s="33">
        <v>46108</v>
      </c>
      <c r="H148" s="32">
        <f t="shared" si="8"/>
        <v>0.57940000000000003</v>
      </c>
      <c r="I148" s="32">
        <f t="shared" si="9"/>
        <v>5.7939999999999996</v>
      </c>
    </row>
    <row r="149" spans="1:9" x14ac:dyDescent="0.25">
      <c r="A149" t="s">
        <v>277</v>
      </c>
      <c r="B149" t="s">
        <v>235</v>
      </c>
      <c r="C149" s="30">
        <v>1</v>
      </c>
      <c r="D149" s="30">
        <v>2</v>
      </c>
      <c r="E149" s="31">
        <v>0.5</v>
      </c>
      <c r="F149" t="s">
        <v>129</v>
      </c>
      <c r="G149" s="33">
        <v>45996</v>
      </c>
      <c r="H149" s="32">
        <f t="shared" si="8"/>
        <v>0.57940000000000003</v>
      </c>
      <c r="I149" s="32">
        <f t="shared" si="9"/>
        <v>5.7939999999999996</v>
      </c>
    </row>
    <row r="150" spans="1:9" x14ac:dyDescent="0.25">
      <c r="A150" t="s">
        <v>278</v>
      </c>
      <c r="B150" t="s">
        <v>235</v>
      </c>
      <c r="C150" s="30">
        <v>1</v>
      </c>
      <c r="D150" s="30">
        <v>2</v>
      </c>
      <c r="E150" s="31">
        <v>0.5</v>
      </c>
      <c r="F150" t="s">
        <v>129</v>
      </c>
      <c r="G150" s="33">
        <v>45984</v>
      </c>
      <c r="H150" s="32">
        <f t="shared" si="8"/>
        <v>0.57940000000000003</v>
      </c>
      <c r="I150" s="32">
        <f t="shared" si="9"/>
        <v>5.7939999999999996</v>
      </c>
    </row>
    <row r="151" spans="1:9" x14ac:dyDescent="0.25">
      <c r="A151" t="s">
        <v>279</v>
      </c>
      <c r="B151" t="s">
        <v>235</v>
      </c>
      <c r="C151" s="30">
        <v>1</v>
      </c>
      <c r="D151" s="30">
        <v>2</v>
      </c>
      <c r="E151" s="31">
        <v>0.5</v>
      </c>
      <c r="F151" t="s">
        <v>129</v>
      </c>
      <c r="G151" s="33">
        <v>46123</v>
      </c>
      <c r="H151" s="32">
        <f t="shared" si="8"/>
        <v>0.57940000000000003</v>
      </c>
      <c r="I151" s="32">
        <f t="shared" si="9"/>
        <v>5.7939999999999996</v>
      </c>
    </row>
    <row r="152" spans="1:9" x14ac:dyDescent="0.25">
      <c r="A152" t="s">
        <v>280</v>
      </c>
      <c r="B152" t="s">
        <v>235</v>
      </c>
      <c r="C152" s="30">
        <v>1</v>
      </c>
      <c r="D152" s="30">
        <v>2</v>
      </c>
      <c r="E152" s="31">
        <v>0.5</v>
      </c>
      <c r="F152" t="s">
        <v>129</v>
      </c>
      <c r="G152" s="33">
        <v>45984</v>
      </c>
      <c r="H152" s="32">
        <f t="shared" si="8"/>
        <v>0.57940000000000003</v>
      </c>
      <c r="I152" s="32">
        <f t="shared" si="9"/>
        <v>5.7939999999999996</v>
      </c>
    </row>
    <row r="153" spans="1:9" x14ac:dyDescent="0.25">
      <c r="A153" t="s">
        <v>281</v>
      </c>
      <c r="B153" t="s">
        <v>235</v>
      </c>
      <c r="C153" s="30">
        <v>1</v>
      </c>
      <c r="D153" s="30">
        <v>2</v>
      </c>
      <c r="E153" s="31">
        <v>0.5</v>
      </c>
      <c r="F153" t="s">
        <v>126</v>
      </c>
      <c r="G153" s="33">
        <v>46036</v>
      </c>
      <c r="H153" s="32">
        <f t="shared" si="8"/>
        <v>0.57940000000000003</v>
      </c>
      <c r="I153" s="32">
        <f t="shared" si="9"/>
        <v>5.7939999999999996</v>
      </c>
    </row>
    <row r="154" spans="1:9" x14ac:dyDescent="0.25">
      <c r="A154" t="s">
        <v>282</v>
      </c>
      <c r="B154" t="s">
        <v>235</v>
      </c>
      <c r="C154" s="30">
        <v>1</v>
      </c>
      <c r="D154" s="30">
        <v>2</v>
      </c>
      <c r="E154" s="31">
        <v>0.5</v>
      </c>
      <c r="F154" t="s">
        <v>129</v>
      </c>
      <c r="G154" s="33">
        <v>45984</v>
      </c>
      <c r="H154" s="32">
        <f t="shared" si="8"/>
        <v>0.57940000000000003</v>
      </c>
      <c r="I154" s="32">
        <f t="shared" si="9"/>
        <v>5.7939999999999996</v>
      </c>
    </row>
    <row r="155" spans="1:9" x14ac:dyDescent="0.25">
      <c r="A155" t="s">
        <v>283</v>
      </c>
      <c r="B155" t="s">
        <v>235</v>
      </c>
      <c r="C155" s="30">
        <v>1</v>
      </c>
      <c r="D155" s="30">
        <v>2</v>
      </c>
      <c r="E155" s="31">
        <v>0.5</v>
      </c>
      <c r="F155" t="s">
        <v>129</v>
      </c>
      <c r="G155" s="33">
        <v>46039</v>
      </c>
      <c r="H155" s="32">
        <f t="shared" si="8"/>
        <v>0.57940000000000003</v>
      </c>
      <c r="I155" s="32">
        <f t="shared" si="9"/>
        <v>5.7939999999999996</v>
      </c>
    </row>
    <row r="156" spans="1:9" x14ac:dyDescent="0.25">
      <c r="A156" t="s">
        <v>284</v>
      </c>
      <c r="B156" t="s">
        <v>235</v>
      </c>
      <c r="C156" s="30">
        <v>1</v>
      </c>
      <c r="D156" s="30">
        <v>2</v>
      </c>
      <c r="E156" s="31">
        <v>0.5</v>
      </c>
      <c r="F156" t="s">
        <v>129</v>
      </c>
      <c r="G156" s="33">
        <v>45996</v>
      </c>
      <c r="H156" s="32">
        <f t="shared" si="8"/>
        <v>0.57940000000000003</v>
      </c>
      <c r="I156" s="32">
        <f t="shared" si="9"/>
        <v>5.7939999999999996</v>
      </c>
    </row>
    <row r="157" spans="1:9" x14ac:dyDescent="0.25">
      <c r="A157" t="s">
        <v>285</v>
      </c>
      <c r="B157" t="s">
        <v>235</v>
      </c>
      <c r="C157" s="30">
        <v>1</v>
      </c>
      <c r="D157" s="30">
        <v>2</v>
      </c>
      <c r="E157" s="31">
        <v>0.5</v>
      </c>
      <c r="F157" t="s">
        <v>129</v>
      </c>
      <c r="G157" s="33">
        <v>46151</v>
      </c>
      <c r="H157" s="32">
        <f t="shared" si="8"/>
        <v>0.57940000000000003</v>
      </c>
      <c r="I157" s="32">
        <f t="shared" si="9"/>
        <v>5.7939999999999996</v>
      </c>
    </row>
    <row r="158" spans="1:9" x14ac:dyDescent="0.25">
      <c r="A158" t="s">
        <v>286</v>
      </c>
      <c r="B158" t="s">
        <v>235</v>
      </c>
      <c r="C158" s="30">
        <v>1</v>
      </c>
      <c r="D158" s="30">
        <v>2</v>
      </c>
      <c r="E158" s="31">
        <v>0.5</v>
      </c>
      <c r="F158" t="s">
        <v>129</v>
      </c>
      <c r="G158" s="33">
        <v>45984</v>
      </c>
      <c r="H158" s="32">
        <f t="shared" si="8"/>
        <v>0.57940000000000003</v>
      </c>
      <c r="I158" s="32">
        <f t="shared" si="9"/>
        <v>5.7939999999999996</v>
      </c>
    </row>
    <row r="159" spans="1:9" x14ac:dyDescent="0.25">
      <c r="A159" t="s">
        <v>287</v>
      </c>
      <c r="B159" t="s">
        <v>235</v>
      </c>
      <c r="C159" s="30">
        <v>1</v>
      </c>
      <c r="D159" s="30">
        <v>2</v>
      </c>
      <c r="E159" s="31">
        <v>0.5</v>
      </c>
      <c r="F159" t="s">
        <v>129</v>
      </c>
      <c r="G159" s="33">
        <v>45984</v>
      </c>
      <c r="H159" s="32">
        <f t="shared" si="8"/>
        <v>0.57940000000000003</v>
      </c>
      <c r="I159" s="32">
        <f t="shared" si="9"/>
        <v>5.7939999999999996</v>
      </c>
    </row>
    <row r="160" spans="1:9" x14ac:dyDescent="0.25">
      <c r="A160" t="s">
        <v>288</v>
      </c>
      <c r="B160" t="s">
        <v>235</v>
      </c>
      <c r="C160" s="30">
        <v>1</v>
      </c>
      <c r="D160" s="30">
        <v>2</v>
      </c>
      <c r="E160" s="31">
        <v>0.5</v>
      </c>
      <c r="F160" t="s">
        <v>129</v>
      </c>
      <c r="G160" s="33">
        <v>46053</v>
      </c>
      <c r="H160" s="32">
        <f t="shared" si="8"/>
        <v>0.57940000000000003</v>
      </c>
      <c r="I160" s="32">
        <f t="shared" si="9"/>
        <v>5.7939999999999996</v>
      </c>
    </row>
    <row r="161" spans="1:9" x14ac:dyDescent="0.25">
      <c r="A161" t="s">
        <v>289</v>
      </c>
      <c r="B161" t="s">
        <v>235</v>
      </c>
      <c r="C161" s="30">
        <v>1</v>
      </c>
      <c r="D161" s="30">
        <v>2</v>
      </c>
      <c r="E161" s="31">
        <v>0.5</v>
      </c>
      <c r="F161" t="s">
        <v>129</v>
      </c>
      <c r="G161" s="33">
        <v>46048</v>
      </c>
      <c r="H161" s="32">
        <f t="shared" si="8"/>
        <v>0.57940000000000003</v>
      </c>
      <c r="I161" s="32">
        <f t="shared" si="9"/>
        <v>5.7939999999999996</v>
      </c>
    </row>
    <row r="162" spans="1:9" x14ac:dyDescent="0.25">
      <c r="A162" t="s">
        <v>290</v>
      </c>
      <c r="B162" t="s">
        <v>235</v>
      </c>
      <c r="C162" s="30">
        <v>1</v>
      </c>
      <c r="D162" s="30">
        <v>2</v>
      </c>
      <c r="E162" s="31">
        <v>0.5</v>
      </c>
      <c r="F162" t="s">
        <v>129</v>
      </c>
      <c r="G162" s="33">
        <v>45984</v>
      </c>
      <c r="H162" s="32">
        <f t="shared" si="8"/>
        <v>0.57940000000000003</v>
      </c>
      <c r="I162" s="32">
        <f t="shared" si="9"/>
        <v>5.7939999999999996</v>
      </c>
    </row>
    <row r="163" spans="1:9" x14ac:dyDescent="0.25">
      <c r="A163" t="s">
        <v>291</v>
      </c>
      <c r="B163" t="s">
        <v>235</v>
      </c>
      <c r="C163" s="30">
        <v>1</v>
      </c>
      <c r="D163" s="30">
        <v>2</v>
      </c>
      <c r="E163" s="31">
        <v>0.5</v>
      </c>
      <c r="F163" t="s">
        <v>126</v>
      </c>
      <c r="G163" s="33">
        <v>46151</v>
      </c>
      <c r="H163" s="32">
        <f t="shared" si="8"/>
        <v>0.57940000000000003</v>
      </c>
      <c r="I163" s="32">
        <f t="shared" si="9"/>
        <v>5.7939999999999996</v>
      </c>
    </row>
    <row r="164" spans="1:9" x14ac:dyDescent="0.25">
      <c r="A164" t="s">
        <v>292</v>
      </c>
      <c r="B164" t="s">
        <v>235</v>
      </c>
      <c r="C164" s="30">
        <v>1</v>
      </c>
      <c r="D164" s="30">
        <v>2</v>
      </c>
      <c r="E164" s="31">
        <v>0.5</v>
      </c>
      <c r="F164" t="s">
        <v>129</v>
      </c>
      <c r="G164" s="33">
        <v>46028</v>
      </c>
      <c r="H164" s="32">
        <f t="shared" si="8"/>
        <v>0.57940000000000003</v>
      </c>
      <c r="I164" s="32">
        <f t="shared" si="9"/>
        <v>5.7939999999999996</v>
      </c>
    </row>
    <row r="165" spans="1:9" x14ac:dyDescent="0.25">
      <c r="A165" t="s">
        <v>293</v>
      </c>
      <c r="B165" t="s">
        <v>235</v>
      </c>
      <c r="C165" s="30">
        <v>1</v>
      </c>
      <c r="D165" s="30">
        <v>2</v>
      </c>
      <c r="E165" s="31">
        <v>0.5</v>
      </c>
      <c r="F165" t="s">
        <v>129</v>
      </c>
      <c r="G165" s="33">
        <v>46125</v>
      </c>
      <c r="H165" s="32">
        <f t="shared" si="8"/>
        <v>0.57940000000000003</v>
      </c>
      <c r="I165" s="32">
        <f t="shared" si="9"/>
        <v>5.7939999999999996</v>
      </c>
    </row>
    <row r="166" spans="1:9" x14ac:dyDescent="0.25">
      <c r="A166" t="s">
        <v>294</v>
      </c>
      <c r="B166" t="s">
        <v>235</v>
      </c>
      <c r="C166" s="30">
        <v>1</v>
      </c>
      <c r="D166" s="30">
        <v>2</v>
      </c>
      <c r="E166" s="31">
        <v>0.5</v>
      </c>
      <c r="F166" t="s">
        <v>129</v>
      </c>
      <c r="G166" s="33">
        <v>46018</v>
      </c>
      <c r="H166" s="32">
        <f t="shared" ref="H166:H184" si="10">CoreBpsBlended*D166*GrowthModeFactor</f>
        <v>0.57940000000000003</v>
      </c>
      <c r="I166" s="32">
        <f t="shared" ref="I166:I184" si="11">CoreBpsBlended*D166</f>
        <v>5.7939999999999996</v>
      </c>
    </row>
    <row r="167" spans="1:9" x14ac:dyDescent="0.25">
      <c r="A167" t="s">
        <v>295</v>
      </c>
      <c r="B167" t="s">
        <v>235</v>
      </c>
      <c r="C167" s="30">
        <v>1</v>
      </c>
      <c r="D167" s="30">
        <v>2</v>
      </c>
      <c r="E167" s="31">
        <v>0.5</v>
      </c>
      <c r="F167" t="s">
        <v>129</v>
      </c>
      <c r="G167" s="33">
        <v>46010</v>
      </c>
      <c r="H167" s="32">
        <f t="shared" si="10"/>
        <v>0.57940000000000003</v>
      </c>
      <c r="I167" s="32">
        <f t="shared" si="11"/>
        <v>5.7939999999999996</v>
      </c>
    </row>
    <row r="168" spans="1:9" x14ac:dyDescent="0.25">
      <c r="A168" t="s">
        <v>296</v>
      </c>
      <c r="B168" t="s">
        <v>235</v>
      </c>
      <c r="C168" s="30">
        <v>1</v>
      </c>
      <c r="D168" s="30">
        <v>2</v>
      </c>
      <c r="E168" s="31">
        <v>0.5</v>
      </c>
      <c r="F168" t="s">
        <v>129</v>
      </c>
      <c r="G168" s="33">
        <v>46048</v>
      </c>
      <c r="H168" s="32">
        <f t="shared" si="10"/>
        <v>0.57940000000000003</v>
      </c>
      <c r="I168" s="32">
        <f t="shared" si="11"/>
        <v>5.7939999999999996</v>
      </c>
    </row>
    <row r="169" spans="1:9" x14ac:dyDescent="0.25">
      <c r="A169" t="s">
        <v>297</v>
      </c>
      <c r="B169" t="s">
        <v>235</v>
      </c>
      <c r="C169" s="30">
        <v>1</v>
      </c>
      <c r="D169" s="30">
        <v>2</v>
      </c>
      <c r="E169" s="31">
        <v>0.5</v>
      </c>
      <c r="F169" t="s">
        <v>129</v>
      </c>
      <c r="G169" s="33">
        <v>45984</v>
      </c>
      <c r="H169" s="32">
        <f t="shared" si="10"/>
        <v>0.57940000000000003</v>
      </c>
      <c r="I169" s="32">
        <f t="shared" si="11"/>
        <v>5.7939999999999996</v>
      </c>
    </row>
    <row r="170" spans="1:9" x14ac:dyDescent="0.25">
      <c r="A170" t="s">
        <v>298</v>
      </c>
      <c r="B170" t="s">
        <v>235</v>
      </c>
      <c r="C170" s="30">
        <v>1</v>
      </c>
      <c r="D170" s="30">
        <v>2</v>
      </c>
      <c r="E170" s="31">
        <v>0.5</v>
      </c>
      <c r="F170" t="s">
        <v>129</v>
      </c>
      <c r="G170" s="33">
        <v>46063</v>
      </c>
      <c r="H170" s="32">
        <f t="shared" si="10"/>
        <v>0.57940000000000003</v>
      </c>
      <c r="I170" s="32">
        <f t="shared" si="11"/>
        <v>5.7939999999999996</v>
      </c>
    </row>
    <row r="171" spans="1:9" x14ac:dyDescent="0.25">
      <c r="A171" t="s">
        <v>299</v>
      </c>
      <c r="B171" t="s">
        <v>235</v>
      </c>
      <c r="C171" s="30">
        <v>1</v>
      </c>
      <c r="D171" s="30">
        <v>2</v>
      </c>
      <c r="E171" s="31">
        <v>0.5</v>
      </c>
      <c r="F171" t="s">
        <v>129</v>
      </c>
      <c r="G171" s="33">
        <v>46099</v>
      </c>
      <c r="H171" s="32">
        <f t="shared" si="10"/>
        <v>0.57940000000000003</v>
      </c>
      <c r="I171" s="32">
        <f t="shared" si="11"/>
        <v>5.7939999999999996</v>
      </c>
    </row>
    <row r="172" spans="1:9" x14ac:dyDescent="0.25">
      <c r="A172" t="s">
        <v>300</v>
      </c>
      <c r="B172" t="s">
        <v>235</v>
      </c>
      <c r="C172" s="30">
        <v>1</v>
      </c>
      <c r="D172" s="30">
        <v>2</v>
      </c>
      <c r="E172" s="31">
        <v>0.5</v>
      </c>
      <c r="F172" t="s">
        <v>129</v>
      </c>
      <c r="G172" s="33">
        <v>46159</v>
      </c>
      <c r="H172" s="32">
        <f t="shared" si="10"/>
        <v>0.57940000000000003</v>
      </c>
      <c r="I172" s="32">
        <f t="shared" si="11"/>
        <v>5.7939999999999996</v>
      </c>
    </row>
    <row r="173" spans="1:9" x14ac:dyDescent="0.25">
      <c r="A173" t="s">
        <v>301</v>
      </c>
      <c r="B173" t="s">
        <v>235</v>
      </c>
      <c r="C173" s="30">
        <v>1</v>
      </c>
      <c r="D173" s="30">
        <v>2</v>
      </c>
      <c r="E173" s="31">
        <v>0.5</v>
      </c>
      <c r="F173" t="s">
        <v>129</v>
      </c>
      <c r="G173" s="33">
        <v>45984</v>
      </c>
      <c r="H173" s="32">
        <f t="shared" si="10"/>
        <v>0.57940000000000003</v>
      </c>
      <c r="I173" s="32">
        <f t="shared" si="11"/>
        <v>5.7939999999999996</v>
      </c>
    </row>
    <row r="174" spans="1:9" x14ac:dyDescent="0.25">
      <c r="A174" t="s">
        <v>302</v>
      </c>
      <c r="B174" t="s">
        <v>235</v>
      </c>
      <c r="C174" s="30">
        <v>1</v>
      </c>
      <c r="D174" s="30">
        <v>2</v>
      </c>
      <c r="E174" s="31">
        <v>0.5</v>
      </c>
      <c r="F174" t="s">
        <v>129</v>
      </c>
      <c r="G174" s="33">
        <v>46010</v>
      </c>
      <c r="H174" s="32">
        <f t="shared" si="10"/>
        <v>0.57940000000000003</v>
      </c>
      <c r="I174" s="32">
        <f t="shared" si="11"/>
        <v>5.7939999999999996</v>
      </c>
    </row>
    <row r="175" spans="1:9" x14ac:dyDescent="0.25">
      <c r="A175" t="s">
        <v>303</v>
      </c>
      <c r="B175" t="s">
        <v>235</v>
      </c>
      <c r="C175" s="30">
        <v>1</v>
      </c>
      <c r="D175" s="30">
        <v>2</v>
      </c>
      <c r="E175" s="31">
        <v>0.5</v>
      </c>
      <c r="F175" t="s">
        <v>129</v>
      </c>
      <c r="G175" s="33">
        <v>46115</v>
      </c>
      <c r="H175" s="32">
        <f t="shared" si="10"/>
        <v>0.57940000000000003</v>
      </c>
      <c r="I175" s="32">
        <f t="shared" si="11"/>
        <v>5.7939999999999996</v>
      </c>
    </row>
    <row r="176" spans="1:9" x14ac:dyDescent="0.25">
      <c r="A176" t="s">
        <v>304</v>
      </c>
      <c r="B176" t="s">
        <v>235</v>
      </c>
      <c r="C176" s="30">
        <v>1</v>
      </c>
      <c r="D176" s="30">
        <v>2</v>
      </c>
      <c r="E176" s="31">
        <v>0.5</v>
      </c>
      <c r="F176" t="s">
        <v>129</v>
      </c>
      <c r="G176" s="33">
        <v>46048</v>
      </c>
      <c r="H176" s="32">
        <f t="shared" si="10"/>
        <v>0.57940000000000003</v>
      </c>
      <c r="I176" s="32">
        <f t="shared" si="11"/>
        <v>5.7939999999999996</v>
      </c>
    </row>
    <row r="177" spans="1:9" x14ac:dyDescent="0.25">
      <c r="A177" t="s">
        <v>305</v>
      </c>
      <c r="B177" t="s">
        <v>235</v>
      </c>
      <c r="C177" s="30">
        <v>1</v>
      </c>
      <c r="D177" s="30">
        <v>2</v>
      </c>
      <c r="E177" s="31">
        <v>0.5</v>
      </c>
      <c r="F177" t="s">
        <v>129</v>
      </c>
      <c r="G177" s="33">
        <v>46051</v>
      </c>
      <c r="H177" s="32">
        <f t="shared" si="10"/>
        <v>0.57940000000000003</v>
      </c>
      <c r="I177" s="32">
        <f t="shared" si="11"/>
        <v>5.7939999999999996</v>
      </c>
    </row>
    <row r="178" spans="1:9" x14ac:dyDescent="0.25">
      <c r="A178" t="s">
        <v>306</v>
      </c>
      <c r="B178" t="s">
        <v>235</v>
      </c>
      <c r="C178" s="30">
        <v>1</v>
      </c>
      <c r="D178" s="30">
        <v>2</v>
      </c>
      <c r="E178" s="31">
        <v>0.5</v>
      </c>
      <c r="F178" t="s">
        <v>129</v>
      </c>
      <c r="G178" s="33">
        <v>46048</v>
      </c>
      <c r="H178" s="32">
        <f t="shared" si="10"/>
        <v>0.57940000000000003</v>
      </c>
      <c r="I178" s="32">
        <f t="shared" si="11"/>
        <v>5.7939999999999996</v>
      </c>
    </row>
    <row r="179" spans="1:9" x14ac:dyDescent="0.25">
      <c r="A179" t="s">
        <v>307</v>
      </c>
      <c r="B179" t="s">
        <v>235</v>
      </c>
      <c r="C179" s="30">
        <v>1</v>
      </c>
      <c r="D179" s="30">
        <v>2</v>
      </c>
      <c r="E179" s="31">
        <v>0.5</v>
      </c>
      <c r="F179" t="s">
        <v>129</v>
      </c>
      <c r="G179" s="33">
        <v>46090</v>
      </c>
      <c r="H179" s="32">
        <f t="shared" si="10"/>
        <v>0.57940000000000003</v>
      </c>
      <c r="I179" s="32">
        <f t="shared" si="11"/>
        <v>5.7939999999999996</v>
      </c>
    </row>
    <row r="180" spans="1:9" x14ac:dyDescent="0.25">
      <c r="A180" t="s">
        <v>308</v>
      </c>
      <c r="B180" t="s">
        <v>235</v>
      </c>
      <c r="C180" s="30">
        <v>1</v>
      </c>
      <c r="D180" s="30">
        <v>2</v>
      </c>
      <c r="E180" s="31">
        <v>0.5</v>
      </c>
      <c r="F180" t="s">
        <v>129</v>
      </c>
      <c r="G180" s="33">
        <v>46129</v>
      </c>
      <c r="H180" s="32">
        <f t="shared" si="10"/>
        <v>0.57940000000000003</v>
      </c>
      <c r="I180" s="32">
        <f t="shared" si="11"/>
        <v>5.7939999999999996</v>
      </c>
    </row>
    <row r="181" spans="1:9" x14ac:dyDescent="0.25">
      <c r="A181" t="s">
        <v>309</v>
      </c>
      <c r="B181" t="s">
        <v>235</v>
      </c>
      <c r="C181" s="30">
        <v>1</v>
      </c>
      <c r="D181" s="30">
        <v>2</v>
      </c>
      <c r="E181" s="31">
        <v>0.5</v>
      </c>
      <c r="F181" t="s">
        <v>129</v>
      </c>
      <c r="G181" s="33">
        <v>46114</v>
      </c>
      <c r="H181" s="32">
        <f t="shared" si="10"/>
        <v>0.57940000000000003</v>
      </c>
      <c r="I181" s="32">
        <f t="shared" si="11"/>
        <v>5.7939999999999996</v>
      </c>
    </row>
    <row r="182" spans="1:9" x14ac:dyDescent="0.25">
      <c r="A182" t="s">
        <v>310</v>
      </c>
      <c r="B182" t="s">
        <v>235</v>
      </c>
      <c r="C182" s="30">
        <v>1</v>
      </c>
      <c r="D182" s="30">
        <v>2</v>
      </c>
      <c r="E182" s="31">
        <v>0.5</v>
      </c>
      <c r="F182" t="s">
        <v>129</v>
      </c>
      <c r="G182" s="33">
        <v>46112</v>
      </c>
      <c r="H182" s="32">
        <f t="shared" si="10"/>
        <v>0.57940000000000003</v>
      </c>
      <c r="I182" s="32">
        <f t="shared" si="11"/>
        <v>5.7939999999999996</v>
      </c>
    </row>
    <row r="183" spans="1:9" x14ac:dyDescent="0.25">
      <c r="A183" t="s">
        <v>311</v>
      </c>
      <c r="B183" t="s">
        <v>235</v>
      </c>
      <c r="C183" s="30">
        <v>1</v>
      </c>
      <c r="D183" s="30">
        <v>2</v>
      </c>
      <c r="E183" s="31">
        <v>0.5</v>
      </c>
      <c r="F183" t="s">
        <v>129</v>
      </c>
      <c r="G183" s="33">
        <v>45984</v>
      </c>
      <c r="H183" s="32">
        <f t="shared" si="10"/>
        <v>0.57940000000000003</v>
      </c>
      <c r="I183" s="32">
        <f t="shared" si="11"/>
        <v>5.7939999999999996</v>
      </c>
    </row>
    <row r="184" spans="1:9" x14ac:dyDescent="0.25">
      <c r="A184" t="s">
        <v>312</v>
      </c>
      <c r="B184" t="s">
        <v>235</v>
      </c>
      <c r="C184" s="30">
        <v>1</v>
      </c>
      <c r="D184" s="30">
        <v>2</v>
      </c>
      <c r="E184" s="31">
        <v>0.5</v>
      </c>
      <c r="F184" t="s">
        <v>129</v>
      </c>
      <c r="G184" s="33">
        <v>46145</v>
      </c>
      <c r="H184" s="32">
        <f t="shared" si="10"/>
        <v>0.57940000000000003</v>
      </c>
      <c r="I184" s="32">
        <f t="shared" si="11"/>
        <v>5.7939999999999996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0"/>
  <sheetViews>
    <sheetView zoomScaleNormal="100" workbookViewId="0"/>
  </sheetViews>
  <sheetFormatPr defaultColWidth="8.7109375" defaultRowHeight="15" x14ac:dyDescent="0.25"/>
  <cols>
    <col min="1" max="1" width="12" customWidth="1"/>
    <col min="2" max="13" width="16" customWidth="1"/>
  </cols>
  <sheetData>
    <row r="1" spans="1:13" ht="18" x14ac:dyDescent="0.25">
      <c r="A1" s="1" t="s">
        <v>313</v>
      </c>
    </row>
    <row r="2" spans="1:13" x14ac:dyDescent="0.25">
      <c r="A2" s="14" t="s">
        <v>314</v>
      </c>
    </row>
    <row r="3" spans="1:13" x14ac:dyDescent="0.25">
      <c r="A3" s="14" t="s">
        <v>315</v>
      </c>
    </row>
    <row r="5" spans="1:13" x14ac:dyDescent="0.25">
      <c r="A5" s="4" t="s">
        <v>316</v>
      </c>
    </row>
    <row r="6" spans="1:13" x14ac:dyDescent="0.25">
      <c r="A6" s="34" t="s">
        <v>68</v>
      </c>
      <c r="B6" s="34" t="s">
        <v>317</v>
      </c>
      <c r="C6" s="34" t="s">
        <v>318</v>
      </c>
      <c r="D6" s="34" t="s">
        <v>319</v>
      </c>
      <c r="E6" s="34" t="s">
        <v>320</v>
      </c>
      <c r="F6" s="34" t="s">
        <v>321</v>
      </c>
      <c r="G6" s="34" t="s">
        <v>322</v>
      </c>
      <c r="H6" s="34" t="s">
        <v>323</v>
      </c>
      <c r="I6" s="34" t="s">
        <v>324</v>
      </c>
      <c r="J6" s="34" t="s">
        <v>325</v>
      </c>
      <c r="K6" s="34" t="s">
        <v>326</v>
      </c>
      <c r="L6" s="34" t="s">
        <v>327</v>
      </c>
      <c r="M6" s="34" t="s">
        <v>328</v>
      </c>
    </row>
    <row r="7" spans="1:13" x14ac:dyDescent="0.25">
      <c r="A7" s="33">
        <v>45943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24137312.619224999</v>
      </c>
      <c r="I7" s="35">
        <v>0</v>
      </c>
      <c r="J7" s="35">
        <v>0</v>
      </c>
      <c r="K7" s="35">
        <v>0</v>
      </c>
      <c r="L7" s="35">
        <v>0</v>
      </c>
      <c r="M7" s="19">
        <f t="shared" ref="M7:M70" si="0">SUM(B7:L7)</f>
        <v>24137312.619224999</v>
      </c>
    </row>
    <row r="8" spans="1:13" x14ac:dyDescent="0.25">
      <c r="A8" s="33">
        <v>45944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21893627.96875</v>
      </c>
      <c r="I8" s="35">
        <v>0</v>
      </c>
      <c r="J8" s="35">
        <v>0</v>
      </c>
      <c r="K8" s="35">
        <v>0</v>
      </c>
      <c r="L8" s="35">
        <v>0</v>
      </c>
      <c r="M8" s="19">
        <f t="shared" si="0"/>
        <v>21893627.96875</v>
      </c>
    </row>
    <row r="9" spans="1:13" x14ac:dyDescent="0.25">
      <c r="A9" s="33">
        <v>45945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20602638.15975</v>
      </c>
      <c r="I9" s="35">
        <v>0</v>
      </c>
      <c r="J9" s="35">
        <v>0</v>
      </c>
      <c r="K9" s="35">
        <v>0</v>
      </c>
      <c r="L9" s="35">
        <v>0</v>
      </c>
      <c r="M9" s="19">
        <f t="shared" si="0"/>
        <v>20602638.15975</v>
      </c>
    </row>
    <row r="10" spans="1:13" x14ac:dyDescent="0.25">
      <c r="A10" s="33">
        <v>45946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19139743.644524999</v>
      </c>
      <c r="I10" s="35">
        <v>0</v>
      </c>
      <c r="J10" s="35">
        <v>0</v>
      </c>
      <c r="K10" s="35">
        <v>0</v>
      </c>
      <c r="L10" s="35">
        <v>0</v>
      </c>
      <c r="M10" s="19">
        <f t="shared" si="0"/>
        <v>19139743.644524999</v>
      </c>
    </row>
    <row r="11" spans="1:13" x14ac:dyDescent="0.25">
      <c r="A11" s="33">
        <v>45947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15100795.484999999</v>
      </c>
      <c r="I11" s="35">
        <v>0</v>
      </c>
      <c r="J11" s="35">
        <v>0</v>
      </c>
      <c r="K11" s="35">
        <v>0</v>
      </c>
      <c r="L11" s="35">
        <v>0</v>
      </c>
      <c r="M11" s="19">
        <f t="shared" si="0"/>
        <v>15100795.484999999</v>
      </c>
    </row>
    <row r="12" spans="1:13" x14ac:dyDescent="0.25">
      <c r="A12" s="33">
        <v>45948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6243638.8271000003</v>
      </c>
      <c r="I12" s="35">
        <v>0</v>
      </c>
      <c r="J12" s="35">
        <v>0</v>
      </c>
      <c r="K12" s="35">
        <v>0</v>
      </c>
      <c r="L12" s="35">
        <v>0</v>
      </c>
      <c r="M12" s="19">
        <f t="shared" si="0"/>
        <v>6243638.8271000003</v>
      </c>
    </row>
    <row r="13" spans="1:13" x14ac:dyDescent="0.25">
      <c r="A13" s="33">
        <v>45949</v>
      </c>
      <c r="B13" s="35">
        <v>0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7838676.3525</v>
      </c>
      <c r="I13" s="35">
        <v>0</v>
      </c>
      <c r="J13" s="35">
        <v>0</v>
      </c>
      <c r="K13" s="35">
        <v>0</v>
      </c>
      <c r="L13" s="35">
        <v>0</v>
      </c>
      <c r="M13" s="19">
        <f t="shared" si="0"/>
        <v>7838676.3525</v>
      </c>
    </row>
    <row r="14" spans="1:13" x14ac:dyDescent="0.25">
      <c r="A14" s="33">
        <v>45950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10597513.025250001</v>
      </c>
      <c r="I14" s="35">
        <v>0</v>
      </c>
      <c r="J14" s="35">
        <v>0</v>
      </c>
      <c r="K14" s="35">
        <v>0</v>
      </c>
      <c r="L14" s="35">
        <v>0</v>
      </c>
      <c r="M14" s="19">
        <f t="shared" si="0"/>
        <v>10597513.025250001</v>
      </c>
    </row>
    <row r="15" spans="1:13" x14ac:dyDescent="0.25">
      <c r="A15" s="33">
        <v>45951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23304373.187649999</v>
      </c>
      <c r="I15" s="35">
        <v>0</v>
      </c>
      <c r="J15" s="35">
        <v>0</v>
      </c>
      <c r="K15" s="35">
        <v>0</v>
      </c>
      <c r="L15" s="35">
        <v>0</v>
      </c>
      <c r="M15" s="19">
        <f t="shared" si="0"/>
        <v>23304373.187649999</v>
      </c>
    </row>
    <row r="16" spans="1:13" x14ac:dyDescent="0.25">
      <c r="A16" s="33">
        <v>45952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36702796.546499997</v>
      </c>
      <c r="I16" s="35">
        <v>0</v>
      </c>
      <c r="J16" s="35">
        <v>0</v>
      </c>
      <c r="K16" s="35">
        <v>0</v>
      </c>
      <c r="L16" s="35">
        <v>0</v>
      </c>
      <c r="M16" s="19">
        <f t="shared" si="0"/>
        <v>36702796.546499997</v>
      </c>
    </row>
    <row r="17" spans="1:13" x14ac:dyDescent="0.25">
      <c r="A17" s="33">
        <v>45953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30181936.875999998</v>
      </c>
      <c r="I17" s="35">
        <v>0</v>
      </c>
      <c r="J17" s="35">
        <v>0</v>
      </c>
      <c r="K17" s="35">
        <v>0</v>
      </c>
      <c r="L17" s="35">
        <v>0</v>
      </c>
      <c r="M17" s="19">
        <f t="shared" si="0"/>
        <v>30181936.875999998</v>
      </c>
    </row>
    <row r="18" spans="1:13" x14ac:dyDescent="0.25">
      <c r="A18" s="33">
        <v>45954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27291719.555100001</v>
      </c>
      <c r="I18" s="35">
        <v>0</v>
      </c>
      <c r="J18" s="35">
        <v>0</v>
      </c>
      <c r="K18" s="35">
        <v>0</v>
      </c>
      <c r="L18" s="35">
        <v>0</v>
      </c>
      <c r="M18" s="19">
        <f t="shared" si="0"/>
        <v>27291719.555100001</v>
      </c>
    </row>
    <row r="19" spans="1:13" x14ac:dyDescent="0.25">
      <c r="A19" s="33">
        <v>45955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49065137.024449997</v>
      </c>
      <c r="I19" s="35">
        <v>0</v>
      </c>
      <c r="J19" s="35">
        <v>0</v>
      </c>
      <c r="K19" s="35">
        <v>0</v>
      </c>
      <c r="L19" s="35">
        <v>0</v>
      </c>
      <c r="M19" s="19">
        <f t="shared" si="0"/>
        <v>49065137.024449997</v>
      </c>
    </row>
    <row r="20" spans="1:13" x14ac:dyDescent="0.25">
      <c r="A20" s="33">
        <v>45956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47095459.857924998</v>
      </c>
      <c r="I20" s="35">
        <v>0</v>
      </c>
      <c r="J20" s="35">
        <v>0</v>
      </c>
      <c r="K20" s="35">
        <v>0</v>
      </c>
      <c r="L20" s="35">
        <v>0</v>
      </c>
      <c r="M20" s="19">
        <f t="shared" si="0"/>
        <v>47095459.857924998</v>
      </c>
    </row>
    <row r="21" spans="1:13" x14ac:dyDescent="0.25">
      <c r="A21" s="33">
        <v>45957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65432776.4124</v>
      </c>
      <c r="I21" s="35">
        <v>0</v>
      </c>
      <c r="J21" s="35">
        <v>0</v>
      </c>
      <c r="K21" s="35">
        <v>0</v>
      </c>
      <c r="L21" s="35">
        <v>0</v>
      </c>
      <c r="M21" s="19">
        <f t="shared" si="0"/>
        <v>65432776.4124</v>
      </c>
    </row>
    <row r="22" spans="1:13" x14ac:dyDescent="0.25">
      <c r="A22" s="33">
        <v>45958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80509374.283675</v>
      </c>
      <c r="I22" s="35">
        <v>0</v>
      </c>
      <c r="J22" s="35">
        <v>0</v>
      </c>
      <c r="K22" s="35">
        <v>0</v>
      </c>
      <c r="L22" s="35">
        <v>0</v>
      </c>
      <c r="M22" s="19">
        <f t="shared" si="0"/>
        <v>80509374.283675</v>
      </c>
    </row>
    <row r="23" spans="1:13" x14ac:dyDescent="0.25">
      <c r="A23" s="33">
        <v>45959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94164067.492599994</v>
      </c>
      <c r="I23" s="35">
        <v>0</v>
      </c>
      <c r="J23" s="35">
        <v>0</v>
      </c>
      <c r="K23" s="35">
        <v>0</v>
      </c>
      <c r="L23" s="35">
        <v>0</v>
      </c>
      <c r="M23" s="19">
        <f t="shared" si="0"/>
        <v>94164067.492599994</v>
      </c>
    </row>
    <row r="24" spans="1:13" x14ac:dyDescent="0.25">
      <c r="A24" s="33">
        <v>45960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116186101.457325</v>
      </c>
      <c r="I24" s="35">
        <v>0</v>
      </c>
      <c r="J24" s="35">
        <v>0</v>
      </c>
      <c r="K24" s="35">
        <v>0</v>
      </c>
      <c r="L24" s="35">
        <v>0</v>
      </c>
      <c r="M24" s="19">
        <f t="shared" si="0"/>
        <v>116186101.457325</v>
      </c>
    </row>
    <row r="25" spans="1:13" x14ac:dyDescent="0.25">
      <c r="A25" s="33">
        <v>45961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60153173.398400001</v>
      </c>
      <c r="I25" s="35">
        <v>0</v>
      </c>
      <c r="J25" s="35">
        <v>0</v>
      </c>
      <c r="K25" s="35">
        <v>0</v>
      </c>
      <c r="L25" s="35">
        <v>0</v>
      </c>
      <c r="M25" s="19">
        <f t="shared" si="0"/>
        <v>60153173.398400001</v>
      </c>
    </row>
    <row r="26" spans="1:13" x14ac:dyDescent="0.25">
      <c r="A26" s="33">
        <v>45962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44938796.780699998</v>
      </c>
      <c r="I26" s="35">
        <v>0</v>
      </c>
      <c r="J26" s="35">
        <v>0</v>
      </c>
      <c r="K26" s="35">
        <v>0</v>
      </c>
      <c r="L26" s="35">
        <v>0</v>
      </c>
      <c r="M26" s="19">
        <f t="shared" si="0"/>
        <v>44938796.780699998</v>
      </c>
    </row>
    <row r="27" spans="1:13" x14ac:dyDescent="0.25">
      <c r="A27" s="33">
        <v>45963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32927392.561299998</v>
      </c>
      <c r="I27" s="35">
        <v>0</v>
      </c>
      <c r="J27" s="35">
        <v>0</v>
      </c>
      <c r="K27" s="35">
        <v>0</v>
      </c>
      <c r="L27" s="35">
        <v>0</v>
      </c>
      <c r="M27" s="19">
        <f t="shared" si="0"/>
        <v>32927392.561299998</v>
      </c>
    </row>
    <row r="28" spans="1:13" x14ac:dyDescent="0.25">
      <c r="A28" s="33">
        <v>45964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76756338.609799996</v>
      </c>
      <c r="I28" s="35">
        <v>0</v>
      </c>
      <c r="J28" s="35">
        <v>0</v>
      </c>
      <c r="K28" s="35">
        <v>0</v>
      </c>
      <c r="L28" s="35">
        <v>0</v>
      </c>
      <c r="M28" s="19">
        <f t="shared" si="0"/>
        <v>76756338.609799996</v>
      </c>
    </row>
    <row r="29" spans="1:13" x14ac:dyDescent="0.25">
      <c r="A29" s="33">
        <v>45965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77109245.047399998</v>
      </c>
      <c r="I29" s="35">
        <v>0</v>
      </c>
      <c r="J29" s="35">
        <v>0</v>
      </c>
      <c r="K29" s="35">
        <v>0</v>
      </c>
      <c r="L29" s="35">
        <v>0</v>
      </c>
      <c r="M29" s="19">
        <f t="shared" si="0"/>
        <v>77109245.047399998</v>
      </c>
    </row>
    <row r="30" spans="1:13" x14ac:dyDescent="0.25">
      <c r="A30" s="33">
        <v>45966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74217407.925699994</v>
      </c>
      <c r="I30" s="35">
        <v>0</v>
      </c>
      <c r="J30" s="35">
        <v>0</v>
      </c>
      <c r="K30" s="35">
        <v>0</v>
      </c>
      <c r="L30" s="35">
        <v>0</v>
      </c>
      <c r="M30" s="19">
        <f t="shared" si="0"/>
        <v>74217407.925699994</v>
      </c>
    </row>
    <row r="31" spans="1:13" x14ac:dyDescent="0.25">
      <c r="A31" s="33">
        <v>45967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72511086.722625002</v>
      </c>
      <c r="I31" s="35">
        <v>0</v>
      </c>
      <c r="J31" s="35">
        <v>0</v>
      </c>
      <c r="K31" s="35">
        <v>0</v>
      </c>
      <c r="L31" s="35">
        <v>0</v>
      </c>
      <c r="M31" s="19">
        <f t="shared" si="0"/>
        <v>72511086.722625002</v>
      </c>
    </row>
    <row r="32" spans="1:13" x14ac:dyDescent="0.25">
      <c r="A32" s="33">
        <v>45968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86634638.029225007</v>
      </c>
      <c r="I32" s="35">
        <v>0</v>
      </c>
      <c r="J32" s="35">
        <v>0</v>
      </c>
      <c r="K32" s="35">
        <v>0</v>
      </c>
      <c r="L32" s="35">
        <v>0</v>
      </c>
      <c r="M32" s="19">
        <f t="shared" si="0"/>
        <v>86634638.029225007</v>
      </c>
    </row>
    <row r="33" spans="1:13" x14ac:dyDescent="0.25">
      <c r="A33" s="33">
        <v>45969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17356871.905850001</v>
      </c>
      <c r="I33" s="35">
        <v>0</v>
      </c>
      <c r="J33" s="35">
        <v>0</v>
      </c>
      <c r="K33" s="35">
        <v>0</v>
      </c>
      <c r="L33" s="35">
        <v>0</v>
      </c>
      <c r="M33" s="19">
        <f t="shared" si="0"/>
        <v>17356871.905850001</v>
      </c>
    </row>
    <row r="34" spans="1:13" x14ac:dyDescent="0.25">
      <c r="A34" s="33">
        <v>45970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35955133.884225003</v>
      </c>
      <c r="I34" s="35">
        <v>0</v>
      </c>
      <c r="J34" s="35">
        <v>0</v>
      </c>
      <c r="K34" s="35">
        <v>0</v>
      </c>
      <c r="L34" s="35">
        <v>0</v>
      </c>
      <c r="M34" s="19">
        <f t="shared" si="0"/>
        <v>35955133.884225003</v>
      </c>
    </row>
    <row r="35" spans="1:13" x14ac:dyDescent="0.25">
      <c r="A35" s="33">
        <v>45971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48261325.346150003</v>
      </c>
      <c r="I35" s="35">
        <v>0</v>
      </c>
      <c r="J35" s="35">
        <v>0</v>
      </c>
      <c r="K35" s="35">
        <v>0</v>
      </c>
      <c r="L35" s="35">
        <v>0</v>
      </c>
      <c r="M35" s="19">
        <f t="shared" si="0"/>
        <v>48261325.346150003</v>
      </c>
    </row>
    <row r="36" spans="1:13" x14ac:dyDescent="0.25">
      <c r="A36" s="33">
        <v>45972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51953191.468975</v>
      </c>
      <c r="I36" s="35">
        <v>0</v>
      </c>
      <c r="J36" s="35">
        <v>0</v>
      </c>
      <c r="K36" s="35">
        <v>0</v>
      </c>
      <c r="L36" s="35">
        <v>0</v>
      </c>
      <c r="M36" s="19">
        <f t="shared" si="0"/>
        <v>51953191.468975</v>
      </c>
    </row>
    <row r="37" spans="1:13" x14ac:dyDescent="0.25">
      <c r="A37" s="33">
        <v>45973</v>
      </c>
      <c r="B37" s="35">
        <v>0</v>
      </c>
      <c r="C37" s="35">
        <v>0</v>
      </c>
      <c r="D37" s="35">
        <v>0</v>
      </c>
      <c r="E37" s="35">
        <v>0</v>
      </c>
      <c r="F37" s="35">
        <v>0</v>
      </c>
      <c r="G37" s="35">
        <v>6967685.086375</v>
      </c>
      <c r="H37" s="35">
        <v>48396103.624049999</v>
      </c>
      <c r="I37" s="35">
        <v>0</v>
      </c>
      <c r="J37" s="35">
        <v>0</v>
      </c>
      <c r="K37" s="35">
        <v>0</v>
      </c>
      <c r="L37" s="35">
        <v>0</v>
      </c>
      <c r="M37" s="19">
        <f t="shared" si="0"/>
        <v>55363788.710424997</v>
      </c>
    </row>
    <row r="38" spans="1:13" x14ac:dyDescent="0.25">
      <c r="A38" s="33">
        <v>45974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29670140.491289999</v>
      </c>
      <c r="H38" s="35">
        <v>47990010.090750001</v>
      </c>
      <c r="I38" s="35">
        <v>0</v>
      </c>
      <c r="J38" s="35">
        <v>0</v>
      </c>
      <c r="K38" s="35">
        <v>241929.2059875</v>
      </c>
      <c r="L38" s="35">
        <v>0</v>
      </c>
      <c r="M38" s="19">
        <f t="shared" si="0"/>
        <v>77902079.788027495</v>
      </c>
    </row>
    <row r="39" spans="1:13" x14ac:dyDescent="0.25">
      <c r="A39" s="33">
        <v>45975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36124250.440810002</v>
      </c>
      <c r="H39" s="35">
        <v>46570853.686650001</v>
      </c>
      <c r="I39" s="35">
        <v>0</v>
      </c>
      <c r="J39" s="35">
        <v>0</v>
      </c>
      <c r="K39" s="35">
        <v>265065.05514499999</v>
      </c>
      <c r="L39" s="35">
        <v>0</v>
      </c>
      <c r="M39" s="19">
        <f t="shared" si="0"/>
        <v>82960169.182604998</v>
      </c>
    </row>
    <row r="40" spans="1:13" x14ac:dyDescent="0.25">
      <c r="A40" s="33">
        <v>45976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10870525.664349999</v>
      </c>
      <c r="H40" s="35">
        <v>17787921.298</v>
      </c>
      <c r="I40" s="35">
        <v>0</v>
      </c>
      <c r="J40" s="35">
        <v>0</v>
      </c>
      <c r="K40" s="35">
        <v>266210.79911999998</v>
      </c>
      <c r="L40" s="35">
        <v>0</v>
      </c>
      <c r="M40" s="19">
        <f t="shared" si="0"/>
        <v>28924657.761470001</v>
      </c>
    </row>
    <row r="41" spans="1:13" x14ac:dyDescent="0.25">
      <c r="A41" s="33">
        <v>45977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10632814.1989775</v>
      </c>
      <c r="H41" s="35">
        <v>27862258.64175</v>
      </c>
      <c r="I41" s="35">
        <v>0</v>
      </c>
      <c r="J41" s="35">
        <v>0</v>
      </c>
      <c r="K41" s="35">
        <v>544556.82626749994</v>
      </c>
      <c r="L41" s="35">
        <v>0</v>
      </c>
      <c r="M41" s="19">
        <f t="shared" si="0"/>
        <v>39039629.666995004</v>
      </c>
    </row>
    <row r="42" spans="1:13" x14ac:dyDescent="0.25">
      <c r="A42" s="33">
        <v>45978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56505881.637505002</v>
      </c>
      <c r="H42" s="35">
        <v>68345219.701000005</v>
      </c>
      <c r="I42" s="35">
        <v>0</v>
      </c>
      <c r="J42" s="35">
        <v>0</v>
      </c>
      <c r="K42" s="35">
        <v>156318.23102499999</v>
      </c>
      <c r="L42" s="35">
        <v>0</v>
      </c>
      <c r="M42" s="19">
        <f t="shared" si="0"/>
        <v>125007419.56953</v>
      </c>
    </row>
    <row r="43" spans="1:13" x14ac:dyDescent="0.25">
      <c r="A43" s="33">
        <v>45979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63041750.150844999</v>
      </c>
      <c r="H43" s="35">
        <v>80071589.945800006</v>
      </c>
      <c r="I43" s="35">
        <v>0</v>
      </c>
      <c r="J43" s="35">
        <v>0</v>
      </c>
      <c r="K43" s="35">
        <v>420655.35941999999</v>
      </c>
      <c r="L43" s="35">
        <v>0</v>
      </c>
      <c r="M43" s="19">
        <f t="shared" si="0"/>
        <v>143533995.456065</v>
      </c>
    </row>
    <row r="44" spans="1:13" x14ac:dyDescent="0.25">
      <c r="A44" s="33">
        <v>45980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147847068.962143</v>
      </c>
      <c r="H44" s="35">
        <v>83049187.181700006</v>
      </c>
      <c r="I44" s="35">
        <v>0</v>
      </c>
      <c r="J44" s="35">
        <v>0</v>
      </c>
      <c r="K44" s="35">
        <v>748791.59426749998</v>
      </c>
      <c r="L44" s="35">
        <v>0</v>
      </c>
      <c r="M44" s="19">
        <f t="shared" si="0"/>
        <v>231645047.73811048</v>
      </c>
    </row>
    <row r="45" spans="1:13" x14ac:dyDescent="0.25">
      <c r="A45" s="33">
        <v>45981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163377915.78518999</v>
      </c>
      <c r="H45" s="35">
        <v>148951649.03985</v>
      </c>
      <c r="I45" s="35">
        <v>0</v>
      </c>
      <c r="J45" s="35">
        <v>0</v>
      </c>
      <c r="K45" s="35">
        <v>1675248.20355</v>
      </c>
      <c r="L45" s="35">
        <v>0</v>
      </c>
      <c r="M45" s="19">
        <f t="shared" si="0"/>
        <v>314004813.02858996</v>
      </c>
    </row>
    <row r="46" spans="1:13" x14ac:dyDescent="0.25">
      <c r="A46" s="33">
        <v>45982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190704172.20945001</v>
      </c>
      <c r="H46" s="35">
        <v>128624835.8876</v>
      </c>
      <c r="I46" s="35">
        <v>0</v>
      </c>
      <c r="J46" s="35">
        <v>0</v>
      </c>
      <c r="K46" s="35">
        <v>1680459.5818775001</v>
      </c>
      <c r="L46" s="35">
        <v>0</v>
      </c>
      <c r="M46" s="19">
        <f t="shared" si="0"/>
        <v>321009467.67892754</v>
      </c>
    </row>
    <row r="47" spans="1:13" x14ac:dyDescent="0.25">
      <c r="A47" s="33">
        <v>45983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19582749.707027499</v>
      </c>
      <c r="H47" s="35">
        <v>34555758.247199997</v>
      </c>
      <c r="I47" s="35">
        <v>0</v>
      </c>
      <c r="J47" s="35">
        <v>0</v>
      </c>
      <c r="K47" s="35">
        <v>2341469.8781150002</v>
      </c>
      <c r="L47" s="35">
        <v>0</v>
      </c>
      <c r="M47" s="19">
        <f t="shared" si="0"/>
        <v>56479977.832342491</v>
      </c>
    </row>
    <row r="48" spans="1:13" x14ac:dyDescent="0.25">
      <c r="A48" s="33">
        <v>45984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20088852.011807501</v>
      </c>
      <c r="H48" s="35">
        <v>32402280.743949998</v>
      </c>
      <c r="I48" s="35">
        <v>0</v>
      </c>
      <c r="J48" s="35">
        <v>0</v>
      </c>
      <c r="K48" s="35">
        <v>1893302.3064900001</v>
      </c>
      <c r="L48" s="35">
        <v>0</v>
      </c>
      <c r="M48" s="19">
        <f t="shared" si="0"/>
        <v>54384435.062247492</v>
      </c>
    </row>
    <row r="49" spans="1:13" x14ac:dyDescent="0.25">
      <c r="A49" s="33">
        <v>45985</v>
      </c>
      <c r="B49" s="35">
        <v>0</v>
      </c>
      <c r="C49" s="35">
        <v>0</v>
      </c>
      <c r="D49" s="35">
        <v>0</v>
      </c>
      <c r="E49" s="35">
        <v>0</v>
      </c>
      <c r="F49" s="35">
        <v>1279442.87946</v>
      </c>
      <c r="G49" s="35">
        <v>156238985.71266299</v>
      </c>
      <c r="H49" s="35">
        <v>286337454.1566</v>
      </c>
      <c r="I49" s="35">
        <v>0</v>
      </c>
      <c r="J49" s="35">
        <v>0</v>
      </c>
      <c r="K49" s="35">
        <v>3335596.5961925001</v>
      </c>
      <c r="L49" s="35">
        <v>0</v>
      </c>
      <c r="M49" s="19">
        <f t="shared" si="0"/>
        <v>447191479.34491551</v>
      </c>
    </row>
    <row r="50" spans="1:13" x14ac:dyDescent="0.25">
      <c r="A50" s="33">
        <v>45986</v>
      </c>
      <c r="B50" s="35">
        <v>0</v>
      </c>
      <c r="C50" s="35">
        <v>0</v>
      </c>
      <c r="D50" s="35">
        <v>0</v>
      </c>
      <c r="E50" s="35">
        <v>0</v>
      </c>
      <c r="F50" s="35">
        <v>7990974.8272050004</v>
      </c>
      <c r="G50" s="35">
        <v>202750672.25712499</v>
      </c>
      <c r="H50" s="35">
        <v>314259525.80549997</v>
      </c>
      <c r="I50" s="35">
        <v>0</v>
      </c>
      <c r="J50" s="35">
        <v>0</v>
      </c>
      <c r="K50" s="35">
        <v>2410522.7707524998</v>
      </c>
      <c r="L50" s="35">
        <v>0</v>
      </c>
      <c r="M50" s="19">
        <f t="shared" si="0"/>
        <v>527411695.66058248</v>
      </c>
    </row>
    <row r="51" spans="1:13" x14ac:dyDescent="0.25">
      <c r="A51" s="33">
        <v>45987</v>
      </c>
      <c r="B51" s="35">
        <v>0</v>
      </c>
      <c r="C51" s="35">
        <v>0</v>
      </c>
      <c r="D51" s="35">
        <v>0</v>
      </c>
      <c r="E51" s="35">
        <v>0</v>
      </c>
      <c r="F51" s="35">
        <v>20976487.259854998</v>
      </c>
      <c r="G51" s="35">
        <v>145095588.27254501</v>
      </c>
      <c r="H51" s="35">
        <v>229060223.59815001</v>
      </c>
      <c r="I51" s="35">
        <v>0</v>
      </c>
      <c r="J51" s="35">
        <v>0</v>
      </c>
      <c r="K51" s="35">
        <v>3263718.1954124998</v>
      </c>
      <c r="L51" s="35">
        <v>0</v>
      </c>
      <c r="M51" s="19">
        <f t="shared" si="0"/>
        <v>398396017.32596254</v>
      </c>
    </row>
    <row r="52" spans="1:13" x14ac:dyDescent="0.25">
      <c r="A52" s="33">
        <v>45988</v>
      </c>
      <c r="B52" s="35">
        <v>0</v>
      </c>
      <c r="C52" s="35">
        <v>0</v>
      </c>
      <c r="D52" s="35">
        <v>0</v>
      </c>
      <c r="E52" s="35">
        <v>0</v>
      </c>
      <c r="F52" s="35">
        <v>3436440.1403299998</v>
      </c>
      <c r="G52" s="35">
        <v>41612411.320157498</v>
      </c>
      <c r="H52" s="35">
        <v>141206031.92987499</v>
      </c>
      <c r="I52" s="35">
        <v>0</v>
      </c>
      <c r="J52" s="35">
        <v>0</v>
      </c>
      <c r="K52" s="35">
        <v>2729166.2769175</v>
      </c>
      <c r="L52" s="35">
        <v>0</v>
      </c>
      <c r="M52" s="19">
        <f t="shared" si="0"/>
        <v>188984049.66727999</v>
      </c>
    </row>
    <row r="53" spans="1:13" x14ac:dyDescent="0.25">
      <c r="A53" s="33">
        <v>45989</v>
      </c>
      <c r="B53" s="35">
        <v>0</v>
      </c>
      <c r="C53" s="35">
        <v>0</v>
      </c>
      <c r="D53" s="35">
        <v>0</v>
      </c>
      <c r="E53" s="35">
        <v>0</v>
      </c>
      <c r="F53" s="35">
        <v>13851625.4753075</v>
      </c>
      <c r="G53" s="35">
        <v>86062037.643875003</v>
      </c>
      <c r="H53" s="35">
        <v>157451491.56999999</v>
      </c>
      <c r="I53" s="35">
        <v>0</v>
      </c>
      <c r="J53" s="35">
        <v>0</v>
      </c>
      <c r="K53" s="35">
        <v>1342540.0484</v>
      </c>
      <c r="L53" s="35">
        <v>0</v>
      </c>
      <c r="M53" s="19">
        <f t="shared" si="0"/>
        <v>258707694.7375825</v>
      </c>
    </row>
    <row r="54" spans="1:13" x14ac:dyDescent="0.25">
      <c r="A54" s="33">
        <v>45990</v>
      </c>
      <c r="B54" s="35">
        <v>0</v>
      </c>
      <c r="C54" s="35">
        <v>0</v>
      </c>
      <c r="D54" s="35">
        <v>0</v>
      </c>
      <c r="E54" s="35">
        <v>0</v>
      </c>
      <c r="F54" s="35">
        <v>1387594.0405550001</v>
      </c>
      <c r="G54" s="35">
        <v>18862921.202742498</v>
      </c>
      <c r="H54" s="35">
        <v>115953026.57385001</v>
      </c>
      <c r="I54" s="35">
        <v>0</v>
      </c>
      <c r="J54" s="35">
        <v>0</v>
      </c>
      <c r="K54" s="35">
        <v>1855089.6878325001</v>
      </c>
      <c r="L54" s="35">
        <v>0</v>
      </c>
      <c r="M54" s="19">
        <f t="shared" si="0"/>
        <v>138058631.50498</v>
      </c>
    </row>
    <row r="55" spans="1:13" x14ac:dyDescent="0.25">
      <c r="A55" s="33">
        <v>45991</v>
      </c>
      <c r="B55" s="35">
        <v>0</v>
      </c>
      <c r="C55" s="35">
        <v>0</v>
      </c>
      <c r="D55" s="35">
        <v>0</v>
      </c>
      <c r="E55" s="35">
        <v>0</v>
      </c>
      <c r="F55" s="35">
        <v>1878380.2623775001</v>
      </c>
      <c r="G55" s="35">
        <v>19569753.449379999</v>
      </c>
      <c r="H55" s="35">
        <v>80248254.809400007</v>
      </c>
      <c r="I55" s="35">
        <v>0</v>
      </c>
      <c r="J55" s="35">
        <v>0</v>
      </c>
      <c r="K55" s="35">
        <v>1989545.59715</v>
      </c>
      <c r="L55" s="35">
        <v>0</v>
      </c>
      <c r="M55" s="19">
        <f t="shared" si="0"/>
        <v>103685934.1183075</v>
      </c>
    </row>
    <row r="56" spans="1:13" x14ac:dyDescent="0.25">
      <c r="A56" s="33">
        <v>45992</v>
      </c>
      <c r="B56" s="35">
        <v>0</v>
      </c>
      <c r="C56" s="35">
        <v>0</v>
      </c>
      <c r="D56" s="35">
        <v>0</v>
      </c>
      <c r="E56" s="35">
        <v>0</v>
      </c>
      <c r="F56" s="35">
        <v>27215239.387482502</v>
      </c>
      <c r="G56" s="35">
        <v>134531221.707378</v>
      </c>
      <c r="H56" s="35">
        <v>236150045.5275</v>
      </c>
      <c r="I56" s="35">
        <v>0</v>
      </c>
      <c r="J56" s="35">
        <v>0</v>
      </c>
      <c r="K56" s="35">
        <v>526925.82309750002</v>
      </c>
      <c r="L56" s="35">
        <v>0</v>
      </c>
      <c r="M56" s="19">
        <f t="shared" si="0"/>
        <v>398423432.44545799</v>
      </c>
    </row>
    <row r="57" spans="1:13" x14ac:dyDescent="0.25">
      <c r="A57" s="33">
        <v>45993</v>
      </c>
      <c r="B57" s="35">
        <v>0</v>
      </c>
      <c r="C57" s="35">
        <v>0</v>
      </c>
      <c r="D57" s="35">
        <v>0</v>
      </c>
      <c r="E57" s="35">
        <v>0</v>
      </c>
      <c r="F57" s="35">
        <v>29079502.5370875</v>
      </c>
      <c r="G57" s="35">
        <v>132123905.29267</v>
      </c>
      <c r="H57" s="35">
        <v>217327576.77649999</v>
      </c>
      <c r="I57" s="35">
        <v>0</v>
      </c>
      <c r="J57" s="35">
        <v>0</v>
      </c>
      <c r="K57" s="35">
        <v>1477782.6438275001</v>
      </c>
      <c r="L57" s="35">
        <v>0</v>
      </c>
      <c r="M57" s="19">
        <f t="shared" si="0"/>
        <v>380008767.250085</v>
      </c>
    </row>
    <row r="58" spans="1:13" x14ac:dyDescent="0.25">
      <c r="A58" s="33">
        <v>45994</v>
      </c>
      <c r="B58" s="35">
        <v>0</v>
      </c>
      <c r="C58" s="35">
        <v>0</v>
      </c>
      <c r="D58" s="35">
        <v>91.477119999999999</v>
      </c>
      <c r="E58" s="35">
        <v>0</v>
      </c>
      <c r="F58" s="35">
        <v>31403271.613507502</v>
      </c>
      <c r="G58" s="35">
        <v>129859790.01267</v>
      </c>
      <c r="H58" s="35">
        <v>244639255.97567499</v>
      </c>
      <c r="I58" s="35">
        <v>0</v>
      </c>
      <c r="J58" s="35">
        <v>0</v>
      </c>
      <c r="K58" s="35">
        <v>2940212.4103950001</v>
      </c>
      <c r="L58" s="35">
        <v>0</v>
      </c>
      <c r="M58" s="19">
        <f t="shared" si="0"/>
        <v>408842621.48936749</v>
      </c>
    </row>
    <row r="59" spans="1:13" x14ac:dyDescent="0.25">
      <c r="A59" s="33">
        <v>45995</v>
      </c>
      <c r="B59" s="35">
        <v>0</v>
      </c>
      <c r="C59" s="35">
        <v>0</v>
      </c>
      <c r="D59" s="35">
        <v>14.0832</v>
      </c>
      <c r="E59" s="35">
        <v>0</v>
      </c>
      <c r="F59" s="35">
        <v>41514319.6954275</v>
      </c>
      <c r="G59" s="35">
        <v>124745303.013485</v>
      </c>
      <c r="H59" s="35">
        <v>345873768.01335001</v>
      </c>
      <c r="I59" s="35">
        <v>0</v>
      </c>
      <c r="J59" s="35">
        <v>0</v>
      </c>
      <c r="K59" s="35">
        <v>1937170.318805</v>
      </c>
      <c r="L59" s="35">
        <v>0</v>
      </c>
      <c r="M59" s="19">
        <f t="shared" si="0"/>
        <v>514070575.12426746</v>
      </c>
    </row>
    <row r="60" spans="1:13" x14ac:dyDescent="0.25">
      <c r="A60" s="33">
        <v>45996</v>
      </c>
      <c r="B60" s="35">
        <v>0</v>
      </c>
      <c r="C60" s="35">
        <v>0</v>
      </c>
      <c r="D60" s="35">
        <v>269.9905</v>
      </c>
      <c r="E60" s="35">
        <v>0</v>
      </c>
      <c r="F60" s="35">
        <v>55300258.395204999</v>
      </c>
      <c r="G60" s="35">
        <v>97569538.807332501</v>
      </c>
      <c r="H60" s="35">
        <v>183278370.34485</v>
      </c>
      <c r="I60" s="35">
        <v>0</v>
      </c>
      <c r="J60" s="35">
        <v>0</v>
      </c>
      <c r="K60" s="35">
        <v>1540491.17035</v>
      </c>
      <c r="L60" s="35">
        <v>0</v>
      </c>
      <c r="M60" s="19">
        <f t="shared" si="0"/>
        <v>337688928.70823753</v>
      </c>
    </row>
    <row r="61" spans="1:13" x14ac:dyDescent="0.25">
      <c r="A61" s="33">
        <v>45997</v>
      </c>
      <c r="B61" s="35">
        <v>0</v>
      </c>
      <c r="C61" s="35">
        <v>0</v>
      </c>
      <c r="D61" s="35">
        <v>1638.1717375000001</v>
      </c>
      <c r="E61" s="35">
        <v>0</v>
      </c>
      <c r="F61" s="35">
        <v>3165763.842555</v>
      </c>
      <c r="G61" s="35">
        <v>8652696.5722449999</v>
      </c>
      <c r="H61" s="35">
        <v>46883680.644199997</v>
      </c>
      <c r="I61" s="35">
        <v>0</v>
      </c>
      <c r="J61" s="35">
        <v>0</v>
      </c>
      <c r="K61" s="35">
        <v>1521336.8841725001</v>
      </c>
      <c r="L61" s="35">
        <v>0</v>
      </c>
      <c r="M61" s="19">
        <f t="shared" si="0"/>
        <v>60225116.114909992</v>
      </c>
    </row>
    <row r="62" spans="1:13" x14ac:dyDescent="0.25">
      <c r="A62" s="33">
        <v>45998</v>
      </c>
      <c r="B62" s="35">
        <v>0</v>
      </c>
      <c r="C62" s="35">
        <v>0</v>
      </c>
      <c r="D62" s="35">
        <v>101.29168</v>
      </c>
      <c r="E62" s="35">
        <v>0</v>
      </c>
      <c r="F62" s="35">
        <v>3416955.1029225001</v>
      </c>
      <c r="G62" s="35">
        <v>8736667.0478050001</v>
      </c>
      <c r="H62" s="35">
        <v>88501084.648725003</v>
      </c>
      <c r="I62" s="35">
        <v>0</v>
      </c>
      <c r="J62" s="35">
        <v>0</v>
      </c>
      <c r="K62" s="35">
        <v>683208.13781500002</v>
      </c>
      <c r="L62" s="35">
        <v>0</v>
      </c>
      <c r="M62" s="19">
        <f t="shared" si="0"/>
        <v>101338016.22894751</v>
      </c>
    </row>
    <row r="63" spans="1:13" x14ac:dyDescent="0.25">
      <c r="A63" s="33">
        <v>45999</v>
      </c>
      <c r="B63" s="35">
        <v>0</v>
      </c>
      <c r="C63" s="35">
        <v>0</v>
      </c>
      <c r="D63" s="35">
        <v>6234.5707974999996</v>
      </c>
      <c r="E63" s="35">
        <v>0</v>
      </c>
      <c r="F63" s="35">
        <v>24480990.394832499</v>
      </c>
      <c r="G63" s="35">
        <v>106501583.720313</v>
      </c>
      <c r="H63" s="35">
        <v>171977370.79049999</v>
      </c>
      <c r="I63" s="35">
        <v>0</v>
      </c>
      <c r="J63" s="35">
        <v>0</v>
      </c>
      <c r="K63" s="35">
        <v>458109.87280000001</v>
      </c>
      <c r="L63" s="35">
        <v>0</v>
      </c>
      <c r="M63" s="19">
        <f t="shared" si="0"/>
        <v>303424289.34924299</v>
      </c>
    </row>
    <row r="64" spans="1:13" x14ac:dyDescent="0.25">
      <c r="A64" s="33">
        <v>46000</v>
      </c>
      <c r="B64" s="35">
        <v>0</v>
      </c>
      <c r="C64" s="35">
        <v>0</v>
      </c>
      <c r="D64" s="35">
        <v>15099718.891015001</v>
      </c>
      <c r="E64" s="35">
        <v>0</v>
      </c>
      <c r="F64" s="35">
        <v>29295587.6983025</v>
      </c>
      <c r="G64" s="35">
        <v>85257763.224334493</v>
      </c>
      <c r="H64" s="35">
        <v>158254246.6873</v>
      </c>
      <c r="I64" s="35">
        <v>0</v>
      </c>
      <c r="J64" s="35">
        <v>0</v>
      </c>
      <c r="K64" s="35">
        <v>666130.99314999999</v>
      </c>
      <c r="L64" s="35">
        <v>0</v>
      </c>
      <c r="M64" s="19">
        <f t="shared" si="0"/>
        <v>288573447.494102</v>
      </c>
    </row>
    <row r="65" spans="1:13" x14ac:dyDescent="0.25">
      <c r="A65" s="33">
        <v>46001</v>
      </c>
      <c r="B65" s="35">
        <v>0</v>
      </c>
      <c r="C65" s="35">
        <v>0</v>
      </c>
      <c r="D65" s="35">
        <v>20540612.130007502</v>
      </c>
      <c r="E65" s="35">
        <v>0</v>
      </c>
      <c r="F65" s="35">
        <v>31047468.553152502</v>
      </c>
      <c r="G65" s="35">
        <v>129818782.505842</v>
      </c>
      <c r="H65" s="35">
        <v>214344451.76325899</v>
      </c>
      <c r="I65" s="35">
        <v>0</v>
      </c>
      <c r="J65" s="35">
        <v>0</v>
      </c>
      <c r="K65" s="35">
        <v>1068821.396615</v>
      </c>
      <c r="L65" s="35">
        <v>0</v>
      </c>
      <c r="M65" s="19">
        <f t="shared" si="0"/>
        <v>396820136.348876</v>
      </c>
    </row>
    <row r="66" spans="1:13" x14ac:dyDescent="0.25">
      <c r="A66" s="33">
        <v>46002</v>
      </c>
      <c r="B66" s="35">
        <v>0</v>
      </c>
      <c r="C66" s="35">
        <v>0</v>
      </c>
      <c r="D66" s="35">
        <v>20153081.023015</v>
      </c>
      <c r="E66" s="35">
        <v>0</v>
      </c>
      <c r="F66" s="35">
        <v>30451724.240162499</v>
      </c>
      <c r="G66" s="35">
        <v>103106954.13092799</v>
      </c>
      <c r="H66" s="35">
        <v>322558453.86155599</v>
      </c>
      <c r="I66" s="35">
        <v>0</v>
      </c>
      <c r="J66" s="35">
        <v>0</v>
      </c>
      <c r="K66" s="35">
        <v>239798.99002500001</v>
      </c>
      <c r="L66" s="35">
        <v>0</v>
      </c>
      <c r="M66" s="19">
        <f t="shared" si="0"/>
        <v>476510012.24568647</v>
      </c>
    </row>
    <row r="67" spans="1:13" x14ac:dyDescent="0.25">
      <c r="A67" s="33">
        <v>46003</v>
      </c>
      <c r="B67" s="35">
        <v>0</v>
      </c>
      <c r="C67" s="35">
        <v>0</v>
      </c>
      <c r="D67" s="35">
        <v>15694384.9308175</v>
      </c>
      <c r="E67" s="35">
        <v>0</v>
      </c>
      <c r="F67" s="35">
        <v>31699584.699494999</v>
      </c>
      <c r="G67" s="35">
        <v>97931289.365416199</v>
      </c>
      <c r="H67" s="35">
        <v>345207930.05822498</v>
      </c>
      <c r="I67" s="35">
        <v>0</v>
      </c>
      <c r="J67" s="35">
        <v>0</v>
      </c>
      <c r="K67" s="35">
        <v>221199.82468749999</v>
      </c>
      <c r="L67" s="35">
        <v>513376.516275</v>
      </c>
      <c r="M67" s="19">
        <f t="shared" si="0"/>
        <v>491267765.39491612</v>
      </c>
    </row>
    <row r="68" spans="1:13" x14ac:dyDescent="0.25">
      <c r="A68" s="33">
        <v>46004</v>
      </c>
      <c r="B68" s="35">
        <v>0</v>
      </c>
      <c r="C68" s="35">
        <v>0</v>
      </c>
      <c r="D68" s="35">
        <v>8400507.6613424998</v>
      </c>
      <c r="E68" s="35">
        <v>0</v>
      </c>
      <c r="F68" s="35">
        <v>1090941.5174</v>
      </c>
      <c r="G68" s="35">
        <v>4371961.095214</v>
      </c>
      <c r="H68" s="35">
        <v>32369269.691555001</v>
      </c>
      <c r="I68" s="35">
        <v>0</v>
      </c>
      <c r="J68" s="35">
        <v>0</v>
      </c>
      <c r="K68" s="35">
        <v>179824.6541025</v>
      </c>
      <c r="L68" s="35">
        <v>179130.85352500001</v>
      </c>
      <c r="M68" s="19">
        <f t="shared" si="0"/>
        <v>46591635.473138995</v>
      </c>
    </row>
    <row r="69" spans="1:13" x14ac:dyDescent="0.25">
      <c r="A69" s="33">
        <v>46005</v>
      </c>
      <c r="B69" s="35">
        <v>0</v>
      </c>
      <c r="C69" s="35">
        <v>0</v>
      </c>
      <c r="D69" s="35">
        <v>12120144.762667499</v>
      </c>
      <c r="E69" s="35">
        <v>0</v>
      </c>
      <c r="F69" s="35">
        <v>1870618.6699175001</v>
      </c>
      <c r="G69" s="35">
        <v>9982253.9966285005</v>
      </c>
      <c r="H69" s="35">
        <v>117529639.058639</v>
      </c>
      <c r="I69" s="35">
        <v>0</v>
      </c>
      <c r="J69" s="35">
        <v>0</v>
      </c>
      <c r="K69" s="35">
        <v>659005.84813000006</v>
      </c>
      <c r="L69" s="35">
        <v>188431.05682500001</v>
      </c>
      <c r="M69" s="19">
        <f t="shared" si="0"/>
        <v>142350093.39280751</v>
      </c>
    </row>
    <row r="70" spans="1:13" x14ac:dyDescent="0.25">
      <c r="A70" s="33">
        <v>46006</v>
      </c>
      <c r="B70" s="35">
        <v>0</v>
      </c>
      <c r="C70" s="35">
        <v>0</v>
      </c>
      <c r="D70" s="35">
        <v>17563970.223162498</v>
      </c>
      <c r="E70" s="35">
        <v>0</v>
      </c>
      <c r="F70" s="35">
        <v>18569795.8551565</v>
      </c>
      <c r="G70" s="35">
        <v>76718435.492408305</v>
      </c>
      <c r="H70" s="35">
        <v>226473755.80752999</v>
      </c>
      <c r="I70" s="35">
        <v>0</v>
      </c>
      <c r="J70" s="35">
        <v>0</v>
      </c>
      <c r="K70" s="35">
        <v>340842.92709000001</v>
      </c>
      <c r="L70" s="35">
        <v>830191.04212500004</v>
      </c>
      <c r="M70" s="19">
        <f t="shared" si="0"/>
        <v>340496991.34747225</v>
      </c>
    </row>
    <row r="71" spans="1:13" x14ac:dyDescent="0.25">
      <c r="A71" s="33">
        <v>46007</v>
      </c>
      <c r="B71" s="35">
        <v>0</v>
      </c>
      <c r="C71" s="35">
        <v>0</v>
      </c>
      <c r="D71" s="35">
        <v>15326890.044032499</v>
      </c>
      <c r="E71" s="35">
        <v>0</v>
      </c>
      <c r="F71" s="35">
        <v>20250046.362799</v>
      </c>
      <c r="G71" s="35">
        <v>94307394.841694504</v>
      </c>
      <c r="H71" s="35">
        <v>245285313.725692</v>
      </c>
      <c r="I71" s="35">
        <v>0</v>
      </c>
      <c r="J71" s="35">
        <v>0</v>
      </c>
      <c r="K71" s="35">
        <v>125668.525215</v>
      </c>
      <c r="L71" s="35">
        <v>1443119.4064</v>
      </c>
      <c r="M71" s="19">
        <f t="shared" ref="M71:M134" si="1">SUM(B71:L71)</f>
        <v>376738432.90583307</v>
      </c>
    </row>
    <row r="72" spans="1:13" x14ac:dyDescent="0.25">
      <c r="A72" s="33">
        <v>46008</v>
      </c>
      <c r="B72" s="35">
        <v>0</v>
      </c>
      <c r="C72" s="35">
        <v>0</v>
      </c>
      <c r="D72" s="35">
        <v>18611010.159419999</v>
      </c>
      <c r="E72" s="35">
        <v>0</v>
      </c>
      <c r="F72" s="35">
        <v>30682962.688124999</v>
      </c>
      <c r="G72" s="35">
        <v>109020052.303324</v>
      </c>
      <c r="H72" s="35">
        <v>215742503.450822</v>
      </c>
      <c r="I72" s="35">
        <v>0</v>
      </c>
      <c r="J72" s="35">
        <v>0</v>
      </c>
      <c r="K72" s="35">
        <v>294024.46169750002</v>
      </c>
      <c r="L72" s="35">
        <v>1832440.8150249999</v>
      </c>
      <c r="M72" s="19">
        <f t="shared" si="1"/>
        <v>376182993.8784135</v>
      </c>
    </row>
    <row r="73" spans="1:13" x14ac:dyDescent="0.25">
      <c r="A73" s="33">
        <v>46009</v>
      </c>
      <c r="B73" s="35">
        <v>0</v>
      </c>
      <c r="C73" s="35">
        <v>0</v>
      </c>
      <c r="D73" s="35">
        <v>16271431.903270001</v>
      </c>
      <c r="E73" s="35">
        <v>0</v>
      </c>
      <c r="F73" s="35">
        <v>30387072.596303999</v>
      </c>
      <c r="G73" s="35">
        <v>88451314.104103506</v>
      </c>
      <c r="H73" s="35">
        <v>239695298.52199101</v>
      </c>
      <c r="I73" s="35">
        <v>0</v>
      </c>
      <c r="J73" s="35">
        <v>0</v>
      </c>
      <c r="K73" s="35">
        <v>216060.8227625</v>
      </c>
      <c r="L73" s="35">
        <v>5592591.8918000003</v>
      </c>
      <c r="M73" s="19">
        <f t="shared" si="1"/>
        <v>380613769.840231</v>
      </c>
    </row>
    <row r="74" spans="1:13" x14ac:dyDescent="0.25">
      <c r="A74" s="33">
        <v>46010</v>
      </c>
      <c r="B74" s="35">
        <v>0</v>
      </c>
      <c r="C74" s="35">
        <v>0</v>
      </c>
      <c r="D74" s="35">
        <v>12538795.629075</v>
      </c>
      <c r="E74" s="35">
        <v>0</v>
      </c>
      <c r="F74" s="35">
        <v>18219416.585530002</v>
      </c>
      <c r="G74" s="35">
        <v>72337572.903837502</v>
      </c>
      <c r="H74" s="35">
        <v>171609329.67570001</v>
      </c>
      <c r="I74" s="35">
        <v>0</v>
      </c>
      <c r="J74" s="35">
        <v>0</v>
      </c>
      <c r="K74" s="35">
        <v>291372.82269</v>
      </c>
      <c r="L74" s="35">
        <v>5577879.3598499997</v>
      </c>
      <c r="M74" s="19">
        <f t="shared" si="1"/>
        <v>280574366.97668248</v>
      </c>
    </row>
    <row r="75" spans="1:13" x14ac:dyDescent="0.25">
      <c r="A75" s="33">
        <v>46011</v>
      </c>
      <c r="B75" s="35">
        <v>0</v>
      </c>
      <c r="C75" s="35">
        <v>0</v>
      </c>
      <c r="D75" s="35">
        <v>16192262.492380001</v>
      </c>
      <c r="E75" s="35">
        <v>0</v>
      </c>
      <c r="F75" s="35">
        <v>702033.34795924998</v>
      </c>
      <c r="G75" s="35">
        <v>11105013.7821275</v>
      </c>
      <c r="H75" s="35">
        <v>33347189.3718585</v>
      </c>
      <c r="I75" s="35">
        <v>0</v>
      </c>
      <c r="J75" s="35">
        <v>0</v>
      </c>
      <c r="K75" s="35">
        <v>1692414.331125</v>
      </c>
      <c r="L75" s="35">
        <v>314564.72562500002</v>
      </c>
      <c r="M75" s="19">
        <f t="shared" si="1"/>
        <v>63353478.05107525</v>
      </c>
    </row>
    <row r="76" spans="1:13" x14ac:dyDescent="0.25">
      <c r="A76" s="33">
        <v>46012</v>
      </c>
      <c r="B76" s="35">
        <v>0</v>
      </c>
      <c r="C76" s="35">
        <v>0</v>
      </c>
      <c r="D76" s="35">
        <v>12026954.2875425</v>
      </c>
      <c r="E76" s="35">
        <v>0</v>
      </c>
      <c r="F76" s="35">
        <v>862514.37872525002</v>
      </c>
      <c r="G76" s="35">
        <v>3343191.2983149998</v>
      </c>
      <c r="H76" s="35">
        <v>39339514.052111998</v>
      </c>
      <c r="I76" s="35">
        <v>0</v>
      </c>
      <c r="J76" s="35">
        <v>0</v>
      </c>
      <c r="K76" s="35">
        <v>866646.10256250005</v>
      </c>
      <c r="L76" s="35">
        <v>1060766.4943875</v>
      </c>
      <c r="M76" s="19">
        <f t="shared" si="1"/>
        <v>57499586.613644749</v>
      </c>
    </row>
    <row r="77" spans="1:13" x14ac:dyDescent="0.25">
      <c r="A77" s="33">
        <v>46013</v>
      </c>
      <c r="B77" s="35">
        <v>0</v>
      </c>
      <c r="C77" s="35">
        <v>0</v>
      </c>
      <c r="D77" s="35">
        <v>17533470.510223001</v>
      </c>
      <c r="E77" s="35">
        <v>0</v>
      </c>
      <c r="F77" s="35">
        <v>16392542.975326</v>
      </c>
      <c r="G77" s="35">
        <v>61458231.519479699</v>
      </c>
      <c r="H77" s="35">
        <v>98534361.675465003</v>
      </c>
      <c r="I77" s="35">
        <v>0</v>
      </c>
      <c r="J77" s="35">
        <v>0</v>
      </c>
      <c r="K77" s="35">
        <v>285135.96892750001</v>
      </c>
      <c r="L77" s="35">
        <v>6440191.9809125001</v>
      </c>
      <c r="M77" s="19">
        <f t="shared" si="1"/>
        <v>200643934.63033372</v>
      </c>
    </row>
    <row r="78" spans="1:13" x14ac:dyDescent="0.25">
      <c r="A78" s="33">
        <v>46014</v>
      </c>
      <c r="B78" s="35">
        <v>0</v>
      </c>
      <c r="C78" s="35">
        <v>0</v>
      </c>
      <c r="D78" s="35">
        <v>15886345.941937501</v>
      </c>
      <c r="E78" s="35">
        <v>0</v>
      </c>
      <c r="F78" s="35">
        <v>20714227.2053953</v>
      </c>
      <c r="G78" s="35">
        <v>40121026.456274003</v>
      </c>
      <c r="H78" s="35">
        <v>187367774.73250899</v>
      </c>
      <c r="I78" s="35">
        <v>750813.80712999997</v>
      </c>
      <c r="J78" s="35">
        <v>0</v>
      </c>
      <c r="K78" s="35">
        <v>848556.15788499999</v>
      </c>
      <c r="L78" s="35">
        <v>8782581.9067000002</v>
      </c>
      <c r="M78" s="19">
        <f t="shared" si="1"/>
        <v>274471326.20783079</v>
      </c>
    </row>
    <row r="79" spans="1:13" x14ac:dyDescent="0.25">
      <c r="A79" s="33">
        <v>46015</v>
      </c>
      <c r="B79" s="35">
        <v>0</v>
      </c>
      <c r="C79" s="35">
        <v>0</v>
      </c>
      <c r="D79" s="35">
        <v>9219828.4204249997</v>
      </c>
      <c r="E79" s="35">
        <v>0</v>
      </c>
      <c r="F79" s="35">
        <v>23552304.439925499</v>
      </c>
      <c r="G79" s="35">
        <v>32035961.281996999</v>
      </c>
      <c r="H79" s="35">
        <v>78791712.786130995</v>
      </c>
      <c r="I79" s="35">
        <v>959373.12476250005</v>
      </c>
      <c r="J79" s="35">
        <v>0</v>
      </c>
      <c r="K79" s="35">
        <v>934841.75066999998</v>
      </c>
      <c r="L79" s="35">
        <v>8316263.4735425003</v>
      </c>
      <c r="M79" s="19">
        <f t="shared" si="1"/>
        <v>153810285.27745348</v>
      </c>
    </row>
    <row r="80" spans="1:13" x14ac:dyDescent="0.25">
      <c r="A80" s="33">
        <v>46016</v>
      </c>
      <c r="B80" s="35">
        <v>0</v>
      </c>
      <c r="C80" s="35">
        <v>0</v>
      </c>
      <c r="D80" s="35">
        <v>12225860.00489</v>
      </c>
      <c r="E80" s="35">
        <v>0</v>
      </c>
      <c r="F80" s="35">
        <v>706088.31240199995</v>
      </c>
      <c r="G80" s="35">
        <v>7503238.6373810004</v>
      </c>
      <c r="H80" s="35">
        <v>36524479.249027498</v>
      </c>
      <c r="I80" s="35">
        <v>262020.673675</v>
      </c>
      <c r="J80" s="35">
        <v>0</v>
      </c>
      <c r="K80" s="35">
        <v>1125160.22288</v>
      </c>
      <c r="L80" s="35">
        <v>2992557.8970225002</v>
      </c>
      <c r="M80" s="19">
        <f t="shared" si="1"/>
        <v>61339404.997277997</v>
      </c>
    </row>
    <row r="81" spans="1:13" x14ac:dyDescent="0.25">
      <c r="A81" s="33">
        <v>46017</v>
      </c>
      <c r="B81" s="35">
        <v>0</v>
      </c>
      <c r="C81" s="35">
        <v>0</v>
      </c>
      <c r="D81" s="35">
        <v>13761707.42185</v>
      </c>
      <c r="E81" s="35">
        <v>0</v>
      </c>
      <c r="F81" s="35">
        <v>8615535.0527525004</v>
      </c>
      <c r="G81" s="35">
        <v>31617479.240532499</v>
      </c>
      <c r="H81" s="35">
        <v>150496229.74518999</v>
      </c>
      <c r="I81" s="35">
        <v>522790.40788750001</v>
      </c>
      <c r="J81" s="35">
        <v>0</v>
      </c>
      <c r="K81" s="35">
        <v>909726.76410499995</v>
      </c>
      <c r="L81" s="35">
        <v>24769129.194460001</v>
      </c>
      <c r="M81" s="19">
        <f t="shared" si="1"/>
        <v>230692597.82677749</v>
      </c>
    </row>
    <row r="82" spans="1:13" x14ac:dyDescent="0.25">
      <c r="A82" s="33">
        <v>46018</v>
      </c>
      <c r="B82" s="35">
        <v>0</v>
      </c>
      <c r="C82" s="35">
        <v>0</v>
      </c>
      <c r="D82" s="35">
        <v>14604705.166482501</v>
      </c>
      <c r="E82" s="35">
        <v>0</v>
      </c>
      <c r="F82" s="35">
        <v>353993.31733624998</v>
      </c>
      <c r="G82" s="35">
        <v>6502344.4037074996</v>
      </c>
      <c r="H82" s="35">
        <v>31724302.926908001</v>
      </c>
      <c r="I82" s="35">
        <v>87955.729810000004</v>
      </c>
      <c r="J82" s="35">
        <v>0</v>
      </c>
      <c r="K82" s="35">
        <v>847860.21460499999</v>
      </c>
      <c r="L82" s="35">
        <v>9946459.3850974999</v>
      </c>
      <c r="M82" s="19">
        <f t="shared" si="1"/>
        <v>64067621.143946752</v>
      </c>
    </row>
    <row r="83" spans="1:13" x14ac:dyDescent="0.25">
      <c r="A83" s="33">
        <v>46019</v>
      </c>
      <c r="B83" s="35">
        <v>0</v>
      </c>
      <c r="C83" s="35">
        <v>0</v>
      </c>
      <c r="D83" s="35">
        <v>8015736.4129699999</v>
      </c>
      <c r="E83" s="35">
        <v>0</v>
      </c>
      <c r="F83" s="35">
        <v>1516556.3759705001</v>
      </c>
      <c r="G83" s="35">
        <v>10714440.414672</v>
      </c>
      <c r="H83" s="35">
        <v>28353342.976002</v>
      </c>
      <c r="I83" s="35">
        <v>56724.370875000001</v>
      </c>
      <c r="J83" s="35">
        <v>0</v>
      </c>
      <c r="K83" s="35">
        <v>69626.142825000003</v>
      </c>
      <c r="L83" s="35">
        <v>26116114.080255002</v>
      </c>
      <c r="M83" s="19">
        <f t="shared" si="1"/>
        <v>74842540.773569494</v>
      </c>
    </row>
    <row r="84" spans="1:13" x14ac:dyDescent="0.25">
      <c r="A84" s="33">
        <v>46020</v>
      </c>
      <c r="B84" s="35">
        <v>0</v>
      </c>
      <c r="C84" s="35">
        <v>0</v>
      </c>
      <c r="D84" s="35">
        <v>14726739.802892501</v>
      </c>
      <c r="E84" s="35">
        <v>0</v>
      </c>
      <c r="F84" s="35">
        <v>17446077.8775388</v>
      </c>
      <c r="G84" s="35">
        <v>45962029.712540001</v>
      </c>
      <c r="H84" s="35">
        <v>131839269.764154</v>
      </c>
      <c r="I84" s="35">
        <v>1204420.4039125</v>
      </c>
      <c r="J84" s="35">
        <v>0</v>
      </c>
      <c r="K84" s="35">
        <v>75260.616299999994</v>
      </c>
      <c r="L84" s="35">
        <v>89172674.455304995</v>
      </c>
      <c r="M84" s="19">
        <f t="shared" si="1"/>
        <v>300426472.63264281</v>
      </c>
    </row>
    <row r="85" spans="1:13" x14ac:dyDescent="0.25">
      <c r="A85" s="33">
        <v>46021</v>
      </c>
      <c r="B85" s="35">
        <v>0</v>
      </c>
      <c r="C85" s="35">
        <v>0</v>
      </c>
      <c r="D85" s="35">
        <v>11757111.9766875</v>
      </c>
      <c r="E85" s="35">
        <v>0</v>
      </c>
      <c r="F85" s="35">
        <v>14149637.971591</v>
      </c>
      <c r="G85" s="35">
        <v>41088365.935917303</v>
      </c>
      <c r="H85" s="35">
        <v>190683368.121207</v>
      </c>
      <c r="I85" s="35">
        <v>1101793.7487600001</v>
      </c>
      <c r="J85" s="35">
        <v>0</v>
      </c>
      <c r="K85" s="35">
        <v>158296.3011025</v>
      </c>
      <c r="L85" s="35">
        <v>57134432.302615002</v>
      </c>
      <c r="M85" s="19">
        <f t="shared" si="1"/>
        <v>316073006.35788029</v>
      </c>
    </row>
    <row r="86" spans="1:13" x14ac:dyDescent="0.25">
      <c r="A86" s="33">
        <v>46022</v>
      </c>
      <c r="B86" s="35">
        <v>0</v>
      </c>
      <c r="C86" s="35">
        <v>0</v>
      </c>
      <c r="D86" s="35">
        <v>8553626.3099774998</v>
      </c>
      <c r="E86" s="35">
        <v>0</v>
      </c>
      <c r="F86" s="35">
        <v>15023321.750540501</v>
      </c>
      <c r="G86" s="35">
        <v>48483823.800420001</v>
      </c>
      <c r="H86" s="35">
        <v>105141566.85084</v>
      </c>
      <c r="I86" s="35">
        <v>1236163.036235</v>
      </c>
      <c r="J86" s="35">
        <v>0</v>
      </c>
      <c r="K86" s="35">
        <v>141461.61734249999</v>
      </c>
      <c r="L86" s="35">
        <v>54863880.675685003</v>
      </c>
      <c r="M86" s="19">
        <f t="shared" si="1"/>
        <v>233443844.04104048</v>
      </c>
    </row>
    <row r="87" spans="1:13" x14ac:dyDescent="0.25">
      <c r="A87" s="33">
        <v>46023</v>
      </c>
      <c r="B87" s="35">
        <v>0</v>
      </c>
      <c r="C87" s="35">
        <v>0</v>
      </c>
      <c r="D87" s="35">
        <v>7990464.6673774999</v>
      </c>
      <c r="E87" s="35">
        <v>0</v>
      </c>
      <c r="F87" s="35">
        <v>1426259.5049645</v>
      </c>
      <c r="G87" s="35">
        <v>6398058.3155725002</v>
      </c>
      <c r="H87" s="35">
        <v>36834076.005144998</v>
      </c>
      <c r="I87" s="35">
        <v>231541.58715499999</v>
      </c>
      <c r="J87" s="35">
        <v>0</v>
      </c>
      <c r="K87" s="35">
        <v>130513.42135</v>
      </c>
      <c r="L87" s="35">
        <v>7674349.6240625</v>
      </c>
      <c r="M87" s="19">
        <f t="shared" si="1"/>
        <v>60685263.125627004</v>
      </c>
    </row>
    <row r="88" spans="1:13" x14ac:dyDescent="0.25">
      <c r="A88" s="33">
        <v>46024</v>
      </c>
      <c r="B88" s="35">
        <v>0</v>
      </c>
      <c r="C88" s="35">
        <v>0</v>
      </c>
      <c r="D88" s="35">
        <v>15815127.31553</v>
      </c>
      <c r="E88" s="35">
        <v>0</v>
      </c>
      <c r="F88" s="35">
        <v>14977165.9297655</v>
      </c>
      <c r="G88" s="35">
        <v>60860590.719489999</v>
      </c>
      <c r="H88" s="35">
        <v>191337286.88508499</v>
      </c>
      <c r="I88" s="35">
        <v>1602812.42735</v>
      </c>
      <c r="J88" s="35">
        <v>0</v>
      </c>
      <c r="K88" s="35">
        <v>87654.335565000001</v>
      </c>
      <c r="L88" s="35">
        <v>39427080.292372502</v>
      </c>
      <c r="M88" s="19">
        <f t="shared" si="1"/>
        <v>324107717.90515798</v>
      </c>
    </row>
    <row r="89" spans="1:13" x14ac:dyDescent="0.25">
      <c r="A89" s="33">
        <v>46025</v>
      </c>
      <c r="B89" s="35">
        <v>0</v>
      </c>
      <c r="C89" s="35">
        <v>0</v>
      </c>
      <c r="D89" s="35">
        <v>11667329.036854999</v>
      </c>
      <c r="E89" s="35">
        <v>0</v>
      </c>
      <c r="F89" s="35">
        <v>1352020.9087179999</v>
      </c>
      <c r="G89" s="35">
        <v>19421485.819138501</v>
      </c>
      <c r="H89" s="35">
        <v>38199277.460601002</v>
      </c>
      <c r="I89" s="35">
        <v>832181.99098</v>
      </c>
      <c r="J89" s="35">
        <v>0</v>
      </c>
      <c r="K89" s="35">
        <v>87900.434670000002</v>
      </c>
      <c r="L89" s="35">
        <v>8376027.0332599999</v>
      </c>
      <c r="M89" s="19">
        <f t="shared" si="1"/>
        <v>79936222.684222504</v>
      </c>
    </row>
    <row r="90" spans="1:13" x14ac:dyDescent="0.25">
      <c r="A90" s="33">
        <v>46026</v>
      </c>
      <c r="B90" s="35">
        <v>0</v>
      </c>
      <c r="C90" s="35">
        <v>0</v>
      </c>
      <c r="D90" s="35">
        <v>13229391.692815</v>
      </c>
      <c r="E90" s="35">
        <v>0</v>
      </c>
      <c r="F90" s="35">
        <v>3050861.5829429999</v>
      </c>
      <c r="G90" s="35">
        <v>9825908.9319470003</v>
      </c>
      <c r="H90" s="35">
        <v>37833269.98505</v>
      </c>
      <c r="I90" s="35">
        <v>1778865.042415</v>
      </c>
      <c r="J90" s="35">
        <v>0</v>
      </c>
      <c r="K90" s="35">
        <v>96443.891627499994</v>
      </c>
      <c r="L90" s="35">
        <v>10043388.42736</v>
      </c>
      <c r="M90" s="19">
        <f t="shared" si="1"/>
        <v>75858129.554157495</v>
      </c>
    </row>
    <row r="91" spans="1:13" x14ac:dyDescent="0.25">
      <c r="A91" s="33">
        <v>46027</v>
      </c>
      <c r="B91" s="35">
        <v>0</v>
      </c>
      <c r="C91" s="35">
        <v>0</v>
      </c>
      <c r="D91" s="35">
        <v>21988890.873775002</v>
      </c>
      <c r="E91" s="35">
        <v>0</v>
      </c>
      <c r="F91" s="35">
        <v>27572410.129744001</v>
      </c>
      <c r="G91" s="35">
        <v>61469139.065910503</v>
      </c>
      <c r="H91" s="35">
        <v>176744786.397903</v>
      </c>
      <c r="I91" s="35">
        <v>1491460.0194250001</v>
      </c>
      <c r="J91" s="35">
        <v>0</v>
      </c>
      <c r="K91" s="35">
        <v>264553.77594750002</v>
      </c>
      <c r="L91" s="35">
        <v>42434879.425782502</v>
      </c>
      <c r="M91" s="19">
        <f t="shared" si="1"/>
        <v>331966119.68848747</v>
      </c>
    </row>
    <row r="92" spans="1:13" x14ac:dyDescent="0.25">
      <c r="A92" s="33">
        <v>46028</v>
      </c>
      <c r="B92" s="35">
        <v>0</v>
      </c>
      <c r="C92" s="35">
        <v>0</v>
      </c>
      <c r="D92" s="35">
        <v>23861683.165805001</v>
      </c>
      <c r="E92" s="35">
        <v>635454.67720499996</v>
      </c>
      <c r="F92" s="35">
        <v>19499251.739022501</v>
      </c>
      <c r="G92" s="35">
        <v>56872823.148515999</v>
      </c>
      <c r="H92" s="35">
        <v>150342657.97605801</v>
      </c>
      <c r="I92" s="35">
        <v>2212835.5713499999</v>
      </c>
      <c r="J92" s="35">
        <v>0</v>
      </c>
      <c r="K92" s="35">
        <v>461608.24492000003</v>
      </c>
      <c r="L92" s="35">
        <v>73784010.208447501</v>
      </c>
      <c r="M92" s="19">
        <f t="shared" si="1"/>
        <v>327670324.73132402</v>
      </c>
    </row>
    <row r="93" spans="1:13" x14ac:dyDescent="0.25">
      <c r="A93" s="33">
        <v>46029</v>
      </c>
      <c r="B93" s="35">
        <v>0</v>
      </c>
      <c r="C93" s="35">
        <v>0</v>
      </c>
      <c r="D93" s="35">
        <v>20168830.9387425</v>
      </c>
      <c r="E93" s="35">
        <v>746359.83674924995</v>
      </c>
      <c r="F93" s="35">
        <v>25075559.3146125</v>
      </c>
      <c r="G93" s="35">
        <v>56125648.064634003</v>
      </c>
      <c r="H93" s="35">
        <v>153105966.56889001</v>
      </c>
      <c r="I93" s="35">
        <v>3642676.7118500001</v>
      </c>
      <c r="J93" s="35">
        <v>0</v>
      </c>
      <c r="K93" s="35">
        <v>357067.25248999998</v>
      </c>
      <c r="L93" s="35">
        <v>73507448.391267493</v>
      </c>
      <c r="M93" s="19">
        <f t="shared" si="1"/>
        <v>332729557.07923573</v>
      </c>
    </row>
    <row r="94" spans="1:13" x14ac:dyDescent="0.25">
      <c r="A94" s="33">
        <v>46030</v>
      </c>
      <c r="B94" s="35">
        <v>0</v>
      </c>
      <c r="C94" s="35">
        <v>0</v>
      </c>
      <c r="D94" s="35">
        <v>26340710.686577499</v>
      </c>
      <c r="E94" s="35">
        <v>1123125.7413285</v>
      </c>
      <c r="F94" s="35">
        <v>40587267.905662499</v>
      </c>
      <c r="G94" s="35">
        <v>88825179.664670497</v>
      </c>
      <c r="H94" s="35">
        <v>213253513.85801899</v>
      </c>
      <c r="I94" s="35">
        <v>2477750.8448824999</v>
      </c>
      <c r="J94" s="35">
        <v>0</v>
      </c>
      <c r="K94" s="35">
        <v>211708.118545</v>
      </c>
      <c r="L94" s="35">
        <v>46802577.783725001</v>
      </c>
      <c r="M94" s="19">
        <f t="shared" si="1"/>
        <v>419621834.60341048</v>
      </c>
    </row>
    <row r="95" spans="1:13" x14ac:dyDescent="0.25">
      <c r="A95" s="33">
        <v>46031</v>
      </c>
      <c r="B95" s="35">
        <v>0</v>
      </c>
      <c r="C95" s="35">
        <v>0</v>
      </c>
      <c r="D95" s="35">
        <v>20352174.523770001</v>
      </c>
      <c r="E95" s="35">
        <v>1800582.3088112499</v>
      </c>
      <c r="F95" s="35">
        <v>15910207.5643695</v>
      </c>
      <c r="G95" s="35">
        <v>44616029.981127501</v>
      </c>
      <c r="H95" s="35">
        <v>180213917.39155</v>
      </c>
      <c r="I95" s="35">
        <v>2174842.8163175001</v>
      </c>
      <c r="J95" s="35">
        <v>0</v>
      </c>
      <c r="K95" s="35">
        <v>119173.589635</v>
      </c>
      <c r="L95" s="35">
        <v>46560440.282059997</v>
      </c>
      <c r="M95" s="19">
        <f t="shared" si="1"/>
        <v>311747368.45764077</v>
      </c>
    </row>
    <row r="96" spans="1:13" x14ac:dyDescent="0.25">
      <c r="A96" s="33">
        <v>46032</v>
      </c>
      <c r="B96" s="35">
        <v>0</v>
      </c>
      <c r="C96" s="35">
        <v>0</v>
      </c>
      <c r="D96" s="35">
        <v>10846206.7381</v>
      </c>
      <c r="E96" s="35">
        <v>273405.97775525</v>
      </c>
      <c r="F96" s="35">
        <v>1519183.3825125</v>
      </c>
      <c r="G96" s="35">
        <v>10119741.761407301</v>
      </c>
      <c r="H96" s="35">
        <v>38862776.747801997</v>
      </c>
      <c r="I96" s="35">
        <v>421023.56102000002</v>
      </c>
      <c r="J96" s="35">
        <v>0</v>
      </c>
      <c r="K96" s="35">
        <v>35971.643179999999</v>
      </c>
      <c r="L96" s="35">
        <v>16089923.566245001</v>
      </c>
      <c r="M96" s="19">
        <f t="shared" si="1"/>
        <v>78168233.378022045</v>
      </c>
    </row>
    <row r="97" spans="1:13" x14ac:dyDescent="0.25">
      <c r="A97" s="33">
        <v>46033</v>
      </c>
      <c r="B97" s="35">
        <v>0</v>
      </c>
      <c r="C97" s="35">
        <v>0</v>
      </c>
      <c r="D97" s="35">
        <v>18032916.548927501</v>
      </c>
      <c r="E97" s="35">
        <v>744165.53113224998</v>
      </c>
      <c r="F97" s="35">
        <v>7896663.5770300003</v>
      </c>
      <c r="G97" s="35">
        <v>7541320.9232745003</v>
      </c>
      <c r="H97" s="35">
        <v>50539156.918162502</v>
      </c>
      <c r="I97" s="35">
        <v>72217742.147149995</v>
      </c>
      <c r="J97" s="35">
        <v>0</v>
      </c>
      <c r="K97" s="35">
        <v>71258.243587499994</v>
      </c>
      <c r="L97" s="35">
        <v>15848891.272299999</v>
      </c>
      <c r="M97" s="19">
        <f t="shared" si="1"/>
        <v>172892115.16156423</v>
      </c>
    </row>
    <row r="98" spans="1:13" x14ac:dyDescent="0.25">
      <c r="A98" s="33">
        <v>46034</v>
      </c>
      <c r="B98" s="35">
        <v>0</v>
      </c>
      <c r="C98" s="35">
        <v>0</v>
      </c>
      <c r="D98" s="35">
        <v>36904258.840242498</v>
      </c>
      <c r="E98" s="35">
        <v>1889587.8522032499</v>
      </c>
      <c r="F98" s="35">
        <v>20653667.219206501</v>
      </c>
      <c r="G98" s="35">
        <v>70681237.331072003</v>
      </c>
      <c r="H98" s="35">
        <v>195526640.38209799</v>
      </c>
      <c r="I98" s="35">
        <v>8794438.7514674999</v>
      </c>
      <c r="J98" s="35">
        <v>0</v>
      </c>
      <c r="K98" s="35">
        <v>157638.38719750001</v>
      </c>
      <c r="L98" s="35">
        <v>111047681.50234801</v>
      </c>
      <c r="M98" s="19">
        <f t="shared" si="1"/>
        <v>445655150.26583529</v>
      </c>
    </row>
    <row r="99" spans="1:13" x14ac:dyDescent="0.25">
      <c r="A99" s="33">
        <v>46035</v>
      </c>
      <c r="B99" s="35">
        <v>0</v>
      </c>
      <c r="C99" s="35">
        <v>0</v>
      </c>
      <c r="D99" s="35">
        <v>37589235.789552502</v>
      </c>
      <c r="E99" s="35">
        <v>2403521.4301160001</v>
      </c>
      <c r="F99" s="35">
        <v>38601206.650629997</v>
      </c>
      <c r="G99" s="35">
        <v>91787256.884313002</v>
      </c>
      <c r="H99" s="35">
        <v>270343704.87459499</v>
      </c>
      <c r="I99" s="35">
        <v>4350272.1210500002</v>
      </c>
      <c r="J99" s="35">
        <v>0</v>
      </c>
      <c r="K99" s="35">
        <v>218622.32056250001</v>
      </c>
      <c r="L99" s="35">
        <v>135244439.19349501</v>
      </c>
      <c r="M99" s="19">
        <f t="shared" si="1"/>
        <v>580538259.26431394</v>
      </c>
    </row>
    <row r="100" spans="1:13" x14ac:dyDescent="0.25">
      <c r="A100" s="33">
        <v>46036</v>
      </c>
      <c r="B100" s="35">
        <v>0</v>
      </c>
      <c r="C100" s="35">
        <v>0</v>
      </c>
      <c r="D100" s="35">
        <v>40391842.247642003</v>
      </c>
      <c r="E100" s="35">
        <v>2918096.9323942498</v>
      </c>
      <c r="F100" s="35">
        <v>42163910.054108001</v>
      </c>
      <c r="G100" s="35">
        <v>79932353.900812</v>
      </c>
      <c r="H100" s="35">
        <v>344993340.21206999</v>
      </c>
      <c r="I100" s="35">
        <v>2903288.8270625002</v>
      </c>
      <c r="J100" s="35">
        <v>1632215.6852595001</v>
      </c>
      <c r="K100" s="35">
        <v>869436.25399999996</v>
      </c>
      <c r="L100" s="35">
        <v>190818498.63003501</v>
      </c>
      <c r="M100" s="19">
        <f t="shared" si="1"/>
        <v>706622982.74338329</v>
      </c>
    </row>
    <row r="101" spans="1:13" x14ac:dyDescent="0.25">
      <c r="A101" s="33">
        <v>46037</v>
      </c>
      <c r="B101" s="35">
        <v>0</v>
      </c>
      <c r="C101" s="35">
        <v>0</v>
      </c>
      <c r="D101" s="35">
        <v>34923588.473340303</v>
      </c>
      <c r="E101" s="35">
        <v>2068726.5171382499</v>
      </c>
      <c r="F101" s="35">
        <v>43607044.407494001</v>
      </c>
      <c r="G101" s="35">
        <v>68373778.452270493</v>
      </c>
      <c r="H101" s="35">
        <v>317562283.14445001</v>
      </c>
      <c r="I101" s="35">
        <v>3726998.7011850001</v>
      </c>
      <c r="J101" s="35">
        <v>3158906.0475615002</v>
      </c>
      <c r="K101" s="35">
        <v>557715.71448750002</v>
      </c>
      <c r="L101" s="35">
        <v>252282209.58151501</v>
      </c>
      <c r="M101" s="19">
        <f t="shared" si="1"/>
        <v>726261251.03944206</v>
      </c>
    </row>
    <row r="102" spans="1:13" x14ac:dyDescent="0.25">
      <c r="A102" s="33">
        <v>46038</v>
      </c>
      <c r="B102" s="35">
        <v>0</v>
      </c>
      <c r="C102" s="35">
        <v>0</v>
      </c>
      <c r="D102" s="35">
        <v>19714740.1925033</v>
      </c>
      <c r="E102" s="35">
        <v>1167736.46719875</v>
      </c>
      <c r="F102" s="35">
        <v>21261339.498766001</v>
      </c>
      <c r="G102" s="35">
        <v>74259058.904289305</v>
      </c>
      <c r="H102" s="35">
        <v>218054960.96595001</v>
      </c>
      <c r="I102" s="35">
        <v>3610032.2066474999</v>
      </c>
      <c r="J102" s="35">
        <v>11592479.4962795</v>
      </c>
      <c r="K102" s="35">
        <v>1091744.32678</v>
      </c>
      <c r="L102" s="35">
        <v>195800717.03918999</v>
      </c>
      <c r="M102" s="19">
        <f t="shared" si="1"/>
        <v>546552809.09760439</v>
      </c>
    </row>
    <row r="103" spans="1:13" x14ac:dyDescent="0.25">
      <c r="A103" s="33">
        <v>46039</v>
      </c>
      <c r="B103" s="35">
        <v>0</v>
      </c>
      <c r="C103" s="35">
        <v>0</v>
      </c>
      <c r="D103" s="35">
        <v>16237747.813040501</v>
      </c>
      <c r="E103" s="35">
        <v>257530.36207599999</v>
      </c>
      <c r="F103" s="35">
        <v>1648371.76767225</v>
      </c>
      <c r="G103" s="35">
        <v>14085377.498888999</v>
      </c>
      <c r="H103" s="35">
        <v>124162995.899571</v>
      </c>
      <c r="I103" s="35">
        <v>2201225.2269775001</v>
      </c>
      <c r="J103" s="35">
        <v>1879609.979997</v>
      </c>
      <c r="K103" s="35">
        <v>167686.81454250001</v>
      </c>
      <c r="L103" s="35">
        <v>11495415.004137499</v>
      </c>
      <c r="M103" s="19">
        <f t="shared" si="1"/>
        <v>172135960.36690325</v>
      </c>
    </row>
    <row r="104" spans="1:13" x14ac:dyDescent="0.25">
      <c r="A104" s="33">
        <v>46040</v>
      </c>
      <c r="B104" s="35">
        <v>0</v>
      </c>
      <c r="C104" s="35">
        <v>0</v>
      </c>
      <c r="D104" s="35">
        <v>19490129.887171298</v>
      </c>
      <c r="E104" s="35">
        <v>310112.57071574999</v>
      </c>
      <c r="F104" s="35">
        <v>2045078.345431</v>
      </c>
      <c r="G104" s="35">
        <v>7390042.9014542503</v>
      </c>
      <c r="H104" s="35">
        <v>92955955.4428415</v>
      </c>
      <c r="I104" s="35">
        <v>2749205.4185600001</v>
      </c>
      <c r="J104" s="35">
        <v>2356207.6374289999</v>
      </c>
      <c r="K104" s="35">
        <v>637768.326825</v>
      </c>
      <c r="L104" s="35">
        <v>56912926.610979997</v>
      </c>
      <c r="M104" s="19">
        <f t="shared" si="1"/>
        <v>184847427.14140779</v>
      </c>
    </row>
    <row r="105" spans="1:13" x14ac:dyDescent="0.25">
      <c r="A105" s="33">
        <v>46041</v>
      </c>
      <c r="B105" s="35">
        <v>0</v>
      </c>
      <c r="C105" s="35">
        <v>0</v>
      </c>
      <c r="D105" s="35">
        <v>32629377.955316</v>
      </c>
      <c r="E105" s="35">
        <v>1057701.74550875</v>
      </c>
      <c r="F105" s="35">
        <v>11178612.536867799</v>
      </c>
      <c r="G105" s="35">
        <v>36560628.265572503</v>
      </c>
      <c r="H105" s="35">
        <v>193017496.44302499</v>
      </c>
      <c r="I105" s="35">
        <v>3303817.256825</v>
      </c>
      <c r="J105" s="35">
        <v>19239087.867664501</v>
      </c>
      <c r="K105" s="35">
        <v>245310.3123475</v>
      </c>
      <c r="L105" s="35">
        <v>130200002.989758</v>
      </c>
      <c r="M105" s="19">
        <f t="shared" si="1"/>
        <v>427432035.37288499</v>
      </c>
    </row>
    <row r="106" spans="1:13" x14ac:dyDescent="0.25">
      <c r="A106" s="33">
        <v>46042</v>
      </c>
      <c r="B106" s="35">
        <v>0</v>
      </c>
      <c r="C106" s="35">
        <v>0</v>
      </c>
      <c r="D106" s="35">
        <v>39337004.920962498</v>
      </c>
      <c r="E106" s="35">
        <v>1226121.736394</v>
      </c>
      <c r="F106" s="35">
        <v>41296253.93304</v>
      </c>
      <c r="G106" s="35">
        <v>139164641.47337899</v>
      </c>
      <c r="H106" s="35">
        <v>315538497.30135</v>
      </c>
      <c r="I106" s="35">
        <v>6296615.2097399998</v>
      </c>
      <c r="J106" s="35">
        <v>25399646.931302</v>
      </c>
      <c r="K106" s="35">
        <v>72899.482827500004</v>
      </c>
      <c r="L106" s="35">
        <v>193371311.456613</v>
      </c>
      <c r="M106" s="19">
        <f t="shared" si="1"/>
        <v>761702992.4456079</v>
      </c>
    </row>
    <row r="107" spans="1:13" x14ac:dyDescent="0.25">
      <c r="A107" s="33">
        <v>46043</v>
      </c>
      <c r="B107" s="35">
        <v>0</v>
      </c>
      <c r="C107" s="35">
        <v>166804.1414585</v>
      </c>
      <c r="D107" s="35">
        <v>41305512.210211299</v>
      </c>
      <c r="E107" s="35">
        <v>2571183.3183122501</v>
      </c>
      <c r="F107" s="35">
        <v>34595773.335507497</v>
      </c>
      <c r="G107" s="35">
        <v>154842190.92826</v>
      </c>
      <c r="H107" s="35">
        <v>405913527.70457602</v>
      </c>
      <c r="I107" s="35">
        <v>4630788.4226500001</v>
      </c>
      <c r="J107" s="35">
        <v>21390710.1098218</v>
      </c>
      <c r="K107" s="35">
        <v>293497.53871499997</v>
      </c>
      <c r="L107" s="35">
        <v>319860744.65566498</v>
      </c>
      <c r="M107" s="19">
        <f t="shared" si="1"/>
        <v>985570732.36517739</v>
      </c>
    </row>
    <row r="108" spans="1:13" x14ac:dyDescent="0.25">
      <c r="A108" s="33">
        <v>46044</v>
      </c>
      <c r="B108" s="35">
        <v>0</v>
      </c>
      <c r="C108" s="35">
        <v>262837.95940425002</v>
      </c>
      <c r="D108" s="35">
        <v>21254056.321122002</v>
      </c>
      <c r="E108" s="35">
        <v>14636389.159028299</v>
      </c>
      <c r="F108" s="35">
        <v>42714802.783935502</v>
      </c>
      <c r="G108" s="35">
        <v>166098851.45731699</v>
      </c>
      <c r="H108" s="35">
        <v>436047752.33165902</v>
      </c>
      <c r="I108" s="35">
        <v>4431250.9767100001</v>
      </c>
      <c r="J108" s="35">
        <v>7036582.0923114996</v>
      </c>
      <c r="K108" s="35">
        <v>553222.16283499997</v>
      </c>
      <c r="L108" s="35">
        <v>228012892.69649801</v>
      </c>
      <c r="M108" s="19">
        <f t="shared" si="1"/>
        <v>921048637.94082057</v>
      </c>
    </row>
    <row r="109" spans="1:13" x14ac:dyDescent="0.25">
      <c r="A109" s="33">
        <v>46045</v>
      </c>
      <c r="B109" s="35">
        <v>0</v>
      </c>
      <c r="C109" s="35">
        <v>633278.32633475005</v>
      </c>
      <c r="D109" s="35">
        <v>28675410.789461002</v>
      </c>
      <c r="E109" s="35">
        <v>9401703.6983425003</v>
      </c>
      <c r="F109" s="35">
        <v>32911437.693592001</v>
      </c>
      <c r="G109" s="35">
        <v>132394013.654273</v>
      </c>
      <c r="H109" s="35">
        <v>276337082.925017</v>
      </c>
      <c r="I109" s="35">
        <v>7907170.0752750002</v>
      </c>
      <c r="J109" s="35">
        <v>30062024.146717299</v>
      </c>
      <c r="K109" s="35">
        <v>381742.69089000003</v>
      </c>
      <c r="L109" s="35">
        <v>361070305.565</v>
      </c>
      <c r="M109" s="19">
        <f t="shared" si="1"/>
        <v>879774169.56490254</v>
      </c>
    </row>
    <row r="110" spans="1:13" x14ac:dyDescent="0.25">
      <c r="A110" s="33">
        <v>46046</v>
      </c>
      <c r="B110" s="35">
        <v>0</v>
      </c>
      <c r="C110" s="35">
        <v>214760.66655699999</v>
      </c>
      <c r="D110" s="35">
        <v>19882579.290673301</v>
      </c>
      <c r="E110" s="35">
        <v>8992695.3162917495</v>
      </c>
      <c r="F110" s="35">
        <v>843834.47392124997</v>
      </c>
      <c r="G110" s="35">
        <v>10057986.691592799</v>
      </c>
      <c r="H110" s="35">
        <v>63175649.717627503</v>
      </c>
      <c r="I110" s="35">
        <v>1972352.1924149999</v>
      </c>
      <c r="J110" s="35">
        <v>15716506.573626</v>
      </c>
      <c r="K110" s="35">
        <v>65636.686987499997</v>
      </c>
      <c r="L110" s="35">
        <v>75619140.597149998</v>
      </c>
      <c r="M110" s="19">
        <f t="shared" si="1"/>
        <v>196541142.20684209</v>
      </c>
    </row>
    <row r="111" spans="1:13" x14ac:dyDescent="0.25">
      <c r="A111" s="33">
        <v>46047</v>
      </c>
      <c r="B111" s="35">
        <v>0</v>
      </c>
      <c r="C111" s="35">
        <v>126688.730177</v>
      </c>
      <c r="D111" s="35">
        <v>38004029.398859501</v>
      </c>
      <c r="E111" s="35">
        <v>10474160.292954501</v>
      </c>
      <c r="F111" s="35">
        <v>3191424.5569480001</v>
      </c>
      <c r="G111" s="35">
        <v>46823564.308248803</v>
      </c>
      <c r="H111" s="35">
        <v>110935927.897073</v>
      </c>
      <c r="I111" s="35">
        <v>59313649.767855003</v>
      </c>
      <c r="J111" s="35">
        <v>29021786.974636</v>
      </c>
      <c r="K111" s="35">
        <v>216735.13156499999</v>
      </c>
      <c r="L111" s="35">
        <v>148812756.79931501</v>
      </c>
      <c r="M111" s="19">
        <f t="shared" si="1"/>
        <v>446920723.8576318</v>
      </c>
    </row>
    <row r="112" spans="1:13" x14ac:dyDescent="0.25">
      <c r="A112" s="33">
        <v>46048</v>
      </c>
      <c r="B112" s="35">
        <v>0</v>
      </c>
      <c r="C112" s="35">
        <v>1204562.1198974999</v>
      </c>
      <c r="D112" s="35">
        <v>30901981.535462499</v>
      </c>
      <c r="E112" s="35">
        <v>17741291.965581499</v>
      </c>
      <c r="F112" s="35">
        <v>39438816.432739802</v>
      </c>
      <c r="G112" s="35">
        <v>112379897.19141001</v>
      </c>
      <c r="H112" s="35">
        <v>298178280.89888602</v>
      </c>
      <c r="I112" s="35">
        <v>10872925.903325001</v>
      </c>
      <c r="J112" s="35">
        <v>85820580.976432502</v>
      </c>
      <c r="K112" s="35">
        <v>385530.98507749999</v>
      </c>
      <c r="L112" s="35">
        <v>1098741759.0766001</v>
      </c>
      <c r="M112" s="19">
        <f t="shared" si="1"/>
        <v>1695665627.0854125</v>
      </c>
    </row>
    <row r="113" spans="1:13" x14ac:dyDescent="0.25">
      <c r="A113" s="33">
        <v>46049</v>
      </c>
      <c r="B113" s="35">
        <v>0</v>
      </c>
      <c r="C113" s="35">
        <v>862762.917456</v>
      </c>
      <c r="D113" s="35">
        <v>36498593.588019498</v>
      </c>
      <c r="E113" s="35">
        <v>12140923.061151501</v>
      </c>
      <c r="F113" s="35">
        <v>32147750.720176499</v>
      </c>
      <c r="G113" s="35">
        <v>110924754.150702</v>
      </c>
      <c r="H113" s="35">
        <v>258403762.06195199</v>
      </c>
      <c r="I113" s="35">
        <v>12122552.6452625</v>
      </c>
      <c r="J113" s="35">
        <v>32507737.961248498</v>
      </c>
      <c r="K113" s="35">
        <v>517720.93809000001</v>
      </c>
      <c r="L113" s="35">
        <v>1290267117.51753</v>
      </c>
      <c r="M113" s="19">
        <f t="shared" si="1"/>
        <v>1786393675.5615885</v>
      </c>
    </row>
    <row r="114" spans="1:13" x14ac:dyDescent="0.25">
      <c r="A114" s="33">
        <v>46050</v>
      </c>
      <c r="B114" s="35">
        <v>0</v>
      </c>
      <c r="C114" s="35">
        <v>786841.57510200003</v>
      </c>
      <c r="D114" s="35">
        <v>39978065.160697304</v>
      </c>
      <c r="E114" s="35">
        <v>18600191.445742499</v>
      </c>
      <c r="F114" s="35">
        <v>29414022.767704502</v>
      </c>
      <c r="G114" s="35">
        <v>214846526.25268799</v>
      </c>
      <c r="H114" s="35">
        <v>398751647.48248601</v>
      </c>
      <c r="I114" s="35">
        <v>12867943.491025001</v>
      </c>
      <c r="J114" s="35">
        <v>39498935.982257999</v>
      </c>
      <c r="K114" s="35">
        <v>495589.09616750001</v>
      </c>
      <c r="L114" s="35">
        <v>1470078013.49208</v>
      </c>
      <c r="M114" s="19">
        <f t="shared" si="1"/>
        <v>2225317776.7459507</v>
      </c>
    </row>
    <row r="115" spans="1:13" x14ac:dyDescent="0.25">
      <c r="A115" s="33">
        <v>46051</v>
      </c>
      <c r="B115" s="35">
        <v>0</v>
      </c>
      <c r="C115" s="35">
        <v>382531.07092174998</v>
      </c>
      <c r="D115" s="35">
        <v>52563185.878715299</v>
      </c>
      <c r="E115" s="35">
        <v>29023619.623495501</v>
      </c>
      <c r="F115" s="35">
        <v>34908321.0351208</v>
      </c>
      <c r="G115" s="35">
        <v>286123964.48429602</v>
      </c>
      <c r="H115" s="35">
        <v>473133253.11438102</v>
      </c>
      <c r="I115" s="35">
        <v>8680842.7710500006</v>
      </c>
      <c r="J115" s="35">
        <v>307417017.118864</v>
      </c>
      <c r="K115" s="35">
        <v>614375.81305750005</v>
      </c>
      <c r="L115" s="35">
        <v>2142504685.2441199</v>
      </c>
      <c r="M115" s="19">
        <f t="shared" si="1"/>
        <v>3335351796.1540217</v>
      </c>
    </row>
    <row r="116" spans="1:13" x14ac:dyDescent="0.25">
      <c r="A116" s="33">
        <v>46052</v>
      </c>
      <c r="B116" s="35">
        <v>0</v>
      </c>
      <c r="C116" s="35">
        <v>241103.52602349999</v>
      </c>
      <c r="D116" s="35">
        <v>55348235.8189018</v>
      </c>
      <c r="E116" s="35">
        <v>23365065.019432001</v>
      </c>
      <c r="F116" s="35">
        <v>56337874.735936299</v>
      </c>
      <c r="G116" s="35">
        <v>212973968.154356</v>
      </c>
      <c r="H116" s="35">
        <v>535050936.28949302</v>
      </c>
      <c r="I116" s="35">
        <v>8813166.3701750003</v>
      </c>
      <c r="J116" s="35">
        <v>269253674.88290203</v>
      </c>
      <c r="K116" s="35">
        <v>1670564.5956524999</v>
      </c>
      <c r="L116" s="35">
        <v>3823186910.49962</v>
      </c>
      <c r="M116" s="19">
        <f t="shared" si="1"/>
        <v>4986241499.8924923</v>
      </c>
    </row>
    <row r="117" spans="1:13" x14ac:dyDescent="0.25">
      <c r="A117" s="33">
        <v>46053</v>
      </c>
      <c r="B117" s="35">
        <v>0</v>
      </c>
      <c r="C117" s="35">
        <v>649647.43975999998</v>
      </c>
      <c r="D117" s="35">
        <v>58900137.291136302</v>
      </c>
      <c r="E117" s="35">
        <v>2490809.6858292501</v>
      </c>
      <c r="F117" s="35">
        <v>10591882.571823301</v>
      </c>
      <c r="G117" s="35">
        <v>36893704.5766785</v>
      </c>
      <c r="H117" s="35">
        <v>83077110.588464007</v>
      </c>
      <c r="I117" s="35">
        <v>2202612.2975849998</v>
      </c>
      <c r="J117" s="35">
        <v>25122403.510283999</v>
      </c>
      <c r="K117" s="35">
        <v>420551.48738499999</v>
      </c>
      <c r="L117" s="35">
        <v>233413593.37947699</v>
      </c>
      <c r="M117" s="19">
        <f t="shared" si="1"/>
        <v>453762452.82842237</v>
      </c>
    </row>
    <row r="118" spans="1:13" x14ac:dyDescent="0.25">
      <c r="A118" s="33">
        <v>46054</v>
      </c>
      <c r="B118" s="35">
        <v>0</v>
      </c>
      <c r="C118" s="35">
        <v>262162.05440849997</v>
      </c>
      <c r="D118" s="35">
        <v>38272578.5837593</v>
      </c>
      <c r="E118" s="35">
        <v>7632075.8463679999</v>
      </c>
      <c r="F118" s="35">
        <v>24336086.549153298</v>
      </c>
      <c r="G118" s="35">
        <v>57390269.531167999</v>
      </c>
      <c r="H118" s="35">
        <v>97380472.874854296</v>
      </c>
      <c r="I118" s="35">
        <v>2890128.7253749999</v>
      </c>
      <c r="J118" s="35">
        <v>19251535.5669773</v>
      </c>
      <c r="K118" s="35">
        <v>108421.6647275</v>
      </c>
      <c r="L118" s="35">
        <v>325733263.45161903</v>
      </c>
      <c r="M118" s="19">
        <f t="shared" si="1"/>
        <v>573256994.84841025</v>
      </c>
    </row>
    <row r="119" spans="1:13" x14ac:dyDescent="0.25">
      <c r="A119" s="33">
        <v>46055</v>
      </c>
      <c r="B119" s="35">
        <v>0</v>
      </c>
      <c r="C119" s="35">
        <v>361283.60690399999</v>
      </c>
      <c r="D119" s="35">
        <v>52748014.1500545</v>
      </c>
      <c r="E119" s="35">
        <v>28664328.117733002</v>
      </c>
      <c r="F119" s="35">
        <v>91674686.783273995</v>
      </c>
      <c r="G119" s="35">
        <v>276668729.65358698</v>
      </c>
      <c r="H119" s="35">
        <v>692757769.19193995</v>
      </c>
      <c r="I119" s="35">
        <v>7406659.159</v>
      </c>
      <c r="J119" s="35">
        <v>101494681.06780501</v>
      </c>
      <c r="K119" s="35">
        <v>360899.81224</v>
      </c>
      <c r="L119" s="35">
        <v>2283554362.3252501</v>
      </c>
      <c r="M119" s="19">
        <f t="shared" si="1"/>
        <v>3535691413.8677874</v>
      </c>
    </row>
    <row r="120" spans="1:13" x14ac:dyDescent="0.25">
      <c r="A120" s="33">
        <v>46056</v>
      </c>
      <c r="B120" s="35">
        <v>0</v>
      </c>
      <c r="C120" s="35">
        <v>234908.10770625001</v>
      </c>
      <c r="D120" s="35">
        <v>64902964.880982801</v>
      </c>
      <c r="E120" s="35">
        <v>32265033.327833999</v>
      </c>
      <c r="F120" s="35">
        <v>74501418.595876798</v>
      </c>
      <c r="G120" s="35">
        <v>299951465.85254902</v>
      </c>
      <c r="H120" s="35">
        <v>435122571.13651401</v>
      </c>
      <c r="I120" s="35">
        <v>5571059.4347750004</v>
      </c>
      <c r="J120" s="35">
        <v>114009216.46573301</v>
      </c>
      <c r="K120" s="35">
        <v>2064950.584635</v>
      </c>
      <c r="L120" s="35">
        <v>1718004691.24964</v>
      </c>
      <c r="M120" s="19">
        <f t="shared" si="1"/>
        <v>2746628279.6362457</v>
      </c>
    </row>
    <row r="121" spans="1:13" x14ac:dyDescent="0.25">
      <c r="A121" s="33">
        <v>46057</v>
      </c>
      <c r="B121" s="35">
        <v>0</v>
      </c>
      <c r="C121" s="35">
        <v>572663.97909849999</v>
      </c>
      <c r="D121" s="35">
        <v>56258542.336408801</v>
      </c>
      <c r="E121" s="35">
        <v>23041822.991195802</v>
      </c>
      <c r="F121" s="35">
        <v>41292208.037051998</v>
      </c>
      <c r="G121" s="35">
        <v>274037110.46775299</v>
      </c>
      <c r="H121" s="35">
        <v>552465522.22440898</v>
      </c>
      <c r="I121" s="35">
        <v>6908564.8169999998</v>
      </c>
      <c r="J121" s="35">
        <v>61351807.727194503</v>
      </c>
      <c r="K121" s="35">
        <v>967239.29593749996</v>
      </c>
      <c r="L121" s="35">
        <v>1627176199.22983</v>
      </c>
      <c r="M121" s="19">
        <f t="shared" si="1"/>
        <v>2644071681.1058793</v>
      </c>
    </row>
    <row r="122" spans="1:13" x14ac:dyDescent="0.25">
      <c r="A122" s="33">
        <v>46058</v>
      </c>
      <c r="B122" s="35">
        <v>0</v>
      </c>
      <c r="C122" s="35">
        <v>554608.44784799998</v>
      </c>
      <c r="D122" s="35">
        <v>101827709.532386</v>
      </c>
      <c r="E122" s="35">
        <v>18621523.861147799</v>
      </c>
      <c r="F122" s="35">
        <v>77942464.444766805</v>
      </c>
      <c r="G122" s="35">
        <v>369599182.592013</v>
      </c>
      <c r="H122" s="35">
        <v>794881917.38851094</v>
      </c>
      <c r="I122" s="35">
        <v>5087734.5438200003</v>
      </c>
      <c r="J122" s="35">
        <v>60309690.096348003</v>
      </c>
      <c r="K122" s="35">
        <v>845387.63354750001</v>
      </c>
      <c r="L122" s="35">
        <v>3857388549.1956401</v>
      </c>
      <c r="M122" s="19">
        <f t="shared" si="1"/>
        <v>5287058767.7360287</v>
      </c>
    </row>
    <row r="123" spans="1:13" x14ac:dyDescent="0.25">
      <c r="A123" s="33">
        <v>46059</v>
      </c>
      <c r="B123" s="35">
        <v>0</v>
      </c>
      <c r="C123" s="35">
        <v>308114.99921625003</v>
      </c>
      <c r="D123" s="35">
        <v>80947220.430602506</v>
      </c>
      <c r="E123" s="35">
        <v>12996563.623367</v>
      </c>
      <c r="F123" s="35">
        <v>83691061.984009504</v>
      </c>
      <c r="G123" s="35">
        <v>296044359.245471</v>
      </c>
      <c r="H123" s="35">
        <v>556402447.90056205</v>
      </c>
      <c r="I123" s="35">
        <v>6097014.8236025004</v>
      </c>
      <c r="J123" s="35">
        <v>38041562.040137298</v>
      </c>
      <c r="K123" s="35">
        <v>680992.05385000003</v>
      </c>
      <c r="L123" s="35">
        <v>2012953536.99718</v>
      </c>
      <c r="M123" s="19">
        <f t="shared" si="1"/>
        <v>3088162874.0979981</v>
      </c>
    </row>
    <row r="124" spans="1:13" x14ac:dyDescent="0.25">
      <c r="A124" s="33">
        <v>46060</v>
      </c>
      <c r="B124" s="35">
        <v>0</v>
      </c>
      <c r="C124" s="35">
        <v>40065.799241250003</v>
      </c>
      <c r="D124" s="35">
        <v>34100999.8030238</v>
      </c>
      <c r="E124" s="35">
        <v>1206316.3350297499</v>
      </c>
      <c r="F124" s="35">
        <v>11228805.231982</v>
      </c>
      <c r="G124" s="35">
        <v>16828372.252039</v>
      </c>
      <c r="H124" s="35">
        <v>52067817.344731197</v>
      </c>
      <c r="I124" s="35">
        <v>1014849.888045</v>
      </c>
      <c r="J124" s="35">
        <v>2121253.9176779999</v>
      </c>
      <c r="K124" s="35">
        <v>1366965.7997775001</v>
      </c>
      <c r="L124" s="35">
        <v>34194881.948727503</v>
      </c>
      <c r="M124" s="19">
        <f t="shared" si="1"/>
        <v>154170328.32027501</v>
      </c>
    </row>
    <row r="125" spans="1:13" x14ac:dyDescent="0.25">
      <c r="A125" s="33">
        <v>46061</v>
      </c>
      <c r="B125" s="35">
        <v>0</v>
      </c>
      <c r="C125" s="35">
        <v>41242.650119999998</v>
      </c>
      <c r="D125" s="35">
        <v>18920729.558021501</v>
      </c>
      <c r="E125" s="35">
        <v>2000056.6561877499</v>
      </c>
      <c r="F125" s="35">
        <v>5065278.7075647498</v>
      </c>
      <c r="G125" s="35">
        <v>13979268.560613001</v>
      </c>
      <c r="H125" s="35">
        <v>62564978.478570499</v>
      </c>
      <c r="I125" s="35">
        <v>3899670.08886</v>
      </c>
      <c r="J125" s="35">
        <v>9986835.1744182501</v>
      </c>
      <c r="K125" s="35">
        <v>1032228.67716</v>
      </c>
      <c r="L125" s="35">
        <v>151147062.18697199</v>
      </c>
      <c r="M125" s="19">
        <f t="shared" si="1"/>
        <v>268637350.73848772</v>
      </c>
    </row>
    <row r="126" spans="1:13" x14ac:dyDescent="0.25">
      <c r="A126" s="33">
        <v>46062</v>
      </c>
      <c r="B126" s="35">
        <v>0</v>
      </c>
      <c r="C126" s="35">
        <v>191134.71890400001</v>
      </c>
      <c r="D126" s="35">
        <v>23707457.234879501</v>
      </c>
      <c r="E126" s="35">
        <v>9000158.1626200005</v>
      </c>
      <c r="F126" s="35">
        <v>50129855.884739302</v>
      </c>
      <c r="G126" s="35">
        <v>207702416.57749799</v>
      </c>
      <c r="H126" s="35">
        <v>350516882.749385</v>
      </c>
      <c r="I126" s="35">
        <v>6364874.4394375002</v>
      </c>
      <c r="J126" s="35">
        <v>35774550.698256001</v>
      </c>
      <c r="K126" s="35">
        <v>142862.16115</v>
      </c>
      <c r="L126" s="35">
        <v>681529815.58310199</v>
      </c>
      <c r="M126" s="19">
        <f t="shared" si="1"/>
        <v>1365060008.2099714</v>
      </c>
    </row>
    <row r="127" spans="1:13" x14ac:dyDescent="0.25">
      <c r="A127" s="33">
        <v>46063</v>
      </c>
      <c r="B127" s="35">
        <v>0</v>
      </c>
      <c r="C127" s="35">
        <v>185027.2153145</v>
      </c>
      <c r="D127" s="35">
        <v>20233664.575608999</v>
      </c>
      <c r="E127" s="35">
        <v>9283524.4235605001</v>
      </c>
      <c r="F127" s="35">
        <v>50835604.927400298</v>
      </c>
      <c r="G127" s="35">
        <v>209582961.42369199</v>
      </c>
      <c r="H127" s="35">
        <v>355366225.72139901</v>
      </c>
      <c r="I127" s="35">
        <v>3553454.2543649999</v>
      </c>
      <c r="J127" s="35">
        <v>21339482.467303999</v>
      </c>
      <c r="K127" s="35">
        <v>607043.50986750005</v>
      </c>
      <c r="L127" s="35">
        <v>450953139.53455102</v>
      </c>
      <c r="M127" s="19">
        <f t="shared" si="1"/>
        <v>1121940128.0530629</v>
      </c>
    </row>
    <row r="128" spans="1:13" x14ac:dyDescent="0.25">
      <c r="A128" s="33">
        <v>46064</v>
      </c>
      <c r="B128" s="35">
        <v>0</v>
      </c>
      <c r="C128" s="35">
        <v>162819.944445</v>
      </c>
      <c r="D128" s="35">
        <v>41922684.507138297</v>
      </c>
      <c r="E128" s="35">
        <v>4911773.1737334998</v>
      </c>
      <c r="F128" s="35">
        <v>63460875.077462502</v>
      </c>
      <c r="G128" s="35">
        <v>193978660.46786901</v>
      </c>
      <c r="H128" s="35">
        <v>469799134.66197801</v>
      </c>
      <c r="I128" s="35">
        <v>7052527.1339499997</v>
      </c>
      <c r="J128" s="35">
        <v>21032461.877297498</v>
      </c>
      <c r="K128" s="35">
        <v>791439.67972999997</v>
      </c>
      <c r="L128" s="35">
        <v>575193525.21466804</v>
      </c>
      <c r="M128" s="19">
        <f t="shared" si="1"/>
        <v>1378305901.738272</v>
      </c>
    </row>
    <row r="129" spans="1:13" x14ac:dyDescent="0.25">
      <c r="A129" s="33">
        <v>46065</v>
      </c>
      <c r="B129" s="35">
        <v>0</v>
      </c>
      <c r="C129" s="35">
        <v>269733.12319424999</v>
      </c>
      <c r="D129" s="35">
        <v>41450269.450918801</v>
      </c>
      <c r="E129" s="35">
        <v>7052421.8005675003</v>
      </c>
      <c r="F129" s="35">
        <v>54846884.3584105</v>
      </c>
      <c r="G129" s="35">
        <v>194898577.99466601</v>
      </c>
      <c r="H129" s="35">
        <v>575671362.84141397</v>
      </c>
      <c r="I129" s="35">
        <v>5020889.3423049999</v>
      </c>
      <c r="J129" s="35">
        <v>17011083.3156408</v>
      </c>
      <c r="K129" s="35">
        <v>331729.59652750002</v>
      </c>
      <c r="L129" s="35">
        <v>920978352.55097795</v>
      </c>
      <c r="M129" s="19">
        <f t="shared" si="1"/>
        <v>1817531304.3746223</v>
      </c>
    </row>
    <row r="130" spans="1:13" x14ac:dyDescent="0.25">
      <c r="A130" s="33">
        <v>46066</v>
      </c>
      <c r="B130" s="35">
        <v>0</v>
      </c>
      <c r="C130" s="35">
        <v>669148.50285349996</v>
      </c>
      <c r="D130" s="35">
        <v>31135154.955850799</v>
      </c>
      <c r="E130" s="35">
        <v>6617294.5753269996</v>
      </c>
      <c r="F130" s="35">
        <v>54327965.469247498</v>
      </c>
      <c r="G130" s="35">
        <v>195543207.31964299</v>
      </c>
      <c r="H130" s="35">
        <v>611237561.30132496</v>
      </c>
      <c r="I130" s="35">
        <v>2411247.8676275001</v>
      </c>
      <c r="J130" s="35">
        <v>19910958.268983301</v>
      </c>
      <c r="K130" s="35">
        <v>111783.3680875</v>
      </c>
      <c r="L130" s="35">
        <v>536017921.96017498</v>
      </c>
      <c r="M130" s="19">
        <f t="shared" si="1"/>
        <v>1457982243.5891199</v>
      </c>
    </row>
    <row r="131" spans="1:13" x14ac:dyDescent="0.25">
      <c r="A131" s="33">
        <v>46067</v>
      </c>
      <c r="B131" s="35">
        <v>0</v>
      </c>
      <c r="C131" s="35">
        <v>165655.65166149999</v>
      </c>
      <c r="D131" s="35">
        <v>17253383.845407799</v>
      </c>
      <c r="E131" s="35">
        <v>2330544.8239505002</v>
      </c>
      <c r="F131" s="35">
        <v>7745844.4813885</v>
      </c>
      <c r="G131" s="35">
        <v>16355636.292611999</v>
      </c>
      <c r="H131" s="35">
        <v>49633719.1232315</v>
      </c>
      <c r="I131" s="35">
        <v>588061.18679249997</v>
      </c>
      <c r="J131" s="35">
        <v>499702.36362625001</v>
      </c>
      <c r="K131" s="35">
        <v>74726.322090000001</v>
      </c>
      <c r="L131" s="35">
        <v>16324065.241869999</v>
      </c>
      <c r="M131" s="19">
        <f t="shared" si="1"/>
        <v>110971339.33263054</v>
      </c>
    </row>
    <row r="132" spans="1:13" x14ac:dyDescent="0.25">
      <c r="A132" s="33">
        <v>46068</v>
      </c>
      <c r="B132" s="35">
        <v>0</v>
      </c>
      <c r="C132" s="35">
        <v>180885.46041475001</v>
      </c>
      <c r="D132" s="35">
        <v>26311830.740155801</v>
      </c>
      <c r="E132" s="35">
        <v>1758415.5289965</v>
      </c>
      <c r="F132" s="35">
        <v>11817633.2026775</v>
      </c>
      <c r="G132" s="35">
        <v>18913855.9857748</v>
      </c>
      <c r="H132" s="35">
        <v>88699049.260077998</v>
      </c>
      <c r="I132" s="35">
        <v>1012428.549</v>
      </c>
      <c r="J132" s="35">
        <v>2462831.2797500002</v>
      </c>
      <c r="K132" s="35">
        <v>169959.70004749999</v>
      </c>
      <c r="L132" s="35">
        <v>110050946.333665</v>
      </c>
      <c r="M132" s="19">
        <f t="shared" si="1"/>
        <v>261377836.04055983</v>
      </c>
    </row>
    <row r="133" spans="1:13" x14ac:dyDescent="0.25">
      <c r="A133" s="33">
        <v>46069</v>
      </c>
      <c r="B133" s="35">
        <v>0</v>
      </c>
      <c r="C133" s="35">
        <v>143171.390166</v>
      </c>
      <c r="D133" s="35">
        <v>16378398.5480923</v>
      </c>
      <c r="E133" s="35">
        <v>3904798.3781727501</v>
      </c>
      <c r="F133" s="35">
        <v>15502311.9636213</v>
      </c>
      <c r="G133" s="35">
        <v>34714517.389868803</v>
      </c>
      <c r="H133" s="35">
        <v>153664199.59442201</v>
      </c>
      <c r="I133" s="35">
        <v>2207005.4066550001</v>
      </c>
      <c r="J133" s="35">
        <v>7983335.6819702499</v>
      </c>
      <c r="K133" s="35">
        <v>48015.6465025</v>
      </c>
      <c r="L133" s="35">
        <v>205761120.91908199</v>
      </c>
      <c r="M133" s="19">
        <f t="shared" si="1"/>
        <v>440306874.91855288</v>
      </c>
    </row>
    <row r="134" spans="1:13" x14ac:dyDescent="0.25">
      <c r="A134" s="33">
        <v>46070</v>
      </c>
      <c r="B134" s="35">
        <v>0</v>
      </c>
      <c r="C134" s="35">
        <v>762850.81252074998</v>
      </c>
      <c r="D134" s="35">
        <v>22729644.908391502</v>
      </c>
      <c r="E134" s="35">
        <v>13131046.8638635</v>
      </c>
      <c r="F134" s="35">
        <v>35936925.200801</v>
      </c>
      <c r="G134" s="35">
        <v>192569480.214454</v>
      </c>
      <c r="H134" s="35">
        <v>504107943.07509202</v>
      </c>
      <c r="I134" s="35">
        <v>3028999.57455</v>
      </c>
      <c r="J134" s="35">
        <v>14176952.232446499</v>
      </c>
      <c r="K134" s="35">
        <v>51737.232062499999</v>
      </c>
      <c r="L134" s="35">
        <v>570412788.356233</v>
      </c>
      <c r="M134" s="19">
        <f t="shared" si="1"/>
        <v>1356908368.4704149</v>
      </c>
    </row>
    <row r="135" spans="1:13" x14ac:dyDescent="0.25">
      <c r="A135" s="33">
        <v>46071</v>
      </c>
      <c r="B135" s="35">
        <v>0</v>
      </c>
      <c r="C135" s="35">
        <v>605082.59826849995</v>
      </c>
      <c r="D135" s="35">
        <v>24747407.983277999</v>
      </c>
      <c r="E135" s="35">
        <v>12258054.4822513</v>
      </c>
      <c r="F135" s="35">
        <v>24531161.133519799</v>
      </c>
      <c r="G135" s="35">
        <v>162998275.76884201</v>
      </c>
      <c r="H135" s="35">
        <v>336331106.93542302</v>
      </c>
      <c r="I135" s="35">
        <v>4346487.4425750002</v>
      </c>
      <c r="J135" s="35">
        <v>7900215.5975815002</v>
      </c>
      <c r="K135" s="35">
        <v>63653.913005000002</v>
      </c>
      <c r="L135" s="35">
        <v>291011883.91069502</v>
      </c>
      <c r="M135" s="19">
        <f t="shared" ref="M135:M198" si="2">SUM(B135:L135)</f>
        <v>864793329.76543903</v>
      </c>
    </row>
    <row r="136" spans="1:13" x14ac:dyDescent="0.25">
      <c r="A136" s="33">
        <v>46072</v>
      </c>
      <c r="B136" s="35">
        <v>0</v>
      </c>
      <c r="C136" s="35">
        <v>805429.62477750005</v>
      </c>
      <c r="D136" s="35">
        <v>26007572.896784</v>
      </c>
      <c r="E136" s="35">
        <v>27492963.439647801</v>
      </c>
      <c r="F136" s="35">
        <v>27356648.588628799</v>
      </c>
      <c r="G136" s="35">
        <v>141682314.616685</v>
      </c>
      <c r="H136" s="35">
        <v>463349817.43161601</v>
      </c>
      <c r="I136" s="35">
        <v>9599614.0691449996</v>
      </c>
      <c r="J136" s="35">
        <v>7282980.0640687495</v>
      </c>
      <c r="K136" s="35">
        <v>1221636.0155724999</v>
      </c>
      <c r="L136" s="35">
        <v>313995165.39264297</v>
      </c>
      <c r="M136" s="19">
        <f t="shared" si="2"/>
        <v>1018794142.1395683</v>
      </c>
    </row>
    <row r="137" spans="1:13" x14ac:dyDescent="0.25">
      <c r="A137" s="33">
        <v>46073</v>
      </c>
      <c r="B137" s="35">
        <v>0</v>
      </c>
      <c r="C137" s="35">
        <v>450785.063754</v>
      </c>
      <c r="D137" s="35">
        <v>28279892.673517499</v>
      </c>
      <c r="E137" s="35">
        <v>26634859.582754999</v>
      </c>
      <c r="F137" s="35">
        <v>34729117.4854303</v>
      </c>
      <c r="G137" s="35">
        <v>187365227.75741601</v>
      </c>
      <c r="H137" s="35">
        <v>690779355.73297703</v>
      </c>
      <c r="I137" s="35">
        <v>11498740.868775001</v>
      </c>
      <c r="J137" s="35">
        <v>8233233.1421619998</v>
      </c>
      <c r="K137" s="35">
        <v>1008954.8940124999</v>
      </c>
      <c r="L137" s="35">
        <v>611646491.57477796</v>
      </c>
      <c r="M137" s="19">
        <f t="shared" si="2"/>
        <v>1600626658.7755771</v>
      </c>
    </row>
    <row r="138" spans="1:13" x14ac:dyDescent="0.25">
      <c r="A138" s="33">
        <v>46074</v>
      </c>
      <c r="B138" s="35">
        <v>0</v>
      </c>
      <c r="C138" s="35">
        <v>4710.4182250000003</v>
      </c>
      <c r="D138" s="35">
        <v>12070420.156156801</v>
      </c>
      <c r="E138" s="35">
        <v>2073748.6650735</v>
      </c>
      <c r="F138" s="35">
        <v>5679122.6807155004</v>
      </c>
      <c r="G138" s="35">
        <v>18081472.210671298</v>
      </c>
      <c r="H138" s="35">
        <v>121389529.99197701</v>
      </c>
      <c r="I138" s="35">
        <v>4757576.1665000003</v>
      </c>
      <c r="J138" s="35">
        <v>686255.65895399998</v>
      </c>
      <c r="K138" s="35">
        <v>354569.6678</v>
      </c>
      <c r="L138" s="35">
        <v>47320732.123709999</v>
      </c>
      <c r="M138" s="19">
        <f t="shared" si="2"/>
        <v>212418137.73978314</v>
      </c>
    </row>
    <row r="139" spans="1:13" x14ac:dyDescent="0.25">
      <c r="A139" s="33">
        <v>46075</v>
      </c>
      <c r="B139" s="35">
        <v>0</v>
      </c>
      <c r="C139" s="35">
        <v>5820.8011012500001</v>
      </c>
      <c r="D139" s="35">
        <v>13282857.719994299</v>
      </c>
      <c r="E139" s="35">
        <v>9163797.8075134996</v>
      </c>
      <c r="F139" s="35">
        <v>4401098.6629507504</v>
      </c>
      <c r="G139" s="35">
        <v>18418731.622375499</v>
      </c>
      <c r="H139" s="35">
        <v>93772523.290363193</v>
      </c>
      <c r="I139" s="35">
        <v>8237605.8019200005</v>
      </c>
      <c r="J139" s="35">
        <v>1296334.3784385</v>
      </c>
      <c r="K139" s="35">
        <v>273464.8822625</v>
      </c>
      <c r="L139" s="35">
        <v>190322414.251697</v>
      </c>
      <c r="M139" s="19">
        <f t="shared" si="2"/>
        <v>339174649.21861649</v>
      </c>
    </row>
    <row r="140" spans="1:13" x14ac:dyDescent="0.25">
      <c r="A140" s="33">
        <v>46076</v>
      </c>
      <c r="B140" s="35">
        <v>0</v>
      </c>
      <c r="C140" s="35">
        <v>59517.883272500003</v>
      </c>
      <c r="D140" s="35">
        <v>34079006.550136797</v>
      </c>
      <c r="E140" s="35">
        <v>29672806.284580301</v>
      </c>
      <c r="F140" s="35">
        <v>37530894.716193996</v>
      </c>
      <c r="G140" s="35">
        <v>164620526.83080101</v>
      </c>
      <c r="H140" s="35">
        <v>437029852.09604502</v>
      </c>
      <c r="I140" s="35">
        <v>8567749.9138875008</v>
      </c>
      <c r="J140" s="35">
        <v>8442459.4340307508</v>
      </c>
      <c r="K140" s="35">
        <v>794637.20090499998</v>
      </c>
      <c r="L140" s="35">
        <v>613931555.22171295</v>
      </c>
      <c r="M140" s="19">
        <f t="shared" si="2"/>
        <v>1334729006.1315658</v>
      </c>
    </row>
    <row r="141" spans="1:13" x14ac:dyDescent="0.25">
      <c r="A141" s="33">
        <v>46077</v>
      </c>
      <c r="B141" s="35">
        <v>0</v>
      </c>
      <c r="C141" s="35">
        <v>276621.36762625002</v>
      </c>
      <c r="D141" s="35">
        <v>28770914.996663801</v>
      </c>
      <c r="E141" s="35">
        <v>33384852.107266799</v>
      </c>
      <c r="F141" s="35">
        <v>35309476.6469675</v>
      </c>
      <c r="G141" s="35">
        <v>210426546.85675099</v>
      </c>
      <c r="H141" s="35">
        <v>348732895.32312</v>
      </c>
      <c r="I141" s="35">
        <v>6872462.8975149998</v>
      </c>
      <c r="J141" s="35">
        <v>27749318.608355999</v>
      </c>
      <c r="K141" s="35">
        <v>623268.90994499996</v>
      </c>
      <c r="L141" s="35">
        <v>852807433.301952</v>
      </c>
      <c r="M141" s="19">
        <f t="shared" si="2"/>
        <v>1544953791.0161633</v>
      </c>
    </row>
    <row r="142" spans="1:13" x14ac:dyDescent="0.25">
      <c r="A142" s="33">
        <v>46078</v>
      </c>
      <c r="B142" s="35">
        <v>0</v>
      </c>
      <c r="C142" s="35">
        <v>33273.965335000001</v>
      </c>
      <c r="D142" s="35">
        <v>60076816.322738998</v>
      </c>
      <c r="E142" s="35">
        <v>22048339.784658499</v>
      </c>
      <c r="F142" s="35">
        <v>77287182.663787305</v>
      </c>
      <c r="G142" s="35">
        <v>233011356.307538</v>
      </c>
      <c r="H142" s="35">
        <v>403387776.48767197</v>
      </c>
      <c r="I142" s="35">
        <v>16747426.381309999</v>
      </c>
      <c r="J142" s="35">
        <v>25620724.915819999</v>
      </c>
      <c r="K142" s="35">
        <v>98405.415555</v>
      </c>
      <c r="L142" s="35">
        <v>1080295974.18397</v>
      </c>
      <c r="M142" s="19">
        <f t="shared" si="2"/>
        <v>1918607276.4283848</v>
      </c>
    </row>
    <row r="143" spans="1:13" x14ac:dyDescent="0.25">
      <c r="A143" s="33">
        <v>46079</v>
      </c>
      <c r="B143" s="35">
        <v>0</v>
      </c>
      <c r="C143" s="35">
        <v>159050.88458700001</v>
      </c>
      <c r="D143" s="35">
        <v>35534326.559933998</v>
      </c>
      <c r="E143" s="35">
        <v>31544349.746035501</v>
      </c>
      <c r="F143" s="35">
        <v>77251653.270660803</v>
      </c>
      <c r="G143" s="35">
        <v>291815549.757568</v>
      </c>
      <c r="H143" s="35">
        <v>453457046.15671003</v>
      </c>
      <c r="I143" s="35">
        <v>13963228.605</v>
      </c>
      <c r="J143" s="35">
        <v>9262096.1212019995</v>
      </c>
      <c r="K143" s="35">
        <v>267724.17230500001</v>
      </c>
      <c r="L143" s="35">
        <v>796513676.87049198</v>
      </c>
      <c r="M143" s="19">
        <f t="shared" si="2"/>
        <v>1709768702.1444943</v>
      </c>
    </row>
    <row r="144" spans="1:13" x14ac:dyDescent="0.25">
      <c r="A144" s="33">
        <v>46080</v>
      </c>
      <c r="B144" s="35">
        <v>0</v>
      </c>
      <c r="C144" s="35">
        <v>337794.84021900001</v>
      </c>
      <c r="D144" s="35">
        <v>35271776.673799299</v>
      </c>
      <c r="E144" s="35">
        <v>36392308.226426497</v>
      </c>
      <c r="F144" s="35">
        <v>55444388.216556303</v>
      </c>
      <c r="G144" s="35">
        <v>223658239.25741899</v>
      </c>
      <c r="H144" s="35">
        <v>438510103.75674802</v>
      </c>
      <c r="I144" s="35">
        <v>21194551.095199998</v>
      </c>
      <c r="J144" s="35">
        <v>21183756.665001001</v>
      </c>
      <c r="K144" s="35">
        <v>2704462.5157625</v>
      </c>
      <c r="L144" s="35">
        <v>651847793.19769394</v>
      </c>
      <c r="M144" s="19">
        <f t="shared" si="2"/>
        <v>1486545174.4448254</v>
      </c>
    </row>
    <row r="145" spans="1:13" x14ac:dyDescent="0.25">
      <c r="A145" s="33">
        <v>46081</v>
      </c>
      <c r="B145" s="35">
        <v>0</v>
      </c>
      <c r="C145" s="35">
        <v>87936.11558025</v>
      </c>
      <c r="D145" s="35">
        <v>43864493.754974</v>
      </c>
      <c r="E145" s="35">
        <v>15569454.7765988</v>
      </c>
      <c r="F145" s="35">
        <v>36666650.009948</v>
      </c>
      <c r="G145" s="35">
        <v>97698828.563965797</v>
      </c>
      <c r="H145" s="35">
        <v>133877747.07149</v>
      </c>
      <c r="I145" s="35">
        <v>17966989.299084999</v>
      </c>
      <c r="J145" s="35">
        <v>9342051.5140425004</v>
      </c>
      <c r="K145" s="35">
        <v>5341535.4506775001</v>
      </c>
      <c r="L145" s="35">
        <v>441681317.30917698</v>
      </c>
      <c r="M145" s="19">
        <f t="shared" si="2"/>
        <v>802097003.86553884</v>
      </c>
    </row>
    <row r="146" spans="1:13" x14ac:dyDescent="0.25">
      <c r="A146" s="33">
        <v>46082</v>
      </c>
      <c r="B146" s="35">
        <v>0</v>
      </c>
      <c r="C146" s="35">
        <v>40731.1728735</v>
      </c>
      <c r="D146" s="35">
        <v>36635642.831314497</v>
      </c>
      <c r="E146" s="35">
        <v>42858002.544735998</v>
      </c>
      <c r="F146" s="35">
        <v>19609284.833356999</v>
      </c>
      <c r="G146" s="35">
        <v>66157915.418435998</v>
      </c>
      <c r="H146" s="35">
        <v>127888785.905103</v>
      </c>
      <c r="I146" s="35">
        <v>20429080.855035</v>
      </c>
      <c r="J146" s="35">
        <v>8309796.9438014999</v>
      </c>
      <c r="K146" s="35">
        <v>359269.348405</v>
      </c>
      <c r="L146" s="35">
        <v>352616459.89952803</v>
      </c>
      <c r="M146" s="19">
        <f t="shared" si="2"/>
        <v>674904969.75258946</v>
      </c>
    </row>
    <row r="147" spans="1:13" x14ac:dyDescent="0.25">
      <c r="A147" s="33">
        <v>46083</v>
      </c>
      <c r="B147" s="35">
        <v>0</v>
      </c>
      <c r="C147" s="35">
        <v>669310.31574600004</v>
      </c>
      <c r="D147" s="35">
        <v>42406524.581103303</v>
      </c>
      <c r="E147" s="35">
        <v>144157964.914947</v>
      </c>
      <c r="F147" s="35">
        <v>89119513.826957807</v>
      </c>
      <c r="G147" s="35">
        <v>288406076.80345798</v>
      </c>
      <c r="H147" s="35">
        <v>649156251.21800005</v>
      </c>
      <c r="I147" s="35">
        <v>22235724.6425425</v>
      </c>
      <c r="J147" s="35">
        <v>12368341.161203301</v>
      </c>
      <c r="K147" s="35">
        <v>184140.06823</v>
      </c>
      <c r="L147" s="35">
        <v>1373822067.2048199</v>
      </c>
      <c r="M147" s="19">
        <f t="shared" si="2"/>
        <v>2622525914.7370081</v>
      </c>
    </row>
    <row r="148" spans="1:13" x14ac:dyDescent="0.25">
      <c r="A148" s="33">
        <v>46084</v>
      </c>
      <c r="B148" s="35">
        <v>0</v>
      </c>
      <c r="C148" s="35">
        <v>1200324.7596352501</v>
      </c>
      <c r="D148" s="35">
        <v>40266595.395868003</v>
      </c>
      <c r="E148" s="35">
        <v>289073852.53159398</v>
      </c>
      <c r="F148" s="35">
        <v>120897424.158601</v>
      </c>
      <c r="G148" s="35">
        <v>364267962.28253597</v>
      </c>
      <c r="H148" s="35">
        <v>1103338722.102</v>
      </c>
      <c r="I148" s="35">
        <v>21489750.054595001</v>
      </c>
      <c r="J148" s="35">
        <v>17985814.838982999</v>
      </c>
      <c r="K148" s="35">
        <v>596100.68233750004</v>
      </c>
      <c r="L148" s="35">
        <v>2011560976.0088999</v>
      </c>
      <c r="M148" s="19">
        <f t="shared" si="2"/>
        <v>3970677522.8150496</v>
      </c>
    </row>
    <row r="149" spans="1:13" x14ac:dyDescent="0.25">
      <c r="A149" s="33">
        <v>46085</v>
      </c>
      <c r="B149" s="35">
        <v>0</v>
      </c>
      <c r="C149" s="35">
        <v>350815.32009649999</v>
      </c>
      <c r="D149" s="35">
        <v>60439995.139975503</v>
      </c>
      <c r="E149" s="35">
        <v>250218432.85827801</v>
      </c>
      <c r="F149" s="35">
        <v>103253100.634064</v>
      </c>
      <c r="G149" s="35">
        <v>230847459.80685699</v>
      </c>
      <c r="H149" s="35">
        <v>793395990.92408597</v>
      </c>
      <c r="I149" s="35">
        <v>24949369.725074999</v>
      </c>
      <c r="J149" s="35">
        <v>11816602.435384</v>
      </c>
      <c r="K149" s="35">
        <v>397695.76945750002</v>
      </c>
      <c r="L149" s="35">
        <v>1149908541.7377501</v>
      </c>
      <c r="M149" s="19">
        <f t="shared" si="2"/>
        <v>2625578004.3510237</v>
      </c>
    </row>
    <row r="150" spans="1:13" x14ac:dyDescent="0.25">
      <c r="A150" s="33">
        <v>46086</v>
      </c>
      <c r="B150" s="35">
        <v>0</v>
      </c>
      <c r="C150" s="35">
        <v>266979.73518800002</v>
      </c>
      <c r="D150" s="35">
        <v>37364188.694899298</v>
      </c>
      <c r="E150" s="35">
        <v>295533211.489344</v>
      </c>
      <c r="F150" s="35">
        <v>107132540.15882801</v>
      </c>
      <c r="G150" s="35">
        <v>246976505.55662</v>
      </c>
      <c r="H150" s="35">
        <v>650445873.56732905</v>
      </c>
      <c r="I150" s="35">
        <v>26146986.713874999</v>
      </c>
      <c r="J150" s="35">
        <v>10579294.6930335</v>
      </c>
      <c r="K150" s="35">
        <v>243206.761425</v>
      </c>
      <c r="L150" s="35">
        <v>932798718.42950797</v>
      </c>
      <c r="M150" s="19">
        <f t="shared" si="2"/>
        <v>2307487505.8000498</v>
      </c>
    </row>
    <row r="151" spans="1:13" x14ac:dyDescent="0.25">
      <c r="A151" s="33">
        <v>46087</v>
      </c>
      <c r="B151" s="35">
        <v>0</v>
      </c>
      <c r="C151" s="35">
        <v>238882.81552199999</v>
      </c>
      <c r="D151" s="35">
        <v>31954245.911070801</v>
      </c>
      <c r="E151" s="35">
        <v>503974271.31695497</v>
      </c>
      <c r="F151" s="35">
        <v>86740794.372881994</v>
      </c>
      <c r="G151" s="35">
        <v>274145000.23855698</v>
      </c>
      <c r="H151" s="35">
        <v>745285430.59408104</v>
      </c>
      <c r="I151" s="35">
        <v>29407591.396627501</v>
      </c>
      <c r="J151" s="35">
        <v>18031189.4099943</v>
      </c>
      <c r="K151" s="35">
        <v>325233.85437000002</v>
      </c>
      <c r="L151" s="35">
        <v>660528553.43988895</v>
      </c>
      <c r="M151" s="19">
        <f t="shared" si="2"/>
        <v>2350631193.3499489</v>
      </c>
    </row>
    <row r="152" spans="1:13" x14ac:dyDescent="0.25">
      <c r="A152" s="33">
        <v>46088</v>
      </c>
      <c r="B152" s="35">
        <v>0</v>
      </c>
      <c r="C152" s="35">
        <v>89555.531520000004</v>
      </c>
      <c r="D152" s="35">
        <v>14101451.105872801</v>
      </c>
      <c r="E152" s="35">
        <v>175823916.05347699</v>
      </c>
      <c r="F152" s="35">
        <v>9079042.1991432495</v>
      </c>
      <c r="G152" s="35">
        <v>105823805.62175</v>
      </c>
      <c r="H152" s="35">
        <v>83990041.850901499</v>
      </c>
      <c r="I152" s="35">
        <v>26195741.801377501</v>
      </c>
      <c r="J152" s="35">
        <v>2700890.6226745001</v>
      </c>
      <c r="K152" s="35">
        <v>127477.4315075</v>
      </c>
      <c r="L152" s="35">
        <v>24344025.612728499</v>
      </c>
      <c r="M152" s="19">
        <f t="shared" si="2"/>
        <v>442275947.83095253</v>
      </c>
    </row>
    <row r="153" spans="1:13" x14ac:dyDescent="0.25">
      <c r="A153" s="33">
        <v>46089</v>
      </c>
      <c r="B153" s="35">
        <v>0</v>
      </c>
      <c r="C153" s="35">
        <v>10056.479584000001</v>
      </c>
      <c r="D153" s="35">
        <v>21683571.450679999</v>
      </c>
      <c r="E153" s="35">
        <v>413768427.34807003</v>
      </c>
      <c r="F153" s="35">
        <v>20621360.966785301</v>
      </c>
      <c r="G153" s="35">
        <v>76165130.055146798</v>
      </c>
      <c r="H153" s="35">
        <v>151747607.02187401</v>
      </c>
      <c r="I153" s="35">
        <v>29275871.239739999</v>
      </c>
      <c r="J153" s="35">
        <v>7957412.3418932501</v>
      </c>
      <c r="K153" s="35">
        <v>449690.03967750003</v>
      </c>
      <c r="L153" s="35">
        <v>153779094.855968</v>
      </c>
      <c r="M153" s="19">
        <f t="shared" si="2"/>
        <v>875458221.79941893</v>
      </c>
    </row>
    <row r="154" spans="1:13" x14ac:dyDescent="0.25">
      <c r="A154" s="33">
        <v>46090</v>
      </c>
      <c r="B154" s="35">
        <v>0</v>
      </c>
      <c r="C154" s="35">
        <v>312873.73373024998</v>
      </c>
      <c r="D154" s="35">
        <v>50811886.994457297</v>
      </c>
      <c r="E154" s="35">
        <v>2282265103.02424</v>
      </c>
      <c r="F154" s="35">
        <v>91823000.401137307</v>
      </c>
      <c r="G154" s="35">
        <v>254888922.21730801</v>
      </c>
      <c r="H154" s="35">
        <v>775174132.44521999</v>
      </c>
      <c r="I154" s="35">
        <v>35236312.630024999</v>
      </c>
      <c r="J154" s="35">
        <v>21759702.890450299</v>
      </c>
      <c r="K154" s="35">
        <v>244901.307825</v>
      </c>
      <c r="L154" s="35">
        <v>616721115.55540895</v>
      </c>
      <c r="M154" s="19">
        <f t="shared" si="2"/>
        <v>4129237951.1998024</v>
      </c>
    </row>
    <row r="155" spans="1:13" x14ac:dyDescent="0.25">
      <c r="A155" s="33">
        <v>46091</v>
      </c>
      <c r="B155" s="35">
        <v>0</v>
      </c>
      <c r="C155" s="35">
        <v>163968.285248</v>
      </c>
      <c r="D155" s="35">
        <v>44435473.426842801</v>
      </c>
      <c r="E155" s="35">
        <v>1433329645.1960001</v>
      </c>
      <c r="F155" s="35">
        <v>93091848.008723006</v>
      </c>
      <c r="G155" s="35">
        <v>190279687.47747001</v>
      </c>
      <c r="H155" s="35">
        <v>536679403.06239998</v>
      </c>
      <c r="I155" s="35">
        <v>25853079.963950001</v>
      </c>
      <c r="J155" s="35">
        <v>12682765.364786001</v>
      </c>
      <c r="K155" s="35">
        <v>90202.403002499996</v>
      </c>
      <c r="L155" s="35">
        <v>362966958.47996497</v>
      </c>
      <c r="M155" s="19">
        <f t="shared" si="2"/>
        <v>2699573031.6683874</v>
      </c>
    </row>
    <row r="156" spans="1:13" x14ac:dyDescent="0.25">
      <c r="A156" s="33">
        <v>46092</v>
      </c>
      <c r="B156" s="35">
        <v>0</v>
      </c>
      <c r="C156" s="35">
        <v>114081.000984</v>
      </c>
      <c r="D156" s="35">
        <v>34947385.788136996</v>
      </c>
      <c r="E156" s="35">
        <v>1288240755.14147</v>
      </c>
      <c r="F156" s="35">
        <v>84288854.151550993</v>
      </c>
      <c r="G156" s="35">
        <v>174835414.82111999</v>
      </c>
      <c r="H156" s="35">
        <v>359804599.33707201</v>
      </c>
      <c r="I156" s="35">
        <v>14911901.376660001</v>
      </c>
      <c r="J156" s="35">
        <v>8700279.7084172498</v>
      </c>
      <c r="K156" s="35">
        <v>166703.66735999999</v>
      </c>
      <c r="L156" s="35">
        <v>354862422.36285901</v>
      </c>
      <c r="M156" s="19">
        <f t="shared" si="2"/>
        <v>2320872397.3556304</v>
      </c>
    </row>
    <row r="157" spans="1:13" x14ac:dyDescent="0.25">
      <c r="A157" s="33">
        <v>46093</v>
      </c>
      <c r="B157" s="35">
        <v>0</v>
      </c>
      <c r="C157" s="35">
        <v>279249.47513774998</v>
      </c>
      <c r="D157" s="35">
        <v>31650554.463866498</v>
      </c>
      <c r="E157" s="35">
        <v>1536049284.5208299</v>
      </c>
      <c r="F157" s="35">
        <v>83845525.235681504</v>
      </c>
      <c r="G157" s="35">
        <v>195325707.33564401</v>
      </c>
      <c r="H157" s="35">
        <v>422743507.11308903</v>
      </c>
      <c r="I157" s="35">
        <v>29791271.025614999</v>
      </c>
      <c r="J157" s="35">
        <v>18369825.652417999</v>
      </c>
      <c r="K157" s="35">
        <v>65997.490680000003</v>
      </c>
      <c r="L157" s="35">
        <v>399544746.31313699</v>
      </c>
      <c r="M157" s="19">
        <f t="shared" si="2"/>
        <v>2717665668.6260991</v>
      </c>
    </row>
    <row r="158" spans="1:13" x14ac:dyDescent="0.25">
      <c r="A158" s="33">
        <v>46094</v>
      </c>
      <c r="B158" s="35">
        <v>0</v>
      </c>
      <c r="C158" s="35">
        <v>357924.88627875003</v>
      </c>
      <c r="D158" s="35">
        <v>41357606.8957045</v>
      </c>
      <c r="E158" s="35">
        <v>926754337.43782198</v>
      </c>
      <c r="F158" s="35">
        <v>96216751.028754994</v>
      </c>
      <c r="G158" s="35">
        <v>184794523.23937601</v>
      </c>
      <c r="H158" s="35">
        <v>410283192.07942498</v>
      </c>
      <c r="I158" s="35">
        <v>19265406.173315</v>
      </c>
      <c r="J158" s="35">
        <v>7813117.1173170004</v>
      </c>
      <c r="K158" s="35">
        <v>59540.175707499999</v>
      </c>
      <c r="L158" s="35">
        <v>413362954.67842901</v>
      </c>
      <c r="M158" s="19">
        <f t="shared" si="2"/>
        <v>2100265353.7121301</v>
      </c>
    </row>
    <row r="159" spans="1:13" x14ac:dyDescent="0.25">
      <c r="A159" s="33">
        <v>46095</v>
      </c>
      <c r="B159" s="35">
        <v>0</v>
      </c>
      <c r="C159" s="35">
        <v>56619.778849750001</v>
      </c>
      <c r="D159" s="35">
        <v>12629335.9711335</v>
      </c>
      <c r="E159" s="35">
        <v>390808038.12311</v>
      </c>
      <c r="F159" s="35">
        <v>13902235.6340538</v>
      </c>
      <c r="G159" s="35">
        <v>24073793.811139502</v>
      </c>
      <c r="H159" s="35">
        <v>144225167.00819501</v>
      </c>
      <c r="I159" s="35">
        <v>14737402.510664999</v>
      </c>
      <c r="J159" s="35">
        <v>2360027.080422</v>
      </c>
      <c r="K159" s="35">
        <v>94652.627364999993</v>
      </c>
      <c r="L159" s="35">
        <v>28530808.646134298</v>
      </c>
      <c r="M159" s="19">
        <f t="shared" si="2"/>
        <v>631418081.19106781</v>
      </c>
    </row>
    <row r="160" spans="1:13" x14ac:dyDescent="0.25">
      <c r="A160" s="33">
        <v>46096</v>
      </c>
      <c r="B160" s="35">
        <v>0</v>
      </c>
      <c r="C160" s="35">
        <v>52986.711199999998</v>
      </c>
      <c r="D160" s="35">
        <v>20207410.967245799</v>
      </c>
      <c r="E160" s="35">
        <v>544183511.11305404</v>
      </c>
      <c r="F160" s="35">
        <v>16406038.012559</v>
      </c>
      <c r="G160" s="35">
        <v>39420254.037844501</v>
      </c>
      <c r="H160" s="35">
        <v>213603953.10473901</v>
      </c>
      <c r="I160" s="35">
        <v>19206553.30125</v>
      </c>
      <c r="J160" s="35">
        <v>2332510.19167925</v>
      </c>
      <c r="K160" s="35">
        <v>144890.89564249999</v>
      </c>
      <c r="L160" s="35">
        <v>107306731.082041</v>
      </c>
      <c r="M160" s="19">
        <f t="shared" si="2"/>
        <v>962864839.41725516</v>
      </c>
    </row>
    <row r="161" spans="1:13" x14ac:dyDescent="0.25">
      <c r="A161" s="33">
        <v>46097</v>
      </c>
      <c r="B161" s="35">
        <v>0</v>
      </c>
      <c r="C161" s="35">
        <v>463924.02656000003</v>
      </c>
      <c r="D161" s="35">
        <v>65434583.413844503</v>
      </c>
      <c r="E161" s="35">
        <v>946017809.11703801</v>
      </c>
      <c r="F161" s="35">
        <v>64845774.284041502</v>
      </c>
      <c r="G161" s="35">
        <v>178039348.78187701</v>
      </c>
      <c r="H161" s="35">
        <v>354433282.881069</v>
      </c>
      <c r="I161" s="35">
        <v>19716688.704909999</v>
      </c>
      <c r="J161" s="35">
        <v>10299016.472441001</v>
      </c>
      <c r="K161" s="35">
        <v>91627.564559999999</v>
      </c>
      <c r="L161" s="35">
        <v>418444573.948551</v>
      </c>
      <c r="M161" s="19">
        <f t="shared" si="2"/>
        <v>2057786629.1948919</v>
      </c>
    </row>
    <row r="162" spans="1:13" x14ac:dyDescent="0.25">
      <c r="A162" s="33">
        <v>46098</v>
      </c>
      <c r="B162" s="35">
        <v>0</v>
      </c>
      <c r="C162" s="35">
        <v>1778989.839342</v>
      </c>
      <c r="D162" s="35">
        <v>39733834.297495</v>
      </c>
      <c r="E162" s="35">
        <v>571479207.98939705</v>
      </c>
      <c r="F162" s="35">
        <v>67983096.971129</v>
      </c>
      <c r="G162" s="35">
        <v>141122038.03136101</v>
      </c>
      <c r="H162" s="35">
        <v>334781221.60085797</v>
      </c>
      <c r="I162" s="35">
        <v>19226168.51605</v>
      </c>
      <c r="J162" s="35">
        <v>5001834.0297999997</v>
      </c>
      <c r="K162" s="35">
        <v>68069.282702500001</v>
      </c>
      <c r="L162" s="35">
        <v>236143037.90560201</v>
      </c>
      <c r="M162" s="19">
        <f t="shared" si="2"/>
        <v>1417317498.4637363</v>
      </c>
    </row>
    <row r="163" spans="1:13" x14ac:dyDescent="0.25">
      <c r="A163" s="33">
        <v>46099</v>
      </c>
      <c r="B163" s="35">
        <v>0</v>
      </c>
      <c r="C163" s="35">
        <v>336196.44178400002</v>
      </c>
      <c r="D163" s="35">
        <v>44298518.070400499</v>
      </c>
      <c r="E163" s="35">
        <v>1176594742.0172601</v>
      </c>
      <c r="F163" s="35">
        <v>94250119.8173583</v>
      </c>
      <c r="G163" s="35">
        <v>164800914.05298701</v>
      </c>
      <c r="H163" s="35">
        <v>464474646.06835097</v>
      </c>
      <c r="I163" s="35">
        <v>20066885.206124999</v>
      </c>
      <c r="J163" s="35">
        <v>16362883.848210299</v>
      </c>
      <c r="K163" s="35">
        <v>215749.87251250001</v>
      </c>
      <c r="L163" s="35">
        <v>470255757.96718502</v>
      </c>
      <c r="M163" s="19">
        <f t="shared" si="2"/>
        <v>2451656413.362174</v>
      </c>
    </row>
    <row r="164" spans="1:13" x14ac:dyDescent="0.25">
      <c r="A164" s="33">
        <v>46100</v>
      </c>
      <c r="B164" s="35">
        <v>0</v>
      </c>
      <c r="C164" s="35">
        <v>14004.009293749999</v>
      </c>
      <c r="D164" s="35">
        <v>37401865.070029996</v>
      </c>
      <c r="E164" s="35">
        <v>1689152211.87569</v>
      </c>
      <c r="F164" s="35">
        <v>101252596.374212</v>
      </c>
      <c r="G164" s="35">
        <v>186270622.905209</v>
      </c>
      <c r="H164" s="35">
        <v>613472178.58975804</v>
      </c>
      <c r="I164" s="35">
        <v>19696725.58044</v>
      </c>
      <c r="J164" s="35">
        <v>28873853.703400999</v>
      </c>
      <c r="K164" s="35">
        <v>116226.4746375</v>
      </c>
      <c r="L164" s="35">
        <v>1269618039.78054</v>
      </c>
      <c r="M164" s="19">
        <f t="shared" si="2"/>
        <v>3945868324.3632116</v>
      </c>
    </row>
    <row r="165" spans="1:13" x14ac:dyDescent="0.25">
      <c r="A165" s="33">
        <v>46101</v>
      </c>
      <c r="B165" s="35">
        <v>0</v>
      </c>
      <c r="C165" s="35">
        <v>97776.871508249998</v>
      </c>
      <c r="D165" s="35">
        <v>28042070.788824499</v>
      </c>
      <c r="E165" s="35">
        <v>805046186.16364598</v>
      </c>
      <c r="F165" s="35">
        <v>102025117.438493</v>
      </c>
      <c r="G165" s="35">
        <v>179923492.03461799</v>
      </c>
      <c r="H165" s="35">
        <v>479906697.03368801</v>
      </c>
      <c r="I165" s="35">
        <v>22987289.79425</v>
      </c>
      <c r="J165" s="35">
        <v>11521712.547421301</v>
      </c>
      <c r="K165" s="35">
        <v>36045.881622499997</v>
      </c>
      <c r="L165" s="35">
        <v>694292842.38091397</v>
      </c>
      <c r="M165" s="19">
        <f t="shared" si="2"/>
        <v>2323879230.9349856</v>
      </c>
    </row>
    <row r="166" spans="1:13" x14ac:dyDescent="0.25">
      <c r="A166" s="33">
        <v>46102</v>
      </c>
      <c r="B166" s="35">
        <v>0</v>
      </c>
      <c r="C166" s="35">
        <v>8649.6290759999993</v>
      </c>
      <c r="D166" s="35">
        <v>10469076.8343428</v>
      </c>
      <c r="E166" s="35">
        <v>158123730.714596</v>
      </c>
      <c r="F166" s="35">
        <v>15987209.5351815</v>
      </c>
      <c r="G166" s="35">
        <v>29153461.497305799</v>
      </c>
      <c r="H166" s="35">
        <v>69075916.545172498</v>
      </c>
      <c r="I166" s="35">
        <v>15822875.225847499</v>
      </c>
      <c r="J166" s="35">
        <v>12743288.326440001</v>
      </c>
      <c r="K166" s="35">
        <v>11454.64795</v>
      </c>
      <c r="L166" s="35">
        <v>75363047.848491296</v>
      </c>
      <c r="M166" s="19">
        <f t="shared" si="2"/>
        <v>386758710.80440336</v>
      </c>
    </row>
    <row r="167" spans="1:13" x14ac:dyDescent="0.25">
      <c r="A167" s="33">
        <v>46103</v>
      </c>
      <c r="B167" s="35">
        <v>0</v>
      </c>
      <c r="C167" s="35">
        <v>302296.92004250002</v>
      </c>
      <c r="D167" s="35">
        <v>18810943.097162999</v>
      </c>
      <c r="E167" s="35">
        <v>441317687.38182801</v>
      </c>
      <c r="F167" s="35">
        <v>26183259.9124045</v>
      </c>
      <c r="G167" s="35">
        <v>45834684.740969002</v>
      </c>
      <c r="H167" s="35">
        <v>153214024.14408401</v>
      </c>
      <c r="I167" s="35">
        <v>18959007.94923</v>
      </c>
      <c r="J167" s="35">
        <v>3047244.0480884998</v>
      </c>
      <c r="K167" s="35">
        <v>20970.2240475</v>
      </c>
      <c r="L167" s="35">
        <v>223521447.77149999</v>
      </c>
      <c r="M167" s="19">
        <f t="shared" si="2"/>
        <v>931211566.18935704</v>
      </c>
    </row>
    <row r="168" spans="1:13" x14ac:dyDescent="0.25">
      <c r="A168" s="33">
        <v>46104</v>
      </c>
      <c r="B168" s="35">
        <v>0</v>
      </c>
      <c r="C168" s="35">
        <v>867766.50789400004</v>
      </c>
      <c r="D168" s="35">
        <v>37880138.330138497</v>
      </c>
      <c r="E168" s="35">
        <v>2295037792.3377299</v>
      </c>
      <c r="F168" s="35">
        <v>139412866.882976</v>
      </c>
      <c r="G168" s="35">
        <v>336334441.41729701</v>
      </c>
      <c r="H168" s="35">
        <v>903570828.08697999</v>
      </c>
      <c r="I168" s="35">
        <v>21352915.744962499</v>
      </c>
      <c r="J168" s="35">
        <v>46746202.700967498</v>
      </c>
      <c r="K168" s="35">
        <v>115250.03879999999</v>
      </c>
      <c r="L168" s="35">
        <v>2179081631.72228</v>
      </c>
      <c r="M168" s="19">
        <f t="shared" si="2"/>
        <v>5960399833.7700253</v>
      </c>
    </row>
    <row r="169" spans="1:13" x14ac:dyDescent="0.25">
      <c r="A169" s="33">
        <v>46105</v>
      </c>
      <c r="B169" s="35">
        <v>0</v>
      </c>
      <c r="C169" s="35">
        <v>891513.207039</v>
      </c>
      <c r="D169" s="35">
        <v>25724783.1032103</v>
      </c>
      <c r="E169" s="35">
        <v>1381751805.22751</v>
      </c>
      <c r="F169" s="35">
        <v>166616702.686564</v>
      </c>
      <c r="G169" s="35">
        <v>203446774.44253501</v>
      </c>
      <c r="H169" s="35">
        <v>703294962.03995895</v>
      </c>
      <c r="I169" s="35">
        <v>21472291.489665002</v>
      </c>
      <c r="J169" s="35">
        <v>23175357.110047501</v>
      </c>
      <c r="K169" s="35">
        <v>49242.244505000002</v>
      </c>
      <c r="L169" s="35">
        <v>955917098.18589604</v>
      </c>
      <c r="M169" s="19">
        <f t="shared" si="2"/>
        <v>3482340529.7369304</v>
      </c>
    </row>
    <row r="170" spans="1:13" x14ac:dyDescent="0.25">
      <c r="A170" s="33">
        <v>46106</v>
      </c>
      <c r="B170" s="35">
        <v>0</v>
      </c>
      <c r="C170" s="35">
        <v>99697.659211499995</v>
      </c>
      <c r="D170" s="35">
        <v>24784539.8438305</v>
      </c>
      <c r="E170" s="35">
        <v>995580027.30098796</v>
      </c>
      <c r="F170" s="35">
        <v>132383512.207219</v>
      </c>
      <c r="G170" s="35">
        <v>210354765.21087399</v>
      </c>
      <c r="H170" s="35">
        <v>486273391.18026102</v>
      </c>
      <c r="I170" s="35">
        <v>23644318.04115</v>
      </c>
      <c r="J170" s="35">
        <v>12540305.781559</v>
      </c>
      <c r="K170" s="35">
        <v>207203.82639500001</v>
      </c>
      <c r="L170" s="35">
        <v>659945917.88339996</v>
      </c>
      <c r="M170" s="19">
        <f t="shared" si="2"/>
        <v>2545813678.9348884</v>
      </c>
    </row>
    <row r="171" spans="1:13" x14ac:dyDescent="0.25">
      <c r="A171" s="33">
        <v>46107</v>
      </c>
      <c r="B171" s="35">
        <v>0</v>
      </c>
      <c r="C171" s="35">
        <v>28765.183498999999</v>
      </c>
      <c r="D171" s="35">
        <v>22461296.2392455</v>
      </c>
      <c r="E171" s="35">
        <v>824589221.72328997</v>
      </c>
      <c r="F171" s="35">
        <v>86479909.335604295</v>
      </c>
      <c r="G171" s="35">
        <v>203399915.074929</v>
      </c>
      <c r="H171" s="35">
        <v>478843527.31192303</v>
      </c>
      <c r="I171" s="35">
        <v>27268193.815875001</v>
      </c>
      <c r="J171" s="35">
        <v>6700514.4743074998</v>
      </c>
      <c r="K171" s="35">
        <v>135707.24713</v>
      </c>
      <c r="L171" s="35">
        <v>767009517.590554</v>
      </c>
      <c r="M171" s="19">
        <f t="shared" si="2"/>
        <v>2416916567.996357</v>
      </c>
    </row>
    <row r="172" spans="1:13" x14ac:dyDescent="0.25">
      <c r="A172" s="33">
        <v>46108</v>
      </c>
      <c r="B172" s="35">
        <v>0</v>
      </c>
      <c r="C172" s="35">
        <v>24755.219059499999</v>
      </c>
      <c r="D172" s="35">
        <v>23614346.293774001</v>
      </c>
      <c r="E172" s="35">
        <v>794631950.42049801</v>
      </c>
      <c r="F172" s="35">
        <v>90651005.839387</v>
      </c>
      <c r="G172" s="35">
        <v>278561191.160191</v>
      </c>
      <c r="H172" s="35">
        <v>498235986.06587201</v>
      </c>
      <c r="I172" s="35">
        <v>30333085.877815001</v>
      </c>
      <c r="J172" s="35">
        <v>3424557.2829339998</v>
      </c>
      <c r="K172" s="35">
        <v>181147.75409</v>
      </c>
      <c r="L172" s="35">
        <v>612230275.05922794</v>
      </c>
      <c r="M172" s="19">
        <f t="shared" si="2"/>
        <v>2331888300.9728484</v>
      </c>
    </row>
    <row r="173" spans="1:13" x14ac:dyDescent="0.25">
      <c r="A173" s="33">
        <v>46109</v>
      </c>
      <c r="B173" s="35">
        <v>0</v>
      </c>
      <c r="C173" s="35">
        <v>7787.5022024999998</v>
      </c>
      <c r="D173" s="35">
        <v>11577114.2218598</v>
      </c>
      <c r="E173" s="35">
        <v>207247489.70906901</v>
      </c>
      <c r="F173" s="35">
        <v>13008875.4064363</v>
      </c>
      <c r="G173" s="35">
        <v>38819710.229801297</v>
      </c>
      <c r="H173" s="35">
        <v>73768165.012226</v>
      </c>
      <c r="I173" s="35">
        <v>24007187.59042</v>
      </c>
      <c r="J173" s="35">
        <v>257458.0240905</v>
      </c>
      <c r="K173" s="35">
        <v>47150.875837500003</v>
      </c>
      <c r="L173" s="35">
        <v>18156853.373295002</v>
      </c>
      <c r="M173" s="19">
        <f t="shared" si="2"/>
        <v>386897791.94523793</v>
      </c>
    </row>
    <row r="174" spans="1:13" x14ac:dyDescent="0.25">
      <c r="A174" s="33">
        <v>46110</v>
      </c>
      <c r="B174" s="35">
        <v>0</v>
      </c>
      <c r="C174" s="35">
        <v>10883.67166125</v>
      </c>
      <c r="D174" s="35">
        <v>15355528.2415075</v>
      </c>
      <c r="E174" s="35">
        <v>324205439.165084</v>
      </c>
      <c r="F174" s="35">
        <v>9258934.5784842502</v>
      </c>
      <c r="G174" s="35">
        <v>28552834.685588799</v>
      </c>
      <c r="H174" s="35">
        <v>132205912.245464</v>
      </c>
      <c r="I174" s="35">
        <v>26998772.194510002</v>
      </c>
      <c r="J174" s="35">
        <v>2105389.5348497499</v>
      </c>
      <c r="K174" s="35">
        <v>38349.421504999998</v>
      </c>
      <c r="L174" s="35">
        <v>104411941.889349</v>
      </c>
      <c r="M174" s="19">
        <f t="shared" si="2"/>
        <v>643143985.62800348</v>
      </c>
    </row>
    <row r="175" spans="1:13" x14ac:dyDescent="0.25">
      <c r="A175" s="33">
        <v>46111</v>
      </c>
      <c r="B175" s="35">
        <v>0</v>
      </c>
      <c r="C175" s="35">
        <v>925476.28631200001</v>
      </c>
      <c r="D175" s="35">
        <v>23050621.921459801</v>
      </c>
      <c r="E175" s="35">
        <v>975635668.72391999</v>
      </c>
      <c r="F175" s="35">
        <v>87739687.448334306</v>
      </c>
      <c r="G175" s="35">
        <v>234658160.98131299</v>
      </c>
      <c r="H175" s="35">
        <v>515157794.29965001</v>
      </c>
      <c r="I175" s="35">
        <v>28956160.88555</v>
      </c>
      <c r="J175" s="35">
        <v>7199520.9680647496</v>
      </c>
      <c r="K175" s="35">
        <v>235584.07565499999</v>
      </c>
      <c r="L175" s="35">
        <v>424175643.94731897</v>
      </c>
      <c r="M175" s="19">
        <f t="shared" si="2"/>
        <v>2297734319.5375776</v>
      </c>
    </row>
    <row r="176" spans="1:13" x14ac:dyDescent="0.25">
      <c r="A176" s="33">
        <v>46112</v>
      </c>
      <c r="B176" s="35">
        <v>0</v>
      </c>
      <c r="C176" s="35">
        <v>596496.75837000005</v>
      </c>
      <c r="D176" s="35">
        <v>31183789.854281299</v>
      </c>
      <c r="E176" s="35">
        <v>1573504689.2554901</v>
      </c>
      <c r="F176" s="35">
        <v>109221762.872454</v>
      </c>
      <c r="G176" s="35">
        <v>302974035.899418</v>
      </c>
      <c r="H176" s="35">
        <v>1051602665.61858</v>
      </c>
      <c r="I176" s="35">
        <v>22808113.2842975</v>
      </c>
      <c r="J176" s="35">
        <v>7663717.7489155</v>
      </c>
      <c r="K176" s="35">
        <v>86744.134462500006</v>
      </c>
      <c r="L176" s="35">
        <v>535102639.269171</v>
      </c>
      <c r="M176" s="19">
        <f t="shared" si="2"/>
        <v>3634744654.6954393</v>
      </c>
    </row>
    <row r="177" spans="1:13" x14ac:dyDescent="0.25">
      <c r="A177" s="33">
        <v>46113</v>
      </c>
      <c r="B177" s="35">
        <v>0</v>
      </c>
      <c r="C177" s="35">
        <v>1091336.1250545001</v>
      </c>
      <c r="D177" s="35">
        <v>17827694.040502999</v>
      </c>
      <c r="E177" s="35">
        <v>1604686414.6657</v>
      </c>
      <c r="F177" s="35">
        <v>91684343.744792998</v>
      </c>
      <c r="G177" s="35">
        <v>243742788.80694601</v>
      </c>
      <c r="H177" s="35">
        <v>782633361.12958503</v>
      </c>
      <c r="I177" s="35">
        <v>25801042.602262501</v>
      </c>
      <c r="J177" s="35">
        <v>6494846.7253392497</v>
      </c>
      <c r="K177" s="35">
        <v>79859.953479999996</v>
      </c>
      <c r="L177" s="35">
        <v>446952950.63261199</v>
      </c>
      <c r="M177" s="19">
        <f t="shared" si="2"/>
        <v>3220994638.4262753</v>
      </c>
    </row>
    <row r="178" spans="1:13" x14ac:dyDescent="0.25">
      <c r="A178" s="33">
        <v>46114</v>
      </c>
      <c r="B178" s="35">
        <v>0</v>
      </c>
      <c r="C178" s="35">
        <v>261152.4487485</v>
      </c>
      <c r="D178" s="35">
        <v>25294933.615656301</v>
      </c>
      <c r="E178" s="35">
        <v>2057873354.13936</v>
      </c>
      <c r="F178" s="35">
        <v>105081449.014145</v>
      </c>
      <c r="G178" s="35">
        <v>296132053.74080801</v>
      </c>
      <c r="H178" s="35">
        <v>1069576218.2885</v>
      </c>
      <c r="I178" s="35">
        <v>25578500.0616525</v>
      </c>
      <c r="J178" s="35">
        <v>10517105.429976299</v>
      </c>
      <c r="K178" s="35">
        <v>211675.1560625</v>
      </c>
      <c r="L178" s="35">
        <v>666522640.35804605</v>
      </c>
      <c r="M178" s="19">
        <f t="shared" si="2"/>
        <v>4257049082.2529554</v>
      </c>
    </row>
    <row r="179" spans="1:13" x14ac:dyDescent="0.25">
      <c r="A179" s="33">
        <v>46115</v>
      </c>
      <c r="B179" s="35">
        <v>0</v>
      </c>
      <c r="C179" s="35">
        <v>53014.226390999997</v>
      </c>
      <c r="D179" s="35">
        <v>11556123.875611801</v>
      </c>
      <c r="E179" s="35">
        <v>224925030.365926</v>
      </c>
      <c r="F179" s="35">
        <v>15146748.9618313</v>
      </c>
      <c r="G179" s="35">
        <v>31030967.164097</v>
      </c>
      <c r="H179" s="35">
        <v>151557534.27584001</v>
      </c>
      <c r="I179" s="35">
        <v>9524436.6881649997</v>
      </c>
      <c r="J179" s="35">
        <v>1076079.4580794999</v>
      </c>
      <c r="K179" s="35">
        <v>64424.924704999998</v>
      </c>
      <c r="L179" s="35">
        <v>30339351.380484499</v>
      </c>
      <c r="M179" s="19">
        <f t="shared" si="2"/>
        <v>475273711.32113117</v>
      </c>
    </row>
    <row r="180" spans="1:13" x14ac:dyDescent="0.25">
      <c r="A180" s="33">
        <v>46116</v>
      </c>
      <c r="B180" s="35">
        <v>0</v>
      </c>
      <c r="C180" s="35">
        <v>525.58451700000001</v>
      </c>
      <c r="D180" s="35">
        <v>7501425.7118349997</v>
      </c>
      <c r="E180" s="35">
        <v>110421728.936306</v>
      </c>
      <c r="F180" s="35">
        <v>4812168.5810702499</v>
      </c>
      <c r="G180" s="35">
        <v>15061691.6420778</v>
      </c>
      <c r="H180" s="35">
        <v>53427408.197981998</v>
      </c>
      <c r="I180" s="35">
        <v>8631195.5341950003</v>
      </c>
      <c r="J180" s="35">
        <v>591694.51167299994</v>
      </c>
      <c r="K180" s="35">
        <v>41382.943870000003</v>
      </c>
      <c r="L180" s="35">
        <v>13279561.9796375</v>
      </c>
      <c r="M180" s="19">
        <f t="shared" si="2"/>
        <v>213768783.62316355</v>
      </c>
    </row>
    <row r="181" spans="1:13" x14ac:dyDescent="0.25">
      <c r="A181" s="33">
        <v>46117</v>
      </c>
      <c r="B181" s="35">
        <v>0</v>
      </c>
      <c r="C181" s="35">
        <v>13370.7698</v>
      </c>
      <c r="D181" s="35">
        <v>12367671.0526795</v>
      </c>
      <c r="E181" s="35">
        <v>413258573.09482098</v>
      </c>
      <c r="F181" s="35">
        <v>17516235.436216298</v>
      </c>
      <c r="G181" s="35">
        <v>32035283.505566001</v>
      </c>
      <c r="H181" s="35">
        <v>142495597.990695</v>
      </c>
      <c r="I181" s="35">
        <v>5655475.8525099996</v>
      </c>
      <c r="J181" s="35">
        <v>1130590.32548525</v>
      </c>
      <c r="K181" s="35">
        <v>17597.133040000001</v>
      </c>
      <c r="L181" s="35">
        <v>136155096.41307601</v>
      </c>
      <c r="M181" s="19">
        <f t="shared" si="2"/>
        <v>760645491.5738889</v>
      </c>
    </row>
    <row r="182" spans="1:13" x14ac:dyDescent="0.25">
      <c r="A182" s="33">
        <v>46118</v>
      </c>
      <c r="B182" s="35">
        <v>0</v>
      </c>
      <c r="C182" s="35">
        <v>36647.495858499999</v>
      </c>
      <c r="D182" s="35">
        <v>20306332.504680801</v>
      </c>
      <c r="E182" s="35">
        <v>1430866454.3134899</v>
      </c>
      <c r="F182" s="35">
        <v>78485634.970656306</v>
      </c>
      <c r="G182" s="35">
        <v>176325206.45053601</v>
      </c>
      <c r="H182" s="35">
        <v>597031586.69172394</v>
      </c>
      <c r="I182" s="35">
        <v>19565480.8031375</v>
      </c>
      <c r="J182" s="35">
        <v>5388820.2666149996</v>
      </c>
      <c r="K182" s="35">
        <v>34192.650430000002</v>
      </c>
      <c r="L182" s="35">
        <v>363155285.30027801</v>
      </c>
      <c r="M182" s="19">
        <f t="shared" si="2"/>
        <v>2691195641.4474063</v>
      </c>
    </row>
    <row r="183" spans="1:13" x14ac:dyDescent="0.25">
      <c r="A183" s="33">
        <v>46119</v>
      </c>
      <c r="B183" s="35">
        <v>61722.983749999999</v>
      </c>
      <c r="C183" s="35">
        <v>14456.787701249999</v>
      </c>
      <c r="D183" s="35">
        <v>28717988.017173801</v>
      </c>
      <c r="E183" s="35">
        <v>3279852251.7639999</v>
      </c>
      <c r="F183" s="35">
        <v>93534248.392281696</v>
      </c>
      <c r="G183" s="35">
        <v>265050232.231648</v>
      </c>
      <c r="H183" s="35">
        <v>1157345361.59885</v>
      </c>
      <c r="I183" s="35">
        <v>16517677.2752575</v>
      </c>
      <c r="J183" s="35">
        <v>4815535.2009960003</v>
      </c>
      <c r="K183" s="35">
        <v>905154.40422499995</v>
      </c>
      <c r="L183" s="35">
        <v>623870790.47388101</v>
      </c>
      <c r="M183" s="19">
        <f t="shared" si="2"/>
        <v>5470685419.1297646</v>
      </c>
    </row>
    <row r="184" spans="1:13" x14ac:dyDescent="0.25">
      <c r="A184" s="33">
        <v>46120</v>
      </c>
      <c r="B184" s="35">
        <v>644930.05807999999</v>
      </c>
      <c r="C184" s="35">
        <v>29556.6698</v>
      </c>
      <c r="D184" s="35">
        <v>25494285.421604998</v>
      </c>
      <c r="E184" s="35">
        <v>3020833926.0872002</v>
      </c>
      <c r="F184" s="35">
        <v>89156682.585885495</v>
      </c>
      <c r="G184" s="35">
        <v>310908702.160483</v>
      </c>
      <c r="H184" s="35">
        <v>856411365.28351104</v>
      </c>
      <c r="I184" s="35">
        <v>12267497.31512</v>
      </c>
      <c r="J184" s="35">
        <v>5126056.9489019997</v>
      </c>
      <c r="K184" s="35">
        <v>622701.18235000002</v>
      </c>
      <c r="L184" s="35">
        <v>395360820.14571601</v>
      </c>
      <c r="M184" s="19">
        <f t="shared" si="2"/>
        <v>4716856523.8586521</v>
      </c>
    </row>
    <row r="185" spans="1:13" x14ac:dyDescent="0.25">
      <c r="A185" s="33">
        <v>46121</v>
      </c>
      <c r="B185" s="35">
        <v>4955938.0330299996</v>
      </c>
      <c r="C185" s="35">
        <v>3955.0504417500001</v>
      </c>
      <c r="D185" s="35">
        <v>24767653.327408299</v>
      </c>
      <c r="E185" s="35">
        <v>2055945545.5738699</v>
      </c>
      <c r="F185" s="35">
        <v>106804346.324921</v>
      </c>
      <c r="G185" s="35">
        <v>204826926.61718899</v>
      </c>
      <c r="H185" s="35">
        <v>619885221.42406905</v>
      </c>
      <c r="I185" s="35">
        <v>3138053.1387049998</v>
      </c>
      <c r="J185" s="35">
        <v>4846220.0465320004</v>
      </c>
      <c r="K185" s="35">
        <v>1026872.4869575</v>
      </c>
      <c r="L185" s="35">
        <v>269645948.16143799</v>
      </c>
      <c r="M185" s="19">
        <f t="shared" si="2"/>
        <v>3295846680.1845613</v>
      </c>
    </row>
    <row r="186" spans="1:13" x14ac:dyDescent="0.25">
      <c r="A186" s="33">
        <v>46122</v>
      </c>
      <c r="B186" s="35">
        <v>1436972.0743</v>
      </c>
      <c r="C186" s="35">
        <v>367388.06129375001</v>
      </c>
      <c r="D186" s="35">
        <v>21315587.138860799</v>
      </c>
      <c r="E186" s="35">
        <v>1033958009.17784</v>
      </c>
      <c r="F186" s="35">
        <v>85554538.641035795</v>
      </c>
      <c r="G186" s="35">
        <v>205683848.783122</v>
      </c>
      <c r="H186" s="35">
        <v>443854797.24301398</v>
      </c>
      <c r="I186" s="35">
        <v>3421208.2912249998</v>
      </c>
      <c r="J186" s="35">
        <v>11916861.252067801</v>
      </c>
      <c r="K186" s="35">
        <v>761302.17270999996</v>
      </c>
      <c r="L186" s="35">
        <v>195642187.103172</v>
      </c>
      <c r="M186" s="19">
        <f t="shared" si="2"/>
        <v>2003912699.9386411</v>
      </c>
    </row>
    <row r="187" spans="1:13" x14ac:dyDescent="0.25">
      <c r="A187" s="33">
        <v>46123</v>
      </c>
      <c r="B187" s="35">
        <v>6754.3003474999996</v>
      </c>
      <c r="C187" s="35">
        <v>79779.096445999996</v>
      </c>
      <c r="D187" s="35">
        <v>11422019.928134499</v>
      </c>
      <c r="E187" s="35">
        <v>344748056.722839</v>
      </c>
      <c r="F187" s="35">
        <v>16268190.5238478</v>
      </c>
      <c r="G187" s="35">
        <v>44401029.626373</v>
      </c>
      <c r="H187" s="35">
        <v>105693269.499217</v>
      </c>
      <c r="I187" s="35">
        <v>9897772.8779425006</v>
      </c>
      <c r="J187" s="35">
        <v>1080332.3377187499</v>
      </c>
      <c r="K187" s="35">
        <v>611144.0784</v>
      </c>
      <c r="L187" s="35">
        <v>12713652.173040001</v>
      </c>
      <c r="M187" s="19">
        <f t="shared" si="2"/>
        <v>546922001.16430604</v>
      </c>
    </row>
    <row r="188" spans="1:13" x14ac:dyDescent="0.25">
      <c r="A188" s="33">
        <v>46124</v>
      </c>
      <c r="B188" s="35">
        <v>8324.7929050000002</v>
      </c>
      <c r="C188" s="35">
        <v>241.9452</v>
      </c>
      <c r="D188" s="35">
        <v>13710792.6618395</v>
      </c>
      <c r="E188" s="35">
        <v>1277732832.9649401</v>
      </c>
      <c r="F188" s="35">
        <v>35710490.009882502</v>
      </c>
      <c r="G188" s="35">
        <v>92258386.812353998</v>
      </c>
      <c r="H188" s="35">
        <v>392983456.82579398</v>
      </c>
      <c r="I188" s="35">
        <v>14452369.1356575</v>
      </c>
      <c r="J188" s="35">
        <v>7525508.5740980003</v>
      </c>
      <c r="K188" s="35">
        <v>483395.24040750001</v>
      </c>
      <c r="L188" s="35">
        <v>126397682.546753</v>
      </c>
      <c r="M188" s="19">
        <f t="shared" si="2"/>
        <v>1961263481.5098312</v>
      </c>
    </row>
    <row r="189" spans="1:13" x14ac:dyDescent="0.25">
      <c r="A189" s="33">
        <v>46125</v>
      </c>
      <c r="B189" s="35">
        <v>1491665.35518</v>
      </c>
      <c r="C189" s="35">
        <v>1373.1998080000001</v>
      </c>
      <c r="D189" s="35">
        <v>19849787.998847801</v>
      </c>
      <c r="E189" s="35">
        <v>1512996321.09412</v>
      </c>
      <c r="F189" s="35">
        <v>65328171.693629503</v>
      </c>
      <c r="G189" s="35">
        <v>174472616.059266</v>
      </c>
      <c r="H189" s="35">
        <v>651756467.91039395</v>
      </c>
      <c r="I189" s="35">
        <v>12923011.38951</v>
      </c>
      <c r="J189" s="35">
        <v>18103668.9763395</v>
      </c>
      <c r="K189" s="35">
        <v>698813.26578999998</v>
      </c>
      <c r="L189" s="35">
        <v>217615356.45936599</v>
      </c>
      <c r="M189" s="19">
        <f t="shared" si="2"/>
        <v>2675237253.4022508</v>
      </c>
    </row>
    <row r="190" spans="1:13" x14ac:dyDescent="0.25">
      <c r="A190" s="33">
        <v>46126</v>
      </c>
      <c r="B190" s="35">
        <v>320927.94258999999</v>
      </c>
      <c r="C190" s="35">
        <v>105905.79466499999</v>
      </c>
      <c r="D190" s="35">
        <v>18597319.7325048</v>
      </c>
      <c r="E190" s="35">
        <v>1233101930.7225499</v>
      </c>
      <c r="F190" s="35">
        <v>71926941.5535855</v>
      </c>
      <c r="G190" s="35">
        <v>187735838.521945</v>
      </c>
      <c r="H190" s="35">
        <v>494148489.18909299</v>
      </c>
      <c r="I190" s="35">
        <v>6691500.8181574997</v>
      </c>
      <c r="J190" s="35">
        <v>17772408.444954</v>
      </c>
      <c r="K190" s="35">
        <v>728544.12387500005</v>
      </c>
      <c r="L190" s="35">
        <v>192148093.97659799</v>
      </c>
      <c r="M190" s="19">
        <f t="shared" si="2"/>
        <v>2223277900.8205171</v>
      </c>
    </row>
    <row r="191" spans="1:13" x14ac:dyDescent="0.25">
      <c r="A191" s="33">
        <v>46127</v>
      </c>
      <c r="B191" s="35">
        <v>82814.006475000002</v>
      </c>
      <c r="C191" s="35">
        <v>4411.4619240000002</v>
      </c>
      <c r="D191" s="35">
        <v>12670136.3655915</v>
      </c>
      <c r="E191" s="35">
        <v>867109788.63818598</v>
      </c>
      <c r="F191" s="35">
        <v>72439362.683021307</v>
      </c>
      <c r="G191" s="35">
        <v>163578975.28994799</v>
      </c>
      <c r="H191" s="35">
        <v>631123305.06788099</v>
      </c>
      <c r="I191" s="35">
        <v>8499280.8332000002</v>
      </c>
      <c r="J191" s="35">
        <v>16939153.2276945</v>
      </c>
      <c r="K191" s="35">
        <v>445540.52158</v>
      </c>
      <c r="L191" s="35">
        <v>278549914.56003797</v>
      </c>
      <c r="M191" s="19">
        <f t="shared" si="2"/>
        <v>2051442682.655539</v>
      </c>
    </row>
    <row r="192" spans="1:13" x14ac:dyDescent="0.25">
      <c r="A192" s="33">
        <v>46128</v>
      </c>
      <c r="B192" s="35">
        <v>909250.97654249996</v>
      </c>
      <c r="C192" s="35">
        <v>898.3100925</v>
      </c>
      <c r="D192" s="35">
        <v>22146770.248354301</v>
      </c>
      <c r="E192" s="35">
        <v>712286216.31291497</v>
      </c>
      <c r="F192" s="35">
        <v>57627502.823245503</v>
      </c>
      <c r="G192" s="35">
        <v>182939570.95291701</v>
      </c>
      <c r="H192" s="35">
        <v>612552850.13629901</v>
      </c>
      <c r="I192" s="35">
        <v>3822716.7839299999</v>
      </c>
      <c r="J192" s="35">
        <v>7440954.3931537503</v>
      </c>
      <c r="K192" s="35">
        <v>296488.80726999999</v>
      </c>
      <c r="L192" s="35">
        <v>190262978.51350799</v>
      </c>
      <c r="M192" s="19">
        <f t="shared" si="2"/>
        <v>1790286198.2582278</v>
      </c>
    </row>
    <row r="193" spans="1:13" x14ac:dyDescent="0.25">
      <c r="A193" s="33">
        <v>46129</v>
      </c>
      <c r="B193" s="35">
        <v>325391.87310750003</v>
      </c>
      <c r="C193" s="35">
        <v>5027.9556967500002</v>
      </c>
      <c r="D193" s="35">
        <v>33441045.396525301</v>
      </c>
      <c r="E193" s="35">
        <v>1512770561.28038</v>
      </c>
      <c r="F193" s="35">
        <v>83018619.815016493</v>
      </c>
      <c r="G193" s="35">
        <v>146181372.62219599</v>
      </c>
      <c r="H193" s="35">
        <v>638744207.29554498</v>
      </c>
      <c r="I193" s="35">
        <v>9239152.2892400008</v>
      </c>
      <c r="J193" s="35">
        <v>3627423.3983585001</v>
      </c>
      <c r="K193" s="35">
        <v>865262.66679249995</v>
      </c>
      <c r="L193" s="35">
        <v>262205067.969338</v>
      </c>
      <c r="M193" s="19">
        <f t="shared" si="2"/>
        <v>2690423132.5621958</v>
      </c>
    </row>
    <row r="194" spans="1:13" x14ac:dyDescent="0.25">
      <c r="A194" s="33">
        <v>46130</v>
      </c>
      <c r="B194" s="35">
        <v>8370.5752200000006</v>
      </c>
      <c r="C194" s="35">
        <v>6871.9133430000002</v>
      </c>
      <c r="D194" s="35">
        <v>14543201.3708665</v>
      </c>
      <c r="E194" s="35">
        <v>437245488.37464303</v>
      </c>
      <c r="F194" s="35">
        <v>26337250.415388498</v>
      </c>
      <c r="G194" s="35">
        <v>45500382.324998297</v>
      </c>
      <c r="H194" s="35">
        <v>128992306.91308901</v>
      </c>
      <c r="I194" s="35">
        <v>12891087.84616</v>
      </c>
      <c r="J194" s="35">
        <v>385460.10401100002</v>
      </c>
      <c r="K194" s="35">
        <v>702264.95683499996</v>
      </c>
      <c r="L194" s="35">
        <v>36654656.472096004</v>
      </c>
      <c r="M194" s="19">
        <f t="shared" si="2"/>
        <v>703267341.26665044</v>
      </c>
    </row>
    <row r="195" spans="1:13" x14ac:dyDescent="0.25">
      <c r="A195" s="33">
        <v>46131</v>
      </c>
      <c r="B195" s="35">
        <v>26279.553739999999</v>
      </c>
      <c r="C195" s="35">
        <v>4163.4108624999999</v>
      </c>
      <c r="D195" s="35">
        <v>14428448.871412</v>
      </c>
      <c r="E195" s="35">
        <v>712546026.86084795</v>
      </c>
      <c r="F195" s="35">
        <v>40094108.489033498</v>
      </c>
      <c r="G195" s="35">
        <v>40044109.852012299</v>
      </c>
      <c r="H195" s="35">
        <v>178945089.026225</v>
      </c>
      <c r="I195" s="35">
        <v>14393158.504125001</v>
      </c>
      <c r="J195" s="35">
        <v>2783224.0820182501</v>
      </c>
      <c r="K195" s="35">
        <v>735942.11145500001</v>
      </c>
      <c r="L195" s="35">
        <v>104119119.38746201</v>
      </c>
      <c r="M195" s="19">
        <f t="shared" si="2"/>
        <v>1108119670.1491933</v>
      </c>
    </row>
    <row r="196" spans="1:13" x14ac:dyDescent="0.25">
      <c r="A196" s="33">
        <v>46132</v>
      </c>
      <c r="B196" s="35">
        <v>90503.881850000005</v>
      </c>
      <c r="C196" s="35">
        <v>98.152365000000003</v>
      </c>
      <c r="D196" s="35">
        <v>25913133.314546801</v>
      </c>
      <c r="E196" s="35">
        <v>1108203507.7131701</v>
      </c>
      <c r="F196" s="35">
        <v>91088443.312942997</v>
      </c>
      <c r="G196" s="35">
        <v>143333733.83212799</v>
      </c>
      <c r="H196" s="35">
        <v>534789377.837816</v>
      </c>
      <c r="I196" s="35">
        <v>6007201.8744400004</v>
      </c>
      <c r="J196" s="35">
        <v>5279311.2972045001</v>
      </c>
      <c r="K196" s="35">
        <v>675970.42774499999</v>
      </c>
      <c r="L196" s="35">
        <v>225054837.75431901</v>
      </c>
      <c r="M196" s="19">
        <f t="shared" si="2"/>
        <v>2140436119.3985274</v>
      </c>
    </row>
    <row r="197" spans="1:13" x14ac:dyDescent="0.25">
      <c r="A197" s="33">
        <v>46133</v>
      </c>
      <c r="B197" s="35">
        <v>23053.816129999999</v>
      </c>
      <c r="C197" s="35">
        <v>298874.88547749998</v>
      </c>
      <c r="D197" s="35">
        <v>15278160.4445523</v>
      </c>
      <c r="E197" s="35">
        <v>1344720450.9179499</v>
      </c>
      <c r="F197" s="35">
        <v>54964227.044665501</v>
      </c>
      <c r="G197" s="35">
        <v>132760964.01827</v>
      </c>
      <c r="H197" s="35">
        <v>590529440.88997698</v>
      </c>
      <c r="I197" s="35">
        <v>16500251.4419875</v>
      </c>
      <c r="J197" s="35">
        <v>4540835.9814287499</v>
      </c>
      <c r="K197" s="35">
        <v>959730.78705749998</v>
      </c>
      <c r="L197" s="35">
        <v>369435279.47703302</v>
      </c>
      <c r="M197" s="19">
        <f t="shared" si="2"/>
        <v>2530011269.7045288</v>
      </c>
    </row>
    <row r="198" spans="1:13" x14ac:dyDescent="0.25">
      <c r="A198" s="33">
        <v>46134</v>
      </c>
      <c r="B198" s="35">
        <v>88225.685694999993</v>
      </c>
      <c r="C198" s="35">
        <v>861673.37035500002</v>
      </c>
      <c r="D198" s="35">
        <v>23239187.106628001</v>
      </c>
      <c r="E198" s="35">
        <v>916415540.35720301</v>
      </c>
      <c r="F198" s="35">
        <v>45141633.795636803</v>
      </c>
      <c r="G198" s="35">
        <v>141317419.05825001</v>
      </c>
      <c r="H198" s="35">
        <v>441854368.79591799</v>
      </c>
      <c r="I198" s="35">
        <v>8268251.3906950001</v>
      </c>
      <c r="J198" s="35">
        <v>5302767.99645025</v>
      </c>
      <c r="K198" s="35">
        <v>1766873.9467499999</v>
      </c>
      <c r="L198" s="35">
        <v>240279682.92650601</v>
      </c>
      <c r="M198" s="19">
        <f t="shared" si="2"/>
        <v>1824535624.4300871</v>
      </c>
    </row>
    <row r="199" spans="1:13" x14ac:dyDescent="0.25">
      <c r="A199" s="33">
        <v>46135</v>
      </c>
      <c r="B199" s="35">
        <v>42121.373200000002</v>
      </c>
      <c r="C199" s="35">
        <v>713873.68028275005</v>
      </c>
      <c r="D199" s="35">
        <v>36120353.105376303</v>
      </c>
      <c r="E199" s="35">
        <v>1298942307.20191</v>
      </c>
      <c r="F199" s="35">
        <v>53251899.102673501</v>
      </c>
      <c r="G199" s="35">
        <v>237527321.09997699</v>
      </c>
      <c r="H199" s="35">
        <v>702541782.84221995</v>
      </c>
      <c r="I199" s="35">
        <v>8574709.2920999993</v>
      </c>
      <c r="J199" s="35">
        <v>8425781.3887297492</v>
      </c>
      <c r="K199" s="35">
        <v>858832.03910000005</v>
      </c>
      <c r="L199" s="35">
        <v>353816841.85632199</v>
      </c>
      <c r="M199" s="19">
        <f t="shared" ref="M199:M262" si="3">SUM(B199:L199)</f>
        <v>2700815822.9818912</v>
      </c>
    </row>
    <row r="200" spans="1:13" x14ac:dyDescent="0.25">
      <c r="A200" s="33">
        <v>46136</v>
      </c>
      <c r="B200" s="35">
        <v>41452.895570000001</v>
      </c>
      <c r="C200" s="35">
        <v>963423.13716200006</v>
      </c>
      <c r="D200" s="35">
        <v>7758267.4564150004</v>
      </c>
      <c r="E200" s="35">
        <v>1027115548.56498</v>
      </c>
      <c r="F200" s="35">
        <v>51872650.973492198</v>
      </c>
      <c r="G200" s="35">
        <v>294338105.34156299</v>
      </c>
      <c r="H200" s="35">
        <v>540244909.95769095</v>
      </c>
      <c r="I200" s="35">
        <v>7106660.4077850003</v>
      </c>
      <c r="J200" s="35">
        <v>5537277.3464665003</v>
      </c>
      <c r="K200" s="35">
        <v>350604.75050000002</v>
      </c>
      <c r="L200" s="35">
        <v>307848515.63075203</v>
      </c>
      <c r="M200" s="19">
        <f t="shared" si="3"/>
        <v>2243177416.4623766</v>
      </c>
    </row>
    <row r="201" spans="1:13" x14ac:dyDescent="0.25">
      <c r="A201" s="33">
        <v>46137</v>
      </c>
      <c r="B201" s="35">
        <v>4765.4707875000004</v>
      </c>
      <c r="C201" s="35">
        <v>832282.72480249999</v>
      </c>
      <c r="D201" s="35">
        <v>5437934.9698705003</v>
      </c>
      <c r="E201" s="35">
        <v>162456495.21765599</v>
      </c>
      <c r="F201" s="35">
        <v>6922937.2310555</v>
      </c>
      <c r="G201" s="35">
        <v>34284539.678567499</v>
      </c>
      <c r="H201" s="35">
        <v>78540819.164014295</v>
      </c>
      <c r="I201" s="35">
        <v>692868.23459999997</v>
      </c>
      <c r="J201" s="35">
        <v>340360.65562625002</v>
      </c>
      <c r="K201" s="35">
        <v>109366.9194</v>
      </c>
      <c r="L201" s="35">
        <v>27503186.279761001</v>
      </c>
      <c r="M201" s="19">
        <f t="shared" si="3"/>
        <v>317125556.54614103</v>
      </c>
    </row>
    <row r="202" spans="1:13" x14ac:dyDescent="0.25">
      <c r="A202" s="33">
        <v>46138</v>
      </c>
      <c r="B202" s="35">
        <v>15223.73306</v>
      </c>
      <c r="C202" s="35">
        <v>173470.32561599999</v>
      </c>
      <c r="D202" s="35">
        <v>50882122.365680799</v>
      </c>
      <c r="E202" s="35">
        <v>213045622.13365301</v>
      </c>
      <c r="F202" s="35">
        <v>12635560.005703799</v>
      </c>
      <c r="G202" s="35">
        <v>81012874.538913697</v>
      </c>
      <c r="H202" s="35">
        <v>160273310.19313499</v>
      </c>
      <c r="I202" s="35">
        <v>2709808.5238124998</v>
      </c>
      <c r="J202" s="35">
        <v>5770678.1425615</v>
      </c>
      <c r="K202" s="35">
        <v>507784.34297499998</v>
      </c>
      <c r="L202" s="35">
        <v>72418173.009547994</v>
      </c>
      <c r="M202" s="19">
        <f t="shared" si="3"/>
        <v>599444627.31465924</v>
      </c>
    </row>
    <row r="203" spans="1:13" x14ac:dyDescent="0.25">
      <c r="A203" s="33">
        <v>46139</v>
      </c>
      <c r="B203" s="35">
        <v>32975.481355000004</v>
      </c>
      <c r="C203" s="35">
        <v>25454.013321999999</v>
      </c>
      <c r="D203" s="35">
        <v>13465587.6858043</v>
      </c>
      <c r="E203" s="35">
        <v>568306822.33307004</v>
      </c>
      <c r="F203" s="35">
        <v>70751004.874156997</v>
      </c>
      <c r="G203" s="35">
        <v>340334751.04845899</v>
      </c>
      <c r="H203" s="35">
        <v>458727252.37259001</v>
      </c>
      <c r="I203" s="35">
        <v>6652500.4441625001</v>
      </c>
      <c r="J203" s="35">
        <v>4877896.9955002498</v>
      </c>
      <c r="K203" s="35">
        <v>330372.97067499999</v>
      </c>
      <c r="L203" s="35">
        <v>245290625.11403599</v>
      </c>
      <c r="M203" s="19">
        <f t="shared" si="3"/>
        <v>1708795243.3331313</v>
      </c>
    </row>
    <row r="204" spans="1:13" x14ac:dyDescent="0.25">
      <c r="A204" s="33">
        <v>46140</v>
      </c>
      <c r="B204" s="35">
        <v>181065.46427999999</v>
      </c>
      <c r="C204" s="35">
        <v>1404230.798432</v>
      </c>
      <c r="D204" s="35">
        <v>5907549.5221574996</v>
      </c>
      <c r="E204" s="35">
        <v>1022663155.60305</v>
      </c>
      <c r="F204" s="35">
        <v>69818767.679177001</v>
      </c>
      <c r="G204" s="35">
        <v>311700888.58991098</v>
      </c>
      <c r="H204" s="35">
        <v>466071845.636213</v>
      </c>
      <c r="I204" s="35">
        <v>11084485.666789999</v>
      </c>
      <c r="J204" s="35">
        <v>29331814.624611501</v>
      </c>
      <c r="K204" s="35">
        <v>613752.27442499995</v>
      </c>
      <c r="L204" s="35">
        <v>502302377.26125801</v>
      </c>
      <c r="M204" s="19">
        <f t="shared" si="3"/>
        <v>2421079933.1203051</v>
      </c>
    </row>
    <row r="205" spans="1:13" x14ac:dyDescent="0.25">
      <c r="A205" s="33">
        <v>46141</v>
      </c>
      <c r="B205" s="35">
        <v>1149003.731435</v>
      </c>
      <c r="C205" s="35">
        <v>363482.90498250001</v>
      </c>
      <c r="D205" s="35">
        <v>8408979.3524222504</v>
      </c>
      <c r="E205" s="35">
        <v>1206337315.56181</v>
      </c>
      <c r="F205" s="35">
        <v>95309110.983468696</v>
      </c>
      <c r="G205" s="35">
        <v>479454567.22540402</v>
      </c>
      <c r="H205" s="35">
        <v>750007211.194713</v>
      </c>
      <c r="I205" s="35">
        <v>10752369.202354999</v>
      </c>
      <c r="J205" s="35">
        <v>5381253.2009540005</v>
      </c>
      <c r="K205" s="35">
        <v>1360621.0678975</v>
      </c>
      <c r="L205" s="35">
        <v>374572837.30240297</v>
      </c>
      <c r="M205" s="19">
        <f t="shared" si="3"/>
        <v>2933096751.7278447</v>
      </c>
    </row>
    <row r="206" spans="1:13" x14ac:dyDescent="0.25">
      <c r="A206" s="33">
        <v>46142</v>
      </c>
      <c r="B206" s="35">
        <v>1038259.3653600001</v>
      </c>
      <c r="C206" s="35">
        <v>2299122.85817025</v>
      </c>
      <c r="D206" s="35">
        <v>4768091.9819862498</v>
      </c>
      <c r="E206" s="35">
        <v>1194426965.1340799</v>
      </c>
      <c r="F206" s="35">
        <v>72730369.060892001</v>
      </c>
      <c r="G206" s="35">
        <v>508741727.63069499</v>
      </c>
      <c r="H206" s="35">
        <v>739851342.56268799</v>
      </c>
      <c r="I206" s="35">
        <v>31020260.703337502</v>
      </c>
      <c r="J206" s="35">
        <v>3995706.7004937502</v>
      </c>
      <c r="K206" s="35">
        <v>977602.96268999996</v>
      </c>
      <c r="L206" s="35">
        <v>297035168.102449</v>
      </c>
      <c r="M206" s="19">
        <f t="shared" si="3"/>
        <v>2856884617.0628419</v>
      </c>
    </row>
    <row r="207" spans="1:13" x14ac:dyDescent="0.25">
      <c r="A207" s="33">
        <v>46143</v>
      </c>
      <c r="B207" s="35">
        <v>3957804.28015</v>
      </c>
      <c r="C207" s="35">
        <v>5109676.0013924995</v>
      </c>
      <c r="D207" s="35">
        <v>7766103.063449</v>
      </c>
      <c r="E207" s="35">
        <v>1130900486.2790501</v>
      </c>
      <c r="F207" s="35">
        <v>82513094.577867806</v>
      </c>
      <c r="G207" s="35">
        <v>378273969.00997603</v>
      </c>
      <c r="H207" s="35">
        <v>423975361.21255302</v>
      </c>
      <c r="I207" s="35">
        <v>16360180.855795</v>
      </c>
      <c r="J207" s="35">
        <v>3940341.3509007501</v>
      </c>
      <c r="K207" s="35">
        <v>408105.307195</v>
      </c>
      <c r="L207" s="35">
        <v>269912008.74092001</v>
      </c>
      <c r="M207" s="19">
        <f t="shared" si="3"/>
        <v>2323117130.6792488</v>
      </c>
    </row>
    <row r="208" spans="1:13" x14ac:dyDescent="0.25">
      <c r="A208" s="33">
        <v>46144</v>
      </c>
      <c r="B208" s="35">
        <v>6587.7641800000001</v>
      </c>
      <c r="C208" s="35">
        <v>1409308.6559834999</v>
      </c>
      <c r="D208" s="35">
        <v>4881234.97895825</v>
      </c>
      <c r="E208" s="35">
        <v>79977028.2372327</v>
      </c>
      <c r="F208" s="35">
        <v>8029867.2479392504</v>
      </c>
      <c r="G208" s="35">
        <v>38849772.230172299</v>
      </c>
      <c r="H208" s="35">
        <v>75737535.400675803</v>
      </c>
      <c r="I208" s="35">
        <v>8683457.7430000007</v>
      </c>
      <c r="J208" s="35">
        <v>678037.35373049998</v>
      </c>
      <c r="K208" s="35">
        <v>206848.15210000001</v>
      </c>
      <c r="L208" s="35">
        <v>11627326.178599</v>
      </c>
      <c r="M208" s="19">
        <f t="shared" si="3"/>
        <v>230087003.94257128</v>
      </c>
    </row>
    <row r="209" spans="1:13" x14ac:dyDescent="0.25">
      <c r="A209" s="33">
        <v>46145</v>
      </c>
      <c r="B209" s="35">
        <v>11241.210237499999</v>
      </c>
      <c r="C209" s="35">
        <v>1208160.2682765</v>
      </c>
      <c r="D209" s="35">
        <v>5159536.89059</v>
      </c>
      <c r="E209" s="35">
        <v>390997388.9411</v>
      </c>
      <c r="F209" s="35">
        <v>8209939.1346610002</v>
      </c>
      <c r="G209" s="35">
        <v>51311286.9741733</v>
      </c>
      <c r="H209" s="35">
        <v>113097538.089037</v>
      </c>
      <c r="I209" s="35">
        <v>11097712.4954325</v>
      </c>
      <c r="J209" s="35">
        <v>2261241.3307650001</v>
      </c>
      <c r="K209" s="35">
        <v>101530.20035</v>
      </c>
      <c r="L209" s="35">
        <v>107248512.89663699</v>
      </c>
      <c r="M209" s="19">
        <f t="shared" si="3"/>
        <v>690704088.43125987</v>
      </c>
    </row>
    <row r="210" spans="1:13" x14ac:dyDescent="0.25">
      <c r="A210" s="33">
        <v>46146</v>
      </c>
      <c r="B210" s="35">
        <v>3631482.6608449998</v>
      </c>
      <c r="C210" s="35">
        <v>364719.00446299999</v>
      </c>
      <c r="D210" s="35">
        <v>23562031.930398501</v>
      </c>
      <c r="E210" s="35">
        <v>1656574856.83828</v>
      </c>
      <c r="F210" s="35">
        <v>104710619.81703401</v>
      </c>
      <c r="G210" s="35">
        <v>405241682.85223901</v>
      </c>
      <c r="H210" s="35">
        <v>713757063.54267895</v>
      </c>
      <c r="I210" s="35">
        <v>26604730.426452499</v>
      </c>
      <c r="J210" s="35">
        <v>5766116.0259007504</v>
      </c>
      <c r="K210" s="35">
        <v>209633.49280000001</v>
      </c>
      <c r="L210" s="35">
        <v>368392838.33498001</v>
      </c>
      <c r="M210" s="19">
        <f t="shared" si="3"/>
        <v>3308815774.9260721</v>
      </c>
    </row>
    <row r="211" spans="1:13" x14ac:dyDescent="0.25">
      <c r="A211" s="33">
        <v>46147</v>
      </c>
      <c r="B211" s="35">
        <v>1092755.984285</v>
      </c>
      <c r="C211" s="35">
        <v>200903.27418000001</v>
      </c>
      <c r="D211" s="35">
        <v>16925741.458471</v>
      </c>
      <c r="E211" s="35">
        <v>1055273217.98227</v>
      </c>
      <c r="F211" s="35">
        <v>103099996.299813</v>
      </c>
      <c r="G211" s="35">
        <v>472426642.11960697</v>
      </c>
      <c r="H211" s="35">
        <v>472309970.16544098</v>
      </c>
      <c r="I211" s="35">
        <v>10527819.96422</v>
      </c>
      <c r="J211" s="35">
        <v>6797183.0402595</v>
      </c>
      <c r="K211" s="35">
        <v>235206.68702499999</v>
      </c>
      <c r="L211" s="35">
        <v>218276792.19620901</v>
      </c>
      <c r="M211" s="19">
        <f t="shared" si="3"/>
        <v>2357166229.1717806</v>
      </c>
    </row>
    <row r="212" spans="1:13" x14ac:dyDescent="0.25">
      <c r="A212" s="33">
        <v>46148</v>
      </c>
      <c r="B212" s="35">
        <v>951862.89295000001</v>
      </c>
      <c r="C212" s="35">
        <v>596701.13665999996</v>
      </c>
      <c r="D212" s="35">
        <v>17613907.610293299</v>
      </c>
      <c r="E212" s="35">
        <v>2008747927.27402</v>
      </c>
      <c r="F212" s="35">
        <v>92703600.596303001</v>
      </c>
      <c r="G212" s="35">
        <v>518196174.05918401</v>
      </c>
      <c r="H212" s="35">
        <v>605787871.52665997</v>
      </c>
      <c r="I212" s="35">
        <v>11889356.983142501</v>
      </c>
      <c r="J212" s="35">
        <v>9131637.5078192502</v>
      </c>
      <c r="K212" s="35">
        <v>669930.37065000006</v>
      </c>
      <c r="L212" s="35">
        <v>322919130.14172602</v>
      </c>
      <c r="M212" s="19">
        <f t="shared" si="3"/>
        <v>3589208100.0994077</v>
      </c>
    </row>
    <row r="213" spans="1:13" x14ac:dyDescent="0.25">
      <c r="A213" s="33">
        <v>46149</v>
      </c>
      <c r="B213" s="35">
        <v>429952.59825500002</v>
      </c>
      <c r="C213" s="35">
        <v>81891.169049999997</v>
      </c>
      <c r="D213" s="35">
        <v>12999293.819921</v>
      </c>
      <c r="E213" s="35">
        <v>1923429724.80266</v>
      </c>
      <c r="F213" s="35">
        <v>119603863.14163899</v>
      </c>
      <c r="G213" s="35">
        <v>519731764.81338203</v>
      </c>
      <c r="H213" s="35">
        <v>680099588.03281999</v>
      </c>
      <c r="I213" s="35">
        <v>5966685.9235100001</v>
      </c>
      <c r="J213" s="35">
        <v>10669706.6680845</v>
      </c>
      <c r="K213" s="35">
        <v>2606002.2313000001</v>
      </c>
      <c r="L213" s="35">
        <v>388611655.40799397</v>
      </c>
      <c r="M213" s="19">
        <f t="shared" si="3"/>
        <v>3664230128.6086149</v>
      </c>
    </row>
    <row r="214" spans="1:13" x14ac:dyDescent="0.25">
      <c r="A214" s="33">
        <v>46150</v>
      </c>
      <c r="B214" s="35">
        <v>686120.26919999998</v>
      </c>
      <c r="C214" s="35">
        <v>161323.678537</v>
      </c>
      <c r="D214" s="35">
        <v>11344961.948848</v>
      </c>
      <c r="E214" s="35">
        <v>913902769.53496003</v>
      </c>
      <c r="F214" s="35">
        <v>80278153.052397996</v>
      </c>
      <c r="G214" s="35">
        <v>549401950.21134806</v>
      </c>
      <c r="H214" s="35">
        <v>541996174.88946497</v>
      </c>
      <c r="I214" s="35">
        <v>6208482.9737224998</v>
      </c>
      <c r="J214" s="35">
        <v>12473443.4932888</v>
      </c>
      <c r="K214" s="35">
        <v>791925.77060000005</v>
      </c>
      <c r="L214" s="35">
        <v>289216151.16756803</v>
      </c>
      <c r="M214" s="19">
        <f t="shared" si="3"/>
        <v>2406461456.9899354</v>
      </c>
    </row>
    <row r="215" spans="1:13" x14ac:dyDescent="0.25">
      <c r="A215" s="33">
        <v>46151</v>
      </c>
      <c r="B215" s="35">
        <v>27741.766</v>
      </c>
      <c r="C215" s="35">
        <v>1815.18012075</v>
      </c>
      <c r="D215" s="35">
        <v>7343750.842135</v>
      </c>
      <c r="E215" s="35">
        <v>116051849.972122</v>
      </c>
      <c r="F215" s="35">
        <v>8596641.7438465003</v>
      </c>
      <c r="G215" s="35">
        <v>65323321.733632497</v>
      </c>
      <c r="H215" s="35">
        <v>78603899.543640003</v>
      </c>
      <c r="I215" s="35">
        <v>488285.0896525</v>
      </c>
      <c r="J215" s="35">
        <v>2825199.9025745001</v>
      </c>
      <c r="K215" s="35">
        <v>7887899.0733399997</v>
      </c>
      <c r="L215" s="35">
        <v>24816646.009114299</v>
      </c>
      <c r="M215" s="19">
        <f t="shared" si="3"/>
        <v>311967050.85617805</v>
      </c>
    </row>
    <row r="216" spans="1:13" x14ac:dyDescent="0.25">
      <c r="A216" s="33">
        <v>46152</v>
      </c>
      <c r="B216" s="35">
        <v>14642.259445</v>
      </c>
      <c r="C216" s="35">
        <v>15839.172739</v>
      </c>
      <c r="D216" s="35">
        <v>10995509.363115</v>
      </c>
      <c r="E216" s="35">
        <v>344155297.19443601</v>
      </c>
      <c r="F216" s="35">
        <v>22276701.515756998</v>
      </c>
      <c r="G216" s="35">
        <v>111304743.15126801</v>
      </c>
      <c r="H216" s="35">
        <v>212681787.55019599</v>
      </c>
      <c r="I216" s="35">
        <v>4101289.9811800001</v>
      </c>
      <c r="J216" s="35">
        <v>13353124.7906303</v>
      </c>
      <c r="K216" s="35">
        <v>3846529.75905</v>
      </c>
      <c r="L216" s="35">
        <v>112351414.567762</v>
      </c>
      <c r="M216" s="19">
        <f t="shared" si="3"/>
        <v>835096879.30557835</v>
      </c>
    </row>
    <row r="217" spans="1:13" x14ac:dyDescent="0.25">
      <c r="A217" s="33">
        <v>46153</v>
      </c>
      <c r="B217" s="35">
        <v>249487.07126999999</v>
      </c>
      <c r="C217" s="35">
        <v>89526.173542499993</v>
      </c>
      <c r="D217" s="35">
        <v>18023356.355820298</v>
      </c>
      <c r="E217" s="35">
        <v>812114491.47425997</v>
      </c>
      <c r="F217" s="35">
        <v>173431196.53495601</v>
      </c>
      <c r="G217" s="35">
        <v>704359157.76537097</v>
      </c>
      <c r="H217" s="35">
        <v>424504062.84864998</v>
      </c>
      <c r="I217" s="35">
        <v>4661094.8879324999</v>
      </c>
      <c r="J217" s="35">
        <v>13831713.1727485</v>
      </c>
      <c r="K217" s="35">
        <v>1245998.0965499999</v>
      </c>
      <c r="L217" s="35">
        <v>395669936.01998597</v>
      </c>
      <c r="M217" s="19">
        <f t="shared" si="3"/>
        <v>2548180020.4010868</v>
      </c>
    </row>
    <row r="218" spans="1:13" x14ac:dyDescent="0.25">
      <c r="A218" s="33">
        <v>46154</v>
      </c>
      <c r="B218" s="35">
        <v>1754732.4723</v>
      </c>
      <c r="C218" s="35">
        <v>18279.68331575</v>
      </c>
      <c r="D218" s="35">
        <v>18069297.080409799</v>
      </c>
      <c r="E218" s="35">
        <v>578295185.20000696</v>
      </c>
      <c r="F218" s="35">
        <v>119230776.10603</v>
      </c>
      <c r="G218" s="35">
        <v>706341700.38016105</v>
      </c>
      <c r="H218" s="35">
        <v>593327780.03722596</v>
      </c>
      <c r="I218" s="35">
        <v>4082506.6775374999</v>
      </c>
      <c r="J218" s="35">
        <v>34448860.445113003</v>
      </c>
      <c r="K218" s="35">
        <v>1071785.196425</v>
      </c>
      <c r="L218" s="35">
        <v>426411620.07074898</v>
      </c>
      <c r="M218" s="19">
        <f t="shared" si="3"/>
        <v>2483052523.3492737</v>
      </c>
    </row>
    <row r="219" spans="1:13" x14ac:dyDescent="0.25">
      <c r="A219" s="33">
        <v>46155</v>
      </c>
      <c r="B219" s="35">
        <v>732064.28520000004</v>
      </c>
      <c r="C219" s="35">
        <v>815604.19711850001</v>
      </c>
      <c r="D219" s="35">
        <v>13032321.594317</v>
      </c>
      <c r="E219" s="35">
        <v>615530621.33424997</v>
      </c>
      <c r="F219" s="35">
        <v>90318783.287748307</v>
      </c>
      <c r="G219" s="35">
        <v>639046179.28394997</v>
      </c>
      <c r="H219" s="35">
        <v>599842086.457335</v>
      </c>
      <c r="I219" s="35">
        <v>11760260.952424999</v>
      </c>
      <c r="J219" s="35">
        <v>39435451.3069245</v>
      </c>
      <c r="K219" s="35">
        <v>527753.50462499994</v>
      </c>
      <c r="L219" s="35">
        <v>360626300.74764299</v>
      </c>
      <c r="M219" s="19">
        <f t="shared" si="3"/>
        <v>2371667426.9515362</v>
      </c>
    </row>
    <row r="220" spans="1:13" x14ac:dyDescent="0.25">
      <c r="A220" s="33">
        <v>46156</v>
      </c>
      <c r="B220" s="35">
        <v>445149.66474749998</v>
      </c>
      <c r="C220" s="35">
        <v>600877.04632249998</v>
      </c>
      <c r="D220" s="35">
        <v>12674035.7871463</v>
      </c>
      <c r="E220" s="35">
        <v>589877761.39576805</v>
      </c>
      <c r="F220" s="35">
        <v>146978056.66249299</v>
      </c>
      <c r="G220" s="35">
        <v>924105421.15599704</v>
      </c>
      <c r="H220" s="35">
        <v>722798428.19954896</v>
      </c>
      <c r="I220" s="35">
        <v>10550451.51272</v>
      </c>
      <c r="J220" s="35">
        <v>22352722.330926798</v>
      </c>
      <c r="K220" s="35">
        <v>371179.811675</v>
      </c>
      <c r="L220" s="35">
        <v>338232515.910236</v>
      </c>
      <c r="M220" s="19">
        <f t="shared" si="3"/>
        <v>2768986599.4775815</v>
      </c>
    </row>
    <row r="221" spans="1:13" x14ac:dyDescent="0.25">
      <c r="A221" s="33">
        <v>46157</v>
      </c>
      <c r="B221" s="35">
        <v>2043754.1693249999</v>
      </c>
      <c r="C221" s="35">
        <v>875550.08571875002</v>
      </c>
      <c r="D221" s="35">
        <v>22705012.623443302</v>
      </c>
      <c r="E221" s="35">
        <v>449400363.31296003</v>
      </c>
      <c r="F221" s="35">
        <v>81243363.497242004</v>
      </c>
      <c r="G221" s="35">
        <v>888209304.39876604</v>
      </c>
      <c r="H221" s="35">
        <v>1015694715.14612</v>
      </c>
      <c r="I221" s="35">
        <v>10423453.55675</v>
      </c>
      <c r="J221" s="35">
        <v>21360224.442645501</v>
      </c>
      <c r="K221" s="35">
        <v>538795.71125000005</v>
      </c>
      <c r="L221" s="35">
        <v>464104393.74156302</v>
      </c>
      <c r="M221" s="19">
        <f t="shared" si="3"/>
        <v>2956598930.6857834</v>
      </c>
    </row>
    <row r="222" spans="1:13" x14ac:dyDescent="0.25">
      <c r="A222" s="33">
        <v>46158</v>
      </c>
      <c r="B222" s="35">
        <v>47378.712112499998</v>
      </c>
      <c r="C222" s="35">
        <v>352101.78180599998</v>
      </c>
      <c r="D222" s="35">
        <v>8292563.8378905002</v>
      </c>
      <c r="E222" s="35">
        <v>82184768.078532994</v>
      </c>
      <c r="F222" s="35">
        <v>9122372.6896429993</v>
      </c>
      <c r="G222" s="35">
        <v>65355029.524484001</v>
      </c>
      <c r="H222" s="35">
        <v>71174977.046549305</v>
      </c>
      <c r="I222" s="35">
        <v>863493.11811000004</v>
      </c>
      <c r="J222" s="35">
        <v>1257539.7128639999</v>
      </c>
      <c r="K222" s="35">
        <v>519127.18589999998</v>
      </c>
      <c r="L222" s="35">
        <v>64034351.627101503</v>
      </c>
      <c r="M222" s="19">
        <f t="shared" si="3"/>
        <v>303203703.3149938</v>
      </c>
    </row>
    <row r="223" spans="1:13" x14ac:dyDescent="0.25">
      <c r="A223" s="33">
        <v>46159</v>
      </c>
      <c r="B223" s="35">
        <v>39375.094687500001</v>
      </c>
      <c r="C223" s="35">
        <v>3931.1861749999998</v>
      </c>
      <c r="D223" s="35">
        <v>14010370.374020999</v>
      </c>
      <c r="E223" s="35">
        <v>142800044.36163101</v>
      </c>
      <c r="F223" s="35">
        <v>12897629.4956958</v>
      </c>
      <c r="G223" s="35">
        <v>79563276.205167294</v>
      </c>
      <c r="H223" s="35">
        <v>155555664.85280499</v>
      </c>
      <c r="I223" s="35">
        <v>1107271.6496025</v>
      </c>
      <c r="J223" s="35">
        <v>3110974.53108525</v>
      </c>
      <c r="K223" s="35">
        <v>5702135.2605750002</v>
      </c>
      <c r="L223" s="35">
        <v>66000357.279302999</v>
      </c>
      <c r="M223" s="19">
        <f t="shared" si="3"/>
        <v>480791030.2907483</v>
      </c>
    </row>
    <row r="224" spans="1:13" x14ac:dyDescent="0.25">
      <c r="A224" s="33">
        <v>46160</v>
      </c>
      <c r="B224" s="35">
        <v>1055248.02621</v>
      </c>
      <c r="C224" s="35">
        <v>1513404.8658</v>
      </c>
      <c r="D224" s="35">
        <v>31619426.812848501</v>
      </c>
      <c r="E224" s="35">
        <v>990738969.96327806</v>
      </c>
      <c r="F224" s="35">
        <v>86011639.463425994</v>
      </c>
      <c r="G224" s="35">
        <v>825559741.99642897</v>
      </c>
      <c r="H224" s="35">
        <v>1149892986.74964</v>
      </c>
      <c r="I224" s="35">
        <v>3721493.6723549999</v>
      </c>
      <c r="J224" s="35">
        <v>10321763.956617801</v>
      </c>
      <c r="K224" s="35">
        <v>57701948.055825002</v>
      </c>
      <c r="L224" s="35">
        <v>326197896.11010402</v>
      </c>
      <c r="M224" s="19">
        <f t="shared" si="3"/>
        <v>3484334519.672534</v>
      </c>
    </row>
    <row r="225" spans="1:13" x14ac:dyDescent="0.25">
      <c r="A225" s="33">
        <v>46161</v>
      </c>
      <c r="B225" s="35">
        <v>478565.44571</v>
      </c>
      <c r="C225" s="35">
        <v>169140.08111</v>
      </c>
      <c r="D225" s="35">
        <v>24577237.7097358</v>
      </c>
      <c r="E225" s="35">
        <v>472982943.94541401</v>
      </c>
      <c r="F225" s="35">
        <v>82558842.797042996</v>
      </c>
      <c r="G225" s="35">
        <v>859066506.45026803</v>
      </c>
      <c r="H225" s="35">
        <v>822912035.95128798</v>
      </c>
      <c r="I225" s="35">
        <v>5579310.7659250004</v>
      </c>
      <c r="J225" s="35">
        <v>5436089.8191759996</v>
      </c>
      <c r="K225" s="35">
        <v>7598565.7029250003</v>
      </c>
      <c r="L225" s="35">
        <v>534330795.77358299</v>
      </c>
      <c r="M225" s="19">
        <f t="shared" si="3"/>
        <v>2815690034.4421778</v>
      </c>
    </row>
    <row r="226" spans="1:13" x14ac:dyDescent="0.25">
      <c r="A226" s="33">
        <v>46162</v>
      </c>
      <c r="B226" s="35">
        <v>87327.911399999997</v>
      </c>
      <c r="C226" s="35">
        <v>9993.4426789999998</v>
      </c>
      <c r="D226" s="35">
        <v>2115097.8228765</v>
      </c>
      <c r="E226" s="35">
        <v>39845360.311618499</v>
      </c>
      <c r="F226" s="35">
        <v>2922661.331398</v>
      </c>
      <c r="G226" s="35">
        <v>46698955.2756778</v>
      </c>
      <c r="H226" s="35">
        <v>99407570.661615804</v>
      </c>
      <c r="I226" s="35">
        <v>414539.840455</v>
      </c>
      <c r="J226" s="35">
        <v>608633.09989125002</v>
      </c>
      <c r="K226" s="35">
        <v>896499.64332499995</v>
      </c>
      <c r="L226" s="35">
        <v>52653088.638496503</v>
      </c>
      <c r="M226" s="19">
        <f t="shared" si="3"/>
        <v>245659727.97943336</v>
      </c>
    </row>
    <row r="229" spans="1:13" x14ac:dyDescent="0.25">
      <c r="A229" s="4" t="s">
        <v>329</v>
      </c>
    </row>
    <row r="230" spans="1:13" x14ac:dyDescent="0.25">
      <c r="A230" s="34" t="s">
        <v>68</v>
      </c>
      <c r="B230" s="34" t="s">
        <v>317</v>
      </c>
      <c r="C230" s="34" t="s">
        <v>318</v>
      </c>
      <c r="D230" s="34" t="s">
        <v>319</v>
      </c>
      <c r="E230" s="34" t="s">
        <v>320</v>
      </c>
      <c r="F230" s="34" t="s">
        <v>321</v>
      </c>
      <c r="G230" s="34" t="s">
        <v>322</v>
      </c>
      <c r="H230" s="34" t="s">
        <v>323</v>
      </c>
      <c r="I230" s="34" t="s">
        <v>324</v>
      </c>
      <c r="J230" s="34" t="s">
        <v>325</v>
      </c>
      <c r="K230" s="34" t="s">
        <v>326</v>
      </c>
      <c r="L230" s="34" t="s">
        <v>327</v>
      </c>
      <c r="M230" s="34" t="s">
        <v>330</v>
      </c>
    </row>
    <row r="231" spans="1:13" x14ac:dyDescent="0.25">
      <c r="A231" s="33">
        <v>45943</v>
      </c>
      <c r="B231" s="35">
        <v>0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6830.8594712406803</v>
      </c>
      <c r="I231" s="35">
        <v>0</v>
      </c>
      <c r="J231" s="35">
        <v>0</v>
      </c>
      <c r="K231" s="35">
        <v>0</v>
      </c>
      <c r="L231" s="35">
        <v>0</v>
      </c>
      <c r="M231" s="19">
        <f t="shared" ref="M231:M294" si="4">SUM(B231:L231)</f>
        <v>6830.8594712406803</v>
      </c>
    </row>
    <row r="232" spans="1:13" x14ac:dyDescent="0.25">
      <c r="A232" s="33">
        <v>45944</v>
      </c>
      <c r="B232" s="35">
        <v>0</v>
      </c>
      <c r="C232" s="35">
        <v>0</v>
      </c>
      <c r="D232" s="35">
        <v>0</v>
      </c>
      <c r="E232" s="35">
        <v>0</v>
      </c>
      <c r="F232" s="35">
        <v>0</v>
      </c>
      <c r="G232" s="35">
        <v>0</v>
      </c>
      <c r="H232" s="35">
        <v>6195.8967151562501</v>
      </c>
      <c r="I232" s="35">
        <v>0</v>
      </c>
      <c r="J232" s="35">
        <v>0</v>
      </c>
      <c r="K232" s="35">
        <v>0</v>
      </c>
      <c r="L232" s="35">
        <v>0</v>
      </c>
      <c r="M232" s="19">
        <f t="shared" si="4"/>
        <v>6195.8967151562501</v>
      </c>
    </row>
    <row r="233" spans="1:13" x14ac:dyDescent="0.25">
      <c r="A233" s="33">
        <v>45945</v>
      </c>
      <c r="B233" s="35">
        <v>0</v>
      </c>
      <c r="C233" s="35">
        <v>0</v>
      </c>
      <c r="D233" s="35">
        <v>0</v>
      </c>
      <c r="E233" s="35">
        <v>0</v>
      </c>
      <c r="F233" s="35">
        <v>0</v>
      </c>
      <c r="G233" s="35">
        <v>0</v>
      </c>
      <c r="H233" s="35">
        <v>5830.5465992092504</v>
      </c>
      <c r="I233" s="35">
        <v>0</v>
      </c>
      <c r="J233" s="35">
        <v>0</v>
      </c>
      <c r="K233" s="35">
        <v>0</v>
      </c>
      <c r="L233" s="35">
        <v>0</v>
      </c>
      <c r="M233" s="19">
        <f t="shared" si="4"/>
        <v>5830.5465992092504</v>
      </c>
    </row>
    <row r="234" spans="1:13" x14ac:dyDescent="0.25">
      <c r="A234" s="33">
        <v>45946</v>
      </c>
      <c r="B234" s="35">
        <v>0</v>
      </c>
      <c r="C234" s="35">
        <v>0</v>
      </c>
      <c r="D234" s="35">
        <v>0</v>
      </c>
      <c r="E234" s="35">
        <v>0</v>
      </c>
      <c r="F234" s="35">
        <v>0</v>
      </c>
      <c r="G234" s="35">
        <v>0</v>
      </c>
      <c r="H234" s="35">
        <v>5416.54745140058</v>
      </c>
      <c r="I234" s="35">
        <v>0</v>
      </c>
      <c r="J234" s="35">
        <v>0</v>
      </c>
      <c r="K234" s="35">
        <v>0</v>
      </c>
      <c r="L234" s="35">
        <v>0</v>
      </c>
      <c r="M234" s="19">
        <f t="shared" si="4"/>
        <v>5416.54745140058</v>
      </c>
    </row>
    <row r="235" spans="1:13" x14ac:dyDescent="0.25">
      <c r="A235" s="33">
        <v>45947</v>
      </c>
      <c r="B235" s="35">
        <v>0</v>
      </c>
      <c r="C235" s="35">
        <v>0</v>
      </c>
      <c r="D235" s="35">
        <v>0</v>
      </c>
      <c r="E235" s="35">
        <v>0</v>
      </c>
      <c r="F235" s="35">
        <v>0</v>
      </c>
      <c r="G235" s="35">
        <v>0</v>
      </c>
      <c r="H235" s="35">
        <v>4273.5251222549996</v>
      </c>
      <c r="I235" s="35">
        <v>0</v>
      </c>
      <c r="J235" s="35">
        <v>0</v>
      </c>
      <c r="K235" s="35">
        <v>0</v>
      </c>
      <c r="L235" s="35">
        <v>0</v>
      </c>
      <c r="M235" s="19">
        <f t="shared" si="4"/>
        <v>4273.5251222549996</v>
      </c>
    </row>
    <row r="236" spans="1:13" x14ac:dyDescent="0.25">
      <c r="A236" s="33">
        <v>45948</v>
      </c>
      <c r="B236" s="35">
        <v>0</v>
      </c>
      <c r="C236" s="35">
        <v>0</v>
      </c>
      <c r="D236" s="35">
        <v>0</v>
      </c>
      <c r="E236" s="35">
        <v>0</v>
      </c>
      <c r="F236" s="35">
        <v>0</v>
      </c>
      <c r="G236" s="35">
        <v>0</v>
      </c>
      <c r="H236" s="35">
        <v>1766.9497880693</v>
      </c>
      <c r="I236" s="35">
        <v>0</v>
      </c>
      <c r="J236" s="35">
        <v>0</v>
      </c>
      <c r="K236" s="35">
        <v>0</v>
      </c>
      <c r="L236" s="35">
        <v>0</v>
      </c>
      <c r="M236" s="19">
        <f t="shared" si="4"/>
        <v>1766.9497880693</v>
      </c>
    </row>
    <row r="237" spans="1:13" x14ac:dyDescent="0.25">
      <c r="A237" s="33">
        <v>45949</v>
      </c>
      <c r="B237" s="35">
        <v>0</v>
      </c>
      <c r="C237" s="35">
        <v>0</v>
      </c>
      <c r="D237" s="35">
        <v>0</v>
      </c>
      <c r="E237" s="35">
        <v>0</v>
      </c>
      <c r="F237" s="35">
        <v>0</v>
      </c>
      <c r="G237" s="35">
        <v>0</v>
      </c>
      <c r="H237" s="35">
        <v>2218.3454077575002</v>
      </c>
      <c r="I237" s="35">
        <v>0</v>
      </c>
      <c r="J237" s="35">
        <v>0</v>
      </c>
      <c r="K237" s="35">
        <v>0</v>
      </c>
      <c r="L237" s="35">
        <v>0</v>
      </c>
      <c r="M237" s="19">
        <f t="shared" si="4"/>
        <v>2218.3454077575002</v>
      </c>
    </row>
    <row r="238" spans="1:13" x14ac:dyDescent="0.25">
      <c r="A238" s="33">
        <v>45950</v>
      </c>
      <c r="B238" s="35">
        <v>0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2999.0961861457499</v>
      </c>
      <c r="I238" s="35">
        <v>0</v>
      </c>
      <c r="J238" s="35">
        <v>0</v>
      </c>
      <c r="K238" s="35">
        <v>0</v>
      </c>
      <c r="L238" s="35">
        <v>0</v>
      </c>
      <c r="M238" s="19">
        <f t="shared" si="4"/>
        <v>2999.0961861457499</v>
      </c>
    </row>
    <row r="239" spans="1:13" x14ac:dyDescent="0.25">
      <c r="A239" s="33">
        <v>45951</v>
      </c>
      <c r="B239" s="35">
        <v>0</v>
      </c>
      <c r="C239" s="35">
        <v>0</v>
      </c>
      <c r="D239" s="35">
        <v>0</v>
      </c>
      <c r="E239" s="35">
        <v>0</v>
      </c>
      <c r="F239" s="35">
        <v>0</v>
      </c>
      <c r="G239" s="35">
        <v>0</v>
      </c>
      <c r="H239" s="35">
        <v>6595.1376121049498</v>
      </c>
      <c r="I239" s="35">
        <v>0</v>
      </c>
      <c r="J239" s="35">
        <v>0</v>
      </c>
      <c r="K239" s="35">
        <v>0</v>
      </c>
      <c r="L239" s="35">
        <v>0</v>
      </c>
      <c r="M239" s="19">
        <f t="shared" si="4"/>
        <v>6595.1376121049498</v>
      </c>
    </row>
    <row r="240" spans="1:13" x14ac:dyDescent="0.25">
      <c r="A240" s="33">
        <v>45952</v>
      </c>
      <c r="B240" s="35">
        <v>0</v>
      </c>
      <c r="C240" s="35">
        <v>0</v>
      </c>
      <c r="D240" s="35">
        <v>0</v>
      </c>
      <c r="E240" s="35">
        <v>0</v>
      </c>
      <c r="F240" s="35">
        <v>0</v>
      </c>
      <c r="G240" s="35">
        <v>0</v>
      </c>
      <c r="H240" s="35">
        <v>10386.891422659501</v>
      </c>
      <c r="I240" s="35">
        <v>0</v>
      </c>
      <c r="J240" s="35">
        <v>0</v>
      </c>
      <c r="K240" s="35">
        <v>0</v>
      </c>
      <c r="L240" s="35">
        <v>0</v>
      </c>
      <c r="M240" s="19">
        <f t="shared" si="4"/>
        <v>10386.891422659501</v>
      </c>
    </row>
    <row r="241" spans="1:13" x14ac:dyDescent="0.25">
      <c r="A241" s="33">
        <v>45953</v>
      </c>
      <c r="B241" s="35">
        <v>0</v>
      </c>
      <c r="C241" s="35">
        <v>0</v>
      </c>
      <c r="D241" s="35">
        <v>0</v>
      </c>
      <c r="E241" s="35">
        <v>0</v>
      </c>
      <c r="F241" s="35">
        <v>0</v>
      </c>
      <c r="G241" s="35">
        <v>0</v>
      </c>
      <c r="H241" s="35">
        <v>8541.4881359079991</v>
      </c>
      <c r="I241" s="35">
        <v>0</v>
      </c>
      <c r="J241" s="35">
        <v>0</v>
      </c>
      <c r="K241" s="35">
        <v>0</v>
      </c>
      <c r="L241" s="35">
        <v>0</v>
      </c>
      <c r="M241" s="19">
        <f t="shared" si="4"/>
        <v>8541.4881359079991</v>
      </c>
    </row>
    <row r="242" spans="1:13" x14ac:dyDescent="0.25">
      <c r="A242" s="33">
        <v>45954</v>
      </c>
      <c r="B242" s="35">
        <v>0</v>
      </c>
      <c r="C242" s="35">
        <v>0</v>
      </c>
      <c r="D242" s="35">
        <v>0</v>
      </c>
      <c r="E242" s="35">
        <v>0</v>
      </c>
      <c r="F242" s="35">
        <v>0</v>
      </c>
      <c r="G242" s="35">
        <v>0</v>
      </c>
      <c r="H242" s="35">
        <v>7723.5566340933001</v>
      </c>
      <c r="I242" s="35">
        <v>0</v>
      </c>
      <c r="J242" s="35">
        <v>0</v>
      </c>
      <c r="K242" s="35">
        <v>0</v>
      </c>
      <c r="L242" s="35">
        <v>0</v>
      </c>
      <c r="M242" s="19">
        <f t="shared" si="4"/>
        <v>7723.5566340933001</v>
      </c>
    </row>
    <row r="243" spans="1:13" x14ac:dyDescent="0.25">
      <c r="A243" s="33">
        <v>45955</v>
      </c>
      <c r="B243" s="35">
        <v>0</v>
      </c>
      <c r="C243" s="35">
        <v>0</v>
      </c>
      <c r="D243" s="35">
        <v>0</v>
      </c>
      <c r="E243" s="35">
        <v>0</v>
      </c>
      <c r="F243" s="35">
        <v>0</v>
      </c>
      <c r="G243" s="35">
        <v>0</v>
      </c>
      <c r="H243" s="35">
        <v>13885.433777919399</v>
      </c>
      <c r="I243" s="35">
        <v>0</v>
      </c>
      <c r="J243" s="35">
        <v>0</v>
      </c>
      <c r="K243" s="35">
        <v>0</v>
      </c>
      <c r="L243" s="35">
        <v>0</v>
      </c>
      <c r="M243" s="19">
        <f t="shared" si="4"/>
        <v>13885.433777919399</v>
      </c>
    </row>
    <row r="244" spans="1:13" x14ac:dyDescent="0.25">
      <c r="A244" s="33">
        <v>45956</v>
      </c>
      <c r="B244" s="35">
        <v>0</v>
      </c>
      <c r="C244" s="35">
        <v>0</v>
      </c>
      <c r="D244" s="35">
        <v>0</v>
      </c>
      <c r="E244" s="35">
        <v>0</v>
      </c>
      <c r="F244" s="35">
        <v>0</v>
      </c>
      <c r="G244" s="35">
        <v>0</v>
      </c>
      <c r="H244" s="35">
        <v>13328.0151397928</v>
      </c>
      <c r="I244" s="35">
        <v>0</v>
      </c>
      <c r="J244" s="35">
        <v>0</v>
      </c>
      <c r="K244" s="35">
        <v>0</v>
      </c>
      <c r="L244" s="35">
        <v>0</v>
      </c>
      <c r="M244" s="19">
        <f t="shared" si="4"/>
        <v>13328.0151397928</v>
      </c>
    </row>
    <row r="245" spans="1:13" x14ac:dyDescent="0.25">
      <c r="A245" s="33">
        <v>45957</v>
      </c>
      <c r="B245" s="35">
        <v>0</v>
      </c>
      <c r="C245" s="35">
        <v>0</v>
      </c>
      <c r="D245" s="35">
        <v>0</v>
      </c>
      <c r="E245" s="35">
        <v>0</v>
      </c>
      <c r="F245" s="35">
        <v>0</v>
      </c>
      <c r="G245" s="35">
        <v>0</v>
      </c>
      <c r="H245" s="35">
        <v>18517.475724709198</v>
      </c>
      <c r="I245" s="35">
        <v>0</v>
      </c>
      <c r="J245" s="35">
        <v>0</v>
      </c>
      <c r="K245" s="35">
        <v>0</v>
      </c>
      <c r="L245" s="35">
        <v>0</v>
      </c>
      <c r="M245" s="19">
        <f t="shared" si="4"/>
        <v>18517.475724709198</v>
      </c>
    </row>
    <row r="246" spans="1:13" x14ac:dyDescent="0.25">
      <c r="A246" s="33">
        <v>45958</v>
      </c>
      <c r="B246" s="35">
        <v>0</v>
      </c>
      <c r="C246" s="35">
        <v>0</v>
      </c>
      <c r="D246" s="35">
        <v>0</v>
      </c>
      <c r="E246" s="35">
        <v>0</v>
      </c>
      <c r="F246" s="35">
        <v>0</v>
      </c>
      <c r="G246" s="35">
        <v>0</v>
      </c>
      <c r="H246" s="35">
        <v>22784.152922280002</v>
      </c>
      <c r="I246" s="35">
        <v>0</v>
      </c>
      <c r="J246" s="35">
        <v>0</v>
      </c>
      <c r="K246" s="35">
        <v>0</v>
      </c>
      <c r="L246" s="35">
        <v>0</v>
      </c>
      <c r="M246" s="19">
        <f t="shared" si="4"/>
        <v>22784.152922280002</v>
      </c>
    </row>
    <row r="247" spans="1:13" x14ac:dyDescent="0.25">
      <c r="A247" s="33">
        <v>45959</v>
      </c>
      <c r="B247" s="35">
        <v>0</v>
      </c>
      <c r="C247" s="35">
        <v>0</v>
      </c>
      <c r="D247" s="35">
        <v>0</v>
      </c>
      <c r="E247" s="35">
        <v>0</v>
      </c>
      <c r="F247" s="35">
        <v>0</v>
      </c>
      <c r="G247" s="35">
        <v>0</v>
      </c>
      <c r="H247" s="35">
        <v>26648.4311004058</v>
      </c>
      <c r="I247" s="35">
        <v>0</v>
      </c>
      <c r="J247" s="35">
        <v>0</v>
      </c>
      <c r="K247" s="35">
        <v>0</v>
      </c>
      <c r="L247" s="35">
        <v>0</v>
      </c>
      <c r="M247" s="19">
        <f t="shared" si="4"/>
        <v>26648.4311004058</v>
      </c>
    </row>
    <row r="248" spans="1:13" x14ac:dyDescent="0.25">
      <c r="A248" s="33">
        <v>45960</v>
      </c>
      <c r="B248" s="35">
        <v>0</v>
      </c>
      <c r="C248" s="35">
        <v>0</v>
      </c>
      <c r="D248" s="35">
        <v>0</v>
      </c>
      <c r="E248" s="35">
        <v>0</v>
      </c>
      <c r="F248" s="35">
        <v>0</v>
      </c>
      <c r="G248" s="35">
        <v>0</v>
      </c>
      <c r="H248" s="35">
        <v>32880.666712423001</v>
      </c>
      <c r="I248" s="35">
        <v>0</v>
      </c>
      <c r="J248" s="35">
        <v>0</v>
      </c>
      <c r="K248" s="35">
        <v>0</v>
      </c>
      <c r="L248" s="35">
        <v>0</v>
      </c>
      <c r="M248" s="19">
        <f t="shared" si="4"/>
        <v>32880.666712423001</v>
      </c>
    </row>
    <row r="249" spans="1:13" x14ac:dyDescent="0.25">
      <c r="A249" s="33">
        <v>45961</v>
      </c>
      <c r="B249" s="35">
        <v>0</v>
      </c>
      <c r="C249" s="35">
        <v>0</v>
      </c>
      <c r="D249" s="35">
        <v>0</v>
      </c>
      <c r="E249" s="35">
        <v>0</v>
      </c>
      <c r="F249" s="35">
        <v>0</v>
      </c>
      <c r="G249" s="35">
        <v>0</v>
      </c>
      <c r="H249" s="35">
        <v>17023.348071747201</v>
      </c>
      <c r="I249" s="35">
        <v>0</v>
      </c>
      <c r="J249" s="35">
        <v>0</v>
      </c>
      <c r="K249" s="35">
        <v>0</v>
      </c>
      <c r="L249" s="35">
        <v>0</v>
      </c>
      <c r="M249" s="19">
        <f t="shared" si="4"/>
        <v>17023.348071747201</v>
      </c>
    </row>
    <row r="250" spans="1:13" x14ac:dyDescent="0.25">
      <c r="A250" s="33">
        <v>45962</v>
      </c>
      <c r="B250" s="35">
        <v>0</v>
      </c>
      <c r="C250" s="35">
        <v>0</v>
      </c>
      <c r="D250" s="35">
        <v>0</v>
      </c>
      <c r="E250" s="35">
        <v>0</v>
      </c>
      <c r="F250" s="35">
        <v>0</v>
      </c>
      <c r="G250" s="35">
        <v>0</v>
      </c>
      <c r="H250" s="35">
        <v>12717.6794889381</v>
      </c>
      <c r="I250" s="35">
        <v>0</v>
      </c>
      <c r="J250" s="35">
        <v>0</v>
      </c>
      <c r="K250" s="35">
        <v>0</v>
      </c>
      <c r="L250" s="35">
        <v>0</v>
      </c>
      <c r="M250" s="19">
        <f t="shared" si="4"/>
        <v>12717.6794889381</v>
      </c>
    </row>
    <row r="251" spans="1:13" x14ac:dyDescent="0.25">
      <c r="A251" s="33">
        <v>45963</v>
      </c>
      <c r="B251" s="35">
        <v>0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9318.4520948479003</v>
      </c>
      <c r="I251" s="35">
        <v>0</v>
      </c>
      <c r="J251" s="35">
        <v>0</v>
      </c>
      <c r="K251" s="35">
        <v>0</v>
      </c>
      <c r="L251" s="35">
        <v>0</v>
      </c>
      <c r="M251" s="19">
        <f t="shared" si="4"/>
        <v>9318.4520948479003</v>
      </c>
    </row>
    <row r="252" spans="1:13" x14ac:dyDescent="0.25">
      <c r="A252" s="33">
        <v>45964</v>
      </c>
      <c r="B252" s="35">
        <v>0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21722.043826573401</v>
      </c>
      <c r="I252" s="35">
        <v>0</v>
      </c>
      <c r="J252" s="35">
        <v>0</v>
      </c>
      <c r="K252" s="35">
        <v>0</v>
      </c>
      <c r="L252" s="35">
        <v>0</v>
      </c>
      <c r="M252" s="19">
        <f t="shared" si="4"/>
        <v>21722.043826573401</v>
      </c>
    </row>
    <row r="253" spans="1:13" x14ac:dyDescent="0.25">
      <c r="A253" s="33">
        <v>45965</v>
      </c>
      <c r="B253" s="35">
        <v>0</v>
      </c>
      <c r="C253" s="35">
        <v>0</v>
      </c>
      <c r="D253" s="35">
        <v>0</v>
      </c>
      <c r="E253" s="35">
        <v>0</v>
      </c>
      <c r="F253" s="35">
        <v>0</v>
      </c>
      <c r="G253" s="35">
        <v>0</v>
      </c>
      <c r="H253" s="35">
        <v>21821.916348414201</v>
      </c>
      <c r="I253" s="35">
        <v>0</v>
      </c>
      <c r="J253" s="35">
        <v>0</v>
      </c>
      <c r="K253" s="35">
        <v>0</v>
      </c>
      <c r="L253" s="35">
        <v>0</v>
      </c>
      <c r="M253" s="19">
        <f t="shared" si="4"/>
        <v>21821.916348414201</v>
      </c>
    </row>
    <row r="254" spans="1:13" x14ac:dyDescent="0.25">
      <c r="A254" s="33">
        <v>45966</v>
      </c>
      <c r="B254" s="35">
        <v>0</v>
      </c>
      <c r="C254" s="35">
        <v>0</v>
      </c>
      <c r="D254" s="35">
        <v>0</v>
      </c>
      <c r="E254" s="35">
        <v>0</v>
      </c>
      <c r="F254" s="35">
        <v>0</v>
      </c>
      <c r="G254" s="35">
        <v>0</v>
      </c>
      <c r="H254" s="35">
        <v>21003.5264429731</v>
      </c>
      <c r="I254" s="35">
        <v>0</v>
      </c>
      <c r="J254" s="35">
        <v>0</v>
      </c>
      <c r="K254" s="35">
        <v>0</v>
      </c>
      <c r="L254" s="35">
        <v>0</v>
      </c>
      <c r="M254" s="19">
        <f t="shared" si="4"/>
        <v>21003.5264429731</v>
      </c>
    </row>
    <row r="255" spans="1:13" x14ac:dyDescent="0.25">
      <c r="A255" s="33">
        <v>45967</v>
      </c>
      <c r="B255" s="35">
        <v>0</v>
      </c>
      <c r="C255" s="35">
        <v>0</v>
      </c>
      <c r="D255" s="35">
        <v>0</v>
      </c>
      <c r="E255" s="35">
        <v>0</v>
      </c>
      <c r="F255" s="35">
        <v>0</v>
      </c>
      <c r="G255" s="35">
        <v>0</v>
      </c>
      <c r="H255" s="35">
        <v>20520.6375425029</v>
      </c>
      <c r="I255" s="35">
        <v>0</v>
      </c>
      <c r="J255" s="35">
        <v>0</v>
      </c>
      <c r="K255" s="35">
        <v>0</v>
      </c>
      <c r="L255" s="35">
        <v>0</v>
      </c>
      <c r="M255" s="19">
        <f t="shared" si="4"/>
        <v>20520.6375425029</v>
      </c>
    </row>
    <row r="256" spans="1:13" x14ac:dyDescent="0.25">
      <c r="A256" s="33">
        <v>45968</v>
      </c>
      <c r="B256" s="35">
        <v>0</v>
      </c>
      <c r="C256" s="35">
        <v>0</v>
      </c>
      <c r="D256" s="35">
        <v>0</v>
      </c>
      <c r="E256" s="35">
        <v>0</v>
      </c>
      <c r="F256" s="35">
        <v>0</v>
      </c>
      <c r="G256" s="35">
        <v>0</v>
      </c>
      <c r="H256" s="35">
        <v>24517.602562270698</v>
      </c>
      <c r="I256" s="35">
        <v>0</v>
      </c>
      <c r="J256" s="35">
        <v>0</v>
      </c>
      <c r="K256" s="35">
        <v>0</v>
      </c>
      <c r="L256" s="35">
        <v>0</v>
      </c>
      <c r="M256" s="19">
        <f t="shared" si="4"/>
        <v>24517.602562270698</v>
      </c>
    </row>
    <row r="257" spans="1:13" x14ac:dyDescent="0.25">
      <c r="A257" s="33">
        <v>45969</v>
      </c>
      <c r="B257" s="35">
        <v>0</v>
      </c>
      <c r="C257" s="35">
        <v>0</v>
      </c>
      <c r="D257" s="35">
        <v>0</v>
      </c>
      <c r="E257" s="35">
        <v>0</v>
      </c>
      <c r="F257" s="35">
        <v>0</v>
      </c>
      <c r="G257" s="35">
        <v>0</v>
      </c>
      <c r="H257" s="35">
        <v>4911.9947493555501</v>
      </c>
      <c r="I257" s="35">
        <v>0</v>
      </c>
      <c r="J257" s="35">
        <v>0</v>
      </c>
      <c r="K257" s="35">
        <v>0</v>
      </c>
      <c r="L257" s="35">
        <v>0</v>
      </c>
      <c r="M257" s="19">
        <f t="shared" si="4"/>
        <v>4911.9947493555501</v>
      </c>
    </row>
    <row r="258" spans="1:13" x14ac:dyDescent="0.25">
      <c r="A258" s="33">
        <v>45970</v>
      </c>
      <c r="B258" s="35">
        <v>0</v>
      </c>
      <c r="C258" s="35">
        <v>0</v>
      </c>
      <c r="D258" s="35">
        <v>0</v>
      </c>
      <c r="E258" s="35">
        <v>0</v>
      </c>
      <c r="F258" s="35">
        <v>0</v>
      </c>
      <c r="G258" s="35">
        <v>0</v>
      </c>
      <c r="H258" s="35">
        <v>10175.3028892357</v>
      </c>
      <c r="I258" s="35">
        <v>0</v>
      </c>
      <c r="J258" s="35">
        <v>0</v>
      </c>
      <c r="K258" s="35">
        <v>0</v>
      </c>
      <c r="L258" s="35">
        <v>0</v>
      </c>
      <c r="M258" s="19">
        <f t="shared" si="4"/>
        <v>10175.3028892357</v>
      </c>
    </row>
    <row r="259" spans="1:13" x14ac:dyDescent="0.25">
      <c r="A259" s="33">
        <v>45971</v>
      </c>
      <c r="B259" s="35">
        <v>0</v>
      </c>
      <c r="C259" s="35">
        <v>0</v>
      </c>
      <c r="D259" s="35">
        <v>0</v>
      </c>
      <c r="E259" s="35">
        <v>0</v>
      </c>
      <c r="F259" s="35">
        <v>0</v>
      </c>
      <c r="G259" s="35">
        <v>0</v>
      </c>
      <c r="H259" s="35">
        <v>13657.9550729605</v>
      </c>
      <c r="I259" s="35">
        <v>0</v>
      </c>
      <c r="J259" s="35">
        <v>0</v>
      </c>
      <c r="K259" s="35">
        <v>0</v>
      </c>
      <c r="L259" s="35">
        <v>0</v>
      </c>
      <c r="M259" s="19">
        <f t="shared" si="4"/>
        <v>13657.9550729605</v>
      </c>
    </row>
    <row r="260" spans="1:13" x14ac:dyDescent="0.25">
      <c r="A260" s="33">
        <v>45972</v>
      </c>
      <c r="B260" s="35">
        <v>0</v>
      </c>
      <c r="C260" s="35">
        <v>0</v>
      </c>
      <c r="D260" s="35">
        <v>0</v>
      </c>
      <c r="E260" s="35">
        <v>0</v>
      </c>
      <c r="F260" s="35">
        <v>0</v>
      </c>
      <c r="G260" s="35">
        <v>0</v>
      </c>
      <c r="H260" s="35">
        <v>14702.753185719899</v>
      </c>
      <c r="I260" s="35">
        <v>0</v>
      </c>
      <c r="J260" s="35">
        <v>0</v>
      </c>
      <c r="K260" s="35">
        <v>0</v>
      </c>
      <c r="L260" s="35">
        <v>0</v>
      </c>
      <c r="M260" s="19">
        <f t="shared" si="4"/>
        <v>14702.753185719899</v>
      </c>
    </row>
    <row r="261" spans="1:13" x14ac:dyDescent="0.25">
      <c r="A261" s="33">
        <v>45973</v>
      </c>
      <c r="B261" s="35">
        <v>0</v>
      </c>
      <c r="C261" s="35">
        <v>0</v>
      </c>
      <c r="D261" s="35">
        <v>0</v>
      </c>
      <c r="E261" s="35">
        <v>0</v>
      </c>
      <c r="F261" s="35">
        <v>0</v>
      </c>
      <c r="G261" s="35">
        <v>1971.8548794441299</v>
      </c>
      <c r="H261" s="35">
        <v>13696.097325606201</v>
      </c>
      <c r="I261" s="35">
        <v>0</v>
      </c>
      <c r="J261" s="35">
        <v>0</v>
      </c>
      <c r="K261" s="35">
        <v>0</v>
      </c>
      <c r="L261" s="35">
        <v>0</v>
      </c>
      <c r="M261" s="19">
        <f t="shared" si="4"/>
        <v>15667.952205050331</v>
      </c>
    </row>
    <row r="262" spans="1:13" x14ac:dyDescent="0.25">
      <c r="A262" s="33">
        <v>45974</v>
      </c>
      <c r="B262" s="35">
        <v>0</v>
      </c>
      <c r="C262" s="35">
        <v>0</v>
      </c>
      <c r="D262" s="35">
        <v>0</v>
      </c>
      <c r="E262" s="35">
        <v>0</v>
      </c>
      <c r="F262" s="35">
        <v>0</v>
      </c>
      <c r="G262" s="35">
        <v>8396.64975903507</v>
      </c>
      <c r="H262" s="35">
        <v>13581.1728556823</v>
      </c>
      <c r="I262" s="35">
        <v>0</v>
      </c>
      <c r="J262" s="35">
        <v>0</v>
      </c>
      <c r="K262" s="35">
        <v>68.465965294462507</v>
      </c>
      <c r="L262" s="35">
        <v>0</v>
      </c>
      <c r="M262" s="19">
        <f t="shared" si="4"/>
        <v>22046.288580011831</v>
      </c>
    </row>
    <row r="263" spans="1:13" x14ac:dyDescent="0.25">
      <c r="A263" s="33">
        <v>45975</v>
      </c>
      <c r="B263" s="35">
        <v>0</v>
      </c>
      <c r="C263" s="35">
        <v>0</v>
      </c>
      <c r="D263" s="35">
        <v>0</v>
      </c>
      <c r="E263" s="35">
        <v>0</v>
      </c>
      <c r="F263" s="35">
        <v>0</v>
      </c>
      <c r="G263" s="35">
        <v>10223.1628747492</v>
      </c>
      <c r="H263" s="35">
        <v>13179.551593321999</v>
      </c>
      <c r="I263" s="35">
        <v>0</v>
      </c>
      <c r="J263" s="35">
        <v>0</v>
      </c>
      <c r="K263" s="35">
        <v>75.013410606034995</v>
      </c>
      <c r="L263" s="35">
        <v>0</v>
      </c>
      <c r="M263" s="19">
        <f t="shared" si="4"/>
        <v>23477.727878677237</v>
      </c>
    </row>
    <row r="264" spans="1:13" x14ac:dyDescent="0.25">
      <c r="A264" s="33">
        <v>45976</v>
      </c>
      <c r="B264" s="35">
        <v>0</v>
      </c>
      <c r="C264" s="35">
        <v>0</v>
      </c>
      <c r="D264" s="35">
        <v>0</v>
      </c>
      <c r="E264" s="35">
        <v>0</v>
      </c>
      <c r="F264" s="35">
        <v>0</v>
      </c>
      <c r="G264" s="35">
        <v>3076.3587630110501</v>
      </c>
      <c r="H264" s="35">
        <v>5033.9817273340004</v>
      </c>
      <c r="I264" s="35">
        <v>0</v>
      </c>
      <c r="J264" s="35">
        <v>0</v>
      </c>
      <c r="K264" s="35">
        <v>75.337656150960001</v>
      </c>
      <c r="L264" s="35">
        <v>0</v>
      </c>
      <c r="M264" s="19">
        <f t="shared" si="4"/>
        <v>8185.6781464960104</v>
      </c>
    </row>
    <row r="265" spans="1:13" x14ac:dyDescent="0.25">
      <c r="A265" s="33">
        <v>45977</v>
      </c>
      <c r="B265" s="35">
        <v>0</v>
      </c>
      <c r="C265" s="35">
        <v>0</v>
      </c>
      <c r="D265" s="35">
        <v>0</v>
      </c>
      <c r="E265" s="35">
        <v>0</v>
      </c>
      <c r="F265" s="35">
        <v>0</v>
      </c>
      <c r="G265" s="35">
        <v>3009.0864183106301</v>
      </c>
      <c r="H265" s="35">
        <v>7885.0191956152503</v>
      </c>
      <c r="I265" s="35">
        <v>0</v>
      </c>
      <c r="J265" s="35">
        <v>0</v>
      </c>
      <c r="K265" s="35">
        <v>154.109581833703</v>
      </c>
      <c r="L265" s="35">
        <v>0</v>
      </c>
      <c r="M265" s="19">
        <f t="shared" si="4"/>
        <v>11048.215195759583</v>
      </c>
    </row>
    <row r="266" spans="1:13" x14ac:dyDescent="0.25">
      <c r="A266" s="33">
        <v>45978</v>
      </c>
      <c r="B266" s="35">
        <v>0</v>
      </c>
      <c r="C266" s="35">
        <v>0</v>
      </c>
      <c r="D266" s="35">
        <v>0</v>
      </c>
      <c r="E266" s="35">
        <v>0</v>
      </c>
      <c r="F266" s="35">
        <v>0</v>
      </c>
      <c r="G266" s="35">
        <v>15991.1645034139</v>
      </c>
      <c r="H266" s="35">
        <v>19341.697175383</v>
      </c>
      <c r="I266" s="35">
        <v>0</v>
      </c>
      <c r="J266" s="35">
        <v>0</v>
      </c>
      <c r="K266" s="35">
        <v>44.238059380075001</v>
      </c>
      <c r="L266" s="35">
        <v>0</v>
      </c>
      <c r="M266" s="19">
        <f t="shared" si="4"/>
        <v>35377.099738176978</v>
      </c>
    </row>
    <row r="267" spans="1:13" x14ac:dyDescent="0.25">
      <c r="A267" s="33">
        <v>45979</v>
      </c>
      <c r="B267" s="35">
        <v>0</v>
      </c>
      <c r="C267" s="35">
        <v>0</v>
      </c>
      <c r="D267" s="35">
        <v>0</v>
      </c>
      <c r="E267" s="35">
        <v>0</v>
      </c>
      <c r="F267" s="35">
        <v>0</v>
      </c>
      <c r="G267" s="35">
        <v>17840.815292689102</v>
      </c>
      <c r="H267" s="35">
        <v>22660.2599546614</v>
      </c>
      <c r="I267" s="35">
        <v>0</v>
      </c>
      <c r="J267" s="35">
        <v>0</v>
      </c>
      <c r="K267" s="35">
        <v>119.04546671586</v>
      </c>
      <c r="L267" s="35">
        <v>0</v>
      </c>
      <c r="M267" s="19">
        <f t="shared" si="4"/>
        <v>40620.120714066361</v>
      </c>
    </row>
    <row r="268" spans="1:13" x14ac:dyDescent="0.25">
      <c r="A268" s="33">
        <v>45980</v>
      </c>
      <c r="B268" s="35">
        <v>0</v>
      </c>
      <c r="C268" s="35">
        <v>0</v>
      </c>
      <c r="D268" s="35">
        <v>0</v>
      </c>
      <c r="E268" s="35">
        <v>0</v>
      </c>
      <c r="F268" s="35">
        <v>0</v>
      </c>
      <c r="G268" s="35">
        <v>41840.720516286303</v>
      </c>
      <c r="H268" s="35">
        <v>23502.919972421099</v>
      </c>
      <c r="I268" s="35">
        <v>0</v>
      </c>
      <c r="J268" s="35">
        <v>0</v>
      </c>
      <c r="K268" s="35">
        <v>211.90802117770301</v>
      </c>
      <c r="L268" s="35">
        <v>0</v>
      </c>
      <c r="M268" s="19">
        <f t="shared" si="4"/>
        <v>65555.548509885106</v>
      </c>
    </row>
    <row r="269" spans="1:13" x14ac:dyDescent="0.25">
      <c r="A269" s="33">
        <v>45981</v>
      </c>
      <c r="B269" s="35">
        <v>0</v>
      </c>
      <c r="C269" s="35">
        <v>0</v>
      </c>
      <c r="D269" s="35">
        <v>0</v>
      </c>
      <c r="E269" s="35">
        <v>0</v>
      </c>
      <c r="F269" s="35">
        <v>0</v>
      </c>
      <c r="G269" s="35">
        <v>46235.950167208801</v>
      </c>
      <c r="H269" s="35">
        <v>42153.316678277602</v>
      </c>
      <c r="I269" s="35">
        <v>0</v>
      </c>
      <c r="J269" s="35">
        <v>0</v>
      </c>
      <c r="K269" s="35">
        <v>474.09524160465003</v>
      </c>
      <c r="L269" s="35">
        <v>0</v>
      </c>
      <c r="M269" s="19">
        <f t="shared" si="4"/>
        <v>88863.362087091053</v>
      </c>
    </row>
    <row r="270" spans="1:13" x14ac:dyDescent="0.25">
      <c r="A270" s="33">
        <v>45982</v>
      </c>
      <c r="B270" s="35">
        <v>0</v>
      </c>
      <c r="C270" s="35">
        <v>0</v>
      </c>
      <c r="D270" s="35">
        <v>0</v>
      </c>
      <c r="E270" s="35">
        <v>0</v>
      </c>
      <c r="F270" s="35">
        <v>0</v>
      </c>
      <c r="G270" s="35">
        <v>53969.280735274398</v>
      </c>
      <c r="H270" s="35">
        <v>36400.828556190798</v>
      </c>
      <c r="I270" s="35">
        <v>0</v>
      </c>
      <c r="J270" s="35">
        <v>0</v>
      </c>
      <c r="K270" s="35">
        <v>475.57006167133301</v>
      </c>
      <c r="L270" s="35">
        <v>0</v>
      </c>
      <c r="M270" s="19">
        <f t="shared" si="4"/>
        <v>90845.679353136526</v>
      </c>
    </row>
    <row r="271" spans="1:13" x14ac:dyDescent="0.25">
      <c r="A271" s="33">
        <v>45983</v>
      </c>
      <c r="B271" s="35">
        <v>0</v>
      </c>
      <c r="C271" s="35">
        <v>0</v>
      </c>
      <c r="D271" s="35">
        <v>0</v>
      </c>
      <c r="E271" s="35">
        <v>0</v>
      </c>
      <c r="F271" s="35">
        <v>0</v>
      </c>
      <c r="G271" s="35">
        <v>5541.9181670887801</v>
      </c>
      <c r="H271" s="35">
        <v>9779.2795839575992</v>
      </c>
      <c r="I271" s="35">
        <v>0</v>
      </c>
      <c r="J271" s="35">
        <v>0</v>
      </c>
      <c r="K271" s="35">
        <v>662.63597550654504</v>
      </c>
      <c r="L271" s="35">
        <v>0</v>
      </c>
      <c r="M271" s="19">
        <f t="shared" si="4"/>
        <v>15983.833726552926</v>
      </c>
    </row>
    <row r="272" spans="1:13" x14ac:dyDescent="0.25">
      <c r="A272" s="33">
        <v>45984</v>
      </c>
      <c r="B272" s="35">
        <v>0</v>
      </c>
      <c r="C272" s="35">
        <v>0</v>
      </c>
      <c r="D272" s="35">
        <v>0</v>
      </c>
      <c r="E272" s="35">
        <v>0</v>
      </c>
      <c r="F272" s="35">
        <v>0</v>
      </c>
      <c r="G272" s="35">
        <v>590.97281468136498</v>
      </c>
      <c r="H272" s="35">
        <v>916.98454505378504</v>
      </c>
      <c r="I272" s="35">
        <v>0</v>
      </c>
      <c r="J272" s="35">
        <v>0</v>
      </c>
      <c r="K272" s="35">
        <v>535.80455273666996</v>
      </c>
      <c r="L272" s="35">
        <v>0</v>
      </c>
      <c r="M272" s="19">
        <f t="shared" si="4"/>
        <v>2043.7619124718199</v>
      </c>
    </row>
    <row r="273" spans="1:13" x14ac:dyDescent="0.25">
      <c r="A273" s="33">
        <v>45985</v>
      </c>
      <c r="B273" s="35">
        <v>0</v>
      </c>
      <c r="C273" s="35">
        <v>0</v>
      </c>
      <c r="D273" s="35">
        <v>0</v>
      </c>
      <c r="E273" s="35">
        <v>0</v>
      </c>
      <c r="F273" s="35">
        <v>36.208233488718001</v>
      </c>
      <c r="G273" s="35">
        <v>4421.5632956683503</v>
      </c>
      <c r="H273" s="35">
        <v>8103.3499526317801</v>
      </c>
      <c r="I273" s="35">
        <v>0</v>
      </c>
      <c r="J273" s="35">
        <v>0</v>
      </c>
      <c r="K273" s="35">
        <v>943.97383672247804</v>
      </c>
      <c r="L273" s="35">
        <v>0</v>
      </c>
      <c r="M273" s="19">
        <f t="shared" si="4"/>
        <v>13505.095318511327</v>
      </c>
    </row>
    <row r="274" spans="1:13" x14ac:dyDescent="0.25">
      <c r="A274" s="33">
        <v>45986</v>
      </c>
      <c r="B274" s="35">
        <v>0</v>
      </c>
      <c r="C274" s="35">
        <v>0</v>
      </c>
      <c r="D274" s="35">
        <v>0</v>
      </c>
      <c r="E274" s="35">
        <v>0</v>
      </c>
      <c r="F274" s="35">
        <v>226.144587609902</v>
      </c>
      <c r="G274" s="35">
        <v>5737.8440248766401</v>
      </c>
      <c r="H274" s="35">
        <v>8893.5445802956492</v>
      </c>
      <c r="I274" s="35">
        <v>0</v>
      </c>
      <c r="J274" s="35">
        <v>0</v>
      </c>
      <c r="K274" s="35">
        <v>682.17794412295802</v>
      </c>
      <c r="L274" s="35">
        <v>0</v>
      </c>
      <c r="M274" s="19">
        <f t="shared" si="4"/>
        <v>15539.711136905149</v>
      </c>
    </row>
    <row r="275" spans="1:13" x14ac:dyDescent="0.25">
      <c r="A275" s="33">
        <v>45987</v>
      </c>
      <c r="B275" s="35">
        <v>0</v>
      </c>
      <c r="C275" s="35">
        <v>0</v>
      </c>
      <c r="D275" s="35">
        <v>0</v>
      </c>
      <c r="E275" s="35">
        <v>0</v>
      </c>
      <c r="F275" s="35">
        <v>593.63458945389698</v>
      </c>
      <c r="G275" s="35">
        <v>4106.2051481130202</v>
      </c>
      <c r="H275" s="35">
        <v>6482.4043278276504</v>
      </c>
      <c r="I275" s="35">
        <v>0</v>
      </c>
      <c r="J275" s="35">
        <v>0</v>
      </c>
      <c r="K275" s="35">
        <v>923.63224930173703</v>
      </c>
      <c r="L275" s="35">
        <v>0</v>
      </c>
      <c r="M275" s="19">
        <f t="shared" si="4"/>
        <v>12105.876314696305</v>
      </c>
    </row>
    <row r="276" spans="1:13" x14ac:dyDescent="0.25">
      <c r="A276" s="33">
        <v>45988</v>
      </c>
      <c r="B276" s="35">
        <v>0</v>
      </c>
      <c r="C276" s="35">
        <v>0</v>
      </c>
      <c r="D276" s="35">
        <v>0</v>
      </c>
      <c r="E276" s="35">
        <v>0</v>
      </c>
      <c r="F276" s="35">
        <v>97.251255971339006</v>
      </c>
      <c r="G276" s="35">
        <v>1177.63124036046</v>
      </c>
      <c r="H276" s="35">
        <v>3996.1307036154599</v>
      </c>
      <c r="I276" s="35">
        <v>0</v>
      </c>
      <c r="J276" s="35">
        <v>0</v>
      </c>
      <c r="K276" s="35">
        <v>772.35405636765199</v>
      </c>
      <c r="L276" s="35">
        <v>0</v>
      </c>
      <c r="M276" s="19">
        <f t="shared" si="4"/>
        <v>6043.3672563149103</v>
      </c>
    </row>
    <row r="277" spans="1:13" x14ac:dyDescent="0.25">
      <c r="A277" s="33">
        <v>45989</v>
      </c>
      <c r="B277" s="35">
        <v>0</v>
      </c>
      <c r="C277" s="35">
        <v>0</v>
      </c>
      <c r="D277" s="35">
        <v>0</v>
      </c>
      <c r="E277" s="35">
        <v>0</v>
      </c>
      <c r="F277" s="35">
        <v>392.001000951202</v>
      </c>
      <c r="G277" s="35">
        <v>2435.5556653216599</v>
      </c>
      <c r="H277" s="35">
        <v>4455.8772114310004</v>
      </c>
      <c r="I277" s="35">
        <v>0</v>
      </c>
      <c r="J277" s="35">
        <v>0</v>
      </c>
      <c r="K277" s="35">
        <v>379.93883369719998</v>
      </c>
      <c r="L277" s="35">
        <v>0</v>
      </c>
      <c r="M277" s="19">
        <f t="shared" si="4"/>
        <v>7663.3727114010626</v>
      </c>
    </row>
    <row r="278" spans="1:13" x14ac:dyDescent="0.25">
      <c r="A278" s="33">
        <v>45990</v>
      </c>
      <c r="B278" s="35">
        <v>0</v>
      </c>
      <c r="C278" s="35">
        <v>0</v>
      </c>
      <c r="D278" s="35">
        <v>0</v>
      </c>
      <c r="E278" s="35">
        <v>0</v>
      </c>
      <c r="F278" s="35">
        <v>39.268911347706499</v>
      </c>
      <c r="G278" s="35">
        <v>533.82067003761301</v>
      </c>
      <c r="H278" s="35">
        <v>3281.47065203996</v>
      </c>
      <c r="I278" s="35">
        <v>0</v>
      </c>
      <c r="J278" s="35">
        <v>0</v>
      </c>
      <c r="K278" s="35">
        <v>524.99038165659795</v>
      </c>
      <c r="L278" s="35">
        <v>0</v>
      </c>
      <c r="M278" s="19">
        <f t="shared" si="4"/>
        <v>4379.5506150818774</v>
      </c>
    </row>
    <row r="279" spans="1:13" x14ac:dyDescent="0.25">
      <c r="A279" s="33">
        <v>45991</v>
      </c>
      <c r="B279" s="35">
        <v>0</v>
      </c>
      <c r="C279" s="35">
        <v>0</v>
      </c>
      <c r="D279" s="35">
        <v>0</v>
      </c>
      <c r="E279" s="35">
        <v>0</v>
      </c>
      <c r="F279" s="35">
        <v>53.158161425283303</v>
      </c>
      <c r="G279" s="35">
        <v>553.82402261745403</v>
      </c>
      <c r="H279" s="35">
        <v>2271.0256111060198</v>
      </c>
      <c r="I279" s="35">
        <v>0</v>
      </c>
      <c r="J279" s="35">
        <v>0</v>
      </c>
      <c r="K279" s="35">
        <v>563.04140399344999</v>
      </c>
      <c r="L279" s="35">
        <v>0</v>
      </c>
      <c r="M279" s="19">
        <f t="shared" si="4"/>
        <v>3441.0491991422073</v>
      </c>
    </row>
    <row r="280" spans="1:13" x14ac:dyDescent="0.25">
      <c r="A280" s="33">
        <v>45992</v>
      </c>
      <c r="B280" s="35">
        <v>0</v>
      </c>
      <c r="C280" s="35">
        <v>0</v>
      </c>
      <c r="D280" s="35">
        <v>0</v>
      </c>
      <c r="E280" s="35">
        <v>0</v>
      </c>
      <c r="F280" s="35">
        <v>770.19127466575503</v>
      </c>
      <c r="G280" s="35">
        <v>3807.23357431878</v>
      </c>
      <c r="H280" s="35">
        <v>6683.0462884282497</v>
      </c>
      <c r="I280" s="35">
        <v>0</v>
      </c>
      <c r="J280" s="35">
        <v>0</v>
      </c>
      <c r="K280" s="35">
        <v>149.120007936593</v>
      </c>
      <c r="L280" s="35">
        <v>0</v>
      </c>
      <c r="M280" s="19">
        <f t="shared" si="4"/>
        <v>11409.591145349377</v>
      </c>
    </row>
    <row r="281" spans="1:13" x14ac:dyDescent="0.25">
      <c r="A281" s="33">
        <v>45993</v>
      </c>
      <c r="B281" s="35">
        <v>0</v>
      </c>
      <c r="C281" s="35">
        <v>0</v>
      </c>
      <c r="D281" s="35">
        <v>0</v>
      </c>
      <c r="E281" s="35">
        <v>0</v>
      </c>
      <c r="F281" s="35">
        <v>2165.0248360238302</v>
      </c>
      <c r="G281" s="35">
        <v>3739.1065197825601</v>
      </c>
      <c r="H281" s="35">
        <v>6150.3704227749504</v>
      </c>
      <c r="I281" s="35">
        <v>0</v>
      </c>
      <c r="J281" s="35">
        <v>0</v>
      </c>
      <c r="K281" s="35">
        <v>418.212488203183</v>
      </c>
      <c r="L281" s="35">
        <v>0</v>
      </c>
      <c r="M281" s="19">
        <f t="shared" si="4"/>
        <v>12472.714266784522</v>
      </c>
    </row>
    <row r="282" spans="1:13" x14ac:dyDescent="0.25">
      <c r="A282" s="33">
        <v>45994</v>
      </c>
      <c r="B282" s="35">
        <v>0</v>
      </c>
      <c r="C282" s="35">
        <v>0</v>
      </c>
      <c r="D282" s="35">
        <v>2.5888024959999999E-2</v>
      </c>
      <c r="E282" s="35">
        <v>0</v>
      </c>
      <c r="F282" s="35">
        <v>2747.3597749585101</v>
      </c>
      <c r="G282" s="35">
        <v>3675.03205735856</v>
      </c>
      <c r="H282" s="35">
        <v>6923.2909441115999</v>
      </c>
      <c r="I282" s="35">
        <v>0</v>
      </c>
      <c r="J282" s="35">
        <v>0</v>
      </c>
      <c r="K282" s="35">
        <v>832.08011214178498</v>
      </c>
      <c r="L282" s="35">
        <v>0</v>
      </c>
      <c r="M282" s="19">
        <f t="shared" si="4"/>
        <v>14177.788776595413</v>
      </c>
    </row>
    <row r="283" spans="1:13" x14ac:dyDescent="0.25">
      <c r="A283" s="33">
        <v>45995</v>
      </c>
      <c r="B283" s="35">
        <v>0</v>
      </c>
      <c r="C283" s="35">
        <v>0</v>
      </c>
      <c r="D283" s="35">
        <v>3.9855456000000003E-3</v>
      </c>
      <c r="E283" s="35">
        <v>0</v>
      </c>
      <c r="F283" s="35">
        <v>4037.6521359666199</v>
      </c>
      <c r="G283" s="35">
        <v>3530.2920752816299</v>
      </c>
      <c r="H283" s="35">
        <v>9788.2276347778097</v>
      </c>
      <c r="I283" s="35">
        <v>0</v>
      </c>
      <c r="J283" s="35">
        <v>0</v>
      </c>
      <c r="K283" s="35">
        <v>548.21920022181496</v>
      </c>
      <c r="L283" s="35">
        <v>0</v>
      </c>
      <c r="M283" s="19">
        <f t="shared" si="4"/>
        <v>17904.395031793472</v>
      </c>
    </row>
    <row r="284" spans="1:13" x14ac:dyDescent="0.25">
      <c r="A284" s="33">
        <v>45996</v>
      </c>
      <c r="B284" s="35">
        <v>0</v>
      </c>
      <c r="C284" s="35">
        <v>0</v>
      </c>
      <c r="D284" s="35">
        <v>7.6407311500000005E-2</v>
      </c>
      <c r="E284" s="35">
        <v>0</v>
      </c>
      <c r="F284" s="35">
        <v>5184.8400439317102</v>
      </c>
      <c r="G284" s="35">
        <v>2761.2179482475099</v>
      </c>
      <c r="H284" s="35">
        <v>5186.7778807592604</v>
      </c>
      <c r="I284" s="35">
        <v>0</v>
      </c>
      <c r="J284" s="35">
        <v>0</v>
      </c>
      <c r="K284" s="35">
        <v>435.95900120904997</v>
      </c>
      <c r="L284" s="35">
        <v>0</v>
      </c>
      <c r="M284" s="19">
        <f t="shared" si="4"/>
        <v>13568.871281459031</v>
      </c>
    </row>
    <row r="285" spans="1:13" x14ac:dyDescent="0.25">
      <c r="A285" s="33">
        <v>45997</v>
      </c>
      <c r="B285" s="35">
        <v>0</v>
      </c>
      <c r="C285" s="35">
        <v>0</v>
      </c>
      <c r="D285" s="35">
        <v>0.46360260171250001</v>
      </c>
      <c r="E285" s="35">
        <v>0</v>
      </c>
      <c r="F285" s="35">
        <v>382.91565006968602</v>
      </c>
      <c r="G285" s="35">
        <v>244.87131299453401</v>
      </c>
      <c r="H285" s="35">
        <v>1326.80816223086</v>
      </c>
      <c r="I285" s="35">
        <v>0</v>
      </c>
      <c r="J285" s="35">
        <v>0</v>
      </c>
      <c r="K285" s="35">
        <v>430.53833822081799</v>
      </c>
      <c r="L285" s="35">
        <v>0</v>
      </c>
      <c r="M285" s="19">
        <f t="shared" si="4"/>
        <v>2385.5970661176107</v>
      </c>
    </row>
    <row r="286" spans="1:13" x14ac:dyDescent="0.25">
      <c r="A286" s="33">
        <v>45998</v>
      </c>
      <c r="B286" s="35">
        <v>0</v>
      </c>
      <c r="C286" s="35">
        <v>0</v>
      </c>
      <c r="D286" s="35">
        <v>2.8665545439999999E-2</v>
      </c>
      <c r="E286" s="35">
        <v>0</v>
      </c>
      <c r="F286" s="35">
        <v>419.14169553128397</v>
      </c>
      <c r="G286" s="35">
        <v>247.24767745288199</v>
      </c>
      <c r="H286" s="35">
        <v>2504.5806955589201</v>
      </c>
      <c r="I286" s="35">
        <v>0</v>
      </c>
      <c r="J286" s="35">
        <v>0</v>
      </c>
      <c r="K286" s="35">
        <v>193.34790300164499</v>
      </c>
      <c r="L286" s="35">
        <v>0</v>
      </c>
      <c r="M286" s="19">
        <f t="shared" si="4"/>
        <v>3364.346637090171</v>
      </c>
    </row>
    <row r="287" spans="1:13" x14ac:dyDescent="0.25">
      <c r="A287" s="33">
        <v>45999</v>
      </c>
      <c r="B287" s="35">
        <v>0</v>
      </c>
      <c r="C287" s="35">
        <v>0</v>
      </c>
      <c r="D287" s="35">
        <v>1.7643835356924999</v>
      </c>
      <c r="E287" s="35">
        <v>0</v>
      </c>
      <c r="F287" s="35">
        <v>2185.3152395019702</v>
      </c>
      <c r="G287" s="35">
        <v>3013.9948192848501</v>
      </c>
      <c r="H287" s="35">
        <v>4866.9595933711498</v>
      </c>
      <c r="I287" s="35">
        <v>0</v>
      </c>
      <c r="J287" s="35">
        <v>0</v>
      </c>
      <c r="K287" s="35">
        <v>129.64509400239999</v>
      </c>
      <c r="L287" s="35">
        <v>0</v>
      </c>
      <c r="M287" s="19">
        <f t="shared" si="4"/>
        <v>10197.679129696064</v>
      </c>
    </row>
    <row r="288" spans="1:13" x14ac:dyDescent="0.25">
      <c r="A288" s="33">
        <v>46000</v>
      </c>
      <c r="B288" s="35">
        <v>0</v>
      </c>
      <c r="C288" s="35">
        <v>0</v>
      </c>
      <c r="D288" s="35">
        <v>4273.2204461572501</v>
      </c>
      <c r="E288" s="35">
        <v>0</v>
      </c>
      <c r="F288" s="35">
        <v>3362.1571621016001</v>
      </c>
      <c r="G288" s="35">
        <v>2412.79469924867</v>
      </c>
      <c r="H288" s="35">
        <v>4478.59518125059</v>
      </c>
      <c r="I288" s="35">
        <v>0</v>
      </c>
      <c r="J288" s="35">
        <v>0</v>
      </c>
      <c r="K288" s="35">
        <v>188.51507106144999</v>
      </c>
      <c r="L288" s="35">
        <v>0</v>
      </c>
      <c r="M288" s="19">
        <f t="shared" si="4"/>
        <v>14715.282559819561</v>
      </c>
    </row>
    <row r="289" spans="1:13" x14ac:dyDescent="0.25">
      <c r="A289" s="33">
        <v>46001</v>
      </c>
      <c r="B289" s="35">
        <v>0</v>
      </c>
      <c r="C289" s="35">
        <v>0</v>
      </c>
      <c r="D289" s="35">
        <v>5812.9932327921197</v>
      </c>
      <c r="E289" s="35">
        <v>0</v>
      </c>
      <c r="F289" s="35">
        <v>3224.76975163108</v>
      </c>
      <c r="G289" s="35">
        <v>3673.8715449153201</v>
      </c>
      <c r="H289" s="35">
        <v>6207.5570871168602</v>
      </c>
      <c r="I289" s="35">
        <v>0</v>
      </c>
      <c r="J289" s="35">
        <v>0</v>
      </c>
      <c r="K289" s="35">
        <v>302.47645524204501</v>
      </c>
      <c r="L289" s="35">
        <v>0</v>
      </c>
      <c r="M289" s="19">
        <f t="shared" si="4"/>
        <v>19221.668071697426</v>
      </c>
    </row>
    <row r="290" spans="1:13" x14ac:dyDescent="0.25">
      <c r="A290" s="33">
        <v>46002</v>
      </c>
      <c r="B290" s="35">
        <v>0</v>
      </c>
      <c r="C290" s="35">
        <v>0</v>
      </c>
      <c r="D290" s="35">
        <v>5703.3219295132503</v>
      </c>
      <c r="E290" s="35">
        <v>0</v>
      </c>
      <c r="F290" s="35">
        <v>2271.8642706955202</v>
      </c>
      <c r="G290" s="35">
        <v>2917.9268019052502</v>
      </c>
      <c r="H290" s="35">
        <v>9386.7655459077305</v>
      </c>
      <c r="I290" s="35">
        <v>0</v>
      </c>
      <c r="J290" s="35">
        <v>0</v>
      </c>
      <c r="K290" s="35">
        <v>67.863114177075005</v>
      </c>
      <c r="L290" s="35">
        <v>0</v>
      </c>
      <c r="M290" s="19">
        <f t="shared" si="4"/>
        <v>20347.741662198827</v>
      </c>
    </row>
    <row r="291" spans="1:13" x14ac:dyDescent="0.25">
      <c r="A291" s="33">
        <v>46003</v>
      </c>
      <c r="B291" s="35">
        <v>0</v>
      </c>
      <c r="C291" s="35">
        <v>0</v>
      </c>
      <c r="D291" s="35">
        <v>4441.51093542135</v>
      </c>
      <c r="E291" s="35">
        <v>0</v>
      </c>
      <c r="F291" s="35">
        <v>1982.0936605055199</v>
      </c>
      <c r="G291" s="35">
        <v>2771.4554890412801</v>
      </c>
      <c r="H291" s="35">
        <v>9976.6029663567897</v>
      </c>
      <c r="I291" s="35">
        <v>0</v>
      </c>
      <c r="J291" s="35">
        <v>0</v>
      </c>
      <c r="K291" s="35">
        <v>62.599550386562498</v>
      </c>
      <c r="L291" s="35">
        <v>145.28555410582501</v>
      </c>
      <c r="M291" s="19">
        <f t="shared" si="4"/>
        <v>19379.548155817327</v>
      </c>
    </row>
    <row r="292" spans="1:13" x14ac:dyDescent="0.25">
      <c r="A292" s="33">
        <v>46004</v>
      </c>
      <c r="B292" s="35">
        <v>0</v>
      </c>
      <c r="C292" s="35">
        <v>0</v>
      </c>
      <c r="D292" s="35">
        <v>2377.3436681599301</v>
      </c>
      <c r="E292" s="35">
        <v>0</v>
      </c>
      <c r="F292" s="35">
        <v>63.167136304695497</v>
      </c>
      <c r="G292" s="35">
        <v>123.726498994556</v>
      </c>
      <c r="H292" s="35">
        <v>1006.84019593263</v>
      </c>
      <c r="I292" s="35">
        <v>0</v>
      </c>
      <c r="J292" s="35">
        <v>0</v>
      </c>
      <c r="K292" s="35">
        <v>50.890377111007503</v>
      </c>
      <c r="L292" s="35">
        <v>50.694031547575001</v>
      </c>
      <c r="M292" s="19">
        <f t="shared" si="4"/>
        <v>3672.6619080503938</v>
      </c>
    </row>
    <row r="293" spans="1:13" x14ac:dyDescent="0.25">
      <c r="A293" s="33">
        <v>46005</v>
      </c>
      <c r="B293" s="35">
        <v>0</v>
      </c>
      <c r="C293" s="35">
        <v>0</v>
      </c>
      <c r="D293" s="35">
        <v>3430.0009678349002</v>
      </c>
      <c r="E293" s="35">
        <v>0</v>
      </c>
      <c r="F293" s="35">
        <v>244.65249487399399</v>
      </c>
      <c r="G293" s="35">
        <v>282.49778810458702</v>
      </c>
      <c r="H293" s="35">
        <v>3373.4110897668602</v>
      </c>
      <c r="I293" s="35">
        <v>0</v>
      </c>
      <c r="J293" s="35">
        <v>0</v>
      </c>
      <c r="K293" s="35">
        <v>186.49865502079001</v>
      </c>
      <c r="L293" s="35">
        <v>53.325989081475001</v>
      </c>
      <c r="M293" s="19">
        <f t="shared" si="4"/>
        <v>7570.3869846826074</v>
      </c>
    </row>
    <row r="294" spans="1:13" x14ac:dyDescent="0.25">
      <c r="A294" s="33">
        <v>46006</v>
      </c>
      <c r="B294" s="35">
        <v>0</v>
      </c>
      <c r="C294" s="35">
        <v>0</v>
      </c>
      <c r="D294" s="35">
        <v>4970.60357315499</v>
      </c>
      <c r="E294" s="35">
        <v>0</v>
      </c>
      <c r="F294" s="35">
        <v>1984.4659965513099</v>
      </c>
      <c r="G294" s="35">
        <v>2171.1317244351499</v>
      </c>
      <c r="H294" s="35">
        <v>6581.6710861357296</v>
      </c>
      <c r="I294" s="35">
        <v>0</v>
      </c>
      <c r="J294" s="35">
        <v>0</v>
      </c>
      <c r="K294" s="35">
        <v>96.458548366469998</v>
      </c>
      <c r="L294" s="35">
        <v>234.944064921375</v>
      </c>
      <c r="M294" s="19">
        <f t="shared" si="4"/>
        <v>16039.274993565026</v>
      </c>
    </row>
    <row r="295" spans="1:13" x14ac:dyDescent="0.25">
      <c r="A295" s="33">
        <v>46007</v>
      </c>
      <c r="B295" s="35">
        <v>0</v>
      </c>
      <c r="C295" s="35">
        <v>0</v>
      </c>
      <c r="D295" s="35">
        <v>4337.5098824611996</v>
      </c>
      <c r="E295" s="35">
        <v>0</v>
      </c>
      <c r="F295" s="35">
        <v>1714.14795750501</v>
      </c>
      <c r="G295" s="35">
        <v>2668.8992740199601</v>
      </c>
      <c r="H295" s="35">
        <v>7208.4835863251001</v>
      </c>
      <c r="I295" s="35">
        <v>0</v>
      </c>
      <c r="J295" s="35">
        <v>0</v>
      </c>
      <c r="K295" s="35">
        <v>35.564192635844996</v>
      </c>
      <c r="L295" s="35">
        <v>408.40279201120001</v>
      </c>
      <c r="M295" s="19">
        <f t="shared" ref="M295:M358" si="5">SUM(B295:L295)</f>
        <v>16373.007684958317</v>
      </c>
    </row>
    <row r="296" spans="1:13" x14ac:dyDescent="0.25">
      <c r="A296" s="33">
        <v>46008</v>
      </c>
      <c r="B296" s="35">
        <v>0</v>
      </c>
      <c r="C296" s="35">
        <v>0</v>
      </c>
      <c r="D296" s="35">
        <v>5266.9158751158602</v>
      </c>
      <c r="E296" s="35">
        <v>0</v>
      </c>
      <c r="F296" s="35">
        <v>2347.4388963433598</v>
      </c>
      <c r="G296" s="35">
        <v>3085.2674801840599</v>
      </c>
      <c r="H296" s="35">
        <v>6633.8154513482496</v>
      </c>
      <c r="I296" s="35">
        <v>0</v>
      </c>
      <c r="J296" s="35">
        <v>0</v>
      </c>
      <c r="K296" s="35">
        <v>83.208922660392503</v>
      </c>
      <c r="L296" s="35">
        <v>518.58075065207504</v>
      </c>
      <c r="M296" s="19">
        <f t="shared" si="5"/>
        <v>17935.227376303999</v>
      </c>
    </row>
    <row r="297" spans="1:13" x14ac:dyDescent="0.25">
      <c r="A297" s="33">
        <v>46009</v>
      </c>
      <c r="B297" s="35">
        <v>0</v>
      </c>
      <c r="C297" s="35">
        <v>0</v>
      </c>
      <c r="D297" s="35">
        <v>4604.8152286254099</v>
      </c>
      <c r="E297" s="35">
        <v>0</v>
      </c>
      <c r="F297" s="35">
        <v>3522.7889648411801</v>
      </c>
      <c r="G297" s="35">
        <v>2503.1721891461302</v>
      </c>
      <c r="H297" s="35">
        <v>7217.8492239262796</v>
      </c>
      <c r="I297" s="35">
        <v>0</v>
      </c>
      <c r="J297" s="35">
        <v>0</v>
      </c>
      <c r="K297" s="35">
        <v>61.145212841787497</v>
      </c>
      <c r="L297" s="35">
        <v>1582.7035053794</v>
      </c>
      <c r="M297" s="19">
        <f t="shared" si="5"/>
        <v>19492.474324760184</v>
      </c>
    </row>
    <row r="298" spans="1:13" x14ac:dyDescent="0.25">
      <c r="A298" s="33">
        <v>46010</v>
      </c>
      <c r="B298" s="35">
        <v>0</v>
      </c>
      <c r="C298" s="35">
        <v>0</v>
      </c>
      <c r="D298" s="35">
        <v>3548.4791630282298</v>
      </c>
      <c r="E298" s="35">
        <v>0</v>
      </c>
      <c r="F298" s="35">
        <v>2035.1655328470999</v>
      </c>
      <c r="G298" s="35">
        <v>2047.1533131786</v>
      </c>
      <c r="H298" s="35">
        <v>5300.7575961374996</v>
      </c>
      <c r="I298" s="35">
        <v>0</v>
      </c>
      <c r="J298" s="35">
        <v>0</v>
      </c>
      <c r="K298" s="35">
        <v>82.458508821270001</v>
      </c>
      <c r="L298" s="35">
        <v>1578.5398588375499</v>
      </c>
      <c r="M298" s="19">
        <f t="shared" si="5"/>
        <v>14592.553972850248</v>
      </c>
    </row>
    <row r="299" spans="1:13" x14ac:dyDescent="0.25">
      <c r="A299" s="33">
        <v>46011</v>
      </c>
      <c r="B299" s="35">
        <v>0</v>
      </c>
      <c r="C299" s="35">
        <v>0</v>
      </c>
      <c r="D299" s="35">
        <v>4582.4102853435397</v>
      </c>
      <c r="E299" s="35">
        <v>0</v>
      </c>
      <c r="F299" s="35">
        <v>36.722947551760797</v>
      </c>
      <c r="G299" s="35">
        <v>314.27189003420801</v>
      </c>
      <c r="H299" s="35">
        <v>990.94135177793601</v>
      </c>
      <c r="I299" s="35">
        <v>0</v>
      </c>
      <c r="J299" s="35">
        <v>0</v>
      </c>
      <c r="K299" s="35">
        <v>478.95325570837502</v>
      </c>
      <c r="L299" s="35">
        <v>89.021817351875001</v>
      </c>
      <c r="M299" s="19">
        <f t="shared" si="5"/>
        <v>6492.321547767694</v>
      </c>
    </row>
    <row r="300" spans="1:13" x14ac:dyDescent="0.25">
      <c r="A300" s="33">
        <v>46012</v>
      </c>
      <c r="B300" s="35">
        <v>0</v>
      </c>
      <c r="C300" s="35">
        <v>0</v>
      </c>
      <c r="D300" s="35">
        <v>3403.62806337453</v>
      </c>
      <c r="E300" s="35">
        <v>0</v>
      </c>
      <c r="F300" s="35">
        <v>78.5378977771596</v>
      </c>
      <c r="G300" s="35">
        <v>94.612313742314498</v>
      </c>
      <c r="H300" s="35">
        <v>1143.35178659806</v>
      </c>
      <c r="I300" s="35">
        <v>0</v>
      </c>
      <c r="J300" s="35">
        <v>0</v>
      </c>
      <c r="K300" s="35">
        <v>245.26084702518801</v>
      </c>
      <c r="L300" s="35">
        <v>300.19691791166298</v>
      </c>
      <c r="M300" s="19">
        <f t="shared" si="5"/>
        <v>5265.5878264289158</v>
      </c>
    </row>
    <row r="301" spans="1:13" x14ac:dyDescent="0.25">
      <c r="A301" s="33">
        <v>46013</v>
      </c>
      <c r="B301" s="35">
        <v>0</v>
      </c>
      <c r="C301" s="35">
        <v>0</v>
      </c>
      <c r="D301" s="35">
        <v>4961.97215439311</v>
      </c>
      <c r="E301" s="35">
        <v>0</v>
      </c>
      <c r="F301" s="35">
        <v>2694.6828358662301</v>
      </c>
      <c r="G301" s="35">
        <v>1739.26795200128</v>
      </c>
      <c r="H301" s="35">
        <v>2908.4455308525799</v>
      </c>
      <c r="I301" s="35">
        <v>0</v>
      </c>
      <c r="J301" s="35">
        <v>0</v>
      </c>
      <c r="K301" s="35">
        <v>80.693479206482493</v>
      </c>
      <c r="L301" s="35">
        <v>1822.5743305982401</v>
      </c>
      <c r="M301" s="19">
        <f t="shared" si="5"/>
        <v>14207.636282917922</v>
      </c>
    </row>
    <row r="302" spans="1:13" x14ac:dyDescent="0.25">
      <c r="A302" s="33">
        <v>46014</v>
      </c>
      <c r="B302" s="35">
        <v>0</v>
      </c>
      <c r="C302" s="35">
        <v>0</v>
      </c>
      <c r="D302" s="35">
        <v>4495.83590156831</v>
      </c>
      <c r="E302" s="35">
        <v>0</v>
      </c>
      <c r="F302" s="35">
        <v>1666.5293093983801</v>
      </c>
      <c r="G302" s="35">
        <v>1135.4250487125501</v>
      </c>
      <c r="H302" s="35">
        <v>5496.3688169411798</v>
      </c>
      <c r="I302" s="35">
        <v>21.248030741779001</v>
      </c>
      <c r="J302" s="35">
        <v>0</v>
      </c>
      <c r="K302" s="35">
        <v>240.14139268145499</v>
      </c>
      <c r="L302" s="35">
        <v>2485.4706795961001</v>
      </c>
      <c r="M302" s="19">
        <f t="shared" si="5"/>
        <v>15541.019179639756</v>
      </c>
    </row>
    <row r="303" spans="1:13" x14ac:dyDescent="0.25">
      <c r="A303" s="33">
        <v>46015</v>
      </c>
      <c r="B303" s="35">
        <v>0</v>
      </c>
      <c r="C303" s="35">
        <v>0</v>
      </c>
      <c r="D303" s="35">
        <v>2609.21144298028</v>
      </c>
      <c r="E303" s="35">
        <v>0</v>
      </c>
      <c r="F303" s="35">
        <v>1463.0359068035</v>
      </c>
      <c r="G303" s="35">
        <v>906.617704280515</v>
      </c>
      <c r="H303" s="35">
        <v>2337.8136289537001</v>
      </c>
      <c r="I303" s="35">
        <v>27.150259430778799</v>
      </c>
      <c r="J303" s="35">
        <v>0</v>
      </c>
      <c r="K303" s="35">
        <v>264.56021543960998</v>
      </c>
      <c r="L303" s="35">
        <v>2353.5025630125301</v>
      </c>
      <c r="M303" s="19">
        <f t="shared" si="5"/>
        <v>9961.8917209009142</v>
      </c>
    </row>
    <row r="304" spans="1:13" x14ac:dyDescent="0.25">
      <c r="A304" s="33">
        <v>46016</v>
      </c>
      <c r="B304" s="35">
        <v>0</v>
      </c>
      <c r="C304" s="35">
        <v>0</v>
      </c>
      <c r="D304" s="35">
        <v>3459.9183813838699</v>
      </c>
      <c r="E304" s="35">
        <v>0</v>
      </c>
      <c r="F304" s="35">
        <v>41.614837117520601</v>
      </c>
      <c r="G304" s="35">
        <v>212.341653437882</v>
      </c>
      <c r="H304" s="35">
        <v>1129.71403959691</v>
      </c>
      <c r="I304" s="35">
        <v>7.4151850650025004</v>
      </c>
      <c r="J304" s="35">
        <v>0</v>
      </c>
      <c r="K304" s="35">
        <v>318.42034307504002</v>
      </c>
      <c r="L304" s="35">
        <v>846.89388485736799</v>
      </c>
      <c r="M304" s="19">
        <f t="shared" si="5"/>
        <v>6016.3183245335931</v>
      </c>
    </row>
    <row r="305" spans="1:13" x14ac:dyDescent="0.25">
      <c r="A305" s="33">
        <v>46017</v>
      </c>
      <c r="B305" s="35">
        <v>0</v>
      </c>
      <c r="C305" s="35">
        <v>0</v>
      </c>
      <c r="D305" s="35">
        <v>3894.5632003835499</v>
      </c>
      <c r="E305" s="35">
        <v>0</v>
      </c>
      <c r="F305" s="35">
        <v>621.55102089337197</v>
      </c>
      <c r="G305" s="35">
        <v>894.77466250707005</v>
      </c>
      <c r="H305" s="35">
        <v>4405.4847104418404</v>
      </c>
      <c r="I305" s="35">
        <v>14.794968543216299</v>
      </c>
      <c r="J305" s="35">
        <v>0</v>
      </c>
      <c r="K305" s="35">
        <v>257.45267424171499</v>
      </c>
      <c r="L305" s="35">
        <v>7009.6635620321804</v>
      </c>
      <c r="M305" s="19">
        <f t="shared" si="5"/>
        <v>17098.284799042944</v>
      </c>
    </row>
    <row r="306" spans="1:13" x14ac:dyDescent="0.25">
      <c r="A306" s="33">
        <v>46018</v>
      </c>
      <c r="B306" s="35">
        <v>0</v>
      </c>
      <c r="C306" s="35">
        <v>0</v>
      </c>
      <c r="D306" s="35">
        <v>4133.1315621145504</v>
      </c>
      <c r="E306" s="35">
        <v>0</v>
      </c>
      <c r="F306" s="35">
        <v>21.722103224544899</v>
      </c>
      <c r="G306" s="35">
        <v>184.01634662492199</v>
      </c>
      <c r="H306" s="35">
        <v>923.35510164424397</v>
      </c>
      <c r="I306" s="35">
        <v>2.4891471536230001</v>
      </c>
      <c r="J306" s="35">
        <v>0</v>
      </c>
      <c r="K306" s="35">
        <v>239.944440733215</v>
      </c>
      <c r="L306" s="35">
        <v>1682.4847820247001</v>
      </c>
      <c r="M306" s="19">
        <f t="shared" si="5"/>
        <v>7187.1434835197997</v>
      </c>
    </row>
    <row r="307" spans="1:13" x14ac:dyDescent="0.25">
      <c r="A307" s="33">
        <v>46019</v>
      </c>
      <c r="B307" s="35">
        <v>0</v>
      </c>
      <c r="C307" s="35">
        <v>0</v>
      </c>
      <c r="D307" s="35">
        <v>2268.45340487051</v>
      </c>
      <c r="E307" s="35">
        <v>0</v>
      </c>
      <c r="F307" s="35">
        <v>65.624451717948702</v>
      </c>
      <c r="G307" s="35">
        <v>303.218663735218</v>
      </c>
      <c r="H307" s="35">
        <v>844.32249105528604</v>
      </c>
      <c r="I307" s="35">
        <v>1.6052996957625001</v>
      </c>
      <c r="J307" s="35">
        <v>0</v>
      </c>
      <c r="K307" s="35">
        <v>19.704198419474999</v>
      </c>
      <c r="L307" s="35">
        <v>2965.3105076230299</v>
      </c>
      <c r="M307" s="19">
        <f t="shared" si="5"/>
        <v>6468.2390171172301</v>
      </c>
    </row>
    <row r="308" spans="1:13" x14ac:dyDescent="0.25">
      <c r="A308" s="33">
        <v>46020</v>
      </c>
      <c r="B308" s="35">
        <v>0</v>
      </c>
      <c r="C308" s="35">
        <v>0</v>
      </c>
      <c r="D308" s="35">
        <v>4167.6673642185797</v>
      </c>
      <c r="E308" s="35">
        <v>0</v>
      </c>
      <c r="F308" s="35">
        <v>1757.0338852760699</v>
      </c>
      <c r="G308" s="35">
        <v>1300.7254408648801</v>
      </c>
      <c r="H308" s="35">
        <v>3809.7393824478499</v>
      </c>
      <c r="I308" s="35">
        <v>34.085097430723799</v>
      </c>
      <c r="J308" s="35">
        <v>0</v>
      </c>
      <c r="K308" s="35">
        <v>21.298754412899999</v>
      </c>
      <c r="L308" s="35">
        <v>12219.9242749527</v>
      </c>
      <c r="M308" s="19">
        <f t="shared" si="5"/>
        <v>23310.474199603701</v>
      </c>
    </row>
    <row r="309" spans="1:13" x14ac:dyDescent="0.25">
      <c r="A309" s="33">
        <v>46021</v>
      </c>
      <c r="B309" s="35">
        <v>0</v>
      </c>
      <c r="C309" s="35">
        <v>0</v>
      </c>
      <c r="D309" s="35">
        <v>3327.2626894025602</v>
      </c>
      <c r="E309" s="35">
        <v>0</v>
      </c>
      <c r="F309" s="35">
        <v>1060.74484267462</v>
      </c>
      <c r="G309" s="35">
        <v>1162.80075598646</v>
      </c>
      <c r="H309" s="35">
        <v>5555.9659156396801</v>
      </c>
      <c r="I309" s="35">
        <v>31.180763089908002</v>
      </c>
      <c r="J309" s="35">
        <v>0</v>
      </c>
      <c r="K309" s="35">
        <v>44.797853212007503</v>
      </c>
      <c r="L309" s="35">
        <v>5002.6785241687903</v>
      </c>
      <c r="M309" s="19">
        <f t="shared" si="5"/>
        <v>16185.431344174025</v>
      </c>
    </row>
    <row r="310" spans="1:13" x14ac:dyDescent="0.25">
      <c r="A310" s="33">
        <v>46022</v>
      </c>
      <c r="B310" s="35">
        <v>0</v>
      </c>
      <c r="C310" s="35">
        <v>0</v>
      </c>
      <c r="D310" s="35">
        <v>2420.67624572363</v>
      </c>
      <c r="E310" s="35">
        <v>0</v>
      </c>
      <c r="F310" s="35">
        <v>883.33258229748606</v>
      </c>
      <c r="G310" s="35">
        <v>1372.0922135518899</v>
      </c>
      <c r="H310" s="35">
        <v>3117.7632299933698</v>
      </c>
      <c r="I310" s="35">
        <v>34.983413925450499</v>
      </c>
      <c r="J310" s="35">
        <v>0</v>
      </c>
      <c r="K310" s="35">
        <v>40.033637707927497</v>
      </c>
      <c r="L310" s="35">
        <v>4289.5990206562501</v>
      </c>
      <c r="M310" s="19">
        <f t="shared" si="5"/>
        <v>12158.480343856005</v>
      </c>
    </row>
    <row r="311" spans="1:13" x14ac:dyDescent="0.25">
      <c r="A311" s="33">
        <v>46023</v>
      </c>
      <c r="B311" s="35">
        <v>0</v>
      </c>
      <c r="C311" s="35">
        <v>0</v>
      </c>
      <c r="D311" s="35">
        <v>2261.3015008678299</v>
      </c>
      <c r="E311" s="35">
        <v>0</v>
      </c>
      <c r="F311" s="35">
        <v>70.756056195245606</v>
      </c>
      <c r="G311" s="35">
        <v>181.06505033070201</v>
      </c>
      <c r="H311" s="35">
        <v>1061.16474140009</v>
      </c>
      <c r="I311" s="35">
        <v>6.5526269164865001</v>
      </c>
      <c r="J311" s="35">
        <v>0</v>
      </c>
      <c r="K311" s="35">
        <v>36.935298242050003</v>
      </c>
      <c r="L311" s="35">
        <v>943.887517321828</v>
      </c>
      <c r="M311" s="19">
        <f t="shared" si="5"/>
        <v>4561.6627912742315</v>
      </c>
    </row>
    <row r="312" spans="1:13" x14ac:dyDescent="0.25">
      <c r="A312" s="33">
        <v>46024</v>
      </c>
      <c r="B312" s="35">
        <v>0</v>
      </c>
      <c r="C312" s="35">
        <v>0</v>
      </c>
      <c r="D312" s="35">
        <v>4475.6810302949898</v>
      </c>
      <c r="E312" s="35">
        <v>0</v>
      </c>
      <c r="F312" s="35">
        <v>1773.3097596692801</v>
      </c>
      <c r="G312" s="35">
        <v>1722.35471736157</v>
      </c>
      <c r="H312" s="35">
        <v>5587.89724291947</v>
      </c>
      <c r="I312" s="35">
        <v>45.359591694004997</v>
      </c>
      <c r="J312" s="35">
        <v>0</v>
      </c>
      <c r="K312" s="35">
        <v>24.806176964894998</v>
      </c>
      <c r="L312" s="35">
        <v>3487.4303944129301</v>
      </c>
      <c r="M312" s="19">
        <f t="shared" si="5"/>
        <v>17116.83891331714</v>
      </c>
    </row>
    <row r="313" spans="1:13" x14ac:dyDescent="0.25">
      <c r="A313" s="33">
        <v>46025</v>
      </c>
      <c r="B313" s="35">
        <v>0</v>
      </c>
      <c r="C313" s="35">
        <v>0</v>
      </c>
      <c r="D313" s="35">
        <v>3301.8541174299698</v>
      </c>
      <c r="E313" s="35">
        <v>0</v>
      </c>
      <c r="F313" s="35">
        <v>67.169936520551701</v>
      </c>
      <c r="G313" s="35">
        <v>549.62804868162004</v>
      </c>
      <c r="H313" s="35">
        <v>1238.2018155216001</v>
      </c>
      <c r="I313" s="35">
        <v>23.550750344733999</v>
      </c>
      <c r="J313" s="35">
        <v>0</v>
      </c>
      <c r="K313" s="35">
        <v>24.875823011609999</v>
      </c>
      <c r="L313" s="35">
        <v>864.07934870945405</v>
      </c>
      <c r="M313" s="19">
        <f t="shared" si="5"/>
        <v>6069.3598402195403</v>
      </c>
    </row>
    <row r="314" spans="1:13" x14ac:dyDescent="0.25">
      <c r="A314" s="33">
        <v>46026</v>
      </c>
      <c r="B314" s="35">
        <v>0</v>
      </c>
      <c r="C314" s="35">
        <v>0</v>
      </c>
      <c r="D314" s="35">
        <v>3743.91784906665</v>
      </c>
      <c r="E314" s="35">
        <v>0</v>
      </c>
      <c r="F314" s="35">
        <v>632.97192683512003</v>
      </c>
      <c r="G314" s="35">
        <v>278.07322277409997</v>
      </c>
      <c r="H314" s="35">
        <v>1141.5805663548799</v>
      </c>
      <c r="I314" s="35">
        <v>50.341880700344497</v>
      </c>
      <c r="J314" s="35">
        <v>0</v>
      </c>
      <c r="K314" s="35">
        <v>27.2936213305825</v>
      </c>
      <c r="L314" s="35">
        <v>1456.84770839413</v>
      </c>
      <c r="M314" s="19">
        <f t="shared" si="5"/>
        <v>7331.0267754558072</v>
      </c>
    </row>
    <row r="315" spans="1:13" x14ac:dyDescent="0.25">
      <c r="A315" s="33">
        <v>46027</v>
      </c>
      <c r="B315" s="35">
        <v>0</v>
      </c>
      <c r="C315" s="35">
        <v>0</v>
      </c>
      <c r="D315" s="35">
        <v>6222.8561172783302</v>
      </c>
      <c r="E315" s="35">
        <v>0</v>
      </c>
      <c r="F315" s="35">
        <v>3112.8495336317301</v>
      </c>
      <c r="G315" s="35">
        <v>1739.57663556527</v>
      </c>
      <c r="H315" s="35">
        <v>5206.9790619304204</v>
      </c>
      <c r="I315" s="35">
        <v>42.208318549727501</v>
      </c>
      <c r="J315" s="35">
        <v>0</v>
      </c>
      <c r="K315" s="35">
        <v>74.868718593142503</v>
      </c>
      <c r="L315" s="35">
        <v>5518.7266878031496</v>
      </c>
      <c r="M315" s="19">
        <f t="shared" si="5"/>
        <v>21918.065073351769</v>
      </c>
    </row>
    <row r="316" spans="1:13" x14ac:dyDescent="0.25">
      <c r="A316" s="33">
        <v>46028</v>
      </c>
      <c r="B316" s="35">
        <v>0</v>
      </c>
      <c r="C316" s="35">
        <v>0</v>
      </c>
      <c r="D316" s="35">
        <v>6752.8563359228201</v>
      </c>
      <c r="E316" s="35">
        <v>17.9833673649015</v>
      </c>
      <c r="F316" s="35">
        <v>3254.3845141565798</v>
      </c>
      <c r="G316" s="35">
        <v>1609.5008951029999</v>
      </c>
      <c r="H316" s="35">
        <v>4469.2842526136901</v>
      </c>
      <c r="I316" s="35">
        <v>62.623246669205002</v>
      </c>
      <c r="J316" s="35">
        <v>0</v>
      </c>
      <c r="K316" s="35">
        <v>130.63513331236001</v>
      </c>
      <c r="L316" s="35">
        <v>8258.7582828510804</v>
      </c>
      <c r="M316" s="19">
        <f t="shared" si="5"/>
        <v>24556.026027993637</v>
      </c>
    </row>
    <row r="317" spans="1:13" x14ac:dyDescent="0.25">
      <c r="A317" s="33">
        <v>46029</v>
      </c>
      <c r="B317" s="35">
        <v>0</v>
      </c>
      <c r="C317" s="35">
        <v>0</v>
      </c>
      <c r="D317" s="35">
        <v>5707.7791556641296</v>
      </c>
      <c r="E317" s="35">
        <v>21.121983380003801</v>
      </c>
      <c r="F317" s="35">
        <v>4135.1672392055998</v>
      </c>
      <c r="G317" s="35">
        <v>1588.3558402291401</v>
      </c>
      <c r="H317" s="35">
        <v>4722.0101943925001</v>
      </c>
      <c r="I317" s="35">
        <v>103.087750945355</v>
      </c>
      <c r="J317" s="35">
        <v>0</v>
      </c>
      <c r="K317" s="35">
        <v>101.05003245467</v>
      </c>
      <c r="L317" s="35">
        <v>6102.8229183050098</v>
      </c>
      <c r="M317" s="19">
        <f t="shared" si="5"/>
        <v>22481.395114576408</v>
      </c>
    </row>
    <row r="318" spans="1:13" x14ac:dyDescent="0.25">
      <c r="A318" s="33">
        <v>46030</v>
      </c>
      <c r="B318" s="35">
        <v>0</v>
      </c>
      <c r="C318" s="35">
        <v>0</v>
      </c>
      <c r="D318" s="35">
        <v>7454.4211243014297</v>
      </c>
      <c r="E318" s="35">
        <v>31.784458479596601</v>
      </c>
      <c r="F318" s="35">
        <v>4359.1629221231797</v>
      </c>
      <c r="G318" s="35">
        <v>2513.75258451018</v>
      </c>
      <c r="H318" s="35">
        <v>6434.0649429626901</v>
      </c>
      <c r="I318" s="35">
        <v>70.120348910174798</v>
      </c>
      <c r="J318" s="35">
        <v>0</v>
      </c>
      <c r="K318" s="35">
        <v>59.913397548234997</v>
      </c>
      <c r="L318" s="35">
        <v>4099.9107365209402</v>
      </c>
      <c r="M318" s="19">
        <f t="shared" si="5"/>
        <v>25023.130515356432</v>
      </c>
    </row>
    <row r="319" spans="1:13" x14ac:dyDescent="0.25">
      <c r="A319" s="33">
        <v>46031</v>
      </c>
      <c r="B319" s="35">
        <v>0</v>
      </c>
      <c r="C319" s="35">
        <v>0</v>
      </c>
      <c r="D319" s="35">
        <v>5759.6653902269099</v>
      </c>
      <c r="E319" s="35">
        <v>60.622287847535098</v>
      </c>
      <c r="F319" s="35">
        <v>2703.3853618995699</v>
      </c>
      <c r="G319" s="35">
        <v>1262.63364846591</v>
      </c>
      <c r="H319" s="35">
        <v>5399.9297444940603</v>
      </c>
      <c r="I319" s="35">
        <v>61.548051701785297</v>
      </c>
      <c r="J319" s="35">
        <v>0</v>
      </c>
      <c r="K319" s="35">
        <v>33.726125866704997</v>
      </c>
      <c r="L319" s="35">
        <v>3239.4338062222901</v>
      </c>
      <c r="M319" s="19">
        <f t="shared" si="5"/>
        <v>18520.944416724768</v>
      </c>
    </row>
    <row r="320" spans="1:13" x14ac:dyDescent="0.25">
      <c r="A320" s="33">
        <v>46032</v>
      </c>
      <c r="B320" s="35">
        <v>0</v>
      </c>
      <c r="C320" s="35">
        <v>0</v>
      </c>
      <c r="D320" s="35">
        <v>3069.4765068822999</v>
      </c>
      <c r="E320" s="35">
        <v>9.3068254764107792</v>
      </c>
      <c r="F320" s="35">
        <v>235.07553155151399</v>
      </c>
      <c r="G320" s="35">
        <v>286.38869184782499</v>
      </c>
      <c r="H320" s="35">
        <v>1201.7966507916101</v>
      </c>
      <c r="I320" s="35">
        <v>11.914966776866001</v>
      </c>
      <c r="J320" s="35">
        <v>0</v>
      </c>
      <c r="K320" s="35">
        <v>10.179975019940001</v>
      </c>
      <c r="L320" s="35">
        <v>1854.1719879007001</v>
      </c>
      <c r="M320" s="19">
        <f t="shared" si="5"/>
        <v>6678.3111362471664</v>
      </c>
    </row>
    <row r="321" spans="1:13" x14ac:dyDescent="0.25">
      <c r="A321" s="33">
        <v>46033</v>
      </c>
      <c r="B321" s="35">
        <v>0</v>
      </c>
      <c r="C321" s="35">
        <v>0</v>
      </c>
      <c r="D321" s="35">
        <v>5103.3153833464803</v>
      </c>
      <c r="E321" s="35">
        <v>41.2318427882065</v>
      </c>
      <c r="F321" s="35">
        <v>457.48502220778198</v>
      </c>
      <c r="G321" s="35">
        <v>213.41938212866799</v>
      </c>
      <c r="H321" s="35">
        <v>1589.0353697088101</v>
      </c>
      <c r="I321" s="35">
        <v>2043.7621027643499</v>
      </c>
      <c r="J321" s="35">
        <v>0</v>
      </c>
      <c r="K321" s="35">
        <v>20.166082935262502</v>
      </c>
      <c r="L321" s="35">
        <v>2539.6954319882002</v>
      </c>
      <c r="M321" s="19">
        <f t="shared" si="5"/>
        <v>12008.11061786776</v>
      </c>
    </row>
    <row r="322" spans="1:13" x14ac:dyDescent="0.25">
      <c r="A322" s="33">
        <v>46034</v>
      </c>
      <c r="B322" s="35">
        <v>0</v>
      </c>
      <c r="C322" s="35">
        <v>0</v>
      </c>
      <c r="D322" s="35">
        <v>10443.905251788599</v>
      </c>
      <c r="E322" s="35">
        <v>120.652394295245</v>
      </c>
      <c r="F322" s="35">
        <v>2663.8839907595898</v>
      </c>
      <c r="G322" s="35">
        <v>2000.2790164693399</v>
      </c>
      <c r="H322" s="35">
        <v>6102.4972738885399</v>
      </c>
      <c r="I322" s="35">
        <v>248.88261666653</v>
      </c>
      <c r="J322" s="35">
        <v>0</v>
      </c>
      <c r="K322" s="35">
        <v>44.611663576892497</v>
      </c>
      <c r="L322" s="35">
        <v>13373.224628487</v>
      </c>
      <c r="M322" s="19">
        <f t="shared" si="5"/>
        <v>34997.936835931738</v>
      </c>
    </row>
    <row r="323" spans="1:13" x14ac:dyDescent="0.25">
      <c r="A323" s="33">
        <v>46035</v>
      </c>
      <c r="B323" s="35">
        <v>0</v>
      </c>
      <c r="C323" s="35">
        <v>0</v>
      </c>
      <c r="D323" s="35">
        <v>10637.7537284434</v>
      </c>
      <c r="E323" s="35">
        <v>259.69794109223199</v>
      </c>
      <c r="F323" s="35">
        <v>4060.9970834914898</v>
      </c>
      <c r="G323" s="35">
        <v>2597.57936982606</v>
      </c>
      <c r="H323" s="35">
        <v>8105.8847366335503</v>
      </c>
      <c r="I323" s="35">
        <v>123.112701025715</v>
      </c>
      <c r="J323" s="35">
        <v>0</v>
      </c>
      <c r="K323" s="35">
        <v>61.8701167191875</v>
      </c>
      <c r="L323" s="35">
        <v>9950.7697815559095</v>
      </c>
      <c r="M323" s="19">
        <f t="shared" si="5"/>
        <v>35797.665458787546</v>
      </c>
    </row>
    <row r="324" spans="1:13" x14ac:dyDescent="0.25">
      <c r="A324" s="33">
        <v>46036</v>
      </c>
      <c r="B324" s="35">
        <v>0</v>
      </c>
      <c r="C324" s="35">
        <v>0</v>
      </c>
      <c r="D324" s="35">
        <v>11430.8913560827</v>
      </c>
      <c r="E324" s="35">
        <v>294.34118384184598</v>
      </c>
      <c r="F324" s="35">
        <v>6218.6262452456904</v>
      </c>
      <c r="G324" s="35">
        <v>2262.0856153929799</v>
      </c>
      <c r="H324" s="35">
        <v>10255.1564747102</v>
      </c>
      <c r="I324" s="35">
        <v>82.163073805868805</v>
      </c>
      <c r="J324" s="35">
        <v>46.191703892843897</v>
      </c>
      <c r="K324" s="35">
        <v>246.05045988200001</v>
      </c>
      <c r="L324" s="35">
        <v>14081.811103005</v>
      </c>
      <c r="M324" s="19">
        <f t="shared" si="5"/>
        <v>44917.317215859133</v>
      </c>
    </row>
    <row r="325" spans="1:13" x14ac:dyDescent="0.25">
      <c r="A325" s="33">
        <v>46037</v>
      </c>
      <c r="B325" s="35">
        <v>0</v>
      </c>
      <c r="C325" s="35">
        <v>0</v>
      </c>
      <c r="D325" s="35">
        <v>9883.3755379552895</v>
      </c>
      <c r="E325" s="35">
        <v>166.24990439233599</v>
      </c>
      <c r="F325" s="35">
        <v>5014.12704889618</v>
      </c>
      <c r="G325" s="35">
        <v>1934.9779301992601</v>
      </c>
      <c r="H325" s="35">
        <v>9311.9473884661693</v>
      </c>
      <c r="I325" s="35">
        <v>105.47406324353599</v>
      </c>
      <c r="J325" s="35">
        <v>89.397041145990499</v>
      </c>
      <c r="K325" s="35">
        <v>157.83354719996299</v>
      </c>
      <c r="L325" s="35">
        <v>18153.1543453218</v>
      </c>
      <c r="M325" s="19">
        <f t="shared" si="5"/>
        <v>44816.536806820528</v>
      </c>
    </row>
    <row r="326" spans="1:13" x14ac:dyDescent="0.25">
      <c r="A326" s="33">
        <v>46038</v>
      </c>
      <c r="B326" s="35">
        <v>0</v>
      </c>
      <c r="C326" s="35">
        <v>0</v>
      </c>
      <c r="D326" s="35">
        <v>5579.2714744784198</v>
      </c>
      <c r="E326" s="35">
        <v>95.909770943422203</v>
      </c>
      <c r="F326" s="35">
        <v>2599.5837948305002</v>
      </c>
      <c r="G326" s="35">
        <v>2101.5313669913899</v>
      </c>
      <c r="H326" s="35">
        <v>6349.0356725362199</v>
      </c>
      <c r="I326" s="35">
        <v>102.163911448124</v>
      </c>
      <c r="J326" s="35">
        <v>328.06716974470999</v>
      </c>
      <c r="K326" s="35">
        <v>308.96364447873998</v>
      </c>
      <c r="L326" s="35">
        <v>19665.293948381299</v>
      </c>
      <c r="M326" s="19">
        <f t="shared" si="5"/>
        <v>37129.820753832828</v>
      </c>
    </row>
    <row r="327" spans="1:13" x14ac:dyDescent="0.25">
      <c r="A327" s="33">
        <v>46039</v>
      </c>
      <c r="B327" s="35">
        <v>0</v>
      </c>
      <c r="C327" s="35">
        <v>0</v>
      </c>
      <c r="D327" s="35">
        <v>4595.2826310904602</v>
      </c>
      <c r="E327" s="35">
        <v>11.060474289688299</v>
      </c>
      <c r="F327" s="35">
        <v>128.880215515027</v>
      </c>
      <c r="G327" s="35">
        <v>398.616183218559</v>
      </c>
      <c r="H327" s="35">
        <v>3629.5305060545202</v>
      </c>
      <c r="I327" s="35">
        <v>62.2946739234633</v>
      </c>
      <c r="J327" s="35">
        <v>53.192962433915099</v>
      </c>
      <c r="K327" s="35">
        <v>47.455368515527503</v>
      </c>
      <c r="L327" s="35">
        <v>964.90617273129101</v>
      </c>
      <c r="M327" s="19">
        <f t="shared" si="5"/>
        <v>9891.2191877724526</v>
      </c>
    </row>
    <row r="328" spans="1:13" x14ac:dyDescent="0.25">
      <c r="A328" s="33">
        <v>46040</v>
      </c>
      <c r="B328" s="35">
        <v>0</v>
      </c>
      <c r="C328" s="35">
        <v>0</v>
      </c>
      <c r="D328" s="35">
        <v>5515.7067580694702</v>
      </c>
      <c r="E328" s="35">
        <v>33.346260287833701</v>
      </c>
      <c r="F328" s="35">
        <v>336.44550805549301</v>
      </c>
      <c r="G328" s="35">
        <v>209.13821411115501</v>
      </c>
      <c r="H328" s="35">
        <v>2802.89645217212</v>
      </c>
      <c r="I328" s="35">
        <v>77.802513345248002</v>
      </c>
      <c r="J328" s="35">
        <v>66.680676139240703</v>
      </c>
      <c r="K328" s="35">
        <v>180.488436491475</v>
      </c>
      <c r="L328" s="35">
        <v>5700.0371685182299</v>
      </c>
      <c r="M328" s="19">
        <f t="shared" si="5"/>
        <v>14922.541987190263</v>
      </c>
    </row>
    <row r="329" spans="1:13" x14ac:dyDescent="0.25">
      <c r="A329" s="33">
        <v>46041</v>
      </c>
      <c r="B329" s="35">
        <v>0</v>
      </c>
      <c r="C329" s="35">
        <v>0</v>
      </c>
      <c r="D329" s="35">
        <v>9234.1139613544292</v>
      </c>
      <c r="E329" s="35">
        <v>44.180661755824303</v>
      </c>
      <c r="F329" s="35">
        <v>1252.4806613846099</v>
      </c>
      <c r="G329" s="35">
        <v>1034.6657799157001</v>
      </c>
      <c r="H329" s="35">
        <v>5894.3890957692402</v>
      </c>
      <c r="I329" s="35">
        <v>93.498028368147502</v>
      </c>
      <c r="J329" s="35">
        <v>544.46618665490496</v>
      </c>
      <c r="K329" s="35">
        <v>69.422818394342499</v>
      </c>
      <c r="L329" s="35">
        <v>13096.0053177687</v>
      </c>
      <c r="M329" s="19">
        <f t="shared" si="5"/>
        <v>31263.222511365901</v>
      </c>
    </row>
    <row r="330" spans="1:13" x14ac:dyDescent="0.25">
      <c r="A330" s="33">
        <v>46042</v>
      </c>
      <c r="B330" s="35">
        <v>0</v>
      </c>
      <c r="C330" s="35">
        <v>0</v>
      </c>
      <c r="D330" s="35">
        <v>11132.3723926324</v>
      </c>
      <c r="E330" s="35">
        <v>112.99726171504901</v>
      </c>
      <c r="F330" s="35">
        <v>3669.1888294146702</v>
      </c>
      <c r="G330" s="35">
        <v>3938.35935369663</v>
      </c>
      <c r="H330" s="35">
        <v>9622.8982803486197</v>
      </c>
      <c r="I330" s="35">
        <v>178.19421043564199</v>
      </c>
      <c r="J330" s="35">
        <v>736.21111947197699</v>
      </c>
      <c r="K330" s="35">
        <v>20.630553640182502</v>
      </c>
      <c r="L330" s="35">
        <v>17444.967343134402</v>
      </c>
      <c r="M330" s="19">
        <f t="shared" si="5"/>
        <v>46855.819344489573</v>
      </c>
    </row>
    <row r="331" spans="1:13" x14ac:dyDescent="0.25">
      <c r="A331" s="33">
        <v>46043</v>
      </c>
      <c r="B331" s="35">
        <v>0</v>
      </c>
      <c r="C331" s="35">
        <v>4.7205572032755496</v>
      </c>
      <c r="D331" s="35">
        <v>11689.4599554898</v>
      </c>
      <c r="E331" s="35">
        <v>135.94188902190601</v>
      </c>
      <c r="F331" s="35">
        <v>2755.1666186120701</v>
      </c>
      <c r="G331" s="35">
        <v>4424.27893280218</v>
      </c>
      <c r="H331" s="35">
        <v>12047.4353954544</v>
      </c>
      <c r="I331" s="35">
        <v>131.05131236099501</v>
      </c>
      <c r="J331" s="35">
        <v>995.98661434041196</v>
      </c>
      <c r="K331" s="35">
        <v>83.059803456344994</v>
      </c>
      <c r="L331" s="35">
        <v>38365.892617018901</v>
      </c>
      <c r="M331" s="19">
        <f t="shared" si="5"/>
        <v>70632.993695760291</v>
      </c>
    </row>
    <row r="332" spans="1:13" x14ac:dyDescent="0.25">
      <c r="A332" s="33">
        <v>46044</v>
      </c>
      <c r="B332" s="35">
        <v>0</v>
      </c>
      <c r="C332" s="35">
        <v>7.4383142511402802</v>
      </c>
      <c r="D332" s="35">
        <v>6014.8979388775297</v>
      </c>
      <c r="E332" s="35">
        <v>469.604794789322</v>
      </c>
      <c r="F332" s="35">
        <v>3106.4582608921501</v>
      </c>
      <c r="G332" s="35">
        <v>4730.7641019679204</v>
      </c>
      <c r="H332" s="35">
        <v>12767.8647658134</v>
      </c>
      <c r="I332" s="35">
        <v>125.404402640893</v>
      </c>
      <c r="J332" s="35">
        <v>283.434124416396</v>
      </c>
      <c r="K332" s="35">
        <v>156.561872082305</v>
      </c>
      <c r="L332" s="35">
        <v>24745.3309021266</v>
      </c>
      <c r="M332" s="19">
        <f t="shared" si="5"/>
        <v>52407.759477857653</v>
      </c>
    </row>
    <row r="333" spans="1:13" x14ac:dyDescent="0.25">
      <c r="A333" s="33">
        <v>46045</v>
      </c>
      <c r="B333" s="35">
        <v>0</v>
      </c>
      <c r="C333" s="35">
        <v>17.9217766352734</v>
      </c>
      <c r="D333" s="35">
        <v>8115.1412534174597</v>
      </c>
      <c r="E333" s="35">
        <v>389.63172147559402</v>
      </c>
      <c r="F333" s="35">
        <v>1903.43560825091</v>
      </c>
      <c r="G333" s="35">
        <v>3753.1353050592002</v>
      </c>
      <c r="H333" s="35">
        <v>8160.1385689345198</v>
      </c>
      <c r="I333" s="35">
        <v>223.772913130283</v>
      </c>
      <c r="J333" s="35">
        <v>1283.28291956768</v>
      </c>
      <c r="K333" s="35">
        <v>108.03318152187001</v>
      </c>
      <c r="L333" s="35">
        <v>31735.121117799699</v>
      </c>
      <c r="M333" s="19">
        <f t="shared" si="5"/>
        <v>55689.614365792484</v>
      </c>
    </row>
    <row r="334" spans="1:13" x14ac:dyDescent="0.25">
      <c r="A334" s="33">
        <v>46046</v>
      </c>
      <c r="B334" s="35">
        <v>0</v>
      </c>
      <c r="C334" s="35">
        <v>6.0777268635631003</v>
      </c>
      <c r="D334" s="35">
        <v>5626.76993926053</v>
      </c>
      <c r="E334" s="35">
        <v>274.62105211162401</v>
      </c>
      <c r="F334" s="35">
        <v>52.703589526306899</v>
      </c>
      <c r="G334" s="35">
        <v>284.795565144075</v>
      </c>
      <c r="H334" s="35">
        <v>1809.31439269259</v>
      </c>
      <c r="I334" s="35">
        <v>55.817567045344497</v>
      </c>
      <c r="J334" s="35">
        <v>873.07816629068498</v>
      </c>
      <c r="K334" s="35">
        <v>18.5751824174625</v>
      </c>
      <c r="L334" s="35">
        <v>7210.7989763766</v>
      </c>
      <c r="M334" s="19">
        <f t="shared" si="5"/>
        <v>16212.552157728782</v>
      </c>
    </row>
    <row r="335" spans="1:13" x14ac:dyDescent="0.25">
      <c r="A335" s="33">
        <v>46047</v>
      </c>
      <c r="B335" s="35">
        <v>0</v>
      </c>
      <c r="C335" s="35">
        <v>3.5852910640091</v>
      </c>
      <c r="D335" s="35">
        <v>10755.1403198772</v>
      </c>
      <c r="E335" s="35">
        <v>354.13631080489898</v>
      </c>
      <c r="F335" s="35">
        <v>433.71125081287801</v>
      </c>
      <c r="G335" s="35">
        <v>1325.1068699234399</v>
      </c>
      <c r="H335" s="35">
        <v>3263.7821159309701</v>
      </c>
      <c r="I335" s="35">
        <v>1678.5762884303001</v>
      </c>
      <c r="J335" s="35">
        <v>944.60794489279999</v>
      </c>
      <c r="K335" s="35">
        <v>61.336042232894997</v>
      </c>
      <c r="L335" s="35">
        <v>16495.351681147698</v>
      </c>
      <c r="M335" s="19">
        <f t="shared" si="5"/>
        <v>35315.33411511709</v>
      </c>
    </row>
    <row r="336" spans="1:13" x14ac:dyDescent="0.25">
      <c r="A336" s="33">
        <v>46048</v>
      </c>
      <c r="B336" s="35">
        <v>0</v>
      </c>
      <c r="C336" s="35">
        <v>34.089107993099297</v>
      </c>
      <c r="D336" s="35">
        <v>8745.2607745358891</v>
      </c>
      <c r="E336" s="35">
        <v>615.49117771203805</v>
      </c>
      <c r="F336" s="35">
        <v>2501.35729848649</v>
      </c>
      <c r="G336" s="35">
        <v>3202.7352186705002</v>
      </c>
      <c r="H336" s="35">
        <v>8632.9247681481302</v>
      </c>
      <c r="I336" s="35">
        <v>307.703803064098</v>
      </c>
      <c r="J336" s="35">
        <v>3183.5534920858399</v>
      </c>
      <c r="K336" s="35">
        <v>109.105268776933</v>
      </c>
      <c r="L336" s="35">
        <v>77790.946153772893</v>
      </c>
      <c r="M336" s="19">
        <f t="shared" si="5"/>
        <v>105123.16706324591</v>
      </c>
    </row>
    <row r="337" spans="1:13" x14ac:dyDescent="0.25">
      <c r="A337" s="33">
        <v>46049</v>
      </c>
      <c r="B337" s="35">
        <v>0</v>
      </c>
      <c r="C337" s="35">
        <v>24.4161905640048</v>
      </c>
      <c r="D337" s="35">
        <v>10329.101985409499</v>
      </c>
      <c r="E337" s="35">
        <v>434.96077239765901</v>
      </c>
      <c r="F337" s="35">
        <v>2430.8963479036702</v>
      </c>
      <c r="G337" s="35">
        <v>3185.59066103444</v>
      </c>
      <c r="H337" s="35">
        <v>7502.9873982254803</v>
      </c>
      <c r="I337" s="35">
        <v>343.068239860929</v>
      </c>
      <c r="J337" s="35">
        <v>1498.8881291842499</v>
      </c>
      <c r="K337" s="35">
        <v>146.51502547947001</v>
      </c>
      <c r="L337" s="35">
        <v>81584.976523629695</v>
      </c>
      <c r="M337" s="19">
        <f t="shared" si="5"/>
        <v>107481.40127368909</v>
      </c>
    </row>
    <row r="338" spans="1:13" x14ac:dyDescent="0.25">
      <c r="A338" s="33">
        <v>46050</v>
      </c>
      <c r="B338" s="35">
        <v>0</v>
      </c>
      <c r="C338" s="35">
        <v>22.267616575386601</v>
      </c>
      <c r="D338" s="35">
        <v>11313.7924404773</v>
      </c>
      <c r="E338" s="35">
        <v>663.13406757670703</v>
      </c>
      <c r="F338" s="35">
        <v>1622.6538933106899</v>
      </c>
      <c r="G338" s="35">
        <v>7195.06741636685</v>
      </c>
      <c r="H338" s="35">
        <v>11644.7055604787</v>
      </c>
      <c r="I338" s="35">
        <v>364.16280079600801</v>
      </c>
      <c r="J338" s="35">
        <v>1462.1571766496299</v>
      </c>
      <c r="K338" s="35">
        <v>140.25171421540301</v>
      </c>
      <c r="L338" s="35">
        <v>113779.74252874601</v>
      </c>
      <c r="M338" s="19">
        <f t="shared" si="5"/>
        <v>148207.93521519267</v>
      </c>
    </row>
    <row r="339" spans="1:13" x14ac:dyDescent="0.25">
      <c r="A339" s="33">
        <v>46051</v>
      </c>
      <c r="B339" s="35">
        <v>0</v>
      </c>
      <c r="C339" s="35">
        <v>10.825629307085499</v>
      </c>
      <c r="D339" s="35">
        <v>14875.3816036764</v>
      </c>
      <c r="E339" s="35">
        <v>821.368435344923</v>
      </c>
      <c r="F339" s="35">
        <v>2391.2801620805799</v>
      </c>
      <c r="G339" s="35">
        <v>10128.3227478099</v>
      </c>
      <c r="H339" s="35">
        <v>14380.6306408496</v>
      </c>
      <c r="I339" s="35">
        <v>245.66785042071501</v>
      </c>
      <c r="J339" s="35">
        <v>8699.9015844638507</v>
      </c>
      <c r="K339" s="35">
        <v>173.86835509527299</v>
      </c>
      <c r="L339" s="35">
        <v>199178.73579247901</v>
      </c>
      <c r="M339" s="19">
        <f t="shared" si="5"/>
        <v>250905.98280152734</v>
      </c>
    </row>
    <row r="340" spans="1:13" x14ac:dyDescent="0.25">
      <c r="A340" s="33">
        <v>46052</v>
      </c>
      <c r="B340" s="35">
        <v>0</v>
      </c>
      <c r="C340" s="35">
        <v>6.82322978646505</v>
      </c>
      <c r="D340" s="35">
        <v>15663.550736749199</v>
      </c>
      <c r="E340" s="35">
        <v>728.72454429937795</v>
      </c>
      <c r="F340" s="35">
        <v>3887.2523618223499</v>
      </c>
      <c r="G340" s="35">
        <v>6399.8688830227302</v>
      </c>
      <c r="H340" s="35">
        <v>16531.7945023719</v>
      </c>
      <c r="I340" s="35">
        <v>249.412608275953</v>
      </c>
      <c r="J340" s="35">
        <v>7619.8789991861304</v>
      </c>
      <c r="K340" s="35">
        <v>472.769780569658</v>
      </c>
      <c r="L340" s="35">
        <v>283466.85441615997</v>
      </c>
      <c r="M340" s="19">
        <f t="shared" si="5"/>
        <v>335026.93006224371</v>
      </c>
    </row>
    <row r="341" spans="1:13" x14ac:dyDescent="0.25">
      <c r="A341" s="33">
        <v>46053</v>
      </c>
      <c r="B341" s="35">
        <v>0</v>
      </c>
      <c r="C341" s="35">
        <v>18.385022545207999</v>
      </c>
      <c r="D341" s="35">
        <v>16668.738853391598</v>
      </c>
      <c r="E341" s="35">
        <v>76.555474298239005</v>
      </c>
      <c r="F341" s="35">
        <v>1784.87804377629</v>
      </c>
      <c r="G341" s="35">
        <v>1101.8198894498701</v>
      </c>
      <c r="H341" s="35">
        <v>2467.79964676183</v>
      </c>
      <c r="I341" s="35">
        <v>62.333928021655503</v>
      </c>
      <c r="J341" s="35">
        <v>710.96401934103699</v>
      </c>
      <c r="K341" s="35">
        <v>119.01607092995501</v>
      </c>
      <c r="L341" s="35">
        <v>24220.452984899799</v>
      </c>
      <c r="M341" s="19">
        <f t="shared" si="5"/>
        <v>47230.943933415489</v>
      </c>
    </row>
    <row r="342" spans="1:13" x14ac:dyDescent="0.25">
      <c r="A342" s="33">
        <v>46054</v>
      </c>
      <c r="B342" s="35">
        <v>0</v>
      </c>
      <c r="C342" s="35">
        <v>7.4191861397605496</v>
      </c>
      <c r="D342" s="35">
        <v>10831.1397392039</v>
      </c>
      <c r="E342" s="35">
        <v>231.482898405193</v>
      </c>
      <c r="F342" s="35">
        <v>2278.5970957274299</v>
      </c>
      <c r="G342" s="35">
        <v>1715.35680756489</v>
      </c>
      <c r="H342" s="35">
        <v>2947.0877200735799</v>
      </c>
      <c r="I342" s="35">
        <v>81.790642928112504</v>
      </c>
      <c r="J342" s="35">
        <v>544.818456545456</v>
      </c>
      <c r="K342" s="35">
        <v>30.683331117882499</v>
      </c>
      <c r="L342" s="35">
        <v>32145.507379217401</v>
      </c>
      <c r="M342" s="19">
        <f t="shared" si="5"/>
        <v>50813.883256923611</v>
      </c>
    </row>
    <row r="343" spans="1:13" x14ac:dyDescent="0.25">
      <c r="A343" s="33">
        <v>46055</v>
      </c>
      <c r="B343" s="35">
        <v>0</v>
      </c>
      <c r="C343" s="35">
        <v>10.2243260753832</v>
      </c>
      <c r="D343" s="35">
        <v>14927.688004465401</v>
      </c>
      <c r="E343" s="35">
        <v>942.91753079588398</v>
      </c>
      <c r="F343" s="35">
        <v>9682.4788029306801</v>
      </c>
      <c r="G343" s="35">
        <v>13718.293627586199</v>
      </c>
      <c r="H343" s="35">
        <v>21119.182686149401</v>
      </c>
      <c r="I343" s="35">
        <v>209.60845419969999</v>
      </c>
      <c r="J343" s="35">
        <v>2872.2994742188898</v>
      </c>
      <c r="K343" s="35">
        <v>102.13464686392</v>
      </c>
      <c r="L343" s="35">
        <v>192493.34383715599</v>
      </c>
      <c r="M343" s="19">
        <f t="shared" si="5"/>
        <v>256078.17139044145</v>
      </c>
    </row>
    <row r="344" spans="1:13" x14ac:dyDescent="0.25">
      <c r="A344" s="33">
        <v>46056</v>
      </c>
      <c r="B344" s="35">
        <v>0</v>
      </c>
      <c r="C344" s="35">
        <v>6.6478994480868803</v>
      </c>
      <c r="D344" s="35">
        <v>18367.539061318101</v>
      </c>
      <c r="E344" s="35">
        <v>913.100443177702</v>
      </c>
      <c r="F344" s="35">
        <v>7226.2192520235103</v>
      </c>
      <c r="G344" s="35">
        <v>20094.8611480156</v>
      </c>
      <c r="H344" s="35">
        <v>12313.968763163401</v>
      </c>
      <c r="I344" s="35">
        <v>157.66098200413299</v>
      </c>
      <c r="J344" s="35">
        <v>3226.4608259802499</v>
      </c>
      <c r="K344" s="35">
        <v>584.38101545170503</v>
      </c>
      <c r="L344" s="35">
        <v>159398.47481268301</v>
      </c>
      <c r="M344" s="19">
        <f t="shared" si="5"/>
        <v>222289.3142032655</v>
      </c>
    </row>
    <row r="345" spans="1:13" x14ac:dyDescent="0.25">
      <c r="A345" s="33">
        <v>46057</v>
      </c>
      <c r="B345" s="35">
        <v>0</v>
      </c>
      <c r="C345" s="35">
        <v>16.206390608487599</v>
      </c>
      <c r="D345" s="35">
        <v>15921.1674812037</v>
      </c>
      <c r="E345" s="35">
        <v>652.08359065084005</v>
      </c>
      <c r="F345" s="35">
        <v>3669.7037876834402</v>
      </c>
      <c r="G345" s="35">
        <v>9562.2254987160195</v>
      </c>
      <c r="H345" s="35">
        <v>15634.774278950799</v>
      </c>
      <c r="I345" s="35">
        <v>195.5123843211</v>
      </c>
      <c r="J345" s="35">
        <v>1736.2561586796</v>
      </c>
      <c r="K345" s="35">
        <v>273.72872075031302</v>
      </c>
      <c r="L345" s="35">
        <v>127559.40529560301</v>
      </c>
      <c r="M345" s="19">
        <f t="shared" si="5"/>
        <v>175221.0635871673</v>
      </c>
    </row>
    <row r="346" spans="1:13" x14ac:dyDescent="0.25">
      <c r="A346" s="33">
        <v>46058</v>
      </c>
      <c r="B346" s="35">
        <v>0</v>
      </c>
      <c r="C346" s="35">
        <v>15.6954190740984</v>
      </c>
      <c r="D346" s="35">
        <v>28817.241797665101</v>
      </c>
      <c r="E346" s="35">
        <v>526.98912527048105</v>
      </c>
      <c r="F346" s="35">
        <v>7898.4147370941901</v>
      </c>
      <c r="G346" s="35">
        <v>11699.4292962544</v>
      </c>
      <c r="H346" s="35">
        <v>22495.158262094901</v>
      </c>
      <c r="I346" s="35">
        <v>143.982887590106</v>
      </c>
      <c r="J346" s="35">
        <v>1706.76422972665</v>
      </c>
      <c r="K346" s="35">
        <v>239.244700293943</v>
      </c>
      <c r="L346" s="35">
        <v>184626.316726399</v>
      </c>
      <c r="M346" s="19">
        <f t="shared" si="5"/>
        <v>258169.23718146287</v>
      </c>
    </row>
    <row r="347" spans="1:13" x14ac:dyDescent="0.25">
      <c r="A347" s="33">
        <v>46059</v>
      </c>
      <c r="B347" s="35">
        <v>0</v>
      </c>
      <c r="C347" s="35">
        <v>8.7196544778198799</v>
      </c>
      <c r="D347" s="35">
        <v>22908.063381860498</v>
      </c>
      <c r="E347" s="35">
        <v>367.802750541286</v>
      </c>
      <c r="F347" s="35">
        <v>8129.3473022183498</v>
      </c>
      <c r="G347" s="35">
        <v>9027.5319767524106</v>
      </c>
      <c r="H347" s="35">
        <v>15746.189275585901</v>
      </c>
      <c r="I347" s="35">
        <v>172.54551950795101</v>
      </c>
      <c r="J347" s="35">
        <v>1076.57620573588</v>
      </c>
      <c r="K347" s="35">
        <v>192.72075123955</v>
      </c>
      <c r="L347" s="35">
        <v>100084.51941471599</v>
      </c>
      <c r="M347" s="19">
        <f t="shared" si="5"/>
        <v>157714.01623263565</v>
      </c>
    </row>
    <row r="348" spans="1:13" x14ac:dyDescent="0.25">
      <c r="A348" s="33">
        <v>46060</v>
      </c>
      <c r="B348" s="35">
        <v>0</v>
      </c>
      <c r="C348" s="35">
        <v>1.1338621185273801</v>
      </c>
      <c r="D348" s="35">
        <v>9650.5829442557206</v>
      </c>
      <c r="E348" s="35">
        <v>34.138752281341901</v>
      </c>
      <c r="F348" s="35">
        <v>1626.4117434504501</v>
      </c>
      <c r="G348" s="35">
        <v>481.924519584184</v>
      </c>
      <c r="H348" s="35">
        <v>1473.5192308558901</v>
      </c>
      <c r="I348" s="35">
        <v>28.720251831673501</v>
      </c>
      <c r="J348" s="35">
        <v>60.031485870287398</v>
      </c>
      <c r="K348" s="35">
        <v>386.85132133703303</v>
      </c>
      <c r="L348" s="35">
        <v>5329.8746403139303</v>
      </c>
      <c r="M348" s="19">
        <f t="shared" si="5"/>
        <v>19073.188751899041</v>
      </c>
    </row>
    <row r="349" spans="1:13" x14ac:dyDescent="0.25">
      <c r="A349" s="33">
        <v>46061</v>
      </c>
      <c r="B349" s="35">
        <v>0</v>
      </c>
      <c r="C349" s="35">
        <v>1.167166998396</v>
      </c>
      <c r="D349" s="35">
        <v>5354.5664649200899</v>
      </c>
      <c r="E349" s="35">
        <v>56.601603370113303</v>
      </c>
      <c r="F349" s="35">
        <v>700.51003288250104</v>
      </c>
      <c r="G349" s="35">
        <v>401.70661655585798</v>
      </c>
      <c r="H349" s="35">
        <v>1770.58889094355</v>
      </c>
      <c r="I349" s="35">
        <v>110.36066351473799</v>
      </c>
      <c r="J349" s="35">
        <v>282.62743543603699</v>
      </c>
      <c r="K349" s="35">
        <v>292.12071563628001</v>
      </c>
      <c r="L349" s="35">
        <v>16306.7341994951</v>
      </c>
      <c r="M349" s="19">
        <f t="shared" si="5"/>
        <v>25276.983789752663</v>
      </c>
    </row>
    <row r="350" spans="1:13" x14ac:dyDescent="0.25">
      <c r="A350" s="33">
        <v>46062</v>
      </c>
      <c r="B350" s="35">
        <v>0</v>
      </c>
      <c r="C350" s="35">
        <v>5.4091125449832003</v>
      </c>
      <c r="D350" s="35">
        <v>6709.2103974708998</v>
      </c>
      <c r="E350" s="35">
        <v>254.70447600214601</v>
      </c>
      <c r="F350" s="35">
        <v>4459.7496958318698</v>
      </c>
      <c r="G350" s="35">
        <v>6433.3512017007297</v>
      </c>
      <c r="H350" s="35">
        <v>9919.6277818075996</v>
      </c>
      <c r="I350" s="35">
        <v>180.12594663608101</v>
      </c>
      <c r="J350" s="35">
        <v>1012.41978476065</v>
      </c>
      <c r="K350" s="35">
        <v>40.429991605449999</v>
      </c>
      <c r="L350" s="35">
        <v>48507.421947846902</v>
      </c>
      <c r="M350" s="19">
        <f t="shared" si="5"/>
        <v>77522.450336207316</v>
      </c>
    </row>
    <row r="351" spans="1:13" x14ac:dyDescent="0.25">
      <c r="A351" s="33">
        <v>46063</v>
      </c>
      <c r="B351" s="35">
        <v>0</v>
      </c>
      <c r="C351" s="35">
        <v>5.2362701934003502</v>
      </c>
      <c r="D351" s="35">
        <v>5726.1270748973502</v>
      </c>
      <c r="E351" s="35">
        <v>262.72374118676203</v>
      </c>
      <c r="F351" s="35">
        <v>4419.8005309092196</v>
      </c>
      <c r="G351" s="35">
        <v>6851.0203561824001</v>
      </c>
      <c r="H351" s="35">
        <v>10056.8641879156</v>
      </c>
      <c r="I351" s="35">
        <v>100.56275539853</v>
      </c>
      <c r="J351" s="35">
        <v>603.90735382470302</v>
      </c>
      <c r="K351" s="35">
        <v>171.793313292503</v>
      </c>
      <c r="L351" s="35">
        <v>26782.428782601099</v>
      </c>
      <c r="M351" s="19">
        <f t="shared" si="5"/>
        <v>54980.46436640156</v>
      </c>
    </row>
    <row r="352" spans="1:13" x14ac:dyDescent="0.25">
      <c r="A352" s="33">
        <v>46064</v>
      </c>
      <c r="B352" s="35">
        <v>0</v>
      </c>
      <c r="C352" s="35">
        <v>4.6078044277935</v>
      </c>
      <c r="D352" s="35">
        <v>11864.119715520101</v>
      </c>
      <c r="E352" s="35">
        <v>139.00318081665799</v>
      </c>
      <c r="F352" s="35">
        <v>4779.6546328876602</v>
      </c>
      <c r="G352" s="35">
        <v>6010.13936713771</v>
      </c>
      <c r="H352" s="35">
        <v>13295.315510934</v>
      </c>
      <c r="I352" s="35">
        <v>199.58651789078499</v>
      </c>
      <c r="J352" s="35">
        <v>595.21867112751897</v>
      </c>
      <c r="K352" s="35">
        <v>223.97742936359001</v>
      </c>
      <c r="L352" s="35">
        <v>39603.107214847703</v>
      </c>
      <c r="M352" s="19">
        <f t="shared" si="5"/>
        <v>76714.730044953525</v>
      </c>
    </row>
    <row r="353" spans="1:13" x14ac:dyDescent="0.25">
      <c r="A353" s="33">
        <v>46065</v>
      </c>
      <c r="B353" s="35">
        <v>0</v>
      </c>
      <c r="C353" s="35">
        <v>7.6334473863972798</v>
      </c>
      <c r="D353" s="35">
        <v>11730.42625461</v>
      </c>
      <c r="E353" s="35">
        <v>199.58353695605999</v>
      </c>
      <c r="F353" s="35">
        <v>3823.7800888297302</v>
      </c>
      <c r="G353" s="35">
        <v>6101.3561532793801</v>
      </c>
      <c r="H353" s="35">
        <v>16291.499568412</v>
      </c>
      <c r="I353" s="35">
        <v>142.09116838723199</v>
      </c>
      <c r="J353" s="35">
        <v>481.41365783263302</v>
      </c>
      <c r="K353" s="35">
        <v>93.879475817282497</v>
      </c>
      <c r="L353" s="35">
        <v>49205.960566299203</v>
      </c>
      <c r="M353" s="19">
        <f t="shared" si="5"/>
        <v>88077.62391780992</v>
      </c>
    </row>
    <row r="354" spans="1:13" x14ac:dyDescent="0.25">
      <c r="A354" s="33">
        <v>46066</v>
      </c>
      <c r="B354" s="35">
        <v>0</v>
      </c>
      <c r="C354" s="35">
        <v>18.936902630754101</v>
      </c>
      <c r="D354" s="35">
        <v>8811.2488525057597</v>
      </c>
      <c r="E354" s="35">
        <v>187.26943648175401</v>
      </c>
      <c r="F354" s="35">
        <v>3838.4397085888399</v>
      </c>
      <c r="G354" s="35">
        <v>6210.0534528242997</v>
      </c>
      <c r="H354" s="35">
        <v>17298.022984827501</v>
      </c>
      <c r="I354" s="35">
        <v>68.238314653858296</v>
      </c>
      <c r="J354" s="35">
        <v>563.48011901222606</v>
      </c>
      <c r="K354" s="35">
        <v>31.634693168762499</v>
      </c>
      <c r="L354" s="35">
        <v>27336.151494719401</v>
      </c>
      <c r="M354" s="19">
        <f t="shared" si="5"/>
        <v>64363.475959413154</v>
      </c>
    </row>
    <row r="355" spans="1:13" x14ac:dyDescent="0.25">
      <c r="A355" s="33">
        <v>46067</v>
      </c>
      <c r="B355" s="35">
        <v>0</v>
      </c>
      <c r="C355" s="35">
        <v>4.6880549420204503</v>
      </c>
      <c r="D355" s="35">
        <v>4882.7076282503904</v>
      </c>
      <c r="E355" s="35">
        <v>65.954418517799198</v>
      </c>
      <c r="F355" s="35">
        <v>738.05500211330002</v>
      </c>
      <c r="G355" s="35">
        <v>497.04790016346999</v>
      </c>
      <c r="H355" s="35">
        <v>1404.63425118745</v>
      </c>
      <c r="I355" s="35">
        <v>16.642131586227801</v>
      </c>
      <c r="J355" s="35">
        <v>14.1415768906229</v>
      </c>
      <c r="K355" s="35">
        <v>21.147549151469999</v>
      </c>
      <c r="L355" s="35">
        <v>2573.3426265408998</v>
      </c>
      <c r="M355" s="19">
        <f t="shared" si="5"/>
        <v>10218.361139343651</v>
      </c>
    </row>
    <row r="356" spans="1:13" x14ac:dyDescent="0.25">
      <c r="A356" s="33">
        <v>46068</v>
      </c>
      <c r="B356" s="35">
        <v>0</v>
      </c>
      <c r="C356" s="35">
        <v>5.1190585297374298</v>
      </c>
      <c r="D356" s="35">
        <v>7446.24809946408</v>
      </c>
      <c r="E356" s="35">
        <v>49.763159470601003</v>
      </c>
      <c r="F356" s="35">
        <v>868.66539144380795</v>
      </c>
      <c r="G356" s="35">
        <v>541.15968965302602</v>
      </c>
      <c r="H356" s="35">
        <v>2510.1830940602099</v>
      </c>
      <c r="I356" s="35">
        <v>28.651727936699999</v>
      </c>
      <c r="J356" s="35">
        <v>69.698125216925007</v>
      </c>
      <c r="K356" s="35">
        <v>48.098595113442499</v>
      </c>
      <c r="L356" s="35">
        <v>9473.1399480946402</v>
      </c>
      <c r="M356" s="19">
        <f t="shared" si="5"/>
        <v>21040.726888983168</v>
      </c>
    </row>
    <row r="357" spans="1:13" x14ac:dyDescent="0.25">
      <c r="A357" s="33">
        <v>46069</v>
      </c>
      <c r="B357" s="35">
        <v>0</v>
      </c>
      <c r="C357" s="35">
        <v>4.0517503416978</v>
      </c>
      <c r="D357" s="35">
        <v>4635.0867891101097</v>
      </c>
      <c r="E357" s="35">
        <v>110.505794102289</v>
      </c>
      <c r="F357" s="35">
        <v>2217.6197385318201</v>
      </c>
      <c r="G357" s="35">
        <v>1005.97753878969</v>
      </c>
      <c r="H357" s="35">
        <v>4348.6968485221396</v>
      </c>
      <c r="I357" s="35">
        <v>62.458253008336499</v>
      </c>
      <c r="J357" s="35">
        <v>225.92839979975801</v>
      </c>
      <c r="K357" s="35">
        <v>13.5884279602075</v>
      </c>
      <c r="L357" s="35">
        <v>13550.205580314499</v>
      </c>
      <c r="M357" s="19">
        <f t="shared" si="5"/>
        <v>26174.119120480544</v>
      </c>
    </row>
    <row r="358" spans="1:13" x14ac:dyDescent="0.25">
      <c r="A358" s="33">
        <v>46070</v>
      </c>
      <c r="B358" s="35">
        <v>0</v>
      </c>
      <c r="C358" s="35">
        <v>21.5886779943372</v>
      </c>
      <c r="D358" s="35">
        <v>6432.4895090747996</v>
      </c>
      <c r="E358" s="35">
        <v>371.60862624733699</v>
      </c>
      <c r="F358" s="35">
        <v>2632.5888320161098</v>
      </c>
      <c r="G358" s="35">
        <v>6001.4522936292096</v>
      </c>
      <c r="H358" s="35">
        <v>14266.254789025101</v>
      </c>
      <c r="I358" s="35">
        <v>85.720687959765002</v>
      </c>
      <c r="J358" s="35">
        <v>401.20774817823599</v>
      </c>
      <c r="K358" s="35">
        <v>14.641636673687501</v>
      </c>
      <c r="L358" s="35">
        <v>40254.903722122202</v>
      </c>
      <c r="M358" s="19">
        <f t="shared" si="5"/>
        <v>70482.45652292078</v>
      </c>
    </row>
    <row r="359" spans="1:13" x14ac:dyDescent="0.25">
      <c r="A359" s="33">
        <v>46071</v>
      </c>
      <c r="B359" s="35">
        <v>0</v>
      </c>
      <c r="C359" s="35">
        <v>17.1238375309986</v>
      </c>
      <c r="D359" s="35">
        <v>7003.5164592676801</v>
      </c>
      <c r="E359" s="35">
        <v>346.90294184771</v>
      </c>
      <c r="F359" s="35">
        <v>1726.4093687182601</v>
      </c>
      <c r="G359" s="35">
        <v>5109.70401470863</v>
      </c>
      <c r="H359" s="35">
        <v>9518.1703262724695</v>
      </c>
      <c r="I359" s="35">
        <v>123.005594624873</v>
      </c>
      <c r="J359" s="35">
        <v>223.576101411557</v>
      </c>
      <c r="K359" s="35">
        <v>18.014057380415</v>
      </c>
      <c r="L359" s="35">
        <v>21965.590052964199</v>
      </c>
      <c r="M359" s="19">
        <f t="shared" ref="M359:M422" si="6">SUM(B359:L359)</f>
        <v>46052.012754726791</v>
      </c>
    </row>
    <row r="360" spans="1:13" x14ac:dyDescent="0.25">
      <c r="A360" s="33">
        <v>46072</v>
      </c>
      <c r="B360" s="35">
        <v>0</v>
      </c>
      <c r="C360" s="35">
        <v>22.793658381203301</v>
      </c>
      <c r="D360" s="35">
        <v>7360.1431297898698</v>
      </c>
      <c r="E360" s="35">
        <v>778.05086534203099</v>
      </c>
      <c r="F360" s="35">
        <v>2041.9231759069501</v>
      </c>
      <c r="G360" s="35">
        <v>4342.8786123114496</v>
      </c>
      <c r="H360" s="35">
        <v>13112.799833314701</v>
      </c>
      <c r="I360" s="35">
        <v>271.66907815680401</v>
      </c>
      <c r="J360" s="35">
        <v>206.108335813146</v>
      </c>
      <c r="K360" s="35">
        <v>345.72299240701801</v>
      </c>
      <c r="L360" s="35">
        <v>23196.379702500199</v>
      </c>
      <c r="M360" s="19">
        <f t="shared" si="6"/>
        <v>51678.469383923373</v>
      </c>
    </row>
    <row r="361" spans="1:13" x14ac:dyDescent="0.25">
      <c r="A361" s="33">
        <v>46073</v>
      </c>
      <c r="B361" s="35">
        <v>0</v>
      </c>
      <c r="C361" s="35">
        <v>12.7572173042382</v>
      </c>
      <c r="D361" s="35">
        <v>8003.2096266054496</v>
      </c>
      <c r="E361" s="35">
        <v>753.76652619196705</v>
      </c>
      <c r="F361" s="35">
        <v>2769.1933047570101</v>
      </c>
      <c r="G361" s="35">
        <v>5652.7705148015802</v>
      </c>
      <c r="H361" s="35">
        <v>19549.055767243299</v>
      </c>
      <c r="I361" s="35">
        <v>325.41436658633302</v>
      </c>
      <c r="J361" s="35">
        <v>233.00049792318501</v>
      </c>
      <c r="K361" s="35">
        <v>285.53423500553703</v>
      </c>
      <c r="L361" s="35">
        <v>37562.078221782998</v>
      </c>
      <c r="M361" s="19">
        <f t="shared" si="6"/>
        <v>75146.780278201593</v>
      </c>
    </row>
    <row r="362" spans="1:13" x14ac:dyDescent="0.25">
      <c r="A362" s="33">
        <v>46074</v>
      </c>
      <c r="B362" s="35">
        <v>0</v>
      </c>
      <c r="C362" s="35">
        <v>0.13330483576749999</v>
      </c>
      <c r="D362" s="35">
        <v>3415.9289041923598</v>
      </c>
      <c r="E362" s="35">
        <v>58.6870872215801</v>
      </c>
      <c r="F362" s="35">
        <v>524.81206698311496</v>
      </c>
      <c r="G362" s="35">
        <v>515.90986246432703</v>
      </c>
      <c r="H362" s="35">
        <v>3435.3236987729601</v>
      </c>
      <c r="I362" s="35">
        <v>134.63940551195</v>
      </c>
      <c r="J362" s="35">
        <v>19.4210351483982</v>
      </c>
      <c r="K362" s="35">
        <v>100.3432159874</v>
      </c>
      <c r="L362" s="35">
        <v>7535.1288539912402</v>
      </c>
      <c r="M362" s="19">
        <f t="shared" si="6"/>
        <v>15740.327435109097</v>
      </c>
    </row>
    <row r="363" spans="1:13" x14ac:dyDescent="0.25">
      <c r="A363" s="33">
        <v>46075</v>
      </c>
      <c r="B363" s="35">
        <v>0</v>
      </c>
      <c r="C363" s="35">
        <v>0.16472867116537501</v>
      </c>
      <c r="D363" s="35">
        <v>3759.0487347583698</v>
      </c>
      <c r="E363" s="35">
        <v>259.335477952632</v>
      </c>
      <c r="F363" s="35">
        <v>357.30735788220602</v>
      </c>
      <c r="G363" s="35">
        <v>547.01711651773701</v>
      </c>
      <c r="H363" s="35">
        <v>2653.7624091172802</v>
      </c>
      <c r="I363" s="35">
        <v>233.124244194336</v>
      </c>
      <c r="J363" s="35">
        <v>36.686262909809599</v>
      </c>
      <c r="K363" s="35">
        <v>77.390561680287504</v>
      </c>
      <c r="L363" s="35">
        <v>18339.6251501074</v>
      </c>
      <c r="M363" s="19">
        <f t="shared" si="6"/>
        <v>26263.462043791224</v>
      </c>
    </row>
    <row r="364" spans="1:13" x14ac:dyDescent="0.25">
      <c r="A364" s="33">
        <v>46076</v>
      </c>
      <c r="B364" s="35">
        <v>0</v>
      </c>
      <c r="C364" s="35">
        <v>1.6843560966117499</v>
      </c>
      <c r="D364" s="35">
        <v>9644.3588536887</v>
      </c>
      <c r="E364" s="35">
        <v>839.74041785362101</v>
      </c>
      <c r="F364" s="35">
        <v>2727.5254862819102</v>
      </c>
      <c r="G364" s="35">
        <v>5042.6494023495598</v>
      </c>
      <c r="H364" s="35">
        <v>12367.9448143181</v>
      </c>
      <c r="I364" s="35">
        <v>242.46732256301601</v>
      </c>
      <c r="J364" s="35">
        <v>238.92160198306999</v>
      </c>
      <c r="K364" s="35">
        <v>224.88232785611501</v>
      </c>
      <c r="L364" s="35">
        <v>39547.736817696299</v>
      </c>
      <c r="M364" s="19">
        <f t="shared" si="6"/>
        <v>70877.911400687008</v>
      </c>
    </row>
    <row r="365" spans="1:13" x14ac:dyDescent="0.25">
      <c r="A365" s="33">
        <v>46077</v>
      </c>
      <c r="B365" s="35">
        <v>0</v>
      </c>
      <c r="C365" s="35">
        <v>7.82838470382287</v>
      </c>
      <c r="D365" s="35">
        <v>8142.1689440558403</v>
      </c>
      <c r="E365" s="35">
        <v>944.79131463564897</v>
      </c>
      <c r="F365" s="35">
        <v>2407.9058793934801</v>
      </c>
      <c r="G365" s="35">
        <v>6128.77578688836</v>
      </c>
      <c r="H365" s="35">
        <v>9869.1409376442807</v>
      </c>
      <c r="I365" s="35">
        <v>194.490699999675</v>
      </c>
      <c r="J365" s="35">
        <v>785.30571661647502</v>
      </c>
      <c r="K365" s="35">
        <v>176.38510151443501</v>
      </c>
      <c r="L365" s="35">
        <v>51866.026258918602</v>
      </c>
      <c r="M365" s="19">
        <f t="shared" si="6"/>
        <v>80522.819024370619</v>
      </c>
    </row>
    <row r="366" spans="1:13" x14ac:dyDescent="0.25">
      <c r="A366" s="33">
        <v>46078</v>
      </c>
      <c r="B366" s="35">
        <v>0</v>
      </c>
      <c r="C366" s="35">
        <v>0.94165321898050003</v>
      </c>
      <c r="D366" s="35">
        <v>17001.739019335098</v>
      </c>
      <c r="E366" s="35">
        <v>623.96801590583595</v>
      </c>
      <c r="F366" s="35">
        <v>4150.3420406650503</v>
      </c>
      <c r="G366" s="35">
        <v>6843.9744621832597</v>
      </c>
      <c r="H366" s="35">
        <v>11415.874074601101</v>
      </c>
      <c r="I366" s="35">
        <v>473.95216659107302</v>
      </c>
      <c r="J366" s="35">
        <v>725.06651511770599</v>
      </c>
      <c r="K366" s="35">
        <v>27.848732602064999</v>
      </c>
      <c r="L366" s="35">
        <v>49527.667181095698</v>
      </c>
      <c r="M366" s="19">
        <f t="shared" si="6"/>
        <v>90791.373861315864</v>
      </c>
    </row>
    <row r="367" spans="1:13" x14ac:dyDescent="0.25">
      <c r="A367" s="33">
        <v>46079</v>
      </c>
      <c r="B367" s="35">
        <v>0</v>
      </c>
      <c r="C367" s="35">
        <v>4.5011400338121001</v>
      </c>
      <c r="D367" s="35">
        <v>10056.2144164613</v>
      </c>
      <c r="E367" s="35">
        <v>892.70509781280498</v>
      </c>
      <c r="F367" s="35">
        <v>3716.2502244207599</v>
      </c>
      <c r="G367" s="35">
        <v>8822.1054550715598</v>
      </c>
      <c r="H367" s="35">
        <v>12832.834406234901</v>
      </c>
      <c r="I367" s="35">
        <v>395.15936952150003</v>
      </c>
      <c r="J367" s="35">
        <v>262.11732023001701</v>
      </c>
      <c r="K367" s="35">
        <v>75.765940762314997</v>
      </c>
      <c r="L367" s="35">
        <v>36823.313870150101</v>
      </c>
      <c r="M367" s="19">
        <f t="shared" si="6"/>
        <v>73880.967240699072</v>
      </c>
    </row>
    <row r="368" spans="1:13" x14ac:dyDescent="0.25">
      <c r="A368" s="33">
        <v>46080</v>
      </c>
      <c r="B368" s="35">
        <v>0</v>
      </c>
      <c r="C368" s="35">
        <v>9.5595939781977002</v>
      </c>
      <c r="D368" s="35">
        <v>9981.9127986851909</v>
      </c>
      <c r="E368" s="35">
        <v>1029.90232280787</v>
      </c>
      <c r="F368" s="35">
        <v>2766.0258315083402</v>
      </c>
      <c r="G368" s="35">
        <v>6683.4581627913203</v>
      </c>
      <c r="H368" s="35">
        <v>12409.835936316</v>
      </c>
      <c r="I368" s="35">
        <v>599.80579599416001</v>
      </c>
      <c r="J368" s="35">
        <v>599.50031361952801</v>
      </c>
      <c r="K368" s="35">
        <v>765.36289196078803</v>
      </c>
      <c r="L368" s="35">
        <v>42294.313110335999</v>
      </c>
      <c r="M368" s="19">
        <f t="shared" si="6"/>
        <v>77139.676757997397</v>
      </c>
    </row>
    <row r="369" spans="1:13" x14ac:dyDescent="0.25">
      <c r="A369" s="33">
        <v>46081</v>
      </c>
      <c r="B369" s="35">
        <v>0</v>
      </c>
      <c r="C369" s="35">
        <v>2.4885920709210798</v>
      </c>
      <c r="D369" s="35">
        <v>12413.651732657599</v>
      </c>
      <c r="E369" s="35">
        <v>440.61557017774498</v>
      </c>
      <c r="F369" s="35">
        <v>2750.6983960631401</v>
      </c>
      <c r="G369" s="35">
        <v>2808.70624438918</v>
      </c>
      <c r="H369" s="35">
        <v>3788.74024212317</v>
      </c>
      <c r="I369" s="35">
        <v>508.46579716410599</v>
      </c>
      <c r="J369" s="35">
        <v>264.38005784740301</v>
      </c>
      <c r="K369" s="35">
        <v>1511.6545325417301</v>
      </c>
      <c r="L369" s="35">
        <v>62184.689894816198</v>
      </c>
      <c r="M369" s="19">
        <f t="shared" si="6"/>
        <v>86674.091059851198</v>
      </c>
    </row>
    <row r="370" spans="1:13" x14ac:dyDescent="0.25">
      <c r="A370" s="33">
        <v>46082</v>
      </c>
      <c r="B370" s="35">
        <v>0</v>
      </c>
      <c r="C370" s="35">
        <v>1.1526921923200499</v>
      </c>
      <c r="D370" s="35">
        <v>10367.886921261999</v>
      </c>
      <c r="E370" s="35">
        <v>1212.8814720160301</v>
      </c>
      <c r="F370" s="35">
        <v>1657.6452162113101</v>
      </c>
      <c r="G370" s="35">
        <v>1889.7049262589701</v>
      </c>
      <c r="H370" s="35">
        <v>3619.2526411143999</v>
      </c>
      <c r="I370" s="35">
        <v>578.14298819749104</v>
      </c>
      <c r="J370" s="35">
        <v>235.16725350958299</v>
      </c>
      <c r="K370" s="35">
        <v>101.67322559861501</v>
      </c>
      <c r="L370" s="35">
        <v>40404.856826784198</v>
      </c>
      <c r="M370" s="19">
        <f t="shared" si="6"/>
        <v>60068.364163144914</v>
      </c>
    </row>
    <row r="371" spans="1:13" x14ac:dyDescent="0.25">
      <c r="A371" s="33">
        <v>46083</v>
      </c>
      <c r="B371" s="35">
        <v>0</v>
      </c>
      <c r="C371" s="35">
        <v>18.941481935611801</v>
      </c>
      <c r="D371" s="35">
        <v>12001.046456452201</v>
      </c>
      <c r="E371" s="35">
        <v>4079.67040709299</v>
      </c>
      <c r="F371" s="35">
        <v>3995.8873808800199</v>
      </c>
      <c r="G371" s="35">
        <v>8640.2219178507494</v>
      </c>
      <c r="H371" s="35">
        <v>18371.121909469399</v>
      </c>
      <c r="I371" s="35">
        <v>629.27100738395302</v>
      </c>
      <c r="J371" s="35">
        <v>350.02405486205203</v>
      </c>
      <c r="K371" s="35">
        <v>52.111639309090002</v>
      </c>
      <c r="L371" s="35">
        <v>90526.074465794198</v>
      </c>
      <c r="M371" s="19">
        <f t="shared" si="6"/>
        <v>138664.37072103028</v>
      </c>
    </row>
    <row r="372" spans="1:13" x14ac:dyDescent="0.25">
      <c r="A372" s="33">
        <v>46084</v>
      </c>
      <c r="B372" s="35">
        <v>0</v>
      </c>
      <c r="C372" s="35">
        <v>33.969190697677597</v>
      </c>
      <c r="D372" s="35">
        <v>11395.4464970307</v>
      </c>
      <c r="E372" s="35">
        <v>8180.7900266441202</v>
      </c>
      <c r="F372" s="35">
        <v>5704.4614872911698</v>
      </c>
      <c r="G372" s="35">
        <v>10805.062262404599</v>
      </c>
      <c r="H372" s="35">
        <v>31224.485835486499</v>
      </c>
      <c r="I372" s="35">
        <v>608.15992654503896</v>
      </c>
      <c r="J372" s="35">
        <v>508.99855994321899</v>
      </c>
      <c r="K372" s="35">
        <v>168.696493101513</v>
      </c>
      <c r="L372" s="35">
        <v>143632.79568423401</v>
      </c>
      <c r="M372" s="19">
        <f t="shared" si="6"/>
        <v>212262.86596337854</v>
      </c>
    </row>
    <row r="373" spans="1:13" x14ac:dyDescent="0.25">
      <c r="A373" s="33">
        <v>46085</v>
      </c>
      <c r="B373" s="35">
        <v>0</v>
      </c>
      <c r="C373" s="35">
        <v>9.9280735587309508</v>
      </c>
      <c r="D373" s="35">
        <v>17104.518624613102</v>
      </c>
      <c r="E373" s="35">
        <v>7081.1816498892504</v>
      </c>
      <c r="F373" s="35">
        <v>6200.6101031076696</v>
      </c>
      <c r="G373" s="35">
        <v>6680.0468959661403</v>
      </c>
      <c r="H373" s="35">
        <v>22453.1065431516</v>
      </c>
      <c r="I373" s="35">
        <v>706.06716321962199</v>
      </c>
      <c r="J373" s="35">
        <v>334.40984892136697</v>
      </c>
      <c r="K373" s="35">
        <v>112.54790275647299</v>
      </c>
      <c r="L373" s="35">
        <v>61517.411839070701</v>
      </c>
      <c r="M373" s="19">
        <f t="shared" si="6"/>
        <v>122199.82864425465</v>
      </c>
    </row>
    <row r="374" spans="1:13" x14ac:dyDescent="0.25">
      <c r="A374" s="33">
        <v>46086</v>
      </c>
      <c r="B374" s="35">
        <v>0</v>
      </c>
      <c r="C374" s="35">
        <v>7.5555265058204002</v>
      </c>
      <c r="D374" s="35">
        <v>10574.0654006565</v>
      </c>
      <c r="E374" s="35">
        <v>8363.5898851484399</v>
      </c>
      <c r="F374" s="35">
        <v>4796.5440139059501</v>
      </c>
      <c r="G374" s="35">
        <v>7429.0903346339001</v>
      </c>
      <c r="H374" s="35">
        <v>18407.618221955399</v>
      </c>
      <c r="I374" s="35">
        <v>739.95972400266305</v>
      </c>
      <c r="J374" s="35">
        <v>299.39403981284801</v>
      </c>
      <c r="K374" s="35">
        <v>68.827513483274998</v>
      </c>
      <c r="L374" s="35">
        <v>59468.102330305803</v>
      </c>
      <c r="M374" s="19">
        <f t="shared" si="6"/>
        <v>110154.7469904106</v>
      </c>
    </row>
    <row r="375" spans="1:13" x14ac:dyDescent="0.25">
      <c r="A375" s="33">
        <v>46087</v>
      </c>
      <c r="B375" s="35">
        <v>0</v>
      </c>
      <c r="C375" s="35">
        <v>6.7603836792726</v>
      </c>
      <c r="D375" s="35">
        <v>9043.0515928330205</v>
      </c>
      <c r="E375" s="35">
        <v>14262.4718782698</v>
      </c>
      <c r="F375" s="35">
        <v>4211.0273624005904</v>
      </c>
      <c r="G375" s="35">
        <v>8054.1555641685</v>
      </c>
      <c r="H375" s="35">
        <v>21091.577685812499</v>
      </c>
      <c r="I375" s="35">
        <v>832.23483652455798</v>
      </c>
      <c r="J375" s="35">
        <v>510.28266030283697</v>
      </c>
      <c r="K375" s="35">
        <v>92.041180786710001</v>
      </c>
      <c r="L375" s="35">
        <v>42887.767572811703</v>
      </c>
      <c r="M375" s="19">
        <f t="shared" si="6"/>
        <v>100991.37071758948</v>
      </c>
    </row>
    <row r="376" spans="1:13" x14ac:dyDescent="0.25">
      <c r="A376" s="33">
        <v>46088</v>
      </c>
      <c r="B376" s="35">
        <v>0</v>
      </c>
      <c r="C376" s="35">
        <v>2.5344215420160001</v>
      </c>
      <c r="D376" s="35">
        <v>3990.7106629619898</v>
      </c>
      <c r="E376" s="35">
        <v>4975.8168243133896</v>
      </c>
      <c r="F376" s="35">
        <v>745.36665191341797</v>
      </c>
      <c r="G376" s="35">
        <v>3030.32652394148</v>
      </c>
      <c r="H376" s="35">
        <v>2376.91818438051</v>
      </c>
      <c r="I376" s="35">
        <v>741.339492978983</v>
      </c>
      <c r="J376" s="35">
        <v>76.435204621688399</v>
      </c>
      <c r="K376" s="35">
        <v>36.076113116622501</v>
      </c>
      <c r="L376" s="35">
        <v>2710.4857824061</v>
      </c>
      <c r="M376" s="19">
        <f t="shared" si="6"/>
        <v>18686.009862176197</v>
      </c>
    </row>
    <row r="377" spans="1:13" x14ac:dyDescent="0.25">
      <c r="A377" s="33">
        <v>46089</v>
      </c>
      <c r="B377" s="35">
        <v>0</v>
      </c>
      <c r="C377" s="35">
        <v>0.28459837222720002</v>
      </c>
      <c r="D377" s="35">
        <v>6136.4507205424397</v>
      </c>
      <c r="E377" s="35">
        <v>11709.6464939504</v>
      </c>
      <c r="F377" s="35">
        <v>1054.0509543030601</v>
      </c>
      <c r="G377" s="35">
        <v>2155.4731805606498</v>
      </c>
      <c r="H377" s="35">
        <v>4294.45727871902</v>
      </c>
      <c r="I377" s="35">
        <v>828.50715608464202</v>
      </c>
      <c r="J377" s="35">
        <v>225.19476927557901</v>
      </c>
      <c r="K377" s="35">
        <v>127.262281228733</v>
      </c>
      <c r="L377" s="35">
        <v>13988.7798389455</v>
      </c>
      <c r="M377" s="19">
        <f t="shared" si="6"/>
        <v>40520.107271982248</v>
      </c>
    </row>
    <row r="378" spans="1:13" x14ac:dyDescent="0.25">
      <c r="A378" s="33">
        <v>46090</v>
      </c>
      <c r="B378" s="35">
        <v>0</v>
      </c>
      <c r="C378" s="35">
        <v>8.8543266645660808</v>
      </c>
      <c r="D378" s="35">
        <v>14379.764019431401</v>
      </c>
      <c r="E378" s="35">
        <v>64588.102415586101</v>
      </c>
      <c r="F378" s="35">
        <v>5027.6683796100397</v>
      </c>
      <c r="G378" s="35">
        <v>7213.3564987498203</v>
      </c>
      <c r="H378" s="35">
        <v>21937.4279481997</v>
      </c>
      <c r="I378" s="35">
        <v>997.18764742970802</v>
      </c>
      <c r="J378" s="35">
        <v>615.79959179974196</v>
      </c>
      <c r="K378" s="35">
        <v>69.307070114474996</v>
      </c>
      <c r="L378" s="35">
        <v>39754.8853117045</v>
      </c>
      <c r="M378" s="19">
        <f t="shared" si="6"/>
        <v>154592.35320929004</v>
      </c>
    </row>
    <row r="379" spans="1:13" x14ac:dyDescent="0.25">
      <c r="A379" s="33">
        <v>46091</v>
      </c>
      <c r="B379" s="35">
        <v>0</v>
      </c>
      <c r="C379" s="35">
        <v>4.6403024725183997</v>
      </c>
      <c r="D379" s="35">
        <v>12575.238979796501</v>
      </c>
      <c r="E379" s="35">
        <v>40563.228959046697</v>
      </c>
      <c r="F379" s="35">
        <v>6670.0447062684998</v>
      </c>
      <c r="G379" s="35">
        <v>5384.9151556123898</v>
      </c>
      <c r="H379" s="35">
        <v>15188.027106665901</v>
      </c>
      <c r="I379" s="35">
        <v>731.64216297978498</v>
      </c>
      <c r="J379" s="35">
        <v>358.92225982344399</v>
      </c>
      <c r="K379" s="35">
        <v>25.5272800497075</v>
      </c>
      <c r="L379" s="35">
        <v>30684.057705827101</v>
      </c>
      <c r="M379" s="19">
        <f t="shared" si="6"/>
        <v>112186.24461854254</v>
      </c>
    </row>
    <row r="380" spans="1:13" x14ac:dyDescent="0.25">
      <c r="A380" s="33">
        <v>46092</v>
      </c>
      <c r="B380" s="35">
        <v>0</v>
      </c>
      <c r="C380" s="35">
        <v>3.2284923278472002</v>
      </c>
      <c r="D380" s="35">
        <v>9890.1101780427707</v>
      </c>
      <c r="E380" s="35">
        <v>36457.213370503501</v>
      </c>
      <c r="F380" s="35">
        <v>4336.6924638678101</v>
      </c>
      <c r="G380" s="35">
        <v>4947.8422394376903</v>
      </c>
      <c r="H380" s="35">
        <v>10182.4701612392</v>
      </c>
      <c r="I380" s="35">
        <v>422.00680895947801</v>
      </c>
      <c r="J380" s="35">
        <v>246.21791574820799</v>
      </c>
      <c r="K380" s="35">
        <v>47.177137862880002</v>
      </c>
      <c r="L380" s="35">
        <v>26636.1911573098</v>
      </c>
      <c r="M380" s="19">
        <f t="shared" si="6"/>
        <v>93169.149925299178</v>
      </c>
    </row>
    <row r="381" spans="1:13" x14ac:dyDescent="0.25">
      <c r="A381" s="33">
        <v>46093</v>
      </c>
      <c r="B381" s="35">
        <v>0</v>
      </c>
      <c r="C381" s="35">
        <v>7.9027601463983297</v>
      </c>
      <c r="D381" s="35">
        <v>8957.1069132742196</v>
      </c>
      <c r="E381" s="35">
        <v>43470.194751939503</v>
      </c>
      <c r="F381" s="35">
        <v>4115.3173863107104</v>
      </c>
      <c r="G381" s="35">
        <v>5527.7175175987304</v>
      </c>
      <c r="H381" s="35">
        <v>11963.6412513004</v>
      </c>
      <c r="I381" s="35">
        <v>843.09297002490496</v>
      </c>
      <c r="J381" s="35">
        <v>519.86606596342995</v>
      </c>
      <c r="K381" s="35">
        <v>18.677289862439999</v>
      </c>
      <c r="L381" s="35">
        <v>32979.059350007701</v>
      </c>
      <c r="M381" s="19">
        <f t="shared" si="6"/>
        <v>108402.57625642844</v>
      </c>
    </row>
    <row r="382" spans="1:13" x14ac:dyDescent="0.25">
      <c r="A382" s="33">
        <v>46094</v>
      </c>
      <c r="B382" s="35">
        <v>0</v>
      </c>
      <c r="C382" s="35">
        <v>10.1292742816886</v>
      </c>
      <c r="D382" s="35">
        <v>11704.202751484399</v>
      </c>
      <c r="E382" s="35">
        <v>26227.147749490399</v>
      </c>
      <c r="F382" s="35">
        <v>6850.5704395544699</v>
      </c>
      <c r="G382" s="35">
        <v>5229.6850076743503</v>
      </c>
      <c r="H382" s="35">
        <v>11611.0143358477</v>
      </c>
      <c r="I382" s="35">
        <v>545.21099470481499</v>
      </c>
      <c r="J382" s="35">
        <v>221.11121442007101</v>
      </c>
      <c r="K382" s="35">
        <v>16.849869725222501</v>
      </c>
      <c r="L382" s="35">
        <v>39289.0083051857</v>
      </c>
      <c r="M382" s="19">
        <f t="shared" si="6"/>
        <v>101704.92994236882</v>
      </c>
    </row>
    <row r="383" spans="1:13" x14ac:dyDescent="0.25">
      <c r="A383" s="33">
        <v>46095</v>
      </c>
      <c r="B383" s="35">
        <v>0</v>
      </c>
      <c r="C383" s="35">
        <v>1.6023397414479299</v>
      </c>
      <c r="D383" s="35">
        <v>3574.10207983078</v>
      </c>
      <c r="E383" s="35">
        <v>11059.867478884</v>
      </c>
      <c r="F383" s="35">
        <v>1200.4511988695999</v>
      </c>
      <c r="G383" s="35">
        <v>681.28836485524801</v>
      </c>
      <c r="H383" s="35">
        <v>4081.5722263319099</v>
      </c>
      <c r="I383" s="35">
        <v>417.06849105181999</v>
      </c>
      <c r="J383" s="35">
        <v>66.7887663759426</v>
      </c>
      <c r="K383" s="35">
        <v>26.786693544295002</v>
      </c>
      <c r="L383" s="35">
        <v>4098.9230940837797</v>
      </c>
      <c r="M383" s="19">
        <f t="shared" si="6"/>
        <v>25208.450733568825</v>
      </c>
    </row>
    <row r="384" spans="1:13" x14ac:dyDescent="0.25">
      <c r="A384" s="33">
        <v>46096</v>
      </c>
      <c r="B384" s="35">
        <v>0</v>
      </c>
      <c r="C384" s="35">
        <v>1.49952392696</v>
      </c>
      <c r="D384" s="35">
        <v>5718.6973037305497</v>
      </c>
      <c r="E384" s="35">
        <v>15400.393364499399</v>
      </c>
      <c r="F384" s="35">
        <v>1254.42539496013</v>
      </c>
      <c r="G384" s="35">
        <v>1115.593189271</v>
      </c>
      <c r="H384" s="35">
        <v>6044.9918728641096</v>
      </c>
      <c r="I384" s="35">
        <v>543.54545842537505</v>
      </c>
      <c r="J384" s="35">
        <v>66.010038424522804</v>
      </c>
      <c r="K384" s="35">
        <v>41.004123466827501</v>
      </c>
      <c r="L384" s="35">
        <v>14274.867959945899</v>
      </c>
      <c r="M384" s="19">
        <f t="shared" si="6"/>
        <v>44461.028229514777</v>
      </c>
    </row>
    <row r="385" spans="1:13" x14ac:dyDescent="0.25">
      <c r="A385" s="33">
        <v>46097</v>
      </c>
      <c r="B385" s="35">
        <v>0</v>
      </c>
      <c r="C385" s="35">
        <v>13.129049951648</v>
      </c>
      <c r="D385" s="35">
        <v>18517.987106117998</v>
      </c>
      <c r="E385" s="35">
        <v>26772.303998012201</v>
      </c>
      <c r="F385" s="35">
        <v>4180.3942402499597</v>
      </c>
      <c r="G385" s="35">
        <v>5038.5135705271196</v>
      </c>
      <c r="H385" s="35">
        <v>10030.461905534299</v>
      </c>
      <c r="I385" s="35">
        <v>557.98229034895303</v>
      </c>
      <c r="J385" s="35">
        <v>291.46216617008002</v>
      </c>
      <c r="K385" s="35">
        <v>25.930600770480002</v>
      </c>
      <c r="L385" s="35">
        <v>27784.809729333501</v>
      </c>
      <c r="M385" s="19">
        <f t="shared" si="6"/>
        <v>93212.974657016239</v>
      </c>
    </row>
    <row r="386" spans="1:13" x14ac:dyDescent="0.25">
      <c r="A386" s="33">
        <v>46098</v>
      </c>
      <c r="B386" s="35">
        <v>0</v>
      </c>
      <c r="C386" s="35">
        <v>50.3454124533786</v>
      </c>
      <c r="D386" s="35">
        <v>11244.6751061911</v>
      </c>
      <c r="E386" s="35">
        <v>16172.8615860999</v>
      </c>
      <c r="F386" s="35">
        <v>4676.0069448304603</v>
      </c>
      <c r="G386" s="35">
        <v>3993.7536762875002</v>
      </c>
      <c r="H386" s="35">
        <v>9474.3085713042892</v>
      </c>
      <c r="I386" s="35">
        <v>544.100569004215</v>
      </c>
      <c r="J386" s="35">
        <v>141.55190304333999</v>
      </c>
      <c r="K386" s="35">
        <v>19.263607004807501</v>
      </c>
      <c r="L386" s="35">
        <v>16242.117883144099</v>
      </c>
      <c r="M386" s="19">
        <f t="shared" si="6"/>
        <v>62558.985259363093</v>
      </c>
    </row>
    <row r="387" spans="1:13" x14ac:dyDescent="0.25">
      <c r="A387" s="33">
        <v>46099</v>
      </c>
      <c r="B387" s="35">
        <v>0</v>
      </c>
      <c r="C387" s="35">
        <v>9.5143593024872004</v>
      </c>
      <c r="D387" s="35">
        <v>12536.480613923301</v>
      </c>
      <c r="E387" s="35">
        <v>33297.631199088297</v>
      </c>
      <c r="F387" s="35">
        <v>4852.3846107175204</v>
      </c>
      <c r="G387" s="35">
        <v>4663.8658676995201</v>
      </c>
      <c r="H387" s="35">
        <v>13144.6324837343</v>
      </c>
      <c r="I387" s="35">
        <v>567.89285133333794</v>
      </c>
      <c r="J387" s="35">
        <v>463.06961290434998</v>
      </c>
      <c r="K387" s="35">
        <v>61.057213921037501</v>
      </c>
      <c r="L387" s="35">
        <v>36058.3571254454</v>
      </c>
      <c r="M387" s="19">
        <f t="shared" si="6"/>
        <v>105654.88593806955</v>
      </c>
    </row>
    <row r="388" spans="1:13" x14ac:dyDescent="0.25">
      <c r="A388" s="33">
        <v>46100</v>
      </c>
      <c r="B388" s="35">
        <v>0</v>
      </c>
      <c r="C388" s="35">
        <v>0.39631346301312498</v>
      </c>
      <c r="D388" s="35">
        <v>10584.7278148185</v>
      </c>
      <c r="E388" s="35">
        <v>47803.007596082098</v>
      </c>
      <c r="F388" s="35">
        <v>4842.9400806808799</v>
      </c>
      <c r="G388" s="35">
        <v>5271.4586282174196</v>
      </c>
      <c r="H388" s="35">
        <v>17361.262654090198</v>
      </c>
      <c r="I388" s="35">
        <v>557.41733392645199</v>
      </c>
      <c r="J388" s="35">
        <v>817.13005980624905</v>
      </c>
      <c r="K388" s="35">
        <v>32.892092322412502</v>
      </c>
      <c r="L388" s="35">
        <v>106328.790693014</v>
      </c>
      <c r="M388" s="19">
        <f t="shared" si="6"/>
        <v>193600.02326642122</v>
      </c>
    </row>
    <row r="389" spans="1:13" x14ac:dyDescent="0.25">
      <c r="A389" s="33">
        <v>46101</v>
      </c>
      <c r="B389" s="35">
        <v>0</v>
      </c>
      <c r="C389" s="35">
        <v>2.7670854636834799</v>
      </c>
      <c r="D389" s="35">
        <v>7935.9060332373301</v>
      </c>
      <c r="E389" s="35">
        <v>22782.807068431201</v>
      </c>
      <c r="F389" s="35">
        <v>4382.1778657629602</v>
      </c>
      <c r="G389" s="35">
        <v>5091.8348245796797</v>
      </c>
      <c r="H389" s="35">
        <v>13581.3595260534</v>
      </c>
      <c r="I389" s="35">
        <v>650.54030117727496</v>
      </c>
      <c r="J389" s="35">
        <v>326.06446509202101</v>
      </c>
      <c r="K389" s="35">
        <v>10.2009844991675</v>
      </c>
      <c r="L389" s="35">
        <v>64845.419827132202</v>
      </c>
      <c r="M389" s="19">
        <f t="shared" si="6"/>
        <v>119609.07798142891</v>
      </c>
    </row>
    <row r="390" spans="1:13" x14ac:dyDescent="0.25">
      <c r="A390" s="33">
        <v>46102</v>
      </c>
      <c r="B390" s="35">
        <v>0</v>
      </c>
      <c r="C390" s="35">
        <v>0.2447845028508</v>
      </c>
      <c r="D390" s="35">
        <v>2962.7487441190001</v>
      </c>
      <c r="E390" s="35">
        <v>4474.9015792230703</v>
      </c>
      <c r="F390" s="35">
        <v>1149.67958281969</v>
      </c>
      <c r="G390" s="35">
        <v>825.04296037375298</v>
      </c>
      <c r="H390" s="35">
        <v>1954.84843822838</v>
      </c>
      <c r="I390" s="35">
        <v>447.78736889148399</v>
      </c>
      <c r="J390" s="35">
        <v>360.63505963825202</v>
      </c>
      <c r="K390" s="35">
        <v>3.2416653698500002</v>
      </c>
      <c r="L390" s="35">
        <v>11297.6684892882</v>
      </c>
      <c r="M390" s="19">
        <f t="shared" si="6"/>
        <v>23476.79867245453</v>
      </c>
    </row>
    <row r="391" spans="1:13" x14ac:dyDescent="0.25">
      <c r="A391" s="33">
        <v>46103</v>
      </c>
      <c r="B391" s="35">
        <v>0</v>
      </c>
      <c r="C391" s="35">
        <v>8.5550028372027498</v>
      </c>
      <c r="D391" s="35">
        <v>5323.4968964971304</v>
      </c>
      <c r="E391" s="35">
        <v>12489.290552905701</v>
      </c>
      <c r="F391" s="35">
        <v>2329.2628806616199</v>
      </c>
      <c r="G391" s="35">
        <v>1297.12157816942</v>
      </c>
      <c r="H391" s="35">
        <v>4335.9568832775904</v>
      </c>
      <c r="I391" s="35">
        <v>536.53992496320905</v>
      </c>
      <c r="J391" s="35">
        <v>86.237006560904604</v>
      </c>
      <c r="K391" s="35">
        <v>5.9345734054425003</v>
      </c>
      <c r="L391" s="35">
        <v>25691.596999742502</v>
      </c>
      <c r="M391" s="19">
        <f t="shared" si="6"/>
        <v>52103.992299020727</v>
      </c>
    </row>
    <row r="392" spans="1:13" x14ac:dyDescent="0.25">
      <c r="A392" s="33">
        <v>46104</v>
      </c>
      <c r="B392" s="35">
        <v>0</v>
      </c>
      <c r="C392" s="35">
        <v>24.557792173400198</v>
      </c>
      <c r="D392" s="35">
        <v>10720.0791474292</v>
      </c>
      <c r="E392" s="35">
        <v>64949.569523157799</v>
      </c>
      <c r="F392" s="35">
        <v>7783.4046025622602</v>
      </c>
      <c r="G392" s="35">
        <v>9518.2646921094893</v>
      </c>
      <c r="H392" s="35">
        <v>25571.0544348615</v>
      </c>
      <c r="I392" s="35">
        <v>604.28751558243903</v>
      </c>
      <c r="J392" s="35">
        <v>1322.91753643738</v>
      </c>
      <c r="K392" s="35">
        <v>32.615760980399997</v>
      </c>
      <c r="L392" s="35">
        <v>214038.77262512399</v>
      </c>
      <c r="M392" s="19">
        <f t="shared" si="6"/>
        <v>334565.52363041788</v>
      </c>
    </row>
    <row r="393" spans="1:13" x14ac:dyDescent="0.25">
      <c r="A393" s="33">
        <v>46105</v>
      </c>
      <c r="B393" s="35">
        <v>0</v>
      </c>
      <c r="C393" s="35">
        <v>25.2298237592037</v>
      </c>
      <c r="D393" s="35">
        <v>7280.1136182085002</v>
      </c>
      <c r="E393" s="35">
        <v>39103.5760879386</v>
      </c>
      <c r="F393" s="35">
        <v>6361.0813761420204</v>
      </c>
      <c r="G393" s="35">
        <v>5757.5437167237296</v>
      </c>
      <c r="H393" s="35">
        <v>19903.247425730799</v>
      </c>
      <c r="I393" s="35">
        <v>607.66584915752003</v>
      </c>
      <c r="J393" s="35">
        <v>655.86260621434405</v>
      </c>
      <c r="K393" s="35">
        <v>13.935555194915</v>
      </c>
      <c r="L393" s="35">
        <v>88409.982647610697</v>
      </c>
      <c r="M393" s="19">
        <f t="shared" si="6"/>
        <v>168118.23870668033</v>
      </c>
    </row>
    <row r="394" spans="1:13" x14ac:dyDescent="0.25">
      <c r="A394" s="33">
        <v>46106</v>
      </c>
      <c r="B394" s="35">
        <v>0</v>
      </c>
      <c r="C394" s="35">
        <v>2.8214437556854501</v>
      </c>
      <c r="D394" s="35">
        <v>7014.0247758040296</v>
      </c>
      <c r="E394" s="35">
        <v>28174.914772618002</v>
      </c>
      <c r="F394" s="35">
        <v>5295.7514132669303</v>
      </c>
      <c r="G394" s="35">
        <v>5953.0398554677404</v>
      </c>
      <c r="H394" s="35">
        <v>13761.536970401399</v>
      </c>
      <c r="I394" s="35">
        <v>669.13420056454504</v>
      </c>
      <c r="J394" s="35">
        <v>354.89065361811998</v>
      </c>
      <c r="K394" s="35">
        <v>58.638682869785001</v>
      </c>
      <c r="L394" s="35">
        <v>55965.735283083799</v>
      </c>
      <c r="M394" s="19">
        <f t="shared" si="6"/>
        <v>117250.48805145003</v>
      </c>
    </row>
    <row r="395" spans="1:13" x14ac:dyDescent="0.25">
      <c r="A395" s="33">
        <v>46107</v>
      </c>
      <c r="B395" s="35">
        <v>0</v>
      </c>
      <c r="C395" s="35">
        <v>0.81405469302169997</v>
      </c>
      <c r="D395" s="35">
        <v>6356.5468357064801</v>
      </c>
      <c r="E395" s="35">
        <v>23335.8749747691</v>
      </c>
      <c r="F395" s="35">
        <v>3459.3568527113698</v>
      </c>
      <c r="G395" s="35">
        <v>5756.2175966204804</v>
      </c>
      <c r="H395" s="35">
        <v>13551.2718229274</v>
      </c>
      <c r="I395" s="35">
        <v>771.68988498926296</v>
      </c>
      <c r="J395" s="35">
        <v>189.62455962290201</v>
      </c>
      <c r="K395" s="35">
        <v>38.405150937789998</v>
      </c>
      <c r="L395" s="35">
        <v>55479.685963427903</v>
      </c>
      <c r="M395" s="19">
        <f t="shared" si="6"/>
        <v>108939.4876964057</v>
      </c>
    </row>
    <row r="396" spans="1:13" x14ac:dyDescent="0.25">
      <c r="A396" s="33">
        <v>46108</v>
      </c>
      <c r="B396" s="35">
        <v>0</v>
      </c>
      <c r="C396" s="35">
        <v>0.70057269938385003</v>
      </c>
      <c r="D396" s="35">
        <v>6682.8600011380404</v>
      </c>
      <c r="E396" s="35">
        <v>22488.084196900101</v>
      </c>
      <c r="F396" s="35">
        <v>4633.9746188071804</v>
      </c>
      <c r="G396" s="35">
        <v>7883.2817098334099</v>
      </c>
      <c r="H396" s="35">
        <v>14100.078405664201</v>
      </c>
      <c r="I396" s="35">
        <v>858.42633034216499</v>
      </c>
      <c r="J396" s="35">
        <v>96.914971107032201</v>
      </c>
      <c r="K396" s="35">
        <v>51.264814407469999</v>
      </c>
      <c r="L396" s="35">
        <v>55852.948690294703</v>
      </c>
      <c r="M396" s="19">
        <f t="shared" si="6"/>
        <v>112648.5343111937</v>
      </c>
    </row>
    <row r="397" spans="1:13" x14ac:dyDescent="0.25">
      <c r="A397" s="33">
        <v>46109</v>
      </c>
      <c r="B397" s="35">
        <v>0</v>
      </c>
      <c r="C397" s="35">
        <v>0.22038631233075001</v>
      </c>
      <c r="D397" s="35">
        <v>3276.32332478631</v>
      </c>
      <c r="E397" s="35">
        <v>5865.1039587666501</v>
      </c>
      <c r="F397" s="35">
        <v>903.52915977479302</v>
      </c>
      <c r="G397" s="35">
        <v>1098.59779950338</v>
      </c>
      <c r="H397" s="35">
        <v>2087.639069846</v>
      </c>
      <c r="I397" s="35">
        <v>679.40340880888596</v>
      </c>
      <c r="J397" s="35">
        <v>7.2860620817611501</v>
      </c>
      <c r="K397" s="35">
        <v>13.343697862012499</v>
      </c>
      <c r="L397" s="35">
        <v>3024.0590892688001</v>
      </c>
      <c r="M397" s="19">
        <f t="shared" si="6"/>
        <v>16955.505957010922</v>
      </c>
    </row>
    <row r="398" spans="1:13" x14ac:dyDescent="0.25">
      <c r="A398" s="33">
        <v>46110</v>
      </c>
      <c r="B398" s="35">
        <v>0</v>
      </c>
      <c r="C398" s="35">
        <v>0.30800790801337502</v>
      </c>
      <c r="D398" s="35">
        <v>4345.61449234662</v>
      </c>
      <c r="E398" s="35">
        <v>9175.0139283718709</v>
      </c>
      <c r="F398" s="35">
        <v>574.51348489594102</v>
      </c>
      <c r="G398" s="35">
        <v>808.04522160216197</v>
      </c>
      <c r="H398" s="35">
        <v>3741.4273165466202</v>
      </c>
      <c r="I398" s="35">
        <v>764.06525310463303</v>
      </c>
      <c r="J398" s="35">
        <v>59.582523836247901</v>
      </c>
      <c r="K398" s="35">
        <v>10.852886285915</v>
      </c>
      <c r="L398" s="35">
        <v>11614.276551381399</v>
      </c>
      <c r="M398" s="19">
        <f t="shared" si="6"/>
        <v>31093.699666279426</v>
      </c>
    </row>
    <row r="399" spans="1:13" x14ac:dyDescent="0.25">
      <c r="A399" s="33">
        <v>46111</v>
      </c>
      <c r="B399" s="35">
        <v>0</v>
      </c>
      <c r="C399" s="35">
        <v>26.190978902629599</v>
      </c>
      <c r="D399" s="35">
        <v>6523.3260037731097</v>
      </c>
      <c r="E399" s="35">
        <v>27610.489424886899</v>
      </c>
      <c r="F399" s="35">
        <v>3956.4827805593</v>
      </c>
      <c r="G399" s="35">
        <v>6640.8259557711399</v>
      </c>
      <c r="H399" s="35">
        <v>14578.965578680099</v>
      </c>
      <c r="I399" s="35">
        <v>819.45935306106503</v>
      </c>
      <c r="J399" s="35">
        <v>203.74644339623299</v>
      </c>
      <c r="K399" s="35">
        <v>66.670293410365005</v>
      </c>
      <c r="L399" s="35">
        <v>36629.634792472199</v>
      </c>
      <c r="M399" s="19">
        <f t="shared" si="6"/>
        <v>97055.791604913044</v>
      </c>
    </row>
    <row r="400" spans="1:13" x14ac:dyDescent="0.25">
      <c r="A400" s="33">
        <v>46112</v>
      </c>
      <c r="B400" s="35">
        <v>0</v>
      </c>
      <c r="C400" s="35">
        <v>16.880858261871001</v>
      </c>
      <c r="D400" s="35">
        <v>8825.0125287615992</v>
      </c>
      <c r="E400" s="35">
        <v>44530.182705930398</v>
      </c>
      <c r="F400" s="35">
        <v>4977.5060683403099</v>
      </c>
      <c r="G400" s="35">
        <v>8574.1652159535297</v>
      </c>
      <c r="H400" s="35">
        <v>29760.355437005699</v>
      </c>
      <c r="I400" s="35">
        <v>645.46960594561904</v>
      </c>
      <c r="J400" s="35">
        <v>216.883212294309</v>
      </c>
      <c r="K400" s="35">
        <v>24.548590052887501</v>
      </c>
      <c r="L400" s="35">
        <v>54397.2889635549</v>
      </c>
      <c r="M400" s="19">
        <f t="shared" si="6"/>
        <v>151968.29318610113</v>
      </c>
    </row>
    <row r="401" spans="1:13" x14ac:dyDescent="0.25">
      <c r="A401" s="33">
        <v>46113</v>
      </c>
      <c r="B401" s="35">
        <v>0</v>
      </c>
      <c r="C401" s="35">
        <v>30.884812339042401</v>
      </c>
      <c r="D401" s="35">
        <v>5045.2374134623497</v>
      </c>
      <c r="E401" s="35">
        <v>45412.625535039297</v>
      </c>
      <c r="F401" s="35">
        <v>3791.0260848563698</v>
      </c>
      <c r="G401" s="35">
        <v>6897.9209232365602</v>
      </c>
      <c r="H401" s="35">
        <v>22148.5241199673</v>
      </c>
      <c r="I401" s="35">
        <v>730.16950564402896</v>
      </c>
      <c r="J401" s="35">
        <v>183.80416232710101</v>
      </c>
      <c r="K401" s="35">
        <v>22.600366834839999</v>
      </c>
      <c r="L401" s="35">
        <v>40149.3109065725</v>
      </c>
      <c r="M401" s="19">
        <f t="shared" si="6"/>
        <v>124412.10383027939</v>
      </c>
    </row>
    <row r="402" spans="1:13" x14ac:dyDescent="0.25">
      <c r="A402" s="33">
        <v>46114</v>
      </c>
      <c r="B402" s="35">
        <v>0</v>
      </c>
      <c r="C402" s="35">
        <v>7.3906142995825501</v>
      </c>
      <c r="D402" s="35">
        <v>7158.4662132307203</v>
      </c>
      <c r="E402" s="35">
        <v>58237.815922143804</v>
      </c>
      <c r="F402" s="35">
        <v>4512.41054572553</v>
      </c>
      <c r="G402" s="35">
        <v>8380.5371208648503</v>
      </c>
      <c r="H402" s="35">
        <v>30269.006977564601</v>
      </c>
      <c r="I402" s="35">
        <v>723.87155174476595</v>
      </c>
      <c r="J402" s="35">
        <v>297.634083668328</v>
      </c>
      <c r="K402" s="35">
        <v>59.904069165687503</v>
      </c>
      <c r="L402" s="35">
        <v>75312.826757033705</v>
      </c>
      <c r="M402" s="19">
        <f t="shared" si="6"/>
        <v>184959.86385544157</v>
      </c>
    </row>
    <row r="403" spans="1:13" x14ac:dyDescent="0.25">
      <c r="A403" s="33">
        <v>46115</v>
      </c>
      <c r="B403" s="35">
        <v>0</v>
      </c>
      <c r="C403" s="35">
        <v>1.5003026068653</v>
      </c>
      <c r="D403" s="35">
        <v>3270.3830567981299</v>
      </c>
      <c r="E403" s="35">
        <v>6365.37835935569</v>
      </c>
      <c r="F403" s="35">
        <v>1094.0358392726</v>
      </c>
      <c r="G403" s="35">
        <v>878.17637074394497</v>
      </c>
      <c r="H403" s="35">
        <v>4289.0782200062804</v>
      </c>
      <c r="I403" s="35">
        <v>269.54155827506997</v>
      </c>
      <c r="J403" s="35">
        <v>30.453048663649898</v>
      </c>
      <c r="K403" s="35">
        <v>18.232253691515002</v>
      </c>
      <c r="L403" s="35">
        <v>5649.6581008644598</v>
      </c>
      <c r="M403" s="19">
        <f t="shared" si="6"/>
        <v>21866.437110278202</v>
      </c>
    </row>
    <row r="404" spans="1:13" x14ac:dyDescent="0.25">
      <c r="A404" s="33">
        <v>46116</v>
      </c>
      <c r="B404" s="35">
        <v>0</v>
      </c>
      <c r="C404" s="35">
        <v>1.4874041831100001E-2</v>
      </c>
      <c r="D404" s="35">
        <v>2122.9034764493099</v>
      </c>
      <c r="E404" s="35">
        <v>3124.9349288974499</v>
      </c>
      <c r="F404" s="35">
        <v>335.33269511207999</v>
      </c>
      <c r="G404" s="35">
        <v>426.24587347080001</v>
      </c>
      <c r="H404" s="35">
        <v>1511.99565200289</v>
      </c>
      <c r="I404" s="35">
        <v>244.262833617719</v>
      </c>
      <c r="J404" s="35">
        <v>16.744954680345899</v>
      </c>
      <c r="K404" s="35">
        <v>11.71137311521</v>
      </c>
      <c r="L404" s="35">
        <v>1349.8635382179</v>
      </c>
      <c r="M404" s="19">
        <f t="shared" si="6"/>
        <v>9144.0101996055346</v>
      </c>
    </row>
    <row r="405" spans="1:13" x14ac:dyDescent="0.25">
      <c r="A405" s="33">
        <v>46117</v>
      </c>
      <c r="B405" s="35">
        <v>0</v>
      </c>
      <c r="C405" s="35">
        <v>0.37839278533999998</v>
      </c>
      <c r="D405" s="35">
        <v>3500.0509079082999</v>
      </c>
      <c r="E405" s="35">
        <v>11695.2176185834</v>
      </c>
      <c r="F405" s="35">
        <v>1461.39320621978</v>
      </c>
      <c r="G405" s="35">
        <v>906.59852320751804</v>
      </c>
      <c r="H405" s="35">
        <v>4032.6254231366702</v>
      </c>
      <c r="I405" s="35">
        <v>160.04996662603301</v>
      </c>
      <c r="J405" s="35">
        <v>31.995706211232601</v>
      </c>
      <c r="K405" s="35">
        <v>4.9799886503200002</v>
      </c>
      <c r="L405" s="35">
        <v>13729.729287185</v>
      </c>
      <c r="M405" s="19">
        <f t="shared" si="6"/>
        <v>35523.019020513595</v>
      </c>
    </row>
    <row r="406" spans="1:13" x14ac:dyDescent="0.25">
      <c r="A406" s="33">
        <v>46118</v>
      </c>
      <c r="B406" s="35">
        <v>0</v>
      </c>
      <c r="C406" s="35">
        <v>1.03712413279555</v>
      </c>
      <c r="D406" s="35">
        <v>5746.6920988246502</v>
      </c>
      <c r="E406" s="35">
        <v>40493.520657071902</v>
      </c>
      <c r="F406" s="35">
        <v>4076.50961168086</v>
      </c>
      <c r="G406" s="35">
        <v>4990.0033425501597</v>
      </c>
      <c r="H406" s="35">
        <v>16895.993903375798</v>
      </c>
      <c r="I406" s="35">
        <v>553.703106728791</v>
      </c>
      <c r="J406" s="35">
        <v>152.50361354520501</v>
      </c>
      <c r="K406" s="35">
        <v>9.6765200716899997</v>
      </c>
      <c r="L406" s="35">
        <v>28620.2597807241</v>
      </c>
      <c r="M406" s="19">
        <f t="shared" si="6"/>
        <v>101539.89975870596</v>
      </c>
    </row>
    <row r="407" spans="1:13" x14ac:dyDescent="0.25">
      <c r="A407" s="33">
        <v>46119</v>
      </c>
      <c r="B407" s="35">
        <v>1.7467604401250001</v>
      </c>
      <c r="C407" s="35">
        <v>0.409127091945375</v>
      </c>
      <c r="D407" s="35">
        <v>8127.19060886017</v>
      </c>
      <c r="E407" s="35">
        <v>92819.818724921293</v>
      </c>
      <c r="F407" s="35">
        <v>4343.1231749303197</v>
      </c>
      <c r="G407" s="35">
        <v>7500.9215721556302</v>
      </c>
      <c r="H407" s="35">
        <v>32752.873733247499</v>
      </c>
      <c r="I407" s="35">
        <v>467.45026688978697</v>
      </c>
      <c r="J407" s="35">
        <v>136.279646188187</v>
      </c>
      <c r="K407" s="35">
        <v>256.15869639567501</v>
      </c>
      <c r="L407" s="35">
        <v>46043.914205010398</v>
      </c>
      <c r="M407" s="19">
        <f t="shared" si="6"/>
        <v>192449.88651613105</v>
      </c>
    </row>
    <row r="408" spans="1:13" x14ac:dyDescent="0.25">
      <c r="A408" s="33">
        <v>46120</v>
      </c>
      <c r="B408" s="35">
        <v>18.251520643664001</v>
      </c>
      <c r="C408" s="35">
        <v>0.83645375533999999</v>
      </c>
      <c r="D408" s="35">
        <v>7214.8827743142201</v>
      </c>
      <c r="E408" s="35">
        <v>85489.600108267798</v>
      </c>
      <c r="F408" s="35">
        <v>4153.1621791764301</v>
      </c>
      <c r="G408" s="35">
        <v>8798.7162711416695</v>
      </c>
      <c r="H408" s="35">
        <v>24236.4416375234</v>
      </c>
      <c r="I408" s="35">
        <v>347.17017401789599</v>
      </c>
      <c r="J408" s="35">
        <v>145.067411653927</v>
      </c>
      <c r="K408" s="35">
        <v>176.22443460504999</v>
      </c>
      <c r="L408" s="35">
        <v>31543.100885077401</v>
      </c>
      <c r="M408" s="19">
        <f t="shared" si="6"/>
        <v>162123.4538501768</v>
      </c>
    </row>
    <row r="409" spans="1:13" x14ac:dyDescent="0.25">
      <c r="A409" s="33">
        <v>46121</v>
      </c>
      <c r="B409" s="35">
        <v>140.253046334749</v>
      </c>
      <c r="C409" s="35">
        <v>0.111927927501525</v>
      </c>
      <c r="D409" s="35">
        <v>7009.2458916565402</v>
      </c>
      <c r="E409" s="35">
        <v>58183.258939740503</v>
      </c>
      <c r="F409" s="35">
        <v>4959.5591927411997</v>
      </c>
      <c r="G409" s="35">
        <v>5796.6020232664396</v>
      </c>
      <c r="H409" s="35">
        <v>17542.7517663012</v>
      </c>
      <c r="I409" s="35">
        <v>88.806903825351498</v>
      </c>
      <c r="J409" s="35">
        <v>137.148027316856</v>
      </c>
      <c r="K409" s="35">
        <v>290.60491380897298</v>
      </c>
      <c r="L409" s="35">
        <v>18729.5597254637</v>
      </c>
      <c r="M409" s="19">
        <f t="shared" si="6"/>
        <v>112877.902358383</v>
      </c>
    </row>
    <row r="410" spans="1:13" x14ac:dyDescent="0.25">
      <c r="A410" s="33">
        <v>46122</v>
      </c>
      <c r="B410" s="35">
        <v>40.66630970269</v>
      </c>
      <c r="C410" s="35">
        <v>10.3970821346131</v>
      </c>
      <c r="D410" s="35">
        <v>6032.3111602975896</v>
      </c>
      <c r="E410" s="35">
        <v>29261.0116597329</v>
      </c>
      <c r="F410" s="35">
        <v>3679.2721190131101</v>
      </c>
      <c r="G410" s="35">
        <v>5820.8529205623499</v>
      </c>
      <c r="H410" s="35">
        <v>12561.090761977301</v>
      </c>
      <c r="I410" s="35">
        <v>96.820194641667499</v>
      </c>
      <c r="J410" s="35">
        <v>337.24717343351699</v>
      </c>
      <c r="K410" s="35">
        <v>215.44851487693001</v>
      </c>
      <c r="L410" s="35">
        <v>17160.7248822494</v>
      </c>
      <c r="M410" s="19">
        <f t="shared" si="6"/>
        <v>75215.842778622071</v>
      </c>
    </row>
    <row r="411" spans="1:13" x14ac:dyDescent="0.25">
      <c r="A411" s="33">
        <v>46123</v>
      </c>
      <c r="B411" s="35">
        <v>0.19114669983425001</v>
      </c>
      <c r="C411" s="35">
        <v>2.2577484294218002</v>
      </c>
      <c r="D411" s="35">
        <v>3232.4316396620602</v>
      </c>
      <c r="E411" s="35">
        <v>9756.3700052563399</v>
      </c>
      <c r="F411" s="35">
        <v>1186.4849979079199</v>
      </c>
      <c r="G411" s="35">
        <v>1256.5491384263601</v>
      </c>
      <c r="H411" s="35">
        <v>2991.1195268278302</v>
      </c>
      <c r="I411" s="35">
        <v>280.10697244577301</v>
      </c>
      <c r="J411" s="35">
        <v>30.5734051574406</v>
      </c>
      <c r="K411" s="35">
        <v>172.9537741872</v>
      </c>
      <c r="L411" s="35">
        <v>1260.3028532007299</v>
      </c>
      <c r="M411" s="19">
        <f t="shared" si="6"/>
        <v>20169.341208200913</v>
      </c>
    </row>
    <row r="412" spans="1:13" x14ac:dyDescent="0.25">
      <c r="A412" s="33">
        <v>46124</v>
      </c>
      <c r="B412" s="35">
        <v>0.2355916392115</v>
      </c>
      <c r="C412" s="35">
        <v>6.8470491600000002E-3</v>
      </c>
      <c r="D412" s="35">
        <v>3880.15432330058</v>
      </c>
      <c r="E412" s="35">
        <v>36159.839172907698</v>
      </c>
      <c r="F412" s="35">
        <v>2671.82867914589</v>
      </c>
      <c r="G412" s="35">
        <v>2610.9123467896202</v>
      </c>
      <c r="H412" s="35">
        <v>11121.43182817</v>
      </c>
      <c r="I412" s="35">
        <v>409.00204653910703</v>
      </c>
      <c r="J412" s="35">
        <v>212.971892646973</v>
      </c>
      <c r="K412" s="35">
        <v>136.800853035323</v>
      </c>
      <c r="L412" s="35">
        <v>12266.2670724039</v>
      </c>
      <c r="M412" s="19">
        <f t="shared" si="6"/>
        <v>69469.450653627471</v>
      </c>
    </row>
    <row r="413" spans="1:13" x14ac:dyDescent="0.25">
      <c r="A413" s="33">
        <v>46125</v>
      </c>
      <c r="B413" s="35">
        <v>42.214129551593999</v>
      </c>
      <c r="C413" s="35">
        <v>3.8861554566400003E-2</v>
      </c>
      <c r="D413" s="35">
        <v>5617.49000367391</v>
      </c>
      <c r="E413" s="35">
        <v>42817.7958869637</v>
      </c>
      <c r="F413" s="35">
        <v>4006.6501562454</v>
      </c>
      <c r="G413" s="35">
        <v>4937.5750344772296</v>
      </c>
      <c r="H413" s="35">
        <v>18444.7080418642</v>
      </c>
      <c r="I413" s="35">
        <v>365.72122232313302</v>
      </c>
      <c r="J413" s="35">
        <v>512.33383203040796</v>
      </c>
      <c r="K413" s="35">
        <v>197.76415421857001</v>
      </c>
      <c r="L413" s="35">
        <v>16331.8799004714</v>
      </c>
      <c r="M413" s="19">
        <f t="shared" si="6"/>
        <v>93274.171223374098</v>
      </c>
    </row>
    <row r="414" spans="1:13" x14ac:dyDescent="0.25">
      <c r="A414" s="33">
        <v>46126</v>
      </c>
      <c r="B414" s="35">
        <v>9.0822607752969997</v>
      </c>
      <c r="C414" s="35">
        <v>2.9971339890194999</v>
      </c>
      <c r="D414" s="35">
        <v>5263.0414842988503</v>
      </c>
      <c r="E414" s="35">
        <v>34896.784639448197</v>
      </c>
      <c r="F414" s="35">
        <v>3860.1252750424901</v>
      </c>
      <c r="G414" s="35">
        <v>5312.9242301710401</v>
      </c>
      <c r="H414" s="35">
        <v>13984.4022440513</v>
      </c>
      <c r="I414" s="35">
        <v>189.369473153857</v>
      </c>
      <c r="J414" s="35">
        <v>502.95915899219801</v>
      </c>
      <c r="K414" s="35">
        <v>206.177987056625</v>
      </c>
      <c r="L414" s="35">
        <v>15113.0033815026</v>
      </c>
      <c r="M414" s="19">
        <f t="shared" si="6"/>
        <v>79340.867268481466</v>
      </c>
    </row>
    <row r="415" spans="1:13" x14ac:dyDescent="0.25">
      <c r="A415" s="33">
        <v>46127</v>
      </c>
      <c r="B415" s="35">
        <v>2.3436363832425</v>
      </c>
      <c r="C415" s="35">
        <v>0.12484437244920001</v>
      </c>
      <c r="D415" s="35">
        <v>3585.6485914624</v>
      </c>
      <c r="E415" s="35">
        <v>24539.2070184607</v>
      </c>
      <c r="F415" s="35">
        <v>3195.0018604205802</v>
      </c>
      <c r="G415" s="35">
        <v>4629.2850007055204</v>
      </c>
      <c r="H415" s="35">
        <v>17860.789533421001</v>
      </c>
      <c r="I415" s="35">
        <v>240.52964757955999</v>
      </c>
      <c r="J415" s="35">
        <v>479.37803634375399</v>
      </c>
      <c r="K415" s="35">
        <v>126.08796760714</v>
      </c>
      <c r="L415" s="35">
        <v>19469.802498243302</v>
      </c>
      <c r="M415" s="19">
        <f t="shared" si="6"/>
        <v>74128.198634999659</v>
      </c>
    </row>
    <row r="416" spans="1:13" x14ac:dyDescent="0.25">
      <c r="A416" s="33">
        <v>46128</v>
      </c>
      <c r="B416" s="35">
        <v>25.7318026361528</v>
      </c>
      <c r="C416" s="35">
        <v>2.5422175617749999E-2</v>
      </c>
      <c r="D416" s="35">
        <v>6267.5359802842504</v>
      </c>
      <c r="E416" s="35">
        <v>20157.699921655501</v>
      </c>
      <c r="F416" s="35">
        <v>3229.4041149547702</v>
      </c>
      <c r="G416" s="35">
        <v>5177.1898579675499</v>
      </c>
      <c r="H416" s="35">
        <v>17335.2456588573</v>
      </c>
      <c r="I416" s="35">
        <v>108.182884985219</v>
      </c>
      <c r="J416" s="35">
        <v>210.579009326251</v>
      </c>
      <c r="K416" s="35">
        <v>83.906332457410002</v>
      </c>
      <c r="L416" s="35">
        <v>11099.357390875601</v>
      </c>
      <c r="M416" s="19">
        <f t="shared" si="6"/>
        <v>63694.858376175609</v>
      </c>
    </row>
    <row r="417" spans="1:13" x14ac:dyDescent="0.25">
      <c r="A417" s="33">
        <v>46129</v>
      </c>
      <c r="B417" s="35">
        <v>9.2085900089422505</v>
      </c>
      <c r="C417" s="35">
        <v>0.14229114621802499</v>
      </c>
      <c r="D417" s="35">
        <v>9463.8158472166506</v>
      </c>
      <c r="E417" s="35">
        <v>42811.406884234901</v>
      </c>
      <c r="F417" s="35">
        <v>7757.6272844271298</v>
      </c>
      <c r="G417" s="35">
        <v>4136.93284520815</v>
      </c>
      <c r="H417" s="35">
        <v>18076.4610664639</v>
      </c>
      <c r="I417" s="35">
        <v>261.46800978549197</v>
      </c>
      <c r="J417" s="35">
        <v>102.656082173546</v>
      </c>
      <c r="K417" s="35">
        <v>244.869334702278</v>
      </c>
      <c r="L417" s="35">
        <v>17094.7915328657</v>
      </c>
      <c r="M417" s="19">
        <f t="shared" si="6"/>
        <v>99959.379768232902</v>
      </c>
    </row>
    <row r="418" spans="1:13" x14ac:dyDescent="0.25">
      <c r="A418" s="33">
        <v>46130</v>
      </c>
      <c r="B418" s="35">
        <v>0.23688727872599999</v>
      </c>
      <c r="C418" s="35">
        <v>0.19447514760689999</v>
      </c>
      <c r="D418" s="35">
        <v>4115.7259879552203</v>
      </c>
      <c r="E418" s="35">
        <v>12374.047321002399</v>
      </c>
      <c r="F418" s="35">
        <v>2700.1097284899502</v>
      </c>
      <c r="G418" s="35">
        <v>1287.6608197974499</v>
      </c>
      <c r="H418" s="35">
        <v>3650.4822856404298</v>
      </c>
      <c r="I418" s="35">
        <v>364.81778604632802</v>
      </c>
      <c r="J418" s="35">
        <v>10.9085209435113</v>
      </c>
      <c r="K418" s="35">
        <v>198.740982784305</v>
      </c>
      <c r="L418" s="35">
        <v>6737.2044311119298</v>
      </c>
      <c r="M418" s="19">
        <f t="shared" si="6"/>
        <v>31440.129226197852</v>
      </c>
    </row>
    <row r="419" spans="1:13" x14ac:dyDescent="0.25">
      <c r="A419" s="33">
        <v>46131</v>
      </c>
      <c r="B419" s="35">
        <v>0.74371137084200001</v>
      </c>
      <c r="C419" s="35">
        <v>0.11782452740875</v>
      </c>
      <c r="D419" s="35">
        <v>4083.2510306096001</v>
      </c>
      <c r="E419" s="35">
        <v>20165.052560161999</v>
      </c>
      <c r="F419" s="35">
        <v>3922.5837311127998</v>
      </c>
      <c r="G419" s="35">
        <v>1133.24830881195</v>
      </c>
      <c r="H419" s="35">
        <v>5064.1460194421497</v>
      </c>
      <c r="I419" s="35">
        <v>407.32638566673802</v>
      </c>
      <c r="J419" s="35">
        <v>78.765241521116494</v>
      </c>
      <c r="K419" s="35">
        <v>208.27161754176501</v>
      </c>
      <c r="L419" s="35">
        <v>10142.0725492893</v>
      </c>
      <c r="M419" s="19">
        <f t="shared" si="6"/>
        <v>45205.578980055681</v>
      </c>
    </row>
    <row r="420" spans="1:13" x14ac:dyDescent="0.25">
      <c r="A420" s="33">
        <v>46132</v>
      </c>
      <c r="B420" s="35">
        <v>2.561259856355</v>
      </c>
      <c r="C420" s="35">
        <v>2.7777119295E-3</v>
      </c>
      <c r="D420" s="35">
        <v>7333.4167280167303</v>
      </c>
      <c r="E420" s="35">
        <v>31362.159268282801</v>
      </c>
      <c r="F420" s="35">
        <v>8055.6822543087401</v>
      </c>
      <c r="G420" s="35">
        <v>4056.3446674492102</v>
      </c>
      <c r="H420" s="35">
        <v>15134.5393928102</v>
      </c>
      <c r="I420" s="35">
        <v>170.003813046652</v>
      </c>
      <c r="J420" s="35">
        <v>149.404509710887</v>
      </c>
      <c r="K420" s="35">
        <v>191.29963105183501</v>
      </c>
      <c r="L420" s="35">
        <v>15468.998446968601</v>
      </c>
      <c r="M420" s="19">
        <f t="shared" si="6"/>
        <v>81924.412749213952</v>
      </c>
    </row>
    <row r="421" spans="1:13" x14ac:dyDescent="0.25">
      <c r="A421" s="33">
        <v>46133</v>
      </c>
      <c r="B421" s="35">
        <v>0.65242299647900004</v>
      </c>
      <c r="C421" s="35">
        <v>8.4581592590132502</v>
      </c>
      <c r="D421" s="35">
        <v>4323.7194058082896</v>
      </c>
      <c r="E421" s="35">
        <v>38055.588760977997</v>
      </c>
      <c r="F421" s="35">
        <v>5085.5106002229704</v>
      </c>
      <c r="G421" s="35">
        <v>3757.13528171704</v>
      </c>
      <c r="H421" s="35">
        <v>16711.983177186299</v>
      </c>
      <c r="I421" s="35">
        <v>466.95711580824599</v>
      </c>
      <c r="J421" s="35">
        <v>128.50565827443401</v>
      </c>
      <c r="K421" s="35">
        <v>271.60381273727302</v>
      </c>
      <c r="L421" s="35">
        <v>29820.668253534699</v>
      </c>
      <c r="M421" s="19">
        <f t="shared" si="6"/>
        <v>98630.782648522727</v>
      </c>
    </row>
    <row r="422" spans="1:13" x14ac:dyDescent="0.25">
      <c r="A422" s="33">
        <v>46134</v>
      </c>
      <c r="B422" s="35">
        <v>2.4967869051684999</v>
      </c>
      <c r="C422" s="35">
        <v>24.385356381046499</v>
      </c>
      <c r="D422" s="35">
        <v>6576.6899511757301</v>
      </c>
      <c r="E422" s="35">
        <v>25934.559792108899</v>
      </c>
      <c r="F422" s="35">
        <v>3821.3083068155202</v>
      </c>
      <c r="G422" s="35">
        <v>3999.2829593484598</v>
      </c>
      <c r="H422" s="35">
        <v>12504.478636924499</v>
      </c>
      <c r="I422" s="35">
        <v>233.991514356669</v>
      </c>
      <c r="J422" s="35">
        <v>150.06833429954199</v>
      </c>
      <c r="K422" s="35">
        <v>500.02532693025</v>
      </c>
      <c r="L422" s="35">
        <v>19283.1303016934</v>
      </c>
      <c r="M422" s="19">
        <f t="shared" si="6"/>
        <v>73030.41726693917</v>
      </c>
    </row>
    <row r="423" spans="1:13" x14ac:dyDescent="0.25">
      <c r="A423" s="33">
        <v>46135</v>
      </c>
      <c r="B423" s="35">
        <v>1.19203486156</v>
      </c>
      <c r="C423" s="35">
        <v>20.202625152001801</v>
      </c>
      <c r="D423" s="35">
        <v>10222.0599288215</v>
      </c>
      <c r="E423" s="35">
        <v>36760.067293813998</v>
      </c>
      <c r="F423" s="35">
        <v>3774.47409999312</v>
      </c>
      <c r="G423" s="35">
        <v>6722.0231871293499</v>
      </c>
      <c r="H423" s="35">
        <v>19881.932454434798</v>
      </c>
      <c r="I423" s="35">
        <v>242.66427296642999</v>
      </c>
      <c r="J423" s="35">
        <v>238.44961330105201</v>
      </c>
      <c r="K423" s="35">
        <v>243.04946706530001</v>
      </c>
      <c r="L423" s="35">
        <v>21205.9567787581</v>
      </c>
      <c r="M423" s="19">
        <f t="shared" ref="M423:M486" si="7">SUM(B423:L423)</f>
        <v>99312.071756297213</v>
      </c>
    </row>
    <row r="424" spans="1:13" x14ac:dyDescent="0.25">
      <c r="A424" s="33">
        <v>46136</v>
      </c>
      <c r="B424" s="35">
        <v>1.1731169446309999</v>
      </c>
      <c r="C424" s="35">
        <v>27.2648747816846</v>
      </c>
      <c r="D424" s="35">
        <v>2195.5896901654501</v>
      </c>
      <c r="E424" s="35">
        <v>29067.3700243889</v>
      </c>
      <c r="F424" s="35">
        <v>3478.0817451163498</v>
      </c>
      <c r="G424" s="35">
        <v>8329.76838116623</v>
      </c>
      <c r="H424" s="35">
        <v>15288.9309518026</v>
      </c>
      <c r="I424" s="35">
        <v>201.11848954031601</v>
      </c>
      <c r="J424" s="35">
        <v>156.704948905002</v>
      </c>
      <c r="K424" s="35">
        <v>99.221144391500005</v>
      </c>
      <c r="L424" s="35">
        <v>16532.133410661801</v>
      </c>
      <c r="M424" s="19">
        <f t="shared" si="7"/>
        <v>75377.356777864465</v>
      </c>
    </row>
    <row r="425" spans="1:13" x14ac:dyDescent="0.25">
      <c r="A425" s="33">
        <v>46137</v>
      </c>
      <c r="B425" s="35">
        <v>0.13486282328624999</v>
      </c>
      <c r="C425" s="35">
        <v>23.553601111910801</v>
      </c>
      <c r="D425" s="35">
        <v>1538.93559647335</v>
      </c>
      <c r="E425" s="35">
        <v>4597.5188146596702</v>
      </c>
      <c r="F425" s="35">
        <v>724.55671856665901</v>
      </c>
      <c r="G425" s="35">
        <v>970.25247290345999</v>
      </c>
      <c r="H425" s="35">
        <v>2222.7051823416</v>
      </c>
      <c r="I425" s="35">
        <v>19.60817103918</v>
      </c>
      <c r="J425" s="35">
        <v>9.6322065542228792</v>
      </c>
      <c r="K425" s="35">
        <v>30.950838190199999</v>
      </c>
      <c r="L425" s="35">
        <v>2740.6249296126398</v>
      </c>
      <c r="M425" s="19">
        <f t="shared" si="7"/>
        <v>12878.473394276178</v>
      </c>
    </row>
    <row r="426" spans="1:13" x14ac:dyDescent="0.25">
      <c r="A426" s="33">
        <v>46138</v>
      </c>
      <c r="B426" s="35">
        <v>0.43083164559800002</v>
      </c>
      <c r="C426" s="35">
        <v>4.9092102149328003</v>
      </c>
      <c r="D426" s="35">
        <v>14399.6406294877</v>
      </c>
      <c r="E426" s="35">
        <v>6029.19110638237</v>
      </c>
      <c r="F426" s="35">
        <v>1593.34714519301</v>
      </c>
      <c r="G426" s="35">
        <v>2292.66434945126</v>
      </c>
      <c r="H426" s="35">
        <v>4535.7346784657302</v>
      </c>
      <c r="I426" s="35">
        <v>76.687581223893801</v>
      </c>
      <c r="J426" s="35">
        <v>163.310191434491</v>
      </c>
      <c r="K426" s="35">
        <v>143.70296906192499</v>
      </c>
      <c r="L426" s="35">
        <v>6203.24000088511</v>
      </c>
      <c r="M426" s="19">
        <f t="shared" si="7"/>
        <v>35442.858693446018</v>
      </c>
    </row>
    <row r="427" spans="1:13" x14ac:dyDescent="0.25">
      <c r="A427" s="33">
        <v>46139</v>
      </c>
      <c r="B427" s="35">
        <v>0.93320612234650002</v>
      </c>
      <c r="C427" s="35">
        <v>0.72034857701260002</v>
      </c>
      <c r="D427" s="35">
        <v>3810.7613150826</v>
      </c>
      <c r="E427" s="35">
        <v>16083.0830720259</v>
      </c>
      <c r="F427" s="35">
        <v>5503.4845124286003</v>
      </c>
      <c r="G427" s="35">
        <v>9631.4734546713898</v>
      </c>
      <c r="H427" s="35">
        <v>12981.9812421443</v>
      </c>
      <c r="I427" s="35">
        <v>188.26576256979899</v>
      </c>
      <c r="J427" s="35">
        <v>138.04448497265699</v>
      </c>
      <c r="K427" s="35">
        <v>93.495550701024996</v>
      </c>
      <c r="L427" s="35">
        <v>15559.4434951452</v>
      </c>
      <c r="M427" s="19">
        <f t="shared" si="7"/>
        <v>63991.68644444082</v>
      </c>
    </row>
    <row r="428" spans="1:13" x14ac:dyDescent="0.25">
      <c r="A428" s="33">
        <v>46140</v>
      </c>
      <c r="B428" s="35">
        <v>5.1241526391240004</v>
      </c>
      <c r="C428" s="35">
        <v>39.739731595625599</v>
      </c>
      <c r="D428" s="35">
        <v>1671.8365147705699</v>
      </c>
      <c r="E428" s="35">
        <v>28941.367303566301</v>
      </c>
      <c r="F428" s="35">
        <v>4312.8158833172001</v>
      </c>
      <c r="G428" s="35">
        <v>8821.1351470944792</v>
      </c>
      <c r="H428" s="35">
        <v>13189.833231504799</v>
      </c>
      <c r="I428" s="35">
        <v>313.69094437015701</v>
      </c>
      <c r="J428" s="35">
        <v>830.09035387650499</v>
      </c>
      <c r="K428" s="35">
        <v>173.69189366227499</v>
      </c>
      <c r="L428" s="35">
        <v>32749.884037928001</v>
      </c>
      <c r="M428" s="19">
        <f t="shared" si="7"/>
        <v>91049.209194325042</v>
      </c>
    </row>
    <row r="429" spans="1:13" x14ac:dyDescent="0.25">
      <c r="A429" s="33">
        <v>46141</v>
      </c>
      <c r="B429" s="35">
        <v>32.5168055996105</v>
      </c>
      <c r="C429" s="35">
        <v>10.2865662110048</v>
      </c>
      <c r="D429" s="35">
        <v>2379.7411567355002</v>
      </c>
      <c r="E429" s="35">
        <v>34139.346030399101</v>
      </c>
      <c r="F429" s="35">
        <v>5985.52166915407</v>
      </c>
      <c r="G429" s="35">
        <v>13568.5642524789</v>
      </c>
      <c r="H429" s="35">
        <v>21225.204076810402</v>
      </c>
      <c r="I429" s="35">
        <v>304.292048426647</v>
      </c>
      <c r="J429" s="35">
        <v>152.28946558699801</v>
      </c>
      <c r="K429" s="35">
        <v>385.05576221499302</v>
      </c>
      <c r="L429" s="35">
        <v>27728.4936571543</v>
      </c>
      <c r="M429" s="19">
        <f t="shared" si="7"/>
        <v>105911.31149077154</v>
      </c>
    </row>
    <row r="430" spans="1:13" x14ac:dyDescent="0.25">
      <c r="A430" s="33">
        <v>46142</v>
      </c>
      <c r="B430" s="35">
        <v>29.382740039687999</v>
      </c>
      <c r="C430" s="35">
        <v>65.065176886218097</v>
      </c>
      <c r="D430" s="35">
        <v>1349.3700309021101</v>
      </c>
      <c r="E430" s="35">
        <v>33802.283113294601</v>
      </c>
      <c r="F430" s="35">
        <v>9228.5752471913202</v>
      </c>
      <c r="G430" s="35">
        <v>14397.3908919487</v>
      </c>
      <c r="H430" s="35">
        <v>20937.792994524101</v>
      </c>
      <c r="I430" s="35">
        <v>877.87337790445099</v>
      </c>
      <c r="J430" s="35">
        <v>113.078499623973</v>
      </c>
      <c r="K430" s="35">
        <v>276.66163844126999</v>
      </c>
      <c r="L430" s="35">
        <v>22816.170847850801</v>
      </c>
      <c r="M430" s="19">
        <f t="shared" si="7"/>
        <v>103893.64455860722</v>
      </c>
    </row>
    <row r="431" spans="1:13" x14ac:dyDescent="0.25">
      <c r="A431" s="33">
        <v>46143</v>
      </c>
      <c r="B431" s="35">
        <v>112.005861128245</v>
      </c>
      <c r="C431" s="35">
        <v>144.603830839408</v>
      </c>
      <c r="D431" s="35">
        <v>2197.80716695607</v>
      </c>
      <c r="E431" s="35">
        <v>32004.483761697</v>
      </c>
      <c r="F431" s="35">
        <v>8340.6519384204494</v>
      </c>
      <c r="G431" s="35">
        <v>10705.1533229823</v>
      </c>
      <c r="H431" s="35">
        <v>11998.502722315299</v>
      </c>
      <c r="I431" s="35">
        <v>462.99311821899897</v>
      </c>
      <c r="J431" s="35">
        <v>111.511660230491</v>
      </c>
      <c r="K431" s="35">
        <v>115.49380193618499</v>
      </c>
      <c r="L431" s="35">
        <v>18933.972488179999</v>
      </c>
      <c r="M431" s="19">
        <f t="shared" si="7"/>
        <v>85127.179672904458</v>
      </c>
    </row>
    <row r="432" spans="1:13" x14ac:dyDescent="0.25">
      <c r="A432" s="33">
        <v>46144</v>
      </c>
      <c r="B432" s="35">
        <v>0.18643372629400001</v>
      </c>
      <c r="C432" s="35">
        <v>39.883434964333098</v>
      </c>
      <c r="D432" s="35">
        <v>1381.38949904519</v>
      </c>
      <c r="E432" s="35">
        <v>2263.3498991136898</v>
      </c>
      <c r="F432" s="35">
        <v>1109.9581044050301</v>
      </c>
      <c r="G432" s="35">
        <v>1099.4485541138799</v>
      </c>
      <c r="H432" s="35">
        <v>2143.3722518391201</v>
      </c>
      <c r="I432" s="35">
        <v>245.74185412689999</v>
      </c>
      <c r="J432" s="35">
        <v>19.1884571105732</v>
      </c>
      <c r="K432" s="35">
        <v>58.538027044300001</v>
      </c>
      <c r="L432" s="35">
        <v>936.08411851283495</v>
      </c>
      <c r="M432" s="19">
        <f t="shared" si="7"/>
        <v>9297.1406340021458</v>
      </c>
    </row>
    <row r="433" spans="1:13" x14ac:dyDescent="0.25">
      <c r="A433" s="33">
        <v>46145</v>
      </c>
      <c r="B433" s="35">
        <v>0.31812624972124998</v>
      </c>
      <c r="C433" s="35">
        <v>34.190935592225003</v>
      </c>
      <c r="D433" s="35">
        <v>1460.1489400369701</v>
      </c>
      <c r="E433" s="35">
        <v>11065.226107033101</v>
      </c>
      <c r="F433" s="35">
        <v>932.15018204382204</v>
      </c>
      <c r="G433" s="35">
        <v>1452.1094213690999</v>
      </c>
      <c r="H433" s="35">
        <v>3200.6603279197602</v>
      </c>
      <c r="I433" s="35">
        <v>314.06526362073998</v>
      </c>
      <c r="J433" s="35">
        <v>63.993129660649501</v>
      </c>
      <c r="K433" s="35">
        <v>28.73304669905</v>
      </c>
      <c r="L433" s="35">
        <v>6150.14063868209</v>
      </c>
      <c r="M433" s="19">
        <f t="shared" si="7"/>
        <v>24701.736118907229</v>
      </c>
    </row>
    <row r="434" spans="1:13" x14ac:dyDescent="0.25">
      <c r="A434" s="33">
        <v>46146</v>
      </c>
      <c r="B434" s="35">
        <v>102.770959301914</v>
      </c>
      <c r="C434" s="35">
        <v>10.321547826302901</v>
      </c>
      <c r="D434" s="35">
        <v>6286.13230346606</v>
      </c>
      <c r="E434" s="35">
        <v>46881.0684485233</v>
      </c>
      <c r="F434" s="35">
        <v>9160.41867271294</v>
      </c>
      <c r="G434" s="35">
        <v>11468.339624718399</v>
      </c>
      <c r="H434" s="35">
        <v>20199.324898257801</v>
      </c>
      <c r="I434" s="35">
        <v>752.913871068606</v>
      </c>
      <c r="J434" s="35">
        <v>163.18108353299101</v>
      </c>
      <c r="K434" s="35">
        <v>59.326278462399998</v>
      </c>
      <c r="L434" s="35">
        <v>28013.199509932601</v>
      </c>
      <c r="M434" s="19">
        <f t="shared" si="7"/>
        <v>123096.99719780331</v>
      </c>
    </row>
    <row r="435" spans="1:13" x14ac:dyDescent="0.25">
      <c r="A435" s="33">
        <v>46147</v>
      </c>
      <c r="B435" s="35">
        <v>30.9249943552655</v>
      </c>
      <c r="C435" s="35">
        <v>5.6855626592939998</v>
      </c>
      <c r="D435" s="35">
        <v>3884.25369558066</v>
      </c>
      <c r="E435" s="35">
        <v>29864.232068898302</v>
      </c>
      <c r="F435" s="35">
        <v>6505.8589227887596</v>
      </c>
      <c r="G435" s="35">
        <v>13369.673971984899</v>
      </c>
      <c r="H435" s="35">
        <v>13366.372155682</v>
      </c>
      <c r="I435" s="35">
        <v>297.93730498742599</v>
      </c>
      <c r="J435" s="35">
        <v>192.36028003934399</v>
      </c>
      <c r="K435" s="35">
        <v>66.563492428074994</v>
      </c>
      <c r="L435" s="35">
        <v>15716.267681188299</v>
      </c>
      <c r="M435" s="19">
        <f t="shared" si="7"/>
        <v>83300.130130592312</v>
      </c>
    </row>
    <row r="436" spans="1:13" x14ac:dyDescent="0.25">
      <c r="A436" s="33">
        <v>46148</v>
      </c>
      <c r="B436" s="35">
        <v>26.937719870485001</v>
      </c>
      <c r="C436" s="35">
        <v>16.886642167478001</v>
      </c>
      <c r="D436" s="35">
        <v>4026.07728514475</v>
      </c>
      <c r="E436" s="35">
        <v>56847.566341854697</v>
      </c>
      <c r="F436" s="35">
        <v>6275.3634619869099</v>
      </c>
      <c r="G436" s="35">
        <v>14664.9517258749</v>
      </c>
      <c r="H436" s="35">
        <v>17143.796764204501</v>
      </c>
      <c r="I436" s="35">
        <v>336.46880262293303</v>
      </c>
      <c r="J436" s="35">
        <v>258.42534147128498</v>
      </c>
      <c r="K436" s="35">
        <v>189.59029489394999</v>
      </c>
      <c r="L436" s="35">
        <v>27070.860400468599</v>
      </c>
      <c r="M436" s="19">
        <f t="shared" si="7"/>
        <v>126856.92478056048</v>
      </c>
    </row>
    <row r="437" spans="1:13" x14ac:dyDescent="0.25">
      <c r="A437" s="33">
        <v>46149</v>
      </c>
      <c r="B437" s="35">
        <v>12.167658530616499</v>
      </c>
      <c r="C437" s="35">
        <v>2.3175200841149999</v>
      </c>
      <c r="D437" s="35">
        <v>2883.8732714222801</v>
      </c>
      <c r="E437" s="35">
        <v>54433.061211915199</v>
      </c>
      <c r="F437" s="35">
        <v>6324.2374232751199</v>
      </c>
      <c r="G437" s="35">
        <v>14708.4089442187</v>
      </c>
      <c r="H437" s="35">
        <v>19246.818341328799</v>
      </c>
      <c r="I437" s="35">
        <v>168.85721163533299</v>
      </c>
      <c r="J437" s="35">
        <v>301.95269870679101</v>
      </c>
      <c r="K437" s="35">
        <v>737.49863145790005</v>
      </c>
      <c r="L437" s="35">
        <v>27782.240548330999</v>
      </c>
      <c r="M437" s="19">
        <f t="shared" si="7"/>
        <v>126601.43346090584</v>
      </c>
    </row>
    <row r="438" spans="1:13" x14ac:dyDescent="0.25">
      <c r="A438" s="33">
        <v>46150</v>
      </c>
      <c r="B438" s="35">
        <v>19.417203618359999</v>
      </c>
      <c r="C438" s="35">
        <v>4.5654601025970996</v>
      </c>
      <c r="D438" s="35">
        <v>2334.9628279551198</v>
      </c>
      <c r="E438" s="35">
        <v>25863.448377839399</v>
      </c>
      <c r="F438" s="35">
        <v>4559.7449225006803</v>
      </c>
      <c r="G438" s="35">
        <v>15548.075190981201</v>
      </c>
      <c r="H438" s="35">
        <v>15338.4917493719</v>
      </c>
      <c r="I438" s="35">
        <v>175.70006815634699</v>
      </c>
      <c r="J438" s="35">
        <v>352.99845086007201</v>
      </c>
      <c r="K438" s="35">
        <v>224.1149930798</v>
      </c>
      <c r="L438" s="35">
        <v>16910.2258429701</v>
      </c>
      <c r="M438" s="19">
        <f t="shared" si="7"/>
        <v>81331.745087435571</v>
      </c>
    </row>
    <row r="439" spans="1:13" x14ac:dyDescent="0.25">
      <c r="A439" s="33">
        <v>46151</v>
      </c>
      <c r="B439" s="35">
        <v>0.78509197779999995</v>
      </c>
      <c r="C439" s="35">
        <v>5.1369597417225001E-2</v>
      </c>
      <c r="D439" s="35">
        <v>1347.4769586884699</v>
      </c>
      <c r="E439" s="35">
        <v>3284.2673542110401</v>
      </c>
      <c r="F439" s="35">
        <v>871.97360434949098</v>
      </c>
      <c r="G439" s="35">
        <v>1848.6500050617999</v>
      </c>
      <c r="H439" s="35">
        <v>2224.4903570850101</v>
      </c>
      <c r="I439" s="35">
        <v>13.8184680371658</v>
      </c>
      <c r="J439" s="35">
        <v>79.953157242858396</v>
      </c>
      <c r="K439" s="35">
        <v>2232.2754377552201</v>
      </c>
      <c r="L439" s="35">
        <v>2396.8105641922202</v>
      </c>
      <c r="M439" s="19">
        <f t="shared" si="7"/>
        <v>14300.552368198492</v>
      </c>
    </row>
    <row r="440" spans="1:13" x14ac:dyDescent="0.25">
      <c r="A440" s="33">
        <v>46152</v>
      </c>
      <c r="B440" s="35">
        <v>0.4143759422935</v>
      </c>
      <c r="C440" s="35">
        <v>0.44824858851369997</v>
      </c>
      <c r="D440" s="35">
        <v>2801.8976554136502</v>
      </c>
      <c r="E440" s="35">
        <v>9739.5949106025291</v>
      </c>
      <c r="F440" s="35">
        <v>1928.8285942899599</v>
      </c>
      <c r="G440" s="35">
        <v>3149.9242311808898</v>
      </c>
      <c r="H440" s="35">
        <v>6018.8945876705602</v>
      </c>
      <c r="I440" s="35">
        <v>116.06650646739401</v>
      </c>
      <c r="J440" s="35">
        <v>377.89343157483597</v>
      </c>
      <c r="K440" s="35">
        <v>1088.56792181115</v>
      </c>
      <c r="L440" s="35">
        <v>9099.7348749578796</v>
      </c>
      <c r="M440" s="19">
        <f t="shared" si="7"/>
        <v>34322.265338499659</v>
      </c>
    </row>
    <row r="441" spans="1:13" x14ac:dyDescent="0.25">
      <c r="A441" s="33">
        <v>46153</v>
      </c>
      <c r="B441" s="35">
        <v>7.0604841169409998</v>
      </c>
      <c r="C441" s="35">
        <v>2.5335907112527498</v>
      </c>
      <c r="D441" s="35">
        <v>3016.7378762361</v>
      </c>
      <c r="E441" s="35">
        <v>22982.840108721601</v>
      </c>
      <c r="F441" s="35">
        <v>7723.3202226235398</v>
      </c>
      <c r="G441" s="35">
        <v>19933.364164760002</v>
      </c>
      <c r="H441" s="35">
        <v>12013.464978616799</v>
      </c>
      <c r="I441" s="35">
        <v>131.90898532848999</v>
      </c>
      <c r="J441" s="35">
        <v>391.43748278878297</v>
      </c>
      <c r="K441" s="35">
        <v>352.61746132364999</v>
      </c>
      <c r="L441" s="35">
        <v>26414.478472762501</v>
      </c>
      <c r="M441" s="19">
        <f t="shared" si="7"/>
        <v>92969.763827989664</v>
      </c>
    </row>
    <row r="442" spans="1:13" x14ac:dyDescent="0.25">
      <c r="A442" s="33">
        <v>46154</v>
      </c>
      <c r="B442" s="35">
        <v>49.658928966090002</v>
      </c>
      <c r="C442" s="35">
        <v>0.51731503783572497</v>
      </c>
      <c r="D442" s="35">
        <v>2481.2064192584398</v>
      </c>
      <c r="E442" s="35">
        <v>16365.753741160201</v>
      </c>
      <c r="F442" s="35">
        <v>5839.2495071081203</v>
      </c>
      <c r="G442" s="35">
        <v>19989.4701207586</v>
      </c>
      <c r="H442" s="35">
        <v>16791.176175053501</v>
      </c>
      <c r="I442" s="35">
        <v>115.534938974311</v>
      </c>
      <c r="J442" s="35">
        <v>974.90275059669796</v>
      </c>
      <c r="K442" s="35">
        <v>303.31521058827502</v>
      </c>
      <c r="L442" s="35">
        <v>26462.0017074963</v>
      </c>
      <c r="M442" s="19">
        <f t="shared" si="7"/>
        <v>89372.78681499837</v>
      </c>
    </row>
    <row r="443" spans="1:13" x14ac:dyDescent="0.25">
      <c r="A443" s="33">
        <v>46155</v>
      </c>
      <c r="B443" s="35">
        <v>20.717419271160001</v>
      </c>
      <c r="C443" s="35">
        <v>23.0815987784536</v>
      </c>
      <c r="D443" s="35">
        <v>2522.2277525179402</v>
      </c>
      <c r="E443" s="35">
        <v>17419.516583759301</v>
      </c>
      <c r="F443" s="35">
        <v>4909.7005865184401</v>
      </c>
      <c r="G443" s="35">
        <v>18085.006873735801</v>
      </c>
      <c r="H443" s="35">
        <v>16975.531046742599</v>
      </c>
      <c r="I443" s="35">
        <v>332.81538495362798</v>
      </c>
      <c r="J443" s="35">
        <v>1116.02327198596</v>
      </c>
      <c r="K443" s="35">
        <v>149.354241808875</v>
      </c>
      <c r="L443" s="35">
        <v>22146.8706986572</v>
      </c>
      <c r="M443" s="19">
        <f t="shared" si="7"/>
        <v>83700.845458729367</v>
      </c>
    </row>
    <row r="444" spans="1:13" x14ac:dyDescent="0.25">
      <c r="A444" s="33">
        <v>46156</v>
      </c>
      <c r="B444" s="35">
        <v>12.5977355123543</v>
      </c>
      <c r="C444" s="35">
        <v>17.004820410926801</v>
      </c>
      <c r="D444" s="35">
        <v>2727.4472163874002</v>
      </c>
      <c r="E444" s="35">
        <v>16693.5406475003</v>
      </c>
      <c r="F444" s="35">
        <v>7426.8633487554498</v>
      </c>
      <c r="G444" s="35">
        <v>26152.1834187147</v>
      </c>
      <c r="H444" s="35">
        <v>20455.1955180472</v>
      </c>
      <c r="I444" s="35">
        <v>298.577777809976</v>
      </c>
      <c r="J444" s="35">
        <v>632.58204196522695</v>
      </c>
      <c r="K444" s="35">
        <v>105.043886704025</v>
      </c>
      <c r="L444" s="35">
        <v>19190.6341557507</v>
      </c>
      <c r="M444" s="19">
        <f t="shared" si="7"/>
        <v>93711.670567558249</v>
      </c>
    </row>
    <row r="445" spans="1:13" x14ac:dyDescent="0.25">
      <c r="A445" s="33">
        <v>46157</v>
      </c>
      <c r="B445" s="35">
        <v>57.838242991897502</v>
      </c>
      <c r="C445" s="35">
        <v>24.7780674258406</v>
      </c>
      <c r="D445" s="35">
        <v>5170.4638350159303</v>
      </c>
      <c r="E445" s="35">
        <v>12718.030281756801</v>
      </c>
      <c r="F445" s="35">
        <v>5003.1572984922504</v>
      </c>
      <c r="G445" s="35">
        <v>25136.3233144851</v>
      </c>
      <c r="H445" s="35">
        <v>28744.160438635201</v>
      </c>
      <c r="I445" s="35">
        <v>294.98373565602498</v>
      </c>
      <c r="J445" s="35">
        <v>604.49435172686799</v>
      </c>
      <c r="K445" s="35">
        <v>152.47918628375001</v>
      </c>
      <c r="L445" s="35">
        <v>30890.8144501807</v>
      </c>
      <c r="M445" s="19">
        <f t="shared" si="7"/>
        <v>108797.52320265037</v>
      </c>
    </row>
    <row r="446" spans="1:13" x14ac:dyDescent="0.25">
      <c r="A446" s="33">
        <v>46158</v>
      </c>
      <c r="B446" s="35">
        <v>1.34081755278375</v>
      </c>
      <c r="C446" s="35">
        <v>9.9644804251097998</v>
      </c>
      <c r="D446" s="35">
        <v>2293.71430599415</v>
      </c>
      <c r="E446" s="35">
        <v>2325.8289366224799</v>
      </c>
      <c r="F446" s="35">
        <v>975.83799661783905</v>
      </c>
      <c r="G446" s="35">
        <v>1849.5473355429001</v>
      </c>
      <c r="H446" s="35">
        <v>2014.2518504173399</v>
      </c>
      <c r="I446" s="35">
        <v>24.436855242513001</v>
      </c>
      <c r="J446" s="35">
        <v>35.5883738740512</v>
      </c>
      <c r="K446" s="35">
        <v>146.91299360970001</v>
      </c>
      <c r="L446" s="35">
        <v>8731.6590258555007</v>
      </c>
      <c r="M446" s="19">
        <f t="shared" si="7"/>
        <v>18409.082971754367</v>
      </c>
    </row>
    <row r="447" spans="1:13" x14ac:dyDescent="0.25">
      <c r="A447" s="33">
        <v>46159</v>
      </c>
      <c r="B447" s="35">
        <v>1.11431517965625</v>
      </c>
      <c r="C447" s="35">
        <v>0.1112525687525</v>
      </c>
      <c r="D447" s="35">
        <v>3829.9205443546698</v>
      </c>
      <c r="E447" s="35">
        <v>4041.2412554341499</v>
      </c>
      <c r="F447" s="35">
        <v>1193.51645675602</v>
      </c>
      <c r="G447" s="35">
        <v>2251.6407166062299</v>
      </c>
      <c r="H447" s="35">
        <v>4402.22531533438</v>
      </c>
      <c r="I447" s="35">
        <v>31.335787683750802</v>
      </c>
      <c r="J447" s="35">
        <v>88.040579229712606</v>
      </c>
      <c r="K447" s="35">
        <v>308.46696957232501</v>
      </c>
      <c r="L447" s="35">
        <v>3775.5135597296398</v>
      </c>
      <c r="M447" s="19">
        <f t="shared" si="7"/>
        <v>19923.126752449287</v>
      </c>
    </row>
    <row r="448" spans="1:13" x14ac:dyDescent="0.25">
      <c r="A448" s="33">
        <v>46160</v>
      </c>
      <c r="B448" s="35">
        <v>29.863519141743001</v>
      </c>
      <c r="C448" s="35">
        <v>42.829357702140001</v>
      </c>
      <c r="D448" s="35">
        <v>7203.4033140220299</v>
      </c>
      <c r="E448" s="35">
        <v>28037.912849960801</v>
      </c>
      <c r="F448" s="35">
        <v>6642.52349238022</v>
      </c>
      <c r="G448" s="35">
        <v>23363.340698499</v>
      </c>
      <c r="H448" s="35">
        <v>32541.971525014898</v>
      </c>
      <c r="I448" s="35">
        <v>105.31827092764701</v>
      </c>
      <c r="J448" s="35">
        <v>292.10591997228198</v>
      </c>
      <c r="K448" s="35">
        <v>1913.36116558976</v>
      </c>
      <c r="L448" s="35">
        <v>18954.025484243699</v>
      </c>
      <c r="M448" s="19">
        <f t="shared" si="7"/>
        <v>119126.65559745421</v>
      </c>
    </row>
    <row r="449" spans="1:13" x14ac:dyDescent="0.25">
      <c r="A449" s="33">
        <v>46161</v>
      </c>
      <c r="B449" s="35">
        <v>13.543402113593</v>
      </c>
      <c r="C449" s="35">
        <v>4.7866642954129999</v>
      </c>
      <c r="D449" s="35">
        <v>5664.6815682236302</v>
      </c>
      <c r="E449" s="35">
        <v>13385.4173136552</v>
      </c>
      <c r="F449" s="35">
        <v>3732.9698176746801</v>
      </c>
      <c r="G449" s="35">
        <v>24311.5821325426</v>
      </c>
      <c r="H449" s="35">
        <v>23288.410617421399</v>
      </c>
      <c r="I449" s="35">
        <v>157.894494675678</v>
      </c>
      <c r="J449" s="35">
        <v>153.84134188268101</v>
      </c>
      <c r="K449" s="35">
        <v>414.63305605780801</v>
      </c>
      <c r="L449" s="35">
        <v>91377.953966043002</v>
      </c>
      <c r="M449" s="19">
        <f t="shared" si="7"/>
        <v>162505.71437458569</v>
      </c>
    </row>
    <row r="450" spans="1:13" x14ac:dyDescent="0.25">
      <c r="A450" s="33">
        <v>46162</v>
      </c>
      <c r="B450" s="35">
        <v>2.4713798926199999</v>
      </c>
      <c r="C450" s="35">
        <v>0.28281442781569999</v>
      </c>
      <c r="D450" s="35">
        <v>329.01268556526099</v>
      </c>
      <c r="E450" s="35">
        <v>1127.6236968188</v>
      </c>
      <c r="F450" s="35">
        <v>190.581185520074</v>
      </c>
      <c r="G450" s="35">
        <v>1321.58043430168</v>
      </c>
      <c r="H450" s="35">
        <v>2813.23424972373</v>
      </c>
      <c r="I450" s="35">
        <v>11.7314774848765</v>
      </c>
      <c r="J450" s="35">
        <v>17.2243167269224</v>
      </c>
      <c r="K450" s="35">
        <v>62.602041854180001</v>
      </c>
      <c r="L450" s="35">
        <v>4267.8267301065098</v>
      </c>
      <c r="M450" s="19">
        <f t="shared" si="7"/>
        <v>10144.17101242247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5"/>
  <sheetViews>
    <sheetView zoomScaleNormal="100" workbookViewId="0"/>
  </sheetViews>
  <sheetFormatPr defaultColWidth="8.7109375" defaultRowHeight="15" x14ac:dyDescent="0.25"/>
  <cols>
    <col min="1" max="1" width="65" customWidth="1"/>
    <col min="2" max="2" width="20" customWidth="1"/>
  </cols>
  <sheetData>
    <row r="1" spans="1:2" ht="18" x14ac:dyDescent="0.25">
      <c r="A1" s="1" t="s">
        <v>331</v>
      </c>
    </row>
    <row r="2" spans="1:2" x14ac:dyDescent="0.25">
      <c r="A2" s="14" t="s">
        <v>332</v>
      </c>
    </row>
    <row r="4" spans="1:2" x14ac:dyDescent="0.25">
      <c r="A4" s="4" t="s">
        <v>333</v>
      </c>
    </row>
    <row r="5" spans="1:2" x14ac:dyDescent="0.25">
      <c r="A5" t="s">
        <v>334</v>
      </c>
      <c r="B5" s="36">
        <f>'Daily Master'!A588</f>
        <v>45649</v>
      </c>
    </row>
    <row r="6" spans="1:2" x14ac:dyDescent="0.25">
      <c r="A6" t="s">
        <v>335</v>
      </c>
      <c r="B6" s="36">
        <f>'Daily Master'!A1100</f>
        <v>46161</v>
      </c>
    </row>
    <row r="7" spans="1:2" x14ac:dyDescent="0.25">
      <c r="A7" t="s">
        <v>336</v>
      </c>
      <c r="B7" s="37">
        <f>(1100-588+1)</f>
        <v>513</v>
      </c>
    </row>
    <row r="9" spans="1:2" x14ac:dyDescent="0.25">
      <c r="A9" s="4" t="s">
        <v>337</v>
      </c>
    </row>
    <row r="10" spans="1:2" x14ac:dyDescent="0.25">
      <c r="A10" t="s">
        <v>338</v>
      </c>
      <c r="B10" s="37">
        <f>SUM('Daily Master'!AF588:AF1100)</f>
        <v>5</v>
      </c>
    </row>
    <row r="11" spans="1:2" x14ac:dyDescent="0.25">
      <c r="A11" t="s">
        <v>339</v>
      </c>
      <c r="B11" s="38" t="e">
        <f>SUMPRODUCT(MAX(ABS('Daily Master'!AF588:AF1100)))</f>
        <v>#VALUE!</v>
      </c>
    </row>
    <row r="12" spans="1:2" x14ac:dyDescent="0.25">
      <c r="A12" t="s">
        <v>340</v>
      </c>
      <c r="B12" s="38">
        <f>SUMPRODUCT(ABS('Daily Master'!AF588:AF1100))/(1100-588+1)</f>
        <v>0.46978557504873292</v>
      </c>
    </row>
    <row r="13" spans="1:2" x14ac:dyDescent="0.25">
      <c r="A13" t="s">
        <v>341</v>
      </c>
    </row>
    <row r="15" spans="1:2" x14ac:dyDescent="0.25">
      <c r="A15" s="4" t="s">
        <v>342</v>
      </c>
    </row>
    <row r="16" spans="1:2" x14ac:dyDescent="0.25">
      <c r="A16" t="s">
        <v>343</v>
      </c>
      <c r="B16" s="38">
        <f>SUM('Daily Master'!AG588:AG1100)</f>
        <v>0</v>
      </c>
    </row>
    <row r="17" spans="1:2" x14ac:dyDescent="0.25">
      <c r="A17" t="s">
        <v>344</v>
      </c>
      <c r="B17" s="38" t="e">
        <f>SUMPRODUCT(MAX(ABS('Daily Master'!AG588:AG1100)))</f>
        <v>#VALUE!</v>
      </c>
    </row>
    <row r="18" spans="1:2" x14ac:dyDescent="0.25">
      <c r="A18" t="s">
        <v>345</v>
      </c>
    </row>
    <row r="20" spans="1:2" x14ac:dyDescent="0.25">
      <c r="A20" s="4" t="s">
        <v>346</v>
      </c>
    </row>
    <row r="21" spans="1:2" x14ac:dyDescent="0.25">
      <c r="A21" t="s">
        <v>347</v>
      </c>
      <c r="B21" s="38">
        <f>SUM('Daily Master'!U588:U1100)</f>
        <v>22746843.681661975</v>
      </c>
    </row>
    <row r="22" spans="1:2" x14ac:dyDescent="0.25">
      <c r="A22" t="s">
        <v>348</v>
      </c>
      <c r="B22" s="38">
        <f>SUM('Daily Master'!V588:V1100)</f>
        <v>22189875</v>
      </c>
    </row>
    <row r="23" spans="1:2" x14ac:dyDescent="0.25">
      <c r="A23" t="s">
        <v>349</v>
      </c>
      <c r="B23" s="38">
        <f>SUM('Daily Master'!W588:W1100)</f>
        <v>556968.68166198174</v>
      </c>
    </row>
    <row r="24" spans="1:2" x14ac:dyDescent="0.25">
      <c r="A24" t="s">
        <v>350</v>
      </c>
      <c r="B24" s="38" t="e">
        <f>SUMPRODUCT(MAX(ABS('Daily Master'!W588:W1100)))</f>
        <v>#VALUE!</v>
      </c>
    </row>
    <row r="25" spans="1:2" x14ac:dyDescent="0.25">
      <c r="A25" t="s">
        <v>351</v>
      </c>
    </row>
    <row r="27" spans="1:2" x14ac:dyDescent="0.25">
      <c r="A27" s="4" t="s">
        <v>352</v>
      </c>
    </row>
    <row r="28" spans="1:2" x14ac:dyDescent="0.25">
      <c r="A28" t="s">
        <v>353</v>
      </c>
      <c r="B28" s="38">
        <f>SUM('Daily Master'!S588:S1100)</f>
        <v>1161641075</v>
      </c>
    </row>
    <row r="29" spans="1:2" x14ac:dyDescent="0.25">
      <c r="A29" t="s">
        <v>354</v>
      </c>
      <c r="B29" s="38">
        <f>SUM('Daily Master'!AH588:AH1100)</f>
        <v>1068221567.7091459</v>
      </c>
    </row>
    <row r="30" spans="1:2" x14ac:dyDescent="0.25">
      <c r="A30" t="s">
        <v>102</v>
      </c>
      <c r="B30" s="39">
        <f>SUM('Daily Master'!AH588:AH1100)/SUM('Daily Master'!S588:S1100)</f>
        <v>0.91957971416355599</v>
      </c>
    </row>
    <row r="32" spans="1:2" x14ac:dyDescent="0.25">
      <c r="A32" s="4" t="s">
        <v>355</v>
      </c>
    </row>
    <row r="33" spans="1:2" x14ac:dyDescent="0.25">
      <c r="A33" t="s">
        <v>356</v>
      </c>
      <c r="B33" s="38">
        <f>SUM('Daily Master'!K588:K1100)</f>
        <v>1260945873</v>
      </c>
    </row>
    <row r="34" spans="1:2" x14ac:dyDescent="0.25">
      <c r="A34" t="s">
        <v>357</v>
      </c>
      <c r="B34" s="38">
        <f>SUM('Daily Master'!S588:S1100)</f>
        <v>1161641075</v>
      </c>
    </row>
    <row r="35" spans="1:2" x14ac:dyDescent="0.25">
      <c r="A35" t="s">
        <v>358</v>
      </c>
      <c r="B35" s="38">
        <f>SUM('Daily Master'!V588:V1100)</f>
        <v>22189875</v>
      </c>
    </row>
    <row r="36" spans="1:2" x14ac:dyDescent="0.25">
      <c r="A36" t="s">
        <v>359</v>
      </c>
      <c r="B36" s="38">
        <f>SUM('Daily Master'!AA588:AA1100)</f>
        <v>77114918</v>
      </c>
    </row>
    <row r="37" spans="1:2" x14ac:dyDescent="0.25">
      <c r="A37" t="s">
        <v>360</v>
      </c>
      <c r="B37" s="38">
        <f>SUM('Daily Master'!S588:S1100)+SUM('Daily Master'!V588:V1100)+SUM('Daily Master'!AA588:AA1100)</f>
        <v>1260945868</v>
      </c>
    </row>
    <row r="38" spans="1:2" x14ac:dyDescent="0.25">
      <c r="A38" t="s">
        <v>361</v>
      </c>
      <c r="B38" s="38">
        <f>SUM('Daily Master'!K588:K1100)-(SUM('Daily Master'!S588:S1100)+SUM('Daily Master'!V588:V1100)+SUM('Daily Master'!AA588:AA1100))</f>
        <v>5</v>
      </c>
    </row>
    <row r="40" spans="1:2" x14ac:dyDescent="0.25">
      <c r="A40" s="4" t="s">
        <v>362</v>
      </c>
    </row>
    <row r="41" spans="1:2" x14ac:dyDescent="0.25">
      <c r="A41" t="s">
        <v>363</v>
      </c>
      <c r="B41" s="38">
        <f>SUM('Daily Master'!M588:M1100)</f>
        <v>12473867.473397706</v>
      </c>
    </row>
    <row r="42" spans="1:2" x14ac:dyDescent="0.25">
      <c r="A42" t="s">
        <v>364</v>
      </c>
      <c r="B42" s="38">
        <f>SUM('Daily Master'!N588:N1100)</f>
        <v>11522443.421001351</v>
      </c>
    </row>
    <row r="43" spans="1:2" x14ac:dyDescent="0.25">
      <c r="A43" t="s">
        <v>365</v>
      </c>
      <c r="B43" s="38">
        <f>SUM('Daily Master'!L588:L1100)</f>
        <v>23996310.894399021</v>
      </c>
    </row>
    <row r="44" spans="1:2" x14ac:dyDescent="0.25">
      <c r="A44" t="s">
        <v>366</v>
      </c>
      <c r="B44" s="38">
        <f>SUM('Daily Master'!O588:O1100)</f>
        <v>1180678743.1056004</v>
      </c>
    </row>
    <row r="45" spans="1:2" x14ac:dyDescent="0.25">
      <c r="A45" t="s">
        <v>367</v>
      </c>
    </row>
    <row r="47" spans="1:2" x14ac:dyDescent="0.25">
      <c r="A47" s="4" t="s">
        <v>368</v>
      </c>
    </row>
    <row r="48" spans="1:2" x14ac:dyDescent="0.25">
      <c r="A48" t="s">
        <v>369</v>
      </c>
      <c r="B48" s="40">
        <f>SUM('Daily Master'!AE588:AE1100)</f>
        <v>36433808.358089022</v>
      </c>
    </row>
    <row r="49" spans="1:2" x14ac:dyDescent="0.25">
      <c r="A49" t="s">
        <v>370</v>
      </c>
      <c r="B49" s="38">
        <f>SUM('Daily Master'!AB588:AB1100)</f>
        <v>1161641075</v>
      </c>
    </row>
    <row r="50" spans="1:2" x14ac:dyDescent="0.25">
      <c r="A50" t="s">
        <v>371</v>
      </c>
    </row>
    <row r="52" spans="1:2" x14ac:dyDescent="0.25">
      <c r="A52" s="4" t="s">
        <v>372</v>
      </c>
    </row>
    <row r="53" spans="1:2" x14ac:dyDescent="0.25">
      <c r="A53" t="s">
        <v>373</v>
      </c>
      <c r="B53" s="40">
        <f>SUM('Daily Master'!AL588:AL1100)</f>
        <v>12987405.136063412</v>
      </c>
    </row>
    <row r="54" spans="1:2" x14ac:dyDescent="0.25">
      <c r="A54" t="s">
        <v>374</v>
      </c>
      <c r="B54" s="40">
        <f>SUM('Daily Master'!AN588:AN1100)</f>
        <v>-23446403.222025599</v>
      </c>
    </row>
    <row r="55" spans="1:2" x14ac:dyDescent="0.25">
      <c r="A55" t="s">
        <v>375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5"/>
  <sheetViews>
    <sheetView zoomScaleNormal="100" workbookViewId="0"/>
  </sheetViews>
  <sheetFormatPr defaultColWidth="8.7109375" defaultRowHeight="15" x14ac:dyDescent="0.25"/>
  <cols>
    <col min="1" max="2" width="75" customWidth="1"/>
  </cols>
  <sheetData>
    <row r="1" spans="1:2" ht="20.25" x14ac:dyDescent="0.3">
      <c r="A1" s="41" t="s">
        <v>376</v>
      </c>
    </row>
    <row r="3" spans="1:2" ht="15.75" x14ac:dyDescent="0.25">
      <c r="A3" s="42" t="s">
        <v>377</v>
      </c>
    </row>
    <row r="4" spans="1:2" x14ac:dyDescent="0.25">
      <c r="A4" t="s">
        <v>378</v>
      </c>
      <c r="B4" t="s">
        <v>379</v>
      </c>
    </row>
    <row r="5" spans="1:2" x14ac:dyDescent="0.25">
      <c r="A5" t="s">
        <v>380</v>
      </c>
      <c r="B5" t="s">
        <v>381</v>
      </c>
    </row>
    <row r="6" spans="1:2" x14ac:dyDescent="0.25">
      <c r="A6" t="s">
        <v>382</v>
      </c>
      <c r="B6" t="s">
        <v>383</v>
      </c>
    </row>
    <row r="7" spans="1:2" x14ac:dyDescent="0.25">
      <c r="A7" t="s">
        <v>384</v>
      </c>
      <c r="B7" t="s">
        <v>385</v>
      </c>
    </row>
    <row r="8" spans="1:2" x14ac:dyDescent="0.25">
      <c r="A8" t="s">
        <v>386</v>
      </c>
      <c r="B8" t="s">
        <v>387</v>
      </c>
    </row>
    <row r="9" spans="1:2" x14ac:dyDescent="0.25">
      <c r="A9" t="s">
        <v>388</v>
      </c>
      <c r="B9" t="s">
        <v>389</v>
      </c>
    </row>
    <row r="10" spans="1:2" x14ac:dyDescent="0.25">
      <c r="A10" t="s">
        <v>390</v>
      </c>
      <c r="B10" t="s">
        <v>391</v>
      </c>
    </row>
    <row r="11" spans="1:2" x14ac:dyDescent="0.25">
      <c r="A11" t="s">
        <v>392</v>
      </c>
      <c r="B11" t="s">
        <v>393</v>
      </c>
    </row>
    <row r="12" spans="1:2" x14ac:dyDescent="0.25">
      <c r="A12" t="s">
        <v>394</v>
      </c>
      <c r="B12" t="s">
        <v>395</v>
      </c>
    </row>
    <row r="13" spans="1:2" x14ac:dyDescent="0.25">
      <c r="A13" t="s">
        <v>396</v>
      </c>
      <c r="B13" t="s">
        <v>397</v>
      </c>
    </row>
    <row r="14" spans="1:2" x14ac:dyDescent="0.25">
      <c r="A14" t="s">
        <v>398</v>
      </c>
      <c r="B14" t="s">
        <v>399</v>
      </c>
    </row>
    <row r="15" spans="1:2" x14ac:dyDescent="0.25">
      <c r="A15" t="s">
        <v>400</v>
      </c>
      <c r="B15" t="s">
        <v>401</v>
      </c>
    </row>
    <row r="17" spans="1:1" ht="15.75" x14ac:dyDescent="0.25">
      <c r="A17" s="42" t="s">
        <v>402</v>
      </c>
    </row>
    <row r="18" spans="1:1" x14ac:dyDescent="0.25">
      <c r="A18" t="s">
        <v>403</v>
      </c>
    </row>
    <row r="19" spans="1:1" x14ac:dyDescent="0.25">
      <c r="A19" t="s">
        <v>404</v>
      </c>
    </row>
    <row r="20" spans="1:1" x14ac:dyDescent="0.25">
      <c r="A20" t="s">
        <v>405</v>
      </c>
    </row>
    <row r="21" spans="1:1" x14ac:dyDescent="0.25">
      <c r="A21" t="s">
        <v>406</v>
      </c>
    </row>
    <row r="22" spans="1:1" x14ac:dyDescent="0.25">
      <c r="A22" t="s">
        <v>407</v>
      </c>
    </row>
    <row r="23" spans="1:1" x14ac:dyDescent="0.25">
      <c r="A23" t="s">
        <v>408</v>
      </c>
    </row>
    <row r="24" spans="1:1" x14ac:dyDescent="0.25">
      <c r="A24" t="s">
        <v>409</v>
      </c>
    </row>
    <row r="26" spans="1:1" ht="15.75" x14ac:dyDescent="0.25">
      <c r="A26" s="42" t="s">
        <v>410</v>
      </c>
    </row>
    <row r="27" spans="1:1" x14ac:dyDescent="0.25">
      <c r="A27" t="s">
        <v>411</v>
      </c>
    </row>
    <row r="28" spans="1:1" x14ac:dyDescent="0.25">
      <c r="A28" t="s">
        <v>412</v>
      </c>
    </row>
    <row r="29" spans="1:1" x14ac:dyDescent="0.25">
      <c r="A29" t="s">
        <v>413</v>
      </c>
    </row>
    <row r="30" spans="1:1" x14ac:dyDescent="0.25">
      <c r="A30" t="s">
        <v>414</v>
      </c>
    </row>
    <row r="31" spans="1:1" x14ac:dyDescent="0.25">
      <c r="A31" t="s">
        <v>415</v>
      </c>
    </row>
    <row r="32" spans="1:1" x14ac:dyDescent="0.25">
      <c r="A32" t="s">
        <v>416</v>
      </c>
    </row>
    <row r="33" spans="1:1" x14ac:dyDescent="0.25">
      <c r="A33" t="s">
        <v>417</v>
      </c>
    </row>
    <row r="34" spans="1:1" x14ac:dyDescent="0.25">
      <c r="A34" t="s">
        <v>418</v>
      </c>
    </row>
    <row r="36" spans="1:1" ht="15.75" x14ac:dyDescent="0.25">
      <c r="A36" s="42" t="s">
        <v>419</v>
      </c>
    </row>
    <row r="37" spans="1:1" x14ac:dyDescent="0.25">
      <c r="A37" t="s">
        <v>420</v>
      </c>
    </row>
    <row r="38" spans="1:1" x14ac:dyDescent="0.25">
      <c r="A38" t="s">
        <v>421</v>
      </c>
    </row>
    <row r="39" spans="1:1" x14ac:dyDescent="0.25">
      <c r="A39" t="s">
        <v>422</v>
      </c>
    </row>
    <row r="40" spans="1:1" x14ac:dyDescent="0.25">
      <c r="A40" t="s">
        <v>423</v>
      </c>
    </row>
    <row r="42" spans="1:1" ht="15.75" x14ac:dyDescent="0.25">
      <c r="A42" s="42" t="s">
        <v>424</v>
      </c>
    </row>
    <row r="43" spans="1:1" x14ac:dyDescent="0.25">
      <c r="A43" t="s">
        <v>425</v>
      </c>
    </row>
    <row r="44" spans="1:1" x14ac:dyDescent="0.25">
      <c r="A44" t="s">
        <v>426</v>
      </c>
    </row>
    <row r="45" spans="1:1" x14ac:dyDescent="0.25">
      <c r="A45" t="s">
        <v>427</v>
      </c>
    </row>
    <row r="46" spans="1:1" x14ac:dyDescent="0.25">
      <c r="A46" t="s">
        <v>428</v>
      </c>
    </row>
    <row r="48" spans="1:1" ht="15.75" x14ac:dyDescent="0.25">
      <c r="A48" s="42" t="s">
        <v>429</v>
      </c>
    </row>
    <row r="49" spans="1:1" x14ac:dyDescent="0.25">
      <c r="A49" t="s">
        <v>430</v>
      </c>
    </row>
    <row r="50" spans="1:1" x14ac:dyDescent="0.25">
      <c r="A50" t="s">
        <v>431</v>
      </c>
    </row>
    <row r="51" spans="1:1" x14ac:dyDescent="0.25">
      <c r="A51" t="s">
        <v>432</v>
      </c>
    </row>
    <row r="52" spans="1:1" x14ac:dyDescent="0.25">
      <c r="A52" t="s">
        <v>433</v>
      </c>
    </row>
    <row r="53" spans="1:1" x14ac:dyDescent="0.25">
      <c r="A53" t="s">
        <v>434</v>
      </c>
    </row>
    <row r="54" spans="1:1" x14ac:dyDescent="0.25">
      <c r="A54" t="s">
        <v>435</v>
      </c>
    </row>
    <row r="56" spans="1:1" ht="15.75" x14ac:dyDescent="0.25">
      <c r="A56" s="42" t="s">
        <v>436</v>
      </c>
    </row>
    <row r="57" spans="1:1" x14ac:dyDescent="0.25">
      <c r="A57" t="s">
        <v>437</v>
      </c>
    </row>
    <row r="58" spans="1:1" x14ac:dyDescent="0.25">
      <c r="A58" t="s">
        <v>438</v>
      </c>
    </row>
    <row r="59" spans="1:1" x14ac:dyDescent="0.25">
      <c r="A59" t="s">
        <v>439</v>
      </c>
    </row>
    <row r="60" spans="1:1" x14ac:dyDescent="0.25">
      <c r="A60" t="s">
        <v>440</v>
      </c>
    </row>
    <row r="61" spans="1:1" x14ac:dyDescent="0.25">
      <c r="A61" t="s">
        <v>441</v>
      </c>
    </row>
    <row r="63" spans="1:1" ht="15.75" x14ac:dyDescent="0.25">
      <c r="A63" s="42" t="s">
        <v>442</v>
      </c>
    </row>
    <row r="64" spans="1:1" x14ac:dyDescent="0.25">
      <c r="A64" t="s">
        <v>443</v>
      </c>
    </row>
    <row r="65" spans="1:1" x14ac:dyDescent="0.25">
      <c r="A65" t="s">
        <v>444</v>
      </c>
    </row>
    <row r="66" spans="1:1" x14ac:dyDescent="0.25">
      <c r="A66" t="s">
        <v>445</v>
      </c>
    </row>
    <row r="67" spans="1:1" x14ac:dyDescent="0.25">
      <c r="A67" t="s">
        <v>446</v>
      </c>
    </row>
    <row r="68" spans="1:1" x14ac:dyDescent="0.25">
      <c r="A68" t="s">
        <v>447</v>
      </c>
    </row>
    <row r="69" spans="1:1" x14ac:dyDescent="0.25">
      <c r="A69" t="s">
        <v>448</v>
      </c>
    </row>
    <row r="70" spans="1:1" x14ac:dyDescent="0.25">
      <c r="A70" t="s">
        <v>449</v>
      </c>
    </row>
    <row r="72" spans="1:1" ht="15.75" x14ac:dyDescent="0.25">
      <c r="A72" s="42" t="s">
        <v>450</v>
      </c>
    </row>
    <row r="73" spans="1:1" x14ac:dyDescent="0.25">
      <c r="A73" t="s">
        <v>451</v>
      </c>
    </row>
    <row r="74" spans="1:1" x14ac:dyDescent="0.25">
      <c r="A74" t="s">
        <v>452</v>
      </c>
    </row>
    <row r="75" spans="1:1" x14ac:dyDescent="0.25">
      <c r="A75" t="s"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Assumptions</vt:lpstr>
      <vt:lpstr>Daily Master</vt:lpstr>
      <vt:lpstr>HIP-3 Model</vt:lpstr>
      <vt:lpstr>HIP-3 by Category</vt:lpstr>
      <vt:lpstr>Reconciliation</vt:lpstr>
      <vt:lpstr>Sources &amp; Methodology</vt:lpstr>
      <vt:lpstr>AfShare</vt:lpstr>
      <vt:lpstr>AprCoef</vt:lpstr>
      <vt:lpstr>BaseMakerRate</vt:lpstr>
      <vt:lpstr>BaseTakerRate</vt:lpstr>
      <vt:lpstr>CoreBpsBlended</vt:lpstr>
      <vt:lpstr>GrowthModeDate</vt:lpstr>
      <vt:lpstr>GrowthModeFactor</vt:lpstr>
      <vt:lpstr>HIP3DeployerShare_50</vt:lpstr>
      <vt:lpstr>HIP3DeployerShare_Hyna</vt:lpstr>
      <vt:lpstr>Hip3LaunchDate</vt:lpstr>
      <vt:lpstr>HIP3TraderScale_50</vt:lpstr>
      <vt:lpstr>HIP3TraderScale_Hyna</vt:lpstr>
      <vt:lpstr>Hip4LaunchDate</vt:lpstr>
      <vt:lpstr>Hip4Rate</vt:lpstr>
      <vt:lpstr>HlpChangeDate</vt:lpstr>
      <vt:lpstr>HlpSharePost</vt:lpstr>
      <vt:lpstr>HlpSharePre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MISRA</cp:lastModifiedBy>
  <cp:revision>0</cp:revision>
  <dcterms:created xsi:type="dcterms:W3CDTF">2026-05-20T04:32:22Z</dcterms:created>
  <dcterms:modified xsi:type="dcterms:W3CDTF">2026-05-20T04:52:21Z</dcterms:modified>
  <dc:language>en-US</dc:language>
</cp:coreProperties>
</file>