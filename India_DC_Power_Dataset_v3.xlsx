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201067fc29930/Desktop/Codex folder/India Power/"/>
    </mc:Choice>
  </mc:AlternateContent>
  <xr:revisionPtr revIDLastSave="0" documentId="11_7A5FCCE8C18AE56B7A701F06477CC6A8B80DBEFB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ADME" sheetId="1" r:id="rId1"/>
    <sheet name="Summary" sheetId="2" r:id="rId2"/>
    <sheet name="Projects" sheetId="3" r:id="rId3"/>
    <sheet name="Grid_Power" sheetId="4" r:id="rId4"/>
    <sheet name="MH_Permits" sheetId="5" r:id="rId5"/>
    <sheet name="States_Evidence" sheetId="6" r:id="rId6"/>
    <sheet name="CTU_Bulk_Register" sheetId="7" r:id="rId7"/>
    <sheet name="Govt_Aggregates" sheetId="8" r:id="rId8"/>
    <sheet name="To_Pull" sheetId="9" r:id="rId9"/>
    <sheet name="Sources" sheetId="10" r:id="rId10"/>
  </sheets>
  <definedNames>
    <definedName name="_xlnm._FilterDatabase" localSheetId="6" hidden="1">CTU_Bulk_Register!$A$1:$J$184</definedName>
    <definedName name="_xlnm._FilterDatabase" localSheetId="7" hidden="1">Govt_Aggregates!$A$1:$L$29</definedName>
    <definedName name="_xlnm._FilterDatabase" localSheetId="3" hidden="1">Grid_Power!$A$1:$N$18</definedName>
    <definedName name="_xlnm._FilterDatabase" localSheetId="4" hidden="1">MH_Permits!$A$1:$V$46</definedName>
    <definedName name="_xlnm._FilterDatabase" localSheetId="2" hidden="1">Projects!$A$1:$Y$93</definedName>
    <definedName name="_xlnm._FilterDatabase" localSheetId="5" hidden="1">States_Evidence!$A$1:$P$31</definedName>
  </definedNames>
  <calcPr calcId="191029"/>
</workbook>
</file>

<file path=xl/calcChain.xml><?xml version="1.0" encoding="utf-8"?>
<calcChain xmlns="http://schemas.openxmlformats.org/spreadsheetml/2006/main">
  <c r="M53" i="5" l="1"/>
  <c r="M52" i="5"/>
  <c r="M51" i="5"/>
  <c r="M49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F59" i="2"/>
  <c r="D59" i="2"/>
  <c r="C59" i="2"/>
  <c r="B59" i="2"/>
  <c r="F58" i="2"/>
  <c r="D58" i="2"/>
  <c r="C58" i="2"/>
  <c r="B58" i="2"/>
  <c r="F57" i="2"/>
  <c r="D57" i="2"/>
  <c r="C57" i="2"/>
  <c r="B57" i="2"/>
  <c r="F56" i="2"/>
  <c r="D56" i="2"/>
  <c r="C56" i="2"/>
  <c r="E56" i="2" s="1"/>
  <c r="B56" i="2"/>
  <c r="F55" i="2"/>
  <c r="D55" i="2"/>
  <c r="C55" i="2"/>
  <c r="B55" i="2"/>
  <c r="E55" i="2" s="1"/>
  <c r="F54" i="2"/>
  <c r="D54" i="2"/>
  <c r="C54" i="2"/>
  <c r="B54" i="2"/>
  <c r="E54" i="2" s="1"/>
  <c r="F53" i="2"/>
  <c r="D53" i="2"/>
  <c r="C53" i="2"/>
  <c r="B53" i="2"/>
  <c r="F52" i="2"/>
  <c r="F60" i="2" s="1"/>
  <c r="D52" i="2"/>
  <c r="C52" i="2"/>
  <c r="B52" i="2"/>
  <c r="B60" i="2" s="1"/>
  <c r="B48" i="2"/>
  <c r="B47" i="2"/>
  <c r="B46" i="2"/>
  <c r="B44" i="2"/>
  <c r="B37" i="2"/>
  <c r="B36" i="2"/>
  <c r="B35" i="2"/>
  <c r="B34" i="2"/>
  <c r="B33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E29" i="2" s="1"/>
  <c r="D19" i="2"/>
  <c r="C19" i="2"/>
  <c r="C29" i="2" s="1"/>
  <c r="B19" i="2"/>
  <c r="I14" i="2"/>
  <c r="H14" i="2"/>
  <c r="F14" i="2"/>
  <c r="E14" i="2"/>
  <c r="D14" i="2"/>
  <c r="C14" i="2"/>
  <c r="B14" i="2"/>
  <c r="I13" i="2"/>
  <c r="H13" i="2"/>
  <c r="F13" i="2"/>
  <c r="E13" i="2"/>
  <c r="D13" i="2"/>
  <c r="C13" i="2"/>
  <c r="B13" i="2"/>
  <c r="I12" i="2"/>
  <c r="H12" i="2"/>
  <c r="F12" i="2"/>
  <c r="E12" i="2"/>
  <c r="D12" i="2"/>
  <c r="C12" i="2"/>
  <c r="B12" i="2"/>
  <c r="I11" i="2"/>
  <c r="H11" i="2"/>
  <c r="F11" i="2"/>
  <c r="E11" i="2"/>
  <c r="D11" i="2"/>
  <c r="C11" i="2"/>
  <c r="B11" i="2"/>
  <c r="I10" i="2"/>
  <c r="H10" i="2"/>
  <c r="F10" i="2"/>
  <c r="E10" i="2"/>
  <c r="D10" i="2"/>
  <c r="C10" i="2"/>
  <c r="B10" i="2"/>
  <c r="G10" i="2" s="1"/>
  <c r="I9" i="2"/>
  <c r="H9" i="2"/>
  <c r="F9" i="2"/>
  <c r="E9" i="2"/>
  <c r="D9" i="2"/>
  <c r="C9" i="2"/>
  <c r="B9" i="2"/>
  <c r="G9" i="2" s="1"/>
  <c r="I8" i="2"/>
  <c r="H8" i="2"/>
  <c r="F8" i="2"/>
  <c r="E8" i="2"/>
  <c r="D8" i="2"/>
  <c r="C8" i="2"/>
  <c r="B8" i="2"/>
  <c r="G8" i="2" s="1"/>
  <c r="I7" i="2"/>
  <c r="H7" i="2"/>
  <c r="F7" i="2"/>
  <c r="E7" i="2"/>
  <c r="D7" i="2"/>
  <c r="C7" i="2"/>
  <c r="B7" i="2"/>
  <c r="I6" i="2"/>
  <c r="H6" i="2"/>
  <c r="F6" i="2"/>
  <c r="E6" i="2"/>
  <c r="D6" i="2"/>
  <c r="C6" i="2"/>
  <c r="B6" i="2"/>
  <c r="I5" i="2"/>
  <c r="H5" i="2"/>
  <c r="F5" i="2"/>
  <c r="E5" i="2"/>
  <c r="E15" i="2" s="1"/>
  <c r="D5" i="2"/>
  <c r="C5" i="2"/>
  <c r="B5" i="2"/>
  <c r="D15" i="2" l="1"/>
  <c r="G11" i="2"/>
  <c r="D60" i="2"/>
  <c r="E53" i="2"/>
  <c r="E57" i="2"/>
  <c r="E59" i="2"/>
  <c r="E37" i="2"/>
  <c r="F15" i="2"/>
  <c r="H15" i="2"/>
  <c r="C37" i="2" s="1"/>
  <c r="I15" i="2"/>
  <c r="G7" i="2"/>
  <c r="G6" i="2"/>
  <c r="C36" i="2" s="1"/>
  <c r="E36" i="2" s="1"/>
  <c r="G14" i="2"/>
  <c r="B29" i="2"/>
  <c r="C34" i="2" s="1"/>
  <c r="B15" i="2"/>
  <c r="G13" i="2"/>
  <c r="C15" i="2"/>
  <c r="G12" i="2"/>
  <c r="D29" i="2"/>
  <c r="E52" i="2"/>
  <c r="E60" i="2" s="1"/>
  <c r="E58" i="2"/>
  <c r="M50" i="5"/>
  <c r="B45" i="2" s="1"/>
  <c r="E34" i="2"/>
  <c r="G5" i="2"/>
  <c r="C35" i="2"/>
  <c r="E35" i="2" s="1"/>
  <c r="D35" i="2"/>
  <c r="D37" i="2"/>
  <c r="C60" i="2"/>
  <c r="D34" i="2"/>
  <c r="D36" i="2"/>
  <c r="G15" i="2" l="1"/>
  <c r="C33" i="2" s="1"/>
  <c r="E33" i="2" s="1"/>
  <c r="D33" i="2"/>
</calcChain>
</file>

<file path=xl/sharedStrings.xml><?xml version="1.0" encoding="utf-8"?>
<sst xmlns="http://schemas.openxmlformats.org/spreadsheetml/2006/main" count="5591" uniqueCount="2676">
  <si>
    <t>India Data Centre Power - Public-Document Dataset (v3 - multi-state)</t>
  </si>
  <si>
    <t>Compiled</t>
  </si>
  <si>
    <t>19-Oct-2026, from publicly available documents. v2 adds a Maharashtra permit sweep: all 2025-26 SEIAA/SEAC agendas (266 docs), OCR of 66 scanned SEIAA minutes, all MPCB Consent Appraisal Committee reports (132 docs), MERC Case 88/2026, and Parliament answers on DC power demand.</t>
  </si>
  <si>
    <t>What changed in v3</t>
  </si>
  <si>
    <t>Added AP, Telangana, Tamil Nadu, Karnataka, UP, Odisha. New CTU_Bulk_Register sheet: every bulk-consumer (&gt;=50 MW) application for direct central-grid access, classified for data-centre use. New States_Evidence sheet: GOs, ECs, grid sanctions and state dashboards outside Maharashtra. 18 new project rows.</t>
  </si>
  <si>
    <t>What changed in v2</t>
  </si>
  <si>
    <t>New MH_Permits sheet (45 permit records with connected load, DG sets, capital investment). 14 new permit-backed projects (Google x2, AWS Thane &amp; Powai, Microsoft/AdaniConneX Pune, Iron Mountain MUM-3, Chandivali DC, MAHAPREIT, etc.). MERC Ambernath order and Rajya Sabha answers now read in full (tier A1). Lodha/Ambernath, CapitaLand, Digital Edge, STT, Yotta, AirTrunk rows enriched.</t>
  </si>
  <si>
    <t>Purpose</t>
  </si>
  <si>
    <t>Test whether planned data-centre power in India (especially Navi Mumbai) is materially higher than press announcements suggest, using government, regulator, utility, permit and company-filing evidence.</t>
  </si>
  <si>
    <t>Sheets</t>
  </si>
  <si>
    <t>Projects - one row per campus/project. Grid_Power - transmission, substation, utility and regulatory evidence. CTU_Bulk_Register - CTUIL national grid-access register (bulk consumers). States_Evidence - non-Maharashtra GOs/ECs/grid evidence. MH_Permits - Maharashtra environmental clearances and pollution-board consents for data centres, with power data. Govt_Aggregates - official and operator-level totals. Summary - formula-driven roll-ups and gap check. To_Pull - primary documents still to retrieve. Sources - every link used.</t>
  </si>
  <si>
    <t>Units</t>
  </si>
  <si>
    <t>IT MW = critical IT load. 'Grid / facility power' is quoted as the source states it (MW or MVA); facility power is typically 1.3-1.6x IT load. Investment in Rs crore.</t>
  </si>
  <si>
    <t>Include in totals</t>
  </si>
  <si>
    <t>'N' marks rows excluded from Summary sums to avoid double counting (e.g., tenants inside a park; umbrella MoUs; potential-only site capacity). Change the flag to re-cut totals.</t>
  </si>
  <si>
    <t>Read in source?</t>
  </si>
  <si>
    <t>'Y' = the figure was checked in the primary document itself during compilation. 'N' = taken from a report of that document; verify before external use.</t>
  </si>
  <si>
    <t>Highlighting</t>
  </si>
  <si>
    <t>Yellow rows = Navi Mumbai / MMR focus.</t>
  </si>
  <si>
    <t>Caveat</t>
  </si>
  <si>
    <t>Sources often conflict (IT vs facility MW, campus potential vs build). Conflicts are noted per row. MoU/LoI capacity is intent, not committed build.</t>
  </si>
  <si>
    <t>Evidence tiers</t>
  </si>
  <si>
    <t>A1</t>
  </si>
  <si>
    <t>Government / regulator / utility document - retrieved and read for this dataset</t>
  </si>
  <si>
    <t>A2</t>
  </si>
  <si>
    <t>Government / regulator action (GO, MoU, LoI, permit application, regulatory order) - reported; primary document not yet retrieved</t>
  </si>
  <si>
    <t>B</t>
  </si>
  <si>
    <t>Statutory company disclosure - exchange filing, investor presentation, DRHP, credit-rating rationale</t>
  </si>
  <si>
    <t>C</t>
  </si>
  <si>
    <t>Company announcement / company website</t>
  </si>
  <si>
    <t>D</t>
  </si>
  <si>
    <t>Third-party only - press, aggregator, research house</t>
  </si>
  <si>
    <t>Summary - tracked IT MW (Projects sheet, rows with Include = Y)</t>
  </si>
  <si>
    <t>All figures are formulas over the Projects sheet; edit Projects and these update.</t>
  </si>
  <si>
    <t>State</t>
  </si>
  <si>
    <t>Total planned IT MW</t>
  </si>
  <si>
    <t>Operational IT MW</t>
  </si>
  <si>
    <t>UC / contracted IT MW</t>
  </si>
  <si>
    <t>Maharashtra</t>
  </si>
  <si>
    <t>Andhra Pradesh</t>
  </si>
  <si>
    <t>Telangana</t>
  </si>
  <si>
    <t>Tamil Nadu</t>
  </si>
  <si>
    <t>Uttar Pradesh</t>
  </si>
  <si>
    <t>Gujarat</t>
  </si>
  <si>
    <t>Odisha</t>
  </si>
  <si>
    <t>West Bengal</t>
  </si>
  <si>
    <t>Haryana</t>
  </si>
  <si>
    <t>Karnataka</t>
  </si>
  <si>
    <t>All India (tracked)</t>
  </si>
  <si>
    <t>Maharashtra by cluster (Include = Y)</t>
  </si>
  <si>
    <t>Cluster</t>
  </si>
  <si>
    <t>Of which tier A1/A2/B</t>
  </si>
  <si>
    <t>Navi Mumbai - Taloja/Panvel</t>
  </si>
  <si>
    <t>Maharashtra - multiple</t>
  </si>
  <si>
    <t>MMR - Palava/Ambernath/Taloja edge</t>
  </si>
  <si>
    <t>MMR - Raigad/Pen</t>
  </si>
  <si>
    <t>Navi Mumbai - TTC/Thane-Belapur</t>
  </si>
  <si>
    <t>Navi Mumbai - unspecified</t>
  </si>
  <si>
    <t>Maharashtra - unspecified</t>
  </si>
  <si>
    <t>MMR - Thane</t>
  </si>
  <si>
    <t>Mumbai (island/suburbs)</t>
  </si>
  <si>
    <t>Pune</t>
  </si>
  <si>
    <t>Maharashtra total</t>
  </si>
  <si>
    <t>Gap check - official totals vs. what this dataset can name</t>
  </si>
  <si>
    <t>Comparison</t>
  </si>
  <si>
    <t>Official / govt figure (MW)</t>
  </si>
  <si>
    <t>Tracked here (MW)</t>
  </si>
  <si>
    <t>Unnamed gap (MW)</t>
  </si>
  <si>
    <t>Tracked as % of official</t>
  </si>
  <si>
    <t>India: CEA projected additional DC demand by FY32 vs all tracked planned IT MW</t>
  </si>
  <si>
    <t>Maharashtra: Industries/MIDC 44-project IT capacity vs tracked Maharashtra</t>
  </si>
  <si>
    <t>Navi Mumbai Hub + Taloja Corridor (MIDC) vs tracked Navi Mumbai clusters</t>
  </si>
  <si>
    <t>Andhra Pradesh: 16 projects IT load (APTRANSCO) vs tracked AP</t>
  </si>
  <si>
    <t>India installed today (MeitY) vs tracked operational IT MW</t>
  </si>
  <si>
    <t>Reading the gap: a positive 'Unnamed gap' means government/utility documents point to more capacity than can be tied to named projects in this first pass - consistent with the client view.</t>
  </si>
  <si>
    <t>Tracked operational MW is far below MeitY's 1,575 MW because this pass focuses on new/large campuses, not the full installed base.</t>
  </si>
  <si>
    <t>Navi Mumbai cluster rows exclude Palava/Ambernath and Raigad-Pen (separate clusters); MIDC's 'Navi Mumbai Hub' definition is not published, so the comparison is indicative.</t>
  </si>
  <si>
    <t>Permit evidence - Maharashtra (MH_Permits sheet)</t>
  </si>
  <si>
    <t>Connected load in SEIAA/SEAC permit records (MW)</t>
  </si>
  <si>
    <t>DG back-up in permit records (MVA)</t>
  </si>
  <si>
    <t>Capital investment in MPCB consent records (Rs cr)</t>
  </si>
  <si>
    <t>STU grid connectivity granted at Ambernath alone (MW)</t>
  </si>
  <si>
    <t>Number of permit records</t>
  </si>
  <si>
    <t>Six permit records alone (Google/EverYondr, CapitaLand, Iron Mountain, AWS Powai, Chandivali DC, Adani-Microsoft Bhosari) carry ~645 MW of connected load - several of these are absent from press trackers.</t>
  </si>
  <si>
    <t>National grid filings - CTUIL bulk-consumer GNA register (CTU_Bulk_Register sheet)</t>
  </si>
  <si>
    <t>DC - named</t>
  </si>
  <si>
    <t>DC - likely (SPV pattern)</t>
  </si>
  <si>
    <t>Possible (purpose not stated)</t>
  </si>
  <si>
    <t>DC named + likely</t>
  </si>
  <si>
    <t>of which APPROVED</t>
  </si>
  <si>
    <t>Rajasthan</t>
  </si>
  <si>
    <t>Total</t>
  </si>
  <si>
    <t>Every applicant here has asked the central grid for &gt;= 50 MW. Data-centre SPVs alone (named + likely) have filed for multi-GW of direct ISTS access - most of it from SPVs that do not appear in press trackers. Reliance's 14.65 GW is shown separately because its purpose is not stated.</t>
  </si>
  <si>
    <t>ID</t>
  </si>
  <si>
    <t>Micro-location</t>
  </si>
  <si>
    <t>Developer / operator</t>
  </si>
  <si>
    <t>Partner / tenant</t>
  </si>
  <si>
    <t>Project / campus</t>
  </si>
  <si>
    <t>IT MW - operational</t>
  </si>
  <si>
    <t>IT MW - under construction / contracted</t>
  </si>
  <si>
    <t>IT MW - total planned (campus)</t>
  </si>
  <si>
    <t>Grid / facility power (as stated)</t>
  </si>
  <si>
    <t>Investment (Rs crore)</t>
  </si>
  <si>
    <t>Status</t>
  </si>
  <si>
    <t>Timeline</t>
  </si>
  <si>
    <t>Evidence tier</t>
  </si>
  <si>
    <t>Source type</t>
  </si>
  <si>
    <t>Primary source</t>
  </si>
  <si>
    <t>Link 1</t>
  </si>
  <si>
    <t>Link 2</t>
  </si>
  <si>
    <t>Source date</t>
  </si>
  <si>
    <t>Key data point (as stated in source)</t>
  </si>
  <si>
    <t>Read in source document? (Y/N)</t>
  </si>
  <si>
    <t>Include in totals (Y/N)</t>
  </si>
  <si>
    <t>Notes / conflicts / double-count</t>
  </si>
  <si>
    <t>Navi Mumbai / MMR focus</t>
  </si>
  <si>
    <t>P001</t>
  </si>
  <si>
    <t>Taloja campus</t>
  </si>
  <si>
    <t>AdaniConneX (Adani Ent.-EdgeConneX 50:50 JV)</t>
  </si>
  <si>
    <t>CoreWeave (sole tenant)</t>
  </si>
  <si>
    <t>AdaniConneX Taloja - CoreWeave AI campus</t>
  </si>
  <si>
    <t>3 x 80 MW buildings; DLC GPU halls</t>
  </si>
  <si>
    <t>Contracted / under development</t>
  </si>
  <si>
    <t>First phase mid-2028</t>
  </si>
  <si>
    <t>Company press release</t>
  </si>
  <si>
    <t>CoreWeave investor release: CoreWeave enters India with AdaniConneX</t>
  </si>
  <si>
    <t>https://investors.coreweave.com/news/news-details/2026/CoreWeave-Enters-India-Expanding-AI-Cloud-Platform-With-AdaniConneX/default.aspx</t>
  </si>
  <si>
    <t>https://inc42.com/buzz/coreweave-enters-india-partners-adaniconnex-for-240-mw-data-centre-capacity/</t>
  </si>
  <si>
    <t>2026-10-06</t>
  </si>
  <si>
    <t>240 MW across three 80 MW buildings at Taloja; option for further 240 MW (480 MW total)</t>
  </si>
  <si>
    <t>N</t>
  </si>
  <si>
    <t>Y</t>
  </si>
  <si>
    <t>Overlaps with AdaniConneX 'Navi Mumbai 110 MW' (30 + 80 MW buildings) in Adani Ent. Q1 FY27 deck - the 80 MW building is likely the first CoreWeave building. Counted here, not in the AEL row.</t>
  </si>
  <si>
    <t>P002</t>
  </si>
  <si>
    <t>Navi Mumbai</t>
  </si>
  <si>
    <t>AdaniConneX</t>
  </si>
  <si>
    <t>-</t>
  </si>
  <si>
    <t>AdaniConneX Navi Mumbai (per AEL filing)</t>
  </si>
  <si>
    <t>Under construction</t>
  </si>
  <si>
    <t>Investor presentation (exchange filing)</t>
  </si>
  <si>
    <t>Adani Enterprises Q1 FY27 earnings presentation, slide 15</t>
  </si>
  <si>
    <t>https://www.adanienterprises.com/-/media/Project/Enterprises/Investors/Investor-Downloads/Results-Presentations/AEL_Investor_Presentation.pdf</t>
  </si>
  <si>
    <t>2026-07</t>
  </si>
  <si>
    <t>'Navi Mumbai - Execution started for 2 buildings - 30 &amp; 80* MW'; total 110 MW; *80 MW revised down from 136 MW</t>
  </si>
  <si>
    <t>Excluded from totals to avoid double counting with CoreWeave 240 MW row.</t>
  </si>
  <si>
    <t>P003</t>
  </si>
  <si>
    <t>Navi Mumbai site (aggregator)</t>
  </si>
  <si>
    <t>AdaniConneX 'Navi' site - potential IT load</t>
  </si>
  <si>
    <t>Planned (potential)</t>
  </si>
  <si>
    <t>RFS Dec 2026 onwards</t>
  </si>
  <si>
    <t>Aggregator listing</t>
  </si>
  <si>
    <t>datacenters.com listing</t>
  </si>
  <si>
    <t>https://www.datacenters.com/adaniconnex-navi</t>
  </si>
  <si>
    <t>n.d.</t>
  </si>
  <si>
    <t>1,000 MW potential IT load</t>
  </si>
  <si>
    <t>Potential site capacity only; shown for reference. Adani's 2024 Maharashtra MoU (1 GW, Rs 50,000 cr) is the umbrella commitment.</t>
  </si>
  <si>
    <t>P004</t>
  </si>
  <si>
    <t>Mumbai/Navi Mumbai &amp; Pune</t>
  </si>
  <si>
    <t>Adani Group</t>
  </si>
  <si>
    <t>Adani Maharashtra hyperscale MoU (Davos 2024)</t>
  </si>
  <si>
    <t>MoU</t>
  </si>
  <si>
    <t>10 years</t>
  </si>
  <si>
    <t>State MoU (reported)</t>
  </si>
  <si>
    <t>Adani newsroom: Govt of Maharashtra MoU</t>
  </si>
  <si>
    <t>https://www.adani.com/newsroom/media-releases/government-of-maharashtra</t>
  </si>
  <si>
    <t>2024-01</t>
  </si>
  <si>
    <t>MoU for 1 GW hyperscale data infrastructure, Rs 50,000 crore over 10 years</t>
  </si>
  <si>
    <t>Umbrella MoU; AdaniConneX Navi Mumbai / Pune rows sit within it.</t>
  </si>
  <si>
    <t>P005</t>
  </si>
  <si>
    <t>Asode &amp; Burdul villages (near Taloja; ex-Lodha land)</t>
  </si>
  <si>
    <t>Amazon Data Services India (AWS)</t>
  </si>
  <si>
    <t>AWS Taloja/Palava data centre campus</t>
  </si>
  <si>
    <t>473 MW electricity requirement (per SEIAA application as reported)</t>
  </si>
  <si>
    <t>EC application filed with SEIAA</t>
  </si>
  <si>
    <t>Groundbreaking Mar 2026</t>
  </si>
  <si>
    <t>SEIAA environmental clearance application (reported)</t>
  </si>
  <si>
    <t>Blitz India Media report on SEIAA application</t>
  </si>
  <si>
    <t>https://blitzindiamedia.com/west/amazon-taloja-data-center-environmental-clearance-seiaa-2026/</t>
  </si>
  <si>
    <t>https://www.datacenterdynamics.com/en/news/aws-plans-430m-data-center-in-navi-mumbai-india/</t>
  </si>
  <si>
    <t>2026-04-28</t>
  </si>
  <si>
    <t>48.85 acres (197,692 sq m); BUA 393,938 sq m; 6 buildings (4 x 7-storey DCs); 473 MW; ~Rs 4,000 cr; land bought Nov-2024 from Macrotech (Lodha) for Rs 450 cr</t>
  </si>
  <si>
    <t>Land was bought from Lodha (Macrotech) -&gt; sits inside/adjacent to Lodha Palava DC park; excluded to avoid double count with Lodha park row. Pull PARIVESH proposal for DG/power annexure. 473 MW figure appears to be facility power, not IT.</t>
  </si>
  <si>
    <t>P006</t>
  </si>
  <si>
    <t>Palava City, Thane/Raigad (approx. 370-400 acres)</t>
  </si>
  <si>
    <t>Lodha Developers (Macrotech)</t>
  </si>
  <si>
    <t>AWS, STT GDC, Digital Edge (land buyers)</t>
  </si>
  <si>
    <t>Lodha Green Integrated Data Centre Park, Palava</t>
  </si>
  <si>
    <t>MERC Case 88/2026: 400/220 kV GIS Ambernath S/S, 4 x 500 MVA ICT (DDF, Lodha-funded); STU connectivity granted ~1,450 MW (AWS, STT) + ~1,500 MW under process = 2,950 MW by 2028</t>
  </si>
  <si>
    <t>MERC order 01-Jun-2026; STU connectivity granted; land being sold</t>
  </si>
  <si>
    <t>Substation &amp; DC load by 2028</t>
  </si>
  <si>
    <t>MERC order (read) + State MoUs</t>
  </si>
  <si>
    <t>MERC order in Case No. 88 of 2026 &amp; IA 78 of 2026 (01-06-2026)</t>
  </si>
  <si>
    <t>https://merc.gov.in/wp-content/uploads/2026/06/Order-88-of-2026.pdf</t>
  </si>
  <si>
    <t>https://www.saurenergy.com/solar-energy-news/maharashtra-approves-transmission-infrastructure-for-13-lakh-crore-data-centre-park-11902218</t>
  </si>
  <si>
    <t>2026-06-01</t>
  </si>
  <si>
    <t>Order para 7.6: 'STU has already granted grid connectivity to Amazon Web Services (AWS) and ST Telemedia Global Data Centres (STT), while the connectivity application of another Data Center is under process'; para 7.15: ~1450 MW granted, ~1500 MW under consideration, 2950 MW by 2028</t>
  </si>
  <si>
    <t>'UC/contracted' column holds the ~1,450 MW of grid connectivity granted per the MERC order. Capacity cited as 2 / 2.5 / 3 GW across sources. Tenants AWS (473 MW), Digital Edge (~270 MW) and STT (24 acres) are inside this total.</t>
  </si>
  <si>
    <t>P007</t>
  </si>
  <si>
    <t>Palava (~30 acres)</t>
  </si>
  <si>
    <t>Digital Edge India (Digital Edge-NIIF JV)</t>
  </si>
  <si>
    <t>Digital Edge second Mumbai campus (Palava)</t>
  </si>
  <si>
    <t>Land acquired</t>
  </si>
  <si>
    <t>Press</t>
  </si>
  <si>
    <t>W.Media: Palava land deal points to Digital Edge's second India DC</t>
  </si>
  <si>
    <t>https://w.media/palava-land-deal-points-to-digital-edges-second-india-data-center/</t>
  </si>
  <si>
    <t>https://finimize.com/content/lodha-confirms-palava-land-sale-to-data-center-builder</t>
  </si>
  <si>
    <t>~30 acres bought at ~Rs 42 cr/acre; ~270 MW reported (not confirmed by Lodha)</t>
  </si>
  <si>
    <t>Inside Lodha park - excluded from totals.</t>
  </si>
  <si>
    <t>P008</t>
  </si>
  <si>
    <t>Palava (24+ acres)</t>
  </si>
  <si>
    <t>STT GDC India</t>
  </si>
  <si>
    <t>STT GDC Palava land</t>
  </si>
  <si>
    <t>Press / Wikipedia</t>
  </si>
  <si>
    <t>Data centre industry in India (Wikipedia, citing press)</t>
  </si>
  <si>
    <t>https://en.wikipedia.org/wiki/Data_centre_industry_in_India</t>
  </si>
  <si>
    <t>2025-09</t>
  </si>
  <si>
    <t>24+ acres for ~Rs 500 cr</t>
  </si>
  <si>
    <t>Inside Lodha park; MW not disclosed.</t>
  </si>
  <si>
    <t>P009</t>
  </si>
  <si>
    <t>Raigad Pen Growth Centre ('Orange City'), Pen taluka</t>
  </si>
  <si>
    <t>AirTrunk (Blackstone/CPP)</t>
  </si>
  <si>
    <t>AirTrunk Raigad mega-campus</t>
  </si>
  <si>
    <t>Letter of Intent for land allotment</t>
  </si>
  <si>
    <t>State LoI (announced by CM)</t>
  </si>
  <si>
    <t>ANI: Maharashtra issues LoI to AirTrunk for Rs 2 lakh crore DC project in Raigad</t>
  </si>
  <si>
    <t>https://www.aninews.in/news/business/maharashtra-issues-letter-of-intent-to-airtrunk-for-rs-2-lakh-crore-data-centre-project-in-raigad20260601123602/</t>
  </si>
  <si>
    <t>https://techcrunch.com/2026/06/05/airtrunk-commits-30b-to-build-5gw-of-ai-data-centers-in-india/</t>
  </si>
  <si>
    <t>3 GW IT capacity, Rs 2 lakh crore (~US$21bn); part of AirTrunk's US$30bn / 5 GW India plan</t>
  </si>
  <si>
    <t>MMRDA secured 216 acres for Raigad-Pen Growth Centre (MMRDA PR 17/2026). Unverified aggregator reports of Mapletree (100 acres) also at Raigad-Pen.</t>
  </si>
  <si>
    <t>P010</t>
  </si>
  <si>
    <t>Mahape</t>
  </si>
  <si>
    <t>NTT Global Data Centers</t>
  </si>
  <si>
    <t>NTT NAV2 campus</t>
  </si>
  <si>
    <t>500 MW campus power</t>
  </si>
  <si>
    <t>Planned / under development</t>
  </si>
  <si>
    <t>Company announcement (via DCD)</t>
  </si>
  <si>
    <t>DCD: NTT announces 500MW NAV2 data center in Navi Mumbai</t>
  </si>
  <si>
    <t>https://www.datacenterdynamics.com/en/news/ntt-announces-500mw-nav2-data-center-in-navi-mumbai-india/</t>
  </si>
  <si>
    <t>https://www.globaldatacenterhub.com/p/the-new-center-of-gravity-inside</t>
  </si>
  <si>
    <t>2026</t>
  </si>
  <si>
    <t>500 MW power; 336 MW IT across three facilities</t>
  </si>
  <si>
    <t>ICRA (2025) puts NTT GDC India total at ~280 MW; capex Rs 1,200-1,500 cr/yr FY26-28.</t>
  </si>
  <si>
    <t>P011</t>
  </si>
  <si>
    <t>Mahape (NAV1A)</t>
  </si>
  <si>
    <t>NTT NAV1A</t>
  </si>
  <si>
    <t>Operational</t>
  </si>
  <si>
    <t>Company website</t>
  </si>
  <si>
    <t>NTT Navi Mumbai data center page</t>
  </si>
  <si>
    <t>https://services.global.ntt/en-us/services-and-products/global-data-centers/global-locations/india/navi-mumbai-data-center</t>
  </si>
  <si>
    <t>37,000 m2; 5,000 racks; 30 MW IT</t>
  </si>
  <si>
    <t>P012</t>
  </si>
  <si>
    <t>Plot IT-07, TTC Industrial Area, Mahape</t>
  </si>
  <si>
    <t>Nxtra Data Ltd (Bharti Airtel)</t>
  </si>
  <si>
    <t>Nxtra Mahape DC-02 expansion</t>
  </si>
  <si>
    <t>Not in cover pages - see EC annexure on PARIVESH</t>
  </si>
  <si>
    <t>Environmental clearance granted (expansion)</t>
  </si>
  <si>
    <t>SEIAA Maharashtra environmental clearance</t>
  </si>
  <si>
    <t>EC letter, proposal SIA/MH/INFRA2/490756/2025, EC id EC24C3802MH5926451N</t>
  </si>
  <si>
    <t>https://assets.airtel.in/nxtra/pdf/EC_Environmental_Clearance_Certificate_Nxtra%20Mahape_DC-02_25.11.25.pdf</t>
  </si>
  <si>
    <t>2025-11-21</t>
  </si>
  <si>
    <t>EC for expansion of IT/ITeS (datacenter) unit; SEIAA meeting 14/10/2025; Category B2, item 8(a)</t>
  </si>
  <si>
    <t>MW not yet extracted (scanned PDF; salient features in Annexure). Nxtra Mumbai page lists Mahape hyperscale sites at 4/7/18/42 MW IT. Nxtra group: ~250-300 MW, target 1 GW.</t>
  </si>
  <si>
    <t>P013</t>
  </si>
  <si>
    <t>Survey 238/2, Kalwa / Ghansoli, Thane-Belapur Rd</t>
  </si>
  <si>
    <t>Digital Edge DC (India)</t>
  </si>
  <si>
    <t>NIIF</t>
  </si>
  <si>
    <t>Digital Edge BOM campus (BOM1-BOM3)</t>
  </si>
  <si>
    <t>83 MW solar PPA (Hexa)</t>
  </si>
  <si>
    <t>BOM1 operational; BOM2 topped out; BOM3 started</t>
  </si>
  <si>
    <t>SEIAA EC + company</t>
  </si>
  <si>
    <t>SEIAA EC letter, proposal SIA/MH/INFRA2/449922/2023, EC id EC24B039MH149609</t>
  </si>
  <si>
    <t>https://www.digitaledgedc.com/wp-content/uploads/2025/07/EC-Letter-Data-Center.pdf</t>
  </si>
  <si>
    <t>https://www.digitaledgedc.com/digital-edge-india/</t>
  </si>
  <si>
    <t>2024-02-08</t>
  </si>
  <si>
    <t>EC granted for 'BOM' data center (Cat B, 8(b)); company: 400 MW Navi Mumbai campus, ~47 acres; BOM2 48.4 MW</t>
  </si>
  <si>
    <t>Campus sized at 300 / 350 / 400 MW in different company materials. MPCB CTE 0000195775 (3rd CAC 2024-25) for 'BOM 2 &amp; BOM 3', Dighe S.No. 47/2-49/2: plot 172,354 m2, BUA 390,772 m2, 8 buildings, CI Rs 3,000 cr (EC dated 08-02-2024 matches this EC). CTO 0000225726 issued 03-04-2025. See MH_Permits.</t>
  </si>
  <si>
    <t>P014</t>
  </si>
  <si>
    <t>TTC Rabale (Plot R-847)</t>
  </si>
  <si>
    <t>Sify Infinit Spaces</t>
  </si>
  <si>
    <t>Sify Rabale hyperscale campus</t>
  </si>
  <si>
    <t>5 towers live; 7 more planned</t>
  </si>
  <si>
    <t>Company website / IR deck</t>
  </si>
  <si>
    <t>Sify Rabale campus page</t>
  </si>
  <si>
    <t>https://www.sifytechnologies.com/data-center/rabale-data-center/</t>
  </si>
  <si>
    <t>https://sifyinfinitspaces.com/wp-content/uploads/2025/07/Sify-Infinit-Spaces-IR-2025.pdf</t>
  </si>
  <si>
    <t>2025-26</t>
  </si>
  <si>
    <t>Designed for 377+ MW IT across 12 towers (earlier 240+ MW); 2022 factsheet: 5 towers / 85 MW</t>
  </si>
  <si>
    <t>IFC SLL (Jun-2026) for two new DCs in Navi Mumbai + Chennai totalling 103 MW. DRHP (Oct-2025): 188 MW built IT India-wide.</t>
  </si>
  <si>
    <t>P015</t>
  </si>
  <si>
    <t>Panvel (Hiranandani Fortune City)</t>
  </si>
  <si>
    <t>Yotta Infrastructure (Hiranandani)</t>
  </si>
  <si>
    <t>Yotta NM1 / NM2 DC park</t>
  </si>
  <si>
    <t>NM1 operational; NM2 operational/fit-out</t>
  </si>
  <si>
    <t>Yotta NM1 page</t>
  </si>
  <si>
    <t>https://colocation.yotta.com/data-center/nm1-datacenter-mumbai-region-maharashtra/</t>
  </si>
  <si>
    <t>https://dcpulse.com/project/yotta-nm2-navi-mumbai-datacenter</t>
  </si>
  <si>
    <t>NM1 52 MW IT; park 5 buildings ~210-250 MW; 'scalable to 1 GW'</t>
  </si>
  <si>
    <t>NM2 cited at 52 or 65 MW. REALITY CHECK: CRISIL rationale (15-Apr-2025) on NMDC Data Centre Pvt Ltd (Hiranandani/Yotta SPV for NM1) shows ~13.1 MW colocation operational, rising to ~17.2 MW by FY27, rest for Shakti Cloud GPUs; holds captive discom licence. MPCB renewal 0000223122 (May-2025) covers Bhokarpada (Panvel) AND Talegaon Panshil (Khalapur) - a second site.</t>
  </si>
  <si>
    <t>P016</t>
  </si>
  <si>
    <t>CtrlS Datacenters</t>
  </si>
  <si>
    <t>CtrlS Mumbai DC1-DC7</t>
  </si>
  <si>
    <t>DC1-DC5 operational; DC6-DC7 upcoming</t>
  </si>
  <si>
    <t>CtrlS homepage / Mumbai visit page</t>
  </si>
  <si>
    <t>https://www.ctrls.com/</t>
  </si>
  <si>
    <t>https://www.ctrls.com/dc-visit-mumbai/</t>
  </si>
  <si>
    <t>DC1/2 40 MW, DC3 10, DC4 36.8, DC5 32; DC6+DC7 95 MW upcoming; campus '13 buildings, 700 MW IT'</t>
  </si>
  <si>
    <t>700 MW is a marketing claim.</t>
  </si>
  <si>
    <t>P017</t>
  </si>
  <si>
    <t>Mahape (11.5 acres) + new TTC parcel</t>
  </si>
  <si>
    <t>STT Navi Mumbai campus</t>
  </si>
  <si>
    <t>Dual 220 kV &amp; 400 kV substation feed</t>
  </si>
  <si>
    <t>2 x 40 MW buildings due 2026</t>
  </si>
  <si>
    <t>Company website / brochure</t>
  </si>
  <si>
    <t>STT GDC Mumbai locations page</t>
  </si>
  <si>
    <t>https://www.sttelemediagdc.com/in-en/locations/mumbai</t>
  </si>
  <si>
    <t>https://www.communicationstoday.co.in/stt-gdc-india-buys-navi-mumbai-land-for-%E2%82%B9282-crore-data-centre-project/</t>
  </si>
  <si>
    <t>2024-26</t>
  </si>
  <si>
    <t>Total 133 MW after 3 new buildings; separate TTC land parcel bought May/Jun 2026 for Rs 282 cr (MW not disclosed)</t>
  </si>
  <si>
    <t>Operational figure derived (133 minus 80 under construction). MPCB: CTE 0000175818 (Dec-2023) &amp; CTO part 0000209776 for Gen-50/1, TTC Khairane; consent amended to REMOVE 31 x 2,000 kVA DG sets (13th CAC 2024-25). STU also granted STT grid connectivity at Ambernath (MERC Case 88/2026).</t>
  </si>
  <si>
    <t>P018</t>
  </si>
  <si>
    <t>Airoli (MU1) &amp; Navi Mumbai (MU2, 10 acres)</t>
  </si>
  <si>
    <t>Princeton Digital Group</t>
  </si>
  <si>
    <t>PDG MU1 expansion + MU2</t>
  </si>
  <si>
    <t>MU1 phase-1 of 100 MW expansion UC; MU2 construction Apr 2026</t>
  </si>
  <si>
    <t>Company (via DCD)</t>
  </si>
  <si>
    <t>DCD: PDG breaks ground on latest Mumbai data center</t>
  </si>
  <si>
    <t>https://www.datacenterdynamics.com/en/news/pdg-breaks-ground-on-latest-mumbai-data-center/</t>
  </si>
  <si>
    <t>https://www.datacentermap.com/india/navi-mumbai/princeton-digital-mu2/</t>
  </si>
  <si>
    <t>2026-04</t>
  </si>
  <si>
    <t>MU2 120 MW IT; MU1 100 MW expansion</t>
  </si>
  <si>
    <t>48 MW operational = MU1 launch (DCD).</t>
  </si>
  <si>
    <t>P019</t>
  </si>
  <si>
    <t>Airoli</t>
  </si>
  <si>
    <t>CapitaLand Investment</t>
  </si>
  <si>
    <t>CapitaLand Data Centre Navi Mumbai 1 (+NM2)</t>
  </si>
  <si>
    <t>108 MW power; on-site 220 kV GIS</t>
  </si>
  <si>
    <t>Under development</t>
  </si>
  <si>
    <t>Q4 2026 (first phase)</t>
  </si>
  <si>
    <t>CapitaLand DC Navi Mumbai 1 listing</t>
  </si>
  <si>
    <t>https://www.capitaland.com/en/find-a-property/global-property-listing/data-centres/capitaland-s-datacentrenavimumbai1.html</t>
  </si>
  <si>
    <t>108 MW; MPCB Consent to Establish listed among project documents</t>
  </si>
  <si>
    <t>Some listings: 37 MW IT for first phase. CapitaLand's local SPV is Datascape Realty Pvt Ltd (Digha, TTC plots 14/2, 15 &amp; 37): MPCB CTE 0000155369 CI Rs 3,211.9 cr; CTO (part) 0000231516 issued 09-02-2025; SEIAA EC proposal SIA/MH/INFRA2/466218/2024. See MH_Permits.</t>
  </si>
  <si>
    <t>P020</t>
  </si>
  <si>
    <t>Mahape (5.4 ha) / Airoli</t>
  </si>
  <si>
    <t>AirTrunk (ex-Lumina CloudInfra)</t>
  </si>
  <si>
    <t>AirTrunk BOM1 + BOM2</t>
  </si>
  <si>
    <t>Dedicated 220 kV substations</t>
  </si>
  <si>
    <t>BOM1 under build (ex-Lumina, 60 MW Airoli); BOM2 planned</t>
  </si>
  <si>
    <t>AirTrunk BOM2 page</t>
  </si>
  <si>
    <t>https://airtrunk.com/location/bom2-mumbai/</t>
  </si>
  <si>
    <t>https://www.datacenterdynamics.com/en/news/apac-data-center-firm-airtrunk-enters-india-acquires-lumina-cloudinfra/</t>
  </si>
  <si>
    <t>BOM2 120+ MW, 5.4 ha, 220 kV S/S, PUE&lt;1.4; BOM1 62+ MW, 2.4 ha</t>
  </si>
  <si>
    <t>Lumina's Airoli SPV is Gramercy Techpark Pvt Ltd (Plot 7 &amp; 7A, TTC Airoli): MPCB CTE 0000145905 - plot 24,350 m2, BUA 86,044 m2, CI Rs 1,495 cr; CTO (part) 13-05-2025; SEIAA EC expansion SIA/MH/INFRA2/484959/2024 (Oct/Nov-2025 agendas).</t>
  </si>
  <si>
    <t>P021</t>
  </si>
  <si>
    <t>Thane-Belapur belt (15.4 acres)</t>
  </si>
  <si>
    <t>Data Center Holdings India LLP (Colt DCS-RMZ 50:50)</t>
  </si>
  <si>
    <t>Colt DCS Navi Mumbai campus (Mumbai 1-3)</t>
  </si>
  <si>
    <t>220 kV GIS on campus</t>
  </si>
  <si>
    <t>Ph-1 22 MW (4 MW live Jul-2023); Mumbai 3 64 MW UC, fully pre-let</t>
  </si>
  <si>
    <t>Credit rating rationale</t>
  </si>
  <si>
    <t>ICRA rationale - Data Center Holdings India LLP (Rs 1,440 cr TL, A-)</t>
  </si>
  <si>
    <t>https://www.icra.in/Rating/ShowRationalReportFilePdf/141442</t>
  </si>
  <si>
    <t>https://indianinfrastructure.com/2026/10/16/colt-dcs-and-rmz-begin-construction-of-third-data-centre-in-mumbai/</t>
  </si>
  <si>
    <t>2026-03-09</t>
  </si>
  <si>
    <t>ICRA: 142 MW expected across 3 phases; Ph-1 cost Rs 2,016 cr (71:29 D/E); 82% of Ph-1 unleased (Sep-2025). Oct-2026: Mumbai 3 (64 MW) started =&gt; campus 86 MW, 148 MW potential</t>
  </si>
  <si>
    <t>Same LLP received AP GO for 486 MW Vizag campus (see AP rows).</t>
  </si>
  <si>
    <t>P022</t>
  </si>
  <si>
    <t>L&amp;T-Vyoma</t>
  </si>
  <si>
    <t>L&amp;T Vyoma Navi Mumbai AI DC</t>
  </si>
  <si>
    <t>L&amp;T press release 21-Jan-2026</t>
  </si>
  <si>
    <t>https://www.larsentoubro.com/pressreleases/2026/2026-01-21-larsen-toubro-vyoma-breaks-ground-on-40-mw-green-ai-ready-data-centre-in-navi-mumbai</t>
  </si>
  <si>
    <t>2026-01-21</t>
  </si>
  <si>
    <t>40 MW phase-1 of 100 MW campus; direct-to-chip liquid cooling</t>
  </si>
  <si>
    <t>Site is Plot EL-200, TTC Mahape: SEIAA EC proposal SIA/MH/INFRA2/517940/2025 (309th agenda, Oct-2025).</t>
  </si>
  <si>
    <t>P023</t>
  </si>
  <si>
    <t>Rabale</t>
  </si>
  <si>
    <t>ESR</t>
  </si>
  <si>
    <t>ESR Rabale DC</t>
  </si>
  <si>
    <t>Facility load up to 60 MW</t>
  </si>
  <si>
    <t>CRN Asia: ESR enters India DC market with 60 MW facility</t>
  </si>
  <si>
    <t>https://www.crnasia.com/india/news/2026/esr-enters-india-data-centre-market-with-60-mw-facility-in-mumbai</t>
  </si>
  <si>
    <t>60 MW facility load</t>
  </si>
  <si>
    <t>Facility load, not IT load.</t>
  </si>
  <si>
    <t>P024</t>
  </si>
  <si>
    <t>Navi Mumbai (29 acres, freehold)</t>
  </si>
  <si>
    <t>Zerra (AGPDC Global Holdings)</t>
  </si>
  <si>
    <t>Zerra Navi Mumbai campus</t>
  </si>
  <si>
    <t>220 kV / 300 MVA + 100 kV / 40 MVA substations</t>
  </si>
  <si>
    <t>Construction commenced; power &amp; pre-construction approvals received</t>
  </si>
  <si>
    <t>Oct 2026 start</t>
  </si>
  <si>
    <t>Zerra Navi Mumbai project page</t>
  </si>
  <si>
    <t>https://zerradc.com/projects/navi-mumbai/</t>
  </si>
  <si>
    <t>2026-10</t>
  </si>
  <si>
    <t>240 MW IT; two independent substations; 'initial development consents received'</t>
  </si>
  <si>
    <t>Relatively unknown developer; no press coverage found - an example of capacity not in mainstream announcements.</t>
  </si>
  <si>
    <t>P025</t>
  </si>
  <si>
    <t>Taloja</t>
  </si>
  <si>
    <t>Prestige Group</t>
  </si>
  <si>
    <t>Prestige Taloja data centre</t>
  </si>
  <si>
    <t>State MoU</t>
  </si>
  <si>
    <t>Construction from 2026</t>
  </si>
  <si>
    <t>DCD: Maharashtra partners with Prestige for Navi Mumbai DC</t>
  </si>
  <si>
    <t>https://www.datacenterdynamics.com/en/news/maharashtra-state-govt-partners-with-prestige-to-develop-data-center-in/</t>
  </si>
  <si>
    <t>2025-08</t>
  </si>
  <si>
    <t>Rs 5,000 cr of Rs 12,500 cr MoU earmarked for DC at Taloja; 1,200 jobs</t>
  </si>
  <si>
    <t>MW not disclosed.</t>
  </si>
  <si>
    <t>P026</t>
  </si>
  <si>
    <t>Panvel, Khalapur, Taloja, Bhokharpada</t>
  </si>
  <si>
    <t>ReNew (ReNew Wind Energy)</t>
  </si>
  <si>
    <t>ReNew Green Integrated DC Park (MMR)</t>
  </si>
  <si>
    <t>Min. 51% green power</t>
  </si>
  <si>
    <t>Phased from 2028</t>
  </si>
  <si>
    <t>Business Standard: ReNew signs MoU for Rs 70,000 cr green DC park</t>
  </si>
  <si>
    <t>https://www.business-standard.com/industry/news/renew-signs-mou-with-maharashtra-for-70-000-crore-green-data-centre-park-126100801226_1.html</t>
  </si>
  <si>
    <t>https://indianinfrastructure.com/2026/10/13/renew-signs-rs-700-billion-mou-with-maharashtra-government-to-develop-green-integrated-data-centre-park-in-mmr/</t>
  </si>
  <si>
    <t>2026-10-08</t>
  </si>
  <si>
    <t>750 MW, Rs 70,000 cr, multiple MMR sites</t>
  </si>
  <si>
    <t>P027</t>
  </si>
  <si>
    <t>Not disclosed</t>
  </si>
  <si>
    <t>Trentar Pvt Ltd (Dorf Ketal Group)</t>
  </si>
  <si>
    <t>Trentar Green Integrated Hyperscale DC Park</t>
  </si>
  <si>
    <t>Min. 51% RE + storage</t>
  </si>
  <si>
    <t>State LoI + MoU</t>
  </si>
  <si>
    <t>State LoI/MoU (company release)</t>
  </si>
  <si>
    <t>PR Newswire: Trentar signs Rs 30,000 cr MoU</t>
  </si>
  <si>
    <t>https://www.prnewswire.com/in/news-releases/trentar-signs-30-000-crore-3-3-bn-mou-with-maharashtra-for-500-mw-green-integrated-data-center-park-302899623.html</t>
  </si>
  <si>
    <t>500 MW; LoI received from state</t>
  </si>
  <si>
    <t>Location not disclosed.</t>
  </si>
  <si>
    <t>P028</t>
  </si>
  <si>
    <t>Avisirah Technologies</t>
  </si>
  <si>
    <t>Avisirah Navi Mumbai DC</t>
  </si>
  <si>
    <t>Financed</t>
  </si>
  <si>
    <t>PropNewsTime: Avisirah raises Rs 75 cr</t>
  </si>
  <si>
    <t>https://propnewstime.com/latestnewsstories/MzY3MDg=/avisirah-raises-inr-75-crore-for-navi-mumbai-data-centre</t>
  </si>
  <si>
    <t>~5.5 MW IT; Rs 75 cr loan</t>
  </si>
  <si>
    <t>Small/enterprise example.</t>
  </si>
  <si>
    <t>P029</t>
  </si>
  <si>
    <t>Plot D-31 &amp; D-32, TTC Turbhe (EverYondr 'Mumbai 1')</t>
  </si>
  <si>
    <t>Amanthin Info Parks Pvt Ltd (EverYondr = Everstone + Yondr)</t>
  </si>
  <si>
    <t>Raiden Infotech India (Google) - 28-yr lease, ~3.81 lakh sq ft, Rs 8.83 cr/month (registered Oct-2022)</t>
  </si>
  <si>
    <t>Google / EverYondr Turbhe data centre</t>
  </si>
  <si>
    <t>Form-1A: connected load 103,367 kW; demand 108,807 kVA; 4 x 220/22 kV 60 MVA transformers; 58 x 2,200 kVA DG sets</t>
  </si>
  <si>
    <t>Under construction (target 2025-27)</t>
  </si>
  <si>
    <t>SEAC-II Form-1A (EC application)</t>
  </si>
  <si>
    <t>Form 1A - Data Center by Amanthin Info Parks Pvt Ltd, Plot D-31 &amp; D-32, TTC Turbhe</t>
  </si>
  <si>
    <t>https://environmentclearance.nic.in/DownloadPfdFile.aspx?FileName=Kwy+a1Xl%2FGHp2kMbJYBd8GPrFSz%2FNzzr1mrm87hA6RfsBvasy5U%2FhwjR4PRxBwwupD8Lw8MExL5FqtSFZLEOTQ%3D%3D&amp;FilePath=93ZZBm8LWEXfg+HAlQix2fE2t8z%2FpgnoBhDlYdZCxzXTbTpOQqzWjBW0IF63rxBVcDlG0LKdfbGNs0Ou%2FTEvAA%3D%3D</t>
  </si>
  <si>
    <t>https://housing.com/news/google-rents-data-centre-space-in-navi-mumbai-midc/</t>
  </si>
  <si>
    <t>n.d. (c.2022-23)</t>
  </si>
  <si>
    <t>Plot 39,980 m2; BUA 55,432 m2; ~103 MW connected load; 127.6 MVA of DG back-up</t>
  </si>
  <si>
    <t>~103 MW facility load =&gt; roughly 65-75 MW IT (assumes PUE 1.4-1.6) - IT MW left blank because not stated. Google's presence in Navi Mumbai is barely covered in the press.</t>
  </si>
  <si>
    <t>P030</t>
  </si>
  <si>
    <t>GEN-2/1/A/1, D-Block, TTC Turbhe (ex-Gramercy Trade 'Gold Craft' plot)</t>
  </si>
  <si>
    <t>Raiden Infotech India Pvt Ltd (Google)</t>
  </si>
  <si>
    <t>Google (Raiden) Turbhe data centre - own plot</t>
  </si>
  <si>
    <t>Not in agenda - see EC file</t>
  </si>
  <si>
    <t>MPCB Consent to Establish granted 26-08-2025; SEIAA EC proposal listed Oct-2025</t>
  </si>
  <si>
    <t>MPCB CAC + SEIAA agenda</t>
  </si>
  <si>
    <t>MPCB 5th CAC 2025-26 Action Taken Report (consent 0000249841); SEIAA 310th agenda (SIA/MH/INFRA2/531703/2025)</t>
  </si>
  <si>
    <t>https://mpcb.gov.in/en/cac-meetings</t>
  </si>
  <si>
    <t>https://www.ecmpcb.in/login/download_ec_document/ODY2MDg5MDRCMzNGNDNCN0JEMTFBNDUzNEI4MjlGNEQucGRm</t>
  </si>
  <si>
    <t>2025-08-26</t>
  </si>
  <si>
    <t>CTE approved for Raiden (Google) at Turbhe; same plot previously had CTE for 'Gold Craft by Gramercy Trade Industries' with CI Rs 1,895 cr (14th CAC 2023-24)</t>
  </si>
  <si>
    <t>Investment shown is the earlier Gramercy CTE CI on the same plot - indicative only. Second Google site in Navi Mumbai.</t>
  </si>
  <si>
    <t>P031</t>
  </si>
  <si>
    <t>Balkum &amp; Majiwada villages, Thane (54.73 acres; ex-Kalpataru land)</t>
  </si>
  <si>
    <t>AWS Thane (Balkum-Majiwada) campus</t>
  </si>
  <si>
    <t>MPCB CTE granted 14-12-2023; SEIAA EC proposal SIA/MH/INFRA2/477127/2024 on agendas Nov-2024 &amp; Sep-2025</t>
  </si>
  <si>
    <t>MPCB CAC + SEIAA agendas</t>
  </si>
  <si>
    <t>MPCB 16th CAC 2023-24 index &amp; ATR (consent 0000178616); SEIAA 304th agenda</t>
  </si>
  <si>
    <t>https://www.ecmpcb.in/login/download_ec_document/RTE1NjUyREEwNzhCNEQ1MzkwRTZDQUVFOTNEQUIyRjYucGRm</t>
  </si>
  <si>
    <t>2023-12-14</t>
  </si>
  <si>
    <t>MPCB: 'Data Center by Amazon ... Balkum &amp; Majiwada', CI Rs 7,203.29 cr, CTE approved. EC application (per public post of the filing): 54.73 acres, 272 MW total IT load</t>
  </si>
  <si>
    <t>272 MW IT is from a social-media summary of the EC filing (https://x.com/cbdhage/status/1762797367529480646) - verify in EC file. Local political opposition (NCP-SP 'Out of Thane' campaign).</t>
  </si>
  <si>
    <t>P032</t>
  </si>
  <si>
    <t>CTS 86 pt, Paspoli &amp; CTS 115 pt Tungwa, Powai</t>
  </si>
  <si>
    <t>AWS Powai data centre</t>
  </si>
  <si>
    <t>MPCB CTE granted 11-02-2025 (earlier SCN Dec-2023); SEIAA EC proposal SIA/MH/INFRA2/416132/2023</t>
  </si>
  <si>
    <t>MPCB CAC</t>
  </si>
  <si>
    <t>MPCB 15th CAC 2024-25 ATR (consent 0000217236)</t>
  </si>
  <si>
    <t>2025-02-11</t>
  </si>
  <si>
    <t>CI Rs 2,626.63 cr; CTE approved</t>
  </si>
  <si>
    <t>MW not disclosed in CAC record.</t>
  </si>
  <si>
    <t>P033</t>
  </si>
  <si>
    <t>Plot ES-05, TTC Mahape</t>
  </si>
  <si>
    <t>Bearys Properties &amp; Developments (build-to-suit; NTT NAV1A/1B developer)</t>
  </si>
  <si>
    <t>NTT (likely)</t>
  </si>
  <si>
    <t>Bearys ES-05 Mahape data centre</t>
  </si>
  <si>
    <t>SEIAA EC proposal Oct-2025</t>
  </si>
  <si>
    <t>SEIAA agenda</t>
  </si>
  <si>
    <t>SEIAA additional agenda, 310th meeting (SIA/MH/INFRA2/533354/2025)</t>
  </si>
  <si>
    <t>https://www.ecmpcb.in/login/download_ec_document/QjJCMzlBQzg5M0MzNDZERjg1NDQxQTZGN0YzQzE0MjMucGRm</t>
  </si>
  <si>
    <t>https://bearysgroup.com/wp-content/uploads/2024/01/Bearys-Data-Centre-e-brochure.pdf</t>
  </si>
  <si>
    <t>2025-10-29</t>
  </si>
  <si>
    <t>New EC application for data centre at ES-05 Mahape</t>
  </si>
  <si>
    <t>Tenant not confirmed.</t>
  </si>
  <si>
    <t>P034</t>
  </si>
  <si>
    <t>S.No./Gut 39, 42, 49, Bhokarpada, Panvel</t>
  </si>
  <si>
    <t>Larsen &amp; Toubro Ltd</t>
  </si>
  <si>
    <t>L&amp;T Bhokarpada data centre + residential</t>
  </si>
  <si>
    <t>SEIAA EC proposal (Sep &amp; Dec-2025 agendas)</t>
  </si>
  <si>
    <t>SEIAA agendas</t>
  </si>
  <si>
    <t>SEIAA 304th &amp; 313th agendas (SIA/MH/INFRA2/502320/2024)</t>
  </si>
  <si>
    <t>https://www.ecmpcb.in/login/download_ec_document/MzMzQzM2MDM3QkQ5NEYxQUIyOTNEMjAyNEE2NUNFODgucGRm</t>
  </si>
  <si>
    <t>2025-12-02</t>
  </si>
  <si>
    <t>'Proposed Data Centre and Residential development with retail and commercial components', Bhokarpada</t>
  </si>
  <si>
    <t>Separate from L&amp;T-Vyoma Mahape (EL-200, SIA/MH/INFRA2/517940/2025). Bhokarpada also hosts Yotta/Hiranandani and is a ReNew park site.</t>
  </si>
  <si>
    <t>P035</t>
  </si>
  <si>
    <t>Plot A-GEN-4, TTC Rabale / Ghansoli</t>
  </si>
  <si>
    <t>Support Properties Pvt Ltd (K Raheja Corp group) for AdaniConneX ('ACXNMI-01')</t>
  </si>
  <si>
    <t>AdaniConneX NMI-01 Rabale</t>
  </si>
  <si>
    <t>MPCB CTE 21-02-2024; SEIAA EC expansion proposal Oct-2025</t>
  </si>
  <si>
    <t>SEIAA 308th agenda (SIA/MH/INFRA2/509611/2024); MPCB 21st CAC 2023-24 (0000185134)</t>
  </si>
  <si>
    <t>https://www.ecmpcb.in/login/download_ec_document/MjMyMTI2NEMzMjYzNDM5M0IxRTJDRDY5MENBNDZFODcucGRm</t>
  </si>
  <si>
    <t>https://www.scribd.com/document/1014690774/Adaniconnex-Navi-Mumbai</t>
  </si>
  <si>
    <t>2025-10-03</t>
  </si>
  <si>
    <t>'Expansion in EC for Proposed Data Center Project ACXNMI-01'</t>
  </si>
  <si>
    <t>'ACX' project code = AdaniConneX (inference). A Scribd document describes ACXNMI-02 as 3 buildings / 400 MW IT. Overlaps AdaniConneX rows above - excluded.</t>
  </si>
  <si>
    <t>P036</t>
  </si>
  <si>
    <t>Plot R-978, Sector 8, Rabale MIDC</t>
  </si>
  <si>
    <t>Gargantuan Industrial Space Solutions Pvt Ltd</t>
  </si>
  <si>
    <t>Unknown</t>
  </si>
  <si>
    <t>Gargantuan Rabale data centre expansion</t>
  </si>
  <si>
    <t>SEIAA EC expansion proposal Oct-2025</t>
  </si>
  <si>
    <t>SEIAA 310th agenda (SIA/MH/INFRA2/496938/2024)</t>
  </si>
  <si>
    <t>2025-10-26</t>
  </si>
  <si>
    <t>'Proposed expansion in Data Centre [IT/ITeS] Project'</t>
  </si>
  <si>
    <t>Owner/tenant not identified - candidate 'unannounced' project; check MCA filings.</t>
  </si>
  <si>
    <t>P037</t>
  </si>
  <si>
    <t>IT-5 Airoli Knowledge Park (Gigaplex) &amp; Gen 2/1/D-F Juinagar (Newfound)</t>
  </si>
  <si>
    <t>K Raheja Corp / Mindspace REIT SPVs (Gigaplex Estate; Newfound Properties &amp; Leasing)</t>
  </si>
  <si>
    <t>Data-centre buildings inside K Raheja IT parks</t>
  </si>
  <si>
    <t>Gigaplex Bldg 8 (DC) CTO applied 2025-26; Newfound Bldg 5A (DC) CTO Part-I granted (17th CAC 2024-25)</t>
  </si>
  <si>
    <t>MPCB 4th CAC 2025-26 index (0000232277) &amp; 17th CAC 2024-25 ATR (0000227513); SEIAA 309th/310th/318th agendas</t>
  </si>
  <si>
    <t>https://environmentclearance.nic.in/writereaddata/FormB/agenda/2801202685869228318FinalAgenda.pdf</t>
  </si>
  <si>
    <t>Gigaplex Bldg 8 (Data Centre) CI Rs 173.99 cr; Newfound Bldg 5A data centre BUA 32,971 m2</t>
  </si>
  <si>
    <t>Powered-shell DC buildings leased to hyperscalers (tenants not disclosed).</t>
  </si>
  <si>
    <t>P038</t>
  </si>
  <si>
    <t>TTC Rabale</t>
  </si>
  <si>
    <t>Web Werks India (Iron Mountain)</t>
  </si>
  <si>
    <t>Web Werks / Iron Mountain Rabale</t>
  </si>
  <si>
    <t>MPCB CTE 28-09-2024</t>
  </si>
  <si>
    <t>MPCB 6th CAC 2024-25 ATR (0000215272)</t>
  </si>
  <si>
    <t>2024-09-28</t>
  </si>
  <si>
    <t>CTE approved</t>
  </si>
  <si>
    <t>MW not stated.</t>
  </si>
  <si>
    <t>P039</t>
  </si>
  <si>
    <t>Plot 13, Kalwa Industrial Area, Digha</t>
  </si>
  <si>
    <t>Bridge Data Centres (Mumbai) LLP</t>
  </si>
  <si>
    <t>Bridge Data Centres Mumbai</t>
  </si>
  <si>
    <t>Operating (CTO renewals 2024, 2025)</t>
  </si>
  <si>
    <t>MPCB 15th CAC 2023-24 index (0000171036); 13th CAC 2024-25 ATR</t>
  </si>
  <si>
    <t>2025-02-09</t>
  </si>
  <si>
    <t>CI Rs 598.52 cr</t>
  </si>
  <si>
    <t>Operator rarely in Indian press.</t>
  </si>
  <si>
    <t>P040</t>
  </si>
  <si>
    <t>Site to be finalised</t>
  </si>
  <si>
    <t>MAHAPREIT (Govt of Maharashtra undertaking)</t>
  </si>
  <si>
    <t>Private developer via EOI</t>
  </si>
  <si>
    <t>MAHAPREIT 200 MW data centre</t>
  </si>
  <si>
    <t>200 MW total load</t>
  </si>
  <si>
    <t>EOI for transaction advisor/PMU (rolling to 15-Oct-2026)</t>
  </si>
  <si>
    <t>State PSU tender</t>
  </si>
  <si>
    <t>MAHAPREIT EOI MHP/CGM(TP)/2026/02 &amp; Corrigendum-1 (13-08-2026)</t>
  </si>
  <si>
    <t>https://mahapreit.in/assets/uploads/tender-ext-65-1786725791.pdf</t>
  </si>
  <si>
    <t>2026-08-13</t>
  </si>
  <si>
    <t>200 MW total load (changed from 'IT load'); est. cost Rs 15,000 cr</t>
  </si>
  <si>
    <t>State-led DC project.</t>
  </si>
  <si>
    <t>P041</t>
  </si>
  <si>
    <t>Plot D-I-10-1, MIDC Pimpri Waghere ('PNQ06', 'ACXPNQ27/29')</t>
  </si>
  <si>
    <t>Microsoft India (filings by 'Pune Data Center Two Ltd')</t>
  </si>
  <si>
    <t>AdaniConneX (inferred from 'ACX' project codes)</t>
  </si>
  <si>
    <t>Microsoft Pune - Pimpri campus</t>
  </si>
  <si>
    <t>MPCB CTE (15th CAC 2022-23); SEIAA EC proposals 2025</t>
  </si>
  <si>
    <t>MPCB 15th CAC 2022-23 minutes/index (0000138540); SEIAA 296th &amp; 313th agendas (SIA/MH/INFRA2/517690/2025, 543691/2025)</t>
  </si>
  <si>
    <t>2025</t>
  </si>
  <si>
    <t>'Data Center PNQ06 for Microsoft India': plot 101,182 m2, BUA 82,827 m2, CI Rs 5,227.84 cr</t>
  </si>
  <si>
    <t>The 25-acre ex-Finolex plot ('could host 100 MW'). AdaniConneX Pune I/II (96 MW, B-tier row) may be this campus - excluded to avoid double count.</t>
  </si>
  <si>
    <t>P042</t>
  </si>
  <si>
    <t>BG 80/B, Bhosari ('PNQ04', 'ACXPNQ26')</t>
  </si>
  <si>
    <t>Microsoft Corporation India (filings by 'Pune Data Center Ltd')</t>
  </si>
  <si>
    <t>AdaniConneX (inferred)</t>
  </si>
  <si>
    <t>Microsoft Pune - Bhosari campus</t>
  </si>
  <si>
    <t>MPCB CTE (15th CAC 2022-23); SEIAA EC proposals 2025-26</t>
  </si>
  <si>
    <t>MPCB 15th CAC 2022-23 minutes (0000148492); SEIAA 296th/319th agendas (SIA/MH/INFRA2/517762/2025, 562044/2025)</t>
  </si>
  <si>
    <t>https://www.ecmpcb.in/login/download_ec_document/MEE0OEVGQjI1RjNDNENERjhCMDEwNkI0NjI1Njg2MjYucGRm</t>
  </si>
  <si>
    <t>Plot 44,499 m2, BUA 40,140 m2, CI Rs 2,014.74 cr</t>
  </si>
  <si>
    <t>P043</t>
  </si>
  <si>
    <t>Pune I &amp; II</t>
  </si>
  <si>
    <t>AdaniConneX Pune (48 MW x 2)</t>
  </si>
  <si>
    <t>Pune I Ph I-II live; Pune II Ph I 98%</t>
  </si>
  <si>
    <t>Adani Enterprises Q1 FY27 presentation, slide 15</t>
  </si>
  <si>
    <t>Total 96 MW; operational 19.2 MW; 9.6 MW handed over 28-May-2026</t>
  </si>
  <si>
    <t>P044</t>
  </si>
  <si>
    <t>Hinjewadi (2 x 16.4 acres) + Pimpri (25 acres)</t>
  </si>
  <si>
    <t>Microsoft</t>
  </si>
  <si>
    <t>Microsoft Pune land bank</t>
  </si>
  <si>
    <t>Press (land registrations)</t>
  </si>
  <si>
    <t>DCD: Microsoft acquires 16-acre plot in Pune</t>
  </si>
  <si>
    <t>https://www.datacenterdynamics.com/en/news/microsoft-acquires-16-acre-plot-in-pune-india-for-data-center-expansion/</t>
  </si>
  <si>
    <t>https://www.businessworld.in/article/microsoft-acquires-land-in-pune-for-rs-453-cr-to-expand-data-center-operations-533028</t>
  </si>
  <si>
    <t>2024-08/09</t>
  </si>
  <si>
    <t>Rs 520 cr + Rs 453 cr Hinjewadi parcels; 25-acre Pimpri plot 'could host 100 MW'</t>
  </si>
  <si>
    <t>100 MW relates to Pimpri plot only.</t>
  </si>
  <si>
    <t>P045</t>
  </si>
  <si>
    <t>Rajiv Gandhi Infotech Park, Hinjewadi</t>
  </si>
  <si>
    <t>TCC Concept / NES Data</t>
  </si>
  <si>
    <t>NES Data Hinjewadi campus</t>
  </si>
  <si>
    <t>MoU for land</t>
  </si>
  <si>
    <t>Listed company announcement (press)</t>
  </si>
  <si>
    <t>Construction World: TCC Concept plans 60 MW campus</t>
  </si>
  <si>
    <t>https://www.constructionworld.in/policy-updates-and-economic-news/tcc-concept-plans-60-mw-data-centre-campus-in-pune/95832</t>
  </si>
  <si>
    <t>2026-08</t>
  </si>
  <si>
    <t>Up to 60 MW IT; 4 MW existing Pune facility</t>
  </si>
  <si>
    <t>Subject to due diligence/approvals.</t>
  </si>
  <si>
    <t>P046</t>
  </si>
  <si>
    <t>Visakhapatnam / Anakapalli</t>
  </si>
  <si>
    <t>Adavivaram-Mudasarlova (120 ac), Tarluvada (200 ac), Rambilli (160 ac)</t>
  </si>
  <si>
    <t>Raiden Infotech India (Google)</t>
  </si>
  <si>
    <t>Adani Infra, AdaniConneX, Adani Power, Bharti Airtel, Nxtra</t>
  </si>
  <si>
    <t>Google AI hub Vizag</t>
  </si>
  <si>
    <t>Land allotted by GO; ground broken Apr-2026</t>
  </si>
  <si>
    <t>Ops 2028</t>
  </si>
  <si>
    <t>Government Order</t>
  </si>
  <si>
    <t>AP ITE&amp;C G.O.Ms.No.66 dt 02.12.2025 (ref. G.O.Ms.No.40 dt 11.10.2025)</t>
  </si>
  <si>
    <t>https://cdn.prod.website-files.com/5d70c9269b8d7bd25d8b1696/6a7eb3b63aaa0bf811886bd4_C5dmjgRvarnSVWAcsazFlsX-Tk7A3FFIaxfaW49XR8g.pdf</t>
  </si>
  <si>
    <t>https://www.googlecloudpresscorner.com/2026-04-28-Google-Breaks-Ground-on-India-AI-Hub,-Launching-a-National-Industrial-Ecosystem-Alongside-Indias-Digital-Infrastructure-Milestone</t>
  </si>
  <si>
    <t>480 acres for AI DCs 'total capacity of around 1000 MW', US$15bn; notified partners incl. AdaniConneX &amp; Nxtra</t>
  </si>
  <si>
    <t>AdaniConneX's 400 MW Vizag hyperscale order (Q1 FY27) is very likely part of this - excluded separately.</t>
  </si>
  <si>
    <t>P047</t>
  </si>
  <si>
    <t>Vizag</t>
  </si>
  <si>
    <t>Hyperscale customer (unnamed)</t>
  </si>
  <si>
    <t>AdaniConneX Vizag 400 MW order</t>
  </si>
  <si>
    <t>Execution started - 2 buildings (core &amp; shell)</t>
  </si>
  <si>
    <t>'During the quarter, 400 MW order signed with hyperscale customer for Vizag'</t>
  </si>
  <si>
    <t>Likely inside Google/Raiden 1 GW - excluded.</t>
  </si>
  <si>
    <t>P048</t>
  </si>
  <si>
    <t>Visakhapatnam / Vizianagaram</t>
  </si>
  <si>
    <t>Vizianagaram district (per GO amendment reporting)</t>
  </si>
  <si>
    <t>Reliance Industries</t>
  </si>
  <si>
    <t>Reliance giga-scale AI DC (AP)</t>
  </si>
  <si>
    <t>SIPB cleared; GO amended Jul-2026</t>
  </si>
  <si>
    <t>SIPB approval / GO (reported)</t>
  </si>
  <si>
    <t>Deccan Herald: Andhra SIPB clears RIL's Rs 1,08,010 cr Vizag DC</t>
  </si>
  <si>
    <t>https://www.deccanherald.com/india/andhra-pradesh/andhra-sipb-clears-rils-rs-108010-crore-vizag-data-centre-proposal-3993372</t>
  </si>
  <si>
    <t>https://www.medianama.com/2026/08/223-andhra-pradesh-ai-data-centres/</t>
  </si>
  <si>
    <t>2026-05</t>
  </si>
  <si>
    <t>Rs 1,08,010 cr; MW not stated</t>
  </si>
  <si>
    <t>1,500 MW is DERIVED (MediaNama total 3,498 MW minus 1,000+486+512) - verify against GO.</t>
  </si>
  <si>
    <t>P049</t>
  </si>
  <si>
    <t>Makavaripalem, Anakapalli</t>
  </si>
  <si>
    <t>ReNew (Renew AP Green Data Center)</t>
  </si>
  <si>
    <t>Renew AP Green Data Center</t>
  </si>
  <si>
    <t>GO issued (Aug-2026)</t>
  </si>
  <si>
    <t>Government Order (reported)</t>
  </si>
  <si>
    <t>MediaNama: AP clears four data centres worth Rs 2.83 lakh cr</t>
  </si>
  <si>
    <t>1,000 MW, Rs 85,200 cr; incentives up to Rs 14,400 cr</t>
  </si>
  <si>
    <t>P050</t>
  </si>
  <si>
    <t>Jagnadhapuram, Anandapuram (200 acres)</t>
  </si>
  <si>
    <t>Data Center Holdings India LLP (Colt DCS-RMZ)</t>
  </si>
  <si>
    <t>DCHI Vizag campus</t>
  </si>
  <si>
    <t>GO issued</t>
  </si>
  <si>
    <t>AP G.O.Ms.No.56 dt 21.08.2026 (reported)</t>
  </si>
  <si>
    <t>2026-08-21</t>
  </si>
  <si>
    <t>486 MW, Rs 58,743 cr, 200 acres</t>
  </si>
  <si>
    <t>GO link on stopdirtydatacenters.org returned 404 - pull from AP ITE&amp;C site.</t>
  </si>
  <si>
    <t>P051</t>
  </si>
  <si>
    <t>Amanam, Bheemunipatnam</t>
  </si>
  <si>
    <t>AM AI Factory (Vizag) Pvt Ltd</t>
  </si>
  <si>
    <t>AM AI Factory</t>
  </si>
  <si>
    <t>SIPB 20th meeting 12.08.2026; GO issued</t>
  </si>
  <si>
    <t>Business Standard: Andhra approves Rs 31,387 cr green AI DC</t>
  </si>
  <si>
    <t>https://www.business-standard.com/amp/technology/artificial-intelligence/andhra-approves-31-387-crore-green-ai-data-centre-project-in-visakhapatnam-126082200884_1.html</t>
  </si>
  <si>
    <t>2026-08-22</t>
  </si>
  <si>
    <t>512 MW, Rs 31,387 cr; Mega project under DC Policy 4.0</t>
  </si>
  <si>
    <t>P052</t>
  </si>
  <si>
    <t>Various</t>
  </si>
  <si>
    <t>TCS (HyperVault), CtrlS, GMR, others</t>
  </si>
  <si>
    <t>Other APTRANSCO-listed DC projects</t>
  </si>
  <si>
    <t>Part of 9.1 GW IT across 16 projects</t>
  </si>
  <si>
    <t>State energy dept statement (reported)</t>
  </si>
  <si>
    <t>Telangana Today (PTI): AP plans 15 GW transmission network for DCs</t>
  </si>
  <si>
    <t>https://telanganatoday.com/andhra-pradesh-plans-15-gw-transmission-network-for-data-centres</t>
  </si>
  <si>
    <t>2026-06-10</t>
  </si>
  <si>
    <t>16 projects, 9.1 GW IT load in Vizag region</t>
  </si>
  <si>
    <t>Placeholder for remaining AP projects - MW unknown.</t>
  </si>
  <si>
    <t>P053</t>
  </si>
  <si>
    <t>Hyderabad</t>
  </si>
  <si>
    <t>Ranga Reddy district (170 acres)</t>
  </si>
  <si>
    <t>Fortune (Fortune Hospitality)</t>
  </si>
  <si>
    <t>Fortune hyperscale AI DC park</t>
  </si>
  <si>
    <t>2,000 MVA sanctioned by TGTRANSCO (400 MVA Dec-2027; full by Dec-2034)</t>
  </si>
  <si>
    <t>Proposal; power sanctioned per developer</t>
  </si>
  <si>
    <t>2027-2034</t>
  </si>
  <si>
    <t>Company announcement</t>
  </si>
  <si>
    <t>Business Standard: Fortune to set up Rs 60,000 cr AI DC park</t>
  </si>
  <si>
    <t>https://www.business-standard.com/companies/news/fortune-to-set-up-60-000-cr-hyperscale-ai-data-centre-park-in-telangana-126091000632_1.html</t>
  </si>
  <si>
    <t>2026-09-10</t>
  </si>
  <si>
    <t>1,200-1,600 MW IT; next to POWERGRID 765/400 kV and TGTRANSCO 400/220 kV</t>
  </si>
  <si>
    <t>Grid sanction claimed by developer - seek TGTRANSCO letter.</t>
  </si>
  <si>
    <t>P054</t>
  </si>
  <si>
    <t>Bharat Future City (264 acres)</t>
  </si>
  <si>
    <t>TCS HyperVault</t>
  </si>
  <si>
    <t>OpenAI (first customer, 100 MW)</t>
  </si>
  <si>
    <t>TCS HyperVault Hyderabad</t>
  </si>
  <si>
    <t>Planned</t>
  </si>
  <si>
    <t>Company / press</t>
  </si>
  <si>
    <t>MediaNama: TCS plans Rs 70,000 cr AI DC in Telangana</t>
  </si>
  <si>
    <t>https://www.medianama.com/2026/09/223-tcs-hypervault-ai-data-centre-telangana/</t>
  </si>
  <si>
    <t>https://techcrunch.com/2026/02/18/openai-taps-tata-for-100mw-ai-data-center-capacity-in-india-eyes-1gw/</t>
  </si>
  <si>
    <t>2026-09</t>
  </si>
  <si>
    <t>Up to 1 GW; OpenAI 100 MW (scaling to 1 GW, Stargate)</t>
  </si>
  <si>
    <t>OpenAI capacity may be split across TCS sites.</t>
  </si>
  <si>
    <t>P055</t>
  </si>
  <si>
    <t>CtrlS Hyderabad 400 MW cluster</t>
  </si>
  <si>
    <t>State MoU (2025)</t>
  </si>
  <si>
    <t>w.media: Telangana 1,500-acre DC city</t>
  </si>
  <si>
    <t>https://w.media/telangana-reveals-plans-to-build-a-1500-acre-data-center-city/</t>
  </si>
  <si>
    <t>400 MW cluster MoU</t>
  </si>
  <si>
    <t>P056</t>
  </si>
  <si>
    <t>NTT Data / Neysa Networks</t>
  </si>
  <si>
    <t>NTT Data-Neysa 400 MW AI cluster</t>
  </si>
  <si>
    <t>P057</t>
  </si>
  <si>
    <t>AdaniConneX Hyderabad</t>
  </si>
  <si>
    <t>Ph I &amp; II (9.6 MW each) complete</t>
  </si>
  <si>
    <t>Total 406 MW; 19.2 MW operational</t>
  </si>
  <si>
    <t>P058</t>
  </si>
  <si>
    <t>AWS</t>
  </si>
  <si>
    <t>AWS Hyderabad region expansion</t>
  </si>
  <si>
    <t>14-yr investment</t>
  </si>
  <si>
    <t>DCD: AWS to invest $7bn in Hyderabad</t>
  </si>
  <si>
    <t>https://www.datacenterdynamics.com/en/news/aws-to-invest-7bn-in-data-centers-in-hyderabad-india/</t>
  </si>
  <si>
    <t>https://www.aboutamazon.in/news/aws/aws-data-centre-hyderabad</t>
  </si>
  <si>
    <t>US$7bn over 14 years under Telangana agreement</t>
  </si>
  <si>
    <t>P059</t>
  </si>
  <si>
    <t>Chennai</t>
  </si>
  <si>
    <t>Ambattur</t>
  </si>
  <si>
    <t>CapitaLand India Trust</t>
  </si>
  <si>
    <t>CapitaLand Data Centre Chennai 01</t>
  </si>
  <si>
    <t>53 MW gross; dedicated 110 kV substation</t>
  </si>
  <si>
    <t>End-2026</t>
  </si>
  <si>
    <t>CapitaLand release, Oct-2026</t>
  </si>
  <si>
    <t>https://www.capitaland.com/content/dam/capitaland-newsroom/International/2026/october/cli-affirms-long-term-commitment-to-tamil-nadu/CapitaLand%20Investment%20reaffirms%20long-term%20commitment%20to%20Tamil%20Nadu%20with%20unveiling%20of%20new%20Chennai%20data%20centre.pdf</t>
  </si>
  <si>
    <t>2026-10-16</t>
  </si>
  <si>
    <t>34 MW IT, 13 halls, 53 MW gross, 110 kV S/S</t>
  </si>
  <si>
    <t>P060</t>
  </si>
  <si>
    <t>AdaniConneX Chennai</t>
  </si>
  <si>
    <t>Phase I 17 MW complete</t>
  </si>
  <si>
    <t>Total 33 MW; 17 MW operational</t>
  </si>
  <si>
    <t>P061</t>
  </si>
  <si>
    <t>Siruseri</t>
  </si>
  <si>
    <t>Sify Chennai 02 campus</t>
  </si>
  <si>
    <t>Partly built; Tower B by 2028</t>
  </si>
  <si>
    <t>2028</t>
  </si>
  <si>
    <t>Sify Chennai 02 page</t>
  </si>
  <si>
    <t>https://www.sifytechnologies.com/data-center/chennai02-data-center/</t>
  </si>
  <si>
    <t>25.92 MW built (Jun-2025); 130+ MW at full build</t>
  </si>
  <si>
    <t>P062</t>
  </si>
  <si>
    <t>STT Chennai 7</t>
  </si>
  <si>
    <t>Phase 1 live Feb-2026</t>
  </si>
  <si>
    <t>Press / aggregator</t>
  </si>
  <si>
    <t>ArusGrid / press</t>
  </si>
  <si>
    <t>https://arusgrid.com/project/in-maa-sify-siruseri</t>
  </si>
  <si>
    <t>2026-02</t>
  </si>
  <si>
    <t>7.2 MW initial of 45 MW campus</t>
  </si>
  <si>
    <t>Link is a tracker page; replace with STT release.</t>
  </si>
  <si>
    <t>P063</t>
  </si>
  <si>
    <t>Digital Connexion (Reliance-Brookfield-Digital Realty)</t>
  </si>
  <si>
    <t>Digital Connexion MAA10</t>
  </si>
  <si>
    <t>Operational/expanding</t>
  </si>
  <si>
    <t>ThePrint: Inside Chennai's data centres</t>
  </si>
  <si>
    <t>https://theprint.in/ground-reports/inside-chennais-data-centres-fortresses-of-the-ai-era/2856488/</t>
  </si>
  <si>
    <t>100 MW hyperscale facility</t>
  </si>
  <si>
    <t>P064</t>
  </si>
  <si>
    <t>Noida / Greater Noida</t>
  </si>
  <si>
    <t>Noida</t>
  </si>
  <si>
    <t>AdaniConneX Noida</t>
  </si>
  <si>
    <t>40 MW: C&amp;S done, MEP in progress</t>
  </si>
  <si>
    <t>Total 50 MW; 10 MW operational</t>
  </si>
  <si>
    <t>P065</t>
  </si>
  <si>
    <t>Greater Noida</t>
  </si>
  <si>
    <t>Hiranandani (NIDP / Yotta)</t>
  </si>
  <si>
    <t>Yotta D1/D2 - NIDP park</t>
  </si>
  <si>
    <t>Partly operational</t>
  </si>
  <si>
    <t>State policy dashboard (reported)</t>
  </si>
  <si>
    <t>Invest UP / UPLC data centre policy page</t>
  </si>
  <si>
    <t>https://uplc.up.gov.in/en/page/uttar-pradesh-data-center-policy</t>
  </si>
  <si>
    <t>https://invest.up.gov.in/uttar-pradesh-data-centre-policy-2026/</t>
  </si>
  <si>
    <t>2025-06</t>
  </si>
  <si>
    <t>Dashboard lists Hiranandani NIDP 250 MW</t>
  </si>
  <si>
    <t>P066</t>
  </si>
  <si>
    <t>UP</t>
  </si>
  <si>
    <t>SKVR</t>
  </si>
  <si>
    <t>SKVR data centre park</t>
  </si>
  <si>
    <t>MoU under UP DC policy 2021</t>
  </si>
  <si>
    <t>120 MW</t>
  </si>
  <si>
    <t>P067</t>
  </si>
  <si>
    <t>NTT Noida 2</t>
  </si>
  <si>
    <t>Building out</t>
  </si>
  <si>
    <t>NTT Noida 2 page</t>
  </si>
  <si>
    <t>https://services.global.ntt/en-us/services-and-products/global-data-centers/global-locations/india/noida-2-data-center</t>
  </si>
  <si>
    <t>52.8 MW critical IT at full build</t>
  </si>
  <si>
    <t>P068</t>
  </si>
  <si>
    <t>Jamnagar</t>
  </si>
  <si>
    <t>Meta (tenant)</t>
  </si>
  <si>
    <t>Reliance-Meta AI DC Jamnagar</t>
  </si>
  <si>
    <t>Renewable power; seawater desal cooling</t>
  </si>
  <si>
    <t>~2028</t>
  </si>
  <si>
    <t>pv magazine India: Reliance, Meta to develop 168 MW AI DC</t>
  </si>
  <si>
    <t>https://www.pv-magazine-india.com/2026/06/10/reliance-meta-to-develop-168-mw-ai-data-centre-powered-by-renewable-energy-in-jamnagar/</t>
  </si>
  <si>
    <t>168 MW, option to scale; Jamnagar campus reported at 1-3 GW</t>
  </si>
  <si>
    <t>Reliance has ISTS GNA applications at Jam Khambhaliya for 300/600/350 MW as 'bulk consumer' - purpose not stated (see Grid sheet).</t>
  </si>
  <si>
    <t>P069</t>
  </si>
  <si>
    <t>Cuttack / Naraj</t>
  </si>
  <si>
    <t>Naraj (~250 acres)</t>
  </si>
  <si>
    <t>High Density Data Centre Ltd (Adani Group)</t>
  </si>
  <si>
    <t>Adani Odisha AI DC park</t>
  </si>
  <si>
    <t>State approval (HLCA)</t>
  </si>
  <si>
    <t>State investment approval (reported)</t>
  </si>
  <si>
    <t>BW Businessworld: Adani arm gets Odisha nod for Rs 1.04 lakh cr DC park</t>
  </si>
  <si>
    <t>https://www.businessworld.in/article/adani-arm-gets-odisha-nod-for-rs-1-04-lakh-cr-data-centre-park-625673</t>
  </si>
  <si>
    <t>https://indianinfrastructure.com/2026/08/04/adani-group-proposes-rs-1-trillion-ai-data-centre-in-odisha/</t>
  </si>
  <si>
    <t>1 GW, Rs 1.04 lakh cr</t>
  </si>
  <si>
    <t>P070</t>
  </si>
  <si>
    <t>Bhubaneswar</t>
  </si>
  <si>
    <t>Odisha AI Park</t>
  </si>
  <si>
    <t>HCLTech + Sarvam AI</t>
  </si>
  <si>
    <t>Sovereign AI DC Bhubaneswar</t>
  </si>
  <si>
    <t>State approval</t>
  </si>
  <si>
    <t>TechPillow summary</t>
  </si>
  <si>
    <t>https://www.techpillow.co/blog/hcltech-sarvam-odisha-sovereign-ai-data-centre-2026</t>
  </si>
  <si>
    <t>Rs 14,257 cr; MW not disclosed</t>
  </si>
  <si>
    <t>P071</t>
  </si>
  <si>
    <t>Kolkata</t>
  </si>
  <si>
    <t>Uttarpara</t>
  </si>
  <si>
    <t>Yotta / Hiranandani</t>
  </si>
  <si>
    <t>Yotta Kolkata DC park</t>
  </si>
  <si>
    <t>Planned (2021 MoU)</t>
  </si>
  <si>
    <t>DCD: Hiranandani to build six hyperscale DCs in Bengal</t>
  </si>
  <si>
    <t>https://www.datacenterdynamics.com/en/news/hiranandani-group-build-six-hyperscale-data-centers-bengal/</t>
  </si>
  <si>
    <t>2021</t>
  </si>
  <si>
    <t>6 buildings, 250 MW</t>
  </si>
  <si>
    <t>Old announcement; status uncertain.</t>
  </si>
  <si>
    <t>P072</t>
  </si>
  <si>
    <t>New Town</t>
  </si>
  <si>
    <t>NTT Kolkata 1 campus</t>
  </si>
  <si>
    <t>Operational phase 1</t>
  </si>
  <si>
    <t>NTT Kolkata 1 page</t>
  </si>
  <si>
    <t>https://services.global.ntt/en-us/services-and-products/global-data-centers/global-locations/india/kolkata-1-data-center</t>
  </si>
  <si>
    <t>40 MW at full build</t>
  </si>
  <si>
    <t>P073</t>
  </si>
  <si>
    <t>NCR - Haryana</t>
  </si>
  <si>
    <t>Manesar, Panchkula, Rai (Sonipat)</t>
  </si>
  <si>
    <t>Anant Raj (to be demerged as Ashok Cloud)</t>
  </si>
  <si>
    <t>RailTel (Rai park operator, per directory)</t>
  </si>
  <si>
    <t>Anant Raj DC portfolio</t>
  </si>
  <si>
    <t>28 MW operating; 63 MW target Dec-2026</t>
  </si>
  <si>
    <t>307 MW by FY32</t>
  </si>
  <si>
    <t>Listed company disclosures (via press)</t>
  </si>
  <si>
    <t>Value Research: Anant Raj execution review</t>
  </si>
  <si>
    <t>https://www.valueresearchonline.com/stories/228694/anant-raj-data-centre-execution-delay-investment-risk/</t>
  </si>
  <si>
    <t>https://www.ziromarket.com/blog/anant-raj-data-centre-haryana-mou-2026</t>
  </si>
  <si>
    <t>28 MW operating; 307 MW target (Rai ~200 MW); Haryana MoU Jun-2026 Rs 25,000 cr (additional)</t>
  </si>
  <si>
    <t>Pull Anant Raj Q2 FY27 investor presentation to confirm.</t>
  </si>
  <si>
    <t>P074</t>
  </si>
  <si>
    <t>Bengaluru</t>
  </si>
  <si>
    <t>Hoskote</t>
  </si>
  <si>
    <t>Govt of Karnataka (park)</t>
  </si>
  <si>
    <t>Hoskote sustainable DC park</t>
  </si>
  <si>
    <t>State decision (May-2026)</t>
  </si>
  <si>
    <t>State decision (reported)</t>
  </si>
  <si>
    <t>w.media: Karnataka plans three DC parks, 1 GW</t>
  </si>
  <si>
    <t>https://w.media/karnataka-plans-three-sustainable-data-center-parks-with-combined-capacity-of-1-gw/</t>
  </si>
  <si>
    <t>500 MW park near Hoskote; 1 GW across Bengaluru, Mysuru, Mangaluru</t>
  </si>
  <si>
    <t>P075</t>
  </si>
  <si>
    <t>Paradesipalem &amp; Madhurawada, Visakhapatnam</t>
  </si>
  <si>
    <t>Meta (reported)</t>
  </si>
  <si>
    <t>Sify Vizag hyperscale campus</t>
  </si>
  <si>
    <t>Land allotted (53.6 + 25 acres); incentive package approved</t>
  </si>
  <si>
    <t>Phased</t>
  </si>
  <si>
    <t>AP G.O.Ms.No.29 (2025, ITC) &amp; G.O.Ms.No.37 (2026, ITC) - reported</t>
  </si>
  <si>
    <t>Deccan Chronicle: AP approves Sify's Rs 15,266 cr DC expansion</t>
  </si>
  <si>
    <t>https://www.deccanchronicle.com/southern-states/andhra-pradesh/ap-approves-sifys-rs-15266-crore-data-centre-expansion-clears-3-other-tech-projects-1967167</t>
  </si>
  <si>
    <t>https://w.media/andhra-pradesh-allocates-extra-25-acres-for-sifys-500-mw-dc/</t>
  </si>
  <si>
    <t>GO: 53.6 acres for '550 MW Data Centers in a phased manner'; additional 25 acres; Rs 15,266 cr</t>
  </si>
  <si>
    <t>Activist registry also lists a 50 MW Sify site at Madhurawada (3.6 acres).</t>
  </si>
  <si>
    <t>P076</t>
  </si>
  <si>
    <t>APIIC Industrial Park, Rambilli (49.93 acres)</t>
  </si>
  <si>
    <t>CtrlS Rambilli</t>
  </si>
  <si>
    <t>Land allotted; incentive package approved</t>
  </si>
  <si>
    <t>AP G.O.Ms.No.33 (2026, ITC) - reported</t>
  </si>
  <si>
    <t>Deccan Chronicle (same report)</t>
  </si>
  <si>
    <t>49.93 acres for 100 MW; Rs 2,788.3 cr</t>
  </si>
  <si>
    <t>P077</t>
  </si>
  <si>
    <t>Rambilli (~200 acres)</t>
  </si>
  <si>
    <t>TCS (HyperVault)</t>
  </si>
  <si>
    <t>OpenAI (expected anchor)</t>
  </si>
  <si>
    <t>TCS / OpenAI Rambilli</t>
  </si>
  <si>
    <t>Land allotted (reported)</t>
  </si>
  <si>
    <t>Press + activist registry</t>
  </si>
  <si>
    <t>Analytics India Mag: TCS acquires land in Vizag, Pune for OpenAI DCs</t>
  </si>
  <si>
    <t>https://analyticsindiamag.com/ai-news/tcs-acquires-land-in-vizag-pune-for-openai-data-centres</t>
  </si>
  <si>
    <t>https://stopdirtydatacenters.org/</t>
  </si>
  <si>
    <t>~200 acres allotted near Google Rambilli; registry lists 1 GW</t>
  </si>
  <si>
    <t>1 GW from activist registry only; TCS has not confirmed - excluded from totals.</t>
  </si>
  <si>
    <t>P078</t>
  </si>
  <si>
    <t>Madhurawada (130 acres)</t>
  </si>
  <si>
    <t>Adani Group (AdaniConneX)</t>
  </si>
  <si>
    <t>Adani Madhurawada DC park</t>
  </si>
  <si>
    <t>Land allotted (2021 incentive GOs)</t>
  </si>
  <si>
    <t>Activist registry citing AP GOs (G.O.Ms.No.3/2021 ITC)</t>
  </si>
  <si>
    <t>stopdirtydatacenters.org registry</t>
  </si>
  <si>
    <t>2021-26</t>
  </si>
  <si>
    <t>200 MW, 130 acres</t>
  </si>
  <si>
    <t>Older Adani Vizag commitment; may be subsumed in the Vizag 400 MW AdaniConneX order - excluded.</t>
  </si>
  <si>
    <t>P079</t>
  </si>
  <si>
    <t>Vijayawada</t>
  </si>
  <si>
    <t>Vijayawada ISTS S/S</t>
  </si>
  <si>
    <t>Qubitiq Ventures Pvt Ltd; Distinguished Consultancy Solutions Pvt Ltd</t>
  </si>
  <si>
    <t>Vijayawada data-centre grid applications</t>
  </si>
  <si>
    <t>CTUIL GNA bulk-consumer applications: 150 MW + 100 MW (Aug-Oct 2026)</t>
  </si>
  <si>
    <t>GNA under process</t>
  </si>
  <si>
    <t>CTUIL GNA register</t>
  </si>
  <si>
    <t>CTUIL - Status of applications under GNA Regulation (stage-II)</t>
  </si>
  <si>
    <t>https://ctuil.in/nswsapi/gna</t>
  </si>
  <si>
    <t>Qubitiq 150 MW (App 2200004324); Distinguished Consultancy 100 MW (App 2200004188)</t>
  </si>
  <si>
    <t>Sponsors unidentified; DC use inferred from bulk-consumer filing pattern - see CTU_Bulk_Register.</t>
  </si>
  <si>
    <t>P080</t>
  </si>
  <si>
    <t>Bharat Future City (202 acres) &amp; Chandanvelly (98 acres)</t>
  </si>
  <si>
    <t>Amazon Data Services (AWS)</t>
  </si>
  <si>
    <t>AWS Telangana mega-campus</t>
  </si>
  <si>
    <t>Foundation stone 15-Jul-2026; framework agreement Dec-2025</t>
  </si>
  <si>
    <t>Phase 1 in 24 months</t>
  </si>
  <si>
    <t>Company / state announcement</t>
  </si>
  <si>
    <t>ThePrint: Telangana secures Amazon's biggest India DC project</t>
  </si>
  <si>
    <t>https://theprint.in/india/governance/telangana-secures-amazons-biggest-india-data-centre-project-months-after-google-announced-ai-hub-in-ap/2987492/</t>
  </si>
  <si>
    <t>2026-07-15</t>
  </si>
  <si>
    <t>Rs 60,000 cr; 300 acres; Rs 125 cr incentives</t>
  </si>
  <si>
    <t>MW not disclosed. CTUIL shows 'Chandenvalle Infra Park Ltd' and 'Madhuvanti Build Estate Ltd' each seeking 528 MW at Doma 400 kV (near Chandanvelly) - sponsor not confirmed.</t>
  </si>
  <si>
    <t>P081</t>
  </si>
  <si>
    <t>Meerkhanpet</t>
  </si>
  <si>
    <t>STT Hyderabad (Meerkhanpet)</t>
  </si>
  <si>
    <t>State MoU Jan-2026</t>
  </si>
  <si>
    <t>Tribune: Telangana signs Rs 3,500 cr MoU with ST Telemedia</t>
  </si>
  <si>
    <t>https://www.tribuneindia.com/news/world/telangana-govt-signs-rs-3500-crore-mou-with-st-telemedia-for-ai-ready-data-centre-in-hyderabad/</t>
  </si>
  <si>
    <t>2026-01</t>
  </si>
  <si>
    <t>Up to 100 MW</t>
  </si>
  <si>
    <t>P082</t>
  </si>
  <si>
    <t>Peddavedu</t>
  </si>
  <si>
    <t>Amazon Data Services / CtrlS (one of the two - not specified)</t>
  </si>
  <si>
    <t>Peddavedu hyperscale DC (EC appraisal)</t>
  </si>
  <si>
    <t>278 MW power demand; 110 x 3,500 kVA DG sets (per EC documents as reported)</t>
  </si>
  <si>
    <t>EC granted / under challenge</t>
  </si>
  <si>
    <t>SEIAA Telangana EC (reported by Scientists for People)</t>
  </si>
  <si>
    <t>Counterview: Scientists flag omissions in Telangana DC ECs</t>
  </si>
  <si>
    <t>https://www.counterview.net/2026/05/scientists-flag-serious-omissions-in.html</t>
  </si>
  <si>
    <t>2026-05-08</t>
  </si>
  <si>
    <t>278 MW; 110 DG sets; 302 KLD water</t>
  </si>
  <si>
    <t>Other EC'd sites named: Raviryal, Chandanvelly, Meerkhanpet, Manchanpally (no MW reported).</t>
  </si>
  <si>
    <t>P083</t>
  </si>
  <si>
    <t>Maheshwaram / Bidar-Maheshwaram 765 kV LILO</t>
  </si>
  <si>
    <t>Giridhari Build Estate Ltd; Granthik Realtors Pvt Ltd</t>
  </si>
  <si>
    <t>Maheshwaram DC-pattern grid applications</t>
  </si>
  <si>
    <t>CTUIL GNA: Giridhari 1,172 MW (8 apps); Granthik 174 MW (3 apps)</t>
  </si>
  <si>
    <t>2026-08-03</t>
  </si>
  <si>
    <t>1,346 MW of bulk-consumer GNA at Maheshwaram by two real-estate SPVs</t>
  </si>
  <si>
    <t>Sponsors unidentified - strong candidate 'unannounced' capacity.</t>
  </si>
  <si>
    <t>P084</t>
  </si>
  <si>
    <t>Bharat Future City</t>
  </si>
  <si>
    <t>UPC-Volt</t>
  </si>
  <si>
    <t>UPC-Volt AI DC</t>
  </si>
  <si>
    <t>w.media / state releases</t>
  </si>
  <si>
    <t>100 MW</t>
  </si>
  <si>
    <t>P085</t>
  </si>
  <si>
    <t>SIPCOT IT Park, Siruseri</t>
  </si>
  <si>
    <t>Techno Digital (Techno Electric)</t>
  </si>
  <si>
    <t>Techno Digital TD-1 Siruseri</t>
  </si>
  <si>
    <t>DCD: Techno Digital opens 36 MW DC</t>
  </si>
  <si>
    <t>https://www.datacenterdynamics.com/en/news/indias-techno-digital-opens-36mw-data-center/</t>
  </si>
  <si>
    <t>36 MW</t>
  </si>
  <si>
    <t>P086</t>
  </si>
  <si>
    <t>Thoothukudi</t>
  </si>
  <si>
    <t>Tuticorin-II ISTS S/S</t>
  </si>
  <si>
    <t>Sitac DC Infra Pvt Ltd</t>
  </si>
  <si>
    <t>Sitac Tuticorin DC (grid application)</t>
  </si>
  <si>
    <t>CTUIL GNA 70 MW (App 2200004114, 12-Aug-2026)</t>
  </si>
  <si>
    <t>2026-08-12</t>
  </si>
  <si>
    <t>70 MW bulk-consumer GNA</t>
  </si>
  <si>
    <t>Cable-landing / coastal DC pattern.</t>
  </si>
  <si>
    <t>P087</t>
  </si>
  <si>
    <t>Karnataka (non-Bengaluru)</t>
  </si>
  <si>
    <t>Tumakuru &amp; Bidar ISTS S/S</t>
  </si>
  <si>
    <t>Sitac DC Pvt Ltd / Sitac DC Infra Pvt Ltd</t>
  </si>
  <si>
    <t>Sitac Tumakuru &amp; Bidar DCs (grid applications)</t>
  </si>
  <si>
    <t>CTUIL GNA: Tumkur 50 MW (2200004189); Bidar 70 MW (2200004115)</t>
  </si>
  <si>
    <t>2026-08-26</t>
  </si>
  <si>
    <t>120 MW across two sites</t>
  </si>
  <si>
    <t>Only Karnataka DC grid filings found - Karnataka pipeline is thin relative to AP/TG/MH.</t>
  </si>
  <si>
    <t>P088</t>
  </si>
  <si>
    <t>Puri</t>
  </si>
  <si>
    <t>Sentraforge AI</t>
  </si>
  <si>
    <t>Sentraforge sovereign AI campus</t>
  </si>
  <si>
    <t>State approval (reported)</t>
  </si>
  <si>
    <t>Business Standard / state approvals coverage</t>
  </si>
  <si>
    <t>https://www.business-standard.com/amp/companies/news/hcltech-ai-data-centre-odisha-sarvam-rs-14257-crore-investment-126072400775_1.html</t>
  </si>
  <si>
    <t>120 MW; Rs 22,634 cr</t>
  </si>
  <si>
    <t>P089</t>
  </si>
  <si>
    <t>Cuttack district</t>
  </si>
  <si>
    <t>RKD Construction</t>
  </si>
  <si>
    <t>RKD Cuttack data centre</t>
  </si>
  <si>
    <t>DMC Education summary of Odisha approvals</t>
  </si>
  <si>
    <t>https://dmc-education.com/2026/10/04/odisha-adani-group-gets-approval-for-%E2%82%B91-04-lakh-crore-1-gw-data-centre-park-at-naraj/</t>
  </si>
  <si>
    <t>Rs 1,500 cr</t>
  </si>
  <si>
    <t>P090</t>
  </si>
  <si>
    <t>Adani Enterprises (Projects 1 &amp; 2)</t>
  </si>
  <si>
    <t>Adani UP data centres (policy dashboard)</t>
  </si>
  <si>
    <t>P1 commercialised (35 MW); P2 proposed</t>
  </si>
  <si>
    <t>State policy dashboard</t>
  </si>
  <si>
    <t>UPLC - UP Data Center Policy page (as on Jun-2025)</t>
  </si>
  <si>
    <t>Adani P1 Rs 2,416 cr / 50 MW; P2 Rs 2,713 cr / 50 MW; 35 MW commercialised</t>
  </si>
  <si>
    <t>Likely the same as AdaniConneX Noida (50 MW) row - excluded.</t>
  </si>
  <si>
    <t>P091</t>
  </si>
  <si>
    <t>New S/S near RIL Jamnagar</t>
  </si>
  <si>
    <t>Reliance Jamnagar - ISTS bulk-consumer filings (purpose not stated)</t>
  </si>
  <si>
    <t>CTUIL GNA: 10 x 1,200 MW at 'New S/s near RIL Jamnagar' (26-Aug-2026) + 2,650 MW at Jam Khambhaliya</t>
  </si>
  <si>
    <t>14,650 MW total RIL bulk-consumer GNA; purpose not disclosed (Jamnagar hosts AI DC + giga-factories)</t>
  </si>
  <si>
    <t>Do NOT treat as DC load without confirmation.</t>
  </si>
  <si>
    <t>P092</t>
  </si>
  <si>
    <t>Gujarat - Vataman</t>
  </si>
  <si>
    <t>LILO of 765 kV Halvad-Vataman</t>
  </si>
  <si>
    <t>Blueparrot Pedestal Ltd</t>
  </si>
  <si>
    <t>Blueparrot Pedestal 80 MW-block grid applications</t>
  </si>
  <si>
    <t>CTUIL GNA: 26 applications x 80 MW = 2,080 MW (Sep-2026)</t>
  </si>
  <si>
    <t>2026-09-04</t>
  </si>
  <si>
    <t>Identical 80 MW blocks - same pattern as DC building filings (e.g. Vizag SPVs filed 54 MW blocks)</t>
  </si>
  <si>
    <t>Sponsor unidentified; could be DC or other bulk load. Adani Infra also filed 50 MW at Vataman.</t>
  </si>
  <si>
    <t>Utility / body</t>
  </si>
  <si>
    <t>Asset / item</t>
  </si>
  <si>
    <t>Voltage / capacity</t>
  </si>
  <si>
    <t>Data-centre link</t>
  </si>
  <si>
    <t>Status / date in plan</t>
  </si>
  <si>
    <t>Source</t>
  </si>
  <si>
    <t>Link</t>
  </si>
  <si>
    <t>Read in source? (Y/N)</t>
  </si>
  <si>
    <t>Notes</t>
  </si>
  <si>
    <t>G001</t>
  </si>
  <si>
    <t>MSETCL (State Transmission Utility)</t>
  </si>
  <si>
    <t>New 765/400/220 kV Mahape substation (Navi Mumbai)</t>
  </si>
  <si>
    <t>4 x 1500 MVA 765/400 kV ICT (6,000 MVA) + 4 x 500 MVA 400/220 kV ICT (2,000 MVA); 765 kV D/C Mahape-Padghe (PG) 120 km; 240 MVAr reactor</t>
  </si>
  <si>
    <t>Scheme 'Type' = 'Data Center'; '400 kV connectivity to Datacenter Consumers' and '220 kV connectivity to Datacenter Consumers'</t>
  </si>
  <si>
    <t>Padghe line 2026-27; Apta line 2028-29</t>
  </si>
  <si>
    <t>MSETCL STU Five-Year Plan 2024-25 to 2033-34, Annexure-E 'New Corridor Schemes', row 4 (PDF p.36)</t>
  </si>
  <si>
    <t>https://www.mahatransco.in/uploads/docs/STU%20Plan%202024-25%20to%202033-24.pdf</t>
  </si>
  <si>
    <t>2024-25</t>
  </si>
  <si>
    <t>Strongest single piece of evidence: the STU is planning a dedicated 765 kV node with up to ~6 GVA purely for data-centre consumers at Mahape.</t>
  </si>
  <si>
    <t>G002</t>
  </si>
  <si>
    <t>MSETCL</t>
  </si>
  <si>
    <t>400 kV Hinjewadi bays - data-centre connectivity (Pune)</t>
  </si>
  <si>
    <t>2 x 400 kV bays at Hinjewadi</t>
  </si>
  <si>
    <t>'400 kV connectivity to Datacenter Consumers'</t>
  </si>
  <si>
    <t>Plan period</t>
  </si>
  <si>
    <t>MSETCL STU Plan 2024-34, Annexure-E (PDF p.38)</t>
  </si>
  <si>
    <t>Pune data-centre load explicitly planned.</t>
  </si>
  <si>
    <t>G003</t>
  </si>
  <si>
    <t>Vashi-zone new EHV substations (Taloja/Panvel/Uran belt)</t>
  </si>
  <si>
    <t>400/220 kV Kalwa-II GIS (2x500 MVA); 220 kV Panchanand/Taloja (BR sanctioned); 220 kV Rohinjan (Taloja) NEW; 220 kV Palaspe; 220 kV Uran (Dronagiri) NEW; Panvel-II GIS (WIP)</t>
  </si>
  <si>
    <t>Not labelled as DC, but sit in the Taloja/Panvel data-centre corridor</t>
  </si>
  <si>
    <t>2024-34</t>
  </si>
  <si>
    <t>MSETCL STU Plan 2024-34, Vashi zone table (PDF p.25)</t>
  </si>
  <si>
    <t>Cross-check which DC campuses these serve via MSETCL/MSEDCL HT connection lists.</t>
  </si>
  <si>
    <t>G004</t>
  </si>
  <si>
    <t>MERC / MSETCL (STU) / Lodha</t>
  </si>
  <si>
    <t>400/220 kV GIS Ambernath (Palava) substation - Dedicated Distribution Facility</t>
  </si>
  <si>
    <t>4 x 500 MVA 400/220 kV ICT + line bays, bus reactor, LILO; Lodha-funded capex &amp; lifetime O&amp;M</t>
  </si>
  <si>
    <t>STU has granted connectivity to AWS and STT; another DC application under process; ~1,450 MW granted + ~1,500 MW under consideration = 2,950 MW expected on grid by 2028; feeds from ISTS 400 kV Padghe(PG)-Navi Mumbai(PG) and Padghe-Kharghar</t>
  </si>
  <si>
    <t>Order 01-06-2026; TBCB annulled Apr-2026; Empowered Committee 12-05-2026</t>
  </si>
  <si>
    <t>MERC order, Case No. 88 of 2026 &amp; IA No. 78 of 2026</t>
  </si>
  <si>
    <t>Read in full. Order says global DC clients could move elsewhere if power is late - regulator treats DC load as committed.</t>
  </si>
  <si>
    <t>G005</t>
  </si>
  <si>
    <t>Bajel Projects (EPC) - client undisclosed</t>
  </si>
  <si>
    <t>400/220/33 kV GIS substation for a Mumbai data-centre project</t>
  </si>
  <si>
    <t>Rs 300-400 cr EPC; 24 months</t>
  </si>
  <si>
    <t>Dedicated EHV substation for an unnamed domestic DC developer</t>
  </si>
  <si>
    <t>Order Jun-2026</t>
  </si>
  <si>
    <t>SEBI Reg. 30 disclosure (via Business Standard)</t>
  </si>
  <si>
    <t>https://www.business-standard.com/markets/capital-market-news/bajel-projects-gains-on-bagging-mega-order-for-gis-substation-in-mumbai-126060300276_1.html</t>
  </si>
  <si>
    <t>2026-06-03</t>
  </si>
  <si>
    <t>400 kV + timing suggests the Lodha Ambernath DDF; unconfirmed.</t>
  </si>
  <si>
    <t>G006</t>
  </si>
  <si>
    <t>Tata Power (Mumbai licensee)</t>
  </si>
  <si>
    <t>Data-centre opportunity pipeline</t>
  </si>
  <si>
    <t>~2.8 GW: ~430 MW distribution load; 1,236 MW transmission-linked; 1,150 MW green energy</t>
  </si>
  <si>
    <t>18 operators, 29 active workstreams; Rs 15,000 cr Mumbai grid plan; 400 kV ring</t>
  </si>
  <si>
    <t>Oct-2026</t>
  </si>
  <si>
    <t>Tata Power release (via TaxGuru / Trade Brains)</t>
  </si>
  <si>
    <t>https://taxguru.in/finance/business/tata-power-expands-data-centre-opportunities-with-2-8-gw-pipeline.html</t>
  </si>
  <si>
    <t>2026-10-14</t>
  </si>
  <si>
    <t>Pipeline, not contracts. Get the exchange filing/investor deck.</t>
  </si>
  <si>
    <t>G007</t>
  </si>
  <si>
    <t>AEML (Adani Electricity Mumbai)</t>
  </si>
  <si>
    <t>Distribution demand projection incl. data centres</t>
  </si>
  <si>
    <t>50 MW (FY23) -&gt; 638 MW by 2027; 354 MW of the increase from proposed DCs</t>
  </si>
  <si>
    <t>Proposed DCs in AEML licence area</t>
  </si>
  <si>
    <t>MERC filing (reported)</t>
  </si>
  <si>
    <t>TechPolicy.Press citing AEML filing</t>
  </si>
  <si>
    <t>https://www.techpolicy.press/mumbais-data-center-dreams-run-on-coal-and-inequality/</t>
  </si>
  <si>
    <t>Identify the exact MERC case.</t>
  </si>
  <si>
    <t>G008</t>
  </si>
  <si>
    <t>AEML (transmission)</t>
  </si>
  <si>
    <t>Transmission licence amendment petition</t>
  </si>
  <si>
    <t>Mumbai peak 4,306 MW (FY25) -&gt; ~6,000 MW (FY30); DCs/EVs/infra ~800 MW</t>
  </si>
  <si>
    <t>DC load cited as a driver</t>
  </si>
  <si>
    <t>MERC petition</t>
  </si>
  <si>
    <t>EQ Mag summary of AEML petition</t>
  </si>
  <si>
    <t>https://www.eqmagpro.com/petition-for-application-of-adani-electricity-mumbai-infra-limited-for-the-first-amendment-of-transmission-licence-eq/</t>
  </si>
  <si>
    <t>G009</t>
  </si>
  <si>
    <t>MSEDCL</t>
  </si>
  <si>
    <t>Grid capacity allocated to DCs in Navi Mumbai cluster</t>
  </si>
  <si>
    <t>~6 GW</t>
  </si>
  <si>
    <t>Committed + under-construction capacity said to be approaching this ceiling; new builds moving to Panvel/Taloja/Rasayani</t>
  </si>
  <si>
    <t>Structure Research Mumbai+Pune report 2026 (abstract)</t>
  </si>
  <si>
    <t>https://www.structureresearch.net/product/mumbai-pune-dcai-report-2026-data-centre-colocation-hyperscale-cloud-ai-interconnection/</t>
  </si>
  <si>
    <t>High-value claim; try to corroborate via MSEDCL / RTI.</t>
  </si>
  <si>
    <t>G010</t>
  </si>
  <si>
    <t>CTUIL / POWERGRID</t>
  </si>
  <si>
    <t>400/220 kV Navi Mumbai (PG) substation - drawal margin</t>
  </si>
  <si>
    <t>2 x 315 MVA</t>
  </si>
  <si>
    <t>'No margins for drawal of power exist at existing 400/220kV Navi Mumbai S/s' (bulk-consumer GNA diverted to Murbad/Pune)</t>
  </si>
  <si>
    <t>26th CMETS-WR, 28.02.2024</t>
  </si>
  <si>
    <t>CTUIL minutes, 26th CMETS-WR</t>
  </si>
  <si>
    <t>https://www.ctuil.in/uploads/ists_consultation_meeting/minutes/171076102952Minutes%20of%2026th%20CMETS-WR_final.pdf</t>
  </si>
  <si>
    <t>2024-02-28</t>
  </si>
  <si>
    <t>Grid constraint in Navi Mumbai.</t>
  </si>
  <si>
    <t>G011</t>
  </si>
  <si>
    <t>Additional ISTS feed to Navi Mumbai 400/220 kV S/S</t>
  </si>
  <si>
    <t>Padghe-Kharghar / Vikhroli 400 kV LILO at Navi Mumbai GIS; LILO of Apta-Taloja/Kalwa 220 kV</t>
  </si>
  <si>
    <t>Mumbai corridor demand expected to rise to 4,000-4,200 MW; jack-bus/line-trap upgrades and SPS at Navi Mumbai (PG)</t>
  </si>
  <si>
    <t>Common system Mar-26 (29th); upgrade discussed 02.02.2026 (41st)</t>
  </si>
  <si>
    <t>CTUIL minutes, 29th &amp; 41st CMETS-WR</t>
  </si>
  <si>
    <t>https://www.ctuil.in/uploads/ists_consultation_meeting/minutes/17718323234441st%20WR%20CMETS%20MOM.pdf</t>
  </si>
  <si>
    <t>2026-02-02</t>
  </si>
  <si>
    <t>G012</t>
  </si>
  <si>
    <t>CTUIL</t>
  </si>
  <si>
    <t>Reliance Industries - ISTS GNA as 'bulk consumer' at Jam Khambhaliya</t>
  </si>
  <si>
    <t>300 MW (from 01-12-2027), 600 MW (from 01-12-2028), 350 MW (from 01-06-2029)</t>
  </si>
  <si>
    <t>Purpose not stated; timing/location coincides with the Jamnagar AI DC build-out</t>
  </si>
  <si>
    <t>41st CMETS-WR, 02.02.2026</t>
  </si>
  <si>
    <t>CTUIL minutes, 41st CMETS-WR (applications 2200002406-08, dated 09-09-2025)</t>
  </si>
  <si>
    <t>Possible DC load - NOT confirmed. Total 1,250 MW.</t>
  </si>
  <si>
    <t>G013</t>
  </si>
  <si>
    <t>STT Global Data Centres India - GNA-RE</t>
  </si>
  <si>
    <t>7 MW GNA-RE (outside region); UPPTCL NoC for 2 MW</t>
  </si>
  <si>
    <t>Data-centre operator procuring RE via ISTS</t>
  </si>
  <si>
    <t>41st CMETS-NR, 10.10.2025</t>
  </si>
  <si>
    <t>CTUIL minutes, 41st CMETS-NR</t>
  </si>
  <si>
    <t>https://www.ctuil.in/uploads/ists_consultation_meeting/minutes/176242143922Minutes%20of%2041st%20CMETS%20NR%20meeting%20held%20on%2010-10-2025.pdf</t>
  </si>
  <si>
    <t>2025-10-10</t>
  </si>
  <si>
    <t>Shows DC operators now appear in CTUIL minutes; scan all regions' CMETS minutes in the next pass.</t>
  </si>
  <si>
    <t>G014</t>
  </si>
  <si>
    <t>APTRANSCO / AP Energy Dept</t>
  </si>
  <si>
    <t>Data-centre transmission roadmap</t>
  </si>
  <si>
    <t>765/400/220 kV network for &gt;15 GW DC load by 2034; new 400/220 kV Rambilli S/S</t>
  </si>
  <si>
    <t>16 DC projects, 9.1 GW IT load; substations Pendurthi, Maradam, Achyutapuram, Palasa, Padmanabham, Makavaripalem</t>
  </si>
  <si>
    <t>Jun-2026</t>
  </si>
  <si>
    <t>PTI via Telangana Today</t>
  </si>
  <si>
    <t>G015</t>
  </si>
  <si>
    <t>TGTRANSCO</t>
  </si>
  <si>
    <t>Power sanction to Fortune DC park</t>
  </si>
  <si>
    <t>2,000 MVA (400 MVA by Dec-2027; full by Dec-2034)</t>
  </si>
  <si>
    <t>Fortune hyperscale DC park, Ranga Reddy</t>
  </si>
  <si>
    <t>Developer statement (Business Standard)</t>
  </si>
  <si>
    <t>G016</t>
  </si>
  <si>
    <t>Govt of Maharashtra (Industries)</t>
  </si>
  <si>
    <t>GR on Integrated Green Data Centre Parks</t>
  </si>
  <si>
    <t>Parks allowed 3 -&gt; 20, statewide; Re 1/unit tariff subsidy 10 yrs (Rs 30,000 cr+) / 20 yrs (Rs 60,000 cr+); 4% interest subvention</t>
  </si>
  <si>
    <t>Policy driver for Lodha / ReNew / Trentar parks</t>
  </si>
  <si>
    <t>GR 09-Jun-2026 (CSC 22-Apr-2026)</t>
  </si>
  <si>
    <t>PowerPeak Digest summary of GR</t>
  </si>
  <si>
    <t>https://powerpeakdigest.com/maharashtra-green-data-center-policy-expansion/</t>
  </si>
  <si>
    <t>2026-06-09</t>
  </si>
  <si>
    <t>Pull GR from maharashtra.gov.in.</t>
  </si>
  <si>
    <t>G017</t>
  </si>
  <si>
    <t>MERC</t>
  </si>
  <si>
    <t>Green-energy LTOA application delays (Case 220 &amp; 226 of 2025)</t>
  </si>
  <si>
    <t>n/a</t>
  </si>
  <si>
    <t>Affects DC green-power procurement in MSEDCL area</t>
  </si>
  <si>
    <t>Order Jul-2026</t>
  </si>
  <si>
    <t>SolarQuarter</t>
  </si>
  <si>
    <t>https://solarquarter.com/2026/07/06/merc-pulls-up-msedcl-msetcl-over-delays-in-green-energy-long-term-open-access-applications/</t>
  </si>
  <si>
    <t>2026-07-06</t>
  </si>
  <si>
    <t>Authority</t>
  </si>
  <si>
    <t>Reference no.</t>
  </si>
  <si>
    <t>Meeting / document</t>
  </si>
  <si>
    <t>Date</t>
  </si>
  <si>
    <t>Applicant (as filed)</t>
  </si>
  <si>
    <t>Operator / end-user (mapped)</t>
  </si>
  <si>
    <t>Mapping basis</t>
  </si>
  <si>
    <t>Location</t>
  </si>
  <si>
    <t>Permit stage</t>
  </si>
  <si>
    <t>Decision</t>
  </si>
  <si>
    <t>Connected load (MW)</t>
  </si>
  <si>
    <t>Demand load (as stated)</t>
  </si>
  <si>
    <t>DG unit size (kVA)</t>
  </si>
  <si>
    <t>DG count</t>
  </si>
  <si>
    <t>DG back-up (MVA)</t>
  </si>
  <si>
    <t>Capital investment (Rs cr)</t>
  </si>
  <si>
    <t>Plot / BUA (m2)</t>
  </si>
  <si>
    <t>Read in document? (Y/N)</t>
  </si>
  <si>
    <t>M001</t>
  </si>
  <si>
    <t>SEAC-II</t>
  </si>
  <si>
    <t>Form-1A (EC application)</t>
  </si>
  <si>
    <t>Form-1A submitted to SEAC-II</t>
  </si>
  <si>
    <t>c.2022-23</t>
  </si>
  <si>
    <t>Amanthin Info Parks Pvt Ltd</t>
  </si>
  <si>
    <t>Google (Raiden Infotech) via EverYondr</t>
  </si>
  <si>
    <t>Lease Amanthin-&gt;Raiden registered Oct-2022 (CRE Matrix / Housing.com); Amanthin = EverYondr subsidiary</t>
  </si>
  <si>
    <t>Plot D-31 &amp; D-32, TTC Turbhe</t>
  </si>
  <si>
    <t>EC application</t>
  </si>
  <si>
    <t>108,807 kVA demand; 4 x 220/22 kV 60 MVA transformers</t>
  </si>
  <si>
    <t>Plot 39,980; BUA 55,432</t>
  </si>
  <si>
    <t>M002</t>
  </si>
  <si>
    <t>MPCB</t>
  </si>
  <si>
    <t>CTE 0000249841</t>
  </si>
  <si>
    <t>5th CAC 2025-26 (ATR)</t>
  </si>
  <si>
    <t>Raiden Infotech India Pvt Ltd</t>
  </si>
  <si>
    <t>Google</t>
  </si>
  <si>
    <t>Raiden = Google's Indian DC entity (AP G.O.Ms.66)</t>
  </si>
  <si>
    <t>GEN-2/1/A/1, D-Block, TTC Turbhe</t>
  </si>
  <si>
    <t>Consent to Establish</t>
  </si>
  <si>
    <t>Approved</t>
  </si>
  <si>
    <t>https://mpcb.gov.in/sites/default/files/inline-files/Action_Taken_report_of_5th_CAC_Booklet_no_5_0.pdf</t>
  </si>
  <si>
    <t>Second Google site in Navi Mumbai</t>
  </si>
  <si>
    <t>M003</t>
  </si>
  <si>
    <t>SEIAA</t>
  </si>
  <si>
    <t>SIA/MH/INFRA2/531703/2025</t>
  </si>
  <si>
    <t>310th SEIAA agenda</t>
  </si>
  <si>
    <t>as above</t>
  </si>
  <si>
    <t>On agenda</t>
  </si>
  <si>
    <t>M004</t>
  </si>
  <si>
    <t>CTE 0000167765</t>
  </si>
  <si>
    <t>14th CAC 2023-24 (agenda index)</t>
  </si>
  <si>
    <t>2023-24</t>
  </si>
  <si>
    <t>Gold Craft by Gramercy Trade Industries Pvt Ltd</t>
  </si>
  <si>
    <t>(prior applicant on Google plot)</t>
  </si>
  <si>
    <t>Same plot GEN-2/1/A/1</t>
  </si>
  <si>
    <t>GEN-2/1/A/1, Turbhe</t>
  </si>
  <si>
    <t>Listed</t>
  </si>
  <si>
    <t>https://mpcb.gov.in/sites/default/files/inline-files/Agenda%20Index%20of%2014th%20CAC%20Meeting.pdf</t>
  </si>
  <si>
    <t>Gramercy group earlier applied on the plot now with Raiden</t>
  </si>
  <si>
    <t>M005</t>
  </si>
  <si>
    <t>SIA/MH/INFRA2/466218/2024</t>
  </si>
  <si>
    <t>301st SEIAA minutes (Day-4, table item 01)</t>
  </si>
  <si>
    <t>2025-08-14</t>
  </si>
  <si>
    <t>Datascape Realty Pvt Ltd</t>
  </si>
  <si>
    <t>CapitaLand (DC Navi Mumbai 1)</t>
  </si>
  <si>
    <t>TIA listing names Datascape as CapitaLand Group</t>
  </si>
  <si>
    <t>Plots 14/2, 15 &amp; 37, TTC Digha (ex-Precision Fasteners)</t>
  </si>
  <si>
    <t>EC (expansion)</t>
  </si>
  <si>
    <t>Discussed</t>
  </si>
  <si>
    <t>120 MVA max demand (process + non-process)</t>
  </si>
  <si>
    <t>https://environmentclearance.nic.in/writereaddata/FormB/agenda/1509202585756580%28740114%29MINUTESOF301DAY-4TABLEITEM-Copy.pdf</t>
  </si>
  <si>
    <t>OCR of scanned minutes</t>
  </si>
  <si>
    <t>M006</t>
  </si>
  <si>
    <t>CTE 0000155369</t>
  </si>
  <si>
    <t>5th CAC 2023-24 (agenda index)</t>
  </si>
  <si>
    <t>CapitaLand</t>
  </si>
  <si>
    <t>Plots 14/2, 15 &amp; 37, TTC Digha</t>
  </si>
  <si>
    <t>https://mpcb.gov.in/sites/default/files/inline-files/Agenda%20Index%20of%205th%20CAC%20Meeting%20of%202023-24.pdf</t>
  </si>
  <si>
    <t>M007</t>
  </si>
  <si>
    <t>CTO 0000231516</t>
  </si>
  <si>
    <t>15th CAC 2024-25 (ATR)</t>
  </si>
  <si>
    <t>Thane (TTC Digha)</t>
  </si>
  <si>
    <t>Consent to 1st Operate (part)</t>
  </si>
  <si>
    <t>https://mpcb.gov.in/sites/default/files/inline-files/Action_Taken_Report_of_15th_CAC_Booklet_no_15_%281%29.pdf</t>
  </si>
  <si>
    <t>M008</t>
  </si>
  <si>
    <t>SIA/MH/INFRA2/475215 (year illegible in scan)</t>
  </si>
  <si>
    <t>301st SEIAA minutes (Day-4, table item 02)</t>
  </si>
  <si>
    <t>Web Werks India Pvt Ltd</t>
  </si>
  <si>
    <t>Iron Mountain (Web Werks)</t>
  </si>
  <si>
    <t>Web Werks is Iron Mountain's India JV</t>
  </si>
  <si>
    <t>Plots R-50 to R-54, TTC Rabale ('MUM-3')</t>
  </si>
  <si>
    <t>EC (new DC buildings)</t>
  </si>
  <si>
    <t>131 MW demand</t>
  </si>
  <si>
    <t>OCR of scanned minutes; very large for an operator rarely seen in the press</t>
  </si>
  <si>
    <t>M009</t>
  </si>
  <si>
    <t>CTE 0000215272</t>
  </si>
  <si>
    <t>6th CAC 2024-25 (ATR)</t>
  </si>
  <si>
    <t>Iron Mountain</t>
  </si>
  <si>
    <t>https://mpcb.gov.in/sites/default/files/inline-files/Action_Taken_Report_of_6th_CAC_Meeting_2024-25.pdf</t>
  </si>
  <si>
    <t>M010</t>
  </si>
  <si>
    <t>SIA/MH/INFRA2/416132/2023</t>
  </si>
  <si>
    <t>301st &amp; 296th SEIAA minutes</t>
  </si>
  <si>
    <t>Amazon Data Services India Pvt Ltd</t>
  </si>
  <si>
    <t>Applicant</t>
  </si>
  <si>
    <t>EC</t>
  </si>
  <si>
    <t>75 MW demand (75 MVA)</t>
  </si>
  <si>
    <t>Plot 22,258; BUA 84,584</t>
  </si>
  <si>
    <t>DC + DG buildings up to 77 m high</t>
  </si>
  <si>
    <t>M011</t>
  </si>
  <si>
    <t>CTE 0000217236</t>
  </si>
  <si>
    <t>Powai</t>
  </si>
  <si>
    <t>Earlier show-cause notice for refusal (12th CAC 2023-24)</t>
  </si>
  <si>
    <t>M012</t>
  </si>
  <si>
    <t>CTE 0000178616</t>
  </si>
  <si>
    <t>16th CAC 2023-24 (index &amp; ATR)</t>
  </si>
  <si>
    <t>Balkum &amp; Majiwada villages, Thane</t>
  </si>
  <si>
    <t>272 MW IT load (per EC filing summary)</t>
  </si>
  <si>
    <t>54.73 acres</t>
  </si>
  <si>
    <t>https://mpcb.gov.in/sites/default/files/inline-files/Action_taken_Report_of_16th_CAC_Booklet_no_16.pdf</t>
  </si>
  <si>
    <t>M013</t>
  </si>
  <si>
    <t>SIA/MH/INFRA2/477127/2024</t>
  </si>
  <si>
    <t>284th &amp; 304th SEIAA agendas</t>
  </si>
  <si>
    <t>2025-08-29</t>
  </si>
  <si>
    <t>M014</t>
  </si>
  <si>
    <t>SIA/MH/INFRA2/422530/2023</t>
  </si>
  <si>
    <t>292nd &amp; 296th SEIAA minutes</t>
  </si>
  <si>
    <t>2025-06-20</t>
  </si>
  <si>
    <t>Tusshar Infra Developers &amp; Pantheon Buildcon</t>
  </si>
  <si>
    <t>Unknown DC operator</t>
  </si>
  <si>
    <t>Earlier EC in name of Ekta &amp; Shobha Kapoor (2022)</t>
  </si>
  <si>
    <t>CTS 689/A/1 etc. Marol &amp; 193 pt Tungwe, Saki Vihar-Chandivali jn</t>
  </si>
  <si>
    <t>EC (expansion) - 'Commercial IT (Data Centre)'</t>
  </si>
  <si>
    <t>91.9 MW demand</t>
  </si>
  <si>
    <t>Plot 16,235; BUA 92,393</t>
  </si>
  <si>
    <t>https://environmentclearance.nic.in/writereaddata/FormB/agenda/2107202594781152MINUTESOF296DAY-3PART-B.pdf</t>
  </si>
  <si>
    <t>Tenant not named - candidate unannounced capacity</t>
  </si>
  <si>
    <t>M015</t>
  </si>
  <si>
    <t>SIA/MH/INFRA2/562044/2025</t>
  </si>
  <si>
    <t>319th SEIAA minutes (Day-5 Part B, item 15)</t>
  </si>
  <si>
    <t>2026-02-04</t>
  </si>
  <si>
    <t>Pune Data Center Ltd (regd. office: Adani Corporate House, Ahmedabad)</t>
  </si>
  <si>
    <t>AdaniConneX - on ex-Microsoft site</t>
  </si>
  <si>
    <t>EC transferred from Microsoft Corp (India) to Pune Data Center Ltd on 28-11-2024; adani.com contact</t>
  </si>
  <si>
    <t>BG 80/B, Bhosari, Pune ('ACXPNQ26')</t>
  </si>
  <si>
    <t>Referred back to SEAC-III</t>
  </si>
  <si>
    <t>74 MW demand</t>
  </si>
  <si>
    <t>https://environmentclearance.nic.in/writereaddata/FormB/agenda/2302202697285484%28921161%29MINUTESOF319DAY-5PART-B.pdf</t>
  </si>
  <si>
    <t>Plus 1 x 630 kVA DG. Earlier EC SIA/MH/INFRA2/517762/2025 granted 22-07-2025</t>
  </si>
  <si>
    <t>M016</t>
  </si>
  <si>
    <t>CTE 0000148492</t>
  </si>
  <si>
    <t>15th CAC 2022-23 (minutes)</t>
  </si>
  <si>
    <t>2022-23</t>
  </si>
  <si>
    <t>Microsoft Corporation (India) Pvt Ltd</t>
  </si>
  <si>
    <t>Microsoft (site now with Adani SPV)</t>
  </si>
  <si>
    <t>BG 80/B, Bhosari, Pune</t>
  </si>
  <si>
    <t>Plot 44,499; BUA 40,140</t>
  </si>
  <si>
    <t>https://mpcb.gov.in/sites/default/files/inline-files/Minutes%20of%2015th%20CAC%20Establish%20Booklet%20no%2065.pdf</t>
  </si>
  <si>
    <t>M017</t>
  </si>
  <si>
    <t>CTE 0000138540</t>
  </si>
  <si>
    <t>15th CAC 2022-23 (minutes &amp; index)</t>
  </si>
  <si>
    <t>Microsoft India Pvt Ltd ('Data Center PNQ06')</t>
  </si>
  <si>
    <t>Microsoft / AdaniConneX ('Pune Data Center Two Ltd')</t>
  </si>
  <si>
    <t>SEIAA lists PNQ06 + ACXPNQ27/29 under Pune Data Center Two Ltd</t>
  </si>
  <si>
    <t>D-I-10-1, MIDC Pimpri Waghere, Pune</t>
  </si>
  <si>
    <t>Plot 101,182; BUA 82,827</t>
  </si>
  <si>
    <t>M018</t>
  </si>
  <si>
    <t>SIA/MH/INFRA2/517690/2025 &amp; 543691/2025</t>
  </si>
  <si>
    <t>296th &amp; 313th SEIAA agendas</t>
  </si>
  <si>
    <t>Pune Data Center Two Ltd</t>
  </si>
  <si>
    <t>AdaniConneX / Microsoft</t>
  </si>
  <si>
    <t>D-I-10-1, Pimpri Waghere ('PNQ06', 'ACXPNQ27 &amp; ACXPNQ29')</t>
  </si>
  <si>
    <t>M019</t>
  </si>
  <si>
    <t>CTE 0000195775</t>
  </si>
  <si>
    <t>3rd CAC 2024-25 (minutes)</t>
  </si>
  <si>
    <t>'BOM 2 &amp; BOM 3' (applicant name not printed)</t>
  </si>
  <si>
    <t>Digital Edge (inferred)</t>
  </si>
  <si>
    <t>EC date 08-02-2024 matches Digital Edge BOM EC</t>
  </si>
  <si>
    <t>S.No. 47/2, 48/2, 49/2 (pt), Dighe, Thane-Belapur Rd</t>
  </si>
  <si>
    <t>Plot 172,354; BUA 390,772; 8 buildings</t>
  </si>
  <si>
    <t>https://mpcb.gov.in/sites/default/files/inline-files/Webhost_Minutes_of_3rd_CAC_meeting.pdf</t>
  </si>
  <si>
    <t>Water 5 CMD</t>
  </si>
  <si>
    <t>M020</t>
  </si>
  <si>
    <t>CTO 0000225726</t>
  </si>
  <si>
    <t>17th CAC 2024-25 (ATR)</t>
  </si>
  <si>
    <t>2025-04-03</t>
  </si>
  <si>
    <t>Digital Edge DC (India) Pvt Ltd</t>
  </si>
  <si>
    <t>Digital Edge</t>
  </si>
  <si>
    <t>Kalwa village, Thane-Belapur Rd</t>
  </si>
  <si>
    <t>Consent to 1st Operate</t>
  </si>
  <si>
    <t>https://mpcb.gov.in/sites/default/files/inline-files/Action_Taken_Report_of_17th_CAC_Booklet_no_17_2024-25.pdf</t>
  </si>
  <si>
    <t>M021</t>
  </si>
  <si>
    <t>SIA/MH/INFRA2/449922/2023 (EC24B039MH149609)</t>
  </si>
  <si>
    <t>EC letter</t>
  </si>
  <si>
    <t>S.No. 238/2, Kalwa, Thane-Belapur Rd</t>
  </si>
  <si>
    <t>Granted</t>
  </si>
  <si>
    <t>M022</t>
  </si>
  <si>
    <t>SIA/MH/INFRA2/490756/2025 (EC24C3802MH5926451N)</t>
  </si>
  <si>
    <t>Nxtra Data Ltd</t>
  </si>
  <si>
    <t>Bharti Airtel (Nxtra)</t>
  </si>
  <si>
    <t>Plot IT-07, TTC Mahape</t>
  </si>
  <si>
    <t>M023</t>
  </si>
  <si>
    <t>CTE 0000217674 / CTO 0000244592</t>
  </si>
  <si>
    <t>14th CAC 2024-25; 2nd CAC 2025-26</t>
  </si>
  <si>
    <t>2025-06-16</t>
  </si>
  <si>
    <t>Navi Mumbai (Mahape)</t>
  </si>
  <si>
    <t>CTE expansion (Feb-25); CTO part (Jun-25)</t>
  </si>
  <si>
    <t>https://mpcb.gov.in/sites/default/files/inline-files/Action_Taken_Report_of_2nd_CAC_Meeting.pdf</t>
  </si>
  <si>
    <t>M024</t>
  </si>
  <si>
    <t>CTE 0000145905</t>
  </si>
  <si>
    <t>Gramercy Techpark Pvt Ltd</t>
  </si>
  <si>
    <t>Lumina CloudInfra -&gt; AirTrunk (inferred)</t>
  </si>
  <si>
    <t>Lumina's Airoli project listed at 'Gramercy Techpark'</t>
  </si>
  <si>
    <t>Plot 7 &amp; 7A, TTC Airoli</t>
  </si>
  <si>
    <t>Plot 24,350; BUA 86,044</t>
  </si>
  <si>
    <t>M025</t>
  </si>
  <si>
    <t>MPCB / SEIAA</t>
  </si>
  <si>
    <t>CTO 0000240730; SIA/MH/INFRA2/484959/2024</t>
  </si>
  <si>
    <t>1st CAC 2025-26; 310th &amp; 311th(A) SEIAA agendas</t>
  </si>
  <si>
    <t>2025-05-13</t>
  </si>
  <si>
    <t>Lumina / AirTrunk</t>
  </si>
  <si>
    <t>CTO (part); EC expansion</t>
  </si>
  <si>
    <t>Approved / on agenda</t>
  </si>
  <si>
    <t>https://mpcb.gov.in/sites/default/files/inline-files/Action_Taken_Report_of_1st_CAC_Meeting_Part_I.pdf</t>
  </si>
  <si>
    <t>M026</t>
  </si>
  <si>
    <t>CTE 0000200798 &amp; 0000219658</t>
  </si>
  <si>
    <t>2nd &amp; 11th CAC 2024-25</t>
  </si>
  <si>
    <t>2024-12-05</t>
  </si>
  <si>
    <t>Gramercy Business Hub Pvt Ltd</t>
  </si>
  <si>
    <t>Unknown (Gramercy group)</t>
  </si>
  <si>
    <t>Same group as Lumina SPV</t>
  </si>
  <si>
    <t>Plot A-831, TTC Mahape</t>
  </si>
  <si>
    <t>https://mpcb.gov.in/sites/default/files/inline-files/ATR_of_2nd_CAC_meeting.pdf</t>
  </si>
  <si>
    <t>Use not stated - data-centre use unconfirmed</t>
  </si>
  <si>
    <t>M027</t>
  </si>
  <si>
    <t>SEIAA / MPCB</t>
  </si>
  <si>
    <t>SIA/MH/INFRA2/509611/2024; CTE 0000185134</t>
  </si>
  <si>
    <t>308th SEIAA agenda; 21st CAC 2023-24</t>
  </si>
  <si>
    <t>Support Properties Pvt Ltd</t>
  </si>
  <si>
    <t>AdaniConneX ('ACXNMI-01')</t>
  </si>
  <si>
    <t>'ACX' project code</t>
  </si>
  <si>
    <t>EC expansion; CTE (Feb-24)</t>
  </si>
  <si>
    <t>On agenda / approved</t>
  </si>
  <si>
    <t>M028</t>
  </si>
  <si>
    <t>SIA/MH/INFRA2/504527/2025; CTE 0000224730</t>
  </si>
  <si>
    <t>311th(A) SEIAA agenda; 1st CAC 2025-26</t>
  </si>
  <si>
    <t>2025-05-26</t>
  </si>
  <si>
    <t>Sify Infinit Spaces Ltd</t>
  </si>
  <si>
    <t>Sify</t>
  </si>
  <si>
    <t>Applicant (EC transferred from Print House (India) - 468263/2024)</t>
  </si>
  <si>
    <t>R-847/2, R-979, R-847/3, R-847/3/1, R-848, W-377, TTC Rabale</t>
  </si>
  <si>
    <t>EC expansion; CTE expansion</t>
  </si>
  <si>
    <t>https://www.ecmpcb.in/login/download_ec_document/Nzg4MEM4QkU4NEYwNEI4MzhBOTA5OTlGQUFCQjU4MkQucGRm</t>
  </si>
  <si>
    <t>M029</t>
  </si>
  <si>
    <t>SIA/MH/INFRA2/496938/2024</t>
  </si>
  <si>
    <t>Plot R-978, Sector 8, Rabale</t>
  </si>
  <si>
    <t>EC expansion</t>
  </si>
  <si>
    <t>M030</t>
  </si>
  <si>
    <t>SIA/MH/INFRA2/533354/2025</t>
  </si>
  <si>
    <t>310th SEIAA additional agenda</t>
  </si>
  <si>
    <t>Bearys Properties &amp; Developments Pvt Ltd</t>
  </si>
  <si>
    <t>NTT (likely; Bearys builds NTT NAV1A/1B)</t>
  </si>
  <si>
    <t>Bearys brochure</t>
  </si>
  <si>
    <t>M031</t>
  </si>
  <si>
    <t>SIA/MH/INFRA2/517940/2025</t>
  </si>
  <si>
    <t>309th SEIAA agenda</t>
  </si>
  <si>
    <t>2025-10-11</t>
  </si>
  <si>
    <t>Plot EL-200, TTC Mahape</t>
  </si>
  <si>
    <t>https://www.ecmpcb.in/login/download_ec_document/MzI2MjVDNjJFNjhGNEFDMkFCRjA0MDc5NDdENUQ3QjMucGRm</t>
  </si>
  <si>
    <t>M032</t>
  </si>
  <si>
    <t>SIA/MH/INFRA2/502320/2024</t>
  </si>
  <si>
    <t>304th &amp; 313th SEIAA agendas</t>
  </si>
  <si>
    <t>L&amp;T</t>
  </si>
  <si>
    <t>S.No. 39, 42, 49 Bhokarpada, Panvel</t>
  </si>
  <si>
    <t>EC (DC + residential)</t>
  </si>
  <si>
    <t>M033</t>
  </si>
  <si>
    <t>SIA/MH/INFRA2/495143/2025; CTO 0000227513</t>
  </si>
  <si>
    <t>309th SEIAA agenda; 17th CAC 2024-25</t>
  </si>
  <si>
    <t>Newfound Properties &amp; Leasing Pvt Ltd</t>
  </si>
  <si>
    <t>K Raheja Corp / Mindspace</t>
  </si>
  <si>
    <t>Gen 2/1/D-F, TTC Juinagar</t>
  </si>
  <si>
    <t>CTO Part-I for Bldg 5A (Data Centre)</t>
  </si>
  <si>
    <t>Bldg 5A BUA 32,971</t>
  </si>
  <si>
    <t>M034</t>
  </si>
  <si>
    <t>SIA/MH/INFRA2/540748/2025; 0000232277</t>
  </si>
  <si>
    <t>310th &amp; 318th SEIAA agendas; 4th CAC 2025-26</t>
  </si>
  <si>
    <t>Gigaplex Estate Pvt Ltd</t>
  </si>
  <si>
    <t>IT-5, Airoli Knowledge Park (Bldg 8 = Data Centre)</t>
  </si>
  <si>
    <t>CTO application; EC amendment</t>
  </si>
  <si>
    <t>https://mpcb.gov.in/sites/default/files/inline-files/Index_of_4th_CAC_Meeting_of_2025-26.pdf</t>
  </si>
  <si>
    <t>M035</t>
  </si>
  <si>
    <t>CTE 0000175818; CTO 0000209776; Amend 0000013617</t>
  </si>
  <si>
    <t>16th/17th CAC 2023-24; 4th &amp; 13th CAC 2024-25</t>
  </si>
  <si>
    <t>2023-12-08</t>
  </si>
  <si>
    <t>STT Global Data Centres India Pvt Ltd</t>
  </si>
  <si>
    <t>STT GDC</t>
  </si>
  <si>
    <t>Plots 51 &amp; 51/1, Gen-50/1, TTC Khairane</t>
  </si>
  <si>
    <t>CTE; CTO (part); amendment</t>
  </si>
  <si>
    <t>Amendment REMOVED 31 x 2,000 kVA DG sets</t>
  </si>
  <si>
    <t>https://mpcb.gov.in/sites/default/files/inline-files/Action_Taken_Report_of_13th_CAC_Minutes_Booklet_no_13.pdf</t>
  </si>
  <si>
    <t>DG sets removed by amendment, so no DG back-up counted</t>
  </si>
  <si>
    <t>M036</t>
  </si>
  <si>
    <t>CTO 0000220412; renewal 0000242125</t>
  </si>
  <si>
    <t>2025-07-11</t>
  </si>
  <si>
    <t>NTT Global Data Centers NAV2 Pvt Ltd</t>
  </si>
  <si>
    <t>NTT</t>
  </si>
  <si>
    <t>Plots B1 &amp; B2, TTC Dighe, Airoli</t>
  </si>
  <si>
    <t>CTO; renewal (part)</t>
  </si>
  <si>
    <t>M037</t>
  </si>
  <si>
    <t>CTO 0000231448</t>
  </si>
  <si>
    <t>1st CAC 2025-26</t>
  </si>
  <si>
    <t>2025-05-29</t>
  </si>
  <si>
    <t>Princeton Digital Group (India) Management Pvt Ltd</t>
  </si>
  <si>
    <t>PDG</t>
  </si>
  <si>
    <t>TTC Airoli &amp; Dighe</t>
  </si>
  <si>
    <t>M038</t>
  </si>
  <si>
    <t>CTE exp 0000202331</t>
  </si>
  <si>
    <t>5th CAC 2024-25</t>
  </si>
  <si>
    <t>CtrlS India Pvt Ltd</t>
  </si>
  <si>
    <t>CtrlS</t>
  </si>
  <si>
    <t>EL-201, 201pt, EL-202 &amp; EL-229, TTC Mahape</t>
  </si>
  <si>
    <t>CTE for expansion</t>
  </si>
  <si>
    <t>https://mpcb.gov.in/sites/default/files/inline-files/Action_Taken_report_of_5th_CAC_Booklet_no_5.pdf</t>
  </si>
  <si>
    <t>M039</t>
  </si>
  <si>
    <t>0000172442; renewal 0000227159</t>
  </si>
  <si>
    <t>11th CAC 2023-24; 17th CAC 2024-25</t>
  </si>
  <si>
    <t>Data Center Holdings India LLP</t>
  </si>
  <si>
    <t>Colt DCS-RMZ</t>
  </si>
  <si>
    <t>Plots 5 &amp; 5A, Kalwa Ind. Area, Airoli</t>
  </si>
  <si>
    <t>CTO / renewal</t>
  </si>
  <si>
    <t>https://mpcb.gov.in/sites/default/files/inline-files/Agenda%20INdex%20of%2011th%20CAC%20Meeting.pdf</t>
  </si>
  <si>
    <t>M040</t>
  </si>
  <si>
    <t>0000171036</t>
  </si>
  <si>
    <t>15th CAC 2023-24</t>
  </si>
  <si>
    <t>Bridge Data Centres</t>
  </si>
  <si>
    <t>Plot 13, Kalwa Ind. Area, Digha</t>
  </si>
  <si>
    <t>CTO renewal</t>
  </si>
  <si>
    <t>https://mpcb.gov.in/sites/default/files/inline-files/Index_Of_15th_CAC_Meeting.pdf</t>
  </si>
  <si>
    <t>M041</t>
  </si>
  <si>
    <t>Renewal 0000223122</t>
  </si>
  <si>
    <t>NMDC Data Centre Pvt Ltd</t>
  </si>
  <si>
    <t>CRISIL rationale</t>
  </si>
  <si>
    <t>Bhokarpada (Panvel) &amp; Talegaon Panshil (Khalapur)</t>
  </si>
  <si>
    <t>Renewal of consent</t>
  </si>
  <si>
    <t>Khalapur site is a second Yotta location</t>
  </si>
  <si>
    <t>M042</t>
  </si>
  <si>
    <t>CTO 0000132160</t>
  </si>
  <si>
    <t>3rd CAC 2023-24</t>
  </si>
  <si>
    <t>Persipina Developers Pvt Ltd</t>
  </si>
  <si>
    <t>Hiranandani (Yotta park)</t>
  </si>
  <si>
    <t>Bhokarpada, Panvel</t>
  </si>
  <si>
    <t>CTO for DG sets</t>
  </si>
  <si>
    <t>https://mpcb.gov.in/sites/default/files/inline-files/Webhost%20Minutes%20of%203rd%20CAC%20Booklet%20no.%203.pdf</t>
  </si>
  <si>
    <t>M043</t>
  </si>
  <si>
    <t>0000211215 / 0000219542</t>
  </si>
  <si>
    <t>11th &amp; 16th CAC 2024-25</t>
  </si>
  <si>
    <t>2025-03-19</t>
  </si>
  <si>
    <t>Nxtra Data Ltd (Pune-3)</t>
  </si>
  <si>
    <t>P-1-1 &amp; P-1-2, RGIP Phase-III, Hinjewadi</t>
  </si>
  <si>
    <t>CTE expansion; CTO (part)</t>
  </si>
  <si>
    <t>Approved (after SCN)</t>
  </si>
  <si>
    <t>https://mpcb.gov.in/sites/default/files/inline-files/Action_Taken_Report_of_16th_CAC_Booklet_no._16_%281%29.pdf</t>
  </si>
  <si>
    <t>M044</t>
  </si>
  <si>
    <t>0000166776</t>
  </si>
  <si>
    <t>13th CAC 2023-24</t>
  </si>
  <si>
    <t>NTT Global Data Centers &amp; Cloud Infrastructure India</t>
  </si>
  <si>
    <t>Saki Vihar / Marol, Mumbai</t>
  </si>
  <si>
    <t>https://mpcb.gov.in/sites/default/files/inline-files/Agenda%20Index%20of%2013th%20CAC%20Meeting.pdf</t>
  </si>
  <si>
    <t>M045</t>
  </si>
  <si>
    <t>Case 88 of 2026</t>
  </si>
  <si>
    <t>MERC order</t>
  </si>
  <si>
    <t>Maharashtra STU (Lodha-funded DDF)</t>
  </si>
  <si>
    <t>AWS, STT + one more DC</t>
  </si>
  <si>
    <t>Order text</t>
  </si>
  <si>
    <t>Ambernath (Palava), Thane</t>
  </si>
  <si>
    <t>Grid connectivity granted</t>
  </si>
  <si>
    <t>+1,500 MW under consideration; 4 x 500 MVA 400/220 kV</t>
  </si>
  <si>
    <t>Connected-load column holds STU-granted connectivity</t>
  </si>
  <si>
    <t>Totals (excluding the MERC connectivity row)</t>
  </si>
  <si>
    <t>Connected load in permit records (MW)</t>
  </si>
  <si>
    <t>Capital investment in consent records (Rs cr)</t>
  </si>
  <si>
    <t>STU connectivity granted at Ambernath (MW)</t>
  </si>
  <si>
    <t>Permit records</t>
  </si>
  <si>
    <t>Source / authority</t>
  </si>
  <si>
    <t>Reference</t>
  </si>
  <si>
    <t>Applicant / SPV</t>
  </si>
  <si>
    <t>Operator (mapped)</t>
  </si>
  <si>
    <t>Stage</t>
  </si>
  <si>
    <t>Grid / connected MW</t>
  </si>
  <si>
    <t>DG back-up (MW)</t>
  </si>
  <si>
    <t>Investment (Rs cr)</t>
  </si>
  <si>
    <t>Key facts</t>
  </si>
  <si>
    <t>S001</t>
  </si>
  <si>
    <t>SEIAA AP (EC) + CTUIL</t>
  </si>
  <si>
    <t>EC 18-04-2026 (AP INFRA2 EC VSP 04 2026 2517); CTUIL GNA 11 apps</t>
  </si>
  <si>
    <t>2026-04-18</t>
  </si>
  <si>
    <t>Vizag Mega Data Center Park Ltd (Adani Infra SPV)</t>
  </si>
  <si>
    <t>Google (Raiden) - Adani</t>
  </si>
  <si>
    <t>Tarluvada, Anandapuram mandal</t>
  </si>
  <si>
    <t>EC granted; GNA 929 MW under process</t>
  </si>
  <si>
    <t>1,000 MW park; BUA 1,48,922 m2; 200 x 2.75 MW + 5 x 1 MW DG; 267 KLD water; HSD storage 1,260 KL</t>
  </si>
  <si>
    <t>https://countercurrents.org/2026/04/hrf-flags-template-based-clearances-for-massive-andhra-data-centres-seeks-suspension-and-fresh-review/</t>
  </si>
  <si>
    <t>S002</t>
  </si>
  <si>
    <t>EC 18-04-2026; CTUIL GNA 8 apps</t>
  </si>
  <si>
    <t>Vizag Rambilli Data Center Park Ltd (Adani Infra SPV)</t>
  </si>
  <si>
    <t>Rambilli Phase-II industrial park, Anakapalli</t>
  </si>
  <si>
    <t>EC granted; GNA 697 MW under process</t>
  </si>
  <si>
    <t>697 MW (some reports 1 GW); BUA 1,48,476 m2; 150 x 2.75 MW + 4 x 1 MW DG; 234 KLD water</t>
  </si>
  <si>
    <t>S003</t>
  </si>
  <si>
    <t>SEIAA AP (EC) + APPCB (CTE) + CTUIL</t>
  </si>
  <si>
    <t>EC 05/10-06-2026; APPCB CTE 680/APPCB/CTE/RO-VSP/HO/2026 (14-07-2026); CTUIL GNA 8 apps</t>
  </si>
  <si>
    <t>Vizag Hyperscale Data Center Park Ltd (Adani Infra SPV)</t>
  </si>
  <si>
    <t>Adavivaram &amp; Mudasarlova (~160 acres)</t>
  </si>
  <si>
    <t>EC &amp; CTE granted; GNA 697 MW under process</t>
  </si>
  <si>
    <t>Power requirement 512 MW from discom (SEIAA affidavit to AP High Court); 100 x 2.75 MW DG; BUA ~1.23 lakh m2; 307 KLD water; air-cooled chillers; CTUIL filing is 697 MW</t>
  </si>
  <si>
    <t>https://theprint.in/judiciary/google-adani-vizag-data-centre-got-green-nod-on-built-up-area-not-ops-andhra-govt-affidavit-explains/3025598/</t>
  </si>
  <si>
    <t>S004</t>
  </si>
  <si>
    <t>GNA register - three Google-Adani SPVs</t>
  </si>
  <si>
    <t>2026-05-09</t>
  </si>
  <si>
    <t>Vizag Mega / Rambilli / Hyperscale DC Park Ltds</t>
  </si>
  <si>
    <t>Google - Adani</t>
  </si>
  <si>
    <t>Gajuwaka &amp; Pendurthi (proposed) 400 kV</t>
  </si>
  <si>
    <t>Under process</t>
  </si>
  <si>
    <t>Total ISTS bulk-consumer GNA sought by the three SPVs = 929 + 697 + 697 MW - vs '1 GW' in the land GO</t>
  </si>
  <si>
    <t>S005</t>
  </si>
  <si>
    <t>AP ITE&amp;C</t>
  </si>
  <si>
    <t>G.O.Ms.No.40 (11-10-2025) &amp; G.O.Ms.No.66 (02-12-2025)</t>
  </si>
  <si>
    <t>Adavivaram-Mudasarlova, Tarluvada, Rambilli (480 acres)</t>
  </si>
  <si>
    <t>Land allotment + partners notified</t>
  </si>
  <si>
    <t>'AI Data Centres with a total capacity of around 1000 MW', US$15bn; partners Adani Infra, AdaniConneX, Adani Power, Airtel, Nxtra</t>
  </si>
  <si>
    <t>S006</t>
  </si>
  <si>
    <t>AP Energy Dept</t>
  </si>
  <si>
    <t>G.O.Ms.No.32 (Energy), 22-04-2026</t>
  </si>
  <si>
    <t>2026-04-22</t>
  </si>
  <si>
    <t>Policy - Strategic Data Centers</t>
  </si>
  <si>
    <t>All DCs &gt;= 300 MW connected load</t>
  </si>
  <si>
    <t>Statewide</t>
  </si>
  <si>
    <t>Policy notified</t>
  </si>
  <si>
    <t>Deemed Distribution Licence for 'Strategic Data Centers' with connected load &gt;= 300 MW (aggregation across sites allowed) - lets DCs procure/manage own power</t>
  </si>
  <si>
    <t>https://countercurrents.org/2026/06/ap-govts-data-center-deemed-distribution-licence-policy-ddl-is-legally-unsustainable-must-be-withdrawn/</t>
  </si>
  <si>
    <t>S007</t>
  </si>
  <si>
    <t>G.O.Ms.No.30 &amp; No.52 (2026, ITC)</t>
  </si>
  <si>
    <t>Reliance</t>
  </si>
  <si>
    <t>Bhogapuram / Vizianagaram (854.97 acres)</t>
  </si>
  <si>
    <t>Land allotted; amended</t>
  </si>
  <si>
    <t>'Giga-Scale AI Data Center'; activist registry lists 1.5 GW</t>
  </si>
  <si>
    <t>S008</t>
  </si>
  <si>
    <t>G.O.Ms.No.55 (2026, ITC)</t>
  </si>
  <si>
    <t>Renew AP Green Data Center Pvt Ltd</t>
  </si>
  <si>
    <t>ReNew</t>
  </si>
  <si>
    <t>Makavaripalem, Anakapalli (433.3 acres)</t>
  </si>
  <si>
    <t>Land + incentives</t>
  </si>
  <si>
    <t>1,000 MW</t>
  </si>
  <si>
    <t>S009</t>
  </si>
  <si>
    <t>G.O.Ms.No.56 (21-08-2026, ITC)</t>
  </si>
  <si>
    <t>Data Centre Holdings India LLP (Colt-RMZ)</t>
  </si>
  <si>
    <t>Colt DCS / RMZ</t>
  </si>
  <si>
    <t>486 MW; Deemed Distribution Licensee status to be facilitated</t>
  </si>
  <si>
    <t>S010</t>
  </si>
  <si>
    <t>G.O.Ms.No.59 (2026, ITC); SIPB 20th meeting 12-08-2026</t>
  </si>
  <si>
    <t>AM Intelligence Labs</t>
  </si>
  <si>
    <t>Amanam, Bheemunipatnam (6.82 acres per registry)</t>
  </si>
  <si>
    <t>Approval</t>
  </si>
  <si>
    <t>512 MW Green Integrated AI DC, to be set up within 2 years</t>
  </si>
  <si>
    <t>https://theprint.in/india/andhra-approves-green-ai-data-centre-in-visakhapatnam-with-investment-of-over-rs-30000-cr/3022441/</t>
  </si>
  <si>
    <t>S011</t>
  </si>
  <si>
    <t>Transmission roadmap statement</t>
  </si>
  <si>
    <t>APTRANSCO</t>
  </si>
  <si>
    <t>16 DC projects</t>
  </si>
  <si>
    <t>Vizag region (Pendurthi, Maradam, Achyutapuram, Palasa, Padmanabham, Makavaripalem, new Rambilli 400/220 kV)</t>
  </si>
  <si>
    <t>Plan</t>
  </si>
  <si>
    <t>16 DC projects = 9.1 GW IT load; ~15 GW total demand by FY2036-37</t>
  </si>
  <si>
    <t>S012</t>
  </si>
  <si>
    <t>Civil-society registry (compiles GOs/ECs)</t>
  </si>
  <si>
    <t>stopdirtydatacenters.org project registry</t>
  </si>
  <si>
    <t>14 projects</t>
  </si>
  <si>
    <t>Vizag / Anakapalli / Vizianagaram</t>
  </si>
  <si>
    <t>Mixed</t>
  </si>
  <si>
    <t>Registry total 8.0 GW on 2,597 acres (incl. TCS-OpenAI 1 GW Rambilli; Google-Adani 2.5 GW; Reliance 1.5 GW)</t>
  </si>
  <si>
    <t>S013</t>
  </si>
  <si>
    <t>TGTRANSCO (per developer)</t>
  </si>
  <si>
    <t>Power sanction</t>
  </si>
  <si>
    <t>Fortune Hospitality &amp; Infra LLP / Sudeeksha Estates LLP</t>
  </si>
  <si>
    <t>Fortune</t>
  </si>
  <si>
    <t>Kandukur mandal, Ranga Reddy (170 acres)</t>
  </si>
  <si>
    <t>Power sanctioned</t>
  </si>
  <si>
    <t>2,000 MVA sanctioned (400 MVA Dec-2027; full Dec-2034); 1,200-1,600 MW IT</t>
  </si>
  <si>
    <t>https://www.convergence-now.com/artificial-intelligence/telanganas-ai-data-centre-race-gets-bigger-with-%E2%82%B91-3-lakh-crore-project/</t>
  </si>
  <si>
    <t>S014</t>
  </si>
  <si>
    <t>GNA register</t>
  </si>
  <si>
    <t>2026-09-25</t>
  </si>
  <si>
    <t>HyperVault AI Data Center Ltd (TCS)</t>
  </si>
  <si>
    <t>TCS / OpenAI</t>
  </si>
  <si>
    <t>Maheshwaram 765/400 kV</t>
  </si>
  <si>
    <t>450 MW (Jun-2026) + 1,100 MW (Sep-2026)</t>
  </si>
  <si>
    <t>S015</t>
  </si>
  <si>
    <t>Chandenvalle Infra Park Ltd; Madhuvanti Build Estate Ltd</t>
  </si>
  <si>
    <t>Unknown (near AWS Chandanvelly site)</t>
  </si>
  <si>
    <t>LILO of 400 kV Doma-Kethireddypally</t>
  </si>
  <si>
    <t>528 MW each, in identical 66/132 MW blocks</t>
  </si>
  <si>
    <t>S016</t>
  </si>
  <si>
    <t>Giridhari 1,172 MW + Granthik 174 MW</t>
  </si>
  <si>
    <t>S017</t>
  </si>
  <si>
    <t>2026-09-18</t>
  </si>
  <si>
    <t>Avrenta Data Centre Pvt Ltd; CtrlS Datacenters Ltd</t>
  </si>
  <si>
    <t>Avrenta (unknown); CtrlS</t>
  </si>
  <si>
    <t>Maheshwaram</t>
  </si>
  <si>
    <t>Under process / closed</t>
  </si>
  <si>
    <t>Avrenta 100 MW (under process); CtrlS 50 MW (closed)</t>
  </si>
  <si>
    <t>S018</t>
  </si>
  <si>
    <t>SEIAA Telangana EC (reported)</t>
  </si>
  <si>
    <t>EC appraisal - Peddavedu</t>
  </si>
  <si>
    <t>Amazon Data Services / CtrlS (site-level attribution not given)</t>
  </si>
  <si>
    <t>AWS or CtrlS</t>
  </si>
  <si>
    <t>EC granted / challenged</t>
  </si>
  <si>
    <t>278 MW power demand; 110 x 3,500 kVA DG</t>
  </si>
  <si>
    <t>S019</t>
  </si>
  <si>
    <t>Telangana IT Minister</t>
  </si>
  <si>
    <t>Speech at Microsoft India South Central region launch</t>
  </si>
  <si>
    <t>Statement</t>
  </si>
  <si>
    <t>&gt;300 MW operational; 2 GW under development; target 5 GW by 2029; ~11 GW in MoUs</t>
  </si>
  <si>
    <t>https://indianinfrastructure.com/2026/09/25/telangana-government-sets-5-gw-hyperscale-data-centre-target-by-2029-eyes-30-billion-in-investment/</t>
  </si>
  <si>
    <t>S020</t>
  </si>
  <si>
    <t>TANTRANSCO (reported)</t>
  </si>
  <si>
    <t>400/230-110 kV Ambattur GIS (TBCB via TNIDB)</t>
  </si>
  <si>
    <t>2025-10-22</t>
  </si>
  <si>
    <t>TANTRANSCO</t>
  </si>
  <si>
    <t>CtrlS, STT, NTT, CapitaLand area</t>
  </si>
  <si>
    <t>Ambattur Industrial Estate, Chennai</t>
  </si>
  <si>
    <t>DC requests: 1,036 MVA at 230 kV + 344 MVA at 110 kV; 2 x 500 MVA 400/230 kV + 2 x 200 MVA 400/110 kV ICTs; 3.6 km 400 kV cable to Korattur</t>
  </si>
  <si>
    <t>https://www.dtnext.in/news/chennai/powerplay-tn-plans-substation-in-ambattur-to-back-data-centres-850341</t>
  </si>
  <si>
    <t>S021</t>
  </si>
  <si>
    <t>Tuticorin-II</t>
  </si>
  <si>
    <t>70 MW</t>
  </si>
  <si>
    <t>S022</t>
  </si>
  <si>
    <t>Tumakuru; Bidar</t>
  </si>
  <si>
    <t>50 MW Tumkur + 70 MW Bidar</t>
  </si>
  <si>
    <t>S023</t>
  </si>
  <si>
    <t>Karnataka Cabinet</t>
  </si>
  <si>
    <t>Sustainable Data Centre Policy 2026-31</t>
  </si>
  <si>
    <t>Govt of Karnataka</t>
  </si>
  <si>
    <t>Statewide (Hoskote 500 MW park; Mysuru; Mangaluru)</t>
  </si>
  <si>
    <t>Policy approved</t>
  </si>
  <si>
    <t>Target 1 GW IT by 2031; ~400 MW installed; Rs 1,300.45 cr outlay</t>
  </si>
  <si>
    <t>https://www.medianama.com/2026/09/223-karnataka-sustainable-data-centre-policy/</t>
  </si>
  <si>
    <t>S024</t>
  </si>
  <si>
    <t>UPLC (state dashboard)</t>
  </si>
  <si>
    <t>UP Data Centre Policy 2021 - impact as on Jun-2025</t>
  </si>
  <si>
    <t>Hiranandani NIDP, Adani, SKVR, NTT, STT, Web Werks</t>
  </si>
  <si>
    <t>Dashboard</t>
  </si>
  <si>
    <t>29 MoUs (Rs 1,36,124 cr); 644 MW proposed; 133 MW commercialised (NIDP 28, NTT 9, Adani 35, STT 40, SKVR 16, Web Werks 5); 11 MoUs (Rs 46,300 cr) on hold / non-responsive</t>
  </si>
  <si>
    <t>S025</t>
  </si>
  <si>
    <t>UP Govt</t>
  </si>
  <si>
    <t>UP Data Centre Policy 2026 (cabinet 06-07-2026)</t>
  </si>
  <si>
    <t>Govt of UP</t>
  </si>
  <si>
    <t>Policy</t>
  </si>
  <si>
    <t>Target +2 GW; DC Parks &gt;= 40 MW; dual-grid subsidy for first 8 parks; DC Parks may seek distribution licence; 50-75% wheeling/transmission charge exemption for 25 yrs</t>
  </si>
  <si>
    <t>https://invest.up.gov.in/wp-content/uploads/2026/07/UPDCP-2026-Notification-English.pdf</t>
  </si>
  <si>
    <t>S026</t>
  </si>
  <si>
    <t>HLCA (CM-chaired)</t>
  </si>
  <si>
    <t>Adani</t>
  </si>
  <si>
    <t>1 GW AI DC park</t>
  </si>
  <si>
    <t>S027</t>
  </si>
  <si>
    <t>State approvals</t>
  </si>
  <si>
    <t>Sentraforge AI; HCLTech-Sarvam; RKD Construction</t>
  </si>
  <si>
    <t>Puri; Khordha; Cuttack</t>
  </si>
  <si>
    <t>Sentraforge 120 MW (Rs 22,634 cr); HCLTech-Sarvam Rs 14,257 cr; RKD Rs 1,500 cr</t>
  </si>
  <si>
    <t>S028</t>
  </si>
  <si>
    <t>2026-01-12</t>
  </si>
  <si>
    <t>AdaniConneX (ACXNMI-01, inferred)</t>
  </si>
  <si>
    <t>400 kV POWERGRID Navi Mumbai (GIS)</t>
  </si>
  <si>
    <t>APPROVED</t>
  </si>
  <si>
    <t>13 x 50 MW approved (Jul-2024 apps) + 418 + 74 + 174 + 152 MW approved (Jan-2026 apps)</t>
  </si>
  <si>
    <t>S029</t>
  </si>
  <si>
    <t>2026-05-15</t>
  </si>
  <si>
    <t>Adani Infra (India) Ltd</t>
  </si>
  <si>
    <t>Adani (DC inferred)</t>
  </si>
  <si>
    <t>LILO of 400 kV Padghe-Kharghar (Navi Mumbai)</t>
  </si>
  <si>
    <t>10 x 50 MW</t>
  </si>
  <si>
    <t>S030</t>
  </si>
  <si>
    <t>2026-09-16</t>
  </si>
  <si>
    <t>Vardhexa Data Centre Pvt Ltd</t>
  </si>
  <si>
    <t>Pune (Talegaon)</t>
  </si>
  <si>
    <t>Sr (CTUIL)</t>
  </si>
  <si>
    <t>Application no.</t>
  </si>
  <si>
    <t>Application date</t>
  </si>
  <si>
    <t>Nature of applicant</t>
  </si>
  <si>
    <t>GNA quantum (MW)</t>
  </si>
  <si>
    <t>Interconnection point</t>
  </si>
  <si>
    <t>State (derived)</t>
  </si>
  <si>
    <t>DC classification</t>
  </si>
  <si>
    <t>78</t>
  </si>
  <si>
    <t>DISTINGUISHED CONSULTANCY SOLUTIONS PRIVATE LIMITED</t>
  </si>
  <si>
    <t>2200004188</t>
  </si>
  <si>
    <t>26-08-2026</t>
  </si>
  <si>
    <t>Bulk consumer (including Green Hydrogen / Green Ammonia) seeking to connect to ISTS directly</t>
  </si>
  <si>
    <t>VIJAYAWADA</t>
  </si>
  <si>
    <t>Under Process</t>
  </si>
  <si>
    <t>153</t>
  </si>
  <si>
    <t>QUBITIQ VENTURES PRIVATE LIMITED</t>
  </si>
  <si>
    <t>2200004324</t>
  </si>
  <si>
    <t>06-10-2026</t>
  </si>
  <si>
    <t>24</t>
  </si>
  <si>
    <t>ADANI INFRA (INDIA) LIMITED</t>
  </si>
  <si>
    <t>2200003734</t>
  </si>
  <si>
    <t>20-05-2026</t>
  </si>
  <si>
    <t>VATAMAN (NEW) SUBSTATION, Gujarat</t>
  </si>
  <si>
    <t>45</t>
  </si>
  <si>
    <t>BLUEPARROT PEDESTAL LIMITED</t>
  </si>
  <si>
    <t>2200004226</t>
  </si>
  <si>
    <t>03-09-2026</t>
  </si>
  <si>
    <t>LILO of 765kV Halvad-Vataman line, Houwever Nearest Substation is Vataman</t>
  </si>
  <si>
    <t>46</t>
  </si>
  <si>
    <t>2200004227</t>
  </si>
  <si>
    <t>47</t>
  </si>
  <si>
    <t>2200004228</t>
  </si>
  <si>
    <t>48</t>
  </si>
  <si>
    <t>2200004229</t>
  </si>
  <si>
    <t>49</t>
  </si>
  <si>
    <t>2200004230</t>
  </si>
  <si>
    <t>50</t>
  </si>
  <si>
    <t>2200004231</t>
  </si>
  <si>
    <t>51</t>
  </si>
  <si>
    <t>2200004232</t>
  </si>
  <si>
    <t>52</t>
  </si>
  <si>
    <t>2200004234</t>
  </si>
  <si>
    <t>53</t>
  </si>
  <si>
    <t>2200004235</t>
  </si>
  <si>
    <t>54</t>
  </si>
  <si>
    <t>2200004236</t>
  </si>
  <si>
    <t>55</t>
  </si>
  <si>
    <t>2200004237</t>
  </si>
  <si>
    <t>56</t>
  </si>
  <si>
    <t>2200004238</t>
  </si>
  <si>
    <t>57</t>
  </si>
  <si>
    <t>2200004240</t>
  </si>
  <si>
    <t>04-09-2026</t>
  </si>
  <si>
    <t>58</t>
  </si>
  <si>
    <t>2200004241</t>
  </si>
  <si>
    <t>59</t>
  </si>
  <si>
    <t>2200004243</t>
  </si>
  <si>
    <t>LILO of 765kV Halvad-Vataman line, However Nearest Substation is Vataman</t>
  </si>
  <si>
    <t>60</t>
  </si>
  <si>
    <t>2200004244</t>
  </si>
  <si>
    <t>61</t>
  </si>
  <si>
    <t>2200004245</t>
  </si>
  <si>
    <t>62</t>
  </si>
  <si>
    <t>2200004246</t>
  </si>
  <si>
    <t>63</t>
  </si>
  <si>
    <t>2200004247</t>
  </si>
  <si>
    <t>64</t>
  </si>
  <si>
    <t>2200004248</t>
  </si>
  <si>
    <t>65</t>
  </si>
  <si>
    <t>2200004249</t>
  </si>
  <si>
    <t>66</t>
  </si>
  <si>
    <t>2200004250</t>
  </si>
  <si>
    <t>67</t>
  </si>
  <si>
    <t>2200004251</t>
  </si>
  <si>
    <t>68</t>
  </si>
  <si>
    <t>2200004252</t>
  </si>
  <si>
    <t>69</t>
  </si>
  <si>
    <t>2200004254</t>
  </si>
  <si>
    <t>70</t>
  </si>
  <si>
    <t>2200004233</t>
  </si>
  <si>
    <t>24-09-2026</t>
  </si>
  <si>
    <t>115</t>
  </si>
  <si>
    <t>IMPECCABLE POWER SOLUTIONS PRIVATE LIMITED</t>
  </si>
  <si>
    <t>2200004187</t>
  </si>
  <si>
    <t>27-08-2026</t>
  </si>
  <si>
    <t>BAHADURGARH</t>
  </si>
  <si>
    <t>15</t>
  </si>
  <si>
    <t>2200003697</t>
  </si>
  <si>
    <t>15-05-2026</t>
  </si>
  <si>
    <t>LILO of 400kV Padghe-Kharghar</t>
  </si>
  <si>
    <t>16</t>
  </si>
  <si>
    <t>2200003698</t>
  </si>
  <si>
    <t>17</t>
  </si>
  <si>
    <t>2200003699</t>
  </si>
  <si>
    <t>18</t>
  </si>
  <si>
    <t>2200003700</t>
  </si>
  <si>
    <t>19</t>
  </si>
  <si>
    <t>2200003702</t>
  </si>
  <si>
    <t>20</t>
  </si>
  <si>
    <t>2200003703</t>
  </si>
  <si>
    <t>21</t>
  </si>
  <si>
    <t>2200003704</t>
  </si>
  <si>
    <t>22</t>
  </si>
  <si>
    <t>2200003705</t>
  </si>
  <si>
    <t>23</t>
  </si>
  <si>
    <t>2200003706</t>
  </si>
  <si>
    <t>25</t>
  </si>
  <si>
    <t>2200003696</t>
  </si>
  <si>
    <t>04-06-2026</t>
  </si>
  <si>
    <t>184</t>
  </si>
  <si>
    <t>SUPPORT PROPERTIES PRIVATE LIMITED</t>
  </si>
  <si>
    <t>2200000952</t>
  </si>
  <si>
    <t>02-07-2024</t>
  </si>
  <si>
    <t>400KV Power Grid Navi Mumbai (GIS) Substation</t>
  </si>
  <si>
    <t>185</t>
  </si>
  <si>
    <t>2200000963</t>
  </si>
  <si>
    <t>186</t>
  </si>
  <si>
    <t>2200000951</t>
  </si>
  <si>
    <t>187</t>
  </si>
  <si>
    <t>2200000950</t>
  </si>
  <si>
    <t>188</t>
  </si>
  <si>
    <t>2200000966</t>
  </si>
  <si>
    <t>189</t>
  </si>
  <si>
    <t>2200000965</t>
  </si>
  <si>
    <t>190</t>
  </si>
  <si>
    <t>2200000949</t>
  </si>
  <si>
    <t>191</t>
  </si>
  <si>
    <t>2200000962</t>
  </si>
  <si>
    <t>192</t>
  </si>
  <si>
    <t>2200000959</t>
  </si>
  <si>
    <t>193</t>
  </si>
  <si>
    <t>2200000957</t>
  </si>
  <si>
    <t>194</t>
  </si>
  <si>
    <t>2200000960</t>
  </si>
  <si>
    <t>195</t>
  </si>
  <si>
    <t>2200000961</t>
  </si>
  <si>
    <t>196</t>
  </si>
  <si>
    <t>2200000964</t>
  </si>
  <si>
    <t>197</t>
  </si>
  <si>
    <t>2200002962</t>
  </si>
  <si>
    <t>12-01-2026</t>
  </si>
  <si>
    <t>198</t>
  </si>
  <si>
    <t>2200002964</t>
  </si>
  <si>
    <t>199</t>
  </si>
  <si>
    <t>2200002965</t>
  </si>
  <si>
    <t>200</t>
  </si>
  <si>
    <t>2200002966</t>
  </si>
  <si>
    <t>71</t>
  </si>
  <si>
    <t>CHANDENVALLE INFRA PARK LIMITED</t>
  </si>
  <si>
    <t>2200003988</t>
  </si>
  <si>
    <t>03-08-2026</t>
  </si>
  <si>
    <t>LILO of 400kV Doma-Kethireddypally (Nearest Substation is DOMA)</t>
  </si>
  <si>
    <t>72</t>
  </si>
  <si>
    <t>2200003992</t>
  </si>
  <si>
    <t>73</t>
  </si>
  <si>
    <t>2200003993</t>
  </si>
  <si>
    <t>74</t>
  </si>
  <si>
    <t>2200003994</t>
  </si>
  <si>
    <t>75</t>
  </si>
  <si>
    <t>2200003996</t>
  </si>
  <si>
    <t>89</t>
  </si>
  <si>
    <t>GIRIDHARI BUILD ESTATE LIMITED</t>
  </si>
  <si>
    <t>2200003404</t>
  </si>
  <si>
    <t>26-02-2026</t>
  </si>
  <si>
    <t>Power Grid Maheswaran Substation</t>
  </si>
  <si>
    <t>90</t>
  </si>
  <si>
    <t>2200003406</t>
  </si>
  <si>
    <t>Power Grid Maheswaram Substation</t>
  </si>
  <si>
    <t>91</t>
  </si>
  <si>
    <t>2200003407</t>
  </si>
  <si>
    <t>92</t>
  </si>
  <si>
    <t>2200003408</t>
  </si>
  <si>
    <t>93</t>
  </si>
  <si>
    <t>2200004005</t>
  </si>
  <si>
    <t>LILO of 765kV Bidar PS- Maheshwaram TL, (From the existing LILO connectivity provided to Granthik and Giridhari )</t>
  </si>
  <si>
    <t>94</t>
  </si>
  <si>
    <t>2200004004</t>
  </si>
  <si>
    <t>LILO of 765kV Bidar PS- Maheshwaram TL (From the existing LILO connectivity provided to Granthik and Giridhari)</t>
  </si>
  <si>
    <t>95</t>
  </si>
  <si>
    <t>2200004003</t>
  </si>
  <si>
    <t>96</t>
  </si>
  <si>
    <t>2200004002</t>
  </si>
  <si>
    <t>97</t>
  </si>
  <si>
    <t>GRANTHIK REALTORS PRIVATE LIMITED</t>
  </si>
  <si>
    <t>2200003388</t>
  </si>
  <si>
    <t>23-02-2026</t>
  </si>
  <si>
    <t>98</t>
  </si>
  <si>
    <t>2200003390</t>
  </si>
  <si>
    <t>99</t>
  </si>
  <si>
    <t>2200003391</t>
  </si>
  <si>
    <t>136</t>
  </si>
  <si>
    <t>MADHUVANTI BUILD ESTATE LIMITED</t>
  </si>
  <si>
    <t>2200003997</t>
  </si>
  <si>
    <t>137</t>
  </si>
  <si>
    <t>2200003998</t>
  </si>
  <si>
    <t>138</t>
  </si>
  <si>
    <t>2200003999</t>
  </si>
  <si>
    <t>139</t>
  </si>
  <si>
    <t>2200004000</t>
  </si>
  <si>
    <t>140</t>
  </si>
  <si>
    <t>2200004001</t>
  </si>
  <si>
    <t>212</t>
  </si>
  <si>
    <t>VIZAG HYPERSCALE DATA CENTER PARK LIMITED</t>
  </si>
  <si>
    <t>2200003654</t>
  </si>
  <si>
    <t>08-05-2026</t>
  </si>
  <si>
    <t>Gajuwaka Substation</t>
  </si>
  <si>
    <t>213</t>
  </si>
  <si>
    <t>2200003655</t>
  </si>
  <si>
    <t>214</t>
  </si>
  <si>
    <t>2200003656</t>
  </si>
  <si>
    <t>215</t>
  </si>
  <si>
    <t>2200003658</t>
  </si>
  <si>
    <t>Pendurathi Substation (Proposed)</t>
  </si>
  <si>
    <t>216</t>
  </si>
  <si>
    <t>2200003661</t>
  </si>
  <si>
    <t>Pendurthi Substation (Proposed)</t>
  </si>
  <si>
    <t>217</t>
  </si>
  <si>
    <t>2200003662</t>
  </si>
  <si>
    <t>09-05-2026</t>
  </si>
  <si>
    <t>218</t>
  </si>
  <si>
    <t>2200003663</t>
  </si>
  <si>
    <t>219</t>
  </si>
  <si>
    <t>2200003664</t>
  </si>
  <si>
    <t>220</t>
  </si>
  <si>
    <t>VIZAG MEGA DATA CENTER PARK LIMITED</t>
  </si>
  <si>
    <t>2200003641</t>
  </si>
  <si>
    <t>07-05-2026</t>
  </si>
  <si>
    <t>Gazuwaka Substation</t>
  </si>
  <si>
    <t>221</t>
  </si>
  <si>
    <t>2200003642</t>
  </si>
  <si>
    <t>222</t>
  </si>
  <si>
    <t>2200003643</t>
  </si>
  <si>
    <t>223</t>
  </si>
  <si>
    <t>2200003644</t>
  </si>
  <si>
    <t>224</t>
  </si>
  <si>
    <t>2200003645</t>
  </si>
  <si>
    <t>Pendurthi (Proposed)</t>
  </si>
  <si>
    <t>225</t>
  </si>
  <si>
    <t>2200003646</t>
  </si>
  <si>
    <t>226</t>
  </si>
  <si>
    <t>2200003647</t>
  </si>
  <si>
    <t>227</t>
  </si>
  <si>
    <t>2200003648</t>
  </si>
  <si>
    <t>228</t>
  </si>
  <si>
    <t>2200003650</t>
  </si>
  <si>
    <t>229</t>
  </si>
  <si>
    <t>2200003652</t>
  </si>
  <si>
    <t>230</t>
  </si>
  <si>
    <t>2200003651</t>
  </si>
  <si>
    <t>231</t>
  </si>
  <si>
    <t>VIZAG RAMBILLI DATA CENTER PARK LIMITED</t>
  </si>
  <si>
    <t>2200003657</t>
  </si>
  <si>
    <t>232</t>
  </si>
  <si>
    <t>2200003659</t>
  </si>
  <si>
    <t>233</t>
  </si>
  <si>
    <t>2200003660</t>
  </si>
  <si>
    <t>234</t>
  </si>
  <si>
    <t>2200003665</t>
  </si>
  <si>
    <t>235</t>
  </si>
  <si>
    <t>2200003666</t>
  </si>
  <si>
    <t>236</t>
  </si>
  <si>
    <t>2200003667</t>
  </si>
  <si>
    <t>237</t>
  </si>
  <si>
    <t>2200003668</t>
  </si>
  <si>
    <t>238</t>
  </si>
  <si>
    <t>2200003669</t>
  </si>
  <si>
    <t>179</t>
  </si>
  <si>
    <t>SITAC DC INFRA PRIVATE LIMITED</t>
  </si>
  <si>
    <t>2200004115</t>
  </si>
  <si>
    <t>12-08-2026</t>
  </si>
  <si>
    <t>Bidar</t>
  </si>
  <si>
    <t>180</t>
  </si>
  <si>
    <t>SITAC DC PRIVATE LIMITED</t>
  </si>
  <si>
    <t>2200004189</t>
  </si>
  <si>
    <t>TUMKUR</t>
  </si>
  <si>
    <t>208</t>
  </si>
  <si>
    <t>VARDHEXA DATA CENTRE PRIVATE LIMITED</t>
  </si>
  <si>
    <t>2200004328</t>
  </si>
  <si>
    <t>16-09-2026</t>
  </si>
  <si>
    <t>PUNE (TALEGAON)</t>
  </si>
  <si>
    <t>37</t>
  </si>
  <si>
    <t>ANVORA CLOUD SERVICES PRIVATE LIMITED</t>
  </si>
  <si>
    <t>2200004329</t>
  </si>
  <si>
    <t>BASSI</t>
  </si>
  <si>
    <t>178</t>
  </si>
  <si>
    <t>2200004114</t>
  </si>
  <si>
    <t>Tutticorin II</t>
  </si>
  <si>
    <t>43</t>
  </si>
  <si>
    <t>AVRENTA DATA CENTRE PRIVATE LIMITED</t>
  </si>
  <si>
    <t>2200004325</t>
  </si>
  <si>
    <t>18-09-2026</t>
  </si>
  <si>
    <t>MAHESHWARAM</t>
  </si>
  <si>
    <t>77</t>
  </si>
  <si>
    <t>CTRL S DATACENTERS LIMITED</t>
  </si>
  <si>
    <t>2200002559</t>
  </si>
  <si>
    <t>03-12-2025</t>
  </si>
  <si>
    <t>Maheswaram</t>
  </si>
  <si>
    <t>CLOSED</t>
  </si>
  <si>
    <t>113</t>
  </si>
  <si>
    <t>HYPERVAULT AI DATA CENTER LIMITED</t>
  </si>
  <si>
    <t>2200003810</t>
  </si>
  <si>
    <t>24-06-2026</t>
  </si>
  <si>
    <t>Maheshwaram substation</t>
  </si>
  <si>
    <t>114</t>
  </si>
  <si>
    <t>2200004386</t>
  </si>
  <si>
    <t>25-09-2026</t>
  </si>
  <si>
    <t>Maheshwaram Sub station</t>
  </si>
  <si>
    <t>42</t>
  </si>
  <si>
    <t>ARCELORMITTAL NIPPON STEEL INDIA LIMITED</t>
  </si>
  <si>
    <t>2200002973</t>
  </si>
  <si>
    <t>19-01-2026</t>
  </si>
  <si>
    <t>LILO (Loop-In Loop-Out) of Vemagiri-II – Gajuwaka 400kV line or a Vemagiri-II to NTPC Simhadri 400 kV D/C line</t>
  </si>
  <si>
    <t>Not DC (H2 / industrial / rail)</t>
  </si>
  <si>
    <t>112</t>
  </si>
  <si>
    <t>HIRA ELECTRO SMELTERS LIMITED</t>
  </si>
  <si>
    <t>2200004351</t>
  </si>
  <si>
    <t>21-09-2026</t>
  </si>
  <si>
    <t>Palasa, 765 kV GIS Srikakulam Substation</t>
  </si>
  <si>
    <t>145</t>
  </si>
  <si>
    <t>NTPC GREEN ENERGY LIMITED</t>
  </si>
  <si>
    <t>2200001887</t>
  </si>
  <si>
    <t>12-04-2025</t>
  </si>
  <si>
    <t>Pudimadka,A.P</t>
  </si>
  <si>
    <t>146</t>
  </si>
  <si>
    <t>2200003870</t>
  </si>
  <si>
    <t>25-06-2026</t>
  </si>
  <si>
    <t>NTPC SIMHADRI SWITCHYARD</t>
  </si>
  <si>
    <t>207</t>
  </si>
  <si>
    <t>ULTRATECH CEMENT LIMITED</t>
  </si>
  <si>
    <t>2200003430</t>
  </si>
  <si>
    <t>05-03-2026</t>
  </si>
  <si>
    <t>KURNOOL -3 ( Nandipadu)</t>
  </si>
  <si>
    <t>44</t>
  </si>
  <si>
    <t>BHARAT ALUMINIUM CO LTD</t>
  </si>
  <si>
    <t>2200002088</t>
  </si>
  <si>
    <t>31-05-2025</t>
  </si>
  <si>
    <t>765/400KV Dharamjaygarh Sub-Station</t>
  </si>
  <si>
    <t>Chhattisgarh</t>
  </si>
  <si>
    <t>127</t>
  </si>
  <si>
    <t>JINDAL PANTHER CEMENT PRIVATE LIMITED</t>
  </si>
  <si>
    <t>2200002291</t>
  </si>
  <si>
    <t>07-08-2025</t>
  </si>
  <si>
    <t>765/400KV Raigarh (Kotra Road) S/S</t>
  </si>
  <si>
    <t>128</t>
  </si>
  <si>
    <t>JINDAL STEEL &amp; POWER LIMITED</t>
  </si>
  <si>
    <t>2200001016</t>
  </si>
  <si>
    <t>19-07-2024</t>
  </si>
  <si>
    <t>POWER GIRD KOTRA</t>
  </si>
  <si>
    <t>40</t>
  </si>
  <si>
    <t>2200000362</t>
  </si>
  <si>
    <t>22-11-2023</t>
  </si>
  <si>
    <t>EPTCL 400KV Sub-Station, Hazira, Surat.</t>
  </si>
  <si>
    <t>41</t>
  </si>
  <si>
    <t>2200000377</t>
  </si>
  <si>
    <t>05-12-2023</t>
  </si>
  <si>
    <t>EPTCL 400KV Sub-Station, Hazira, Surat</t>
  </si>
  <si>
    <t>100</t>
  </si>
  <si>
    <t>GRASIM INDUSTRIES LTD</t>
  </si>
  <si>
    <t>2200000168</t>
  </si>
  <si>
    <t>03-08-2023</t>
  </si>
  <si>
    <t>JHANOR</t>
  </si>
  <si>
    <t>106</t>
  </si>
  <si>
    <t>HINDALCO INDUSTRIES LIMITED</t>
  </si>
  <si>
    <t>2200002327</t>
  </si>
  <si>
    <t>02-09-2025</t>
  </si>
  <si>
    <t>DGEN TORRENT DAHEJ SUBSTATION CONNECTED TO NAVSARI ISTS SS</t>
  </si>
  <si>
    <t>133</t>
  </si>
  <si>
    <t>KUTCH CHEMICAL INDUSTRIES LIMITED</t>
  </si>
  <si>
    <t>2200000323</t>
  </si>
  <si>
    <t>27-10-2023</t>
  </si>
  <si>
    <t>POWER GRID CORPORATION OF INDIA BHACHAU SUB-STATION</t>
  </si>
  <si>
    <t>134</t>
  </si>
  <si>
    <t>L&amp;T ENERGY GREEN TECH LIMITED</t>
  </si>
  <si>
    <t>2200001742</t>
  </si>
  <si>
    <t>09-04-2025</t>
  </si>
  <si>
    <t>Kandla (GIS) S/s</t>
  </si>
  <si>
    <t>135</t>
  </si>
  <si>
    <t>L&amp;T GREEN ENERGY KANDLA PRIVATE LIMITED</t>
  </si>
  <si>
    <t>2200003943</t>
  </si>
  <si>
    <t>04-07-2026</t>
  </si>
  <si>
    <t>144</t>
  </si>
  <si>
    <t>MUNDRA PETROCHEM LIMITED</t>
  </si>
  <si>
    <t>2200000124</t>
  </si>
  <si>
    <t>28-06-2023</t>
  </si>
  <si>
    <t>Navinal (Mundra) (Proposed)</t>
  </si>
  <si>
    <t>102</t>
  </si>
  <si>
    <t>HHP TWO PRIVATE LIMITED</t>
  </si>
  <si>
    <t>2200000272</t>
  </si>
  <si>
    <t>06-10-2023</t>
  </si>
  <si>
    <t>400/220 KV PGCIL Village:Jaji, District : Sonipat-131024</t>
  </si>
  <si>
    <t>103</t>
  </si>
  <si>
    <t>2200000627</t>
  </si>
  <si>
    <t>21-03-2024</t>
  </si>
  <si>
    <t>Vindhyachal Pulling Station</t>
  </si>
  <si>
    <t>Madhya Pradesh</t>
  </si>
  <si>
    <t>148</t>
  </si>
  <si>
    <t>NTPC RENEWABLE ENERGY LIMITED</t>
  </si>
  <si>
    <t>2200003898</t>
  </si>
  <si>
    <t>26-06-2026</t>
  </si>
  <si>
    <t>Rajgarh(PG)</t>
  </si>
  <si>
    <t>151</t>
  </si>
  <si>
    <t>PRAXAIR INDIA PRIVATE LIMITED</t>
  </si>
  <si>
    <t>2200001565</t>
  </si>
  <si>
    <t>02-01-2025</t>
  </si>
  <si>
    <t>Bina</t>
  </si>
  <si>
    <t>125</t>
  </si>
  <si>
    <t>INOX AIR PRODUCTS PRIVATE LIMITED</t>
  </si>
  <si>
    <t>2200000645</t>
  </si>
  <si>
    <t>09-04-2024</t>
  </si>
  <si>
    <t>Talegaon, Pune , Maharashtra.</t>
  </si>
  <si>
    <t>83</t>
  </si>
  <si>
    <t>fA&amp;CAO Central Railway</t>
  </si>
  <si>
    <t>2200000416</t>
  </si>
  <si>
    <t>19-03-2024</t>
  </si>
  <si>
    <t>Asangaon Padgha</t>
  </si>
  <si>
    <t>84</t>
  </si>
  <si>
    <t>2200000613</t>
  </si>
  <si>
    <t>Talegaon</t>
  </si>
  <si>
    <t>5</t>
  </si>
  <si>
    <t>ACME CLEAN ENERGY PRIVATE LIMITED</t>
  </si>
  <si>
    <t>2200001715</t>
  </si>
  <si>
    <t>07-02-2025</t>
  </si>
  <si>
    <t>Gopalpur</t>
  </si>
  <si>
    <t>6</t>
  </si>
  <si>
    <t>ACME CLEANTECH SOLUTIONS PRIVATE LIMITED</t>
  </si>
  <si>
    <t>2200003016</t>
  </si>
  <si>
    <t>09-01-2026</t>
  </si>
  <si>
    <t>7</t>
  </si>
  <si>
    <t>2200003064</t>
  </si>
  <si>
    <t>23-01-2026</t>
  </si>
  <si>
    <t>Paradeep</t>
  </si>
  <si>
    <t>8</t>
  </si>
  <si>
    <t>2200003065</t>
  </si>
  <si>
    <t>9</t>
  </si>
  <si>
    <t>2200004149</t>
  </si>
  <si>
    <t>18-08-2026</t>
  </si>
  <si>
    <t>Gopalpur 765/400kv ISTS SS</t>
  </si>
  <si>
    <t>10</t>
  </si>
  <si>
    <t>2200004150</t>
  </si>
  <si>
    <t>11</t>
  </si>
  <si>
    <t>2200004153</t>
  </si>
  <si>
    <t>12</t>
  </si>
  <si>
    <t>2200004156</t>
  </si>
  <si>
    <t>13</t>
  </si>
  <si>
    <t>2200004376</t>
  </si>
  <si>
    <t>38</t>
  </si>
  <si>
    <t>2200000134</t>
  </si>
  <si>
    <t>13-07-2023</t>
  </si>
  <si>
    <t>Proposed Kendrapara 765kV/400kV substation</t>
  </si>
  <si>
    <t>39</t>
  </si>
  <si>
    <t>2200000206</t>
  </si>
  <si>
    <t>28-08-2023</t>
  </si>
  <si>
    <t>101</t>
  </si>
  <si>
    <t>HHP FIVE PRIVATE LIMITED</t>
  </si>
  <si>
    <t>2200003897</t>
  </si>
  <si>
    <t>Gopalpur Odisha</t>
  </si>
  <si>
    <t>126</t>
  </si>
  <si>
    <t>JAKSON GREEN GOPALPUR PRIVATE LIMITED</t>
  </si>
  <si>
    <t>2200003901</t>
  </si>
  <si>
    <t>Gopalpur Substation</t>
  </si>
  <si>
    <t>129</t>
  </si>
  <si>
    <t>JIRIBAM SOLAR POWER PRIVATE LIMITED</t>
  </si>
  <si>
    <t>2200003971</t>
  </si>
  <si>
    <t>14-07-2026</t>
  </si>
  <si>
    <t>149</t>
  </si>
  <si>
    <t>OCIOR ENERGY GOPALPUR ONE PRIVATE LIMITED</t>
  </si>
  <si>
    <t>2200003030</t>
  </si>
  <si>
    <t>16-01-2026</t>
  </si>
  <si>
    <t>108</t>
  </si>
  <si>
    <t>HINDUSTAN ZINC LIMITED</t>
  </si>
  <si>
    <t>2200000457</t>
  </si>
  <si>
    <t>13-02-2024</t>
  </si>
  <si>
    <t>Kankroli</t>
  </si>
  <si>
    <t>109</t>
  </si>
  <si>
    <t>2200000453</t>
  </si>
  <si>
    <t>110</t>
  </si>
  <si>
    <t>2200001595</t>
  </si>
  <si>
    <t>13-02-2025</t>
  </si>
  <si>
    <t>PGCIL Chittorgarh</t>
  </si>
  <si>
    <t>211</t>
  </si>
  <si>
    <t>VEDANTA LIMITED</t>
  </si>
  <si>
    <t>2200001695</t>
  </si>
  <si>
    <t>05-02-2025</t>
  </si>
  <si>
    <t>Fathegarh-III PS</t>
  </si>
  <si>
    <t>118</t>
  </si>
  <si>
    <t>Indian Railways</t>
  </si>
  <si>
    <t>2200000852</t>
  </si>
  <si>
    <t>26-06-2024</t>
  </si>
  <si>
    <t>SRIPERUMBUDUR</t>
  </si>
  <si>
    <t>122</t>
  </si>
  <si>
    <t>2200002160</t>
  </si>
  <si>
    <t>13-06-2025</t>
  </si>
  <si>
    <t>Salem</t>
  </si>
  <si>
    <t>123</t>
  </si>
  <si>
    <t>2200002379</t>
  </si>
  <si>
    <t>THIRUVALAM ( KLR - MDS, TOWER NO. 0464 )</t>
  </si>
  <si>
    <t>107</t>
  </si>
  <si>
    <t>2200000467</t>
  </si>
  <si>
    <t>Unclear</t>
  </si>
  <si>
    <t>111</t>
  </si>
  <si>
    <t>2200002025</t>
  </si>
  <si>
    <t>02-06-2025</t>
  </si>
  <si>
    <t>117</t>
  </si>
  <si>
    <t>2200000375</t>
  </si>
  <si>
    <t>07-05-2024</t>
  </si>
  <si>
    <t>NAINI</t>
  </si>
  <si>
    <t>120</t>
  </si>
  <si>
    <t>2200001656</t>
  </si>
  <si>
    <t>06-02-2025</t>
  </si>
  <si>
    <t>124</t>
  </si>
  <si>
    <t>2200002494</t>
  </si>
  <si>
    <t>22-10-2025</t>
  </si>
  <si>
    <t>Mainpuri PGCIL GSS</t>
  </si>
  <si>
    <t>155</t>
  </si>
  <si>
    <t>RELIANCE INDUSTRIES LIMITED</t>
  </si>
  <si>
    <t>2200002406</t>
  </si>
  <si>
    <t>09-09-2025</t>
  </si>
  <si>
    <t>400/220 KV Jam Khambhaliya (GIS)</t>
  </si>
  <si>
    <t>156</t>
  </si>
  <si>
    <t>2200002407</t>
  </si>
  <si>
    <t>157</t>
  </si>
  <si>
    <t>2200002408</t>
  </si>
  <si>
    <t>161</t>
  </si>
  <si>
    <t>2200003847</t>
  </si>
  <si>
    <t>15-06-2026</t>
  </si>
  <si>
    <t>PGCIL Vadodara S/s</t>
  </si>
  <si>
    <t>162</t>
  </si>
  <si>
    <t>2200003848</t>
  </si>
  <si>
    <t>PGCIL KALA S/s</t>
  </si>
  <si>
    <t>163</t>
  </si>
  <si>
    <t>2200004129</t>
  </si>
  <si>
    <t>New S/s near RIL Jamnagar</t>
  </si>
  <si>
    <t>164</t>
  </si>
  <si>
    <t>2200004130</t>
  </si>
  <si>
    <t>165</t>
  </si>
  <si>
    <t>2200004131</t>
  </si>
  <si>
    <t>166</t>
  </si>
  <si>
    <t>2200004132</t>
  </si>
  <si>
    <t>167</t>
  </si>
  <si>
    <t>2200004124</t>
  </si>
  <si>
    <t>168</t>
  </si>
  <si>
    <t>2200004123</t>
  </si>
  <si>
    <t>169</t>
  </si>
  <si>
    <t>2200004122</t>
  </si>
  <si>
    <t>170</t>
  </si>
  <si>
    <t>2200004121</t>
  </si>
  <si>
    <t>171</t>
  </si>
  <si>
    <t>2200004120</t>
  </si>
  <si>
    <t>172</t>
  </si>
  <si>
    <t>2200004119</t>
  </si>
  <si>
    <t>173</t>
  </si>
  <si>
    <t>2200004219</t>
  </si>
  <si>
    <t>174</t>
  </si>
  <si>
    <t>2200004221</t>
  </si>
  <si>
    <t>175</t>
  </si>
  <si>
    <t>2200004222</t>
  </si>
  <si>
    <t>160</t>
  </si>
  <si>
    <t>2200003846</t>
  </si>
  <si>
    <t>LILO at line -'400/220 KV Pune (Talegaon AIS) to RIL Nagothane'</t>
  </si>
  <si>
    <t>Source: CTUIL 'Status of Application under GNA Regulation' (stage-II applications; bulk consumers &gt;= 50 MW connecting directly to ISTS), downloaded 19-Oct-2026 from https://ctuil.in/nswsapi/gna . Yellow = data-centre named or likely. Classification is this dataset's judgement - see README.</t>
  </si>
  <si>
    <t>Scope</t>
  </si>
  <si>
    <t>Body / source owner</t>
  </si>
  <si>
    <t>Metric</t>
  </si>
  <si>
    <t>Value</t>
  </si>
  <si>
    <t>Unit</t>
  </si>
  <si>
    <t>As-of / date</t>
  </si>
  <si>
    <t>N001</t>
  </si>
  <si>
    <t>India</t>
  </si>
  <si>
    <t>Ministry of Power - Rajya Sabha USQ 956 (MoS Shripad Naik)</t>
  </si>
  <si>
    <t>Additional load from AI data centres projected by 2031-32 (CEA)</t>
  </si>
  <si>
    <t>MW</t>
  </si>
  <si>
    <t>2026-07-27</t>
  </si>
  <si>
    <t>Rajya Sabha unstarred question 956, answered 27-07-2026</t>
  </si>
  <si>
    <t>https://sansad.in/getFile/annex/271/AU956_9jPv13.pdf?source=pqars</t>
  </si>
  <si>
    <t>No state-wise split in the answer. Annexure: all-India peak 289 GW (FY27) -&gt; 388 GW (FY32).</t>
  </si>
  <si>
    <t>N002</t>
  </si>
  <si>
    <t>Ministry of Power (as reported)</t>
  </si>
  <si>
    <t>...of which already applied for STU connectivity</t>
  </si>
  <si>
    <t>2026-05-14</t>
  </si>
  <si>
    <t>Telborg briefing</t>
  </si>
  <si>
    <t>https://telborg.com/datacentre-briefings/256</t>
  </si>
  <si>
    <t>9.3 GW not yet applied; covers 11 states. Need primary confirmation.</t>
  </si>
  <si>
    <t>N003</t>
  </si>
  <si>
    <t>Ministry of Power - Rajya Sabha USQ 4151</t>
  </si>
  <si>
    <t>Data-centre capacity projected by 2031-32 (earlier estimate)</t>
  </si>
  <si>
    <t>2026-03-30</t>
  </si>
  <si>
    <t>Rajya Sabha unstarred question 4151, answered 30-03-2026</t>
  </si>
  <si>
    <t>https://sansad.in/getFile/annex/270/AU4151_DoYAWR.pdf?source=pqars</t>
  </si>
  <si>
    <t>Same 13.56 GW in RS USQ 1753 (15-12-2025), which put present DC power requirement at ~1 GW. The official estimate roughly doubled (13.56 -&gt; +26.3 GW) within four months.</t>
  </si>
  <si>
    <t>N004</t>
  </si>
  <si>
    <t>Ministry of Power - Rajya Sabha USQ 1753</t>
  </si>
  <si>
    <t>Present power requirement of data centres</t>
  </si>
  <si>
    <t>2025-12-15</t>
  </si>
  <si>
    <t>Rajya Sabha unstarred question 1753, answered 15-12-2025</t>
  </si>
  <si>
    <t>https://sansad.in/getFile/annex/269/AU1753_OkjHmF.pdf?source=pqars</t>
  </si>
  <si>
    <t>'details of electricity consumed by the Data Centres are not centrally maintained'.</t>
  </si>
  <si>
    <t>N005</t>
  </si>
  <si>
    <t>MeitY (Lok Sabha USQ 2990)</t>
  </si>
  <si>
    <t>Installed data-centre capacity in India</t>
  </si>
  <si>
    <t>2026-08-05</t>
  </si>
  <si>
    <t>Lok Sabha unstarred question 2990</t>
  </si>
  <si>
    <t>https://sansad.in/getFile/lsapps/loksabhaquestions/annex/188/AU2990_SqOT7j.pdf</t>
  </si>
  <si>
    <t>Up from 375 MW in 2020.</t>
  </si>
  <si>
    <t>N006</t>
  </si>
  <si>
    <t>MERC order Case 88/2026 (STU submission)</t>
  </si>
  <si>
    <t>DC load with STU grid connectivity granted - Ambernath region alone</t>
  </si>
  <si>
    <t>MERC order 88/2026</t>
  </si>
  <si>
    <t>Plus ~1,500 MW under consideration =&gt; 2,950 MW by 2028 in one 400 kV node.</t>
  </si>
  <si>
    <t>N007</t>
  </si>
  <si>
    <t>MSETCL STU Plan 2024-34</t>
  </si>
  <si>
    <t>New 765/400 kV transformation planned at Mahape solely for DC consumers</t>
  </si>
  <si>
    <t>MVA</t>
  </si>
  <si>
    <t>MSETCL STU plan, Annexure-E</t>
  </si>
  <si>
    <t>Plus 2,000 MVA at 400/220 kV.</t>
  </si>
  <si>
    <t>N008</t>
  </si>
  <si>
    <t>CMO adviser (Kaustubh Dhavse)</t>
  </si>
  <si>
    <t>State data-centre capacity target by 2032</t>
  </si>
  <si>
    <t>2026-09-03</t>
  </si>
  <si>
    <t>The420.in</t>
  </si>
  <si>
    <t>https://the420.in/maharashtra-data-centre-investment-ai-5-7-gw-capacity/</t>
  </si>
  <si>
    <t>Also: &gt;US$300bn of DC investment interest; Maharashtra ~66% of India DC capacity.</t>
  </si>
  <si>
    <t>N009</t>
  </si>
  <si>
    <t>CEA Chairman (speech)</t>
  </si>
  <si>
    <t>Data-centre capacity outlook</t>
  </si>
  <si>
    <t>2026-10-15</t>
  </si>
  <si>
    <t>Daily Prabhat</t>
  </si>
  <si>
    <t>https://www.dailyprabhat.com/indias-data-centre-capacity-may-surge-to-24-26-gw-impact-on-overall-power-demand-to-remain-limited-cea-chairman/</t>
  </si>
  <si>
    <t>Range 24-26 GW; midpoint shown.</t>
  </si>
  <si>
    <t>N010</t>
  </si>
  <si>
    <t>Industries Dept &amp; MIDC</t>
  </si>
  <si>
    <t>Mega DC projects in pipeline (count)</t>
  </si>
  <si>
    <t>projects</t>
  </si>
  <si>
    <t>2026-05-22</t>
  </si>
  <si>
    <t>IANS via NewKerala</t>
  </si>
  <si>
    <t>https://www.newkerala.com/news/a/maharashtra-emerges-data-centre-capital-rs-1669-lakh-893.htm</t>
  </si>
  <si>
    <t>28 under construction (Rs 7.77 lakh cr), 16 planning (Rs 8.91 lakh cr); LoIs issued for 28 projects (Rs 12.46 lakh cr).</t>
  </si>
  <si>
    <t>N011</t>
  </si>
  <si>
    <t>Combined IT capacity of 44 projects</t>
  </si>
  <si>
    <t>A second figure, 31,879 MW, is 'mapped to land requirement'.</t>
  </si>
  <si>
    <t>N012</t>
  </si>
  <si>
    <t>Capacity mapped to land requirement</t>
  </si>
  <si>
    <t>N013</t>
  </si>
  <si>
    <t>Total investment pipeline</t>
  </si>
  <si>
    <t>Rs crore</t>
  </si>
  <si>
    <t>Rs 16.69 lakh crore.</t>
  </si>
  <si>
    <t>N014</t>
  </si>
  <si>
    <t>Navi Mumbai Hub capacity (7 projects)</t>
  </si>
  <si>
    <t>Rs 3.48 lakh crore.</t>
  </si>
  <si>
    <t>N015</t>
  </si>
  <si>
    <t>Taloja Corridor capacity (4 projects)</t>
  </si>
  <si>
    <t>Rs 1.31 lakh crore. Panvel South Rs 1.20 lakh cr (MW n/a).</t>
  </si>
  <si>
    <t>N016</t>
  </si>
  <si>
    <t>Water demand of DC pipeline</t>
  </si>
  <si>
    <t>MLD</t>
  </si>
  <si>
    <t>Taloja 140 MLD; Navi Mumbai Hub 136 MLD.</t>
  </si>
  <si>
    <t>N017</t>
  </si>
  <si>
    <t>AP Energy Dept / APTRANSCO</t>
  </si>
  <si>
    <t>IT load of 16 DC projects (Vizag region)</t>
  </si>
  <si>
    <t>Total demand ~15 GW by FY2036-37.</t>
  </si>
  <si>
    <t>N018</t>
  </si>
  <si>
    <t>AP ITE&amp;C (4 GOs)</t>
  </si>
  <si>
    <t>Capacity of 4 approved DC projects</t>
  </si>
  <si>
    <t>MediaNama</t>
  </si>
  <si>
    <t>Rs 2.83 lakh cr; ~23% of AP record peak (15,016 MW).</t>
  </si>
  <si>
    <t>N019</t>
  </si>
  <si>
    <t>State (MoUs)</t>
  </si>
  <si>
    <t>DC capacity in signed MoUs</t>
  </si>
  <si>
    <t>w.media</t>
  </si>
  <si>
    <t>N020</t>
  </si>
  <si>
    <t>Invest UP</t>
  </si>
  <si>
    <t>DC Policy 2026 target (additional)</t>
  </si>
  <si>
    <t>2021-policy dashboard: 29 MoUs, 644 MW proposed, ~101 MW commercialised.</t>
  </si>
  <si>
    <t>N021</t>
  </si>
  <si>
    <t>Govt of Gujarat</t>
  </si>
  <si>
    <t>DC Policy 2026-29 target</t>
  </si>
  <si>
    <t>Angel One</t>
  </si>
  <si>
    <t>https://www.angelone.in/news/economy/gujarat-unveils-data-centre-policy-2026-29-with-target-of-6-lakh-crore-investment</t>
  </si>
  <si>
    <t>~10 GW of proposals received; incentives only for &gt;=150 MW IT.</t>
  </si>
  <si>
    <t>N022</t>
  </si>
  <si>
    <t>Sustainable DC Policy 2026-31 target</t>
  </si>
  <si>
    <t>~400 MW installed today.</t>
  </si>
  <si>
    <t>N023</t>
  </si>
  <si>
    <t>India - operator</t>
  </si>
  <si>
    <t>Adani Enterprises (AdaniConneX)</t>
  </si>
  <si>
    <t>Tied-up capacity</t>
  </si>
  <si>
    <t>AEL Q1 FY27 presentation</t>
  </si>
  <si>
    <t>65.4 MW operational; '2 GW platform by 2030'.</t>
  </si>
  <si>
    <t>N024</t>
  </si>
  <si>
    <t>NTT GDC India (ICRA)</t>
  </si>
  <si>
    <t>DC capacity</t>
  </si>
  <si>
    <t>ICRA rationale</t>
  </si>
  <si>
    <t>https://www.icra.in/Rating/GetRationalReportFilePdf?Id=141427</t>
  </si>
  <si>
    <t>Capex Rs 1,200-1,500 cr/yr FY26-28; ~24-25% market share.</t>
  </si>
  <si>
    <t>N025</t>
  </si>
  <si>
    <t>Sify Infinit Spaces (DRHP)</t>
  </si>
  <si>
    <t>Built IT capacity</t>
  </si>
  <si>
    <t>2025-06-30</t>
  </si>
  <si>
    <t>DRHP coverage (Angel One)</t>
  </si>
  <si>
    <t>https://www.angelone.in/news/ipos/sify-infinit-spaces-files-drhp-for-3-700-crore-ipo-data-centre-expansion-in-focus</t>
  </si>
  <si>
    <t>129 MW sold + 81 MW contracted for FY26-27 delivery.</t>
  </si>
  <si>
    <t>N026</t>
  </si>
  <si>
    <t>AirTrunk</t>
  </si>
  <si>
    <t>India build plan by 2030</t>
  </si>
  <si>
    <t>2026-06-05</t>
  </si>
  <si>
    <t>TechCrunch</t>
  </si>
  <si>
    <t>US$30bn; ~600 MW existing pipeline across Mumbai, Chennai, Hyderabad.</t>
  </si>
  <si>
    <t>N027</t>
  </si>
  <si>
    <t>Nxtra (Bharti Airtel)</t>
  </si>
  <si>
    <t>Target capacity</t>
  </si>
  <si>
    <t>CRN Asia</t>
  </si>
  <si>
    <t>https://www.crnasia.com/india/news/2026/airtel-raises-1-billion-for-nxtra-to-scale-ai-ready-data-centre-capacity-to-1-gw</t>
  </si>
  <si>
    <t>~250-300 MW today; US$1bn raise led by Alpha Wave.</t>
  </si>
  <si>
    <t>N028</t>
  </si>
  <si>
    <t>India - utility</t>
  </si>
  <si>
    <t>Tata Power</t>
  </si>
  <si>
    <t>DC opportunity pipeline</t>
  </si>
  <si>
    <t>TaxGuru</t>
  </si>
  <si>
    <t>See Grid sheet.</t>
  </si>
  <si>
    <t>#</t>
  </si>
  <si>
    <t>Document to retrieve</t>
  </si>
  <si>
    <t>Where</t>
  </si>
  <si>
    <t>Why it matters</t>
  </si>
  <si>
    <t>Blocker</t>
  </si>
  <si>
    <t>Source of the '17 GW applied with STUs / 11 states' split (not in RS USQ 956)</t>
  </si>
  <si>
    <t>CEA data-centre committee papers; CEA resource-adequacy reviews; RTI to CEA</t>
  </si>
  <si>
    <t>Would give state-wise DC connectivity applications - the most direct test of the client thesis</t>
  </si>
  <si>
    <t>RESOLVED in part: RS USQ 956 retrieved - national figure only</t>
  </si>
  <si>
    <t>Maharashtra Industries/MIDC list of 44 mega DC projects (May-2026)</t>
  </si>
  <si>
    <t>Industries Dept / MIDC / DGIPR press release; RTI if needed</t>
  </si>
  <si>
    <t>Gives project-level names behind the 23.8 GW; compare against announcements</t>
  </si>
  <si>
    <t>Only press summaries found</t>
  </si>
  <si>
    <t>SEIAA/SEAC minutes for the 19 DC proposals in MH_Permits (connected load, DG, transformer data)</t>
  </si>
  <si>
    <t>environmentclearance.nic.in SEIAA minutes (scanned - OCR) &amp; SEAC-2/3 minutes on ecmpcb.in</t>
  </si>
  <si>
    <t>Hard power numbers per project</t>
  </si>
  <si>
    <t>PARIVESH proposal search shows 'Coming soon'; agendas only list titles</t>
  </si>
  <si>
    <t>MSETCL STU connectivity register for data centres (all MH nodes, not just Ambernath)</t>
  </si>
  <si>
    <t>RTI to MSETCL/STU; MERC petitions citing STU connectivity</t>
  </si>
  <si>
    <t>MERC 88/2026 shows STU tracks DC connectivity by applicant - same data for Mahape/Kharghar/Taloja nodes would size the hidden pipeline</t>
  </si>
  <si>
    <t>RESOLVED: MERC 88/2026 retrieved and read</t>
  </si>
  <si>
    <t>MSETCL connectivity approvals / MSEDCL HT applications for data centres</t>
  </si>
  <si>
    <t>mahatransco.in (STU), mahadiscom.in; RTI</t>
  </si>
  <si>
    <t>Applicant-level MVA - the most direct test of 'unannounced' capacity</t>
  </si>
  <si>
    <t>Not published routinely</t>
  </si>
  <si>
    <t>MPCB consent-to-establish / operate lists filtered for data centres</t>
  </si>
  <si>
    <t>mpcb.gov.in XGN consent search; consent committee minutes</t>
  </si>
  <si>
    <t>DG set capacity (kVA) per site =&gt; proxy for facility MW; reveals unannounced projects</t>
  </si>
  <si>
    <t>Portal search is form-based</t>
  </si>
  <si>
    <t>CIDCO / MIDC board resolutions on DC land allotments (Taloja, TTC, Kharghar, Raigad-Pen/MMRDA)</t>
  </si>
  <si>
    <t>cidco.maharashtra.gov.in, midcindia.org, MMRDA PRs</t>
  </si>
  <si>
    <t>Who has land; acreage =&gt; MW potential</t>
  </si>
  <si>
    <t>Board minutes not indexed</t>
  </si>
  <si>
    <t>CTUIL CMETS minutes (all regions, 2025-26) - scan for bulk-consumer / DC applicants</t>
  </si>
  <si>
    <t>ctuil.in -&gt; ISTS consultation meeting minutes</t>
  </si>
  <si>
    <t>DC operators applying for 50 MW+ ISTS connectivity</t>
  </si>
  <si>
    <t>Volume (dozens of PDFs) - next pass</t>
  </si>
  <si>
    <t>AP ITE&amp;C GOs (G.O.Ms.56, 59 and others, 2026)</t>
  </si>
  <si>
    <t>apit.ap.gov.in / goir.ap.gov.in</t>
  </si>
  <si>
    <t>Primary confirmation of MW for ReNew, Reliance, AM AI Factory</t>
  </si>
  <si>
    <t>Mirror links 404</t>
  </si>
  <si>
    <t>Company filings: Lodha Q1/Q2 FY27 deck; Sify DRHP; Anant Raj deck; Tata Power Q2 FY27 deck; Techno Electric; Yotta</t>
  </si>
  <si>
    <t>BSE/NSE filings</t>
  </si>
  <si>
    <t>Firm MW, capex and tenant data</t>
  </si>
  <si>
    <t>Next pass</t>
  </si>
  <si>
    <t>URL</t>
  </si>
  <si>
    <t>Used in</t>
  </si>
  <si>
    <t>Projects:P001</t>
  </si>
  <si>
    <t>Govt_Aggregates:N023, Projects:P002, Projects:P043, Projects:P047, Projects:P057, Projects:P060, Projects:P064</t>
  </si>
  <si>
    <t>Projects:P003</t>
  </si>
  <si>
    <t>Projects:P004</t>
  </si>
  <si>
    <t>Projects:P005</t>
  </si>
  <si>
    <t>Govt_Aggregates:N006, Grid_Power:G004, MH_Permits:M045, Projects:P006</t>
  </si>
  <si>
    <t>Projects:P006</t>
  </si>
  <si>
    <t>Projects:P007</t>
  </si>
  <si>
    <t>Projects:P008</t>
  </si>
  <si>
    <t>Projects:P009</t>
  </si>
  <si>
    <t>Govt_Aggregates:N026, Projects:P009</t>
  </si>
  <si>
    <t>Projects:P010</t>
  </si>
  <si>
    <t>Projects:P011</t>
  </si>
  <si>
    <t>MH_Permits:M022, Projects:P012</t>
  </si>
  <si>
    <t>MH_Permits:M021, Projects:P013</t>
  </si>
  <si>
    <t>Projects:P013</t>
  </si>
  <si>
    <t>Projects:P014</t>
  </si>
  <si>
    <t>Projects:P015</t>
  </si>
  <si>
    <t>Projects:P016</t>
  </si>
  <si>
    <t>Projects:P017</t>
  </si>
  <si>
    <t>Projects:P018</t>
  </si>
  <si>
    <t>Projects:P019</t>
  </si>
  <si>
    <t>Projects:P020</t>
  </si>
  <si>
    <t>Projects:P021</t>
  </si>
  <si>
    <t>Projects:P022</t>
  </si>
  <si>
    <t>Projects:P023</t>
  </si>
  <si>
    <t>Projects:P024</t>
  </si>
  <si>
    <t>Projects:P025</t>
  </si>
  <si>
    <t>Projects:P026</t>
  </si>
  <si>
    <t>Projects:P027</t>
  </si>
  <si>
    <t>Projects:P028</t>
  </si>
  <si>
    <t>MH_Permits:M001, Projects:P029</t>
  </si>
  <si>
    <t>Projects:P029</t>
  </si>
  <si>
    <t>Projects:P030, Projects:P031, Projects:P032, Projects:P037, Projects:P038, Projects:P039, Projects:P041, Projects:P042</t>
  </si>
  <si>
    <t>MH_Permits:M003, MH_Permits:M029, Projects:P030, Projects:P036</t>
  </si>
  <si>
    <t>MH_Permits:M013, Projects:P031</t>
  </si>
  <si>
    <t>MH_Permits:M030, Projects:P033</t>
  </si>
  <si>
    <t>Projects:P033</t>
  </si>
  <si>
    <t>MH_Permits:M018, MH_Permits:M032, Projects:P034, Projects:P041</t>
  </si>
  <si>
    <t>MH_Permits:M027, Projects:P035</t>
  </si>
  <si>
    <t>Projects:P035</t>
  </si>
  <si>
    <t>Projects:P037</t>
  </si>
  <si>
    <t>Projects:P040</t>
  </si>
  <si>
    <t>Projects:P042</t>
  </si>
  <si>
    <t>Projects:P044</t>
  </si>
  <si>
    <t>Projects:P045</t>
  </si>
  <si>
    <t>Projects:P046, States_Evidence:S005</t>
  </si>
  <si>
    <t>Projects:P046</t>
  </si>
  <si>
    <t>Projects:P048</t>
  </si>
  <si>
    <t>Govt_Aggregates:N018, Projects:P048, Projects:P049, Projects:P050, States_Evidence:S008, States_Evidence:S009</t>
  </si>
  <si>
    <t>Projects:P051</t>
  </si>
  <si>
    <t>Govt_Aggregates:N017, Grid_Power:G014, Projects:P052, States_Evidence:S011</t>
  </si>
  <si>
    <t>Grid_Power:G015, Projects:P053</t>
  </si>
  <si>
    <t>Projects:P054</t>
  </si>
  <si>
    <t>Govt_Aggregates:N019, Projects:P055, Projects:P056, Projects:P084</t>
  </si>
  <si>
    <t>Projects:P058</t>
  </si>
  <si>
    <t>Projects:P059</t>
  </si>
  <si>
    <t>Projects:P061</t>
  </si>
  <si>
    <t>Projects:P062</t>
  </si>
  <si>
    <t>Projects:P063</t>
  </si>
  <si>
    <t>Projects:P065, Projects:P066, Projects:P090, States_Evidence:S024</t>
  </si>
  <si>
    <t>Govt_Aggregates:N020, Projects:P065</t>
  </si>
  <si>
    <t>Projects:P067</t>
  </si>
  <si>
    <t>Projects:P068</t>
  </si>
  <si>
    <t>Projects:P069, States_Evidence:S026</t>
  </si>
  <si>
    <t>Projects:P069</t>
  </si>
  <si>
    <t>Projects:P070</t>
  </si>
  <si>
    <t>Projects:P071</t>
  </si>
  <si>
    <t>Projects:P072</t>
  </si>
  <si>
    <t>Projects:P073</t>
  </si>
  <si>
    <t>Projects:P074</t>
  </si>
  <si>
    <t>Projects:P075, Projects:P076</t>
  </si>
  <si>
    <t>Projects:P075</t>
  </si>
  <si>
    <t>Projects:P077</t>
  </si>
  <si>
    <t>Projects:P077, Projects:P078, States_Evidence:S007, States_Evidence:S012</t>
  </si>
  <si>
    <t>Projects:P079, Projects:P083, Projects:P086, Projects:P087, Projects:P091, Projects:P092, States_Evidence:S004, States_Evidence:S014, States_Evidence:S015, States_Evidence:S016, States_Evidence:S017, States_Evidence:S021, States_Evidence:S022, States_Evidence:S028, States_Evidence:S029, States_Evidence:S030</t>
  </si>
  <si>
    <t>Projects:P080</t>
  </si>
  <si>
    <t>Projects:P081</t>
  </si>
  <si>
    <t>Projects:P082, States_Evidence:S018</t>
  </si>
  <si>
    <t>Projects:P085</t>
  </si>
  <si>
    <t>Projects:P088, States_Evidence:S027</t>
  </si>
  <si>
    <t>Projects:P089</t>
  </si>
  <si>
    <t>Govt_Aggregates:N007, Grid_Power:G001, Grid_Power:G002, Grid_Power:G003</t>
  </si>
  <si>
    <t>Grid_Power:G005</t>
  </si>
  <si>
    <t>Govt_Aggregates:N028, Grid_Power:G006</t>
  </si>
  <si>
    <t>Grid_Power:G007</t>
  </si>
  <si>
    <t>Grid_Power:G008</t>
  </si>
  <si>
    <t>Grid_Power:G009</t>
  </si>
  <si>
    <t>Grid_Power:G010</t>
  </si>
  <si>
    <t>Grid_Power:G011, Grid_Power:G012</t>
  </si>
  <si>
    <t>Grid_Power:G013</t>
  </si>
  <si>
    <t>Grid_Power:G016</t>
  </si>
  <si>
    <t>Grid_Power:G017</t>
  </si>
  <si>
    <t>MH_Permits:M002</t>
  </si>
  <si>
    <t>MH_Permits:M004</t>
  </si>
  <si>
    <t>MH_Permits:M005, MH_Permits:M008, MH_Permits:M010</t>
  </si>
  <si>
    <t>MH_Permits:M006</t>
  </si>
  <si>
    <t>MH_Permits:M007, MH_Permits:M011</t>
  </si>
  <si>
    <t>MH_Permits:M009</t>
  </si>
  <si>
    <t>MH_Permits:M012</t>
  </si>
  <si>
    <t>MH_Permits:M014</t>
  </si>
  <si>
    <t>MH_Permits:M015</t>
  </si>
  <si>
    <t>MH_Permits:M016, MH_Permits:M017, MH_Permits:M024</t>
  </si>
  <si>
    <t>MH_Permits:M019</t>
  </si>
  <si>
    <t>MH_Permits:M020, MH_Permits:M033</t>
  </si>
  <si>
    <t>MH_Permits:M023, MH_Permits:M036</t>
  </si>
  <si>
    <t>MH_Permits:M025, MH_Permits:M037, MH_Permits:M041</t>
  </si>
  <si>
    <t>MH_Permits:M026</t>
  </si>
  <si>
    <t>MH_Permits:M028</t>
  </si>
  <si>
    <t>MH_Permits:M031</t>
  </si>
  <si>
    <t>MH_Permits:M034</t>
  </si>
  <si>
    <t>MH_Permits:M035</t>
  </si>
  <si>
    <t>MH_Permits:M038</t>
  </si>
  <si>
    <t>MH_Permits:M039</t>
  </si>
  <si>
    <t>MH_Permits:M040</t>
  </si>
  <si>
    <t>MH_Permits:M042</t>
  </si>
  <si>
    <t>MH_Permits:M043</t>
  </si>
  <si>
    <t>MH_Permits:M044</t>
  </si>
  <si>
    <t>States_Evidence:S001, States_Evidence:S002</t>
  </si>
  <si>
    <t>States_Evidence:S003</t>
  </si>
  <si>
    <t>States_Evidence:S006</t>
  </si>
  <si>
    <t>States_Evidence:S010</t>
  </si>
  <si>
    <t>States_Evidence:S013</t>
  </si>
  <si>
    <t>States_Evidence:S019</t>
  </si>
  <si>
    <t>States_Evidence:S020</t>
  </si>
  <si>
    <t>Govt_Aggregates:N022, States_Evidence:S023</t>
  </si>
  <si>
    <t>States_Evidence:S025</t>
  </si>
  <si>
    <t>Govt_Aggregates:N001</t>
  </si>
  <si>
    <t>Govt_Aggregates:N002</t>
  </si>
  <si>
    <t>Govt_Aggregates:N003</t>
  </si>
  <si>
    <t>Govt_Aggregates:N004</t>
  </si>
  <si>
    <t>Govt_Aggregates:N005</t>
  </si>
  <si>
    <t>Govt_Aggregates:N008</t>
  </si>
  <si>
    <t>Govt_Aggregates:N009</t>
  </si>
  <si>
    <t>Govt_Aggregates:N010, Govt_Aggregates:N011, Govt_Aggregates:N012, Govt_Aggregates:N013, Govt_Aggregates:N014, Govt_Aggregates:N015, Govt_Aggregates:N016</t>
  </si>
  <si>
    <t>Govt_Aggregates:N021</t>
  </si>
  <si>
    <t>Govt_Aggregates:N024</t>
  </si>
  <si>
    <t>Govt_Aggregates:N025</t>
  </si>
  <si>
    <t>Govt_Aggregates:N027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</si>
</sst>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-#,##0.0;&quot;-&quot;"/>
    <numFmt numFmtId="165" formatCode="#,##0;\-#,##0;&quot;-&quot;"/>
    <numFmt numFmtId="166" formatCode="#,##0;\(#,##0\);&quot;-&quot;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0563C1"/>
      <name val="Arial"/>
    </font>
    <font>
      <i/>
      <sz val="9"/>
      <name val="Arial"/>
    </font>
    <font>
      <sz val="9"/>
      <color rgb="FF0000FF"/>
      <name val="Arial"/>
    </font>
    <font>
      <sz val="9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7" fillId="0" borderId="0" xfId="0" applyFont="1"/>
    <xf numFmtId="0" fontId="4" fillId="2" borderId="1" xfId="0" applyFont="1" applyFill="1" applyBorder="1" applyAlignment="1">
      <alignment wrapText="1"/>
    </xf>
    <xf numFmtId="0" fontId="5" fillId="0" borderId="0" xfId="0" applyFont="1"/>
    <xf numFmtId="165" fontId="5" fillId="0" borderId="1" xfId="0" applyNumberFormat="1" applyFont="1" applyBorder="1"/>
    <xf numFmtId="165" fontId="2" fillId="0" borderId="1" xfId="0" applyNumberFormat="1" applyFont="1" applyBorder="1"/>
    <xf numFmtId="165" fontId="0" fillId="0" borderId="1" xfId="0" applyNumberFormat="1" applyBorder="1"/>
    <xf numFmtId="0" fontId="5" fillId="0" borderId="1" xfId="0" applyFont="1" applyBorder="1" applyAlignment="1">
      <alignment wrapText="1"/>
    </xf>
    <xf numFmtId="166" fontId="9" fillId="0" borderId="1" xfId="0" applyNumberFormat="1" applyFont="1" applyBorder="1"/>
    <xf numFmtId="166" fontId="0" fillId="0" borderId="1" xfId="0" applyNumberFormat="1" applyBorder="1"/>
    <xf numFmtId="9" fontId="0" fillId="0" borderId="1" xfId="0" applyNumberFormat="1" applyBorder="1"/>
    <xf numFmtId="3" fontId="9" fillId="0" borderId="0" xfId="0" applyNumberFormat="1" applyFont="1"/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3" fontId="2" fillId="0" borderId="0" xfId="0" applyNumberFormat="1" applyFont="1"/>
    <xf numFmtId="3" fontId="8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trls.com/dc-visit-mumbai/" TargetMode="External"/><Relationship Id="rId117" Type="http://schemas.openxmlformats.org/officeDocument/2006/relationships/hyperlink" Target="https://w.media/telangana-reveals-plans-to-build-a-1500-acre-data-center-city/" TargetMode="External"/><Relationship Id="rId21" Type="http://schemas.openxmlformats.org/officeDocument/2006/relationships/hyperlink" Target="https://www.sifytechnologies.com/data-center/rabale-data-center/" TargetMode="External"/><Relationship Id="rId42" Type="http://schemas.openxmlformats.org/officeDocument/2006/relationships/hyperlink" Target="https://www.prnewswire.com/in/news-releases/trentar-signs-30-000-crore-3-3-bn-mou-with-maharashtra-for-500-mw-green-integrated-data-center-park-302899623.html" TargetMode="External"/><Relationship Id="rId47" Type="http://schemas.openxmlformats.org/officeDocument/2006/relationships/hyperlink" Target="https://www.ecmpcb.in/login/download_ec_document/ODY2MDg5MDRCMzNGNDNCN0JEMTFBNDUzNEI4MjlGNEQucGRm" TargetMode="External"/><Relationship Id="rId63" Type="http://schemas.openxmlformats.org/officeDocument/2006/relationships/hyperlink" Target="https://www.ecmpcb.in/login/download_ec_document/MzMzQzM2MDM3QkQ5NEYxQUIyOTNEMjAyNEE2NUNFODgucGRm" TargetMode="External"/><Relationship Id="rId68" Type="http://schemas.openxmlformats.org/officeDocument/2006/relationships/hyperlink" Target="https://www.businessworld.in/article/microsoft-acquires-land-in-pune-for-rs-453-cr-to-expand-data-center-operations-533028" TargetMode="External"/><Relationship Id="rId84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89" Type="http://schemas.openxmlformats.org/officeDocument/2006/relationships/hyperlink" Target="https://www.sifytechnologies.com/data-center/chennai02-data-center/" TargetMode="External"/><Relationship Id="rId112" Type="http://schemas.openxmlformats.org/officeDocument/2006/relationships/hyperlink" Target="https://ctuil.in/nswsapi/gna" TargetMode="External"/><Relationship Id="rId16" Type="http://schemas.openxmlformats.org/officeDocument/2006/relationships/hyperlink" Target="https://www.globaldatacenterhub.com/p/the-new-center-of-gravity-inside" TargetMode="External"/><Relationship Id="rId107" Type="http://schemas.openxmlformats.org/officeDocument/2006/relationships/hyperlink" Target="https://w.media/andhra-pradesh-allocates-extra-25-acres-for-sifys-500-mw-dc/" TargetMode="External"/><Relationship Id="rId11" Type="http://schemas.openxmlformats.org/officeDocument/2006/relationships/hyperlink" Target="https://finimize.com/content/lodha-confirms-palava-land-sale-to-data-center-builder" TargetMode="External"/><Relationship Id="rId32" Type="http://schemas.openxmlformats.org/officeDocument/2006/relationships/hyperlink" Target="https://airtrunk.com/location/bom2-mumbai/" TargetMode="External"/><Relationship Id="rId37" Type="http://schemas.openxmlformats.org/officeDocument/2006/relationships/hyperlink" Target="https://www.crnasia.com/india/news/2026/esr-enters-india-data-centre-market-with-60-mw-facility-in-mumbai" TargetMode="External"/><Relationship Id="rId53" Type="http://schemas.openxmlformats.org/officeDocument/2006/relationships/hyperlink" Target="https://www.ecmpcb.in/login/download_ec_document/MzMzQzM2MDM3QkQ5NEYxQUIyOTNEMjAyNEE2NUNFODgucGRm" TargetMode="External"/><Relationship Id="rId58" Type="http://schemas.openxmlformats.org/officeDocument/2006/relationships/hyperlink" Target="https://environmentclearance.nic.in/writereaddata/FormB/agenda/2801202685869228318FinalAgenda.pdf" TargetMode="External"/><Relationship Id="rId74" Type="http://schemas.openxmlformats.org/officeDocument/2006/relationships/hyperlink" Target="https://www.medianama.com/2026/08/223-andhra-pradesh-ai-data-centres/" TargetMode="External"/><Relationship Id="rId79" Type="http://schemas.openxmlformats.org/officeDocument/2006/relationships/hyperlink" Target="https://www.business-standard.com/companies/news/fortune-to-set-up-60-000-cr-hyperscale-ai-data-centre-park-in-telangana-126091000632_1.html" TargetMode="External"/><Relationship Id="rId102" Type="http://schemas.openxmlformats.org/officeDocument/2006/relationships/hyperlink" Target="https://services.global.ntt/en-us/services-and-products/global-data-centers/global-locations/india/kolkata-1-data-center" TargetMode="External"/><Relationship Id="rId123" Type="http://schemas.openxmlformats.org/officeDocument/2006/relationships/hyperlink" Target="https://uplc.up.gov.in/en/page/uttar-pradesh-data-center-policy" TargetMode="External"/><Relationship Id="rId5" Type="http://schemas.openxmlformats.org/officeDocument/2006/relationships/hyperlink" Target="https://www.adani.com/newsroom/media-releases/government-of-maharashtra" TargetMode="External"/><Relationship Id="rId90" Type="http://schemas.openxmlformats.org/officeDocument/2006/relationships/hyperlink" Target="https://arusgrid.com/project/in-maa-sify-siruseri" TargetMode="External"/><Relationship Id="rId95" Type="http://schemas.openxmlformats.org/officeDocument/2006/relationships/hyperlink" Target="https://uplc.up.gov.in/en/page/uttar-pradesh-data-center-policy" TargetMode="External"/><Relationship Id="rId22" Type="http://schemas.openxmlformats.org/officeDocument/2006/relationships/hyperlink" Target="https://sifyinfinitspaces.com/wp-content/uploads/2025/07/Sify-Infinit-Spaces-IR-2025.pdf" TargetMode="External"/><Relationship Id="rId27" Type="http://schemas.openxmlformats.org/officeDocument/2006/relationships/hyperlink" Target="https://www.sttelemediagdc.com/in-en/locations/mumbai" TargetMode="External"/><Relationship Id="rId43" Type="http://schemas.openxmlformats.org/officeDocument/2006/relationships/hyperlink" Target="https://propnewstime.com/latestnewsstories/MzY3MDg=/avisirah-raises-inr-75-crore-for-navi-mumbai-data-centre" TargetMode="External"/><Relationship Id="rId48" Type="http://schemas.openxmlformats.org/officeDocument/2006/relationships/hyperlink" Target="https://mpcb.gov.in/en/cac-meetings" TargetMode="External"/><Relationship Id="rId64" Type="http://schemas.openxmlformats.org/officeDocument/2006/relationships/hyperlink" Target="https://mpcb.gov.in/en/cac-meetings" TargetMode="External"/><Relationship Id="rId69" Type="http://schemas.openxmlformats.org/officeDocument/2006/relationships/hyperlink" Target="https://www.constructionworld.in/policy-updates-and-economic-news/tcc-concept-plans-60-mw-data-centre-campus-in-pune/95832" TargetMode="External"/><Relationship Id="rId113" Type="http://schemas.openxmlformats.org/officeDocument/2006/relationships/hyperlink" Target="https://theprint.in/india/governance/telangana-secures-amazons-biggest-india-data-centre-project-months-after-google-announced-ai-hub-in-ap/2987492/" TargetMode="External"/><Relationship Id="rId118" Type="http://schemas.openxmlformats.org/officeDocument/2006/relationships/hyperlink" Target="https://www.datacenterdynamics.com/en/news/indias-techno-digital-opens-36mw-data-center/" TargetMode="External"/><Relationship Id="rId80" Type="http://schemas.openxmlformats.org/officeDocument/2006/relationships/hyperlink" Target="https://www.medianama.com/2026/09/223-tcs-hypervault-ai-data-centre-telangana/" TargetMode="External"/><Relationship Id="rId85" Type="http://schemas.openxmlformats.org/officeDocument/2006/relationships/hyperlink" Target="https://www.datacenterdynamics.com/en/news/aws-to-invest-7bn-in-data-centers-in-hyderabad-india/" TargetMode="External"/><Relationship Id="rId12" Type="http://schemas.openxmlformats.org/officeDocument/2006/relationships/hyperlink" Target="https://en.wikipedia.org/wiki/Data_centre_industry_in_India" TargetMode="External"/><Relationship Id="rId17" Type="http://schemas.openxmlformats.org/officeDocument/2006/relationships/hyperlink" Target="https://services.global.ntt/en-us/services-and-products/global-data-centers/global-locations/india/navi-mumbai-data-center" TargetMode="External"/><Relationship Id="rId33" Type="http://schemas.openxmlformats.org/officeDocument/2006/relationships/hyperlink" Target="https://www.datacenterdynamics.com/en/news/apac-data-center-firm-airtrunk-enters-india-acquires-lumina-cloudinfra/" TargetMode="External"/><Relationship Id="rId38" Type="http://schemas.openxmlformats.org/officeDocument/2006/relationships/hyperlink" Target="https://zerradc.com/projects/navi-mumbai/" TargetMode="External"/><Relationship Id="rId59" Type="http://schemas.openxmlformats.org/officeDocument/2006/relationships/hyperlink" Target="https://mpcb.gov.in/en/cac-meetings" TargetMode="External"/><Relationship Id="rId103" Type="http://schemas.openxmlformats.org/officeDocument/2006/relationships/hyperlink" Target="https://www.valueresearchonline.com/stories/228694/anant-raj-data-centre-execution-delay-investment-risk/" TargetMode="External"/><Relationship Id="rId108" Type="http://schemas.openxmlformats.org/officeDocument/2006/relationships/hyperlink" Target="https://www.deccanchronicle.com/southern-states/andhra-pradesh/ap-approves-sifys-rs-15266-crore-data-centre-expansion-clears-3-other-tech-projects-1967167" TargetMode="External"/><Relationship Id="rId124" Type="http://schemas.openxmlformats.org/officeDocument/2006/relationships/hyperlink" Target="https://ctuil.in/nswsapi/gna" TargetMode="External"/><Relationship Id="rId54" Type="http://schemas.openxmlformats.org/officeDocument/2006/relationships/hyperlink" Target="https://www.ecmpcb.in/login/download_ec_document/MjMyMTI2NEMzMjYzNDM5M0IxRTJDRDY5MENBNDZFODcucGRm" TargetMode="External"/><Relationship Id="rId70" Type="http://schemas.openxmlformats.org/officeDocument/2006/relationships/hyperlink" Target="https://cdn.prod.website-files.com/5d70c9269b8d7bd25d8b1696/6a7eb3b63aaa0bf811886bd4_C5dmjgRvarnSVWAcsazFlsX-Tk7A3FFIaxfaW49XR8g.pdf" TargetMode="External"/><Relationship Id="rId75" Type="http://schemas.openxmlformats.org/officeDocument/2006/relationships/hyperlink" Target="https://www.medianama.com/2026/08/223-andhra-pradesh-ai-data-centres/" TargetMode="External"/><Relationship Id="rId91" Type="http://schemas.openxmlformats.org/officeDocument/2006/relationships/hyperlink" Target="https://theprint.in/ground-reports/inside-chennais-data-centres-fortresses-of-the-ai-era/2856488/" TargetMode="External"/><Relationship Id="rId96" Type="http://schemas.openxmlformats.org/officeDocument/2006/relationships/hyperlink" Target="https://services.global.ntt/en-us/services-and-products/global-data-centers/global-locations/india/noida-2-data-center" TargetMode="External"/><Relationship Id="rId1" Type="http://schemas.openxmlformats.org/officeDocument/2006/relationships/hyperlink" Target="https://investors.coreweave.com/news/news-details/2026/CoreWeave-Enters-India-Expanding-AI-Cloud-Platform-With-AdaniConneX/default.aspx" TargetMode="External"/><Relationship Id="rId6" Type="http://schemas.openxmlformats.org/officeDocument/2006/relationships/hyperlink" Target="https://blitzindiamedia.com/west/amazon-taloja-data-center-environmental-clearance-seiaa-2026/" TargetMode="External"/><Relationship Id="rId23" Type="http://schemas.openxmlformats.org/officeDocument/2006/relationships/hyperlink" Target="https://colocation.yotta.com/data-center/nm1-datacenter-mumbai-region-maharashtra/" TargetMode="External"/><Relationship Id="rId28" Type="http://schemas.openxmlformats.org/officeDocument/2006/relationships/hyperlink" Target="https://www.communicationstoday.co.in/stt-gdc-india-buys-navi-mumbai-land-for-%E2%82%B9282-crore-data-centre-project/" TargetMode="External"/><Relationship Id="rId49" Type="http://schemas.openxmlformats.org/officeDocument/2006/relationships/hyperlink" Target="https://www.ecmpcb.in/login/download_ec_document/RTE1NjUyREEwNzhCNEQ1MzkwRTZDQUVFOTNEQUIyRjYucGRm" TargetMode="External"/><Relationship Id="rId114" Type="http://schemas.openxmlformats.org/officeDocument/2006/relationships/hyperlink" Target="https://www.tribuneindia.com/news/world/telangana-govt-signs-rs-3500-crore-mou-with-st-telemedia-for-ai-ready-data-centre-in-hyderabad/" TargetMode="External"/><Relationship Id="rId119" Type="http://schemas.openxmlformats.org/officeDocument/2006/relationships/hyperlink" Target="https://ctuil.in/nswsapi/gna" TargetMode="External"/><Relationship Id="rId44" Type="http://schemas.openxmlformats.org/officeDocument/2006/relationships/hyperlink" Target="https://environmentclearance.nic.in/DownloadPfdFile.aspx?FileName=Kwy+a1Xl%2FGHp2kMbJYBd8GPrFSz%2FNzzr1mrm87hA6RfsBvasy5U%2FhwjR4PRxBwwupD8Lw8MExL5FqtSFZLEOTQ%3D%3D&amp;FilePath=93ZZBm8LWEXfg+HAlQix2fE2t8z%2FpgnoBhDlYdZCxzXTbTpOQqzWjBW0IF63rxBVcDlG0LKdfbGNs0Ou%2FTEvAA%3D%3D" TargetMode="External"/><Relationship Id="rId60" Type="http://schemas.openxmlformats.org/officeDocument/2006/relationships/hyperlink" Target="https://mpcb.gov.in/en/cac-meetings" TargetMode="External"/><Relationship Id="rId65" Type="http://schemas.openxmlformats.org/officeDocument/2006/relationships/hyperlink" Target="https://www.ecmpcb.in/login/download_ec_document/MEE0OEVGQjI1RjNDNENERjhCMDEwNkI0NjI1Njg2MjYucGRm" TargetMode="External"/><Relationship Id="rId81" Type="http://schemas.openxmlformats.org/officeDocument/2006/relationships/hyperlink" Target="https://techcrunch.com/2026/02/18/openai-taps-tata-for-100mw-ai-data-center-capacity-in-india-eyes-1gw/" TargetMode="External"/><Relationship Id="rId86" Type="http://schemas.openxmlformats.org/officeDocument/2006/relationships/hyperlink" Target="https://www.aboutamazon.in/news/aws/aws-data-centre-hyderabad" TargetMode="External"/><Relationship Id="rId13" Type="http://schemas.openxmlformats.org/officeDocument/2006/relationships/hyperlink" Target="https://www.aninews.in/news/business/maharashtra-issues-letter-of-intent-to-airtrunk-for-rs-2-lakh-crore-data-centre-project-in-raigad20260601123602/" TargetMode="External"/><Relationship Id="rId18" Type="http://schemas.openxmlformats.org/officeDocument/2006/relationships/hyperlink" Target="https://assets.airtel.in/nxtra/pdf/EC_Environmental_Clearance_Certificate_Nxtra%20Mahape_DC-02_25.11.25.pdf" TargetMode="External"/><Relationship Id="rId39" Type="http://schemas.openxmlformats.org/officeDocument/2006/relationships/hyperlink" Target="https://www.datacenterdynamics.com/en/news/maharashtra-state-govt-partners-with-prestige-to-develop-data-center-in/" TargetMode="External"/><Relationship Id="rId109" Type="http://schemas.openxmlformats.org/officeDocument/2006/relationships/hyperlink" Target="https://analyticsindiamag.com/ai-news/tcs-acquires-land-in-vizag-pune-for-openai-data-centres" TargetMode="External"/><Relationship Id="rId34" Type="http://schemas.openxmlformats.org/officeDocument/2006/relationships/hyperlink" Target="https://www.icra.in/Rating/ShowRationalReportFilePdf/141442" TargetMode="External"/><Relationship Id="rId50" Type="http://schemas.openxmlformats.org/officeDocument/2006/relationships/hyperlink" Target="https://mpcb.gov.in/en/cac-meetings" TargetMode="External"/><Relationship Id="rId55" Type="http://schemas.openxmlformats.org/officeDocument/2006/relationships/hyperlink" Target="https://www.scribd.com/document/1014690774/Adaniconnex-Navi-Mumbai" TargetMode="External"/><Relationship Id="rId76" Type="http://schemas.openxmlformats.org/officeDocument/2006/relationships/hyperlink" Target="https://www.medianama.com/2026/08/223-andhra-pradesh-ai-data-centres/" TargetMode="External"/><Relationship Id="rId97" Type="http://schemas.openxmlformats.org/officeDocument/2006/relationships/hyperlink" Target="https://www.pv-magazine-india.com/2026/06/10/reliance-meta-to-develop-168-mw-ai-data-centre-powered-by-renewable-energy-in-jamnagar/" TargetMode="External"/><Relationship Id="rId104" Type="http://schemas.openxmlformats.org/officeDocument/2006/relationships/hyperlink" Target="https://www.ziromarket.com/blog/anant-raj-data-centre-haryana-mou-2026" TargetMode="External"/><Relationship Id="rId120" Type="http://schemas.openxmlformats.org/officeDocument/2006/relationships/hyperlink" Target="https://ctuil.in/nswsapi/gna" TargetMode="External"/><Relationship Id="rId125" Type="http://schemas.openxmlformats.org/officeDocument/2006/relationships/hyperlink" Target="https://ctuil.in/nswsapi/gna" TargetMode="External"/><Relationship Id="rId7" Type="http://schemas.openxmlformats.org/officeDocument/2006/relationships/hyperlink" Target="https://www.datacenterdynamics.com/en/news/aws-plans-430m-data-center-in-navi-mumbai-india/" TargetMode="External"/><Relationship Id="rId71" Type="http://schemas.openxmlformats.org/officeDocument/2006/relationships/hyperlink" Target="https://www.googlecloudpresscorner.com/2026-04-28-Google-Breaks-Ground-on-India-AI-Hub,-Launching-a-National-Industrial-Ecosystem-Alongside-Indias-Digital-Infrastructure-Milestone" TargetMode="External"/><Relationship Id="rId92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2" Type="http://schemas.openxmlformats.org/officeDocument/2006/relationships/hyperlink" Target="https://inc42.com/buzz/coreweave-enters-india-partners-adaniconnex-for-240-mw-data-centre-capacity/" TargetMode="External"/><Relationship Id="rId29" Type="http://schemas.openxmlformats.org/officeDocument/2006/relationships/hyperlink" Target="https://www.datacenterdynamics.com/en/news/pdg-breaks-ground-on-latest-mumbai-data-center/" TargetMode="External"/><Relationship Id="rId24" Type="http://schemas.openxmlformats.org/officeDocument/2006/relationships/hyperlink" Target="https://dcpulse.com/project/yotta-nm2-navi-mumbai-datacenter" TargetMode="External"/><Relationship Id="rId40" Type="http://schemas.openxmlformats.org/officeDocument/2006/relationships/hyperlink" Target="https://www.business-standard.com/industry/news/renew-signs-mou-with-maharashtra-for-70-000-crore-green-data-centre-park-126100801226_1.html" TargetMode="External"/><Relationship Id="rId45" Type="http://schemas.openxmlformats.org/officeDocument/2006/relationships/hyperlink" Target="https://housing.com/news/google-rents-data-centre-space-in-navi-mumbai-midc/" TargetMode="External"/><Relationship Id="rId66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87" Type="http://schemas.openxmlformats.org/officeDocument/2006/relationships/hyperlink" Target="https://www.capitaland.com/content/dam/capitaland-newsroom/International/2026/october/cli-affirms-long-term-commitment-to-tamil-nadu/CapitaLand%20Investment%20reaffirms%20long-term%20commitment%20to%20Tamil%20Nadu%20with%20unveiling%20of%20new%20Chennai%20data%20centre.pdf" TargetMode="External"/><Relationship Id="rId110" Type="http://schemas.openxmlformats.org/officeDocument/2006/relationships/hyperlink" Target="https://stopdirtydatacenters.org/" TargetMode="External"/><Relationship Id="rId115" Type="http://schemas.openxmlformats.org/officeDocument/2006/relationships/hyperlink" Target="https://www.counterview.net/2026/05/scientists-flag-serious-omissions-in.html" TargetMode="External"/><Relationship Id="rId61" Type="http://schemas.openxmlformats.org/officeDocument/2006/relationships/hyperlink" Target="https://mahapreit.in/assets/uploads/tender-ext-65-1786725791.pdf" TargetMode="External"/><Relationship Id="rId82" Type="http://schemas.openxmlformats.org/officeDocument/2006/relationships/hyperlink" Target="https://w.media/telangana-reveals-plans-to-build-a-1500-acre-data-center-city/" TargetMode="External"/><Relationship Id="rId19" Type="http://schemas.openxmlformats.org/officeDocument/2006/relationships/hyperlink" Target="https://www.digitaledgedc.com/wp-content/uploads/2025/07/EC-Letter-Data-Center.pdf" TargetMode="External"/><Relationship Id="rId14" Type="http://schemas.openxmlformats.org/officeDocument/2006/relationships/hyperlink" Target="https://techcrunch.com/2026/06/05/airtrunk-commits-30b-to-build-5gw-of-ai-data-centers-in-india/" TargetMode="External"/><Relationship Id="rId30" Type="http://schemas.openxmlformats.org/officeDocument/2006/relationships/hyperlink" Target="https://www.datacentermap.com/india/navi-mumbai/princeton-digital-mu2/" TargetMode="External"/><Relationship Id="rId35" Type="http://schemas.openxmlformats.org/officeDocument/2006/relationships/hyperlink" Target="https://indianinfrastructure.com/2026/10/16/colt-dcs-and-rmz-begin-construction-of-third-data-centre-in-mumbai/" TargetMode="External"/><Relationship Id="rId56" Type="http://schemas.openxmlformats.org/officeDocument/2006/relationships/hyperlink" Target="https://www.ecmpcb.in/login/download_ec_document/ODY2MDg5MDRCMzNGNDNCN0JEMTFBNDUzNEI4MjlGNEQucGRm" TargetMode="External"/><Relationship Id="rId77" Type="http://schemas.openxmlformats.org/officeDocument/2006/relationships/hyperlink" Target="https://www.business-standard.com/amp/technology/artificial-intelligence/andhra-approves-31-387-crore-green-ai-data-centre-project-in-visakhapatnam-126082200884_1.html" TargetMode="External"/><Relationship Id="rId100" Type="http://schemas.openxmlformats.org/officeDocument/2006/relationships/hyperlink" Target="https://www.techpillow.co/blog/hcltech-sarvam-odisha-sovereign-ai-data-centre-2026" TargetMode="External"/><Relationship Id="rId105" Type="http://schemas.openxmlformats.org/officeDocument/2006/relationships/hyperlink" Target="https://w.media/karnataka-plans-three-sustainable-data-center-parks-with-combined-capacity-of-1-gw/" TargetMode="External"/><Relationship Id="rId8" Type="http://schemas.openxmlformats.org/officeDocument/2006/relationships/hyperlink" Target="https://merc.gov.in/wp-content/uploads/2026/06/Order-88-of-2026.pdf" TargetMode="External"/><Relationship Id="rId51" Type="http://schemas.openxmlformats.org/officeDocument/2006/relationships/hyperlink" Target="https://www.ecmpcb.in/login/download_ec_document/QjJCMzlBQzg5M0MzNDZERjg1NDQxQTZGN0YzQzE0MjMucGRm" TargetMode="External"/><Relationship Id="rId72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93" Type="http://schemas.openxmlformats.org/officeDocument/2006/relationships/hyperlink" Target="https://uplc.up.gov.in/en/page/uttar-pradesh-data-center-policy" TargetMode="External"/><Relationship Id="rId98" Type="http://schemas.openxmlformats.org/officeDocument/2006/relationships/hyperlink" Target="https://www.businessworld.in/article/adani-arm-gets-odisha-nod-for-rs-1-04-lakh-cr-data-centre-park-625673" TargetMode="External"/><Relationship Id="rId121" Type="http://schemas.openxmlformats.org/officeDocument/2006/relationships/hyperlink" Target="https://www.business-standard.com/amp/companies/news/hcltech-ai-data-centre-odisha-sarvam-rs-14257-crore-investment-126072400775_1.html" TargetMode="External"/><Relationship Id="rId3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25" Type="http://schemas.openxmlformats.org/officeDocument/2006/relationships/hyperlink" Target="https://www.ctrls.com/" TargetMode="External"/><Relationship Id="rId46" Type="http://schemas.openxmlformats.org/officeDocument/2006/relationships/hyperlink" Target="https://mpcb.gov.in/en/cac-meetings" TargetMode="External"/><Relationship Id="rId67" Type="http://schemas.openxmlformats.org/officeDocument/2006/relationships/hyperlink" Target="https://www.datacenterdynamics.com/en/news/microsoft-acquires-16-acre-plot-in-pune-india-for-data-center-expansion/" TargetMode="External"/><Relationship Id="rId116" Type="http://schemas.openxmlformats.org/officeDocument/2006/relationships/hyperlink" Target="https://ctuil.in/nswsapi/gna" TargetMode="External"/><Relationship Id="rId20" Type="http://schemas.openxmlformats.org/officeDocument/2006/relationships/hyperlink" Target="https://www.digitaledgedc.com/digital-edge-india/" TargetMode="External"/><Relationship Id="rId41" Type="http://schemas.openxmlformats.org/officeDocument/2006/relationships/hyperlink" Target="https://indianinfrastructure.com/2026/10/13/renew-signs-rs-700-billion-mou-with-maharashtra-government-to-develop-green-integrated-data-centre-park-in-mmr/" TargetMode="External"/><Relationship Id="rId62" Type="http://schemas.openxmlformats.org/officeDocument/2006/relationships/hyperlink" Target="https://mpcb.gov.in/en/cac-meetings" TargetMode="External"/><Relationship Id="rId83" Type="http://schemas.openxmlformats.org/officeDocument/2006/relationships/hyperlink" Target="https://w.media/telangana-reveals-plans-to-build-a-1500-acre-data-center-city/" TargetMode="External"/><Relationship Id="rId88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111" Type="http://schemas.openxmlformats.org/officeDocument/2006/relationships/hyperlink" Target="https://stopdirtydatacenters.org/" TargetMode="External"/><Relationship Id="rId15" Type="http://schemas.openxmlformats.org/officeDocument/2006/relationships/hyperlink" Target="https://www.datacenterdynamics.com/en/news/ntt-announces-500mw-nav2-data-center-in-navi-mumbai-india/" TargetMode="External"/><Relationship Id="rId36" Type="http://schemas.openxmlformats.org/officeDocument/2006/relationships/hyperlink" Target="https://www.larsentoubro.com/pressreleases/2026/2026-01-21-larsen-toubro-vyoma-breaks-ground-on-40-mw-green-ai-ready-data-centre-in-navi-mumbai" TargetMode="External"/><Relationship Id="rId57" Type="http://schemas.openxmlformats.org/officeDocument/2006/relationships/hyperlink" Target="https://mpcb.gov.in/en/cac-meetings" TargetMode="External"/><Relationship Id="rId106" Type="http://schemas.openxmlformats.org/officeDocument/2006/relationships/hyperlink" Target="https://www.deccanchronicle.com/southern-states/andhra-pradesh/ap-approves-sifys-rs-15266-crore-data-centre-expansion-clears-3-other-tech-projects-1967167" TargetMode="External"/><Relationship Id="rId10" Type="http://schemas.openxmlformats.org/officeDocument/2006/relationships/hyperlink" Target="https://w.media/palava-land-deal-points-to-digital-edges-second-india-data-center/" TargetMode="External"/><Relationship Id="rId31" Type="http://schemas.openxmlformats.org/officeDocument/2006/relationships/hyperlink" Target="https://www.capitaland.com/en/find-a-property/global-property-listing/data-centres/capitaland-s-datacentrenavimumbai1.html" TargetMode="External"/><Relationship Id="rId52" Type="http://schemas.openxmlformats.org/officeDocument/2006/relationships/hyperlink" Target="https://bearysgroup.com/wp-content/uploads/2024/01/Bearys-Data-Centre-e-brochure.pdf" TargetMode="External"/><Relationship Id="rId73" Type="http://schemas.openxmlformats.org/officeDocument/2006/relationships/hyperlink" Target="https://www.deccanherald.com/india/andhra-pradesh/andhra-sipb-clears-rils-rs-108010-crore-vizag-data-centre-proposal-3993372" TargetMode="External"/><Relationship Id="rId78" Type="http://schemas.openxmlformats.org/officeDocument/2006/relationships/hyperlink" Target="https://telanganatoday.com/andhra-pradesh-plans-15-gw-transmission-network-for-data-centres" TargetMode="External"/><Relationship Id="rId94" Type="http://schemas.openxmlformats.org/officeDocument/2006/relationships/hyperlink" Target="https://invest.up.gov.in/uttar-pradesh-data-centre-policy-2026/" TargetMode="External"/><Relationship Id="rId99" Type="http://schemas.openxmlformats.org/officeDocument/2006/relationships/hyperlink" Target="https://indianinfrastructure.com/2026/08/04/adani-group-proposes-rs-1-trillion-ai-data-centre-in-odisha/" TargetMode="External"/><Relationship Id="rId101" Type="http://schemas.openxmlformats.org/officeDocument/2006/relationships/hyperlink" Target="https://www.datacenterdynamics.com/en/news/hiranandani-group-build-six-hyperscale-data-centers-bengal/" TargetMode="External"/><Relationship Id="rId122" Type="http://schemas.openxmlformats.org/officeDocument/2006/relationships/hyperlink" Target="https://dmc-education.com/2026/10/04/odisha-adani-group-gets-approval-for-%E2%82%B91-04-lakh-crore-1-gw-data-centre-park-at-naraj/" TargetMode="External"/><Relationship Id="rId4" Type="http://schemas.openxmlformats.org/officeDocument/2006/relationships/hyperlink" Target="https://www.datacenters.com/adaniconnex-navi" TargetMode="External"/><Relationship Id="rId9" Type="http://schemas.openxmlformats.org/officeDocument/2006/relationships/hyperlink" Target="https://www.saurenergy.com/solar-energy-news/maharashtra-approves-transmission-infrastructure-for-13-lakh-crore-data-centre-park-1190221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qmagpro.com/petition-for-application-of-adani-electricity-mumbai-infra-limited-for-the-first-amendment-of-transmission-licence-eq/" TargetMode="External"/><Relationship Id="rId13" Type="http://schemas.openxmlformats.org/officeDocument/2006/relationships/hyperlink" Target="https://www.ctuil.in/uploads/ists_consultation_meeting/minutes/176242143922Minutes%20of%2041st%20CMETS%20NR%20meeting%20held%20on%2010-10-2025.pdf" TargetMode="External"/><Relationship Id="rId3" Type="http://schemas.openxmlformats.org/officeDocument/2006/relationships/hyperlink" Target="https://www.mahatransco.in/uploads/docs/STU%20Plan%202024-25%20to%202033-24.pdf" TargetMode="External"/><Relationship Id="rId7" Type="http://schemas.openxmlformats.org/officeDocument/2006/relationships/hyperlink" Target="https://www.techpolicy.press/mumbais-data-center-dreams-run-on-coal-and-inequality/" TargetMode="External"/><Relationship Id="rId12" Type="http://schemas.openxmlformats.org/officeDocument/2006/relationships/hyperlink" Target="https://www.ctuil.in/uploads/ists_consultation_meeting/minutes/17718323234441st%20WR%20CMETS%20MOM.pdf" TargetMode="External"/><Relationship Id="rId17" Type="http://schemas.openxmlformats.org/officeDocument/2006/relationships/hyperlink" Target="https://solarquarter.com/2026/07/06/merc-pulls-up-msedcl-msetcl-over-delays-in-green-energy-long-term-open-access-applications/" TargetMode="External"/><Relationship Id="rId2" Type="http://schemas.openxmlformats.org/officeDocument/2006/relationships/hyperlink" Target="https://www.mahatransco.in/uploads/docs/STU%20Plan%202024-25%20to%202033-24.pdf" TargetMode="External"/><Relationship Id="rId16" Type="http://schemas.openxmlformats.org/officeDocument/2006/relationships/hyperlink" Target="https://powerpeakdigest.com/maharashtra-green-data-center-policy-expansion/" TargetMode="External"/><Relationship Id="rId1" Type="http://schemas.openxmlformats.org/officeDocument/2006/relationships/hyperlink" Target="https://www.mahatransco.in/uploads/docs/STU%20Plan%202024-25%20to%202033-24.pdf" TargetMode="External"/><Relationship Id="rId6" Type="http://schemas.openxmlformats.org/officeDocument/2006/relationships/hyperlink" Target="https://taxguru.in/finance/business/tata-power-expands-data-centre-opportunities-with-2-8-gw-pipeline.html" TargetMode="External"/><Relationship Id="rId11" Type="http://schemas.openxmlformats.org/officeDocument/2006/relationships/hyperlink" Target="https://www.ctuil.in/uploads/ists_consultation_meeting/minutes/17718323234441st%20WR%20CMETS%20MOM.pdf" TargetMode="External"/><Relationship Id="rId5" Type="http://schemas.openxmlformats.org/officeDocument/2006/relationships/hyperlink" Target="https://www.business-standard.com/markets/capital-market-news/bajel-projects-gains-on-bagging-mega-order-for-gis-substation-in-mumbai-126060300276_1.html" TargetMode="External"/><Relationship Id="rId15" Type="http://schemas.openxmlformats.org/officeDocument/2006/relationships/hyperlink" Target="https://www.business-standard.com/companies/news/fortune-to-set-up-60-000-cr-hyperscale-ai-data-centre-park-in-telangana-126091000632_1.html" TargetMode="External"/><Relationship Id="rId10" Type="http://schemas.openxmlformats.org/officeDocument/2006/relationships/hyperlink" Target="https://www.ctuil.in/uploads/ists_consultation_meeting/minutes/171076102952Minutes%20of%2026th%20CMETS-WR_final.pdf" TargetMode="External"/><Relationship Id="rId4" Type="http://schemas.openxmlformats.org/officeDocument/2006/relationships/hyperlink" Target="https://merc.gov.in/wp-content/uploads/2026/06/Order-88-of-2026.pdf" TargetMode="External"/><Relationship Id="rId9" Type="http://schemas.openxmlformats.org/officeDocument/2006/relationships/hyperlink" Target="https://www.structureresearch.net/product/mumbai-pune-dcai-report-2026-data-centre-colocation-hyperscale-cloud-ai-interconnection/" TargetMode="External"/><Relationship Id="rId14" Type="http://schemas.openxmlformats.org/officeDocument/2006/relationships/hyperlink" Target="https://telanganatoday.com/andhra-pradesh-plans-15-gw-transmission-network-for-data-centre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cmpcb.in/login/download_ec_document/RTE1NjUyREEwNzhCNEQ1MzkwRTZDQUVFOTNEQUIyRjYucGRm" TargetMode="External"/><Relationship Id="rId18" Type="http://schemas.openxmlformats.org/officeDocument/2006/relationships/hyperlink" Target="https://www.ecmpcb.in/login/download_ec_document/MzMzQzM2MDM3QkQ5NEYxQUIyOTNEMjAyNEE2NUNFODgucGRm" TargetMode="External"/><Relationship Id="rId26" Type="http://schemas.openxmlformats.org/officeDocument/2006/relationships/hyperlink" Target="https://mpcb.gov.in/sites/default/files/inline-files/ATR_of_2nd_CAC_meeting.pdf" TargetMode="External"/><Relationship Id="rId39" Type="http://schemas.openxmlformats.org/officeDocument/2006/relationships/hyperlink" Target="https://mpcb.gov.in/sites/default/files/inline-files/Agenda%20INdex%20of%2011th%20CAC%20Meeting.pdf" TargetMode="External"/><Relationship Id="rId21" Type="http://schemas.openxmlformats.org/officeDocument/2006/relationships/hyperlink" Target="https://www.digitaledgedc.com/wp-content/uploads/2025/07/EC-Letter-Data-Center.pdf" TargetMode="External"/><Relationship Id="rId34" Type="http://schemas.openxmlformats.org/officeDocument/2006/relationships/hyperlink" Target="https://mpcb.gov.in/sites/default/files/inline-files/Index_of_4th_CAC_Meeting_of_2025-26.pdf" TargetMode="External"/><Relationship Id="rId42" Type="http://schemas.openxmlformats.org/officeDocument/2006/relationships/hyperlink" Target="https://mpcb.gov.in/sites/default/files/inline-files/Webhost%20Minutes%20of%203rd%20CAC%20Booklet%20no.%203.pdf" TargetMode="External"/><Relationship Id="rId7" Type="http://schemas.openxmlformats.org/officeDocument/2006/relationships/hyperlink" Target="https://mpcb.gov.in/sites/default/files/inline-files/Action_Taken_Report_of_15th_CAC_Booklet_no_15_%281%29.pdf" TargetMode="External"/><Relationship Id="rId2" Type="http://schemas.openxmlformats.org/officeDocument/2006/relationships/hyperlink" Target="https://mpcb.gov.in/sites/default/files/inline-files/Action_Taken_report_of_5th_CAC_Booklet_no_5_0.pdf" TargetMode="External"/><Relationship Id="rId16" Type="http://schemas.openxmlformats.org/officeDocument/2006/relationships/hyperlink" Target="https://mpcb.gov.in/sites/default/files/inline-files/Minutes%20of%2015th%20CAC%20Establish%20Booklet%20no%2065.pdf" TargetMode="External"/><Relationship Id="rId29" Type="http://schemas.openxmlformats.org/officeDocument/2006/relationships/hyperlink" Target="https://www.ecmpcb.in/login/download_ec_document/ODY2MDg5MDRCMzNGNDNCN0JEMTFBNDUzNEI4MjlGNEQucGRm" TargetMode="External"/><Relationship Id="rId1" Type="http://schemas.openxmlformats.org/officeDocument/2006/relationships/hyperlink" Target="https://environmentclearance.nic.in/DownloadPfdFile.aspx?FileName=Kwy+a1Xl%2FGHp2kMbJYBd8GPrFSz%2FNzzr1mrm87hA6RfsBvasy5U%2FhwjR4PRxBwwupD8Lw8MExL5FqtSFZLEOTQ%3D%3D&amp;FilePath=93ZZBm8LWEXfg+HAlQix2fE2t8z%2FpgnoBhDlYdZCxzXTbTpOQqzWjBW0IF63rxBVcDlG0LKdfbGNs0Ou%2FTEvAA%3D%3D" TargetMode="External"/><Relationship Id="rId6" Type="http://schemas.openxmlformats.org/officeDocument/2006/relationships/hyperlink" Target="https://mpcb.gov.in/sites/default/files/inline-files/Agenda%20Index%20of%205th%20CAC%20Meeting%20of%202023-24.pdf" TargetMode="External"/><Relationship Id="rId11" Type="http://schemas.openxmlformats.org/officeDocument/2006/relationships/hyperlink" Target="https://mpcb.gov.in/sites/default/files/inline-files/Action_Taken_Report_of_15th_CAC_Booklet_no_15_%281%29.pdf" TargetMode="External"/><Relationship Id="rId24" Type="http://schemas.openxmlformats.org/officeDocument/2006/relationships/hyperlink" Target="https://mpcb.gov.in/sites/default/files/inline-files/Minutes%20of%2015th%20CAC%20Establish%20Booklet%20no%2065.pdf" TargetMode="External"/><Relationship Id="rId32" Type="http://schemas.openxmlformats.org/officeDocument/2006/relationships/hyperlink" Target="https://www.ecmpcb.in/login/download_ec_document/MzMzQzM2MDM3QkQ5NEYxQUIyOTNEMjAyNEE2NUNFODgucGRm" TargetMode="External"/><Relationship Id="rId37" Type="http://schemas.openxmlformats.org/officeDocument/2006/relationships/hyperlink" Target="https://mpcb.gov.in/sites/default/files/inline-files/Action_Taken_Report_of_1st_CAC_Meeting_Part_I.pdf" TargetMode="External"/><Relationship Id="rId40" Type="http://schemas.openxmlformats.org/officeDocument/2006/relationships/hyperlink" Target="https://mpcb.gov.in/sites/default/files/inline-files/Index_Of_15th_CAC_Meeting.pdf" TargetMode="External"/><Relationship Id="rId45" Type="http://schemas.openxmlformats.org/officeDocument/2006/relationships/hyperlink" Target="https://merc.gov.in/wp-content/uploads/2026/06/Order-88-of-2026.pdf" TargetMode="External"/><Relationship Id="rId5" Type="http://schemas.openxmlformats.org/officeDocument/2006/relationships/hyperlink" Target="https://environmentclearance.nic.in/writereaddata/FormB/agenda/1509202585756580%28740114%29MINUTESOF301DAY-4TABLEITEM-Copy.pdf" TargetMode="External"/><Relationship Id="rId15" Type="http://schemas.openxmlformats.org/officeDocument/2006/relationships/hyperlink" Target="https://environmentclearance.nic.in/writereaddata/FormB/agenda/2302202697285484%28921161%29MINUTESOF319DAY-5PART-B.pdf" TargetMode="External"/><Relationship Id="rId23" Type="http://schemas.openxmlformats.org/officeDocument/2006/relationships/hyperlink" Target="https://mpcb.gov.in/sites/default/files/inline-files/Action_Taken_Report_of_2nd_CAC_Meeting.pdf" TargetMode="External"/><Relationship Id="rId28" Type="http://schemas.openxmlformats.org/officeDocument/2006/relationships/hyperlink" Target="https://www.ecmpcb.in/login/download_ec_document/Nzg4MEM4QkU4NEYwNEI4MzhBOTA5OTlGQUFCQjU4MkQucGRm" TargetMode="External"/><Relationship Id="rId36" Type="http://schemas.openxmlformats.org/officeDocument/2006/relationships/hyperlink" Target="https://mpcb.gov.in/sites/default/files/inline-files/Action_Taken_Report_of_2nd_CAC_Meeting.pdf" TargetMode="External"/><Relationship Id="rId10" Type="http://schemas.openxmlformats.org/officeDocument/2006/relationships/hyperlink" Target="https://environmentclearance.nic.in/writereaddata/FormB/agenda/1509202585756580%28740114%29MINUTESOF301DAY-4TABLEITEM-Copy.pdf" TargetMode="External"/><Relationship Id="rId19" Type="http://schemas.openxmlformats.org/officeDocument/2006/relationships/hyperlink" Target="https://mpcb.gov.in/sites/default/files/inline-files/Webhost_Minutes_of_3rd_CAC_meeting.pdf" TargetMode="External"/><Relationship Id="rId31" Type="http://schemas.openxmlformats.org/officeDocument/2006/relationships/hyperlink" Target="https://www.ecmpcb.in/login/download_ec_document/MzI2MjVDNjJFNjhGNEFDMkFCRjA0MDc5NDdENUQ3QjMucGRm" TargetMode="External"/><Relationship Id="rId44" Type="http://schemas.openxmlformats.org/officeDocument/2006/relationships/hyperlink" Target="https://mpcb.gov.in/sites/default/files/inline-files/Agenda%20Index%20of%2013th%20CAC%20Meeting.pdf" TargetMode="External"/><Relationship Id="rId4" Type="http://schemas.openxmlformats.org/officeDocument/2006/relationships/hyperlink" Target="https://mpcb.gov.in/sites/default/files/inline-files/Agenda%20Index%20of%2014th%20CAC%20Meeting.pdf" TargetMode="External"/><Relationship Id="rId9" Type="http://schemas.openxmlformats.org/officeDocument/2006/relationships/hyperlink" Target="https://mpcb.gov.in/sites/default/files/inline-files/Action_Taken_Report_of_6th_CAC_Meeting_2024-25.pdf" TargetMode="External"/><Relationship Id="rId14" Type="http://schemas.openxmlformats.org/officeDocument/2006/relationships/hyperlink" Target="https://environmentclearance.nic.in/writereaddata/FormB/agenda/2107202594781152MINUTESOF296DAY-3PART-B.pdf" TargetMode="External"/><Relationship Id="rId22" Type="http://schemas.openxmlformats.org/officeDocument/2006/relationships/hyperlink" Target="https://assets.airtel.in/nxtra/pdf/EC_Environmental_Clearance_Certificate_Nxtra%20Mahape_DC-02_25.11.25.pdf" TargetMode="External"/><Relationship Id="rId27" Type="http://schemas.openxmlformats.org/officeDocument/2006/relationships/hyperlink" Target="https://www.ecmpcb.in/login/download_ec_document/MjMyMTI2NEMzMjYzNDM5M0IxRTJDRDY5MENBNDZFODcucGRm" TargetMode="External"/><Relationship Id="rId30" Type="http://schemas.openxmlformats.org/officeDocument/2006/relationships/hyperlink" Target="https://www.ecmpcb.in/login/download_ec_document/QjJCMzlBQzg5M0MzNDZERjg1NDQxQTZGN0YzQzE0MjMucGRm" TargetMode="External"/><Relationship Id="rId35" Type="http://schemas.openxmlformats.org/officeDocument/2006/relationships/hyperlink" Target="https://mpcb.gov.in/sites/default/files/inline-files/Action_Taken_Report_of_13th_CAC_Minutes_Booklet_no_13.pdf" TargetMode="External"/><Relationship Id="rId43" Type="http://schemas.openxmlformats.org/officeDocument/2006/relationships/hyperlink" Target="https://mpcb.gov.in/sites/default/files/inline-files/Action_Taken_Report_of_16th_CAC_Booklet_no._16_%281%29.pdf" TargetMode="External"/><Relationship Id="rId8" Type="http://schemas.openxmlformats.org/officeDocument/2006/relationships/hyperlink" Target="https://environmentclearance.nic.in/writereaddata/FormB/agenda/1509202585756580%28740114%29MINUTESOF301DAY-4TABLEITEM-Copy.pdf" TargetMode="External"/><Relationship Id="rId3" Type="http://schemas.openxmlformats.org/officeDocument/2006/relationships/hyperlink" Target="https://www.ecmpcb.in/login/download_ec_document/ODY2MDg5MDRCMzNGNDNCN0JEMTFBNDUzNEI4MjlGNEQucGRm" TargetMode="External"/><Relationship Id="rId12" Type="http://schemas.openxmlformats.org/officeDocument/2006/relationships/hyperlink" Target="https://mpcb.gov.in/sites/default/files/inline-files/Action_taken_Report_of_16th_CAC_Booklet_no_16.pdf" TargetMode="External"/><Relationship Id="rId17" Type="http://schemas.openxmlformats.org/officeDocument/2006/relationships/hyperlink" Target="https://mpcb.gov.in/sites/default/files/inline-files/Minutes%20of%2015th%20CAC%20Establish%20Booklet%20no%2065.pdf" TargetMode="External"/><Relationship Id="rId25" Type="http://schemas.openxmlformats.org/officeDocument/2006/relationships/hyperlink" Target="https://mpcb.gov.in/sites/default/files/inline-files/Action_Taken_Report_of_1st_CAC_Meeting_Part_I.pdf" TargetMode="External"/><Relationship Id="rId33" Type="http://schemas.openxmlformats.org/officeDocument/2006/relationships/hyperlink" Target="https://mpcb.gov.in/sites/default/files/inline-files/Action_Taken_Report_of_17th_CAC_Booklet_no_17_2024-25.pdf" TargetMode="External"/><Relationship Id="rId38" Type="http://schemas.openxmlformats.org/officeDocument/2006/relationships/hyperlink" Target="https://mpcb.gov.in/sites/default/files/inline-files/Action_Taken_report_of_5th_CAC_Booklet_no_5.pdf" TargetMode="External"/><Relationship Id="rId20" Type="http://schemas.openxmlformats.org/officeDocument/2006/relationships/hyperlink" Target="https://mpcb.gov.in/sites/default/files/inline-files/Action_Taken_Report_of_17th_CAC_Booklet_no_17_2024-25.pdf" TargetMode="External"/><Relationship Id="rId41" Type="http://schemas.openxmlformats.org/officeDocument/2006/relationships/hyperlink" Target="https://mpcb.gov.in/sites/default/files/inline-files/Action_Taken_Report_of_1st_CAC_Meeting_Part_I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ianama.com/2026/08/223-andhra-pradesh-ai-data-centres/" TargetMode="External"/><Relationship Id="rId13" Type="http://schemas.openxmlformats.org/officeDocument/2006/relationships/hyperlink" Target="https://www.convergence-now.com/artificial-intelligence/telanganas-ai-data-centre-race-gets-bigger-with-%E2%82%B91-3-lakh-crore-project/" TargetMode="External"/><Relationship Id="rId18" Type="http://schemas.openxmlformats.org/officeDocument/2006/relationships/hyperlink" Target="https://www.counterview.net/2026/05/scientists-flag-serious-omissions-in.html" TargetMode="External"/><Relationship Id="rId26" Type="http://schemas.openxmlformats.org/officeDocument/2006/relationships/hyperlink" Target="https://www.businessworld.in/article/adani-arm-gets-odisha-nod-for-rs-1-04-lakh-cr-data-centre-park-625673" TargetMode="External"/><Relationship Id="rId3" Type="http://schemas.openxmlformats.org/officeDocument/2006/relationships/hyperlink" Target="https://theprint.in/judiciary/google-adani-vizag-data-centre-got-green-nod-on-built-up-area-not-ops-andhra-govt-affidavit-explains/3025598/" TargetMode="External"/><Relationship Id="rId21" Type="http://schemas.openxmlformats.org/officeDocument/2006/relationships/hyperlink" Target="https://ctuil.in/nswsapi/gna" TargetMode="External"/><Relationship Id="rId7" Type="http://schemas.openxmlformats.org/officeDocument/2006/relationships/hyperlink" Target="https://stopdirtydatacenters.org/" TargetMode="External"/><Relationship Id="rId12" Type="http://schemas.openxmlformats.org/officeDocument/2006/relationships/hyperlink" Target="https://stopdirtydatacenters.org/" TargetMode="External"/><Relationship Id="rId17" Type="http://schemas.openxmlformats.org/officeDocument/2006/relationships/hyperlink" Target="https://ctuil.in/nswsapi/gna" TargetMode="External"/><Relationship Id="rId25" Type="http://schemas.openxmlformats.org/officeDocument/2006/relationships/hyperlink" Target="https://invest.up.gov.in/wp-content/uploads/2026/07/UPDCP-2026-Notification-English.pdf" TargetMode="External"/><Relationship Id="rId2" Type="http://schemas.openxmlformats.org/officeDocument/2006/relationships/hyperlink" Target="https://countercurrents.org/2026/04/hrf-flags-template-based-clearances-for-massive-andhra-data-centres-seeks-suspension-and-fresh-review/" TargetMode="External"/><Relationship Id="rId16" Type="http://schemas.openxmlformats.org/officeDocument/2006/relationships/hyperlink" Target="https://ctuil.in/nswsapi/gna" TargetMode="External"/><Relationship Id="rId20" Type="http://schemas.openxmlformats.org/officeDocument/2006/relationships/hyperlink" Target="https://www.dtnext.in/news/chennai/powerplay-tn-plans-substation-in-ambattur-to-back-data-centres-850341" TargetMode="External"/><Relationship Id="rId29" Type="http://schemas.openxmlformats.org/officeDocument/2006/relationships/hyperlink" Target="https://ctuil.in/nswsapi/gna" TargetMode="External"/><Relationship Id="rId1" Type="http://schemas.openxmlformats.org/officeDocument/2006/relationships/hyperlink" Target="https://countercurrents.org/2026/04/hrf-flags-template-based-clearances-for-massive-andhra-data-centres-seeks-suspension-and-fresh-review/" TargetMode="External"/><Relationship Id="rId6" Type="http://schemas.openxmlformats.org/officeDocument/2006/relationships/hyperlink" Target="https://countercurrents.org/2026/06/ap-govts-data-center-deemed-distribution-licence-policy-ddl-is-legally-unsustainable-must-be-withdrawn/" TargetMode="External"/><Relationship Id="rId11" Type="http://schemas.openxmlformats.org/officeDocument/2006/relationships/hyperlink" Target="https://telanganatoday.com/andhra-pradesh-plans-15-gw-transmission-network-for-data-centres" TargetMode="External"/><Relationship Id="rId24" Type="http://schemas.openxmlformats.org/officeDocument/2006/relationships/hyperlink" Target="https://uplc.up.gov.in/en/page/uttar-pradesh-data-center-policy" TargetMode="External"/><Relationship Id="rId5" Type="http://schemas.openxmlformats.org/officeDocument/2006/relationships/hyperlink" Target="https://cdn.prod.website-files.com/5d70c9269b8d7bd25d8b1696/6a7eb3b63aaa0bf811886bd4_C5dmjgRvarnSVWAcsazFlsX-Tk7A3FFIaxfaW49XR8g.pdf" TargetMode="External"/><Relationship Id="rId15" Type="http://schemas.openxmlformats.org/officeDocument/2006/relationships/hyperlink" Target="https://ctuil.in/nswsapi/gna" TargetMode="External"/><Relationship Id="rId23" Type="http://schemas.openxmlformats.org/officeDocument/2006/relationships/hyperlink" Target="https://www.medianama.com/2026/09/223-karnataka-sustainable-data-centre-policy/" TargetMode="External"/><Relationship Id="rId28" Type="http://schemas.openxmlformats.org/officeDocument/2006/relationships/hyperlink" Target="https://ctuil.in/nswsapi/gna" TargetMode="External"/><Relationship Id="rId10" Type="http://schemas.openxmlformats.org/officeDocument/2006/relationships/hyperlink" Target="https://theprint.in/india/andhra-approves-green-ai-data-centre-in-visakhapatnam-with-investment-of-over-rs-30000-cr/3022441/" TargetMode="External"/><Relationship Id="rId19" Type="http://schemas.openxmlformats.org/officeDocument/2006/relationships/hyperlink" Target="https://indianinfrastructure.com/2026/09/25/telangana-government-sets-5-gw-hyperscale-data-centre-target-by-2029-eyes-30-billion-in-investment/" TargetMode="External"/><Relationship Id="rId4" Type="http://schemas.openxmlformats.org/officeDocument/2006/relationships/hyperlink" Target="https://ctuil.in/nswsapi/gna" TargetMode="External"/><Relationship Id="rId9" Type="http://schemas.openxmlformats.org/officeDocument/2006/relationships/hyperlink" Target="https://www.medianama.com/2026/08/223-andhra-pradesh-ai-data-centres/" TargetMode="External"/><Relationship Id="rId14" Type="http://schemas.openxmlformats.org/officeDocument/2006/relationships/hyperlink" Target="https://ctuil.in/nswsapi/gna" TargetMode="External"/><Relationship Id="rId22" Type="http://schemas.openxmlformats.org/officeDocument/2006/relationships/hyperlink" Target="https://ctuil.in/nswsapi/gna" TargetMode="External"/><Relationship Id="rId27" Type="http://schemas.openxmlformats.org/officeDocument/2006/relationships/hyperlink" Target="https://www.business-standard.com/amp/companies/news/hcltech-ai-data-centre-odisha-sarvam-rs-14257-crore-investment-126072400775_1.html" TargetMode="External"/><Relationship Id="rId30" Type="http://schemas.openxmlformats.org/officeDocument/2006/relationships/hyperlink" Target="https://ctuil.in/nswsapi/gna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the420.in/maharashtra-data-centre-investment-ai-5-7-gw-capacity/" TargetMode="External"/><Relationship Id="rId13" Type="http://schemas.openxmlformats.org/officeDocument/2006/relationships/hyperlink" Target="https://www.newkerala.com/news/a/maharashtra-emerges-data-centre-capital-rs-1669-lakh-893.htm" TargetMode="External"/><Relationship Id="rId18" Type="http://schemas.openxmlformats.org/officeDocument/2006/relationships/hyperlink" Target="https://www.medianama.com/2026/08/223-andhra-pradesh-ai-data-centres/" TargetMode="External"/><Relationship Id="rId26" Type="http://schemas.openxmlformats.org/officeDocument/2006/relationships/hyperlink" Target="https://techcrunch.com/2026/06/05/airtrunk-commits-30b-to-build-5gw-of-ai-data-centers-in-india/" TargetMode="External"/><Relationship Id="rId3" Type="http://schemas.openxmlformats.org/officeDocument/2006/relationships/hyperlink" Target="https://sansad.in/getFile/annex/270/AU4151_DoYAWR.pdf?source=pqars" TargetMode="External"/><Relationship Id="rId21" Type="http://schemas.openxmlformats.org/officeDocument/2006/relationships/hyperlink" Target="https://www.angelone.in/news/economy/gujarat-unveils-data-centre-policy-2026-29-with-target-of-6-lakh-crore-investment" TargetMode="External"/><Relationship Id="rId7" Type="http://schemas.openxmlformats.org/officeDocument/2006/relationships/hyperlink" Target="https://www.mahatransco.in/uploads/docs/STU%20Plan%202024-25%20to%202033-24.pdf" TargetMode="External"/><Relationship Id="rId12" Type="http://schemas.openxmlformats.org/officeDocument/2006/relationships/hyperlink" Target="https://www.newkerala.com/news/a/maharashtra-emerges-data-centre-capital-rs-1669-lakh-893.htm" TargetMode="External"/><Relationship Id="rId17" Type="http://schemas.openxmlformats.org/officeDocument/2006/relationships/hyperlink" Target="https://telanganatoday.com/andhra-pradesh-plans-15-gw-transmission-network-for-data-centres" TargetMode="External"/><Relationship Id="rId25" Type="http://schemas.openxmlformats.org/officeDocument/2006/relationships/hyperlink" Target="https://www.angelone.in/news/ipos/sify-infinit-spaces-files-drhp-for-3-700-crore-ipo-data-centre-expansion-in-focus" TargetMode="External"/><Relationship Id="rId2" Type="http://schemas.openxmlformats.org/officeDocument/2006/relationships/hyperlink" Target="https://telborg.com/datacentre-briefings/256" TargetMode="External"/><Relationship Id="rId16" Type="http://schemas.openxmlformats.org/officeDocument/2006/relationships/hyperlink" Target="https://www.newkerala.com/news/a/maharashtra-emerges-data-centre-capital-rs-1669-lakh-893.htm" TargetMode="External"/><Relationship Id="rId20" Type="http://schemas.openxmlformats.org/officeDocument/2006/relationships/hyperlink" Target="https://invest.up.gov.in/uttar-pradesh-data-centre-policy-2026/" TargetMode="External"/><Relationship Id="rId1" Type="http://schemas.openxmlformats.org/officeDocument/2006/relationships/hyperlink" Target="https://sansad.in/getFile/annex/271/AU956_9jPv13.pdf?source=pqars" TargetMode="External"/><Relationship Id="rId6" Type="http://schemas.openxmlformats.org/officeDocument/2006/relationships/hyperlink" Target="https://merc.gov.in/wp-content/uploads/2026/06/Order-88-of-2026.pdf" TargetMode="External"/><Relationship Id="rId11" Type="http://schemas.openxmlformats.org/officeDocument/2006/relationships/hyperlink" Target="https://www.newkerala.com/news/a/maharashtra-emerges-data-centre-capital-rs-1669-lakh-893.htm" TargetMode="External"/><Relationship Id="rId24" Type="http://schemas.openxmlformats.org/officeDocument/2006/relationships/hyperlink" Target="https://www.icra.in/Rating/GetRationalReportFilePdf?Id=141427" TargetMode="External"/><Relationship Id="rId5" Type="http://schemas.openxmlformats.org/officeDocument/2006/relationships/hyperlink" Target="https://sansad.in/getFile/lsapps/loksabhaquestions/annex/188/AU2990_SqOT7j.pdf" TargetMode="External"/><Relationship Id="rId15" Type="http://schemas.openxmlformats.org/officeDocument/2006/relationships/hyperlink" Target="https://www.newkerala.com/news/a/maharashtra-emerges-data-centre-capital-rs-1669-lakh-893.htm" TargetMode="External"/><Relationship Id="rId23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28" Type="http://schemas.openxmlformats.org/officeDocument/2006/relationships/hyperlink" Target="https://taxguru.in/finance/business/tata-power-expands-data-centre-opportunities-with-2-8-gw-pipeline.html" TargetMode="External"/><Relationship Id="rId10" Type="http://schemas.openxmlformats.org/officeDocument/2006/relationships/hyperlink" Target="https://www.newkerala.com/news/a/maharashtra-emerges-data-centre-capital-rs-1669-lakh-893.htm" TargetMode="External"/><Relationship Id="rId19" Type="http://schemas.openxmlformats.org/officeDocument/2006/relationships/hyperlink" Target="https://w.media/telangana-reveals-plans-to-build-a-1500-acre-data-center-city/" TargetMode="External"/><Relationship Id="rId4" Type="http://schemas.openxmlformats.org/officeDocument/2006/relationships/hyperlink" Target="https://sansad.in/getFile/annex/269/AU1753_OkjHmF.pdf?source=pqars" TargetMode="External"/><Relationship Id="rId9" Type="http://schemas.openxmlformats.org/officeDocument/2006/relationships/hyperlink" Target="https://www.dailyprabhat.com/indias-data-centre-capacity-may-surge-to-24-26-gw-impact-on-overall-power-demand-to-remain-limited-cea-chairman/" TargetMode="External"/><Relationship Id="rId14" Type="http://schemas.openxmlformats.org/officeDocument/2006/relationships/hyperlink" Target="https://www.newkerala.com/news/a/maharashtra-emerges-data-centre-capital-rs-1669-lakh-893.htm" TargetMode="External"/><Relationship Id="rId22" Type="http://schemas.openxmlformats.org/officeDocument/2006/relationships/hyperlink" Target="https://www.medianama.com/2026/09/223-karnataka-sustainable-data-centre-policy/" TargetMode="External"/><Relationship Id="rId27" Type="http://schemas.openxmlformats.org/officeDocument/2006/relationships/hyperlink" Target="https://www.crnasia.com/india/news/2026/airtel-raises-1-billion-for-nxtra-to-scale-ai-ready-data-centre-capacity-to-1-gw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vironmentclearance.nic.in/writereaddata/FormB/agenda/2107202594781152MINUTESOF296DAY-3PART-B.pdf" TargetMode="External"/><Relationship Id="rId21" Type="http://schemas.openxmlformats.org/officeDocument/2006/relationships/hyperlink" Target="https://www.sifytechnologies.com/data-center/rabale-data-center/" TargetMode="External"/><Relationship Id="rId42" Type="http://schemas.openxmlformats.org/officeDocument/2006/relationships/hyperlink" Target="https://www.prnewswire.com/in/news-releases/trentar-signs-30-000-crore-3-3-bn-mou-with-maharashtra-for-500-mw-green-integrated-data-center-park-302899623.html" TargetMode="External"/><Relationship Id="rId63" Type="http://schemas.openxmlformats.org/officeDocument/2006/relationships/hyperlink" Target="https://www.medianama.com/2026/08/223-andhra-pradesh-ai-data-centres/" TargetMode="External"/><Relationship Id="rId84" Type="http://schemas.openxmlformats.org/officeDocument/2006/relationships/hyperlink" Target="https://services.global.ntt/en-us/services-and-products/global-data-centers/global-locations/india/kolkata-1-data-center" TargetMode="External"/><Relationship Id="rId138" Type="http://schemas.openxmlformats.org/officeDocument/2006/relationships/hyperlink" Target="https://theprint.in/india/andhra-approves-green-ai-data-centre-in-visakhapatnam-with-investment-of-over-rs-30000-cr/3022441/" TargetMode="External"/><Relationship Id="rId107" Type="http://schemas.openxmlformats.org/officeDocument/2006/relationships/hyperlink" Target="https://www.ctuil.in/uploads/ists_consultation_meeting/minutes/176242143922Minutes%20of%2041st%20CMETS%20NR%20meeting%20held%20on%2010-10-2025.pdf" TargetMode="External"/><Relationship Id="rId11" Type="http://schemas.openxmlformats.org/officeDocument/2006/relationships/hyperlink" Target="https://finimize.com/content/lodha-confirms-palava-land-sale-to-data-center-builder" TargetMode="External"/><Relationship Id="rId32" Type="http://schemas.openxmlformats.org/officeDocument/2006/relationships/hyperlink" Target="https://airtrunk.com/location/bom2-mumbai/" TargetMode="External"/><Relationship Id="rId53" Type="http://schemas.openxmlformats.org/officeDocument/2006/relationships/hyperlink" Target="https://www.scribd.com/document/1014690774/Adaniconnex-Navi-Mumbai" TargetMode="External"/><Relationship Id="rId74" Type="http://schemas.openxmlformats.org/officeDocument/2006/relationships/hyperlink" Target="https://arusgrid.com/project/in-maa-sify-siruseri" TargetMode="External"/><Relationship Id="rId128" Type="http://schemas.openxmlformats.org/officeDocument/2006/relationships/hyperlink" Target="https://mpcb.gov.in/sites/default/files/inline-files/Action_Taken_Report_of_13th_CAC_Minutes_Booklet_no_13.pdf" TargetMode="External"/><Relationship Id="rId149" Type="http://schemas.openxmlformats.org/officeDocument/2006/relationships/hyperlink" Target="https://the420.in/maharashtra-data-centre-investment-ai-5-7-gw-capacity/" TargetMode="External"/><Relationship Id="rId5" Type="http://schemas.openxmlformats.org/officeDocument/2006/relationships/hyperlink" Target="https://www.adani.com/newsroom/media-releases/government-of-maharashtra" TargetMode="External"/><Relationship Id="rId95" Type="http://schemas.openxmlformats.org/officeDocument/2006/relationships/hyperlink" Target="https://www.counterview.net/2026/05/scientists-flag-serious-omissions-in.html" TargetMode="External"/><Relationship Id="rId22" Type="http://schemas.openxmlformats.org/officeDocument/2006/relationships/hyperlink" Target="https://sifyinfinitspaces.com/wp-content/uploads/2025/07/Sify-Infinit-Spaces-IR-2025.pdf" TargetMode="External"/><Relationship Id="rId27" Type="http://schemas.openxmlformats.org/officeDocument/2006/relationships/hyperlink" Target="https://www.sttelemediagdc.com/in-en/locations/mumbai" TargetMode="External"/><Relationship Id="rId43" Type="http://schemas.openxmlformats.org/officeDocument/2006/relationships/hyperlink" Target="https://propnewstime.com/latestnewsstories/MzY3MDg=/avisirah-raises-inr-75-crore-for-navi-mumbai-data-centre" TargetMode="External"/><Relationship Id="rId48" Type="http://schemas.openxmlformats.org/officeDocument/2006/relationships/hyperlink" Target="https://www.ecmpcb.in/login/download_ec_document/RTE1NjUyREEwNzhCNEQ1MzkwRTZDQUVFOTNEQUIyRjYucGRm" TargetMode="External"/><Relationship Id="rId64" Type="http://schemas.openxmlformats.org/officeDocument/2006/relationships/hyperlink" Target="https://www.business-standard.com/amp/technology/artificial-intelligence/andhra-approves-31-387-crore-green-ai-data-centre-project-in-visakhapatnam-126082200884_1.html" TargetMode="External"/><Relationship Id="rId69" Type="http://schemas.openxmlformats.org/officeDocument/2006/relationships/hyperlink" Target="https://w.media/telangana-reveals-plans-to-build-a-1500-acre-data-center-city/" TargetMode="External"/><Relationship Id="rId113" Type="http://schemas.openxmlformats.org/officeDocument/2006/relationships/hyperlink" Target="https://mpcb.gov.in/sites/default/files/inline-files/Agenda%20Index%20of%205th%20CAC%20Meeting%20of%202023-24.pdf" TargetMode="External"/><Relationship Id="rId118" Type="http://schemas.openxmlformats.org/officeDocument/2006/relationships/hyperlink" Target="https://environmentclearance.nic.in/writereaddata/FormB/agenda/2302202697285484%28921161%29MINUTESOF319DAY-5PART-B.pdf" TargetMode="External"/><Relationship Id="rId134" Type="http://schemas.openxmlformats.org/officeDocument/2006/relationships/hyperlink" Target="https://mpcb.gov.in/sites/default/files/inline-files/Agenda%20Index%20of%2013th%20CAC%20Meeting.pdf" TargetMode="External"/><Relationship Id="rId139" Type="http://schemas.openxmlformats.org/officeDocument/2006/relationships/hyperlink" Target="https://www.convergence-now.com/artificial-intelligence/telanganas-ai-data-centre-race-gets-bigger-with-%E2%82%B91-3-lakh-crore-project/" TargetMode="External"/><Relationship Id="rId80" Type="http://schemas.openxmlformats.org/officeDocument/2006/relationships/hyperlink" Target="https://www.businessworld.in/article/adani-arm-gets-odisha-nod-for-rs-1-04-lakh-cr-data-centre-park-625673" TargetMode="External"/><Relationship Id="rId85" Type="http://schemas.openxmlformats.org/officeDocument/2006/relationships/hyperlink" Target="https://www.valueresearchonline.com/stories/228694/anant-raj-data-centre-execution-delay-investment-risk/" TargetMode="External"/><Relationship Id="rId150" Type="http://schemas.openxmlformats.org/officeDocument/2006/relationships/hyperlink" Target="https://www.dailyprabhat.com/indias-data-centre-capacity-may-surge-to-24-26-gw-impact-on-overall-power-demand-to-remain-limited-cea-chairman/" TargetMode="External"/><Relationship Id="rId155" Type="http://schemas.openxmlformats.org/officeDocument/2006/relationships/hyperlink" Target="https://www.crnasia.com/india/news/2026/airtel-raises-1-billion-for-nxtra-to-scale-ai-ready-data-centre-capacity-to-1-gw" TargetMode="External"/><Relationship Id="rId12" Type="http://schemas.openxmlformats.org/officeDocument/2006/relationships/hyperlink" Target="https://en.wikipedia.org/wiki/Data_centre_industry_in_India" TargetMode="External"/><Relationship Id="rId17" Type="http://schemas.openxmlformats.org/officeDocument/2006/relationships/hyperlink" Target="https://services.global.ntt/en-us/services-and-products/global-data-centers/global-locations/india/navi-mumbai-data-center" TargetMode="External"/><Relationship Id="rId33" Type="http://schemas.openxmlformats.org/officeDocument/2006/relationships/hyperlink" Target="https://www.datacenterdynamics.com/en/news/apac-data-center-firm-airtrunk-enters-india-acquires-lumina-cloudinfra/" TargetMode="External"/><Relationship Id="rId38" Type="http://schemas.openxmlformats.org/officeDocument/2006/relationships/hyperlink" Target="https://zerradc.com/projects/navi-mumbai/" TargetMode="External"/><Relationship Id="rId59" Type="http://schemas.openxmlformats.org/officeDocument/2006/relationships/hyperlink" Target="https://www.constructionworld.in/policy-updates-and-economic-news/tcc-concept-plans-60-mw-data-centre-campus-in-pune/95832" TargetMode="External"/><Relationship Id="rId103" Type="http://schemas.openxmlformats.org/officeDocument/2006/relationships/hyperlink" Target="https://www.eqmagpro.com/petition-for-application-of-adani-electricity-mumbai-infra-limited-for-the-first-amendment-of-transmission-licence-eq/" TargetMode="External"/><Relationship Id="rId108" Type="http://schemas.openxmlformats.org/officeDocument/2006/relationships/hyperlink" Target="https://powerpeakdigest.com/maharashtra-green-data-center-policy-expansion/" TargetMode="External"/><Relationship Id="rId124" Type="http://schemas.openxmlformats.org/officeDocument/2006/relationships/hyperlink" Target="https://mpcb.gov.in/sites/default/files/inline-files/ATR_of_2nd_CAC_meeting.pdf" TargetMode="External"/><Relationship Id="rId129" Type="http://schemas.openxmlformats.org/officeDocument/2006/relationships/hyperlink" Target="https://mpcb.gov.in/sites/default/files/inline-files/Action_Taken_report_of_5th_CAC_Booklet_no_5.pdf" TargetMode="External"/><Relationship Id="rId54" Type="http://schemas.openxmlformats.org/officeDocument/2006/relationships/hyperlink" Target="https://environmentclearance.nic.in/writereaddata/FormB/agenda/2801202685869228318FinalAgenda.pdf" TargetMode="External"/><Relationship Id="rId70" Type="http://schemas.openxmlformats.org/officeDocument/2006/relationships/hyperlink" Target="https://www.datacenterdynamics.com/en/news/aws-to-invest-7bn-in-data-centers-in-hyderabad-india/" TargetMode="External"/><Relationship Id="rId75" Type="http://schemas.openxmlformats.org/officeDocument/2006/relationships/hyperlink" Target="https://theprint.in/ground-reports/inside-chennais-data-centres-fortresses-of-the-ai-era/2856488/" TargetMode="External"/><Relationship Id="rId91" Type="http://schemas.openxmlformats.org/officeDocument/2006/relationships/hyperlink" Target="https://stopdirtydatacenters.org/" TargetMode="External"/><Relationship Id="rId96" Type="http://schemas.openxmlformats.org/officeDocument/2006/relationships/hyperlink" Target="https://www.datacenterdynamics.com/en/news/indias-techno-digital-opens-36mw-data-center/" TargetMode="External"/><Relationship Id="rId140" Type="http://schemas.openxmlformats.org/officeDocument/2006/relationships/hyperlink" Target="https://indianinfrastructure.com/2026/09/25/telangana-government-sets-5-gw-hyperscale-data-centre-target-by-2029-eyes-30-billion-in-investment/" TargetMode="External"/><Relationship Id="rId145" Type="http://schemas.openxmlformats.org/officeDocument/2006/relationships/hyperlink" Target="https://telborg.com/datacentre-briefings/256" TargetMode="External"/><Relationship Id="rId1" Type="http://schemas.openxmlformats.org/officeDocument/2006/relationships/hyperlink" Target="https://investors.coreweave.com/news/news-details/2026/CoreWeave-Enters-India-Expanding-AI-Cloud-Platform-With-AdaniConneX/default.aspx" TargetMode="External"/><Relationship Id="rId6" Type="http://schemas.openxmlformats.org/officeDocument/2006/relationships/hyperlink" Target="https://blitzindiamedia.com/west/amazon-taloja-data-center-environmental-clearance-seiaa-2026/" TargetMode="External"/><Relationship Id="rId23" Type="http://schemas.openxmlformats.org/officeDocument/2006/relationships/hyperlink" Target="https://colocation.yotta.com/data-center/nm1-datacenter-mumbai-region-maharashtra/" TargetMode="External"/><Relationship Id="rId28" Type="http://schemas.openxmlformats.org/officeDocument/2006/relationships/hyperlink" Target="https://www.communicationstoday.co.in/stt-gdc-india-buys-navi-mumbai-land-for-%E2%82%B9282-crore-data-centre-project/" TargetMode="External"/><Relationship Id="rId49" Type="http://schemas.openxmlformats.org/officeDocument/2006/relationships/hyperlink" Target="https://www.ecmpcb.in/login/download_ec_document/QjJCMzlBQzg5M0MzNDZERjg1NDQxQTZGN0YzQzE0MjMucGRm" TargetMode="External"/><Relationship Id="rId114" Type="http://schemas.openxmlformats.org/officeDocument/2006/relationships/hyperlink" Target="https://mpcb.gov.in/sites/default/files/inline-files/Action_Taken_Report_of_15th_CAC_Booklet_no_15_%281%29.pdf" TargetMode="External"/><Relationship Id="rId119" Type="http://schemas.openxmlformats.org/officeDocument/2006/relationships/hyperlink" Target="https://mpcb.gov.in/sites/default/files/inline-files/Minutes%20of%2015th%20CAC%20Establish%20Booklet%20no%2065.pdf" TargetMode="External"/><Relationship Id="rId44" Type="http://schemas.openxmlformats.org/officeDocument/2006/relationships/hyperlink" Target="https://environmentclearance.nic.in/DownloadPfdFile.aspx?FileName=Kwy+a1Xl%2FGHp2kMbJYBd8GPrFSz%2FNzzr1mrm87hA6RfsBvasy5U%2FhwjR4PRxBwwupD8Lw8MExL5FqtSFZLEOTQ%3D%3D&amp;FilePath=93ZZBm8LWEXfg+HAlQix2fE2t8z%2FpgnoBhDlYdZCxzXTbTpOQqzWjBW0IF63rxBVcDlG0LKdfbGNs0Ou%2FTEvAA%3D%3D" TargetMode="External"/><Relationship Id="rId60" Type="http://schemas.openxmlformats.org/officeDocument/2006/relationships/hyperlink" Target="https://cdn.prod.website-files.com/5d70c9269b8d7bd25d8b1696/6a7eb3b63aaa0bf811886bd4_C5dmjgRvarnSVWAcsazFlsX-Tk7A3FFIaxfaW49XR8g.pdf" TargetMode="External"/><Relationship Id="rId65" Type="http://schemas.openxmlformats.org/officeDocument/2006/relationships/hyperlink" Target="https://telanganatoday.com/andhra-pradesh-plans-15-gw-transmission-network-for-data-centres" TargetMode="External"/><Relationship Id="rId81" Type="http://schemas.openxmlformats.org/officeDocument/2006/relationships/hyperlink" Target="https://indianinfrastructure.com/2026/08/04/adani-group-proposes-rs-1-trillion-ai-data-centre-in-odisha/" TargetMode="External"/><Relationship Id="rId86" Type="http://schemas.openxmlformats.org/officeDocument/2006/relationships/hyperlink" Target="https://www.ziromarket.com/blog/anant-raj-data-centre-haryana-mou-2026" TargetMode="External"/><Relationship Id="rId130" Type="http://schemas.openxmlformats.org/officeDocument/2006/relationships/hyperlink" Target="https://mpcb.gov.in/sites/default/files/inline-files/Agenda%20INdex%20of%2011th%20CAC%20Meeting.pdf" TargetMode="External"/><Relationship Id="rId135" Type="http://schemas.openxmlformats.org/officeDocument/2006/relationships/hyperlink" Target="https://countercurrents.org/2026/04/hrf-flags-template-based-clearances-for-massive-andhra-data-centres-seeks-suspension-and-fresh-review/" TargetMode="External"/><Relationship Id="rId151" Type="http://schemas.openxmlformats.org/officeDocument/2006/relationships/hyperlink" Target="https://www.newkerala.com/news/a/maharashtra-emerges-data-centre-capital-rs-1669-lakh-893.htm" TargetMode="External"/><Relationship Id="rId13" Type="http://schemas.openxmlformats.org/officeDocument/2006/relationships/hyperlink" Target="https://www.aninews.in/news/business/maharashtra-issues-letter-of-intent-to-airtrunk-for-rs-2-lakh-crore-data-centre-project-in-raigad20260601123602/" TargetMode="External"/><Relationship Id="rId18" Type="http://schemas.openxmlformats.org/officeDocument/2006/relationships/hyperlink" Target="https://assets.airtel.in/nxtra/pdf/EC_Environmental_Clearance_Certificate_Nxtra%20Mahape_DC-02_25.11.25.pdf" TargetMode="External"/><Relationship Id="rId39" Type="http://schemas.openxmlformats.org/officeDocument/2006/relationships/hyperlink" Target="https://www.datacenterdynamics.com/en/news/maharashtra-state-govt-partners-with-prestige-to-develop-data-center-in/" TargetMode="External"/><Relationship Id="rId109" Type="http://schemas.openxmlformats.org/officeDocument/2006/relationships/hyperlink" Target="https://solarquarter.com/2026/07/06/merc-pulls-up-msedcl-msetcl-over-delays-in-green-energy-long-term-open-access-applications/" TargetMode="External"/><Relationship Id="rId34" Type="http://schemas.openxmlformats.org/officeDocument/2006/relationships/hyperlink" Target="https://www.icra.in/Rating/ShowRationalReportFilePdf/141442" TargetMode="External"/><Relationship Id="rId50" Type="http://schemas.openxmlformats.org/officeDocument/2006/relationships/hyperlink" Target="https://bearysgroup.com/wp-content/uploads/2024/01/Bearys-Data-Centre-e-brochure.pdf" TargetMode="External"/><Relationship Id="rId55" Type="http://schemas.openxmlformats.org/officeDocument/2006/relationships/hyperlink" Target="https://mahapreit.in/assets/uploads/tender-ext-65-1786725791.pdf" TargetMode="External"/><Relationship Id="rId76" Type="http://schemas.openxmlformats.org/officeDocument/2006/relationships/hyperlink" Target="https://uplc.up.gov.in/en/page/uttar-pradesh-data-center-policy" TargetMode="External"/><Relationship Id="rId97" Type="http://schemas.openxmlformats.org/officeDocument/2006/relationships/hyperlink" Target="https://www.business-standard.com/amp/companies/news/hcltech-ai-data-centre-odisha-sarvam-rs-14257-crore-investment-126072400775_1.html" TargetMode="External"/><Relationship Id="rId104" Type="http://schemas.openxmlformats.org/officeDocument/2006/relationships/hyperlink" Target="https://www.structureresearch.net/product/mumbai-pune-dcai-report-2026-data-centre-colocation-hyperscale-cloud-ai-interconnection/" TargetMode="External"/><Relationship Id="rId120" Type="http://schemas.openxmlformats.org/officeDocument/2006/relationships/hyperlink" Target="https://mpcb.gov.in/sites/default/files/inline-files/Webhost_Minutes_of_3rd_CAC_meeting.pdf" TargetMode="External"/><Relationship Id="rId125" Type="http://schemas.openxmlformats.org/officeDocument/2006/relationships/hyperlink" Target="https://www.ecmpcb.in/login/download_ec_document/Nzg4MEM4QkU4NEYwNEI4MzhBOTA5OTlGQUFCQjU4MkQucGRm" TargetMode="External"/><Relationship Id="rId141" Type="http://schemas.openxmlformats.org/officeDocument/2006/relationships/hyperlink" Target="https://www.dtnext.in/news/chennai/powerplay-tn-plans-substation-in-ambattur-to-back-data-centres-850341" TargetMode="External"/><Relationship Id="rId146" Type="http://schemas.openxmlformats.org/officeDocument/2006/relationships/hyperlink" Target="https://sansad.in/getFile/annex/270/AU4151_DoYAWR.pdf?source=pqars" TargetMode="External"/><Relationship Id="rId7" Type="http://schemas.openxmlformats.org/officeDocument/2006/relationships/hyperlink" Target="https://www.datacenterdynamics.com/en/news/aws-plans-430m-data-center-in-navi-mumbai-india/" TargetMode="External"/><Relationship Id="rId71" Type="http://schemas.openxmlformats.org/officeDocument/2006/relationships/hyperlink" Target="https://www.aboutamazon.in/news/aws/aws-data-centre-hyderabad" TargetMode="External"/><Relationship Id="rId92" Type="http://schemas.openxmlformats.org/officeDocument/2006/relationships/hyperlink" Target="https://ctuil.in/nswsapi/gna" TargetMode="External"/><Relationship Id="rId2" Type="http://schemas.openxmlformats.org/officeDocument/2006/relationships/hyperlink" Target="https://inc42.com/buzz/coreweave-enters-india-partners-adaniconnex-for-240-mw-data-centre-capacity/" TargetMode="External"/><Relationship Id="rId29" Type="http://schemas.openxmlformats.org/officeDocument/2006/relationships/hyperlink" Target="https://www.datacenterdynamics.com/en/news/pdg-breaks-ground-on-latest-mumbai-data-center/" TargetMode="External"/><Relationship Id="rId24" Type="http://schemas.openxmlformats.org/officeDocument/2006/relationships/hyperlink" Target="https://dcpulse.com/project/yotta-nm2-navi-mumbai-datacenter" TargetMode="External"/><Relationship Id="rId40" Type="http://schemas.openxmlformats.org/officeDocument/2006/relationships/hyperlink" Target="https://www.business-standard.com/industry/news/renew-signs-mou-with-maharashtra-for-70-000-crore-green-data-centre-park-126100801226_1.html" TargetMode="External"/><Relationship Id="rId45" Type="http://schemas.openxmlformats.org/officeDocument/2006/relationships/hyperlink" Target="https://housing.com/news/google-rents-data-centre-space-in-navi-mumbai-midc/" TargetMode="External"/><Relationship Id="rId66" Type="http://schemas.openxmlformats.org/officeDocument/2006/relationships/hyperlink" Target="https://www.business-standard.com/companies/news/fortune-to-set-up-60-000-cr-hyperscale-ai-data-centre-park-in-telangana-126091000632_1.html" TargetMode="External"/><Relationship Id="rId87" Type="http://schemas.openxmlformats.org/officeDocument/2006/relationships/hyperlink" Target="https://w.media/karnataka-plans-three-sustainable-data-center-parks-with-combined-capacity-of-1-gw/" TargetMode="External"/><Relationship Id="rId110" Type="http://schemas.openxmlformats.org/officeDocument/2006/relationships/hyperlink" Target="https://mpcb.gov.in/sites/default/files/inline-files/Action_Taken_report_of_5th_CAC_Booklet_no_5_0.pdf" TargetMode="External"/><Relationship Id="rId115" Type="http://schemas.openxmlformats.org/officeDocument/2006/relationships/hyperlink" Target="https://mpcb.gov.in/sites/default/files/inline-files/Action_Taken_Report_of_6th_CAC_Meeting_2024-25.pdf" TargetMode="External"/><Relationship Id="rId131" Type="http://schemas.openxmlformats.org/officeDocument/2006/relationships/hyperlink" Target="https://mpcb.gov.in/sites/default/files/inline-files/Index_Of_15th_CAC_Meeting.pdf" TargetMode="External"/><Relationship Id="rId136" Type="http://schemas.openxmlformats.org/officeDocument/2006/relationships/hyperlink" Target="https://theprint.in/judiciary/google-adani-vizag-data-centre-got-green-nod-on-built-up-area-not-ops-andhra-govt-affidavit-explains/3025598/" TargetMode="External"/><Relationship Id="rId61" Type="http://schemas.openxmlformats.org/officeDocument/2006/relationships/hyperlink" Target="https://www.googlecloudpresscorner.com/2026-04-28-Google-Breaks-Ground-on-India-AI-Hub,-Launching-a-National-Industrial-Ecosystem-Alongside-Indias-Digital-Infrastructure-Milestone" TargetMode="External"/><Relationship Id="rId82" Type="http://schemas.openxmlformats.org/officeDocument/2006/relationships/hyperlink" Target="https://www.techpillow.co/blog/hcltech-sarvam-odisha-sovereign-ai-data-centre-2026" TargetMode="External"/><Relationship Id="rId152" Type="http://schemas.openxmlformats.org/officeDocument/2006/relationships/hyperlink" Target="https://www.angelone.in/news/economy/gujarat-unveils-data-centre-policy-2026-29-with-target-of-6-lakh-crore-investment" TargetMode="External"/><Relationship Id="rId19" Type="http://schemas.openxmlformats.org/officeDocument/2006/relationships/hyperlink" Target="https://www.digitaledgedc.com/wp-content/uploads/2025/07/EC-Letter-Data-Center.pdf" TargetMode="External"/><Relationship Id="rId14" Type="http://schemas.openxmlformats.org/officeDocument/2006/relationships/hyperlink" Target="https://techcrunch.com/2026/06/05/airtrunk-commits-30b-to-build-5gw-of-ai-data-centers-in-india/" TargetMode="External"/><Relationship Id="rId30" Type="http://schemas.openxmlformats.org/officeDocument/2006/relationships/hyperlink" Target="https://www.datacentermap.com/india/navi-mumbai/princeton-digital-mu2/" TargetMode="External"/><Relationship Id="rId35" Type="http://schemas.openxmlformats.org/officeDocument/2006/relationships/hyperlink" Target="https://indianinfrastructure.com/2026/10/16/colt-dcs-and-rmz-begin-construction-of-third-data-centre-in-mumbai/" TargetMode="External"/><Relationship Id="rId56" Type="http://schemas.openxmlformats.org/officeDocument/2006/relationships/hyperlink" Target="https://www.ecmpcb.in/login/download_ec_document/MEE0OEVGQjI1RjNDNENERjhCMDEwNkI0NjI1Njg2MjYucGRm" TargetMode="External"/><Relationship Id="rId77" Type="http://schemas.openxmlformats.org/officeDocument/2006/relationships/hyperlink" Target="https://invest.up.gov.in/uttar-pradesh-data-centre-policy-2026/" TargetMode="External"/><Relationship Id="rId100" Type="http://schemas.openxmlformats.org/officeDocument/2006/relationships/hyperlink" Target="https://www.business-standard.com/markets/capital-market-news/bajel-projects-gains-on-bagging-mega-order-for-gis-substation-in-mumbai-126060300276_1.html" TargetMode="External"/><Relationship Id="rId105" Type="http://schemas.openxmlformats.org/officeDocument/2006/relationships/hyperlink" Target="https://www.ctuil.in/uploads/ists_consultation_meeting/minutes/171076102952Minutes%20of%2026th%20CMETS-WR_final.pdf" TargetMode="External"/><Relationship Id="rId126" Type="http://schemas.openxmlformats.org/officeDocument/2006/relationships/hyperlink" Target="https://www.ecmpcb.in/login/download_ec_document/MzI2MjVDNjJFNjhGNEFDMkFCRjA0MDc5NDdENUQ3QjMucGRm" TargetMode="External"/><Relationship Id="rId147" Type="http://schemas.openxmlformats.org/officeDocument/2006/relationships/hyperlink" Target="https://sansad.in/getFile/annex/269/AU1753_OkjHmF.pdf?source=pqars" TargetMode="External"/><Relationship Id="rId8" Type="http://schemas.openxmlformats.org/officeDocument/2006/relationships/hyperlink" Target="https://merc.gov.in/wp-content/uploads/2026/06/Order-88-of-2026.pdf" TargetMode="External"/><Relationship Id="rId51" Type="http://schemas.openxmlformats.org/officeDocument/2006/relationships/hyperlink" Target="https://www.ecmpcb.in/login/download_ec_document/MzMzQzM2MDM3QkQ5NEYxQUIyOTNEMjAyNEE2NUNFODgucGRm" TargetMode="External"/><Relationship Id="rId72" Type="http://schemas.openxmlformats.org/officeDocument/2006/relationships/hyperlink" Target="https://www.capitaland.com/content/dam/capitaland-newsroom/International/2026/october/cli-affirms-long-term-commitment-to-tamil-nadu/CapitaLand%20Investment%20reaffirms%20long-term%20commitment%20to%20Tamil%20Nadu%20with%20unveiling%20of%20new%20Chennai%20data%20centre.pdf" TargetMode="External"/><Relationship Id="rId93" Type="http://schemas.openxmlformats.org/officeDocument/2006/relationships/hyperlink" Target="https://theprint.in/india/governance/telangana-secures-amazons-biggest-india-data-centre-project-months-after-google-announced-ai-hub-in-ap/2987492/" TargetMode="External"/><Relationship Id="rId98" Type="http://schemas.openxmlformats.org/officeDocument/2006/relationships/hyperlink" Target="https://dmc-education.com/2026/10/04/odisha-adani-group-gets-approval-for-%E2%82%B91-04-lakh-crore-1-gw-data-centre-park-at-naraj/" TargetMode="External"/><Relationship Id="rId121" Type="http://schemas.openxmlformats.org/officeDocument/2006/relationships/hyperlink" Target="https://mpcb.gov.in/sites/default/files/inline-files/Action_Taken_Report_of_17th_CAC_Booklet_no_17_2024-25.pdf" TargetMode="External"/><Relationship Id="rId142" Type="http://schemas.openxmlformats.org/officeDocument/2006/relationships/hyperlink" Target="https://www.medianama.com/2026/09/223-karnataka-sustainable-data-centre-policy/" TargetMode="External"/><Relationship Id="rId3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25" Type="http://schemas.openxmlformats.org/officeDocument/2006/relationships/hyperlink" Target="https://www.ctrls.com/" TargetMode="External"/><Relationship Id="rId46" Type="http://schemas.openxmlformats.org/officeDocument/2006/relationships/hyperlink" Target="https://mpcb.gov.in/en/cac-meetings" TargetMode="External"/><Relationship Id="rId67" Type="http://schemas.openxmlformats.org/officeDocument/2006/relationships/hyperlink" Target="https://www.medianama.com/2026/09/223-tcs-hypervault-ai-data-centre-telangana/" TargetMode="External"/><Relationship Id="rId116" Type="http://schemas.openxmlformats.org/officeDocument/2006/relationships/hyperlink" Target="https://mpcb.gov.in/sites/default/files/inline-files/Action_taken_Report_of_16th_CAC_Booklet_no_16.pdf" TargetMode="External"/><Relationship Id="rId137" Type="http://schemas.openxmlformats.org/officeDocument/2006/relationships/hyperlink" Target="https://countercurrents.org/2026/06/ap-govts-data-center-deemed-distribution-licence-policy-ddl-is-legally-unsustainable-must-be-withdrawn/" TargetMode="External"/><Relationship Id="rId20" Type="http://schemas.openxmlformats.org/officeDocument/2006/relationships/hyperlink" Target="https://www.digitaledgedc.com/digital-edge-india/" TargetMode="External"/><Relationship Id="rId41" Type="http://schemas.openxmlformats.org/officeDocument/2006/relationships/hyperlink" Target="https://indianinfrastructure.com/2026/10/13/renew-signs-rs-700-billion-mou-with-maharashtra-government-to-develop-green-integrated-data-centre-park-in-mmr/" TargetMode="External"/><Relationship Id="rId62" Type="http://schemas.openxmlformats.org/officeDocument/2006/relationships/hyperlink" Target="https://www.deccanherald.com/india/andhra-pradesh/andhra-sipb-clears-rils-rs-108010-crore-vizag-data-centre-proposal-3993372" TargetMode="External"/><Relationship Id="rId83" Type="http://schemas.openxmlformats.org/officeDocument/2006/relationships/hyperlink" Target="https://www.datacenterdynamics.com/en/news/hiranandani-group-build-six-hyperscale-data-centers-bengal/" TargetMode="External"/><Relationship Id="rId88" Type="http://schemas.openxmlformats.org/officeDocument/2006/relationships/hyperlink" Target="https://www.deccanchronicle.com/southern-states/andhra-pradesh/ap-approves-sifys-rs-15266-crore-data-centre-expansion-clears-3-other-tech-projects-1967167" TargetMode="External"/><Relationship Id="rId111" Type="http://schemas.openxmlformats.org/officeDocument/2006/relationships/hyperlink" Target="https://mpcb.gov.in/sites/default/files/inline-files/Agenda%20Index%20of%2014th%20CAC%20Meeting.pdf" TargetMode="External"/><Relationship Id="rId132" Type="http://schemas.openxmlformats.org/officeDocument/2006/relationships/hyperlink" Target="https://mpcb.gov.in/sites/default/files/inline-files/Webhost%20Minutes%20of%203rd%20CAC%20Booklet%20no.%203.pdf" TargetMode="External"/><Relationship Id="rId153" Type="http://schemas.openxmlformats.org/officeDocument/2006/relationships/hyperlink" Target="https://www.icra.in/Rating/GetRationalReportFilePdf?Id=141427" TargetMode="External"/><Relationship Id="rId15" Type="http://schemas.openxmlformats.org/officeDocument/2006/relationships/hyperlink" Target="https://www.datacenterdynamics.com/en/news/ntt-announces-500mw-nav2-data-center-in-navi-mumbai-india/" TargetMode="External"/><Relationship Id="rId36" Type="http://schemas.openxmlformats.org/officeDocument/2006/relationships/hyperlink" Target="https://www.larsentoubro.com/pressreleases/2026/2026-01-21-larsen-toubro-vyoma-breaks-ground-on-40-mw-green-ai-ready-data-centre-in-navi-mumbai" TargetMode="External"/><Relationship Id="rId57" Type="http://schemas.openxmlformats.org/officeDocument/2006/relationships/hyperlink" Target="https://www.datacenterdynamics.com/en/news/microsoft-acquires-16-acre-plot-in-pune-india-for-data-center-expansion/" TargetMode="External"/><Relationship Id="rId106" Type="http://schemas.openxmlformats.org/officeDocument/2006/relationships/hyperlink" Target="https://www.ctuil.in/uploads/ists_consultation_meeting/minutes/17718323234441st%20WR%20CMETS%20MOM.pdf" TargetMode="External"/><Relationship Id="rId127" Type="http://schemas.openxmlformats.org/officeDocument/2006/relationships/hyperlink" Target="https://mpcb.gov.in/sites/default/files/inline-files/Index_of_4th_CAC_Meeting_of_2025-26.pdf" TargetMode="External"/><Relationship Id="rId10" Type="http://schemas.openxmlformats.org/officeDocument/2006/relationships/hyperlink" Target="https://w.media/palava-land-deal-points-to-digital-edges-second-india-data-center/" TargetMode="External"/><Relationship Id="rId31" Type="http://schemas.openxmlformats.org/officeDocument/2006/relationships/hyperlink" Target="https://www.capitaland.com/en/find-a-property/global-property-listing/data-centres/capitaland-s-datacentrenavimumbai1.html" TargetMode="External"/><Relationship Id="rId52" Type="http://schemas.openxmlformats.org/officeDocument/2006/relationships/hyperlink" Target="https://www.ecmpcb.in/login/download_ec_document/MjMyMTI2NEMzMjYzNDM5M0IxRTJDRDY5MENBNDZFODcucGRm" TargetMode="External"/><Relationship Id="rId73" Type="http://schemas.openxmlformats.org/officeDocument/2006/relationships/hyperlink" Target="https://www.sifytechnologies.com/data-center/chennai02-data-center/" TargetMode="External"/><Relationship Id="rId78" Type="http://schemas.openxmlformats.org/officeDocument/2006/relationships/hyperlink" Target="https://services.global.ntt/en-us/services-and-products/global-data-centers/global-locations/india/noida-2-data-center" TargetMode="External"/><Relationship Id="rId94" Type="http://schemas.openxmlformats.org/officeDocument/2006/relationships/hyperlink" Target="https://www.tribuneindia.com/news/world/telangana-govt-signs-rs-3500-crore-mou-with-st-telemedia-for-ai-ready-data-centre-in-hyderabad/" TargetMode="External"/><Relationship Id="rId99" Type="http://schemas.openxmlformats.org/officeDocument/2006/relationships/hyperlink" Target="https://www.mahatransco.in/uploads/docs/STU%20Plan%202024-25%20to%202033-24.pdf" TargetMode="External"/><Relationship Id="rId101" Type="http://schemas.openxmlformats.org/officeDocument/2006/relationships/hyperlink" Target="https://taxguru.in/finance/business/tata-power-expands-data-centre-opportunities-with-2-8-gw-pipeline.html" TargetMode="External"/><Relationship Id="rId122" Type="http://schemas.openxmlformats.org/officeDocument/2006/relationships/hyperlink" Target="https://mpcb.gov.in/sites/default/files/inline-files/Action_Taken_Report_of_2nd_CAC_Meeting.pdf" TargetMode="External"/><Relationship Id="rId143" Type="http://schemas.openxmlformats.org/officeDocument/2006/relationships/hyperlink" Target="https://invest.up.gov.in/wp-content/uploads/2026/07/UPDCP-2026-Notification-English.pdf" TargetMode="External"/><Relationship Id="rId148" Type="http://schemas.openxmlformats.org/officeDocument/2006/relationships/hyperlink" Target="https://sansad.in/getFile/lsapps/loksabhaquestions/annex/188/AU2990_SqOT7j.pdf" TargetMode="External"/><Relationship Id="rId4" Type="http://schemas.openxmlformats.org/officeDocument/2006/relationships/hyperlink" Target="https://www.datacenters.com/adaniconnex-navi" TargetMode="External"/><Relationship Id="rId9" Type="http://schemas.openxmlformats.org/officeDocument/2006/relationships/hyperlink" Target="https://www.saurenergy.com/solar-energy-news/maharashtra-approves-transmission-infrastructure-for-13-lakh-crore-data-centre-park-11902218" TargetMode="External"/><Relationship Id="rId26" Type="http://schemas.openxmlformats.org/officeDocument/2006/relationships/hyperlink" Target="https://www.ctrls.com/dc-visit-mumbai/" TargetMode="External"/><Relationship Id="rId47" Type="http://schemas.openxmlformats.org/officeDocument/2006/relationships/hyperlink" Target="https://www.ecmpcb.in/login/download_ec_document/ODY2MDg5MDRCMzNGNDNCN0JEMTFBNDUzNEI4MjlGNEQucGRm" TargetMode="External"/><Relationship Id="rId68" Type="http://schemas.openxmlformats.org/officeDocument/2006/relationships/hyperlink" Target="https://techcrunch.com/2026/02/18/openai-taps-tata-for-100mw-ai-data-center-capacity-in-india-eyes-1gw/" TargetMode="External"/><Relationship Id="rId89" Type="http://schemas.openxmlformats.org/officeDocument/2006/relationships/hyperlink" Target="https://w.media/andhra-pradesh-allocates-extra-25-acres-for-sifys-500-mw-dc/" TargetMode="External"/><Relationship Id="rId112" Type="http://schemas.openxmlformats.org/officeDocument/2006/relationships/hyperlink" Target="https://environmentclearance.nic.in/writereaddata/FormB/agenda/1509202585756580%28740114%29MINUTESOF301DAY-4TABLEITEM-Copy.pdf" TargetMode="External"/><Relationship Id="rId133" Type="http://schemas.openxmlformats.org/officeDocument/2006/relationships/hyperlink" Target="https://mpcb.gov.in/sites/default/files/inline-files/Action_Taken_Report_of_16th_CAC_Booklet_no._16_%281%29.pdf" TargetMode="External"/><Relationship Id="rId154" Type="http://schemas.openxmlformats.org/officeDocument/2006/relationships/hyperlink" Target="https://www.angelone.in/news/ipos/sify-infinit-spaces-files-drhp-for-3-700-crore-ipo-data-centre-expansion-in-focus" TargetMode="External"/><Relationship Id="rId16" Type="http://schemas.openxmlformats.org/officeDocument/2006/relationships/hyperlink" Target="https://www.globaldatacenterhub.com/p/the-new-center-of-gravity-inside" TargetMode="External"/><Relationship Id="rId37" Type="http://schemas.openxmlformats.org/officeDocument/2006/relationships/hyperlink" Target="https://www.crnasia.com/india/news/2026/esr-enters-india-data-centre-market-with-60-mw-facility-in-mumbai" TargetMode="External"/><Relationship Id="rId58" Type="http://schemas.openxmlformats.org/officeDocument/2006/relationships/hyperlink" Target="https://www.businessworld.in/article/microsoft-acquires-land-in-pune-for-rs-453-cr-to-expand-data-center-operations-533028" TargetMode="External"/><Relationship Id="rId79" Type="http://schemas.openxmlformats.org/officeDocument/2006/relationships/hyperlink" Target="https://www.pv-magazine-india.com/2026/06/10/reliance-meta-to-develop-168-mw-ai-data-centre-powered-by-renewable-energy-in-jamnagar/" TargetMode="External"/><Relationship Id="rId102" Type="http://schemas.openxmlformats.org/officeDocument/2006/relationships/hyperlink" Target="https://www.techpolicy.press/mumbais-data-center-dreams-run-on-coal-and-inequality/" TargetMode="External"/><Relationship Id="rId123" Type="http://schemas.openxmlformats.org/officeDocument/2006/relationships/hyperlink" Target="https://mpcb.gov.in/sites/default/files/inline-files/Action_Taken_Report_of_1st_CAC_Meeting_Part_I.pdf" TargetMode="External"/><Relationship Id="rId144" Type="http://schemas.openxmlformats.org/officeDocument/2006/relationships/hyperlink" Target="https://sansad.in/getFile/annex/271/AU956_9jPv13.pdf?source=pqars" TargetMode="External"/><Relationship Id="rId90" Type="http://schemas.openxmlformats.org/officeDocument/2006/relationships/hyperlink" Target="https://analyticsindiamag.com/ai-news/tcs-acquires-land-in-vizag-pune-for-openai-data-cent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5" x14ac:dyDescent="0.25"/>
  <cols>
    <col min="1" max="1" width="26" customWidth="1"/>
    <col min="2" max="2" width="110" customWidth="1"/>
  </cols>
  <sheetData>
    <row r="1" spans="1:2" ht="18" x14ac:dyDescent="0.25">
      <c r="A1" s="1" t="s">
        <v>0</v>
      </c>
    </row>
    <row r="3" spans="1:2" ht="38.25" x14ac:dyDescent="0.25">
      <c r="A3" s="2" t="s">
        <v>1</v>
      </c>
      <c r="B3" s="3" t="s">
        <v>2</v>
      </c>
    </row>
    <row r="4" spans="1:2" ht="38.25" x14ac:dyDescent="0.25">
      <c r="A4" s="2" t="s">
        <v>3</v>
      </c>
      <c r="B4" s="3" t="s">
        <v>4</v>
      </c>
    </row>
    <row r="5" spans="1:2" ht="51" x14ac:dyDescent="0.25">
      <c r="A5" s="2" t="s">
        <v>5</v>
      </c>
      <c r="B5" s="3" t="s">
        <v>6</v>
      </c>
    </row>
    <row r="6" spans="1:2" ht="25.5" x14ac:dyDescent="0.25">
      <c r="A6" s="2" t="s">
        <v>7</v>
      </c>
      <c r="B6" s="3" t="s">
        <v>8</v>
      </c>
    </row>
    <row r="7" spans="1:2" ht="63.75" x14ac:dyDescent="0.25">
      <c r="A7" s="2" t="s">
        <v>9</v>
      </c>
      <c r="B7" s="3" t="s">
        <v>10</v>
      </c>
    </row>
    <row r="8" spans="1:2" ht="25.5" x14ac:dyDescent="0.25">
      <c r="A8" s="2" t="s">
        <v>11</v>
      </c>
      <c r="B8" s="3" t="s">
        <v>12</v>
      </c>
    </row>
    <row r="9" spans="1:2" ht="25.5" x14ac:dyDescent="0.25">
      <c r="A9" s="2" t="s">
        <v>13</v>
      </c>
      <c r="B9" s="3" t="s">
        <v>14</v>
      </c>
    </row>
    <row r="10" spans="1:2" ht="25.5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ht="25.5" x14ac:dyDescent="0.25">
      <c r="A12" s="2" t="s">
        <v>19</v>
      </c>
      <c r="B12" s="3" t="s">
        <v>20</v>
      </c>
    </row>
    <row r="14" spans="1:2" x14ac:dyDescent="0.25">
      <c r="A14" s="2" t="s">
        <v>21</v>
      </c>
    </row>
    <row r="15" spans="1:2" x14ac:dyDescent="0.25">
      <c r="A15" s="2" t="s">
        <v>22</v>
      </c>
      <c r="B15" s="4" t="s">
        <v>23</v>
      </c>
    </row>
    <row r="16" spans="1:2" x14ac:dyDescent="0.25">
      <c r="A16" s="2" t="s">
        <v>24</v>
      </c>
      <c r="B16" s="4" t="s">
        <v>25</v>
      </c>
    </row>
    <row r="17" spans="1:2" x14ac:dyDescent="0.25">
      <c r="A17" s="2" t="s">
        <v>26</v>
      </c>
      <c r="B17" s="4" t="s">
        <v>27</v>
      </c>
    </row>
    <row r="18" spans="1:2" x14ac:dyDescent="0.25">
      <c r="A18" s="2" t="s">
        <v>28</v>
      </c>
      <c r="B18" s="4" t="s">
        <v>29</v>
      </c>
    </row>
    <row r="19" spans="1:2" x14ac:dyDescent="0.25">
      <c r="A19" s="2" t="s">
        <v>30</v>
      </c>
      <c r="B19" s="4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/>
  </sheetViews>
  <sheetFormatPr defaultRowHeight="15" x14ac:dyDescent="0.25"/>
  <cols>
    <col min="1" max="1" width="34" customWidth="1"/>
    <col min="2" max="9" width="14" customWidth="1"/>
  </cols>
  <sheetData>
    <row r="1" spans="1:9" ht="18" x14ac:dyDescent="0.25">
      <c r="A1" s="1" t="s">
        <v>32</v>
      </c>
    </row>
    <row r="2" spans="1:9" x14ac:dyDescent="0.25">
      <c r="A2" s="5" t="s">
        <v>33</v>
      </c>
    </row>
    <row r="4" spans="1:9" ht="39" x14ac:dyDescent="0.25">
      <c r="A4" s="6" t="s">
        <v>34</v>
      </c>
      <c r="B4" s="6" t="s">
        <v>22</v>
      </c>
      <c r="C4" s="6" t="s">
        <v>24</v>
      </c>
      <c r="D4" s="6" t="s">
        <v>26</v>
      </c>
      <c r="E4" s="6" t="s">
        <v>28</v>
      </c>
      <c r="F4" s="6" t="s">
        <v>30</v>
      </c>
      <c r="G4" s="6" t="s">
        <v>35</v>
      </c>
      <c r="H4" s="6" t="s">
        <v>36</v>
      </c>
      <c r="I4" s="6" t="s">
        <v>37</v>
      </c>
    </row>
    <row r="5" spans="1:9" x14ac:dyDescent="0.25">
      <c r="A5" s="7" t="s">
        <v>38</v>
      </c>
      <c r="B5" s="8">
        <f>SUMIFS(Projects!$J$2:$J$293,Projects!$B$2:$B$293,$A5,Projects!$O$2:$O$293,"A1",Projects!$W$2:$W$293,"Y")</f>
        <v>3372</v>
      </c>
      <c r="C5" s="8">
        <f>SUMIFS(Projects!$J$2:$J$293,Projects!$B$2:$B$293,$A5,Projects!$O$2:$O$293,"A2",Projects!$W$2:$W$293,"Y")</f>
        <v>4250</v>
      </c>
      <c r="D5" s="8">
        <f>SUMIFS(Projects!$J$2:$J$293,Projects!$B$2:$B$293,$A5,Projects!$O$2:$O$293,"B",Projects!$W$2:$W$293,"Y")</f>
        <v>244</v>
      </c>
      <c r="E5" s="8">
        <f>SUMIFS(Projects!$J$2:$J$293,Projects!$B$2:$B$293,$A5,Projects!$O$2:$O$293,"C",Projects!$W$2:$W$293,"Y")</f>
        <v>3216</v>
      </c>
      <c r="F5" s="8">
        <f>SUMIFS(Projects!$J$2:$J$293,Projects!$B$2:$B$293,$A5,Projects!$O$2:$O$293,"D",Projects!$W$2:$W$293,"Y")</f>
        <v>165.5</v>
      </c>
      <c r="G5" s="8">
        <f t="shared" ref="G5:G14" si="0">SUM(B5:F5)</f>
        <v>11247.5</v>
      </c>
      <c r="H5" s="8">
        <f>SUMIFS(Projects!$H$2:$H$293,Projects!$B$2:$B$293,$A5,Projects!$W$2:$W$293,"Y")</f>
        <v>472.2</v>
      </c>
      <c r="I5" s="8">
        <f>SUMIFS(Projects!$I$2:$I$293,Projects!$B$2:$B$293,$A5,Projects!$W$2:$W$293,"Y")</f>
        <v>2454.1</v>
      </c>
    </row>
    <row r="6" spans="1:9" x14ac:dyDescent="0.25">
      <c r="A6" s="7" t="s">
        <v>39</v>
      </c>
      <c r="B6" s="8">
        <f>SUMIFS(Projects!$J$2:$J$293,Projects!$B$2:$B$293,$A6,Projects!$O$2:$O$293,"A1",Projects!$W$2:$W$293,"Y")</f>
        <v>1000</v>
      </c>
      <c r="C6" s="8">
        <f>SUMIFS(Projects!$J$2:$J$293,Projects!$B$2:$B$293,$A6,Projects!$O$2:$O$293,"A2",Projects!$W$2:$W$293,"Y")</f>
        <v>4148</v>
      </c>
      <c r="D6" s="8">
        <f>SUMIFS(Projects!$J$2:$J$293,Projects!$B$2:$B$293,$A6,Projects!$O$2:$O$293,"B",Projects!$W$2:$W$293,"Y")</f>
        <v>0</v>
      </c>
      <c r="E6" s="8">
        <f>SUMIFS(Projects!$J$2:$J$293,Projects!$B$2:$B$293,$A6,Projects!$O$2:$O$293,"C",Projects!$W$2:$W$293,"Y")</f>
        <v>0</v>
      </c>
      <c r="F6" s="8">
        <f>SUMIFS(Projects!$J$2:$J$293,Projects!$B$2:$B$293,$A6,Projects!$O$2:$O$293,"D",Projects!$W$2:$W$293,"Y")</f>
        <v>0</v>
      </c>
      <c r="G6" s="8">
        <f t="shared" si="0"/>
        <v>5148</v>
      </c>
      <c r="H6" s="8">
        <f>SUMIFS(Projects!$H$2:$H$293,Projects!$B$2:$B$293,$A6,Projects!$W$2:$W$293,"Y")</f>
        <v>0</v>
      </c>
      <c r="I6" s="8">
        <f>SUMIFS(Projects!$I$2:$I$293,Projects!$B$2:$B$293,$A6,Projects!$W$2:$W$293,"Y")</f>
        <v>0</v>
      </c>
    </row>
    <row r="7" spans="1:9" x14ac:dyDescent="0.25">
      <c r="A7" s="7" t="s">
        <v>40</v>
      </c>
      <c r="B7" s="8">
        <f>SUMIFS(Projects!$J$2:$J$293,Projects!$B$2:$B$293,$A7,Projects!$O$2:$O$293,"A1",Projects!$W$2:$W$293,"Y")</f>
        <v>0</v>
      </c>
      <c r="C7" s="8">
        <f>SUMIFS(Projects!$J$2:$J$293,Projects!$B$2:$B$293,$A7,Projects!$O$2:$O$293,"A2",Projects!$W$2:$W$293,"Y")</f>
        <v>1000</v>
      </c>
      <c r="D7" s="8">
        <f>SUMIFS(Projects!$J$2:$J$293,Projects!$B$2:$B$293,$A7,Projects!$O$2:$O$293,"B",Projects!$W$2:$W$293,"Y")</f>
        <v>406</v>
      </c>
      <c r="E7" s="8">
        <f>SUMIFS(Projects!$J$2:$J$293,Projects!$B$2:$B$293,$A7,Projects!$O$2:$O$293,"C",Projects!$W$2:$W$293,"Y")</f>
        <v>2200</v>
      </c>
      <c r="F7" s="8">
        <f>SUMIFS(Projects!$J$2:$J$293,Projects!$B$2:$B$293,$A7,Projects!$O$2:$O$293,"D",Projects!$W$2:$W$293,"Y")</f>
        <v>0</v>
      </c>
      <c r="G7" s="8">
        <f t="shared" si="0"/>
        <v>3606</v>
      </c>
      <c r="H7" s="8">
        <f>SUMIFS(Projects!$H$2:$H$293,Projects!$B$2:$B$293,$A7,Projects!$W$2:$W$293,"Y")</f>
        <v>19.2</v>
      </c>
      <c r="I7" s="8">
        <f>SUMIFS(Projects!$I$2:$I$293,Projects!$B$2:$B$293,$A7,Projects!$W$2:$W$293,"Y")</f>
        <v>100</v>
      </c>
    </row>
    <row r="8" spans="1:9" x14ac:dyDescent="0.25">
      <c r="A8" s="7" t="s">
        <v>41</v>
      </c>
      <c r="B8" s="8">
        <f>SUMIFS(Projects!$J$2:$J$293,Projects!$B$2:$B$293,$A8,Projects!$O$2:$O$293,"A1",Projects!$W$2:$W$293,"Y")</f>
        <v>70</v>
      </c>
      <c r="C8" s="8">
        <f>SUMIFS(Projects!$J$2:$J$293,Projects!$B$2:$B$293,$A8,Projects!$O$2:$O$293,"A2",Projects!$W$2:$W$293,"Y")</f>
        <v>0</v>
      </c>
      <c r="D8" s="8">
        <f>SUMIFS(Projects!$J$2:$J$293,Projects!$B$2:$B$293,$A8,Projects!$O$2:$O$293,"B",Projects!$W$2:$W$293,"Y")</f>
        <v>33</v>
      </c>
      <c r="E8" s="8">
        <f>SUMIFS(Projects!$J$2:$J$293,Projects!$B$2:$B$293,$A8,Projects!$O$2:$O$293,"C",Projects!$W$2:$W$293,"Y")</f>
        <v>200</v>
      </c>
      <c r="F8" s="8">
        <f>SUMIFS(Projects!$J$2:$J$293,Projects!$B$2:$B$293,$A8,Projects!$O$2:$O$293,"D",Projects!$W$2:$W$293,"Y")</f>
        <v>145</v>
      </c>
      <c r="G8" s="8">
        <f t="shared" si="0"/>
        <v>448</v>
      </c>
      <c r="H8" s="8">
        <f>SUMIFS(Projects!$H$2:$H$293,Projects!$B$2:$B$293,$A8,Projects!$W$2:$W$293,"Y")</f>
        <v>86.1</v>
      </c>
      <c r="I8" s="8">
        <f>SUMIFS(Projects!$I$2:$I$293,Projects!$B$2:$B$293,$A8,Projects!$W$2:$W$293,"Y")</f>
        <v>34</v>
      </c>
    </row>
    <row r="9" spans="1:9" x14ac:dyDescent="0.25">
      <c r="A9" s="7" t="s">
        <v>42</v>
      </c>
      <c r="B9" s="8">
        <f>SUMIFS(Projects!$J$2:$J$293,Projects!$B$2:$B$293,$A9,Projects!$O$2:$O$293,"A1",Projects!$W$2:$W$293,"Y")</f>
        <v>0</v>
      </c>
      <c r="C9" s="8">
        <f>SUMIFS(Projects!$J$2:$J$293,Projects!$B$2:$B$293,$A9,Projects!$O$2:$O$293,"A2",Projects!$W$2:$W$293,"Y")</f>
        <v>370</v>
      </c>
      <c r="D9" s="8">
        <f>SUMIFS(Projects!$J$2:$J$293,Projects!$B$2:$B$293,$A9,Projects!$O$2:$O$293,"B",Projects!$W$2:$W$293,"Y")</f>
        <v>50</v>
      </c>
      <c r="E9" s="8">
        <f>SUMIFS(Projects!$J$2:$J$293,Projects!$B$2:$B$293,$A9,Projects!$O$2:$O$293,"C",Projects!$W$2:$W$293,"Y")</f>
        <v>52.8</v>
      </c>
      <c r="F9" s="8">
        <f>SUMIFS(Projects!$J$2:$J$293,Projects!$B$2:$B$293,$A9,Projects!$O$2:$O$293,"D",Projects!$W$2:$W$293,"Y")</f>
        <v>0</v>
      </c>
      <c r="G9" s="8">
        <f t="shared" si="0"/>
        <v>472.8</v>
      </c>
      <c r="H9" s="8">
        <f>SUMIFS(Projects!$H$2:$H$293,Projects!$B$2:$B$293,$A9,Projects!$W$2:$W$293,"Y")</f>
        <v>10</v>
      </c>
      <c r="I9" s="8">
        <f>SUMIFS(Projects!$I$2:$I$293,Projects!$B$2:$B$293,$A9,Projects!$W$2:$W$293,"Y")</f>
        <v>40</v>
      </c>
    </row>
    <row r="10" spans="1:9" x14ac:dyDescent="0.25">
      <c r="A10" s="7" t="s">
        <v>43</v>
      </c>
      <c r="B10" s="8">
        <f>SUMIFS(Projects!$J$2:$J$293,Projects!$B$2:$B$293,$A10,Projects!$O$2:$O$293,"A1",Projects!$W$2:$W$293,"Y")</f>
        <v>0</v>
      </c>
      <c r="C10" s="8">
        <f>SUMIFS(Projects!$J$2:$J$293,Projects!$B$2:$B$293,$A10,Projects!$O$2:$O$293,"A2",Projects!$W$2:$W$293,"Y")</f>
        <v>0</v>
      </c>
      <c r="D10" s="8">
        <f>SUMIFS(Projects!$J$2:$J$293,Projects!$B$2:$B$293,$A10,Projects!$O$2:$O$293,"B",Projects!$W$2:$W$293,"Y")</f>
        <v>0</v>
      </c>
      <c r="E10" s="8">
        <f>SUMIFS(Projects!$J$2:$J$293,Projects!$B$2:$B$293,$A10,Projects!$O$2:$O$293,"C",Projects!$W$2:$W$293,"Y")</f>
        <v>168</v>
      </c>
      <c r="F10" s="8">
        <f>SUMIFS(Projects!$J$2:$J$293,Projects!$B$2:$B$293,$A10,Projects!$O$2:$O$293,"D",Projects!$W$2:$W$293,"Y")</f>
        <v>0</v>
      </c>
      <c r="G10" s="8">
        <f t="shared" si="0"/>
        <v>168</v>
      </c>
      <c r="H10" s="8">
        <f>SUMIFS(Projects!$H$2:$H$293,Projects!$B$2:$B$293,$A10,Projects!$W$2:$W$293,"Y")</f>
        <v>0</v>
      </c>
      <c r="I10" s="8">
        <f>SUMIFS(Projects!$I$2:$I$293,Projects!$B$2:$B$293,$A10,Projects!$W$2:$W$293,"Y")</f>
        <v>168</v>
      </c>
    </row>
    <row r="11" spans="1:9" x14ac:dyDescent="0.25">
      <c r="A11" s="7" t="s">
        <v>44</v>
      </c>
      <c r="B11" s="8">
        <f>SUMIFS(Projects!$J$2:$J$293,Projects!$B$2:$B$293,$A11,Projects!$O$2:$O$293,"A1",Projects!$W$2:$W$293,"Y")</f>
        <v>0</v>
      </c>
      <c r="C11" s="8">
        <f>SUMIFS(Projects!$J$2:$J$293,Projects!$B$2:$B$293,$A11,Projects!$O$2:$O$293,"A2",Projects!$W$2:$W$293,"Y")</f>
        <v>1120</v>
      </c>
      <c r="D11" s="8">
        <f>SUMIFS(Projects!$J$2:$J$293,Projects!$B$2:$B$293,$A11,Projects!$O$2:$O$293,"B",Projects!$W$2:$W$293,"Y")</f>
        <v>0</v>
      </c>
      <c r="E11" s="8">
        <f>SUMIFS(Projects!$J$2:$J$293,Projects!$B$2:$B$293,$A11,Projects!$O$2:$O$293,"C",Projects!$W$2:$W$293,"Y")</f>
        <v>0</v>
      </c>
      <c r="F11" s="8">
        <f>SUMIFS(Projects!$J$2:$J$293,Projects!$B$2:$B$293,$A11,Projects!$O$2:$O$293,"D",Projects!$W$2:$W$293,"Y")</f>
        <v>0</v>
      </c>
      <c r="G11" s="8">
        <f t="shared" si="0"/>
        <v>1120</v>
      </c>
      <c r="H11" s="8">
        <f>SUMIFS(Projects!$H$2:$H$293,Projects!$B$2:$B$293,$A11,Projects!$W$2:$W$293,"Y")</f>
        <v>0</v>
      </c>
      <c r="I11" s="8">
        <f>SUMIFS(Projects!$I$2:$I$293,Projects!$B$2:$B$293,$A11,Projects!$W$2:$W$293,"Y")</f>
        <v>0</v>
      </c>
    </row>
    <row r="12" spans="1:9" x14ac:dyDescent="0.25">
      <c r="A12" s="7" t="s">
        <v>45</v>
      </c>
      <c r="B12" s="8">
        <f>SUMIFS(Projects!$J$2:$J$293,Projects!$B$2:$B$293,$A12,Projects!$O$2:$O$293,"A1",Projects!$W$2:$W$293,"Y")</f>
        <v>0</v>
      </c>
      <c r="C12" s="8">
        <f>SUMIFS(Projects!$J$2:$J$293,Projects!$B$2:$B$293,$A12,Projects!$O$2:$O$293,"A2",Projects!$W$2:$W$293,"Y")</f>
        <v>0</v>
      </c>
      <c r="D12" s="8">
        <f>SUMIFS(Projects!$J$2:$J$293,Projects!$B$2:$B$293,$A12,Projects!$O$2:$O$293,"B",Projects!$W$2:$W$293,"Y")</f>
        <v>0</v>
      </c>
      <c r="E12" s="8">
        <f>SUMIFS(Projects!$J$2:$J$293,Projects!$B$2:$B$293,$A12,Projects!$O$2:$O$293,"C",Projects!$W$2:$W$293,"Y")</f>
        <v>40</v>
      </c>
      <c r="F12" s="8">
        <f>SUMIFS(Projects!$J$2:$J$293,Projects!$B$2:$B$293,$A12,Projects!$O$2:$O$293,"D",Projects!$W$2:$W$293,"Y")</f>
        <v>250</v>
      </c>
      <c r="G12" s="8">
        <f t="shared" si="0"/>
        <v>290</v>
      </c>
      <c r="H12" s="8">
        <f>SUMIFS(Projects!$H$2:$H$293,Projects!$B$2:$B$293,$A12,Projects!$W$2:$W$293,"Y")</f>
        <v>0</v>
      </c>
      <c r="I12" s="8">
        <f>SUMIFS(Projects!$I$2:$I$293,Projects!$B$2:$B$293,$A12,Projects!$W$2:$W$293,"Y")</f>
        <v>0</v>
      </c>
    </row>
    <row r="13" spans="1:9" x14ac:dyDescent="0.25">
      <c r="A13" s="7" t="s">
        <v>46</v>
      </c>
      <c r="B13" s="8">
        <f>SUMIFS(Projects!$J$2:$J$293,Projects!$B$2:$B$293,$A13,Projects!$O$2:$O$293,"A1",Projects!$W$2:$W$293,"Y")</f>
        <v>0</v>
      </c>
      <c r="C13" s="8">
        <f>SUMIFS(Projects!$J$2:$J$293,Projects!$B$2:$B$293,$A13,Projects!$O$2:$O$293,"A2",Projects!$W$2:$W$293,"Y")</f>
        <v>0</v>
      </c>
      <c r="D13" s="8">
        <f>SUMIFS(Projects!$J$2:$J$293,Projects!$B$2:$B$293,$A13,Projects!$O$2:$O$293,"B",Projects!$W$2:$W$293,"Y")</f>
        <v>307</v>
      </c>
      <c r="E13" s="8">
        <f>SUMIFS(Projects!$J$2:$J$293,Projects!$B$2:$B$293,$A13,Projects!$O$2:$O$293,"C",Projects!$W$2:$W$293,"Y")</f>
        <v>0</v>
      </c>
      <c r="F13" s="8">
        <f>SUMIFS(Projects!$J$2:$J$293,Projects!$B$2:$B$293,$A13,Projects!$O$2:$O$293,"D",Projects!$W$2:$W$293,"Y")</f>
        <v>0</v>
      </c>
      <c r="G13" s="8">
        <f t="shared" si="0"/>
        <v>307</v>
      </c>
      <c r="H13" s="8">
        <f>SUMIFS(Projects!$H$2:$H$293,Projects!$B$2:$B$293,$A13,Projects!$W$2:$W$293,"Y")</f>
        <v>28</v>
      </c>
      <c r="I13" s="8">
        <f>SUMIFS(Projects!$I$2:$I$293,Projects!$B$2:$B$293,$A13,Projects!$W$2:$W$293,"Y")</f>
        <v>35</v>
      </c>
    </row>
    <row r="14" spans="1:9" x14ac:dyDescent="0.25">
      <c r="A14" s="7" t="s">
        <v>47</v>
      </c>
      <c r="B14" s="8">
        <f>SUMIFS(Projects!$J$2:$J$293,Projects!$B$2:$B$293,$A14,Projects!$O$2:$O$293,"A1",Projects!$W$2:$W$293,"Y")</f>
        <v>120</v>
      </c>
      <c r="C14" s="8">
        <f>SUMIFS(Projects!$J$2:$J$293,Projects!$B$2:$B$293,$A14,Projects!$O$2:$O$293,"A2",Projects!$W$2:$W$293,"Y")</f>
        <v>500</v>
      </c>
      <c r="D14" s="8">
        <f>SUMIFS(Projects!$J$2:$J$293,Projects!$B$2:$B$293,$A14,Projects!$O$2:$O$293,"B",Projects!$W$2:$W$293,"Y")</f>
        <v>0</v>
      </c>
      <c r="E14" s="8">
        <f>SUMIFS(Projects!$J$2:$J$293,Projects!$B$2:$B$293,$A14,Projects!$O$2:$O$293,"C",Projects!$W$2:$W$293,"Y")</f>
        <v>0</v>
      </c>
      <c r="F14" s="8">
        <f>SUMIFS(Projects!$J$2:$J$293,Projects!$B$2:$B$293,$A14,Projects!$O$2:$O$293,"D",Projects!$W$2:$W$293,"Y")</f>
        <v>0</v>
      </c>
      <c r="G14" s="8">
        <f t="shared" si="0"/>
        <v>620</v>
      </c>
      <c r="H14" s="8">
        <f>SUMIFS(Projects!$H$2:$H$293,Projects!$B$2:$B$293,$A14,Projects!$W$2:$W$293,"Y")</f>
        <v>0</v>
      </c>
      <c r="I14" s="8">
        <f>SUMIFS(Projects!$I$2:$I$293,Projects!$B$2:$B$293,$A14,Projects!$W$2:$W$293,"Y")</f>
        <v>0</v>
      </c>
    </row>
    <row r="15" spans="1:9" x14ac:dyDescent="0.25">
      <c r="A15" s="2" t="s">
        <v>48</v>
      </c>
      <c r="B15" s="9">
        <f t="shared" ref="B15:I15" si="1">SUM(B5:B14)</f>
        <v>4562</v>
      </c>
      <c r="C15" s="9">
        <f t="shared" si="1"/>
        <v>11388</v>
      </c>
      <c r="D15" s="9">
        <f t="shared" si="1"/>
        <v>1040</v>
      </c>
      <c r="E15" s="9">
        <f t="shared" si="1"/>
        <v>5876.8</v>
      </c>
      <c r="F15" s="9">
        <f t="shared" si="1"/>
        <v>560.5</v>
      </c>
      <c r="G15" s="9">
        <f t="shared" si="1"/>
        <v>23427.3</v>
      </c>
      <c r="H15" s="9">
        <f t="shared" si="1"/>
        <v>615.5</v>
      </c>
      <c r="I15" s="9">
        <f t="shared" si="1"/>
        <v>2831.1</v>
      </c>
    </row>
    <row r="17" spans="1:5" x14ac:dyDescent="0.25">
      <c r="A17" s="2" t="s">
        <v>49</v>
      </c>
    </row>
    <row r="18" spans="1:5" ht="39" x14ac:dyDescent="0.25">
      <c r="A18" s="6" t="s">
        <v>50</v>
      </c>
      <c r="B18" s="6" t="s">
        <v>35</v>
      </c>
      <c r="C18" s="6" t="s">
        <v>36</v>
      </c>
      <c r="D18" s="6" t="s">
        <v>37</v>
      </c>
      <c r="E18" s="6" t="s">
        <v>51</v>
      </c>
    </row>
    <row r="19" spans="1:5" x14ac:dyDescent="0.25">
      <c r="A19" s="7" t="s">
        <v>52</v>
      </c>
      <c r="B19" s="10">
        <f>SUMIFS(Projects!$J$2:$J$293,Projects!$C$2:$C$293,$A19,Projects!$W$2:$W$293,"Y")</f>
        <v>1480</v>
      </c>
      <c r="C19" s="10">
        <f>SUMIFS(Projects!$H$2:$H$293,Projects!$C$2:$C$293,$A19,Projects!$W$2:$W$293,"Y")</f>
        <v>52</v>
      </c>
      <c r="D19" s="10">
        <f>SUMIFS(Projects!$I$2:$I$293,Projects!$C$2:$C$293,$A19,Projects!$W$2:$W$293,"Y")</f>
        <v>292</v>
      </c>
      <c r="E19" s="10">
        <f>SUMIFS(Projects!$J$2:$J$293,Projects!$C$2:$C$293,$A19,Projects!$W$2:$W$293,"Y",Projects!$O$2:$O$293,"A1")+SUMIFS(Projects!$J$2:$J$293,Projects!$C$2:$C$293,$A19,Projects!$W$2:$W$293,"Y",Projects!$O$2:$O$293,"A2")+SUMIFS(Projects!$J$2:$J$293,Projects!$C$2:$C$293,$A19,Projects!$W$2:$W$293,"Y",Projects!$O$2:$O$293,"B")</f>
        <v>750</v>
      </c>
    </row>
    <row r="20" spans="1:5" x14ac:dyDescent="0.25">
      <c r="A20" s="7" t="s">
        <v>53</v>
      </c>
      <c r="B20" s="10">
        <f>SUMIFS(Projects!$J$2:$J$293,Projects!$C$2:$C$293,$A20,Projects!$W$2:$W$293,"Y")</f>
        <v>0</v>
      </c>
      <c r="C20" s="10">
        <f>SUMIFS(Projects!$H$2:$H$293,Projects!$C$2:$C$293,$A20,Projects!$W$2:$W$293,"Y")</f>
        <v>0</v>
      </c>
      <c r="D20" s="10">
        <f>SUMIFS(Projects!$I$2:$I$293,Projects!$C$2:$C$293,$A20,Projects!$W$2:$W$293,"Y")</f>
        <v>0</v>
      </c>
      <c r="E20" s="10">
        <f>SUMIFS(Projects!$J$2:$J$293,Projects!$C$2:$C$293,$A20,Projects!$W$2:$W$293,"Y",Projects!$O$2:$O$293,"A1")+SUMIFS(Projects!$J$2:$J$293,Projects!$C$2:$C$293,$A20,Projects!$W$2:$W$293,"Y",Projects!$O$2:$O$293,"A2")+SUMIFS(Projects!$J$2:$J$293,Projects!$C$2:$C$293,$A20,Projects!$W$2:$W$293,"Y",Projects!$O$2:$O$293,"B")</f>
        <v>0</v>
      </c>
    </row>
    <row r="21" spans="1:5" x14ac:dyDescent="0.25">
      <c r="A21" s="7" t="s">
        <v>54</v>
      </c>
      <c r="B21" s="10">
        <f>SUMIFS(Projects!$J$2:$J$293,Projects!$C$2:$C$293,$A21,Projects!$W$2:$W$293,"Y")</f>
        <v>2500</v>
      </c>
      <c r="C21" s="10">
        <f>SUMIFS(Projects!$H$2:$H$293,Projects!$C$2:$C$293,$A21,Projects!$W$2:$W$293,"Y")</f>
        <v>0</v>
      </c>
      <c r="D21" s="10">
        <f>SUMIFS(Projects!$I$2:$I$293,Projects!$C$2:$C$293,$A21,Projects!$W$2:$W$293,"Y")</f>
        <v>1450</v>
      </c>
      <c r="E21" s="10">
        <f>SUMIFS(Projects!$J$2:$J$293,Projects!$C$2:$C$293,$A21,Projects!$W$2:$W$293,"Y",Projects!$O$2:$O$293,"A1")+SUMIFS(Projects!$J$2:$J$293,Projects!$C$2:$C$293,$A21,Projects!$W$2:$W$293,"Y",Projects!$O$2:$O$293,"A2")+SUMIFS(Projects!$J$2:$J$293,Projects!$C$2:$C$293,$A21,Projects!$W$2:$W$293,"Y",Projects!$O$2:$O$293,"B")</f>
        <v>2500</v>
      </c>
    </row>
    <row r="22" spans="1:5" x14ac:dyDescent="0.25">
      <c r="A22" s="7" t="s">
        <v>55</v>
      </c>
      <c r="B22" s="10">
        <f>SUMIFS(Projects!$J$2:$J$293,Projects!$C$2:$C$293,$A22,Projects!$W$2:$W$293,"Y")</f>
        <v>3000</v>
      </c>
      <c r="C22" s="10">
        <f>SUMIFS(Projects!$H$2:$H$293,Projects!$C$2:$C$293,$A22,Projects!$W$2:$W$293,"Y")</f>
        <v>0</v>
      </c>
      <c r="D22" s="10">
        <f>SUMIFS(Projects!$I$2:$I$293,Projects!$C$2:$C$293,$A22,Projects!$W$2:$W$293,"Y")</f>
        <v>0</v>
      </c>
      <c r="E22" s="10">
        <f>SUMIFS(Projects!$J$2:$J$293,Projects!$C$2:$C$293,$A22,Projects!$W$2:$W$293,"Y",Projects!$O$2:$O$293,"A1")+SUMIFS(Projects!$J$2:$J$293,Projects!$C$2:$C$293,$A22,Projects!$W$2:$W$293,"Y",Projects!$O$2:$O$293,"A2")+SUMIFS(Projects!$J$2:$J$293,Projects!$C$2:$C$293,$A22,Projects!$W$2:$W$293,"Y",Projects!$O$2:$O$293,"B")</f>
        <v>3000</v>
      </c>
    </row>
    <row r="23" spans="1:5" x14ac:dyDescent="0.25">
      <c r="A23" s="7" t="s">
        <v>56</v>
      </c>
      <c r="B23" s="10">
        <f>SUMIFS(Projects!$J$2:$J$293,Projects!$C$2:$C$293,$A23,Projects!$W$2:$W$293,"Y")</f>
        <v>2794</v>
      </c>
      <c r="C23" s="10">
        <f>SUMIFS(Projects!$H$2:$H$293,Projects!$C$2:$C$293,$A23,Projects!$W$2:$W$293,"Y")</f>
        <v>397</v>
      </c>
      <c r="D23" s="10">
        <f>SUMIFS(Projects!$I$2:$I$293,Projects!$C$2:$C$293,$A23,Projects!$W$2:$W$293,"Y")</f>
        <v>697</v>
      </c>
      <c r="E23" s="10">
        <f>SUMIFS(Projects!$J$2:$J$293,Projects!$C$2:$C$293,$A23,Projects!$W$2:$W$293,"Y",Projects!$O$2:$O$293,"A1")+SUMIFS(Projects!$J$2:$J$293,Projects!$C$2:$C$293,$A23,Projects!$W$2:$W$293,"Y",Projects!$O$2:$O$293,"A2")+SUMIFS(Projects!$J$2:$J$293,Projects!$C$2:$C$293,$A23,Projects!$W$2:$W$293,"Y",Projects!$O$2:$O$293,"B")</f>
        <v>548</v>
      </c>
    </row>
    <row r="24" spans="1:5" x14ac:dyDescent="0.25">
      <c r="A24" s="7" t="s">
        <v>57</v>
      </c>
      <c r="B24" s="10">
        <f>SUMIFS(Projects!$J$2:$J$293,Projects!$C$2:$C$293,$A24,Projects!$W$2:$W$293,"Y")</f>
        <v>245.5</v>
      </c>
      <c r="C24" s="10">
        <f>SUMIFS(Projects!$H$2:$H$293,Projects!$C$2:$C$293,$A24,Projects!$W$2:$W$293,"Y")</f>
        <v>0</v>
      </c>
      <c r="D24" s="10">
        <f>SUMIFS(Projects!$I$2:$I$293,Projects!$C$2:$C$293,$A24,Projects!$W$2:$W$293,"Y")</f>
        <v>5.5</v>
      </c>
      <c r="E24" s="10">
        <f>SUMIFS(Projects!$J$2:$J$293,Projects!$C$2:$C$293,$A24,Projects!$W$2:$W$293,"Y",Projects!$O$2:$O$293,"A1")+SUMIFS(Projects!$J$2:$J$293,Projects!$C$2:$C$293,$A24,Projects!$W$2:$W$293,"Y",Projects!$O$2:$O$293,"A2")+SUMIFS(Projects!$J$2:$J$293,Projects!$C$2:$C$293,$A24,Projects!$W$2:$W$293,"Y",Projects!$O$2:$O$293,"B")</f>
        <v>0</v>
      </c>
    </row>
    <row r="25" spans="1:5" x14ac:dyDescent="0.25">
      <c r="A25" s="7" t="s">
        <v>58</v>
      </c>
      <c r="B25" s="10">
        <f>SUMIFS(Projects!$J$2:$J$293,Projects!$C$2:$C$293,$A25,Projects!$W$2:$W$293,"Y")</f>
        <v>700</v>
      </c>
      <c r="C25" s="10">
        <f>SUMIFS(Projects!$H$2:$H$293,Projects!$C$2:$C$293,$A25,Projects!$W$2:$W$293,"Y")</f>
        <v>0</v>
      </c>
      <c r="D25" s="10">
        <f>SUMIFS(Projects!$I$2:$I$293,Projects!$C$2:$C$293,$A25,Projects!$W$2:$W$293,"Y")</f>
        <v>0</v>
      </c>
      <c r="E25" s="10">
        <f>SUMIFS(Projects!$J$2:$J$293,Projects!$C$2:$C$293,$A25,Projects!$W$2:$W$293,"Y",Projects!$O$2:$O$293,"A1")+SUMIFS(Projects!$J$2:$J$293,Projects!$C$2:$C$293,$A25,Projects!$W$2:$W$293,"Y",Projects!$O$2:$O$293,"A2")+SUMIFS(Projects!$J$2:$J$293,Projects!$C$2:$C$293,$A25,Projects!$W$2:$W$293,"Y",Projects!$O$2:$O$293,"B")</f>
        <v>700</v>
      </c>
    </row>
    <row r="26" spans="1:5" x14ac:dyDescent="0.25">
      <c r="A26" s="7" t="s">
        <v>59</v>
      </c>
      <c r="B26" s="10">
        <f>SUMIFS(Projects!$J$2:$J$293,Projects!$C$2:$C$293,$A26,Projects!$W$2:$W$293,"Y")</f>
        <v>272</v>
      </c>
      <c r="C26" s="10">
        <f>SUMIFS(Projects!$H$2:$H$293,Projects!$C$2:$C$293,$A26,Projects!$W$2:$W$293,"Y")</f>
        <v>0</v>
      </c>
      <c r="D26" s="10">
        <f>SUMIFS(Projects!$I$2:$I$293,Projects!$C$2:$C$293,$A26,Projects!$W$2:$W$293,"Y")</f>
        <v>0</v>
      </c>
      <c r="E26" s="10">
        <f>SUMIFS(Projects!$J$2:$J$293,Projects!$C$2:$C$293,$A26,Projects!$W$2:$W$293,"Y",Projects!$O$2:$O$293,"A1")+SUMIFS(Projects!$J$2:$J$293,Projects!$C$2:$C$293,$A26,Projects!$W$2:$W$293,"Y",Projects!$O$2:$O$293,"A2")+SUMIFS(Projects!$J$2:$J$293,Projects!$C$2:$C$293,$A26,Projects!$W$2:$W$293,"Y",Projects!$O$2:$O$293,"B")</f>
        <v>272</v>
      </c>
    </row>
    <row r="27" spans="1:5" x14ac:dyDescent="0.25">
      <c r="A27" s="7" t="s">
        <v>60</v>
      </c>
      <c r="B27" s="10">
        <f>SUMIFS(Projects!$J$2:$J$293,Projects!$C$2:$C$293,$A27,Projects!$W$2:$W$293,"Y")</f>
        <v>0</v>
      </c>
      <c r="C27" s="10">
        <f>SUMIFS(Projects!$H$2:$H$293,Projects!$C$2:$C$293,$A27,Projects!$W$2:$W$293,"Y")</f>
        <v>0</v>
      </c>
      <c r="D27" s="10">
        <f>SUMIFS(Projects!$I$2:$I$293,Projects!$C$2:$C$293,$A27,Projects!$W$2:$W$293,"Y")</f>
        <v>0</v>
      </c>
      <c r="E27" s="10">
        <f>SUMIFS(Projects!$J$2:$J$293,Projects!$C$2:$C$293,$A27,Projects!$W$2:$W$293,"Y",Projects!$O$2:$O$293,"A1")+SUMIFS(Projects!$J$2:$J$293,Projects!$C$2:$C$293,$A27,Projects!$W$2:$W$293,"Y",Projects!$O$2:$O$293,"A2")+SUMIFS(Projects!$J$2:$J$293,Projects!$C$2:$C$293,$A27,Projects!$W$2:$W$293,"Y",Projects!$O$2:$O$293,"B")</f>
        <v>0</v>
      </c>
    </row>
    <row r="28" spans="1:5" x14ac:dyDescent="0.25">
      <c r="A28" s="7" t="s">
        <v>61</v>
      </c>
      <c r="B28" s="10">
        <f>SUMIFS(Projects!$J$2:$J$293,Projects!$C$2:$C$293,$A28,Projects!$W$2:$W$293,"Y")</f>
        <v>256</v>
      </c>
      <c r="C28" s="10">
        <f>SUMIFS(Projects!$H$2:$H$293,Projects!$C$2:$C$293,$A28,Projects!$W$2:$W$293,"Y")</f>
        <v>23.2</v>
      </c>
      <c r="D28" s="10">
        <f>SUMIFS(Projects!$I$2:$I$293,Projects!$C$2:$C$293,$A28,Projects!$W$2:$W$293,"Y")</f>
        <v>9.6</v>
      </c>
      <c r="E28" s="10">
        <f>SUMIFS(Projects!$J$2:$J$293,Projects!$C$2:$C$293,$A28,Projects!$W$2:$W$293,"Y",Projects!$O$2:$O$293,"A1")+SUMIFS(Projects!$J$2:$J$293,Projects!$C$2:$C$293,$A28,Projects!$W$2:$W$293,"Y",Projects!$O$2:$O$293,"A2")+SUMIFS(Projects!$J$2:$J$293,Projects!$C$2:$C$293,$A28,Projects!$W$2:$W$293,"Y",Projects!$O$2:$O$293,"B")</f>
        <v>96</v>
      </c>
    </row>
    <row r="29" spans="1:5" x14ac:dyDescent="0.25">
      <c r="A29" s="2" t="s">
        <v>62</v>
      </c>
      <c r="B29" s="9">
        <f>SUM(B19:B28)</f>
        <v>11247.5</v>
      </c>
      <c r="C29" s="9">
        <f>SUM(C19:C28)</f>
        <v>472.2</v>
      </c>
      <c r="D29" s="9">
        <f>SUM(D19:D28)</f>
        <v>2454.1</v>
      </c>
      <c r="E29" s="9">
        <f>SUM(E19:E28)</f>
        <v>7866</v>
      </c>
    </row>
    <row r="31" spans="1:5" x14ac:dyDescent="0.25">
      <c r="A31" s="2" t="s">
        <v>63</v>
      </c>
    </row>
    <row r="32" spans="1:5" ht="26.25" x14ac:dyDescent="0.25">
      <c r="A32" s="6" t="s">
        <v>64</v>
      </c>
      <c r="B32" s="6" t="s">
        <v>65</v>
      </c>
      <c r="C32" s="6" t="s">
        <v>66</v>
      </c>
      <c r="D32" s="6" t="s">
        <v>67</v>
      </c>
      <c r="E32" s="6" t="s">
        <v>68</v>
      </c>
    </row>
    <row r="33" spans="1:5" ht="30" customHeight="1" x14ac:dyDescent="0.25">
      <c r="A33" s="11" t="s">
        <v>69</v>
      </c>
      <c r="B33" s="12">
        <f>Govt_Aggregates!$E$2</f>
        <v>26300</v>
      </c>
      <c r="C33" s="13">
        <f>G15</f>
        <v>23427.3</v>
      </c>
      <c r="D33" s="13">
        <f>B33-C33</f>
        <v>2872.7000000000007</v>
      </c>
      <c r="E33" s="14">
        <f>IF(B33=0,"-",C33/B33)</f>
        <v>0.89077186311787071</v>
      </c>
    </row>
    <row r="34" spans="1:5" ht="30" customHeight="1" x14ac:dyDescent="0.25">
      <c r="A34" s="11" t="s">
        <v>70</v>
      </c>
      <c r="B34" s="12">
        <f>Govt_Aggregates!$E$12</f>
        <v>23800</v>
      </c>
      <c r="C34" s="13">
        <f>B29</f>
        <v>11247.5</v>
      </c>
      <c r="D34" s="13">
        <f>B34-C34</f>
        <v>12552.5</v>
      </c>
      <c r="E34" s="14">
        <f>IF(B34=0,"-",C34/B34)</f>
        <v>0.47258403361344536</v>
      </c>
    </row>
    <row r="35" spans="1:5" ht="30" customHeight="1" x14ac:dyDescent="0.25">
      <c r="A35" s="11" t="s">
        <v>71</v>
      </c>
      <c r="B35" s="12">
        <f>Govt_Aggregates!$E$15+Govt_Aggregates!$E$16</f>
        <v>7810</v>
      </c>
      <c r="C35" s="13">
        <f>B19+B23+B24</f>
        <v>4519.5</v>
      </c>
      <c r="D35" s="13">
        <f>B35-C35</f>
        <v>3290.5</v>
      </c>
      <c r="E35" s="14">
        <f>IF(B35=0,"-",C35/B35)</f>
        <v>0.57868117797695262</v>
      </c>
    </row>
    <row r="36" spans="1:5" ht="30" customHeight="1" x14ac:dyDescent="0.25">
      <c r="A36" s="11" t="s">
        <v>72</v>
      </c>
      <c r="B36" s="12">
        <f>Govt_Aggregates!$E$18</f>
        <v>9100</v>
      </c>
      <c r="C36" s="13">
        <f>G6</f>
        <v>5148</v>
      </c>
      <c r="D36" s="13">
        <f>B36-C36</f>
        <v>3952</v>
      </c>
      <c r="E36" s="14">
        <f>IF(B36=0,"-",C36/B36)</f>
        <v>0.56571428571428573</v>
      </c>
    </row>
    <row r="37" spans="1:5" ht="30" customHeight="1" x14ac:dyDescent="0.25">
      <c r="A37" s="11" t="s">
        <v>73</v>
      </c>
      <c r="B37" s="12">
        <f>Govt_Aggregates!$E$6</f>
        <v>1575</v>
      </c>
      <c r="C37" s="13">
        <f>H15</f>
        <v>615.5</v>
      </c>
      <c r="D37" s="13">
        <f>B37-C37</f>
        <v>959.5</v>
      </c>
      <c r="E37" s="14">
        <f>IF(B37=0,"-",C37/B37)</f>
        <v>0.3907936507936508</v>
      </c>
    </row>
    <row r="39" spans="1:5" x14ac:dyDescent="0.25">
      <c r="A39" s="5" t="s">
        <v>74</v>
      </c>
    </row>
    <row r="40" spans="1:5" x14ac:dyDescent="0.25">
      <c r="A40" s="5" t="s">
        <v>75</v>
      </c>
    </row>
    <row r="41" spans="1:5" x14ac:dyDescent="0.25">
      <c r="A41" s="5" t="s">
        <v>76</v>
      </c>
    </row>
    <row r="43" spans="1:5" x14ac:dyDescent="0.25">
      <c r="A43" s="2" t="s">
        <v>77</v>
      </c>
    </row>
    <row r="44" spans="1:5" x14ac:dyDescent="0.25">
      <c r="A44" s="7" t="s">
        <v>78</v>
      </c>
      <c r="B44" s="15">
        <f>MH_Permits!M49</f>
        <v>644.62199999999996</v>
      </c>
    </row>
    <row r="45" spans="1:5" x14ac:dyDescent="0.25">
      <c r="A45" s="7" t="s">
        <v>79</v>
      </c>
      <c r="B45" s="15">
        <f>MH_Permits!M50</f>
        <v>886.9</v>
      </c>
    </row>
    <row r="46" spans="1:5" x14ac:dyDescent="0.25">
      <c r="A46" s="7" t="s">
        <v>80</v>
      </c>
      <c r="B46" s="15">
        <f>MH_Permits!M51</f>
        <v>29774.240000000002</v>
      </c>
    </row>
    <row r="47" spans="1:5" x14ac:dyDescent="0.25">
      <c r="A47" s="7" t="s">
        <v>81</v>
      </c>
      <c r="B47" s="15">
        <f>MH_Permits!M52</f>
        <v>1450</v>
      </c>
    </row>
    <row r="48" spans="1:5" x14ac:dyDescent="0.25">
      <c r="A48" s="7" t="s">
        <v>82</v>
      </c>
      <c r="B48" s="15">
        <f>MH_Permits!M53</f>
        <v>45</v>
      </c>
    </row>
    <row r="49" spans="1:6" x14ac:dyDescent="0.25">
      <c r="A49" s="5" t="s">
        <v>83</v>
      </c>
    </row>
    <row r="50" spans="1:6" x14ac:dyDescent="0.25">
      <c r="A50" s="2" t="s">
        <v>84</v>
      </c>
    </row>
    <row r="51" spans="1:6" ht="39" x14ac:dyDescent="0.25">
      <c r="A51" s="6" t="s">
        <v>34</v>
      </c>
      <c r="B51" s="6" t="s">
        <v>85</v>
      </c>
      <c r="C51" s="6" t="s">
        <v>86</v>
      </c>
      <c r="D51" s="6" t="s">
        <v>87</v>
      </c>
      <c r="E51" s="6" t="s">
        <v>88</v>
      </c>
      <c r="F51" s="6" t="s">
        <v>89</v>
      </c>
    </row>
    <row r="52" spans="1:6" x14ac:dyDescent="0.25">
      <c r="A52" s="7" t="s">
        <v>38</v>
      </c>
      <c r="B52" s="10">
        <f>SUMIFS(CTU_Bulk_Register!$F$2:$F$184,CTU_Bulk_Register!$I$2:$I$184,$A52,CTU_Bulk_Register!$J$2:$J$184,"DC - named")</f>
        <v>100</v>
      </c>
      <c r="C52" s="10">
        <f>SUMIFS(CTU_Bulk_Register!$F$2:$F$184,CTU_Bulk_Register!$I$2:$I$184,$A52,CTU_Bulk_Register!$J$2:$J$184,"DC - likely (SPV pattern)")</f>
        <v>1968</v>
      </c>
      <c r="D52" s="10">
        <f>SUMIFS(CTU_Bulk_Register!$F$2:$F$184,CTU_Bulk_Register!$I$2:$I$184,$A52,CTU_Bulk_Register!$J$2:$J$184,"Possible (purpose not stated)")</f>
        <v>50</v>
      </c>
      <c r="E52" s="10">
        <f t="shared" ref="E52:E59" si="2">B52+C52</f>
        <v>2068</v>
      </c>
      <c r="F52" s="10">
        <f>SUMIFS(CTU_Bulk_Register!$F$2:$F$184,CTU_Bulk_Register!$I$2:$I$184,$A52,CTU_Bulk_Register!$J$2:$J$184,"DC*",CTU_Bulk_Register!$H$2:$H$184,"Approved")</f>
        <v>1468</v>
      </c>
    </row>
    <row r="53" spans="1:6" x14ac:dyDescent="0.25">
      <c r="A53" s="7" t="s">
        <v>39</v>
      </c>
      <c r="B53" s="10">
        <f>SUMIFS(CTU_Bulk_Register!$F$2:$F$184,CTU_Bulk_Register!$I$2:$I$184,$A53,CTU_Bulk_Register!$J$2:$J$184,"DC - named")</f>
        <v>2323</v>
      </c>
      <c r="C53" s="10">
        <f>SUMIFS(CTU_Bulk_Register!$F$2:$F$184,CTU_Bulk_Register!$I$2:$I$184,$A53,CTU_Bulk_Register!$J$2:$J$184,"DC - likely (SPV pattern)")</f>
        <v>250</v>
      </c>
      <c r="D53" s="10">
        <f>SUMIFS(CTU_Bulk_Register!$F$2:$F$184,CTU_Bulk_Register!$I$2:$I$184,$A53,CTU_Bulk_Register!$J$2:$J$184,"Possible (purpose not stated)")</f>
        <v>0</v>
      </c>
      <c r="E53" s="10">
        <f t="shared" si="2"/>
        <v>2573</v>
      </c>
      <c r="F53" s="10">
        <f>SUMIFS(CTU_Bulk_Register!$F$2:$F$184,CTU_Bulk_Register!$I$2:$I$184,$A53,CTU_Bulk_Register!$J$2:$J$184,"DC*",CTU_Bulk_Register!$H$2:$H$184,"Approved")</f>
        <v>0</v>
      </c>
    </row>
    <row r="54" spans="1:6" x14ac:dyDescent="0.25">
      <c r="A54" s="7" t="s">
        <v>40</v>
      </c>
      <c r="B54" s="10">
        <f>SUMIFS(CTU_Bulk_Register!$F$2:$F$184,CTU_Bulk_Register!$I$2:$I$184,$A54,CTU_Bulk_Register!$J$2:$J$184,"DC - named")</f>
        <v>1700</v>
      </c>
      <c r="C54" s="10">
        <f>SUMIFS(CTU_Bulk_Register!$F$2:$F$184,CTU_Bulk_Register!$I$2:$I$184,$A54,CTU_Bulk_Register!$J$2:$J$184,"DC - likely (SPV pattern)")</f>
        <v>2402</v>
      </c>
      <c r="D54" s="10">
        <f>SUMIFS(CTU_Bulk_Register!$F$2:$F$184,CTU_Bulk_Register!$I$2:$I$184,$A54,CTU_Bulk_Register!$J$2:$J$184,"Possible (purpose not stated)")</f>
        <v>0</v>
      </c>
      <c r="E54" s="10">
        <f t="shared" si="2"/>
        <v>4102</v>
      </c>
      <c r="F54" s="10">
        <f>SUMIFS(CTU_Bulk_Register!$F$2:$F$184,CTU_Bulk_Register!$I$2:$I$184,$A54,CTU_Bulk_Register!$J$2:$J$184,"DC*",CTU_Bulk_Register!$H$2:$H$184,"Approved")</f>
        <v>0</v>
      </c>
    </row>
    <row r="55" spans="1:6" x14ac:dyDescent="0.25">
      <c r="A55" s="7" t="s">
        <v>41</v>
      </c>
      <c r="B55" s="10">
        <f>SUMIFS(CTU_Bulk_Register!$F$2:$F$184,CTU_Bulk_Register!$I$2:$I$184,$A55,CTU_Bulk_Register!$J$2:$J$184,"DC - named")</f>
        <v>70</v>
      </c>
      <c r="C55" s="10">
        <f>SUMIFS(CTU_Bulk_Register!$F$2:$F$184,CTU_Bulk_Register!$I$2:$I$184,$A55,CTU_Bulk_Register!$J$2:$J$184,"DC - likely (SPV pattern)")</f>
        <v>0</v>
      </c>
      <c r="D55" s="10">
        <f>SUMIFS(CTU_Bulk_Register!$F$2:$F$184,CTU_Bulk_Register!$I$2:$I$184,$A55,CTU_Bulk_Register!$J$2:$J$184,"Possible (purpose not stated)")</f>
        <v>0</v>
      </c>
      <c r="E55" s="10">
        <f t="shared" si="2"/>
        <v>70</v>
      </c>
      <c r="F55" s="10">
        <f>SUMIFS(CTU_Bulk_Register!$F$2:$F$184,CTU_Bulk_Register!$I$2:$I$184,$A55,CTU_Bulk_Register!$J$2:$J$184,"DC*",CTU_Bulk_Register!$H$2:$H$184,"Approved")</f>
        <v>0</v>
      </c>
    </row>
    <row r="56" spans="1:6" x14ac:dyDescent="0.25">
      <c r="A56" s="7" t="s">
        <v>47</v>
      </c>
      <c r="B56" s="10">
        <f>SUMIFS(CTU_Bulk_Register!$F$2:$F$184,CTU_Bulk_Register!$I$2:$I$184,$A56,CTU_Bulk_Register!$J$2:$J$184,"DC - named")</f>
        <v>120</v>
      </c>
      <c r="C56" s="10">
        <f>SUMIFS(CTU_Bulk_Register!$F$2:$F$184,CTU_Bulk_Register!$I$2:$I$184,$A56,CTU_Bulk_Register!$J$2:$J$184,"DC - likely (SPV pattern)")</f>
        <v>0</v>
      </c>
      <c r="D56" s="10">
        <f>SUMIFS(CTU_Bulk_Register!$F$2:$F$184,CTU_Bulk_Register!$I$2:$I$184,$A56,CTU_Bulk_Register!$J$2:$J$184,"Possible (purpose not stated)")</f>
        <v>0</v>
      </c>
      <c r="E56" s="10">
        <f t="shared" si="2"/>
        <v>120</v>
      </c>
      <c r="F56" s="10">
        <f>SUMIFS(CTU_Bulk_Register!$F$2:$F$184,CTU_Bulk_Register!$I$2:$I$184,$A56,CTU_Bulk_Register!$J$2:$J$184,"DC*",CTU_Bulk_Register!$H$2:$H$184,"Approved")</f>
        <v>0</v>
      </c>
    </row>
    <row r="57" spans="1:6" x14ac:dyDescent="0.25">
      <c r="A57" s="7" t="s">
        <v>43</v>
      </c>
      <c r="B57" s="10">
        <f>SUMIFS(CTU_Bulk_Register!$F$2:$F$184,CTU_Bulk_Register!$I$2:$I$184,$A57,CTU_Bulk_Register!$J$2:$J$184,"DC - named")</f>
        <v>0</v>
      </c>
      <c r="C57" s="10">
        <f>SUMIFS(CTU_Bulk_Register!$F$2:$F$184,CTU_Bulk_Register!$I$2:$I$184,$A57,CTU_Bulk_Register!$J$2:$J$184,"DC - likely (SPV pattern)")</f>
        <v>2130</v>
      </c>
      <c r="D57" s="10">
        <f>SUMIFS(CTU_Bulk_Register!$F$2:$F$184,CTU_Bulk_Register!$I$2:$I$184,$A57,CTU_Bulk_Register!$J$2:$J$184,"Possible (purpose not stated)")</f>
        <v>14600</v>
      </c>
      <c r="E57" s="10">
        <f t="shared" si="2"/>
        <v>2130</v>
      </c>
      <c r="F57" s="10">
        <f>SUMIFS(CTU_Bulk_Register!$F$2:$F$184,CTU_Bulk_Register!$I$2:$I$184,$A57,CTU_Bulk_Register!$J$2:$J$184,"DC*",CTU_Bulk_Register!$H$2:$H$184,"Approved")</f>
        <v>0</v>
      </c>
    </row>
    <row r="58" spans="1:6" x14ac:dyDescent="0.25">
      <c r="A58" s="7" t="s">
        <v>90</v>
      </c>
      <c r="B58" s="10">
        <f>SUMIFS(CTU_Bulk_Register!$F$2:$F$184,CTU_Bulk_Register!$I$2:$I$184,$A58,CTU_Bulk_Register!$J$2:$J$184,"DC - named")</f>
        <v>100</v>
      </c>
      <c r="C58" s="10">
        <f>SUMIFS(CTU_Bulk_Register!$F$2:$F$184,CTU_Bulk_Register!$I$2:$I$184,$A58,CTU_Bulk_Register!$J$2:$J$184,"DC - likely (SPV pattern)")</f>
        <v>0</v>
      </c>
      <c r="D58" s="10">
        <f>SUMIFS(CTU_Bulk_Register!$F$2:$F$184,CTU_Bulk_Register!$I$2:$I$184,$A58,CTU_Bulk_Register!$J$2:$J$184,"Possible (purpose not stated)")</f>
        <v>0</v>
      </c>
      <c r="E58" s="10">
        <f t="shared" si="2"/>
        <v>100</v>
      </c>
      <c r="F58" s="10">
        <f>SUMIFS(CTU_Bulk_Register!$F$2:$F$184,CTU_Bulk_Register!$I$2:$I$184,$A58,CTU_Bulk_Register!$J$2:$J$184,"DC*",CTU_Bulk_Register!$H$2:$H$184,"Approved")</f>
        <v>0</v>
      </c>
    </row>
    <row r="59" spans="1:6" x14ac:dyDescent="0.25">
      <c r="A59" s="7" t="s">
        <v>46</v>
      </c>
      <c r="B59" s="10">
        <f>SUMIFS(CTU_Bulk_Register!$F$2:$F$184,CTU_Bulk_Register!$I$2:$I$184,$A59,CTU_Bulk_Register!$J$2:$J$184,"DC - named")</f>
        <v>0</v>
      </c>
      <c r="C59" s="10">
        <f>SUMIFS(CTU_Bulk_Register!$F$2:$F$184,CTU_Bulk_Register!$I$2:$I$184,$A59,CTU_Bulk_Register!$J$2:$J$184,"DC - likely (SPV pattern)")</f>
        <v>50</v>
      </c>
      <c r="D59" s="10">
        <f>SUMIFS(CTU_Bulk_Register!$F$2:$F$184,CTU_Bulk_Register!$I$2:$I$184,$A59,CTU_Bulk_Register!$J$2:$J$184,"Possible (purpose not stated)")</f>
        <v>0</v>
      </c>
      <c r="E59" s="10">
        <f t="shared" si="2"/>
        <v>50</v>
      </c>
      <c r="F59" s="10">
        <f>SUMIFS(CTU_Bulk_Register!$F$2:$F$184,CTU_Bulk_Register!$I$2:$I$184,$A59,CTU_Bulk_Register!$J$2:$J$184,"DC*",CTU_Bulk_Register!$H$2:$H$184,"Approved")</f>
        <v>0</v>
      </c>
    </row>
    <row r="60" spans="1:6" x14ac:dyDescent="0.25">
      <c r="A60" s="2" t="s">
        <v>91</v>
      </c>
      <c r="B60" s="9">
        <f>SUM(B52:B59)</f>
        <v>4413</v>
      </c>
      <c r="C60" s="9">
        <f>SUM(C52:C59)</f>
        <v>6800</v>
      </c>
      <c r="D60" s="9">
        <f>SUM(D52:D59)</f>
        <v>14650</v>
      </c>
      <c r="E60" s="9">
        <f>SUM(E52:E59)</f>
        <v>11213</v>
      </c>
      <c r="F60" s="9">
        <f>SUM(F52:F59)</f>
        <v>1468</v>
      </c>
    </row>
    <row r="61" spans="1:6" x14ac:dyDescent="0.25">
      <c r="A61" s="5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12" customWidth="1"/>
    <col min="3" max="3" width="18" customWidth="1"/>
    <col min="4" max="5" width="22" customWidth="1"/>
    <col min="6" max="6" width="18" customWidth="1"/>
    <col min="7" max="7" width="24" customWidth="1"/>
    <col min="8" max="8" width="10" customWidth="1"/>
    <col min="9" max="9" width="12" customWidth="1"/>
    <col min="10" max="10" width="11" customWidth="1"/>
    <col min="11" max="11" width="22" customWidth="1"/>
    <col min="12" max="12" width="11" customWidth="1"/>
    <col min="13" max="13" width="16" customWidth="1"/>
    <col min="14" max="14" width="14" customWidth="1"/>
    <col min="15" max="15" width="8" customWidth="1"/>
    <col min="16" max="16" width="16" customWidth="1"/>
    <col min="17" max="19" width="30" customWidth="1"/>
    <col min="20" max="20" width="11" customWidth="1"/>
    <col min="21" max="21" width="45" customWidth="1"/>
    <col min="22" max="23" width="9" customWidth="1"/>
    <col min="24" max="24" width="45" customWidth="1"/>
    <col min="25" max="25" width="9" customWidth="1"/>
  </cols>
  <sheetData>
    <row r="1" spans="1:25" ht="42" customHeight="1" x14ac:dyDescent="0.25">
      <c r="A1" s="16" t="s">
        <v>93</v>
      </c>
      <c r="B1" s="16" t="s">
        <v>34</v>
      </c>
      <c r="C1" s="16" t="s">
        <v>50</v>
      </c>
      <c r="D1" s="16" t="s">
        <v>94</v>
      </c>
      <c r="E1" s="16" t="s">
        <v>95</v>
      </c>
      <c r="F1" s="16" t="s">
        <v>96</v>
      </c>
      <c r="G1" s="16" t="s">
        <v>97</v>
      </c>
      <c r="H1" s="16" t="s">
        <v>98</v>
      </c>
      <c r="I1" s="16" t="s">
        <v>99</v>
      </c>
      <c r="J1" s="16" t="s">
        <v>100</v>
      </c>
      <c r="K1" s="16" t="s">
        <v>101</v>
      </c>
      <c r="L1" s="16" t="s">
        <v>102</v>
      </c>
      <c r="M1" s="16" t="s">
        <v>103</v>
      </c>
      <c r="N1" s="16" t="s">
        <v>104</v>
      </c>
      <c r="O1" s="16" t="s">
        <v>105</v>
      </c>
      <c r="P1" s="16" t="s">
        <v>106</v>
      </c>
      <c r="Q1" s="16" t="s">
        <v>107</v>
      </c>
      <c r="R1" s="16" t="s">
        <v>108</v>
      </c>
      <c r="S1" s="16" t="s">
        <v>109</v>
      </c>
      <c r="T1" s="16" t="s">
        <v>110</v>
      </c>
      <c r="U1" s="16" t="s">
        <v>111</v>
      </c>
      <c r="V1" s="16" t="s">
        <v>112</v>
      </c>
      <c r="W1" s="16" t="s">
        <v>113</v>
      </c>
      <c r="X1" s="16" t="s">
        <v>114</v>
      </c>
      <c r="Y1" s="16" t="s">
        <v>115</v>
      </c>
    </row>
    <row r="2" spans="1:25" ht="60" x14ac:dyDescent="0.25">
      <c r="A2" s="17" t="s">
        <v>116</v>
      </c>
      <c r="B2" s="17" t="s">
        <v>38</v>
      </c>
      <c r="C2" s="17" t="s">
        <v>52</v>
      </c>
      <c r="D2" s="17" t="s">
        <v>117</v>
      </c>
      <c r="E2" s="17" t="s">
        <v>118</v>
      </c>
      <c r="F2" s="17" t="s">
        <v>119</v>
      </c>
      <c r="G2" s="17" t="s">
        <v>120</v>
      </c>
      <c r="H2" s="18"/>
      <c r="I2" s="18">
        <v>240</v>
      </c>
      <c r="J2" s="18">
        <v>480</v>
      </c>
      <c r="K2" s="17" t="s">
        <v>121</v>
      </c>
      <c r="L2" s="18"/>
      <c r="M2" s="17" t="s">
        <v>122</v>
      </c>
      <c r="N2" s="17" t="s">
        <v>123</v>
      </c>
      <c r="O2" s="17" t="s">
        <v>28</v>
      </c>
      <c r="P2" s="17" t="s">
        <v>124</v>
      </c>
      <c r="Q2" s="17" t="s">
        <v>125</v>
      </c>
      <c r="R2" s="19" t="s">
        <v>126</v>
      </c>
      <c r="S2" s="19" t="s">
        <v>127</v>
      </c>
      <c r="T2" s="17" t="s">
        <v>128</v>
      </c>
      <c r="U2" s="17" t="s">
        <v>129</v>
      </c>
      <c r="V2" s="17" t="s">
        <v>130</v>
      </c>
      <c r="W2" s="17" t="s">
        <v>131</v>
      </c>
      <c r="X2" s="17" t="s">
        <v>132</v>
      </c>
      <c r="Y2" s="17" t="s">
        <v>131</v>
      </c>
    </row>
    <row r="3" spans="1:25" ht="60" x14ac:dyDescent="0.25">
      <c r="A3" s="17" t="s">
        <v>133</v>
      </c>
      <c r="B3" s="17" t="s">
        <v>38</v>
      </c>
      <c r="C3" s="17" t="s">
        <v>52</v>
      </c>
      <c r="D3" s="17" t="s">
        <v>134</v>
      </c>
      <c r="E3" s="17" t="s">
        <v>135</v>
      </c>
      <c r="F3" s="17" t="s">
        <v>136</v>
      </c>
      <c r="G3" s="17" t="s">
        <v>137</v>
      </c>
      <c r="H3" s="18">
        <v>0</v>
      </c>
      <c r="I3" s="18">
        <v>110</v>
      </c>
      <c r="J3" s="18">
        <v>110</v>
      </c>
      <c r="K3" s="17"/>
      <c r="L3" s="18"/>
      <c r="M3" s="17" t="s">
        <v>138</v>
      </c>
      <c r="N3" s="17" t="s">
        <v>136</v>
      </c>
      <c r="O3" s="17" t="s">
        <v>26</v>
      </c>
      <c r="P3" s="17" t="s">
        <v>139</v>
      </c>
      <c r="Q3" s="17" t="s">
        <v>140</v>
      </c>
      <c r="R3" s="19" t="s">
        <v>141</v>
      </c>
      <c r="S3" s="17"/>
      <c r="T3" s="17" t="s">
        <v>142</v>
      </c>
      <c r="U3" s="17" t="s">
        <v>143</v>
      </c>
      <c r="V3" s="17" t="s">
        <v>131</v>
      </c>
      <c r="W3" s="17" t="s">
        <v>130</v>
      </c>
      <c r="X3" s="17" t="s">
        <v>144</v>
      </c>
      <c r="Y3" s="17" t="s">
        <v>131</v>
      </c>
    </row>
    <row r="4" spans="1:25" ht="36" x14ac:dyDescent="0.25">
      <c r="A4" s="17" t="s">
        <v>145</v>
      </c>
      <c r="B4" s="17" t="s">
        <v>38</v>
      </c>
      <c r="C4" s="17" t="s">
        <v>52</v>
      </c>
      <c r="D4" s="17" t="s">
        <v>146</v>
      </c>
      <c r="E4" s="17" t="s">
        <v>135</v>
      </c>
      <c r="F4" s="17" t="s">
        <v>136</v>
      </c>
      <c r="G4" s="17" t="s">
        <v>147</v>
      </c>
      <c r="H4" s="18"/>
      <c r="I4" s="18"/>
      <c r="J4" s="18">
        <v>1000</v>
      </c>
      <c r="K4" s="17"/>
      <c r="L4" s="18"/>
      <c r="M4" s="17" t="s">
        <v>148</v>
      </c>
      <c r="N4" s="17" t="s">
        <v>149</v>
      </c>
      <c r="O4" s="17" t="s">
        <v>30</v>
      </c>
      <c r="P4" s="17" t="s">
        <v>150</v>
      </c>
      <c r="Q4" s="17" t="s">
        <v>151</v>
      </c>
      <c r="R4" s="19" t="s">
        <v>152</v>
      </c>
      <c r="S4" s="17"/>
      <c r="T4" s="17" t="s">
        <v>153</v>
      </c>
      <c r="U4" s="17" t="s">
        <v>154</v>
      </c>
      <c r="V4" s="17" t="s">
        <v>130</v>
      </c>
      <c r="W4" s="17" t="s">
        <v>130</v>
      </c>
      <c r="X4" s="17" t="s">
        <v>155</v>
      </c>
      <c r="Y4" s="17" t="s">
        <v>131</v>
      </c>
    </row>
    <row r="5" spans="1:25" ht="36" x14ac:dyDescent="0.25">
      <c r="A5" s="17" t="s">
        <v>156</v>
      </c>
      <c r="B5" s="17" t="s">
        <v>38</v>
      </c>
      <c r="C5" s="17" t="s">
        <v>53</v>
      </c>
      <c r="D5" s="17" t="s">
        <v>157</v>
      </c>
      <c r="E5" s="17" t="s">
        <v>158</v>
      </c>
      <c r="F5" s="17" t="s">
        <v>136</v>
      </c>
      <c r="G5" s="17" t="s">
        <v>159</v>
      </c>
      <c r="H5" s="18"/>
      <c r="I5" s="18"/>
      <c r="J5" s="18">
        <v>1000</v>
      </c>
      <c r="K5" s="17"/>
      <c r="L5" s="18">
        <v>50000</v>
      </c>
      <c r="M5" s="17" t="s">
        <v>160</v>
      </c>
      <c r="N5" s="17" t="s">
        <v>161</v>
      </c>
      <c r="O5" s="17" t="s">
        <v>24</v>
      </c>
      <c r="P5" s="17" t="s">
        <v>162</v>
      </c>
      <c r="Q5" s="17" t="s">
        <v>163</v>
      </c>
      <c r="R5" s="19" t="s">
        <v>164</v>
      </c>
      <c r="S5" s="17"/>
      <c r="T5" s="17" t="s">
        <v>165</v>
      </c>
      <c r="U5" s="17" t="s">
        <v>166</v>
      </c>
      <c r="V5" s="17" t="s">
        <v>130</v>
      </c>
      <c r="W5" s="17" t="s">
        <v>130</v>
      </c>
      <c r="X5" s="17" t="s">
        <v>167</v>
      </c>
      <c r="Y5" s="17" t="s">
        <v>131</v>
      </c>
    </row>
    <row r="6" spans="1:25" ht="60" x14ac:dyDescent="0.25">
      <c r="A6" s="17" t="s">
        <v>168</v>
      </c>
      <c r="B6" s="17" t="s">
        <v>38</v>
      </c>
      <c r="C6" s="17" t="s">
        <v>54</v>
      </c>
      <c r="D6" s="17" t="s">
        <v>169</v>
      </c>
      <c r="E6" s="17" t="s">
        <v>170</v>
      </c>
      <c r="F6" s="17" t="s">
        <v>136</v>
      </c>
      <c r="G6" s="17" t="s">
        <v>171</v>
      </c>
      <c r="H6" s="18"/>
      <c r="I6" s="18"/>
      <c r="J6" s="18">
        <v>473</v>
      </c>
      <c r="K6" s="17" t="s">
        <v>172</v>
      </c>
      <c r="L6" s="18">
        <v>4000</v>
      </c>
      <c r="M6" s="17" t="s">
        <v>173</v>
      </c>
      <c r="N6" s="17" t="s">
        <v>174</v>
      </c>
      <c r="O6" s="17" t="s">
        <v>24</v>
      </c>
      <c r="P6" s="17" t="s">
        <v>175</v>
      </c>
      <c r="Q6" s="17" t="s">
        <v>176</v>
      </c>
      <c r="R6" s="19" t="s">
        <v>177</v>
      </c>
      <c r="S6" s="19" t="s">
        <v>178</v>
      </c>
      <c r="T6" s="17" t="s">
        <v>179</v>
      </c>
      <c r="U6" s="17" t="s">
        <v>180</v>
      </c>
      <c r="V6" s="17" t="s">
        <v>130</v>
      </c>
      <c r="W6" s="17" t="s">
        <v>130</v>
      </c>
      <c r="X6" s="17" t="s">
        <v>181</v>
      </c>
      <c r="Y6" s="17" t="s">
        <v>131</v>
      </c>
    </row>
    <row r="7" spans="1:25" ht="108" x14ac:dyDescent="0.25">
      <c r="A7" s="17" t="s">
        <v>182</v>
      </c>
      <c r="B7" s="17" t="s">
        <v>38</v>
      </c>
      <c r="C7" s="17" t="s">
        <v>54</v>
      </c>
      <c r="D7" s="17" t="s">
        <v>183</v>
      </c>
      <c r="E7" s="17" t="s">
        <v>184</v>
      </c>
      <c r="F7" s="17" t="s">
        <v>185</v>
      </c>
      <c r="G7" s="17" t="s">
        <v>186</v>
      </c>
      <c r="H7" s="18"/>
      <c r="I7" s="18">
        <v>1450</v>
      </c>
      <c r="J7" s="18">
        <v>2500</v>
      </c>
      <c r="K7" s="17" t="s">
        <v>187</v>
      </c>
      <c r="L7" s="18">
        <v>130000</v>
      </c>
      <c r="M7" s="17" t="s">
        <v>188</v>
      </c>
      <c r="N7" s="17" t="s">
        <v>189</v>
      </c>
      <c r="O7" s="17" t="s">
        <v>22</v>
      </c>
      <c r="P7" s="17" t="s">
        <v>190</v>
      </c>
      <c r="Q7" s="17" t="s">
        <v>191</v>
      </c>
      <c r="R7" s="19" t="s">
        <v>192</v>
      </c>
      <c r="S7" s="19" t="s">
        <v>193</v>
      </c>
      <c r="T7" s="17" t="s">
        <v>194</v>
      </c>
      <c r="U7" s="17" t="s">
        <v>195</v>
      </c>
      <c r="V7" s="17" t="s">
        <v>131</v>
      </c>
      <c r="W7" s="17" t="s">
        <v>131</v>
      </c>
      <c r="X7" s="17" t="s">
        <v>196</v>
      </c>
      <c r="Y7" s="17" t="s">
        <v>131</v>
      </c>
    </row>
    <row r="8" spans="1:25" ht="36" x14ac:dyDescent="0.25">
      <c r="A8" s="17" t="s">
        <v>197</v>
      </c>
      <c r="B8" s="17" t="s">
        <v>38</v>
      </c>
      <c r="C8" s="17" t="s">
        <v>54</v>
      </c>
      <c r="D8" s="17" t="s">
        <v>198</v>
      </c>
      <c r="E8" s="17" t="s">
        <v>199</v>
      </c>
      <c r="F8" s="17" t="s">
        <v>136</v>
      </c>
      <c r="G8" s="17" t="s">
        <v>200</v>
      </c>
      <c r="H8" s="18"/>
      <c r="I8" s="18"/>
      <c r="J8" s="18">
        <v>270</v>
      </c>
      <c r="K8" s="17"/>
      <c r="L8" s="18"/>
      <c r="M8" s="17" t="s">
        <v>201</v>
      </c>
      <c r="N8" s="17" t="s">
        <v>136</v>
      </c>
      <c r="O8" s="17" t="s">
        <v>30</v>
      </c>
      <c r="P8" s="17" t="s">
        <v>202</v>
      </c>
      <c r="Q8" s="17" t="s">
        <v>203</v>
      </c>
      <c r="R8" s="19" t="s">
        <v>204</v>
      </c>
      <c r="S8" s="19" t="s">
        <v>205</v>
      </c>
      <c r="T8" s="17" t="s">
        <v>142</v>
      </c>
      <c r="U8" s="17" t="s">
        <v>206</v>
      </c>
      <c r="V8" s="17" t="s">
        <v>130</v>
      </c>
      <c r="W8" s="17" t="s">
        <v>130</v>
      </c>
      <c r="X8" s="17" t="s">
        <v>207</v>
      </c>
      <c r="Y8" s="17" t="s">
        <v>131</v>
      </c>
    </row>
    <row r="9" spans="1:25" ht="36" x14ac:dyDescent="0.25">
      <c r="A9" s="17" t="s">
        <v>208</v>
      </c>
      <c r="B9" s="17" t="s">
        <v>38</v>
      </c>
      <c r="C9" s="17" t="s">
        <v>54</v>
      </c>
      <c r="D9" s="17" t="s">
        <v>209</v>
      </c>
      <c r="E9" s="17" t="s">
        <v>210</v>
      </c>
      <c r="F9" s="17" t="s">
        <v>136</v>
      </c>
      <c r="G9" s="17" t="s">
        <v>211</v>
      </c>
      <c r="H9" s="18"/>
      <c r="I9" s="18"/>
      <c r="J9" s="18"/>
      <c r="K9" s="17"/>
      <c r="L9" s="18">
        <v>500</v>
      </c>
      <c r="M9" s="17" t="s">
        <v>201</v>
      </c>
      <c r="N9" s="17" t="s">
        <v>136</v>
      </c>
      <c r="O9" s="17" t="s">
        <v>30</v>
      </c>
      <c r="P9" s="17" t="s">
        <v>212</v>
      </c>
      <c r="Q9" s="17" t="s">
        <v>213</v>
      </c>
      <c r="R9" s="19" t="s">
        <v>214</v>
      </c>
      <c r="S9" s="17"/>
      <c r="T9" s="17" t="s">
        <v>215</v>
      </c>
      <c r="U9" s="17" t="s">
        <v>216</v>
      </c>
      <c r="V9" s="17" t="s">
        <v>130</v>
      </c>
      <c r="W9" s="17" t="s">
        <v>130</v>
      </c>
      <c r="X9" s="17" t="s">
        <v>217</v>
      </c>
      <c r="Y9" s="17" t="s">
        <v>131</v>
      </c>
    </row>
    <row r="10" spans="1:25" ht="60" x14ac:dyDescent="0.25">
      <c r="A10" s="17" t="s">
        <v>218</v>
      </c>
      <c r="B10" s="17" t="s">
        <v>38</v>
      </c>
      <c r="C10" s="17" t="s">
        <v>55</v>
      </c>
      <c r="D10" s="17" t="s">
        <v>219</v>
      </c>
      <c r="E10" s="17" t="s">
        <v>220</v>
      </c>
      <c r="F10" s="17" t="s">
        <v>136</v>
      </c>
      <c r="G10" s="17" t="s">
        <v>221</v>
      </c>
      <c r="H10" s="18"/>
      <c r="I10" s="18"/>
      <c r="J10" s="18">
        <v>3000</v>
      </c>
      <c r="K10" s="17"/>
      <c r="L10" s="18">
        <v>200000</v>
      </c>
      <c r="M10" s="17" t="s">
        <v>222</v>
      </c>
      <c r="N10" s="17" t="s">
        <v>136</v>
      </c>
      <c r="O10" s="17" t="s">
        <v>24</v>
      </c>
      <c r="P10" s="17" t="s">
        <v>223</v>
      </c>
      <c r="Q10" s="17" t="s">
        <v>224</v>
      </c>
      <c r="R10" s="19" t="s">
        <v>225</v>
      </c>
      <c r="S10" s="19" t="s">
        <v>226</v>
      </c>
      <c r="T10" s="17" t="s">
        <v>194</v>
      </c>
      <c r="U10" s="17" t="s">
        <v>227</v>
      </c>
      <c r="V10" s="17" t="s">
        <v>130</v>
      </c>
      <c r="W10" s="17" t="s">
        <v>131</v>
      </c>
      <c r="X10" s="17" t="s">
        <v>228</v>
      </c>
      <c r="Y10" s="17" t="s">
        <v>131</v>
      </c>
    </row>
    <row r="11" spans="1:25" ht="48" x14ac:dyDescent="0.25">
      <c r="A11" s="17" t="s">
        <v>229</v>
      </c>
      <c r="B11" s="17" t="s">
        <v>38</v>
      </c>
      <c r="C11" s="17" t="s">
        <v>56</v>
      </c>
      <c r="D11" s="17" t="s">
        <v>230</v>
      </c>
      <c r="E11" s="17" t="s">
        <v>231</v>
      </c>
      <c r="F11" s="17" t="s">
        <v>136</v>
      </c>
      <c r="G11" s="17" t="s">
        <v>232</v>
      </c>
      <c r="H11" s="18"/>
      <c r="I11" s="18"/>
      <c r="J11" s="18">
        <v>336</v>
      </c>
      <c r="K11" s="17" t="s">
        <v>233</v>
      </c>
      <c r="L11" s="18"/>
      <c r="M11" s="17" t="s">
        <v>234</v>
      </c>
      <c r="N11" s="17" t="s">
        <v>136</v>
      </c>
      <c r="O11" s="17" t="s">
        <v>28</v>
      </c>
      <c r="P11" s="17" t="s">
        <v>235</v>
      </c>
      <c r="Q11" s="17" t="s">
        <v>236</v>
      </c>
      <c r="R11" s="19" t="s">
        <v>237</v>
      </c>
      <c r="S11" s="19" t="s">
        <v>238</v>
      </c>
      <c r="T11" s="17" t="s">
        <v>239</v>
      </c>
      <c r="U11" s="17" t="s">
        <v>240</v>
      </c>
      <c r="V11" s="17" t="s">
        <v>130</v>
      </c>
      <c r="W11" s="17" t="s">
        <v>131</v>
      </c>
      <c r="X11" s="17" t="s">
        <v>241</v>
      </c>
      <c r="Y11" s="17" t="s">
        <v>131</v>
      </c>
    </row>
    <row r="12" spans="1:25" ht="60" x14ac:dyDescent="0.25">
      <c r="A12" s="17" t="s">
        <v>242</v>
      </c>
      <c r="B12" s="17" t="s">
        <v>38</v>
      </c>
      <c r="C12" s="17" t="s">
        <v>56</v>
      </c>
      <c r="D12" s="17" t="s">
        <v>243</v>
      </c>
      <c r="E12" s="17" t="s">
        <v>231</v>
      </c>
      <c r="F12" s="17" t="s">
        <v>136</v>
      </c>
      <c r="G12" s="17" t="s">
        <v>244</v>
      </c>
      <c r="H12" s="18">
        <v>30</v>
      </c>
      <c r="I12" s="18"/>
      <c r="J12" s="18">
        <v>30</v>
      </c>
      <c r="K12" s="17"/>
      <c r="L12" s="18"/>
      <c r="M12" s="17" t="s">
        <v>245</v>
      </c>
      <c r="N12" s="17" t="s">
        <v>136</v>
      </c>
      <c r="O12" s="17" t="s">
        <v>28</v>
      </c>
      <c r="P12" s="17" t="s">
        <v>246</v>
      </c>
      <c r="Q12" s="17" t="s">
        <v>247</v>
      </c>
      <c r="R12" s="19" t="s">
        <v>248</v>
      </c>
      <c r="S12" s="17"/>
      <c r="T12" s="17" t="s">
        <v>153</v>
      </c>
      <c r="U12" s="17" t="s">
        <v>249</v>
      </c>
      <c r="V12" s="17" t="s">
        <v>130</v>
      </c>
      <c r="W12" s="17" t="s">
        <v>131</v>
      </c>
      <c r="X12" s="17"/>
      <c r="Y12" s="17" t="s">
        <v>131</v>
      </c>
    </row>
    <row r="13" spans="1:25" ht="48" x14ac:dyDescent="0.25">
      <c r="A13" s="17" t="s">
        <v>250</v>
      </c>
      <c r="B13" s="17" t="s">
        <v>38</v>
      </c>
      <c r="C13" s="17" t="s">
        <v>56</v>
      </c>
      <c r="D13" s="17" t="s">
        <v>251</v>
      </c>
      <c r="E13" s="17" t="s">
        <v>252</v>
      </c>
      <c r="F13" s="17" t="s">
        <v>136</v>
      </c>
      <c r="G13" s="17" t="s">
        <v>253</v>
      </c>
      <c r="H13" s="18"/>
      <c r="I13" s="18"/>
      <c r="J13" s="18"/>
      <c r="K13" s="17" t="s">
        <v>254</v>
      </c>
      <c r="L13" s="18"/>
      <c r="M13" s="17" t="s">
        <v>255</v>
      </c>
      <c r="N13" s="17" t="s">
        <v>136</v>
      </c>
      <c r="O13" s="17" t="s">
        <v>22</v>
      </c>
      <c r="P13" s="17" t="s">
        <v>256</v>
      </c>
      <c r="Q13" s="17" t="s">
        <v>257</v>
      </c>
      <c r="R13" s="19" t="s">
        <v>258</v>
      </c>
      <c r="S13" s="17"/>
      <c r="T13" s="17" t="s">
        <v>259</v>
      </c>
      <c r="U13" s="17" t="s">
        <v>260</v>
      </c>
      <c r="V13" s="17" t="s">
        <v>131</v>
      </c>
      <c r="W13" s="17" t="s">
        <v>130</v>
      </c>
      <c r="X13" s="17" t="s">
        <v>261</v>
      </c>
      <c r="Y13" s="17" t="s">
        <v>131</v>
      </c>
    </row>
    <row r="14" spans="1:25" ht="72" x14ac:dyDescent="0.25">
      <c r="A14" s="17" t="s">
        <v>262</v>
      </c>
      <c r="B14" s="17" t="s">
        <v>38</v>
      </c>
      <c r="C14" s="17" t="s">
        <v>56</v>
      </c>
      <c r="D14" s="17" t="s">
        <v>263</v>
      </c>
      <c r="E14" s="17" t="s">
        <v>264</v>
      </c>
      <c r="F14" s="17" t="s">
        <v>265</v>
      </c>
      <c r="G14" s="17" t="s">
        <v>266</v>
      </c>
      <c r="H14" s="18">
        <v>40</v>
      </c>
      <c r="I14" s="18">
        <v>48</v>
      </c>
      <c r="J14" s="18">
        <v>400</v>
      </c>
      <c r="K14" s="17" t="s">
        <v>267</v>
      </c>
      <c r="L14" s="18"/>
      <c r="M14" s="17" t="s">
        <v>268</v>
      </c>
      <c r="N14" s="17" t="s">
        <v>136</v>
      </c>
      <c r="O14" s="17" t="s">
        <v>22</v>
      </c>
      <c r="P14" s="17" t="s">
        <v>269</v>
      </c>
      <c r="Q14" s="17" t="s">
        <v>270</v>
      </c>
      <c r="R14" s="19" t="s">
        <v>271</v>
      </c>
      <c r="S14" s="19" t="s">
        <v>272</v>
      </c>
      <c r="T14" s="17" t="s">
        <v>273</v>
      </c>
      <c r="U14" s="17" t="s">
        <v>274</v>
      </c>
      <c r="V14" s="17" t="s">
        <v>131</v>
      </c>
      <c r="W14" s="17" t="s">
        <v>131</v>
      </c>
      <c r="X14" s="17" t="s">
        <v>275</v>
      </c>
      <c r="Y14" s="17" t="s">
        <v>131</v>
      </c>
    </row>
    <row r="15" spans="1:25" ht="36" x14ac:dyDescent="0.25">
      <c r="A15" s="17" t="s">
        <v>276</v>
      </c>
      <c r="B15" s="17" t="s">
        <v>38</v>
      </c>
      <c r="C15" s="17" t="s">
        <v>56</v>
      </c>
      <c r="D15" s="17" t="s">
        <v>277</v>
      </c>
      <c r="E15" s="17" t="s">
        <v>278</v>
      </c>
      <c r="F15" s="17" t="s">
        <v>136</v>
      </c>
      <c r="G15" s="17" t="s">
        <v>279</v>
      </c>
      <c r="H15" s="18">
        <v>85</v>
      </c>
      <c r="I15" s="18">
        <v>40</v>
      </c>
      <c r="J15" s="18">
        <v>377</v>
      </c>
      <c r="K15" s="17"/>
      <c r="L15" s="18"/>
      <c r="M15" s="17" t="s">
        <v>280</v>
      </c>
      <c r="N15" s="17" t="s">
        <v>136</v>
      </c>
      <c r="O15" s="17" t="s">
        <v>28</v>
      </c>
      <c r="P15" s="17" t="s">
        <v>281</v>
      </c>
      <c r="Q15" s="17" t="s">
        <v>282</v>
      </c>
      <c r="R15" s="19" t="s">
        <v>283</v>
      </c>
      <c r="S15" s="19" t="s">
        <v>284</v>
      </c>
      <c r="T15" s="17" t="s">
        <v>285</v>
      </c>
      <c r="U15" s="17" t="s">
        <v>286</v>
      </c>
      <c r="V15" s="17" t="s">
        <v>130</v>
      </c>
      <c r="W15" s="17" t="s">
        <v>131</v>
      </c>
      <c r="X15" s="17" t="s">
        <v>287</v>
      </c>
      <c r="Y15" s="17" t="s">
        <v>131</v>
      </c>
    </row>
    <row r="16" spans="1:25" ht="96" x14ac:dyDescent="0.25">
      <c r="A16" s="17" t="s">
        <v>288</v>
      </c>
      <c r="B16" s="17" t="s">
        <v>38</v>
      </c>
      <c r="C16" s="17" t="s">
        <v>52</v>
      </c>
      <c r="D16" s="17" t="s">
        <v>289</v>
      </c>
      <c r="E16" s="17" t="s">
        <v>290</v>
      </c>
      <c r="F16" s="17" t="s">
        <v>136</v>
      </c>
      <c r="G16" s="17" t="s">
        <v>291</v>
      </c>
      <c r="H16" s="18">
        <v>52</v>
      </c>
      <c r="I16" s="18">
        <v>52</v>
      </c>
      <c r="J16" s="18">
        <v>250</v>
      </c>
      <c r="K16" s="17"/>
      <c r="L16" s="18"/>
      <c r="M16" s="17" t="s">
        <v>292</v>
      </c>
      <c r="N16" s="17" t="s">
        <v>136</v>
      </c>
      <c r="O16" s="17" t="s">
        <v>28</v>
      </c>
      <c r="P16" s="17" t="s">
        <v>246</v>
      </c>
      <c r="Q16" s="17" t="s">
        <v>293</v>
      </c>
      <c r="R16" s="19" t="s">
        <v>294</v>
      </c>
      <c r="S16" s="19" t="s">
        <v>295</v>
      </c>
      <c r="T16" s="17" t="s">
        <v>239</v>
      </c>
      <c r="U16" s="17" t="s">
        <v>296</v>
      </c>
      <c r="V16" s="17" t="s">
        <v>130</v>
      </c>
      <c r="W16" s="17" t="s">
        <v>131</v>
      </c>
      <c r="X16" s="17" t="s">
        <v>297</v>
      </c>
      <c r="Y16" s="17" t="s">
        <v>131</v>
      </c>
    </row>
    <row r="17" spans="1:25" ht="36" x14ac:dyDescent="0.25">
      <c r="A17" s="17" t="s">
        <v>298</v>
      </c>
      <c r="B17" s="17" t="s">
        <v>38</v>
      </c>
      <c r="C17" s="17" t="s">
        <v>56</v>
      </c>
      <c r="D17" s="17" t="s">
        <v>230</v>
      </c>
      <c r="E17" s="17" t="s">
        <v>299</v>
      </c>
      <c r="F17" s="17" t="s">
        <v>136</v>
      </c>
      <c r="G17" s="17" t="s">
        <v>300</v>
      </c>
      <c r="H17" s="18">
        <v>119</v>
      </c>
      <c r="I17" s="18">
        <v>95</v>
      </c>
      <c r="J17" s="18">
        <v>700</v>
      </c>
      <c r="K17" s="17"/>
      <c r="L17" s="18"/>
      <c r="M17" s="17" t="s">
        <v>301</v>
      </c>
      <c r="N17" s="17" t="s">
        <v>136</v>
      </c>
      <c r="O17" s="17" t="s">
        <v>28</v>
      </c>
      <c r="P17" s="17" t="s">
        <v>246</v>
      </c>
      <c r="Q17" s="17" t="s">
        <v>302</v>
      </c>
      <c r="R17" s="19" t="s">
        <v>303</v>
      </c>
      <c r="S17" s="19" t="s">
        <v>304</v>
      </c>
      <c r="T17" s="17" t="s">
        <v>285</v>
      </c>
      <c r="U17" s="17" t="s">
        <v>305</v>
      </c>
      <c r="V17" s="17" t="s">
        <v>130</v>
      </c>
      <c r="W17" s="17" t="s">
        <v>131</v>
      </c>
      <c r="X17" s="17" t="s">
        <v>306</v>
      </c>
      <c r="Y17" s="17" t="s">
        <v>131</v>
      </c>
    </row>
    <row r="18" spans="1:25" ht="72" x14ac:dyDescent="0.25">
      <c r="A18" s="17" t="s">
        <v>307</v>
      </c>
      <c r="B18" s="17" t="s">
        <v>38</v>
      </c>
      <c r="C18" s="17" t="s">
        <v>56</v>
      </c>
      <c r="D18" s="17" t="s">
        <v>308</v>
      </c>
      <c r="E18" s="17" t="s">
        <v>210</v>
      </c>
      <c r="F18" s="17" t="s">
        <v>136</v>
      </c>
      <c r="G18" s="17" t="s">
        <v>309</v>
      </c>
      <c r="H18" s="18">
        <v>53</v>
      </c>
      <c r="I18" s="18">
        <v>80</v>
      </c>
      <c r="J18" s="18">
        <v>133</v>
      </c>
      <c r="K18" s="17" t="s">
        <v>310</v>
      </c>
      <c r="L18" s="18"/>
      <c r="M18" s="17" t="s">
        <v>311</v>
      </c>
      <c r="N18" s="17" t="s">
        <v>239</v>
      </c>
      <c r="O18" s="17" t="s">
        <v>28</v>
      </c>
      <c r="P18" s="17" t="s">
        <v>312</v>
      </c>
      <c r="Q18" s="17" t="s">
        <v>313</v>
      </c>
      <c r="R18" s="19" t="s">
        <v>314</v>
      </c>
      <c r="S18" s="19" t="s">
        <v>315</v>
      </c>
      <c r="T18" s="17" t="s">
        <v>316</v>
      </c>
      <c r="U18" s="17" t="s">
        <v>317</v>
      </c>
      <c r="V18" s="17" t="s">
        <v>130</v>
      </c>
      <c r="W18" s="17" t="s">
        <v>131</v>
      </c>
      <c r="X18" s="17" t="s">
        <v>318</v>
      </c>
      <c r="Y18" s="17" t="s">
        <v>131</v>
      </c>
    </row>
    <row r="19" spans="1:25" ht="60" x14ac:dyDescent="0.25">
      <c r="A19" s="17" t="s">
        <v>319</v>
      </c>
      <c r="B19" s="17" t="s">
        <v>38</v>
      </c>
      <c r="C19" s="17" t="s">
        <v>56</v>
      </c>
      <c r="D19" s="17" t="s">
        <v>320</v>
      </c>
      <c r="E19" s="17" t="s">
        <v>321</v>
      </c>
      <c r="F19" s="17" t="s">
        <v>136</v>
      </c>
      <c r="G19" s="17" t="s">
        <v>322</v>
      </c>
      <c r="H19" s="18">
        <v>48</v>
      </c>
      <c r="I19" s="18">
        <v>100</v>
      </c>
      <c r="J19" s="18">
        <v>220</v>
      </c>
      <c r="K19" s="17"/>
      <c r="L19" s="18"/>
      <c r="M19" s="17" t="s">
        <v>323</v>
      </c>
      <c r="N19" s="17" t="s">
        <v>136</v>
      </c>
      <c r="O19" s="17" t="s">
        <v>28</v>
      </c>
      <c r="P19" s="17" t="s">
        <v>324</v>
      </c>
      <c r="Q19" s="17" t="s">
        <v>325</v>
      </c>
      <c r="R19" s="19" t="s">
        <v>326</v>
      </c>
      <c r="S19" s="19" t="s">
        <v>327</v>
      </c>
      <c r="T19" s="17" t="s">
        <v>328</v>
      </c>
      <c r="U19" s="17" t="s">
        <v>329</v>
      </c>
      <c r="V19" s="17" t="s">
        <v>130</v>
      </c>
      <c r="W19" s="17" t="s">
        <v>131</v>
      </c>
      <c r="X19" s="17" t="s">
        <v>330</v>
      </c>
      <c r="Y19" s="17" t="s">
        <v>131</v>
      </c>
    </row>
    <row r="20" spans="1:25" ht="72" x14ac:dyDescent="0.25">
      <c r="A20" s="17" t="s">
        <v>331</v>
      </c>
      <c r="B20" s="17" t="s">
        <v>38</v>
      </c>
      <c r="C20" s="17" t="s">
        <v>56</v>
      </c>
      <c r="D20" s="17" t="s">
        <v>332</v>
      </c>
      <c r="E20" s="17" t="s">
        <v>333</v>
      </c>
      <c r="F20" s="17" t="s">
        <v>136</v>
      </c>
      <c r="G20" s="17" t="s">
        <v>334</v>
      </c>
      <c r="H20" s="18"/>
      <c r="I20" s="18">
        <v>108</v>
      </c>
      <c r="J20" s="18">
        <v>108</v>
      </c>
      <c r="K20" s="17" t="s">
        <v>335</v>
      </c>
      <c r="L20" s="18"/>
      <c r="M20" s="17" t="s">
        <v>336</v>
      </c>
      <c r="N20" s="17" t="s">
        <v>337</v>
      </c>
      <c r="O20" s="17" t="s">
        <v>28</v>
      </c>
      <c r="P20" s="17" t="s">
        <v>246</v>
      </c>
      <c r="Q20" s="17" t="s">
        <v>338</v>
      </c>
      <c r="R20" s="19" t="s">
        <v>339</v>
      </c>
      <c r="S20" s="17"/>
      <c r="T20" s="17" t="s">
        <v>239</v>
      </c>
      <c r="U20" s="17" t="s">
        <v>340</v>
      </c>
      <c r="V20" s="17" t="s">
        <v>130</v>
      </c>
      <c r="W20" s="17" t="s">
        <v>131</v>
      </c>
      <c r="X20" s="17" t="s">
        <v>341</v>
      </c>
      <c r="Y20" s="17" t="s">
        <v>131</v>
      </c>
    </row>
    <row r="21" spans="1:25" ht="60" x14ac:dyDescent="0.25">
      <c r="A21" s="17" t="s">
        <v>342</v>
      </c>
      <c r="B21" s="17" t="s">
        <v>38</v>
      </c>
      <c r="C21" s="17" t="s">
        <v>56</v>
      </c>
      <c r="D21" s="17" t="s">
        <v>343</v>
      </c>
      <c r="E21" s="17" t="s">
        <v>344</v>
      </c>
      <c r="F21" s="17" t="s">
        <v>136</v>
      </c>
      <c r="G21" s="17" t="s">
        <v>345</v>
      </c>
      <c r="H21" s="18"/>
      <c r="I21" s="18">
        <v>62</v>
      </c>
      <c r="J21" s="18">
        <v>182</v>
      </c>
      <c r="K21" s="17" t="s">
        <v>346</v>
      </c>
      <c r="L21" s="18"/>
      <c r="M21" s="17" t="s">
        <v>347</v>
      </c>
      <c r="N21" s="17" t="s">
        <v>136</v>
      </c>
      <c r="O21" s="17" t="s">
        <v>28</v>
      </c>
      <c r="P21" s="17" t="s">
        <v>246</v>
      </c>
      <c r="Q21" s="17" t="s">
        <v>348</v>
      </c>
      <c r="R21" s="19" t="s">
        <v>349</v>
      </c>
      <c r="S21" s="19" t="s">
        <v>350</v>
      </c>
      <c r="T21" s="17" t="s">
        <v>239</v>
      </c>
      <c r="U21" s="17" t="s">
        <v>351</v>
      </c>
      <c r="V21" s="17" t="s">
        <v>130</v>
      </c>
      <c r="W21" s="17" t="s">
        <v>131</v>
      </c>
      <c r="X21" s="17" t="s">
        <v>352</v>
      </c>
      <c r="Y21" s="17" t="s">
        <v>131</v>
      </c>
    </row>
    <row r="22" spans="1:25" ht="48" x14ac:dyDescent="0.25">
      <c r="A22" s="17" t="s">
        <v>353</v>
      </c>
      <c r="B22" s="17" t="s">
        <v>38</v>
      </c>
      <c r="C22" s="17" t="s">
        <v>56</v>
      </c>
      <c r="D22" s="17" t="s">
        <v>354</v>
      </c>
      <c r="E22" s="17" t="s">
        <v>355</v>
      </c>
      <c r="F22" s="17" t="s">
        <v>136</v>
      </c>
      <c r="G22" s="17" t="s">
        <v>356</v>
      </c>
      <c r="H22" s="18">
        <v>22</v>
      </c>
      <c r="I22" s="18">
        <v>64</v>
      </c>
      <c r="J22" s="18">
        <v>148</v>
      </c>
      <c r="K22" s="17" t="s">
        <v>357</v>
      </c>
      <c r="L22" s="18">
        <v>2016</v>
      </c>
      <c r="M22" s="17" t="s">
        <v>358</v>
      </c>
      <c r="N22" s="17" t="s">
        <v>136</v>
      </c>
      <c r="O22" s="17" t="s">
        <v>26</v>
      </c>
      <c r="P22" s="17" t="s">
        <v>359</v>
      </c>
      <c r="Q22" s="17" t="s">
        <v>360</v>
      </c>
      <c r="R22" s="19" t="s">
        <v>361</v>
      </c>
      <c r="S22" s="19" t="s">
        <v>362</v>
      </c>
      <c r="T22" s="17" t="s">
        <v>363</v>
      </c>
      <c r="U22" s="17" t="s">
        <v>364</v>
      </c>
      <c r="V22" s="17" t="s">
        <v>131</v>
      </c>
      <c r="W22" s="17" t="s">
        <v>131</v>
      </c>
      <c r="X22" s="17" t="s">
        <v>365</v>
      </c>
      <c r="Y22" s="17" t="s">
        <v>131</v>
      </c>
    </row>
    <row r="23" spans="1:25" ht="60" x14ac:dyDescent="0.25">
      <c r="A23" s="17" t="s">
        <v>366</v>
      </c>
      <c r="B23" s="17" t="s">
        <v>38</v>
      </c>
      <c r="C23" s="17" t="s">
        <v>56</v>
      </c>
      <c r="D23" s="17" t="s">
        <v>134</v>
      </c>
      <c r="E23" s="17" t="s">
        <v>367</v>
      </c>
      <c r="F23" s="17" t="s">
        <v>136</v>
      </c>
      <c r="G23" s="17" t="s">
        <v>368</v>
      </c>
      <c r="H23" s="18"/>
      <c r="I23" s="18">
        <v>40</v>
      </c>
      <c r="J23" s="18">
        <v>100</v>
      </c>
      <c r="K23" s="17"/>
      <c r="L23" s="18"/>
      <c r="M23" s="17" t="s">
        <v>138</v>
      </c>
      <c r="N23" s="17" t="s">
        <v>136</v>
      </c>
      <c r="O23" s="17" t="s">
        <v>28</v>
      </c>
      <c r="P23" s="17" t="s">
        <v>124</v>
      </c>
      <c r="Q23" s="17" t="s">
        <v>369</v>
      </c>
      <c r="R23" s="19" t="s">
        <v>370</v>
      </c>
      <c r="S23" s="17"/>
      <c r="T23" s="17" t="s">
        <v>371</v>
      </c>
      <c r="U23" s="17" t="s">
        <v>372</v>
      </c>
      <c r="V23" s="17" t="s">
        <v>130</v>
      </c>
      <c r="W23" s="17" t="s">
        <v>131</v>
      </c>
      <c r="X23" s="17" t="s">
        <v>373</v>
      </c>
      <c r="Y23" s="17" t="s">
        <v>131</v>
      </c>
    </row>
    <row r="24" spans="1:25" ht="48" x14ac:dyDescent="0.25">
      <c r="A24" s="17" t="s">
        <v>374</v>
      </c>
      <c r="B24" s="17" t="s">
        <v>38</v>
      </c>
      <c r="C24" s="17" t="s">
        <v>56</v>
      </c>
      <c r="D24" s="17" t="s">
        <v>375</v>
      </c>
      <c r="E24" s="17" t="s">
        <v>376</v>
      </c>
      <c r="F24" s="17" t="s">
        <v>136</v>
      </c>
      <c r="G24" s="17" t="s">
        <v>377</v>
      </c>
      <c r="H24" s="18"/>
      <c r="I24" s="18">
        <v>60</v>
      </c>
      <c r="J24" s="18">
        <v>60</v>
      </c>
      <c r="K24" s="17" t="s">
        <v>378</v>
      </c>
      <c r="L24" s="18"/>
      <c r="M24" s="17" t="s">
        <v>138</v>
      </c>
      <c r="N24" s="17" t="s">
        <v>136</v>
      </c>
      <c r="O24" s="17" t="s">
        <v>30</v>
      </c>
      <c r="P24" s="17" t="s">
        <v>202</v>
      </c>
      <c r="Q24" s="17" t="s">
        <v>379</v>
      </c>
      <c r="R24" s="19" t="s">
        <v>380</v>
      </c>
      <c r="S24" s="17"/>
      <c r="T24" s="17" t="s">
        <v>239</v>
      </c>
      <c r="U24" s="17" t="s">
        <v>381</v>
      </c>
      <c r="V24" s="17" t="s">
        <v>130</v>
      </c>
      <c r="W24" s="17" t="s">
        <v>131</v>
      </c>
      <c r="X24" s="17" t="s">
        <v>382</v>
      </c>
      <c r="Y24" s="17" t="s">
        <v>131</v>
      </c>
    </row>
    <row r="25" spans="1:25" ht="60" x14ac:dyDescent="0.25">
      <c r="A25" s="17" t="s">
        <v>383</v>
      </c>
      <c r="B25" s="17" t="s">
        <v>38</v>
      </c>
      <c r="C25" s="17" t="s">
        <v>57</v>
      </c>
      <c r="D25" s="17" t="s">
        <v>384</v>
      </c>
      <c r="E25" s="17" t="s">
        <v>385</v>
      </c>
      <c r="F25" s="17" t="s">
        <v>136</v>
      </c>
      <c r="G25" s="17" t="s">
        <v>386</v>
      </c>
      <c r="H25" s="18"/>
      <c r="I25" s="18"/>
      <c r="J25" s="18">
        <v>240</v>
      </c>
      <c r="K25" s="17" t="s">
        <v>387</v>
      </c>
      <c r="L25" s="18"/>
      <c r="M25" s="17" t="s">
        <v>388</v>
      </c>
      <c r="N25" s="17" t="s">
        <v>389</v>
      </c>
      <c r="O25" s="17" t="s">
        <v>28</v>
      </c>
      <c r="P25" s="17" t="s">
        <v>246</v>
      </c>
      <c r="Q25" s="17" t="s">
        <v>390</v>
      </c>
      <c r="R25" s="19" t="s">
        <v>391</v>
      </c>
      <c r="S25" s="17"/>
      <c r="T25" s="17" t="s">
        <v>392</v>
      </c>
      <c r="U25" s="17" t="s">
        <v>393</v>
      </c>
      <c r="V25" s="17" t="s">
        <v>130</v>
      </c>
      <c r="W25" s="17" t="s">
        <v>131</v>
      </c>
      <c r="X25" s="17" t="s">
        <v>394</v>
      </c>
      <c r="Y25" s="17" t="s">
        <v>131</v>
      </c>
    </row>
    <row r="26" spans="1:25" ht="48" x14ac:dyDescent="0.25">
      <c r="A26" s="17" t="s">
        <v>395</v>
      </c>
      <c r="B26" s="17" t="s">
        <v>38</v>
      </c>
      <c r="C26" s="17" t="s">
        <v>52</v>
      </c>
      <c r="D26" s="17" t="s">
        <v>396</v>
      </c>
      <c r="E26" s="17" t="s">
        <v>397</v>
      </c>
      <c r="F26" s="17" t="s">
        <v>136</v>
      </c>
      <c r="G26" s="17" t="s">
        <v>398</v>
      </c>
      <c r="H26" s="18"/>
      <c r="I26" s="18"/>
      <c r="J26" s="18"/>
      <c r="K26" s="17"/>
      <c r="L26" s="18">
        <v>5000</v>
      </c>
      <c r="M26" s="17" t="s">
        <v>399</v>
      </c>
      <c r="N26" s="17" t="s">
        <v>400</v>
      </c>
      <c r="O26" s="17" t="s">
        <v>24</v>
      </c>
      <c r="P26" s="17" t="s">
        <v>162</v>
      </c>
      <c r="Q26" s="17" t="s">
        <v>401</v>
      </c>
      <c r="R26" s="19" t="s">
        <v>402</v>
      </c>
      <c r="S26" s="17"/>
      <c r="T26" s="17" t="s">
        <v>403</v>
      </c>
      <c r="U26" s="17" t="s">
        <v>404</v>
      </c>
      <c r="V26" s="17" t="s">
        <v>130</v>
      </c>
      <c r="W26" s="17" t="s">
        <v>130</v>
      </c>
      <c r="X26" s="17" t="s">
        <v>405</v>
      </c>
      <c r="Y26" s="17" t="s">
        <v>131</v>
      </c>
    </row>
    <row r="27" spans="1:25" ht="60" x14ac:dyDescent="0.25">
      <c r="A27" s="17" t="s">
        <v>406</v>
      </c>
      <c r="B27" s="17" t="s">
        <v>38</v>
      </c>
      <c r="C27" s="17" t="s">
        <v>52</v>
      </c>
      <c r="D27" s="17" t="s">
        <v>407</v>
      </c>
      <c r="E27" s="17" t="s">
        <v>408</v>
      </c>
      <c r="F27" s="17" t="s">
        <v>136</v>
      </c>
      <c r="G27" s="17" t="s">
        <v>409</v>
      </c>
      <c r="H27" s="18"/>
      <c r="I27" s="18"/>
      <c r="J27" s="18">
        <v>750</v>
      </c>
      <c r="K27" s="17" t="s">
        <v>410</v>
      </c>
      <c r="L27" s="18">
        <v>70000</v>
      </c>
      <c r="M27" s="17" t="s">
        <v>399</v>
      </c>
      <c r="N27" s="17" t="s">
        <v>411</v>
      </c>
      <c r="O27" s="17" t="s">
        <v>24</v>
      </c>
      <c r="P27" s="17" t="s">
        <v>162</v>
      </c>
      <c r="Q27" s="17" t="s">
        <v>412</v>
      </c>
      <c r="R27" s="19" t="s">
        <v>413</v>
      </c>
      <c r="S27" s="19" t="s">
        <v>414</v>
      </c>
      <c r="T27" s="17" t="s">
        <v>415</v>
      </c>
      <c r="U27" s="17" t="s">
        <v>416</v>
      </c>
      <c r="V27" s="17" t="s">
        <v>130</v>
      </c>
      <c r="W27" s="17" t="s">
        <v>131</v>
      </c>
      <c r="X27" s="17"/>
      <c r="Y27" s="17" t="s">
        <v>131</v>
      </c>
    </row>
    <row r="28" spans="1:25" ht="60" x14ac:dyDescent="0.25">
      <c r="A28" s="17" t="s">
        <v>417</v>
      </c>
      <c r="B28" s="17" t="s">
        <v>38</v>
      </c>
      <c r="C28" s="17" t="s">
        <v>58</v>
      </c>
      <c r="D28" s="17" t="s">
        <v>418</v>
      </c>
      <c r="E28" s="17" t="s">
        <v>419</v>
      </c>
      <c r="F28" s="17" t="s">
        <v>136</v>
      </c>
      <c r="G28" s="17" t="s">
        <v>420</v>
      </c>
      <c r="H28" s="18"/>
      <c r="I28" s="18"/>
      <c r="J28" s="18">
        <v>500</v>
      </c>
      <c r="K28" s="17" t="s">
        <v>421</v>
      </c>
      <c r="L28" s="18">
        <v>30000</v>
      </c>
      <c r="M28" s="17" t="s">
        <v>422</v>
      </c>
      <c r="N28" s="17" t="s">
        <v>136</v>
      </c>
      <c r="O28" s="17" t="s">
        <v>24</v>
      </c>
      <c r="P28" s="17" t="s">
        <v>423</v>
      </c>
      <c r="Q28" s="17" t="s">
        <v>424</v>
      </c>
      <c r="R28" s="19" t="s">
        <v>425</v>
      </c>
      <c r="S28" s="17"/>
      <c r="T28" s="17" t="s">
        <v>128</v>
      </c>
      <c r="U28" s="17" t="s">
        <v>426</v>
      </c>
      <c r="V28" s="17" t="s">
        <v>130</v>
      </c>
      <c r="W28" s="17" t="s">
        <v>131</v>
      </c>
      <c r="X28" s="17" t="s">
        <v>427</v>
      </c>
      <c r="Y28" s="17" t="s">
        <v>131</v>
      </c>
    </row>
    <row r="29" spans="1:25" ht="48" x14ac:dyDescent="0.25">
      <c r="A29" s="17" t="s">
        <v>428</v>
      </c>
      <c r="B29" s="17" t="s">
        <v>38</v>
      </c>
      <c r="C29" s="17" t="s">
        <v>57</v>
      </c>
      <c r="D29" s="17" t="s">
        <v>134</v>
      </c>
      <c r="E29" s="17" t="s">
        <v>429</v>
      </c>
      <c r="F29" s="17" t="s">
        <v>136</v>
      </c>
      <c r="G29" s="17" t="s">
        <v>430</v>
      </c>
      <c r="H29" s="18"/>
      <c r="I29" s="18">
        <v>5.5</v>
      </c>
      <c r="J29" s="18">
        <v>5.5</v>
      </c>
      <c r="K29" s="17"/>
      <c r="L29" s="18">
        <v>75</v>
      </c>
      <c r="M29" s="17" t="s">
        <v>431</v>
      </c>
      <c r="N29" s="17" t="s">
        <v>136</v>
      </c>
      <c r="O29" s="17" t="s">
        <v>30</v>
      </c>
      <c r="P29" s="17" t="s">
        <v>202</v>
      </c>
      <c r="Q29" s="17" t="s">
        <v>432</v>
      </c>
      <c r="R29" s="19" t="s">
        <v>433</v>
      </c>
      <c r="S29" s="17"/>
      <c r="T29" s="17" t="s">
        <v>239</v>
      </c>
      <c r="U29" s="17" t="s">
        <v>434</v>
      </c>
      <c r="V29" s="17" t="s">
        <v>130</v>
      </c>
      <c r="W29" s="17" t="s">
        <v>131</v>
      </c>
      <c r="X29" s="17" t="s">
        <v>435</v>
      </c>
      <c r="Y29" s="17" t="s">
        <v>131</v>
      </c>
    </row>
    <row r="30" spans="1:25" ht="120" x14ac:dyDescent="0.25">
      <c r="A30" s="17" t="s">
        <v>436</v>
      </c>
      <c r="B30" s="17" t="s">
        <v>38</v>
      </c>
      <c r="C30" s="17" t="s">
        <v>56</v>
      </c>
      <c r="D30" s="17" t="s">
        <v>437</v>
      </c>
      <c r="E30" s="17" t="s">
        <v>438</v>
      </c>
      <c r="F30" s="17" t="s">
        <v>439</v>
      </c>
      <c r="G30" s="17" t="s">
        <v>440</v>
      </c>
      <c r="H30" s="18"/>
      <c r="I30" s="18"/>
      <c r="J30" s="18"/>
      <c r="K30" s="17" t="s">
        <v>441</v>
      </c>
      <c r="L30" s="18"/>
      <c r="M30" s="17" t="s">
        <v>442</v>
      </c>
      <c r="N30" s="17" t="s">
        <v>136</v>
      </c>
      <c r="O30" s="17" t="s">
        <v>22</v>
      </c>
      <c r="P30" s="17" t="s">
        <v>443</v>
      </c>
      <c r="Q30" s="17" t="s">
        <v>444</v>
      </c>
      <c r="R30" s="19" t="s">
        <v>445</v>
      </c>
      <c r="S30" s="19" t="s">
        <v>446</v>
      </c>
      <c r="T30" s="17" t="s">
        <v>447</v>
      </c>
      <c r="U30" s="17" t="s">
        <v>448</v>
      </c>
      <c r="V30" s="17" t="s">
        <v>131</v>
      </c>
      <c r="W30" s="17" t="s">
        <v>130</v>
      </c>
      <c r="X30" s="17" t="s">
        <v>449</v>
      </c>
      <c r="Y30" s="17" t="s">
        <v>131</v>
      </c>
    </row>
    <row r="31" spans="1:25" ht="60" x14ac:dyDescent="0.25">
      <c r="A31" s="17" t="s">
        <v>450</v>
      </c>
      <c r="B31" s="17" t="s">
        <v>38</v>
      </c>
      <c r="C31" s="17" t="s">
        <v>56</v>
      </c>
      <c r="D31" s="17" t="s">
        <v>451</v>
      </c>
      <c r="E31" s="17" t="s">
        <v>452</v>
      </c>
      <c r="F31" s="17" t="s">
        <v>136</v>
      </c>
      <c r="G31" s="17" t="s">
        <v>453</v>
      </c>
      <c r="H31" s="18"/>
      <c r="I31" s="18"/>
      <c r="J31" s="18"/>
      <c r="K31" s="17" t="s">
        <v>454</v>
      </c>
      <c r="L31" s="18">
        <v>1895</v>
      </c>
      <c r="M31" s="17" t="s">
        <v>455</v>
      </c>
      <c r="N31" s="17" t="s">
        <v>136</v>
      </c>
      <c r="O31" s="17" t="s">
        <v>22</v>
      </c>
      <c r="P31" s="17" t="s">
        <v>456</v>
      </c>
      <c r="Q31" s="17" t="s">
        <v>457</v>
      </c>
      <c r="R31" s="19" t="s">
        <v>458</v>
      </c>
      <c r="S31" s="19" t="s">
        <v>459</v>
      </c>
      <c r="T31" s="17" t="s">
        <v>460</v>
      </c>
      <c r="U31" s="17" t="s">
        <v>461</v>
      </c>
      <c r="V31" s="17" t="s">
        <v>131</v>
      </c>
      <c r="W31" s="17" t="s">
        <v>130</v>
      </c>
      <c r="X31" s="17" t="s">
        <v>462</v>
      </c>
      <c r="Y31" s="17" t="s">
        <v>131</v>
      </c>
    </row>
    <row r="32" spans="1:25" ht="96" x14ac:dyDescent="0.25">
      <c r="A32" s="17" t="s">
        <v>463</v>
      </c>
      <c r="B32" s="17" t="s">
        <v>38</v>
      </c>
      <c r="C32" s="17" t="s">
        <v>59</v>
      </c>
      <c r="D32" s="17" t="s">
        <v>464</v>
      </c>
      <c r="E32" s="17" t="s">
        <v>170</v>
      </c>
      <c r="F32" s="17" t="s">
        <v>136</v>
      </c>
      <c r="G32" s="17" t="s">
        <v>465</v>
      </c>
      <c r="H32" s="18"/>
      <c r="I32" s="18"/>
      <c r="J32" s="18">
        <v>272</v>
      </c>
      <c r="K32" s="17"/>
      <c r="L32" s="18">
        <v>7203</v>
      </c>
      <c r="M32" s="17" t="s">
        <v>466</v>
      </c>
      <c r="N32" s="17" t="s">
        <v>136</v>
      </c>
      <c r="O32" s="17" t="s">
        <v>22</v>
      </c>
      <c r="P32" s="17" t="s">
        <v>467</v>
      </c>
      <c r="Q32" s="17" t="s">
        <v>468</v>
      </c>
      <c r="R32" s="19" t="s">
        <v>458</v>
      </c>
      <c r="S32" s="19" t="s">
        <v>469</v>
      </c>
      <c r="T32" s="17" t="s">
        <v>470</v>
      </c>
      <c r="U32" s="17" t="s">
        <v>471</v>
      </c>
      <c r="V32" s="17" t="s">
        <v>131</v>
      </c>
      <c r="W32" s="17" t="s">
        <v>131</v>
      </c>
      <c r="X32" s="17" t="s">
        <v>472</v>
      </c>
      <c r="Y32" s="17" t="s">
        <v>131</v>
      </c>
    </row>
    <row r="33" spans="1:25" ht="84" x14ac:dyDescent="0.25">
      <c r="A33" s="20" t="s">
        <v>473</v>
      </c>
      <c r="B33" s="20" t="s">
        <v>38</v>
      </c>
      <c r="C33" s="20" t="s">
        <v>60</v>
      </c>
      <c r="D33" s="20" t="s">
        <v>474</v>
      </c>
      <c r="E33" s="20" t="s">
        <v>170</v>
      </c>
      <c r="F33" s="20" t="s">
        <v>136</v>
      </c>
      <c r="G33" s="20" t="s">
        <v>475</v>
      </c>
      <c r="H33" s="21"/>
      <c r="I33" s="21"/>
      <c r="J33" s="21"/>
      <c r="K33" s="20"/>
      <c r="L33" s="21">
        <v>2627</v>
      </c>
      <c r="M33" s="20" t="s">
        <v>476</v>
      </c>
      <c r="N33" s="20" t="s">
        <v>136</v>
      </c>
      <c r="O33" s="20" t="s">
        <v>22</v>
      </c>
      <c r="P33" s="20" t="s">
        <v>477</v>
      </c>
      <c r="Q33" s="20" t="s">
        <v>478</v>
      </c>
      <c r="R33" s="22" t="s">
        <v>458</v>
      </c>
      <c r="S33" s="20"/>
      <c r="T33" s="20" t="s">
        <v>479</v>
      </c>
      <c r="U33" s="20" t="s">
        <v>480</v>
      </c>
      <c r="V33" s="20" t="s">
        <v>131</v>
      </c>
      <c r="W33" s="20" t="s">
        <v>130</v>
      </c>
      <c r="X33" s="20" t="s">
        <v>481</v>
      </c>
      <c r="Y33" s="20" t="s">
        <v>130</v>
      </c>
    </row>
    <row r="34" spans="1:25" ht="48" x14ac:dyDescent="0.25">
      <c r="A34" s="17" t="s">
        <v>482</v>
      </c>
      <c r="B34" s="17" t="s">
        <v>38</v>
      </c>
      <c r="C34" s="17" t="s">
        <v>56</v>
      </c>
      <c r="D34" s="17" t="s">
        <v>483</v>
      </c>
      <c r="E34" s="17" t="s">
        <v>484</v>
      </c>
      <c r="F34" s="17" t="s">
        <v>485</v>
      </c>
      <c r="G34" s="17" t="s">
        <v>486</v>
      </c>
      <c r="H34" s="18"/>
      <c r="I34" s="18"/>
      <c r="J34" s="18"/>
      <c r="K34" s="17"/>
      <c r="L34" s="18"/>
      <c r="M34" s="17" t="s">
        <v>487</v>
      </c>
      <c r="N34" s="17" t="s">
        <v>136</v>
      </c>
      <c r="O34" s="17" t="s">
        <v>22</v>
      </c>
      <c r="P34" s="17" t="s">
        <v>488</v>
      </c>
      <c r="Q34" s="17" t="s">
        <v>489</v>
      </c>
      <c r="R34" s="19" t="s">
        <v>490</v>
      </c>
      <c r="S34" s="19" t="s">
        <v>491</v>
      </c>
      <c r="T34" s="17" t="s">
        <v>492</v>
      </c>
      <c r="U34" s="17" t="s">
        <v>493</v>
      </c>
      <c r="V34" s="17" t="s">
        <v>131</v>
      </c>
      <c r="W34" s="17" t="s">
        <v>130</v>
      </c>
      <c r="X34" s="17" t="s">
        <v>494</v>
      </c>
      <c r="Y34" s="17" t="s">
        <v>131</v>
      </c>
    </row>
    <row r="35" spans="1:25" ht="48" x14ac:dyDescent="0.25">
      <c r="A35" s="17" t="s">
        <v>495</v>
      </c>
      <c r="B35" s="17" t="s">
        <v>38</v>
      </c>
      <c r="C35" s="17" t="s">
        <v>52</v>
      </c>
      <c r="D35" s="17" t="s">
        <v>496</v>
      </c>
      <c r="E35" s="17" t="s">
        <v>497</v>
      </c>
      <c r="F35" s="17" t="s">
        <v>136</v>
      </c>
      <c r="G35" s="17" t="s">
        <v>498</v>
      </c>
      <c r="H35" s="18"/>
      <c r="I35" s="18"/>
      <c r="J35" s="18"/>
      <c r="K35" s="17"/>
      <c r="L35" s="18"/>
      <c r="M35" s="17" t="s">
        <v>499</v>
      </c>
      <c r="N35" s="17" t="s">
        <v>136</v>
      </c>
      <c r="O35" s="17" t="s">
        <v>22</v>
      </c>
      <c r="P35" s="17" t="s">
        <v>500</v>
      </c>
      <c r="Q35" s="17" t="s">
        <v>501</v>
      </c>
      <c r="R35" s="19" t="s">
        <v>502</v>
      </c>
      <c r="S35" s="17"/>
      <c r="T35" s="17" t="s">
        <v>503</v>
      </c>
      <c r="U35" s="17" t="s">
        <v>504</v>
      </c>
      <c r="V35" s="17" t="s">
        <v>131</v>
      </c>
      <c r="W35" s="17" t="s">
        <v>130</v>
      </c>
      <c r="X35" s="17" t="s">
        <v>505</v>
      </c>
      <c r="Y35" s="17" t="s">
        <v>131</v>
      </c>
    </row>
    <row r="36" spans="1:25" ht="48" x14ac:dyDescent="0.25">
      <c r="A36" s="17" t="s">
        <v>506</v>
      </c>
      <c r="B36" s="17" t="s">
        <v>38</v>
      </c>
      <c r="C36" s="17" t="s">
        <v>56</v>
      </c>
      <c r="D36" s="17" t="s">
        <v>507</v>
      </c>
      <c r="E36" s="17" t="s">
        <v>508</v>
      </c>
      <c r="F36" s="17" t="s">
        <v>136</v>
      </c>
      <c r="G36" s="17" t="s">
        <v>509</v>
      </c>
      <c r="H36" s="18"/>
      <c r="I36" s="18"/>
      <c r="J36" s="18"/>
      <c r="K36" s="17"/>
      <c r="L36" s="18"/>
      <c r="M36" s="17" t="s">
        <v>510</v>
      </c>
      <c r="N36" s="17" t="s">
        <v>136</v>
      </c>
      <c r="O36" s="17" t="s">
        <v>22</v>
      </c>
      <c r="P36" s="17" t="s">
        <v>456</v>
      </c>
      <c r="Q36" s="17" t="s">
        <v>511</v>
      </c>
      <c r="R36" s="19" t="s">
        <v>512</v>
      </c>
      <c r="S36" s="19" t="s">
        <v>513</v>
      </c>
      <c r="T36" s="17" t="s">
        <v>514</v>
      </c>
      <c r="U36" s="17" t="s">
        <v>515</v>
      </c>
      <c r="V36" s="17" t="s">
        <v>131</v>
      </c>
      <c r="W36" s="17" t="s">
        <v>130</v>
      </c>
      <c r="X36" s="17" t="s">
        <v>516</v>
      </c>
      <c r="Y36" s="17" t="s">
        <v>131</v>
      </c>
    </row>
    <row r="37" spans="1:25" ht="48" x14ac:dyDescent="0.25">
      <c r="A37" s="17" t="s">
        <v>517</v>
      </c>
      <c r="B37" s="17" t="s">
        <v>38</v>
      </c>
      <c r="C37" s="17" t="s">
        <v>56</v>
      </c>
      <c r="D37" s="17" t="s">
        <v>518</v>
      </c>
      <c r="E37" s="17" t="s">
        <v>519</v>
      </c>
      <c r="F37" s="17" t="s">
        <v>520</v>
      </c>
      <c r="G37" s="17" t="s">
        <v>521</v>
      </c>
      <c r="H37" s="18"/>
      <c r="I37" s="18"/>
      <c r="J37" s="18"/>
      <c r="K37" s="17"/>
      <c r="L37" s="18"/>
      <c r="M37" s="17" t="s">
        <v>522</v>
      </c>
      <c r="N37" s="17" t="s">
        <v>136</v>
      </c>
      <c r="O37" s="17" t="s">
        <v>22</v>
      </c>
      <c r="P37" s="17" t="s">
        <v>488</v>
      </c>
      <c r="Q37" s="17" t="s">
        <v>523</v>
      </c>
      <c r="R37" s="19" t="s">
        <v>459</v>
      </c>
      <c r="S37" s="17"/>
      <c r="T37" s="17" t="s">
        <v>524</v>
      </c>
      <c r="U37" s="17" t="s">
        <v>525</v>
      </c>
      <c r="V37" s="17" t="s">
        <v>131</v>
      </c>
      <c r="W37" s="17" t="s">
        <v>130</v>
      </c>
      <c r="X37" s="17" t="s">
        <v>526</v>
      </c>
      <c r="Y37" s="17" t="s">
        <v>131</v>
      </c>
    </row>
    <row r="38" spans="1:25" ht="84" x14ac:dyDescent="0.25">
      <c r="A38" s="17" t="s">
        <v>527</v>
      </c>
      <c r="B38" s="17" t="s">
        <v>38</v>
      </c>
      <c r="C38" s="17" t="s">
        <v>56</v>
      </c>
      <c r="D38" s="17" t="s">
        <v>528</v>
      </c>
      <c r="E38" s="17" t="s">
        <v>529</v>
      </c>
      <c r="F38" s="17" t="s">
        <v>136</v>
      </c>
      <c r="G38" s="17" t="s">
        <v>530</v>
      </c>
      <c r="H38" s="18"/>
      <c r="I38" s="18"/>
      <c r="J38" s="18"/>
      <c r="K38" s="17"/>
      <c r="L38" s="18">
        <v>174</v>
      </c>
      <c r="M38" s="17" t="s">
        <v>531</v>
      </c>
      <c r="N38" s="17" t="s">
        <v>136</v>
      </c>
      <c r="O38" s="17" t="s">
        <v>22</v>
      </c>
      <c r="P38" s="17" t="s">
        <v>467</v>
      </c>
      <c r="Q38" s="17" t="s">
        <v>532</v>
      </c>
      <c r="R38" s="19" t="s">
        <v>458</v>
      </c>
      <c r="S38" s="19" t="s">
        <v>533</v>
      </c>
      <c r="T38" s="17" t="s">
        <v>285</v>
      </c>
      <c r="U38" s="17" t="s">
        <v>534</v>
      </c>
      <c r="V38" s="17" t="s">
        <v>131</v>
      </c>
      <c r="W38" s="17" t="s">
        <v>130</v>
      </c>
      <c r="X38" s="17" t="s">
        <v>535</v>
      </c>
      <c r="Y38" s="17" t="s">
        <v>131</v>
      </c>
    </row>
    <row r="39" spans="1:25" ht="24" x14ac:dyDescent="0.25">
      <c r="A39" s="17" t="s">
        <v>536</v>
      </c>
      <c r="B39" s="17" t="s">
        <v>38</v>
      </c>
      <c r="C39" s="17" t="s">
        <v>56</v>
      </c>
      <c r="D39" s="17" t="s">
        <v>537</v>
      </c>
      <c r="E39" s="17" t="s">
        <v>538</v>
      </c>
      <c r="F39" s="17" t="s">
        <v>136</v>
      </c>
      <c r="G39" s="17" t="s">
        <v>539</v>
      </c>
      <c r="H39" s="18"/>
      <c r="I39" s="18"/>
      <c r="J39" s="18"/>
      <c r="K39" s="17"/>
      <c r="L39" s="18"/>
      <c r="M39" s="17" t="s">
        <v>540</v>
      </c>
      <c r="N39" s="17" t="s">
        <v>136</v>
      </c>
      <c r="O39" s="17" t="s">
        <v>22</v>
      </c>
      <c r="P39" s="17" t="s">
        <v>477</v>
      </c>
      <c r="Q39" s="17" t="s">
        <v>541</v>
      </c>
      <c r="R39" s="19" t="s">
        <v>458</v>
      </c>
      <c r="S39" s="17"/>
      <c r="T39" s="17" t="s">
        <v>542</v>
      </c>
      <c r="U39" s="17" t="s">
        <v>543</v>
      </c>
      <c r="V39" s="17" t="s">
        <v>131</v>
      </c>
      <c r="W39" s="17" t="s">
        <v>130</v>
      </c>
      <c r="X39" s="17" t="s">
        <v>544</v>
      </c>
      <c r="Y39" s="17" t="s">
        <v>131</v>
      </c>
    </row>
    <row r="40" spans="1:25" ht="36" x14ac:dyDescent="0.25">
      <c r="A40" s="17" t="s">
        <v>545</v>
      </c>
      <c r="B40" s="17" t="s">
        <v>38</v>
      </c>
      <c r="C40" s="17" t="s">
        <v>56</v>
      </c>
      <c r="D40" s="17" t="s">
        <v>546</v>
      </c>
      <c r="E40" s="17" t="s">
        <v>547</v>
      </c>
      <c r="F40" s="17" t="s">
        <v>136</v>
      </c>
      <c r="G40" s="17" t="s">
        <v>548</v>
      </c>
      <c r="H40" s="18"/>
      <c r="I40" s="18"/>
      <c r="J40" s="18"/>
      <c r="K40" s="17"/>
      <c r="L40" s="18">
        <v>599</v>
      </c>
      <c r="M40" s="17" t="s">
        <v>549</v>
      </c>
      <c r="N40" s="17" t="s">
        <v>136</v>
      </c>
      <c r="O40" s="17" t="s">
        <v>22</v>
      </c>
      <c r="P40" s="17" t="s">
        <v>477</v>
      </c>
      <c r="Q40" s="17" t="s">
        <v>550</v>
      </c>
      <c r="R40" s="19" t="s">
        <v>458</v>
      </c>
      <c r="S40" s="17"/>
      <c r="T40" s="17" t="s">
        <v>551</v>
      </c>
      <c r="U40" s="17" t="s">
        <v>552</v>
      </c>
      <c r="V40" s="17" t="s">
        <v>131</v>
      </c>
      <c r="W40" s="17" t="s">
        <v>130</v>
      </c>
      <c r="X40" s="17" t="s">
        <v>553</v>
      </c>
      <c r="Y40" s="17" t="s">
        <v>131</v>
      </c>
    </row>
    <row r="41" spans="1:25" ht="48" x14ac:dyDescent="0.25">
      <c r="A41" s="20" t="s">
        <v>554</v>
      </c>
      <c r="B41" s="20" t="s">
        <v>38</v>
      </c>
      <c r="C41" s="20" t="s">
        <v>58</v>
      </c>
      <c r="D41" s="20" t="s">
        <v>555</v>
      </c>
      <c r="E41" s="20" t="s">
        <v>556</v>
      </c>
      <c r="F41" s="20" t="s">
        <v>557</v>
      </c>
      <c r="G41" s="20" t="s">
        <v>558</v>
      </c>
      <c r="H41" s="21"/>
      <c r="I41" s="21"/>
      <c r="J41" s="21">
        <v>200</v>
      </c>
      <c r="K41" s="20" t="s">
        <v>559</v>
      </c>
      <c r="L41" s="21">
        <v>15000</v>
      </c>
      <c r="M41" s="20" t="s">
        <v>560</v>
      </c>
      <c r="N41" s="20" t="s">
        <v>136</v>
      </c>
      <c r="O41" s="20" t="s">
        <v>22</v>
      </c>
      <c r="P41" s="20" t="s">
        <v>561</v>
      </c>
      <c r="Q41" s="20" t="s">
        <v>562</v>
      </c>
      <c r="R41" s="22" t="s">
        <v>563</v>
      </c>
      <c r="S41" s="20"/>
      <c r="T41" s="20" t="s">
        <v>564</v>
      </c>
      <c r="U41" s="20" t="s">
        <v>565</v>
      </c>
      <c r="V41" s="20" t="s">
        <v>131</v>
      </c>
      <c r="W41" s="20" t="s">
        <v>131</v>
      </c>
      <c r="X41" s="20" t="s">
        <v>566</v>
      </c>
      <c r="Y41" s="20" t="s">
        <v>130</v>
      </c>
    </row>
    <row r="42" spans="1:25" ht="60" x14ac:dyDescent="0.25">
      <c r="A42" s="20" t="s">
        <v>567</v>
      </c>
      <c r="B42" s="20" t="s">
        <v>38</v>
      </c>
      <c r="C42" s="20" t="s">
        <v>61</v>
      </c>
      <c r="D42" s="20" t="s">
        <v>568</v>
      </c>
      <c r="E42" s="20" t="s">
        <v>569</v>
      </c>
      <c r="F42" s="20" t="s">
        <v>570</v>
      </c>
      <c r="G42" s="20" t="s">
        <v>571</v>
      </c>
      <c r="H42" s="21"/>
      <c r="I42" s="21"/>
      <c r="J42" s="21"/>
      <c r="K42" s="20"/>
      <c r="L42" s="21">
        <v>5228</v>
      </c>
      <c r="M42" s="20" t="s">
        <v>572</v>
      </c>
      <c r="N42" s="20" t="s">
        <v>136</v>
      </c>
      <c r="O42" s="20" t="s">
        <v>22</v>
      </c>
      <c r="P42" s="20" t="s">
        <v>467</v>
      </c>
      <c r="Q42" s="20" t="s">
        <v>573</v>
      </c>
      <c r="R42" s="22" t="s">
        <v>458</v>
      </c>
      <c r="S42" s="22" t="s">
        <v>502</v>
      </c>
      <c r="T42" s="20" t="s">
        <v>574</v>
      </c>
      <c r="U42" s="20" t="s">
        <v>575</v>
      </c>
      <c r="V42" s="20" t="s">
        <v>131</v>
      </c>
      <c r="W42" s="20" t="s">
        <v>130</v>
      </c>
      <c r="X42" s="20" t="s">
        <v>576</v>
      </c>
      <c r="Y42" s="20" t="s">
        <v>130</v>
      </c>
    </row>
    <row r="43" spans="1:25" ht="60" x14ac:dyDescent="0.25">
      <c r="A43" s="20" t="s">
        <v>577</v>
      </c>
      <c r="B43" s="20" t="s">
        <v>38</v>
      </c>
      <c r="C43" s="20" t="s">
        <v>61</v>
      </c>
      <c r="D43" s="20" t="s">
        <v>578</v>
      </c>
      <c r="E43" s="20" t="s">
        <v>579</v>
      </c>
      <c r="F43" s="20" t="s">
        <v>580</v>
      </c>
      <c r="G43" s="20" t="s">
        <v>581</v>
      </c>
      <c r="H43" s="21"/>
      <c r="I43" s="21"/>
      <c r="J43" s="21"/>
      <c r="K43" s="20"/>
      <c r="L43" s="21">
        <v>2015</v>
      </c>
      <c r="M43" s="20" t="s">
        <v>582</v>
      </c>
      <c r="N43" s="20" t="s">
        <v>136</v>
      </c>
      <c r="O43" s="20" t="s">
        <v>22</v>
      </c>
      <c r="P43" s="20" t="s">
        <v>467</v>
      </c>
      <c r="Q43" s="20" t="s">
        <v>583</v>
      </c>
      <c r="R43" s="22" t="s">
        <v>458</v>
      </c>
      <c r="S43" s="22" t="s">
        <v>584</v>
      </c>
      <c r="T43" s="20" t="s">
        <v>285</v>
      </c>
      <c r="U43" s="20" t="s">
        <v>585</v>
      </c>
      <c r="V43" s="20" t="s">
        <v>131</v>
      </c>
      <c r="W43" s="20" t="s">
        <v>130</v>
      </c>
      <c r="X43" s="20"/>
      <c r="Y43" s="20" t="s">
        <v>130</v>
      </c>
    </row>
    <row r="44" spans="1:25" ht="60" x14ac:dyDescent="0.25">
      <c r="A44" s="20" t="s">
        <v>586</v>
      </c>
      <c r="B44" s="20" t="s">
        <v>38</v>
      </c>
      <c r="C44" s="20" t="s">
        <v>61</v>
      </c>
      <c r="D44" s="20" t="s">
        <v>587</v>
      </c>
      <c r="E44" s="20" t="s">
        <v>135</v>
      </c>
      <c r="F44" s="20" t="s">
        <v>136</v>
      </c>
      <c r="G44" s="20" t="s">
        <v>588</v>
      </c>
      <c r="H44" s="21">
        <v>19.2</v>
      </c>
      <c r="I44" s="21">
        <v>9.6</v>
      </c>
      <c r="J44" s="21">
        <v>96</v>
      </c>
      <c r="K44" s="20"/>
      <c r="L44" s="21"/>
      <c r="M44" s="20" t="s">
        <v>589</v>
      </c>
      <c r="N44" s="20" t="s">
        <v>136</v>
      </c>
      <c r="O44" s="20" t="s">
        <v>26</v>
      </c>
      <c r="P44" s="20" t="s">
        <v>139</v>
      </c>
      <c r="Q44" s="20" t="s">
        <v>590</v>
      </c>
      <c r="R44" s="22" t="s">
        <v>141</v>
      </c>
      <c r="S44" s="20"/>
      <c r="T44" s="20" t="s">
        <v>142</v>
      </c>
      <c r="U44" s="20" t="s">
        <v>591</v>
      </c>
      <c r="V44" s="20" t="s">
        <v>131</v>
      </c>
      <c r="W44" s="20" t="s">
        <v>131</v>
      </c>
      <c r="X44" s="20"/>
      <c r="Y44" s="20" t="s">
        <v>130</v>
      </c>
    </row>
    <row r="45" spans="1:25" ht="48" x14ac:dyDescent="0.25">
      <c r="A45" s="20" t="s">
        <v>592</v>
      </c>
      <c r="B45" s="20" t="s">
        <v>38</v>
      </c>
      <c r="C45" s="20" t="s">
        <v>61</v>
      </c>
      <c r="D45" s="20" t="s">
        <v>593</v>
      </c>
      <c r="E45" s="20" t="s">
        <v>594</v>
      </c>
      <c r="F45" s="20" t="s">
        <v>136</v>
      </c>
      <c r="G45" s="20" t="s">
        <v>595</v>
      </c>
      <c r="H45" s="21"/>
      <c r="I45" s="21"/>
      <c r="J45" s="21">
        <v>100</v>
      </c>
      <c r="K45" s="20"/>
      <c r="L45" s="21">
        <v>973</v>
      </c>
      <c r="M45" s="20" t="s">
        <v>201</v>
      </c>
      <c r="N45" s="20" t="s">
        <v>136</v>
      </c>
      <c r="O45" s="20" t="s">
        <v>30</v>
      </c>
      <c r="P45" s="20" t="s">
        <v>596</v>
      </c>
      <c r="Q45" s="20" t="s">
        <v>597</v>
      </c>
      <c r="R45" s="22" t="s">
        <v>598</v>
      </c>
      <c r="S45" s="22" t="s">
        <v>599</v>
      </c>
      <c r="T45" s="20" t="s">
        <v>600</v>
      </c>
      <c r="U45" s="20" t="s">
        <v>601</v>
      </c>
      <c r="V45" s="20" t="s">
        <v>130</v>
      </c>
      <c r="W45" s="20" t="s">
        <v>131</v>
      </c>
      <c r="X45" s="20" t="s">
        <v>602</v>
      </c>
      <c r="Y45" s="20" t="s">
        <v>130</v>
      </c>
    </row>
    <row r="46" spans="1:25" ht="48" x14ac:dyDescent="0.25">
      <c r="A46" s="20" t="s">
        <v>603</v>
      </c>
      <c r="B46" s="20" t="s">
        <v>38</v>
      </c>
      <c r="C46" s="20" t="s">
        <v>61</v>
      </c>
      <c r="D46" s="20" t="s">
        <v>604</v>
      </c>
      <c r="E46" s="20" t="s">
        <v>605</v>
      </c>
      <c r="F46" s="20" t="s">
        <v>136</v>
      </c>
      <c r="G46" s="20" t="s">
        <v>606</v>
      </c>
      <c r="H46" s="21">
        <v>4</v>
      </c>
      <c r="I46" s="21"/>
      <c r="J46" s="21">
        <v>60</v>
      </c>
      <c r="K46" s="20"/>
      <c r="L46" s="21"/>
      <c r="M46" s="20" t="s">
        <v>607</v>
      </c>
      <c r="N46" s="20" t="s">
        <v>136</v>
      </c>
      <c r="O46" s="20" t="s">
        <v>28</v>
      </c>
      <c r="P46" s="20" t="s">
        <v>608</v>
      </c>
      <c r="Q46" s="20" t="s">
        <v>609</v>
      </c>
      <c r="R46" s="22" t="s">
        <v>610</v>
      </c>
      <c r="S46" s="20"/>
      <c r="T46" s="20" t="s">
        <v>611</v>
      </c>
      <c r="U46" s="20" t="s">
        <v>612</v>
      </c>
      <c r="V46" s="20" t="s">
        <v>130</v>
      </c>
      <c r="W46" s="20" t="s">
        <v>131</v>
      </c>
      <c r="X46" s="20" t="s">
        <v>613</v>
      </c>
      <c r="Y46" s="20" t="s">
        <v>130</v>
      </c>
    </row>
    <row r="47" spans="1:25" ht="72" x14ac:dyDescent="0.25">
      <c r="A47" s="20" t="s">
        <v>614</v>
      </c>
      <c r="B47" s="20" t="s">
        <v>39</v>
      </c>
      <c r="C47" s="20" t="s">
        <v>615</v>
      </c>
      <c r="D47" s="20" t="s">
        <v>616</v>
      </c>
      <c r="E47" s="20" t="s">
        <v>617</v>
      </c>
      <c r="F47" s="20" t="s">
        <v>618</v>
      </c>
      <c r="G47" s="20" t="s">
        <v>619</v>
      </c>
      <c r="H47" s="21"/>
      <c r="I47" s="21"/>
      <c r="J47" s="21">
        <v>1000</v>
      </c>
      <c r="K47" s="20"/>
      <c r="L47" s="21"/>
      <c r="M47" s="20" t="s">
        <v>620</v>
      </c>
      <c r="N47" s="20" t="s">
        <v>621</v>
      </c>
      <c r="O47" s="20" t="s">
        <v>22</v>
      </c>
      <c r="P47" s="20" t="s">
        <v>622</v>
      </c>
      <c r="Q47" s="20" t="s">
        <v>623</v>
      </c>
      <c r="R47" s="22" t="s">
        <v>624</v>
      </c>
      <c r="S47" s="22" t="s">
        <v>625</v>
      </c>
      <c r="T47" s="20" t="s">
        <v>503</v>
      </c>
      <c r="U47" s="20" t="s">
        <v>626</v>
      </c>
      <c r="V47" s="20" t="s">
        <v>131</v>
      </c>
      <c r="W47" s="20" t="s">
        <v>131</v>
      </c>
      <c r="X47" s="20" t="s">
        <v>627</v>
      </c>
      <c r="Y47" s="20" t="s">
        <v>130</v>
      </c>
    </row>
    <row r="48" spans="1:25" ht="60" x14ac:dyDescent="0.25">
      <c r="A48" s="20" t="s">
        <v>628</v>
      </c>
      <c r="B48" s="20" t="s">
        <v>39</v>
      </c>
      <c r="C48" s="20" t="s">
        <v>615</v>
      </c>
      <c r="D48" s="20" t="s">
        <v>629</v>
      </c>
      <c r="E48" s="20" t="s">
        <v>135</v>
      </c>
      <c r="F48" s="20" t="s">
        <v>630</v>
      </c>
      <c r="G48" s="20" t="s">
        <v>631</v>
      </c>
      <c r="H48" s="21"/>
      <c r="I48" s="21">
        <v>400</v>
      </c>
      <c r="J48" s="21">
        <v>400</v>
      </c>
      <c r="K48" s="20"/>
      <c r="L48" s="21"/>
      <c r="M48" s="20" t="s">
        <v>632</v>
      </c>
      <c r="N48" s="20" t="s">
        <v>136</v>
      </c>
      <c r="O48" s="20" t="s">
        <v>26</v>
      </c>
      <c r="P48" s="20" t="s">
        <v>139</v>
      </c>
      <c r="Q48" s="20" t="s">
        <v>590</v>
      </c>
      <c r="R48" s="22" t="s">
        <v>141</v>
      </c>
      <c r="S48" s="20"/>
      <c r="T48" s="20" t="s">
        <v>142</v>
      </c>
      <c r="U48" s="20" t="s">
        <v>633</v>
      </c>
      <c r="V48" s="20" t="s">
        <v>131</v>
      </c>
      <c r="W48" s="20" t="s">
        <v>130</v>
      </c>
      <c r="X48" s="20" t="s">
        <v>634</v>
      </c>
      <c r="Y48" s="20" t="s">
        <v>130</v>
      </c>
    </row>
    <row r="49" spans="1:25" ht="48" x14ac:dyDescent="0.25">
      <c r="A49" s="20" t="s">
        <v>635</v>
      </c>
      <c r="B49" s="20" t="s">
        <v>39</v>
      </c>
      <c r="C49" s="20" t="s">
        <v>636</v>
      </c>
      <c r="D49" s="20" t="s">
        <v>637</v>
      </c>
      <c r="E49" s="20" t="s">
        <v>638</v>
      </c>
      <c r="F49" s="20" t="s">
        <v>136</v>
      </c>
      <c r="G49" s="20" t="s">
        <v>639</v>
      </c>
      <c r="H49" s="21"/>
      <c r="I49" s="21"/>
      <c r="J49" s="21">
        <v>1500</v>
      </c>
      <c r="K49" s="20"/>
      <c r="L49" s="21">
        <v>108010</v>
      </c>
      <c r="M49" s="20" t="s">
        <v>640</v>
      </c>
      <c r="N49" s="20" t="s">
        <v>136</v>
      </c>
      <c r="O49" s="20" t="s">
        <v>24</v>
      </c>
      <c r="P49" s="20" t="s">
        <v>641</v>
      </c>
      <c r="Q49" s="20" t="s">
        <v>642</v>
      </c>
      <c r="R49" s="22" t="s">
        <v>643</v>
      </c>
      <c r="S49" s="22" t="s">
        <v>644</v>
      </c>
      <c r="T49" s="20" t="s">
        <v>645</v>
      </c>
      <c r="U49" s="20" t="s">
        <v>646</v>
      </c>
      <c r="V49" s="20" t="s">
        <v>130</v>
      </c>
      <c r="W49" s="20" t="s">
        <v>131</v>
      </c>
      <c r="X49" s="20" t="s">
        <v>647</v>
      </c>
      <c r="Y49" s="20" t="s">
        <v>130</v>
      </c>
    </row>
    <row r="50" spans="1:25" ht="36" x14ac:dyDescent="0.25">
      <c r="A50" s="20" t="s">
        <v>648</v>
      </c>
      <c r="B50" s="20" t="s">
        <v>39</v>
      </c>
      <c r="C50" s="20" t="s">
        <v>615</v>
      </c>
      <c r="D50" s="20" t="s">
        <v>649</v>
      </c>
      <c r="E50" s="20" t="s">
        <v>650</v>
      </c>
      <c r="F50" s="20" t="s">
        <v>136</v>
      </c>
      <c r="G50" s="20" t="s">
        <v>651</v>
      </c>
      <c r="H50" s="21"/>
      <c r="I50" s="21"/>
      <c r="J50" s="21">
        <v>1000</v>
      </c>
      <c r="K50" s="20"/>
      <c r="L50" s="21">
        <v>85200</v>
      </c>
      <c r="M50" s="20" t="s">
        <v>652</v>
      </c>
      <c r="N50" s="20" t="s">
        <v>136</v>
      </c>
      <c r="O50" s="20" t="s">
        <v>24</v>
      </c>
      <c r="P50" s="20" t="s">
        <v>653</v>
      </c>
      <c r="Q50" s="20" t="s">
        <v>654</v>
      </c>
      <c r="R50" s="22" t="s">
        <v>644</v>
      </c>
      <c r="S50" s="20"/>
      <c r="T50" s="20" t="s">
        <v>611</v>
      </c>
      <c r="U50" s="20" t="s">
        <v>655</v>
      </c>
      <c r="V50" s="20" t="s">
        <v>130</v>
      </c>
      <c r="W50" s="20" t="s">
        <v>131</v>
      </c>
      <c r="X50" s="20"/>
      <c r="Y50" s="20" t="s">
        <v>130</v>
      </c>
    </row>
    <row r="51" spans="1:25" ht="36" x14ac:dyDescent="0.25">
      <c r="A51" s="20" t="s">
        <v>656</v>
      </c>
      <c r="B51" s="20" t="s">
        <v>39</v>
      </c>
      <c r="C51" s="20" t="s">
        <v>615</v>
      </c>
      <c r="D51" s="20" t="s">
        <v>657</v>
      </c>
      <c r="E51" s="20" t="s">
        <v>658</v>
      </c>
      <c r="F51" s="20" t="s">
        <v>136</v>
      </c>
      <c r="G51" s="20" t="s">
        <v>659</v>
      </c>
      <c r="H51" s="21"/>
      <c r="I51" s="21"/>
      <c r="J51" s="21">
        <v>486</v>
      </c>
      <c r="K51" s="20"/>
      <c r="L51" s="21">
        <v>58743</v>
      </c>
      <c r="M51" s="20" t="s">
        <v>660</v>
      </c>
      <c r="N51" s="20" t="s">
        <v>136</v>
      </c>
      <c r="O51" s="20" t="s">
        <v>24</v>
      </c>
      <c r="P51" s="20" t="s">
        <v>653</v>
      </c>
      <c r="Q51" s="20" t="s">
        <v>661</v>
      </c>
      <c r="R51" s="22" t="s">
        <v>644</v>
      </c>
      <c r="S51" s="20"/>
      <c r="T51" s="20" t="s">
        <v>662</v>
      </c>
      <c r="U51" s="20" t="s">
        <v>663</v>
      </c>
      <c r="V51" s="20" t="s">
        <v>130</v>
      </c>
      <c r="W51" s="20" t="s">
        <v>131</v>
      </c>
      <c r="X51" s="20" t="s">
        <v>664</v>
      </c>
      <c r="Y51" s="20" t="s">
        <v>130</v>
      </c>
    </row>
    <row r="52" spans="1:25" ht="72" x14ac:dyDescent="0.25">
      <c r="A52" s="20" t="s">
        <v>665</v>
      </c>
      <c r="B52" s="20" t="s">
        <v>39</v>
      </c>
      <c r="C52" s="20" t="s">
        <v>615</v>
      </c>
      <c r="D52" s="20" t="s">
        <v>666</v>
      </c>
      <c r="E52" s="20" t="s">
        <v>667</v>
      </c>
      <c r="F52" s="20" t="s">
        <v>136</v>
      </c>
      <c r="G52" s="20" t="s">
        <v>668</v>
      </c>
      <c r="H52" s="21"/>
      <c r="I52" s="21"/>
      <c r="J52" s="21">
        <v>512</v>
      </c>
      <c r="K52" s="20"/>
      <c r="L52" s="21">
        <v>31387</v>
      </c>
      <c r="M52" s="20" t="s">
        <v>669</v>
      </c>
      <c r="N52" s="20" t="s">
        <v>136</v>
      </c>
      <c r="O52" s="20" t="s">
        <v>24</v>
      </c>
      <c r="P52" s="20" t="s">
        <v>641</v>
      </c>
      <c r="Q52" s="20" t="s">
        <v>670</v>
      </c>
      <c r="R52" s="22" t="s">
        <v>671</v>
      </c>
      <c r="S52" s="20"/>
      <c r="T52" s="20" t="s">
        <v>672</v>
      </c>
      <c r="U52" s="20" t="s">
        <v>673</v>
      </c>
      <c r="V52" s="20" t="s">
        <v>130</v>
      </c>
      <c r="W52" s="20" t="s">
        <v>131</v>
      </c>
      <c r="X52" s="20"/>
      <c r="Y52" s="20" t="s">
        <v>130</v>
      </c>
    </row>
    <row r="53" spans="1:25" ht="36" x14ac:dyDescent="0.25">
      <c r="A53" s="20" t="s">
        <v>674</v>
      </c>
      <c r="B53" s="20" t="s">
        <v>39</v>
      </c>
      <c r="C53" s="20" t="s">
        <v>615</v>
      </c>
      <c r="D53" s="20" t="s">
        <v>675</v>
      </c>
      <c r="E53" s="20" t="s">
        <v>676</v>
      </c>
      <c r="F53" s="20" t="s">
        <v>136</v>
      </c>
      <c r="G53" s="20" t="s">
        <v>677</v>
      </c>
      <c r="H53" s="21"/>
      <c r="I53" s="21"/>
      <c r="J53" s="21"/>
      <c r="K53" s="20" t="s">
        <v>678</v>
      </c>
      <c r="L53" s="21"/>
      <c r="M53" s="20" t="s">
        <v>675</v>
      </c>
      <c r="N53" s="20" t="s">
        <v>136</v>
      </c>
      <c r="O53" s="20" t="s">
        <v>24</v>
      </c>
      <c r="P53" s="20" t="s">
        <v>679</v>
      </c>
      <c r="Q53" s="20" t="s">
        <v>680</v>
      </c>
      <c r="R53" s="22" t="s">
        <v>681</v>
      </c>
      <c r="S53" s="20"/>
      <c r="T53" s="20" t="s">
        <v>682</v>
      </c>
      <c r="U53" s="20" t="s">
        <v>683</v>
      </c>
      <c r="V53" s="20" t="s">
        <v>130</v>
      </c>
      <c r="W53" s="20" t="s">
        <v>130</v>
      </c>
      <c r="X53" s="20" t="s">
        <v>684</v>
      </c>
      <c r="Y53" s="20" t="s">
        <v>130</v>
      </c>
    </row>
    <row r="54" spans="1:25" ht="60" x14ac:dyDescent="0.25">
      <c r="A54" s="20" t="s">
        <v>685</v>
      </c>
      <c r="B54" s="20" t="s">
        <v>40</v>
      </c>
      <c r="C54" s="20" t="s">
        <v>686</v>
      </c>
      <c r="D54" s="20" t="s">
        <v>687</v>
      </c>
      <c r="E54" s="20" t="s">
        <v>688</v>
      </c>
      <c r="F54" s="20" t="s">
        <v>136</v>
      </c>
      <c r="G54" s="20" t="s">
        <v>689</v>
      </c>
      <c r="H54" s="21"/>
      <c r="I54" s="21"/>
      <c r="J54" s="21">
        <v>1200</v>
      </c>
      <c r="K54" s="20" t="s">
        <v>690</v>
      </c>
      <c r="L54" s="21">
        <v>60000</v>
      </c>
      <c r="M54" s="20" t="s">
        <v>691</v>
      </c>
      <c r="N54" s="20" t="s">
        <v>692</v>
      </c>
      <c r="O54" s="20" t="s">
        <v>28</v>
      </c>
      <c r="P54" s="20" t="s">
        <v>693</v>
      </c>
      <c r="Q54" s="20" t="s">
        <v>694</v>
      </c>
      <c r="R54" s="22" t="s">
        <v>695</v>
      </c>
      <c r="S54" s="20"/>
      <c r="T54" s="20" t="s">
        <v>696</v>
      </c>
      <c r="U54" s="20" t="s">
        <v>697</v>
      </c>
      <c r="V54" s="20" t="s">
        <v>130</v>
      </c>
      <c r="W54" s="20" t="s">
        <v>131</v>
      </c>
      <c r="X54" s="20" t="s">
        <v>698</v>
      </c>
      <c r="Y54" s="20" t="s">
        <v>130</v>
      </c>
    </row>
    <row r="55" spans="1:25" ht="36" x14ac:dyDescent="0.25">
      <c r="A55" s="20" t="s">
        <v>699</v>
      </c>
      <c r="B55" s="20" t="s">
        <v>40</v>
      </c>
      <c r="C55" s="20" t="s">
        <v>686</v>
      </c>
      <c r="D55" s="20" t="s">
        <v>700</v>
      </c>
      <c r="E55" s="20" t="s">
        <v>701</v>
      </c>
      <c r="F55" s="20" t="s">
        <v>702</v>
      </c>
      <c r="G55" s="20" t="s">
        <v>703</v>
      </c>
      <c r="H55" s="21"/>
      <c r="I55" s="21">
        <v>100</v>
      </c>
      <c r="J55" s="21">
        <v>1000</v>
      </c>
      <c r="K55" s="20"/>
      <c r="L55" s="21">
        <v>70000</v>
      </c>
      <c r="M55" s="20" t="s">
        <v>704</v>
      </c>
      <c r="N55" s="20" t="s">
        <v>136</v>
      </c>
      <c r="O55" s="20" t="s">
        <v>28</v>
      </c>
      <c r="P55" s="20" t="s">
        <v>705</v>
      </c>
      <c r="Q55" s="20" t="s">
        <v>706</v>
      </c>
      <c r="R55" s="22" t="s">
        <v>707</v>
      </c>
      <c r="S55" s="22" t="s">
        <v>708</v>
      </c>
      <c r="T55" s="20" t="s">
        <v>709</v>
      </c>
      <c r="U55" s="20" t="s">
        <v>710</v>
      </c>
      <c r="V55" s="20" t="s">
        <v>130</v>
      </c>
      <c r="W55" s="20" t="s">
        <v>131</v>
      </c>
      <c r="X55" s="20" t="s">
        <v>711</v>
      </c>
      <c r="Y55" s="20" t="s">
        <v>130</v>
      </c>
    </row>
    <row r="56" spans="1:25" ht="36" x14ac:dyDescent="0.25">
      <c r="A56" s="20" t="s">
        <v>712</v>
      </c>
      <c r="B56" s="20" t="s">
        <v>40</v>
      </c>
      <c r="C56" s="20" t="s">
        <v>686</v>
      </c>
      <c r="D56" s="20" t="s">
        <v>686</v>
      </c>
      <c r="E56" s="20" t="s">
        <v>299</v>
      </c>
      <c r="F56" s="20" t="s">
        <v>136</v>
      </c>
      <c r="G56" s="20" t="s">
        <v>713</v>
      </c>
      <c r="H56" s="21"/>
      <c r="I56" s="21"/>
      <c r="J56" s="21">
        <v>400</v>
      </c>
      <c r="K56" s="20"/>
      <c r="L56" s="21"/>
      <c r="M56" s="20" t="s">
        <v>714</v>
      </c>
      <c r="N56" s="20" t="s">
        <v>136</v>
      </c>
      <c r="O56" s="20" t="s">
        <v>24</v>
      </c>
      <c r="P56" s="20" t="s">
        <v>162</v>
      </c>
      <c r="Q56" s="20" t="s">
        <v>715</v>
      </c>
      <c r="R56" s="22" t="s">
        <v>716</v>
      </c>
      <c r="S56" s="20"/>
      <c r="T56" s="20" t="s">
        <v>574</v>
      </c>
      <c r="U56" s="20" t="s">
        <v>717</v>
      </c>
      <c r="V56" s="20" t="s">
        <v>130</v>
      </c>
      <c r="W56" s="20" t="s">
        <v>131</v>
      </c>
      <c r="X56" s="20"/>
      <c r="Y56" s="20" t="s">
        <v>130</v>
      </c>
    </row>
    <row r="57" spans="1:25" ht="36" x14ac:dyDescent="0.25">
      <c r="A57" s="20" t="s">
        <v>718</v>
      </c>
      <c r="B57" s="20" t="s">
        <v>40</v>
      </c>
      <c r="C57" s="20" t="s">
        <v>686</v>
      </c>
      <c r="D57" s="20" t="s">
        <v>686</v>
      </c>
      <c r="E57" s="20" t="s">
        <v>719</v>
      </c>
      <c r="F57" s="20" t="s">
        <v>136</v>
      </c>
      <c r="G57" s="20" t="s">
        <v>720</v>
      </c>
      <c r="H57" s="21"/>
      <c r="I57" s="21"/>
      <c r="J57" s="21">
        <v>400</v>
      </c>
      <c r="K57" s="20"/>
      <c r="L57" s="21"/>
      <c r="M57" s="20" t="s">
        <v>714</v>
      </c>
      <c r="N57" s="20" t="s">
        <v>136</v>
      </c>
      <c r="O57" s="20" t="s">
        <v>24</v>
      </c>
      <c r="P57" s="20" t="s">
        <v>162</v>
      </c>
      <c r="Q57" s="20" t="s">
        <v>715</v>
      </c>
      <c r="R57" s="22" t="s">
        <v>716</v>
      </c>
      <c r="S57" s="20"/>
      <c r="T57" s="20" t="s">
        <v>574</v>
      </c>
      <c r="U57" s="20" t="s">
        <v>717</v>
      </c>
      <c r="V57" s="20" t="s">
        <v>130</v>
      </c>
      <c r="W57" s="20" t="s">
        <v>131</v>
      </c>
      <c r="X57" s="20"/>
      <c r="Y57" s="20" t="s">
        <v>130</v>
      </c>
    </row>
    <row r="58" spans="1:25" ht="60" x14ac:dyDescent="0.25">
      <c r="A58" s="20" t="s">
        <v>721</v>
      </c>
      <c r="B58" s="20" t="s">
        <v>40</v>
      </c>
      <c r="C58" s="20" t="s">
        <v>686</v>
      </c>
      <c r="D58" s="20" t="s">
        <v>686</v>
      </c>
      <c r="E58" s="20" t="s">
        <v>135</v>
      </c>
      <c r="F58" s="20" t="s">
        <v>136</v>
      </c>
      <c r="G58" s="20" t="s">
        <v>722</v>
      </c>
      <c r="H58" s="21">
        <v>19.2</v>
      </c>
      <c r="I58" s="21"/>
      <c r="J58" s="21">
        <v>406</v>
      </c>
      <c r="K58" s="20"/>
      <c r="L58" s="21"/>
      <c r="M58" s="20" t="s">
        <v>723</v>
      </c>
      <c r="N58" s="20" t="s">
        <v>136</v>
      </c>
      <c r="O58" s="20" t="s">
        <v>26</v>
      </c>
      <c r="P58" s="20" t="s">
        <v>139</v>
      </c>
      <c r="Q58" s="20" t="s">
        <v>590</v>
      </c>
      <c r="R58" s="22" t="s">
        <v>141</v>
      </c>
      <c r="S58" s="20"/>
      <c r="T58" s="20" t="s">
        <v>142</v>
      </c>
      <c r="U58" s="20" t="s">
        <v>724</v>
      </c>
      <c r="V58" s="20" t="s">
        <v>131</v>
      </c>
      <c r="W58" s="20" t="s">
        <v>131</v>
      </c>
      <c r="X58" s="20"/>
      <c r="Y58" s="20" t="s">
        <v>130</v>
      </c>
    </row>
    <row r="59" spans="1:25" ht="36" x14ac:dyDescent="0.25">
      <c r="A59" s="20" t="s">
        <v>725</v>
      </c>
      <c r="B59" s="20" t="s">
        <v>40</v>
      </c>
      <c r="C59" s="20" t="s">
        <v>686</v>
      </c>
      <c r="D59" s="20" t="s">
        <v>686</v>
      </c>
      <c r="E59" s="20" t="s">
        <v>726</v>
      </c>
      <c r="F59" s="20" t="s">
        <v>136</v>
      </c>
      <c r="G59" s="20" t="s">
        <v>727</v>
      </c>
      <c r="H59" s="21"/>
      <c r="I59" s="21"/>
      <c r="J59" s="21"/>
      <c r="K59" s="20"/>
      <c r="L59" s="21"/>
      <c r="M59" s="20" t="s">
        <v>138</v>
      </c>
      <c r="N59" s="20" t="s">
        <v>728</v>
      </c>
      <c r="O59" s="20" t="s">
        <v>28</v>
      </c>
      <c r="P59" s="20" t="s">
        <v>693</v>
      </c>
      <c r="Q59" s="20" t="s">
        <v>729</v>
      </c>
      <c r="R59" s="22" t="s">
        <v>730</v>
      </c>
      <c r="S59" s="22" t="s">
        <v>731</v>
      </c>
      <c r="T59" s="20" t="s">
        <v>239</v>
      </c>
      <c r="U59" s="20" t="s">
        <v>732</v>
      </c>
      <c r="V59" s="20" t="s">
        <v>130</v>
      </c>
      <c r="W59" s="20" t="s">
        <v>130</v>
      </c>
      <c r="X59" s="20" t="s">
        <v>405</v>
      </c>
      <c r="Y59" s="20" t="s">
        <v>130</v>
      </c>
    </row>
    <row r="60" spans="1:25" ht="132" x14ac:dyDescent="0.25">
      <c r="A60" s="20" t="s">
        <v>733</v>
      </c>
      <c r="B60" s="20" t="s">
        <v>41</v>
      </c>
      <c r="C60" s="20" t="s">
        <v>734</v>
      </c>
      <c r="D60" s="20" t="s">
        <v>735</v>
      </c>
      <c r="E60" s="20" t="s">
        <v>736</v>
      </c>
      <c r="F60" s="20" t="s">
        <v>136</v>
      </c>
      <c r="G60" s="20" t="s">
        <v>737</v>
      </c>
      <c r="H60" s="21"/>
      <c r="I60" s="21">
        <v>34</v>
      </c>
      <c r="J60" s="21">
        <v>34</v>
      </c>
      <c r="K60" s="20" t="s">
        <v>738</v>
      </c>
      <c r="L60" s="21">
        <v>1940</v>
      </c>
      <c r="M60" s="20" t="s">
        <v>138</v>
      </c>
      <c r="N60" s="20" t="s">
        <v>739</v>
      </c>
      <c r="O60" s="20" t="s">
        <v>28</v>
      </c>
      <c r="P60" s="20" t="s">
        <v>124</v>
      </c>
      <c r="Q60" s="20" t="s">
        <v>740</v>
      </c>
      <c r="R60" s="22" t="s">
        <v>741</v>
      </c>
      <c r="S60" s="20"/>
      <c r="T60" s="20" t="s">
        <v>742</v>
      </c>
      <c r="U60" s="20" t="s">
        <v>743</v>
      </c>
      <c r="V60" s="20" t="s">
        <v>130</v>
      </c>
      <c r="W60" s="20" t="s">
        <v>131</v>
      </c>
      <c r="X60" s="20"/>
      <c r="Y60" s="20" t="s">
        <v>130</v>
      </c>
    </row>
    <row r="61" spans="1:25" ht="60" x14ac:dyDescent="0.25">
      <c r="A61" s="20" t="s">
        <v>744</v>
      </c>
      <c r="B61" s="20" t="s">
        <v>41</v>
      </c>
      <c r="C61" s="20" t="s">
        <v>734</v>
      </c>
      <c r="D61" s="20" t="s">
        <v>734</v>
      </c>
      <c r="E61" s="20" t="s">
        <v>135</v>
      </c>
      <c r="F61" s="20" t="s">
        <v>136</v>
      </c>
      <c r="G61" s="20" t="s">
        <v>745</v>
      </c>
      <c r="H61" s="21">
        <v>17</v>
      </c>
      <c r="I61" s="21"/>
      <c r="J61" s="21">
        <v>33</v>
      </c>
      <c r="K61" s="20"/>
      <c r="L61" s="21"/>
      <c r="M61" s="20" t="s">
        <v>746</v>
      </c>
      <c r="N61" s="20" t="s">
        <v>136</v>
      </c>
      <c r="O61" s="20" t="s">
        <v>26</v>
      </c>
      <c r="P61" s="20" t="s">
        <v>139</v>
      </c>
      <c r="Q61" s="20" t="s">
        <v>590</v>
      </c>
      <c r="R61" s="22" t="s">
        <v>141</v>
      </c>
      <c r="S61" s="20"/>
      <c r="T61" s="20" t="s">
        <v>142</v>
      </c>
      <c r="U61" s="20" t="s">
        <v>747</v>
      </c>
      <c r="V61" s="20" t="s">
        <v>131</v>
      </c>
      <c r="W61" s="20" t="s">
        <v>131</v>
      </c>
      <c r="X61" s="20"/>
      <c r="Y61" s="20" t="s">
        <v>130</v>
      </c>
    </row>
    <row r="62" spans="1:25" ht="24" x14ac:dyDescent="0.25">
      <c r="A62" s="20" t="s">
        <v>748</v>
      </c>
      <c r="B62" s="20" t="s">
        <v>41</v>
      </c>
      <c r="C62" s="20" t="s">
        <v>734</v>
      </c>
      <c r="D62" s="20" t="s">
        <v>749</v>
      </c>
      <c r="E62" s="20" t="s">
        <v>278</v>
      </c>
      <c r="F62" s="20" t="s">
        <v>136</v>
      </c>
      <c r="G62" s="20" t="s">
        <v>750</v>
      </c>
      <c r="H62" s="21">
        <v>25.9</v>
      </c>
      <c r="I62" s="21"/>
      <c r="J62" s="21">
        <v>130</v>
      </c>
      <c r="K62" s="20"/>
      <c r="L62" s="21"/>
      <c r="M62" s="20" t="s">
        <v>751</v>
      </c>
      <c r="N62" s="20" t="s">
        <v>752</v>
      </c>
      <c r="O62" s="20" t="s">
        <v>28</v>
      </c>
      <c r="P62" s="20" t="s">
        <v>246</v>
      </c>
      <c r="Q62" s="20" t="s">
        <v>753</v>
      </c>
      <c r="R62" s="22" t="s">
        <v>754</v>
      </c>
      <c r="S62" s="20"/>
      <c r="T62" s="20" t="s">
        <v>285</v>
      </c>
      <c r="U62" s="20" t="s">
        <v>755</v>
      </c>
      <c r="V62" s="20" t="s">
        <v>130</v>
      </c>
      <c r="W62" s="20" t="s">
        <v>131</v>
      </c>
      <c r="X62" s="20"/>
      <c r="Y62" s="20" t="s">
        <v>130</v>
      </c>
    </row>
    <row r="63" spans="1:25" ht="24" x14ac:dyDescent="0.25">
      <c r="A63" s="20" t="s">
        <v>756</v>
      </c>
      <c r="B63" s="20" t="s">
        <v>41</v>
      </c>
      <c r="C63" s="20" t="s">
        <v>734</v>
      </c>
      <c r="D63" s="20" t="s">
        <v>749</v>
      </c>
      <c r="E63" s="20" t="s">
        <v>210</v>
      </c>
      <c r="F63" s="20" t="s">
        <v>136</v>
      </c>
      <c r="G63" s="20" t="s">
        <v>757</v>
      </c>
      <c r="H63" s="21">
        <v>7.2</v>
      </c>
      <c r="I63" s="21"/>
      <c r="J63" s="21">
        <v>45</v>
      </c>
      <c r="K63" s="20"/>
      <c r="L63" s="21"/>
      <c r="M63" s="20" t="s">
        <v>758</v>
      </c>
      <c r="N63" s="20" t="s">
        <v>136</v>
      </c>
      <c r="O63" s="20" t="s">
        <v>30</v>
      </c>
      <c r="P63" s="20" t="s">
        <v>759</v>
      </c>
      <c r="Q63" s="20" t="s">
        <v>760</v>
      </c>
      <c r="R63" s="22" t="s">
        <v>761</v>
      </c>
      <c r="S63" s="20"/>
      <c r="T63" s="20" t="s">
        <v>762</v>
      </c>
      <c r="U63" s="20" t="s">
        <v>763</v>
      </c>
      <c r="V63" s="20" t="s">
        <v>130</v>
      </c>
      <c r="W63" s="20" t="s">
        <v>131</v>
      </c>
      <c r="X63" s="20" t="s">
        <v>764</v>
      </c>
      <c r="Y63" s="20" t="s">
        <v>130</v>
      </c>
    </row>
    <row r="64" spans="1:25" ht="48" x14ac:dyDescent="0.25">
      <c r="A64" s="20" t="s">
        <v>765</v>
      </c>
      <c r="B64" s="20" t="s">
        <v>41</v>
      </c>
      <c r="C64" s="20" t="s">
        <v>734</v>
      </c>
      <c r="D64" s="20" t="s">
        <v>735</v>
      </c>
      <c r="E64" s="20" t="s">
        <v>766</v>
      </c>
      <c r="F64" s="20" t="s">
        <v>136</v>
      </c>
      <c r="G64" s="20" t="s">
        <v>767</v>
      </c>
      <c r="H64" s="21"/>
      <c r="I64" s="21"/>
      <c r="J64" s="21">
        <v>100</v>
      </c>
      <c r="K64" s="20"/>
      <c r="L64" s="21"/>
      <c r="M64" s="20" t="s">
        <v>768</v>
      </c>
      <c r="N64" s="20" t="s">
        <v>136</v>
      </c>
      <c r="O64" s="20" t="s">
        <v>30</v>
      </c>
      <c r="P64" s="20" t="s">
        <v>202</v>
      </c>
      <c r="Q64" s="20" t="s">
        <v>769</v>
      </c>
      <c r="R64" s="22" t="s">
        <v>770</v>
      </c>
      <c r="S64" s="20"/>
      <c r="T64" s="20" t="s">
        <v>239</v>
      </c>
      <c r="U64" s="20" t="s">
        <v>771</v>
      </c>
      <c r="V64" s="20" t="s">
        <v>130</v>
      </c>
      <c r="W64" s="20" t="s">
        <v>131</v>
      </c>
      <c r="X64" s="20"/>
      <c r="Y64" s="20" t="s">
        <v>130</v>
      </c>
    </row>
    <row r="65" spans="1:25" ht="60" x14ac:dyDescent="0.25">
      <c r="A65" s="20" t="s">
        <v>772</v>
      </c>
      <c r="B65" s="20" t="s">
        <v>42</v>
      </c>
      <c r="C65" s="20" t="s">
        <v>773</v>
      </c>
      <c r="D65" s="20" t="s">
        <v>774</v>
      </c>
      <c r="E65" s="20" t="s">
        <v>135</v>
      </c>
      <c r="F65" s="20" t="s">
        <v>136</v>
      </c>
      <c r="G65" s="20" t="s">
        <v>775</v>
      </c>
      <c r="H65" s="21">
        <v>10</v>
      </c>
      <c r="I65" s="21">
        <v>40</v>
      </c>
      <c r="J65" s="21">
        <v>50</v>
      </c>
      <c r="K65" s="20"/>
      <c r="L65" s="21"/>
      <c r="M65" s="20" t="s">
        <v>776</v>
      </c>
      <c r="N65" s="20" t="s">
        <v>136</v>
      </c>
      <c r="O65" s="20" t="s">
        <v>26</v>
      </c>
      <c r="P65" s="20" t="s">
        <v>139</v>
      </c>
      <c r="Q65" s="20" t="s">
        <v>590</v>
      </c>
      <c r="R65" s="22" t="s">
        <v>141</v>
      </c>
      <c r="S65" s="20"/>
      <c r="T65" s="20" t="s">
        <v>142</v>
      </c>
      <c r="U65" s="20" t="s">
        <v>777</v>
      </c>
      <c r="V65" s="20" t="s">
        <v>131</v>
      </c>
      <c r="W65" s="20" t="s">
        <v>131</v>
      </c>
      <c r="X65" s="20"/>
      <c r="Y65" s="20" t="s">
        <v>130</v>
      </c>
    </row>
    <row r="66" spans="1:25" ht="36" x14ac:dyDescent="0.25">
      <c r="A66" s="20" t="s">
        <v>778</v>
      </c>
      <c r="B66" s="20" t="s">
        <v>42</v>
      </c>
      <c r="C66" s="20" t="s">
        <v>773</v>
      </c>
      <c r="D66" s="20" t="s">
        <v>779</v>
      </c>
      <c r="E66" s="20" t="s">
        <v>780</v>
      </c>
      <c r="F66" s="20" t="s">
        <v>136</v>
      </c>
      <c r="G66" s="20" t="s">
        <v>781</v>
      </c>
      <c r="H66" s="21"/>
      <c r="I66" s="21"/>
      <c r="J66" s="21">
        <v>250</v>
      </c>
      <c r="K66" s="20"/>
      <c r="L66" s="21"/>
      <c r="M66" s="20" t="s">
        <v>782</v>
      </c>
      <c r="N66" s="20" t="s">
        <v>136</v>
      </c>
      <c r="O66" s="20" t="s">
        <v>24</v>
      </c>
      <c r="P66" s="20" t="s">
        <v>783</v>
      </c>
      <c r="Q66" s="20" t="s">
        <v>784</v>
      </c>
      <c r="R66" s="22" t="s">
        <v>785</v>
      </c>
      <c r="S66" s="22" t="s">
        <v>786</v>
      </c>
      <c r="T66" s="20" t="s">
        <v>787</v>
      </c>
      <c r="U66" s="20" t="s">
        <v>788</v>
      </c>
      <c r="V66" s="20" t="s">
        <v>130</v>
      </c>
      <c r="W66" s="20" t="s">
        <v>131</v>
      </c>
      <c r="X66" s="20"/>
      <c r="Y66" s="20" t="s">
        <v>130</v>
      </c>
    </row>
    <row r="67" spans="1:25" ht="36" x14ac:dyDescent="0.25">
      <c r="A67" s="20" t="s">
        <v>789</v>
      </c>
      <c r="B67" s="20" t="s">
        <v>42</v>
      </c>
      <c r="C67" s="20" t="s">
        <v>773</v>
      </c>
      <c r="D67" s="20" t="s">
        <v>790</v>
      </c>
      <c r="E67" s="20" t="s">
        <v>791</v>
      </c>
      <c r="F67" s="20" t="s">
        <v>136</v>
      </c>
      <c r="G67" s="20" t="s">
        <v>792</v>
      </c>
      <c r="H67" s="21"/>
      <c r="I67" s="21"/>
      <c r="J67" s="21">
        <v>120</v>
      </c>
      <c r="K67" s="20"/>
      <c r="L67" s="21"/>
      <c r="M67" s="20" t="s">
        <v>793</v>
      </c>
      <c r="N67" s="20" t="s">
        <v>136</v>
      </c>
      <c r="O67" s="20" t="s">
        <v>24</v>
      </c>
      <c r="P67" s="20" t="s">
        <v>783</v>
      </c>
      <c r="Q67" s="20" t="s">
        <v>784</v>
      </c>
      <c r="R67" s="22" t="s">
        <v>785</v>
      </c>
      <c r="S67" s="20"/>
      <c r="T67" s="20" t="s">
        <v>787</v>
      </c>
      <c r="U67" s="20" t="s">
        <v>794</v>
      </c>
      <c r="V67" s="20" t="s">
        <v>130</v>
      </c>
      <c r="W67" s="20" t="s">
        <v>131</v>
      </c>
      <c r="X67" s="20"/>
      <c r="Y67" s="20" t="s">
        <v>130</v>
      </c>
    </row>
    <row r="68" spans="1:25" ht="48" x14ac:dyDescent="0.25">
      <c r="A68" s="20" t="s">
        <v>795</v>
      </c>
      <c r="B68" s="20" t="s">
        <v>42</v>
      </c>
      <c r="C68" s="20" t="s">
        <v>773</v>
      </c>
      <c r="D68" s="20" t="s">
        <v>774</v>
      </c>
      <c r="E68" s="20" t="s">
        <v>231</v>
      </c>
      <c r="F68" s="20" t="s">
        <v>136</v>
      </c>
      <c r="G68" s="20" t="s">
        <v>796</v>
      </c>
      <c r="H68" s="21"/>
      <c r="I68" s="21"/>
      <c r="J68" s="21">
        <v>52.8</v>
      </c>
      <c r="K68" s="20"/>
      <c r="L68" s="21"/>
      <c r="M68" s="20" t="s">
        <v>797</v>
      </c>
      <c r="N68" s="20" t="s">
        <v>136</v>
      </c>
      <c r="O68" s="20" t="s">
        <v>28</v>
      </c>
      <c r="P68" s="20" t="s">
        <v>246</v>
      </c>
      <c r="Q68" s="20" t="s">
        <v>798</v>
      </c>
      <c r="R68" s="22" t="s">
        <v>799</v>
      </c>
      <c r="S68" s="20"/>
      <c r="T68" s="20" t="s">
        <v>153</v>
      </c>
      <c r="U68" s="20" t="s">
        <v>800</v>
      </c>
      <c r="V68" s="20" t="s">
        <v>130</v>
      </c>
      <c r="W68" s="20" t="s">
        <v>131</v>
      </c>
      <c r="X68" s="20"/>
      <c r="Y68" s="20" t="s">
        <v>130</v>
      </c>
    </row>
    <row r="69" spans="1:25" ht="60" x14ac:dyDescent="0.25">
      <c r="A69" s="20" t="s">
        <v>801</v>
      </c>
      <c r="B69" s="20" t="s">
        <v>43</v>
      </c>
      <c r="C69" s="20" t="s">
        <v>802</v>
      </c>
      <c r="D69" s="20" t="s">
        <v>802</v>
      </c>
      <c r="E69" s="20" t="s">
        <v>638</v>
      </c>
      <c r="F69" s="20" t="s">
        <v>803</v>
      </c>
      <c r="G69" s="20" t="s">
        <v>804</v>
      </c>
      <c r="H69" s="21"/>
      <c r="I69" s="21">
        <v>168</v>
      </c>
      <c r="J69" s="21">
        <v>168</v>
      </c>
      <c r="K69" s="20" t="s">
        <v>805</v>
      </c>
      <c r="L69" s="21"/>
      <c r="M69" s="20" t="s">
        <v>336</v>
      </c>
      <c r="N69" s="20" t="s">
        <v>806</v>
      </c>
      <c r="O69" s="20" t="s">
        <v>28</v>
      </c>
      <c r="P69" s="20" t="s">
        <v>693</v>
      </c>
      <c r="Q69" s="20" t="s">
        <v>807</v>
      </c>
      <c r="R69" s="22" t="s">
        <v>808</v>
      </c>
      <c r="S69" s="20"/>
      <c r="T69" s="20" t="s">
        <v>682</v>
      </c>
      <c r="U69" s="20" t="s">
        <v>809</v>
      </c>
      <c r="V69" s="20" t="s">
        <v>130</v>
      </c>
      <c r="W69" s="20" t="s">
        <v>131</v>
      </c>
      <c r="X69" s="20" t="s">
        <v>810</v>
      </c>
      <c r="Y69" s="20" t="s">
        <v>130</v>
      </c>
    </row>
    <row r="70" spans="1:25" ht="48" x14ac:dyDescent="0.25">
      <c r="A70" s="20" t="s">
        <v>811</v>
      </c>
      <c r="B70" s="20" t="s">
        <v>44</v>
      </c>
      <c r="C70" s="20" t="s">
        <v>812</v>
      </c>
      <c r="D70" s="20" t="s">
        <v>813</v>
      </c>
      <c r="E70" s="20" t="s">
        <v>814</v>
      </c>
      <c r="F70" s="20" t="s">
        <v>136</v>
      </c>
      <c r="G70" s="20" t="s">
        <v>815</v>
      </c>
      <c r="H70" s="21"/>
      <c r="I70" s="21"/>
      <c r="J70" s="21">
        <v>1000</v>
      </c>
      <c r="K70" s="20"/>
      <c r="L70" s="21">
        <v>104000</v>
      </c>
      <c r="M70" s="20" t="s">
        <v>816</v>
      </c>
      <c r="N70" s="20" t="s">
        <v>136</v>
      </c>
      <c r="O70" s="20" t="s">
        <v>24</v>
      </c>
      <c r="P70" s="20" t="s">
        <v>817</v>
      </c>
      <c r="Q70" s="20" t="s">
        <v>818</v>
      </c>
      <c r="R70" s="22" t="s">
        <v>819</v>
      </c>
      <c r="S70" s="22" t="s">
        <v>820</v>
      </c>
      <c r="T70" s="20" t="s">
        <v>611</v>
      </c>
      <c r="U70" s="20" t="s">
        <v>821</v>
      </c>
      <c r="V70" s="20" t="s">
        <v>130</v>
      </c>
      <c r="W70" s="20" t="s">
        <v>131</v>
      </c>
      <c r="X70" s="20"/>
      <c r="Y70" s="20" t="s">
        <v>130</v>
      </c>
    </row>
    <row r="71" spans="1:25" ht="36" x14ac:dyDescent="0.25">
      <c r="A71" s="20" t="s">
        <v>822</v>
      </c>
      <c r="B71" s="20" t="s">
        <v>44</v>
      </c>
      <c r="C71" s="20" t="s">
        <v>823</v>
      </c>
      <c r="D71" s="20" t="s">
        <v>824</v>
      </c>
      <c r="E71" s="20" t="s">
        <v>825</v>
      </c>
      <c r="F71" s="20" t="s">
        <v>136</v>
      </c>
      <c r="G71" s="20" t="s">
        <v>826</v>
      </c>
      <c r="H71" s="21"/>
      <c r="I71" s="21"/>
      <c r="J71" s="21"/>
      <c r="K71" s="20"/>
      <c r="L71" s="21">
        <v>14257</v>
      </c>
      <c r="M71" s="20" t="s">
        <v>827</v>
      </c>
      <c r="N71" s="20" t="s">
        <v>752</v>
      </c>
      <c r="O71" s="20" t="s">
        <v>24</v>
      </c>
      <c r="P71" s="20" t="s">
        <v>817</v>
      </c>
      <c r="Q71" s="20" t="s">
        <v>828</v>
      </c>
      <c r="R71" s="22" t="s">
        <v>829</v>
      </c>
      <c r="S71" s="20"/>
      <c r="T71" s="20" t="s">
        <v>239</v>
      </c>
      <c r="U71" s="20" t="s">
        <v>830</v>
      </c>
      <c r="V71" s="20" t="s">
        <v>130</v>
      </c>
      <c r="W71" s="20" t="s">
        <v>130</v>
      </c>
      <c r="X71" s="20"/>
      <c r="Y71" s="20" t="s">
        <v>130</v>
      </c>
    </row>
    <row r="72" spans="1:25" ht="36" x14ac:dyDescent="0.25">
      <c r="A72" s="20" t="s">
        <v>831</v>
      </c>
      <c r="B72" s="20" t="s">
        <v>45</v>
      </c>
      <c r="C72" s="20" t="s">
        <v>832</v>
      </c>
      <c r="D72" s="20" t="s">
        <v>833</v>
      </c>
      <c r="E72" s="20" t="s">
        <v>834</v>
      </c>
      <c r="F72" s="20" t="s">
        <v>136</v>
      </c>
      <c r="G72" s="20" t="s">
        <v>835</v>
      </c>
      <c r="H72" s="21"/>
      <c r="I72" s="21"/>
      <c r="J72" s="21">
        <v>250</v>
      </c>
      <c r="K72" s="20"/>
      <c r="L72" s="21"/>
      <c r="M72" s="20" t="s">
        <v>836</v>
      </c>
      <c r="N72" s="20" t="s">
        <v>136</v>
      </c>
      <c r="O72" s="20" t="s">
        <v>30</v>
      </c>
      <c r="P72" s="20" t="s">
        <v>202</v>
      </c>
      <c r="Q72" s="20" t="s">
        <v>837</v>
      </c>
      <c r="R72" s="22" t="s">
        <v>838</v>
      </c>
      <c r="S72" s="20"/>
      <c r="T72" s="20" t="s">
        <v>839</v>
      </c>
      <c r="U72" s="20" t="s">
        <v>840</v>
      </c>
      <c r="V72" s="20" t="s">
        <v>130</v>
      </c>
      <c r="W72" s="20" t="s">
        <v>131</v>
      </c>
      <c r="X72" s="20" t="s">
        <v>841</v>
      </c>
      <c r="Y72" s="20" t="s">
        <v>130</v>
      </c>
    </row>
    <row r="73" spans="1:25" ht="60" x14ac:dyDescent="0.25">
      <c r="A73" s="20" t="s">
        <v>842</v>
      </c>
      <c r="B73" s="20" t="s">
        <v>45</v>
      </c>
      <c r="C73" s="20" t="s">
        <v>832</v>
      </c>
      <c r="D73" s="20" t="s">
        <v>843</v>
      </c>
      <c r="E73" s="20" t="s">
        <v>231</v>
      </c>
      <c r="F73" s="20" t="s">
        <v>136</v>
      </c>
      <c r="G73" s="20" t="s">
        <v>844</v>
      </c>
      <c r="H73" s="21"/>
      <c r="I73" s="21"/>
      <c r="J73" s="21">
        <v>40</v>
      </c>
      <c r="K73" s="20"/>
      <c r="L73" s="21"/>
      <c r="M73" s="20" t="s">
        <v>845</v>
      </c>
      <c r="N73" s="20" t="s">
        <v>136</v>
      </c>
      <c r="O73" s="20" t="s">
        <v>28</v>
      </c>
      <c r="P73" s="20" t="s">
        <v>246</v>
      </c>
      <c r="Q73" s="20" t="s">
        <v>846</v>
      </c>
      <c r="R73" s="22" t="s">
        <v>847</v>
      </c>
      <c r="S73" s="20"/>
      <c r="T73" s="20" t="s">
        <v>153</v>
      </c>
      <c r="U73" s="20" t="s">
        <v>848</v>
      </c>
      <c r="V73" s="20" t="s">
        <v>130</v>
      </c>
      <c r="W73" s="20" t="s">
        <v>131</v>
      </c>
      <c r="X73" s="20"/>
      <c r="Y73" s="20" t="s">
        <v>130</v>
      </c>
    </row>
    <row r="74" spans="1:25" ht="48" x14ac:dyDescent="0.25">
      <c r="A74" s="20" t="s">
        <v>849</v>
      </c>
      <c r="B74" s="20" t="s">
        <v>46</v>
      </c>
      <c r="C74" s="20" t="s">
        <v>850</v>
      </c>
      <c r="D74" s="20" t="s">
        <v>851</v>
      </c>
      <c r="E74" s="20" t="s">
        <v>852</v>
      </c>
      <c r="F74" s="20" t="s">
        <v>853</v>
      </c>
      <c r="G74" s="20" t="s">
        <v>854</v>
      </c>
      <c r="H74" s="21">
        <v>28</v>
      </c>
      <c r="I74" s="21">
        <v>35</v>
      </c>
      <c r="J74" s="21">
        <v>307</v>
      </c>
      <c r="K74" s="20"/>
      <c r="L74" s="21"/>
      <c r="M74" s="20" t="s">
        <v>855</v>
      </c>
      <c r="N74" s="20" t="s">
        <v>856</v>
      </c>
      <c r="O74" s="20" t="s">
        <v>26</v>
      </c>
      <c r="P74" s="20" t="s">
        <v>857</v>
      </c>
      <c r="Q74" s="20" t="s">
        <v>858</v>
      </c>
      <c r="R74" s="22" t="s">
        <v>859</v>
      </c>
      <c r="S74" s="22" t="s">
        <v>860</v>
      </c>
      <c r="T74" s="20" t="s">
        <v>239</v>
      </c>
      <c r="U74" s="20" t="s">
        <v>861</v>
      </c>
      <c r="V74" s="20" t="s">
        <v>130</v>
      </c>
      <c r="W74" s="20" t="s">
        <v>131</v>
      </c>
      <c r="X74" s="20" t="s">
        <v>862</v>
      </c>
      <c r="Y74" s="20" t="s">
        <v>130</v>
      </c>
    </row>
    <row r="75" spans="1:25" ht="36" x14ac:dyDescent="0.25">
      <c r="A75" s="20" t="s">
        <v>863</v>
      </c>
      <c r="B75" s="20" t="s">
        <v>47</v>
      </c>
      <c r="C75" s="20" t="s">
        <v>864</v>
      </c>
      <c r="D75" s="20" t="s">
        <v>865</v>
      </c>
      <c r="E75" s="20" t="s">
        <v>866</v>
      </c>
      <c r="F75" s="20" t="s">
        <v>136</v>
      </c>
      <c r="G75" s="20" t="s">
        <v>867</v>
      </c>
      <c r="H75" s="21"/>
      <c r="I75" s="21"/>
      <c r="J75" s="21">
        <v>500</v>
      </c>
      <c r="K75" s="20"/>
      <c r="L75" s="21"/>
      <c r="M75" s="20" t="s">
        <v>868</v>
      </c>
      <c r="N75" s="20" t="s">
        <v>136</v>
      </c>
      <c r="O75" s="20" t="s">
        <v>24</v>
      </c>
      <c r="P75" s="20" t="s">
        <v>869</v>
      </c>
      <c r="Q75" s="20" t="s">
        <v>870</v>
      </c>
      <c r="R75" s="22" t="s">
        <v>871</v>
      </c>
      <c r="S75" s="20"/>
      <c r="T75" s="20" t="s">
        <v>645</v>
      </c>
      <c r="U75" s="20" t="s">
        <v>872</v>
      </c>
      <c r="V75" s="20" t="s">
        <v>130</v>
      </c>
      <c r="W75" s="20" t="s">
        <v>131</v>
      </c>
      <c r="X75" s="20"/>
      <c r="Y75" s="20" t="s">
        <v>130</v>
      </c>
    </row>
    <row r="76" spans="1:25" ht="60" x14ac:dyDescent="0.25">
      <c r="A76" s="20" t="s">
        <v>873</v>
      </c>
      <c r="B76" s="20" t="s">
        <v>39</v>
      </c>
      <c r="C76" s="20" t="s">
        <v>615</v>
      </c>
      <c r="D76" s="20" t="s">
        <v>874</v>
      </c>
      <c r="E76" s="20" t="s">
        <v>278</v>
      </c>
      <c r="F76" s="20" t="s">
        <v>875</v>
      </c>
      <c r="G76" s="20" t="s">
        <v>876</v>
      </c>
      <c r="H76" s="21"/>
      <c r="I76" s="21"/>
      <c r="J76" s="21">
        <v>550</v>
      </c>
      <c r="K76" s="20"/>
      <c r="L76" s="21">
        <v>15266</v>
      </c>
      <c r="M76" s="20" t="s">
        <v>877</v>
      </c>
      <c r="N76" s="20" t="s">
        <v>878</v>
      </c>
      <c r="O76" s="20" t="s">
        <v>24</v>
      </c>
      <c r="P76" s="20" t="s">
        <v>879</v>
      </c>
      <c r="Q76" s="20" t="s">
        <v>880</v>
      </c>
      <c r="R76" s="22" t="s">
        <v>881</v>
      </c>
      <c r="S76" s="22" t="s">
        <v>882</v>
      </c>
      <c r="T76" s="20" t="s">
        <v>239</v>
      </c>
      <c r="U76" s="20" t="s">
        <v>883</v>
      </c>
      <c r="V76" s="20" t="s">
        <v>130</v>
      </c>
      <c r="W76" s="20" t="s">
        <v>131</v>
      </c>
      <c r="X76" s="20" t="s">
        <v>884</v>
      </c>
      <c r="Y76" s="20" t="s">
        <v>130</v>
      </c>
    </row>
    <row r="77" spans="1:25" ht="60" x14ac:dyDescent="0.25">
      <c r="A77" s="20" t="s">
        <v>885</v>
      </c>
      <c r="B77" s="20" t="s">
        <v>39</v>
      </c>
      <c r="C77" s="20" t="s">
        <v>615</v>
      </c>
      <c r="D77" s="20" t="s">
        <v>886</v>
      </c>
      <c r="E77" s="20" t="s">
        <v>299</v>
      </c>
      <c r="F77" s="20" t="s">
        <v>136</v>
      </c>
      <c r="G77" s="20" t="s">
        <v>887</v>
      </c>
      <c r="H77" s="21"/>
      <c r="I77" s="21"/>
      <c r="J77" s="21">
        <v>100</v>
      </c>
      <c r="K77" s="20"/>
      <c r="L77" s="21">
        <v>2788</v>
      </c>
      <c r="M77" s="20" t="s">
        <v>888</v>
      </c>
      <c r="N77" s="20" t="s">
        <v>136</v>
      </c>
      <c r="O77" s="20" t="s">
        <v>24</v>
      </c>
      <c r="P77" s="20" t="s">
        <v>889</v>
      </c>
      <c r="Q77" s="20" t="s">
        <v>890</v>
      </c>
      <c r="R77" s="22" t="s">
        <v>881</v>
      </c>
      <c r="S77" s="20"/>
      <c r="T77" s="20" t="s">
        <v>239</v>
      </c>
      <c r="U77" s="20" t="s">
        <v>891</v>
      </c>
      <c r="V77" s="20" t="s">
        <v>130</v>
      </c>
      <c r="W77" s="20" t="s">
        <v>131</v>
      </c>
      <c r="X77" s="20"/>
      <c r="Y77" s="20" t="s">
        <v>130</v>
      </c>
    </row>
    <row r="78" spans="1:25" ht="36" x14ac:dyDescent="0.25">
      <c r="A78" s="20" t="s">
        <v>892</v>
      </c>
      <c r="B78" s="20" t="s">
        <v>39</v>
      </c>
      <c r="C78" s="20" t="s">
        <v>615</v>
      </c>
      <c r="D78" s="20" t="s">
        <v>893</v>
      </c>
      <c r="E78" s="20" t="s">
        <v>894</v>
      </c>
      <c r="F78" s="20" t="s">
        <v>895</v>
      </c>
      <c r="G78" s="20" t="s">
        <v>896</v>
      </c>
      <c r="H78" s="21"/>
      <c r="I78" s="21"/>
      <c r="J78" s="21">
        <v>1000</v>
      </c>
      <c r="K78" s="20"/>
      <c r="L78" s="21"/>
      <c r="M78" s="20" t="s">
        <v>897</v>
      </c>
      <c r="N78" s="20" t="s">
        <v>136</v>
      </c>
      <c r="O78" s="20" t="s">
        <v>30</v>
      </c>
      <c r="P78" s="20" t="s">
        <v>898</v>
      </c>
      <c r="Q78" s="20" t="s">
        <v>899</v>
      </c>
      <c r="R78" s="22" t="s">
        <v>900</v>
      </c>
      <c r="S78" s="22" t="s">
        <v>901</v>
      </c>
      <c r="T78" s="20" t="s">
        <v>239</v>
      </c>
      <c r="U78" s="20" t="s">
        <v>902</v>
      </c>
      <c r="V78" s="20" t="s">
        <v>130</v>
      </c>
      <c r="W78" s="20" t="s">
        <v>130</v>
      </c>
      <c r="X78" s="20" t="s">
        <v>903</v>
      </c>
      <c r="Y78" s="20" t="s">
        <v>130</v>
      </c>
    </row>
    <row r="79" spans="1:25" ht="48" x14ac:dyDescent="0.25">
      <c r="A79" s="20" t="s">
        <v>904</v>
      </c>
      <c r="B79" s="20" t="s">
        <v>39</v>
      </c>
      <c r="C79" s="20" t="s">
        <v>615</v>
      </c>
      <c r="D79" s="20" t="s">
        <v>905</v>
      </c>
      <c r="E79" s="20" t="s">
        <v>906</v>
      </c>
      <c r="F79" s="20" t="s">
        <v>136</v>
      </c>
      <c r="G79" s="20" t="s">
        <v>907</v>
      </c>
      <c r="H79" s="21"/>
      <c r="I79" s="21"/>
      <c r="J79" s="21">
        <v>200</v>
      </c>
      <c r="K79" s="20"/>
      <c r="L79" s="21"/>
      <c r="M79" s="20" t="s">
        <v>908</v>
      </c>
      <c r="N79" s="20" t="s">
        <v>136</v>
      </c>
      <c r="O79" s="20" t="s">
        <v>30</v>
      </c>
      <c r="P79" s="20" t="s">
        <v>909</v>
      </c>
      <c r="Q79" s="20" t="s">
        <v>910</v>
      </c>
      <c r="R79" s="22" t="s">
        <v>901</v>
      </c>
      <c r="S79" s="20"/>
      <c r="T79" s="20" t="s">
        <v>911</v>
      </c>
      <c r="U79" s="20" t="s">
        <v>912</v>
      </c>
      <c r="V79" s="20" t="s">
        <v>130</v>
      </c>
      <c r="W79" s="20" t="s">
        <v>130</v>
      </c>
      <c r="X79" s="20" t="s">
        <v>913</v>
      </c>
      <c r="Y79" s="20" t="s">
        <v>130</v>
      </c>
    </row>
    <row r="80" spans="1:25" ht="48" x14ac:dyDescent="0.25">
      <c r="A80" s="20" t="s">
        <v>914</v>
      </c>
      <c r="B80" s="20" t="s">
        <v>39</v>
      </c>
      <c r="C80" s="20" t="s">
        <v>915</v>
      </c>
      <c r="D80" s="20" t="s">
        <v>916</v>
      </c>
      <c r="E80" s="20" t="s">
        <v>917</v>
      </c>
      <c r="F80" s="20" t="s">
        <v>520</v>
      </c>
      <c r="G80" s="20" t="s">
        <v>918</v>
      </c>
      <c r="H80" s="21"/>
      <c r="I80" s="21"/>
      <c r="J80" s="21"/>
      <c r="K80" s="20" t="s">
        <v>919</v>
      </c>
      <c r="L80" s="21"/>
      <c r="M80" s="20" t="s">
        <v>920</v>
      </c>
      <c r="N80" s="20" t="s">
        <v>136</v>
      </c>
      <c r="O80" s="20" t="s">
        <v>22</v>
      </c>
      <c r="P80" s="20" t="s">
        <v>921</v>
      </c>
      <c r="Q80" s="20" t="s">
        <v>922</v>
      </c>
      <c r="R80" s="22" t="s">
        <v>923</v>
      </c>
      <c r="S80" s="20"/>
      <c r="T80" s="20" t="s">
        <v>128</v>
      </c>
      <c r="U80" s="20" t="s">
        <v>924</v>
      </c>
      <c r="V80" s="20" t="s">
        <v>131</v>
      </c>
      <c r="W80" s="20" t="s">
        <v>130</v>
      </c>
      <c r="X80" s="20" t="s">
        <v>925</v>
      </c>
      <c r="Y80" s="20" t="s">
        <v>130</v>
      </c>
    </row>
    <row r="81" spans="1:25" ht="60" x14ac:dyDescent="0.25">
      <c r="A81" s="20" t="s">
        <v>926</v>
      </c>
      <c r="B81" s="20" t="s">
        <v>40</v>
      </c>
      <c r="C81" s="20" t="s">
        <v>686</v>
      </c>
      <c r="D81" s="20" t="s">
        <v>927</v>
      </c>
      <c r="E81" s="20" t="s">
        <v>928</v>
      </c>
      <c r="F81" s="20" t="s">
        <v>136</v>
      </c>
      <c r="G81" s="20" t="s">
        <v>929</v>
      </c>
      <c r="H81" s="21"/>
      <c r="I81" s="21"/>
      <c r="J81" s="21"/>
      <c r="K81" s="20"/>
      <c r="L81" s="21">
        <v>60000</v>
      </c>
      <c r="M81" s="20" t="s">
        <v>930</v>
      </c>
      <c r="N81" s="20" t="s">
        <v>931</v>
      </c>
      <c r="O81" s="20" t="s">
        <v>28</v>
      </c>
      <c r="P81" s="20" t="s">
        <v>932</v>
      </c>
      <c r="Q81" s="20" t="s">
        <v>933</v>
      </c>
      <c r="R81" s="22" t="s">
        <v>934</v>
      </c>
      <c r="S81" s="20"/>
      <c r="T81" s="20" t="s">
        <v>935</v>
      </c>
      <c r="U81" s="20" t="s">
        <v>936</v>
      </c>
      <c r="V81" s="20" t="s">
        <v>130</v>
      </c>
      <c r="W81" s="20" t="s">
        <v>130</v>
      </c>
      <c r="X81" s="20" t="s">
        <v>937</v>
      </c>
      <c r="Y81" s="20" t="s">
        <v>130</v>
      </c>
    </row>
    <row r="82" spans="1:25" ht="48" x14ac:dyDescent="0.25">
      <c r="A82" s="20" t="s">
        <v>938</v>
      </c>
      <c r="B82" s="20" t="s">
        <v>40</v>
      </c>
      <c r="C82" s="20" t="s">
        <v>686</v>
      </c>
      <c r="D82" s="20" t="s">
        <v>939</v>
      </c>
      <c r="E82" s="20" t="s">
        <v>210</v>
      </c>
      <c r="F82" s="20" t="s">
        <v>136</v>
      </c>
      <c r="G82" s="20" t="s">
        <v>940</v>
      </c>
      <c r="H82" s="21"/>
      <c r="I82" s="21"/>
      <c r="J82" s="21">
        <v>100</v>
      </c>
      <c r="K82" s="20"/>
      <c r="L82" s="21">
        <v>3500</v>
      </c>
      <c r="M82" s="20" t="s">
        <v>941</v>
      </c>
      <c r="N82" s="20" t="s">
        <v>136</v>
      </c>
      <c r="O82" s="20" t="s">
        <v>24</v>
      </c>
      <c r="P82" s="20" t="s">
        <v>162</v>
      </c>
      <c r="Q82" s="20" t="s">
        <v>942</v>
      </c>
      <c r="R82" s="22" t="s">
        <v>943</v>
      </c>
      <c r="S82" s="20"/>
      <c r="T82" s="20" t="s">
        <v>944</v>
      </c>
      <c r="U82" s="20" t="s">
        <v>945</v>
      </c>
      <c r="V82" s="20" t="s">
        <v>130</v>
      </c>
      <c r="W82" s="20" t="s">
        <v>131</v>
      </c>
      <c r="X82" s="20"/>
      <c r="Y82" s="20" t="s">
        <v>130</v>
      </c>
    </row>
    <row r="83" spans="1:25" ht="48" x14ac:dyDescent="0.25">
      <c r="A83" s="20" t="s">
        <v>946</v>
      </c>
      <c r="B83" s="20" t="s">
        <v>40</v>
      </c>
      <c r="C83" s="20" t="s">
        <v>686</v>
      </c>
      <c r="D83" s="20" t="s">
        <v>947</v>
      </c>
      <c r="E83" s="20" t="s">
        <v>948</v>
      </c>
      <c r="F83" s="20" t="s">
        <v>136</v>
      </c>
      <c r="G83" s="20" t="s">
        <v>949</v>
      </c>
      <c r="H83" s="21"/>
      <c r="I83" s="21"/>
      <c r="J83" s="21"/>
      <c r="K83" s="20" t="s">
        <v>950</v>
      </c>
      <c r="L83" s="21"/>
      <c r="M83" s="20" t="s">
        <v>951</v>
      </c>
      <c r="N83" s="20" t="s">
        <v>136</v>
      </c>
      <c r="O83" s="20" t="s">
        <v>24</v>
      </c>
      <c r="P83" s="20" t="s">
        <v>952</v>
      </c>
      <c r="Q83" s="20" t="s">
        <v>953</v>
      </c>
      <c r="R83" s="22" t="s">
        <v>954</v>
      </c>
      <c r="S83" s="20"/>
      <c r="T83" s="20" t="s">
        <v>955</v>
      </c>
      <c r="U83" s="20" t="s">
        <v>956</v>
      </c>
      <c r="V83" s="20" t="s">
        <v>130</v>
      </c>
      <c r="W83" s="20" t="s">
        <v>130</v>
      </c>
      <c r="X83" s="20" t="s">
        <v>957</v>
      </c>
      <c r="Y83" s="20" t="s">
        <v>130</v>
      </c>
    </row>
    <row r="84" spans="1:25" ht="36" x14ac:dyDescent="0.25">
      <c r="A84" s="20" t="s">
        <v>958</v>
      </c>
      <c r="B84" s="20" t="s">
        <v>40</v>
      </c>
      <c r="C84" s="20" t="s">
        <v>686</v>
      </c>
      <c r="D84" s="20" t="s">
        <v>959</v>
      </c>
      <c r="E84" s="20" t="s">
        <v>960</v>
      </c>
      <c r="F84" s="20" t="s">
        <v>520</v>
      </c>
      <c r="G84" s="20" t="s">
        <v>961</v>
      </c>
      <c r="H84" s="21"/>
      <c r="I84" s="21"/>
      <c r="J84" s="21"/>
      <c r="K84" s="20" t="s">
        <v>962</v>
      </c>
      <c r="L84" s="21"/>
      <c r="M84" s="20" t="s">
        <v>920</v>
      </c>
      <c r="N84" s="20" t="s">
        <v>136</v>
      </c>
      <c r="O84" s="20" t="s">
        <v>22</v>
      </c>
      <c r="P84" s="20" t="s">
        <v>921</v>
      </c>
      <c r="Q84" s="20" t="s">
        <v>922</v>
      </c>
      <c r="R84" s="22" t="s">
        <v>923</v>
      </c>
      <c r="S84" s="20"/>
      <c r="T84" s="20" t="s">
        <v>963</v>
      </c>
      <c r="U84" s="20" t="s">
        <v>964</v>
      </c>
      <c r="V84" s="20" t="s">
        <v>131</v>
      </c>
      <c r="W84" s="20" t="s">
        <v>130</v>
      </c>
      <c r="X84" s="20" t="s">
        <v>965</v>
      </c>
      <c r="Y84" s="20" t="s">
        <v>130</v>
      </c>
    </row>
    <row r="85" spans="1:25" ht="36" x14ac:dyDescent="0.25">
      <c r="A85" s="20" t="s">
        <v>966</v>
      </c>
      <c r="B85" s="20" t="s">
        <v>40</v>
      </c>
      <c r="C85" s="20" t="s">
        <v>686</v>
      </c>
      <c r="D85" s="20" t="s">
        <v>967</v>
      </c>
      <c r="E85" s="20" t="s">
        <v>968</v>
      </c>
      <c r="F85" s="20" t="s">
        <v>136</v>
      </c>
      <c r="G85" s="20" t="s">
        <v>969</v>
      </c>
      <c r="H85" s="21"/>
      <c r="I85" s="21"/>
      <c r="J85" s="21">
        <v>100</v>
      </c>
      <c r="K85" s="20"/>
      <c r="L85" s="21"/>
      <c r="M85" s="20" t="s">
        <v>941</v>
      </c>
      <c r="N85" s="20" t="s">
        <v>136</v>
      </c>
      <c r="O85" s="20" t="s">
        <v>24</v>
      </c>
      <c r="P85" s="20" t="s">
        <v>162</v>
      </c>
      <c r="Q85" s="20" t="s">
        <v>970</v>
      </c>
      <c r="R85" s="22" t="s">
        <v>716</v>
      </c>
      <c r="S85" s="20"/>
      <c r="T85" s="20" t="s">
        <v>944</v>
      </c>
      <c r="U85" s="20" t="s">
        <v>971</v>
      </c>
      <c r="V85" s="20" t="s">
        <v>130</v>
      </c>
      <c r="W85" s="20" t="s">
        <v>131</v>
      </c>
      <c r="X85" s="20"/>
      <c r="Y85" s="20" t="s">
        <v>130</v>
      </c>
    </row>
    <row r="86" spans="1:25" ht="36" x14ac:dyDescent="0.25">
      <c r="A86" s="20" t="s">
        <v>972</v>
      </c>
      <c r="B86" s="20" t="s">
        <v>41</v>
      </c>
      <c r="C86" s="20" t="s">
        <v>734</v>
      </c>
      <c r="D86" s="20" t="s">
        <v>973</v>
      </c>
      <c r="E86" s="20" t="s">
        <v>974</v>
      </c>
      <c r="F86" s="20" t="s">
        <v>136</v>
      </c>
      <c r="G86" s="20" t="s">
        <v>975</v>
      </c>
      <c r="H86" s="21">
        <v>36</v>
      </c>
      <c r="I86" s="21"/>
      <c r="J86" s="21">
        <v>36</v>
      </c>
      <c r="K86" s="20"/>
      <c r="L86" s="21"/>
      <c r="M86" s="20" t="s">
        <v>245</v>
      </c>
      <c r="N86" s="20" t="s">
        <v>136</v>
      </c>
      <c r="O86" s="20" t="s">
        <v>28</v>
      </c>
      <c r="P86" s="20" t="s">
        <v>324</v>
      </c>
      <c r="Q86" s="20" t="s">
        <v>976</v>
      </c>
      <c r="R86" s="22" t="s">
        <v>977</v>
      </c>
      <c r="S86" s="20"/>
      <c r="T86" s="20" t="s">
        <v>239</v>
      </c>
      <c r="U86" s="20" t="s">
        <v>978</v>
      </c>
      <c r="V86" s="20" t="s">
        <v>130</v>
      </c>
      <c r="W86" s="20" t="s">
        <v>131</v>
      </c>
      <c r="X86" s="20"/>
      <c r="Y86" s="20" t="s">
        <v>130</v>
      </c>
    </row>
    <row r="87" spans="1:25" ht="36" x14ac:dyDescent="0.25">
      <c r="A87" s="20" t="s">
        <v>979</v>
      </c>
      <c r="B87" s="20" t="s">
        <v>41</v>
      </c>
      <c r="C87" s="20" t="s">
        <v>980</v>
      </c>
      <c r="D87" s="20" t="s">
        <v>981</v>
      </c>
      <c r="E87" s="20" t="s">
        <v>982</v>
      </c>
      <c r="F87" s="20" t="s">
        <v>520</v>
      </c>
      <c r="G87" s="20" t="s">
        <v>983</v>
      </c>
      <c r="H87" s="21"/>
      <c r="I87" s="21"/>
      <c r="J87" s="21">
        <v>70</v>
      </c>
      <c r="K87" s="20" t="s">
        <v>984</v>
      </c>
      <c r="L87" s="21"/>
      <c r="M87" s="20" t="s">
        <v>920</v>
      </c>
      <c r="N87" s="20" t="s">
        <v>136</v>
      </c>
      <c r="O87" s="20" t="s">
        <v>22</v>
      </c>
      <c r="P87" s="20" t="s">
        <v>921</v>
      </c>
      <c r="Q87" s="20" t="s">
        <v>921</v>
      </c>
      <c r="R87" s="22" t="s">
        <v>923</v>
      </c>
      <c r="S87" s="20"/>
      <c r="T87" s="20" t="s">
        <v>985</v>
      </c>
      <c r="U87" s="20" t="s">
        <v>986</v>
      </c>
      <c r="V87" s="20" t="s">
        <v>131</v>
      </c>
      <c r="W87" s="20" t="s">
        <v>131</v>
      </c>
      <c r="X87" s="20" t="s">
        <v>987</v>
      </c>
      <c r="Y87" s="20" t="s">
        <v>130</v>
      </c>
    </row>
    <row r="88" spans="1:25" ht="36" x14ac:dyDescent="0.25">
      <c r="A88" s="20" t="s">
        <v>988</v>
      </c>
      <c r="B88" s="20" t="s">
        <v>47</v>
      </c>
      <c r="C88" s="20" t="s">
        <v>989</v>
      </c>
      <c r="D88" s="20" t="s">
        <v>990</v>
      </c>
      <c r="E88" s="20" t="s">
        <v>991</v>
      </c>
      <c r="F88" s="20" t="s">
        <v>520</v>
      </c>
      <c r="G88" s="20" t="s">
        <v>992</v>
      </c>
      <c r="H88" s="21"/>
      <c r="I88" s="21"/>
      <c r="J88" s="21">
        <v>120</v>
      </c>
      <c r="K88" s="20" t="s">
        <v>993</v>
      </c>
      <c r="L88" s="21"/>
      <c r="M88" s="20" t="s">
        <v>920</v>
      </c>
      <c r="N88" s="20" t="s">
        <v>136</v>
      </c>
      <c r="O88" s="20" t="s">
        <v>22</v>
      </c>
      <c r="P88" s="20" t="s">
        <v>921</v>
      </c>
      <c r="Q88" s="20" t="s">
        <v>921</v>
      </c>
      <c r="R88" s="22" t="s">
        <v>923</v>
      </c>
      <c r="S88" s="20"/>
      <c r="T88" s="20" t="s">
        <v>994</v>
      </c>
      <c r="U88" s="20" t="s">
        <v>995</v>
      </c>
      <c r="V88" s="20" t="s">
        <v>131</v>
      </c>
      <c r="W88" s="20" t="s">
        <v>131</v>
      </c>
      <c r="X88" s="20" t="s">
        <v>996</v>
      </c>
      <c r="Y88" s="20" t="s">
        <v>130</v>
      </c>
    </row>
    <row r="89" spans="1:25" ht="60" x14ac:dyDescent="0.25">
      <c r="A89" s="20" t="s">
        <v>997</v>
      </c>
      <c r="B89" s="20" t="s">
        <v>44</v>
      </c>
      <c r="C89" s="20" t="s">
        <v>998</v>
      </c>
      <c r="D89" s="20" t="s">
        <v>998</v>
      </c>
      <c r="E89" s="20" t="s">
        <v>999</v>
      </c>
      <c r="F89" s="20" t="s">
        <v>136</v>
      </c>
      <c r="G89" s="20" t="s">
        <v>1000</v>
      </c>
      <c r="H89" s="21"/>
      <c r="I89" s="21"/>
      <c r="J89" s="21">
        <v>120</v>
      </c>
      <c r="K89" s="20"/>
      <c r="L89" s="21">
        <v>22634</v>
      </c>
      <c r="M89" s="20" t="s">
        <v>1001</v>
      </c>
      <c r="N89" s="20" t="s">
        <v>136</v>
      </c>
      <c r="O89" s="20" t="s">
        <v>24</v>
      </c>
      <c r="P89" s="20" t="s">
        <v>1001</v>
      </c>
      <c r="Q89" s="20" t="s">
        <v>1002</v>
      </c>
      <c r="R89" s="22" t="s">
        <v>1003</v>
      </c>
      <c r="S89" s="20"/>
      <c r="T89" s="20" t="s">
        <v>239</v>
      </c>
      <c r="U89" s="20" t="s">
        <v>1004</v>
      </c>
      <c r="V89" s="20" t="s">
        <v>130</v>
      </c>
      <c r="W89" s="20" t="s">
        <v>131</v>
      </c>
      <c r="X89" s="20"/>
      <c r="Y89" s="20" t="s">
        <v>130</v>
      </c>
    </row>
    <row r="90" spans="1:25" ht="60" x14ac:dyDescent="0.25">
      <c r="A90" s="20" t="s">
        <v>1005</v>
      </c>
      <c r="B90" s="20" t="s">
        <v>44</v>
      </c>
      <c r="C90" s="20" t="s">
        <v>812</v>
      </c>
      <c r="D90" s="20" t="s">
        <v>1006</v>
      </c>
      <c r="E90" s="20" t="s">
        <v>1007</v>
      </c>
      <c r="F90" s="20" t="s">
        <v>136</v>
      </c>
      <c r="G90" s="20" t="s">
        <v>1008</v>
      </c>
      <c r="H90" s="21"/>
      <c r="I90" s="21"/>
      <c r="J90" s="21"/>
      <c r="K90" s="20"/>
      <c r="L90" s="21">
        <v>1500</v>
      </c>
      <c r="M90" s="20" t="s">
        <v>1001</v>
      </c>
      <c r="N90" s="20" t="s">
        <v>136</v>
      </c>
      <c r="O90" s="20" t="s">
        <v>24</v>
      </c>
      <c r="P90" s="20" t="s">
        <v>1001</v>
      </c>
      <c r="Q90" s="20" t="s">
        <v>1009</v>
      </c>
      <c r="R90" s="22" t="s">
        <v>1010</v>
      </c>
      <c r="S90" s="20"/>
      <c r="T90" s="20" t="s">
        <v>239</v>
      </c>
      <c r="U90" s="20" t="s">
        <v>1011</v>
      </c>
      <c r="V90" s="20" t="s">
        <v>130</v>
      </c>
      <c r="W90" s="20" t="s">
        <v>130</v>
      </c>
      <c r="X90" s="20" t="s">
        <v>405</v>
      </c>
      <c r="Y90" s="20" t="s">
        <v>130</v>
      </c>
    </row>
    <row r="91" spans="1:25" ht="48" x14ac:dyDescent="0.25">
      <c r="A91" s="20" t="s">
        <v>1012</v>
      </c>
      <c r="B91" s="20" t="s">
        <v>42</v>
      </c>
      <c r="C91" s="20" t="s">
        <v>773</v>
      </c>
      <c r="D91" s="20" t="s">
        <v>774</v>
      </c>
      <c r="E91" s="20" t="s">
        <v>1013</v>
      </c>
      <c r="F91" s="20" t="s">
        <v>136</v>
      </c>
      <c r="G91" s="20" t="s">
        <v>1014</v>
      </c>
      <c r="H91" s="21">
        <v>35</v>
      </c>
      <c r="I91" s="21"/>
      <c r="J91" s="21">
        <v>100</v>
      </c>
      <c r="K91" s="20"/>
      <c r="L91" s="21">
        <v>5129</v>
      </c>
      <c r="M91" s="20" t="s">
        <v>1015</v>
      </c>
      <c r="N91" s="20" t="s">
        <v>136</v>
      </c>
      <c r="O91" s="20" t="s">
        <v>22</v>
      </c>
      <c r="P91" s="20" t="s">
        <v>1016</v>
      </c>
      <c r="Q91" s="20" t="s">
        <v>1017</v>
      </c>
      <c r="R91" s="22" t="s">
        <v>785</v>
      </c>
      <c r="S91" s="20"/>
      <c r="T91" s="20" t="s">
        <v>787</v>
      </c>
      <c r="U91" s="20" t="s">
        <v>1018</v>
      </c>
      <c r="V91" s="20" t="s">
        <v>131</v>
      </c>
      <c r="W91" s="20" t="s">
        <v>130</v>
      </c>
      <c r="X91" s="20" t="s">
        <v>1019</v>
      </c>
      <c r="Y91" s="20" t="s">
        <v>130</v>
      </c>
    </row>
    <row r="92" spans="1:25" ht="60" x14ac:dyDescent="0.25">
      <c r="A92" s="20" t="s">
        <v>1020</v>
      </c>
      <c r="B92" s="20" t="s">
        <v>43</v>
      </c>
      <c r="C92" s="20" t="s">
        <v>802</v>
      </c>
      <c r="D92" s="20" t="s">
        <v>1021</v>
      </c>
      <c r="E92" s="20" t="s">
        <v>638</v>
      </c>
      <c r="F92" s="20" t="s">
        <v>136</v>
      </c>
      <c r="G92" s="20" t="s">
        <v>1022</v>
      </c>
      <c r="H92" s="21"/>
      <c r="I92" s="21"/>
      <c r="J92" s="21"/>
      <c r="K92" s="20" t="s">
        <v>1023</v>
      </c>
      <c r="L92" s="21"/>
      <c r="M92" s="20" t="s">
        <v>920</v>
      </c>
      <c r="N92" s="20" t="s">
        <v>136</v>
      </c>
      <c r="O92" s="20" t="s">
        <v>22</v>
      </c>
      <c r="P92" s="20" t="s">
        <v>921</v>
      </c>
      <c r="Q92" s="20" t="s">
        <v>921</v>
      </c>
      <c r="R92" s="22" t="s">
        <v>923</v>
      </c>
      <c r="S92" s="20"/>
      <c r="T92" s="20" t="s">
        <v>994</v>
      </c>
      <c r="U92" s="20" t="s">
        <v>1024</v>
      </c>
      <c r="V92" s="20" t="s">
        <v>131</v>
      </c>
      <c r="W92" s="20" t="s">
        <v>130</v>
      </c>
      <c r="X92" s="20" t="s">
        <v>1025</v>
      </c>
      <c r="Y92" s="20" t="s">
        <v>130</v>
      </c>
    </row>
    <row r="93" spans="1:25" ht="36" x14ac:dyDescent="0.25">
      <c r="A93" s="20" t="s">
        <v>1026</v>
      </c>
      <c r="B93" s="20" t="s">
        <v>43</v>
      </c>
      <c r="C93" s="20" t="s">
        <v>1027</v>
      </c>
      <c r="D93" s="20" t="s">
        <v>1028</v>
      </c>
      <c r="E93" s="20" t="s">
        <v>1029</v>
      </c>
      <c r="F93" s="20" t="s">
        <v>520</v>
      </c>
      <c r="G93" s="20" t="s">
        <v>1030</v>
      </c>
      <c r="H93" s="21"/>
      <c r="I93" s="21"/>
      <c r="J93" s="21"/>
      <c r="K93" s="20" t="s">
        <v>1031</v>
      </c>
      <c r="L93" s="21"/>
      <c r="M93" s="20" t="s">
        <v>920</v>
      </c>
      <c r="N93" s="20" t="s">
        <v>136</v>
      </c>
      <c r="O93" s="20" t="s">
        <v>22</v>
      </c>
      <c r="P93" s="20" t="s">
        <v>921</v>
      </c>
      <c r="Q93" s="20" t="s">
        <v>921</v>
      </c>
      <c r="R93" s="22" t="s">
        <v>923</v>
      </c>
      <c r="S93" s="20"/>
      <c r="T93" s="20" t="s">
        <v>1032</v>
      </c>
      <c r="U93" s="20" t="s">
        <v>1033</v>
      </c>
      <c r="V93" s="20" t="s">
        <v>131</v>
      </c>
      <c r="W93" s="20" t="s">
        <v>130</v>
      </c>
      <c r="X93" s="20" t="s">
        <v>1034</v>
      </c>
      <c r="Y93" s="20" t="s">
        <v>130</v>
      </c>
    </row>
  </sheetData>
  <autoFilter ref="A1:Y93" xr:uid="{00000000-0009-0000-0000-000002000000}"/>
  <dataValidations count="2">
    <dataValidation type="list" allowBlank="1" sqref="W2:W293" xr:uid="{00000000-0002-0000-0200-000000000000}">
      <formula1>"Y,N"</formula1>
    </dataValidation>
    <dataValidation type="list" allowBlank="1" sqref="O2:O293" xr:uid="{00000000-0002-0000-0200-000001000000}">
      <formula1>"A1,A2,B,C,D"</formula1>
    </dataValidation>
  </dataValidations>
  <hyperlinks>
    <hyperlink ref="R2" r:id="rId1" xr:uid="{00000000-0004-0000-0200-000000000000}"/>
    <hyperlink ref="S2" r:id="rId2" xr:uid="{00000000-0004-0000-0200-000001000000}"/>
    <hyperlink ref="R3" r:id="rId3" xr:uid="{00000000-0004-0000-0200-000002000000}"/>
    <hyperlink ref="R4" r:id="rId4" xr:uid="{00000000-0004-0000-0200-000003000000}"/>
    <hyperlink ref="R5" r:id="rId5" xr:uid="{00000000-0004-0000-0200-000004000000}"/>
    <hyperlink ref="R6" r:id="rId6" xr:uid="{00000000-0004-0000-0200-000005000000}"/>
    <hyperlink ref="S6" r:id="rId7" xr:uid="{00000000-0004-0000-0200-000006000000}"/>
    <hyperlink ref="R7" r:id="rId8" xr:uid="{00000000-0004-0000-0200-000007000000}"/>
    <hyperlink ref="S7" r:id="rId9" xr:uid="{00000000-0004-0000-0200-000008000000}"/>
    <hyperlink ref="R8" r:id="rId10" xr:uid="{00000000-0004-0000-0200-000009000000}"/>
    <hyperlink ref="S8" r:id="rId11" xr:uid="{00000000-0004-0000-0200-00000A000000}"/>
    <hyperlink ref="R9" r:id="rId12" xr:uid="{00000000-0004-0000-0200-00000B000000}"/>
    <hyperlink ref="R10" r:id="rId13" xr:uid="{00000000-0004-0000-0200-00000C000000}"/>
    <hyperlink ref="S10" r:id="rId14" xr:uid="{00000000-0004-0000-0200-00000D000000}"/>
    <hyperlink ref="R11" r:id="rId15" xr:uid="{00000000-0004-0000-0200-00000E000000}"/>
    <hyperlink ref="S11" r:id="rId16" xr:uid="{00000000-0004-0000-0200-00000F000000}"/>
    <hyperlink ref="R12" r:id="rId17" xr:uid="{00000000-0004-0000-0200-000010000000}"/>
    <hyperlink ref="R13" r:id="rId18" xr:uid="{00000000-0004-0000-0200-000011000000}"/>
    <hyperlink ref="R14" r:id="rId19" xr:uid="{00000000-0004-0000-0200-000012000000}"/>
    <hyperlink ref="S14" r:id="rId20" xr:uid="{00000000-0004-0000-0200-000013000000}"/>
    <hyperlink ref="R15" r:id="rId21" xr:uid="{00000000-0004-0000-0200-000014000000}"/>
    <hyperlink ref="S15" r:id="rId22" xr:uid="{00000000-0004-0000-0200-000015000000}"/>
    <hyperlink ref="R16" r:id="rId23" xr:uid="{00000000-0004-0000-0200-000016000000}"/>
    <hyperlink ref="S16" r:id="rId24" xr:uid="{00000000-0004-0000-0200-000017000000}"/>
    <hyperlink ref="R17" r:id="rId25" xr:uid="{00000000-0004-0000-0200-000018000000}"/>
    <hyperlink ref="S17" r:id="rId26" xr:uid="{00000000-0004-0000-0200-000019000000}"/>
    <hyperlink ref="R18" r:id="rId27" xr:uid="{00000000-0004-0000-0200-00001A000000}"/>
    <hyperlink ref="S18" r:id="rId28" xr:uid="{00000000-0004-0000-0200-00001B000000}"/>
    <hyperlink ref="R19" r:id="rId29" xr:uid="{00000000-0004-0000-0200-00001C000000}"/>
    <hyperlink ref="S19" r:id="rId30" xr:uid="{00000000-0004-0000-0200-00001D000000}"/>
    <hyperlink ref="R20" r:id="rId31" xr:uid="{00000000-0004-0000-0200-00001E000000}"/>
    <hyperlink ref="R21" r:id="rId32" xr:uid="{00000000-0004-0000-0200-00001F000000}"/>
    <hyperlink ref="S21" r:id="rId33" xr:uid="{00000000-0004-0000-0200-000020000000}"/>
    <hyperlink ref="R22" r:id="rId34" xr:uid="{00000000-0004-0000-0200-000021000000}"/>
    <hyperlink ref="S22" r:id="rId35" xr:uid="{00000000-0004-0000-0200-000022000000}"/>
    <hyperlink ref="R23" r:id="rId36" xr:uid="{00000000-0004-0000-0200-000023000000}"/>
    <hyperlink ref="R24" r:id="rId37" xr:uid="{00000000-0004-0000-0200-000024000000}"/>
    <hyperlink ref="R25" r:id="rId38" xr:uid="{00000000-0004-0000-0200-000025000000}"/>
    <hyperlink ref="R26" r:id="rId39" xr:uid="{00000000-0004-0000-0200-000026000000}"/>
    <hyperlink ref="R27" r:id="rId40" xr:uid="{00000000-0004-0000-0200-000027000000}"/>
    <hyperlink ref="S27" r:id="rId41" xr:uid="{00000000-0004-0000-0200-000028000000}"/>
    <hyperlink ref="R28" r:id="rId42" xr:uid="{00000000-0004-0000-0200-000029000000}"/>
    <hyperlink ref="R29" r:id="rId43" xr:uid="{00000000-0004-0000-0200-00002A000000}"/>
    <hyperlink ref="R30" r:id="rId44" xr:uid="{00000000-0004-0000-0200-00002B000000}"/>
    <hyperlink ref="S30" r:id="rId45" xr:uid="{00000000-0004-0000-0200-00002C000000}"/>
    <hyperlink ref="R31" r:id="rId46" xr:uid="{00000000-0004-0000-0200-00002D000000}"/>
    <hyperlink ref="S31" r:id="rId47" xr:uid="{00000000-0004-0000-0200-00002E000000}"/>
    <hyperlink ref="R32" r:id="rId48" xr:uid="{00000000-0004-0000-0200-00002F000000}"/>
    <hyperlink ref="S32" r:id="rId49" xr:uid="{00000000-0004-0000-0200-000030000000}"/>
    <hyperlink ref="R33" r:id="rId50" xr:uid="{00000000-0004-0000-0200-000031000000}"/>
    <hyperlink ref="R34" r:id="rId51" xr:uid="{00000000-0004-0000-0200-000032000000}"/>
    <hyperlink ref="S34" r:id="rId52" xr:uid="{00000000-0004-0000-0200-000033000000}"/>
    <hyperlink ref="R35" r:id="rId53" xr:uid="{00000000-0004-0000-0200-000034000000}"/>
    <hyperlink ref="R36" r:id="rId54" xr:uid="{00000000-0004-0000-0200-000035000000}"/>
    <hyperlink ref="S36" r:id="rId55" xr:uid="{00000000-0004-0000-0200-000036000000}"/>
    <hyperlink ref="R37" r:id="rId56" xr:uid="{00000000-0004-0000-0200-000037000000}"/>
    <hyperlink ref="R38" r:id="rId57" xr:uid="{00000000-0004-0000-0200-000038000000}"/>
    <hyperlink ref="S38" r:id="rId58" xr:uid="{00000000-0004-0000-0200-000039000000}"/>
    <hyperlink ref="R39" r:id="rId59" xr:uid="{00000000-0004-0000-0200-00003A000000}"/>
    <hyperlink ref="R40" r:id="rId60" xr:uid="{00000000-0004-0000-0200-00003B000000}"/>
    <hyperlink ref="R41" r:id="rId61" xr:uid="{00000000-0004-0000-0200-00003C000000}"/>
    <hyperlink ref="R42" r:id="rId62" xr:uid="{00000000-0004-0000-0200-00003D000000}"/>
    <hyperlink ref="S42" r:id="rId63" xr:uid="{00000000-0004-0000-0200-00003E000000}"/>
    <hyperlink ref="R43" r:id="rId64" xr:uid="{00000000-0004-0000-0200-00003F000000}"/>
    <hyperlink ref="S43" r:id="rId65" xr:uid="{00000000-0004-0000-0200-000040000000}"/>
    <hyperlink ref="R44" r:id="rId66" xr:uid="{00000000-0004-0000-0200-000041000000}"/>
    <hyperlink ref="R45" r:id="rId67" xr:uid="{00000000-0004-0000-0200-000042000000}"/>
    <hyperlink ref="S45" r:id="rId68" xr:uid="{00000000-0004-0000-0200-000043000000}"/>
    <hyperlink ref="R46" r:id="rId69" xr:uid="{00000000-0004-0000-0200-000044000000}"/>
    <hyperlink ref="R47" r:id="rId70" xr:uid="{00000000-0004-0000-0200-000045000000}"/>
    <hyperlink ref="S47" r:id="rId71" xr:uid="{00000000-0004-0000-0200-000046000000}"/>
    <hyperlink ref="R48" r:id="rId72" xr:uid="{00000000-0004-0000-0200-000047000000}"/>
    <hyperlink ref="R49" r:id="rId73" xr:uid="{00000000-0004-0000-0200-000048000000}"/>
    <hyperlink ref="S49" r:id="rId74" xr:uid="{00000000-0004-0000-0200-000049000000}"/>
    <hyperlink ref="R50" r:id="rId75" xr:uid="{00000000-0004-0000-0200-00004A000000}"/>
    <hyperlink ref="R51" r:id="rId76" xr:uid="{00000000-0004-0000-0200-00004B000000}"/>
    <hyperlink ref="R52" r:id="rId77" xr:uid="{00000000-0004-0000-0200-00004C000000}"/>
    <hyperlink ref="R53" r:id="rId78" xr:uid="{00000000-0004-0000-0200-00004D000000}"/>
    <hyperlink ref="R54" r:id="rId79" xr:uid="{00000000-0004-0000-0200-00004E000000}"/>
    <hyperlink ref="R55" r:id="rId80" xr:uid="{00000000-0004-0000-0200-00004F000000}"/>
    <hyperlink ref="S55" r:id="rId81" xr:uid="{00000000-0004-0000-0200-000050000000}"/>
    <hyperlink ref="R56" r:id="rId82" xr:uid="{00000000-0004-0000-0200-000051000000}"/>
    <hyperlink ref="R57" r:id="rId83" xr:uid="{00000000-0004-0000-0200-000052000000}"/>
    <hyperlink ref="R58" r:id="rId84" xr:uid="{00000000-0004-0000-0200-000053000000}"/>
    <hyperlink ref="R59" r:id="rId85" xr:uid="{00000000-0004-0000-0200-000054000000}"/>
    <hyperlink ref="S59" r:id="rId86" xr:uid="{00000000-0004-0000-0200-000055000000}"/>
    <hyperlink ref="R60" r:id="rId87" xr:uid="{00000000-0004-0000-0200-000056000000}"/>
    <hyperlink ref="R61" r:id="rId88" xr:uid="{00000000-0004-0000-0200-000057000000}"/>
    <hyperlink ref="R62" r:id="rId89" xr:uid="{00000000-0004-0000-0200-000058000000}"/>
    <hyperlink ref="R63" r:id="rId90" xr:uid="{00000000-0004-0000-0200-000059000000}"/>
    <hyperlink ref="R64" r:id="rId91" xr:uid="{00000000-0004-0000-0200-00005A000000}"/>
    <hyperlink ref="R65" r:id="rId92" xr:uid="{00000000-0004-0000-0200-00005B000000}"/>
    <hyperlink ref="R66" r:id="rId93" xr:uid="{00000000-0004-0000-0200-00005C000000}"/>
    <hyperlink ref="S66" r:id="rId94" xr:uid="{00000000-0004-0000-0200-00005D000000}"/>
    <hyperlink ref="R67" r:id="rId95" xr:uid="{00000000-0004-0000-0200-00005E000000}"/>
    <hyperlink ref="R68" r:id="rId96" xr:uid="{00000000-0004-0000-0200-00005F000000}"/>
    <hyperlink ref="R69" r:id="rId97" xr:uid="{00000000-0004-0000-0200-000060000000}"/>
    <hyperlink ref="R70" r:id="rId98" xr:uid="{00000000-0004-0000-0200-000061000000}"/>
    <hyperlink ref="S70" r:id="rId99" xr:uid="{00000000-0004-0000-0200-000062000000}"/>
    <hyperlink ref="R71" r:id="rId100" xr:uid="{00000000-0004-0000-0200-000063000000}"/>
    <hyperlink ref="R72" r:id="rId101" xr:uid="{00000000-0004-0000-0200-000064000000}"/>
    <hyperlink ref="R73" r:id="rId102" xr:uid="{00000000-0004-0000-0200-000065000000}"/>
    <hyperlink ref="R74" r:id="rId103" xr:uid="{00000000-0004-0000-0200-000066000000}"/>
    <hyperlink ref="S74" r:id="rId104" xr:uid="{00000000-0004-0000-0200-000067000000}"/>
    <hyperlink ref="R75" r:id="rId105" xr:uid="{00000000-0004-0000-0200-000068000000}"/>
    <hyperlink ref="R76" r:id="rId106" xr:uid="{00000000-0004-0000-0200-000069000000}"/>
    <hyperlink ref="S76" r:id="rId107" xr:uid="{00000000-0004-0000-0200-00006A000000}"/>
    <hyperlink ref="R77" r:id="rId108" xr:uid="{00000000-0004-0000-0200-00006B000000}"/>
    <hyperlink ref="R78" r:id="rId109" xr:uid="{00000000-0004-0000-0200-00006C000000}"/>
    <hyperlink ref="S78" r:id="rId110" xr:uid="{00000000-0004-0000-0200-00006D000000}"/>
    <hyperlink ref="R79" r:id="rId111" xr:uid="{00000000-0004-0000-0200-00006E000000}"/>
    <hyperlink ref="R80" r:id="rId112" xr:uid="{00000000-0004-0000-0200-00006F000000}"/>
    <hyperlink ref="R81" r:id="rId113" xr:uid="{00000000-0004-0000-0200-000070000000}"/>
    <hyperlink ref="R82" r:id="rId114" xr:uid="{00000000-0004-0000-0200-000071000000}"/>
    <hyperlink ref="R83" r:id="rId115" xr:uid="{00000000-0004-0000-0200-000072000000}"/>
    <hyperlink ref="R84" r:id="rId116" xr:uid="{00000000-0004-0000-0200-000073000000}"/>
    <hyperlink ref="R85" r:id="rId117" xr:uid="{00000000-0004-0000-0200-000074000000}"/>
    <hyperlink ref="R86" r:id="rId118" xr:uid="{00000000-0004-0000-0200-000075000000}"/>
    <hyperlink ref="R87" r:id="rId119" xr:uid="{00000000-0004-0000-0200-000076000000}"/>
    <hyperlink ref="R88" r:id="rId120" xr:uid="{00000000-0004-0000-0200-000077000000}"/>
    <hyperlink ref="R89" r:id="rId121" xr:uid="{00000000-0004-0000-0200-000078000000}"/>
    <hyperlink ref="R90" r:id="rId122" xr:uid="{00000000-0004-0000-0200-000079000000}"/>
    <hyperlink ref="R91" r:id="rId123" xr:uid="{00000000-0004-0000-0200-00007A000000}"/>
    <hyperlink ref="R92" r:id="rId124" xr:uid="{00000000-0004-0000-0200-00007B000000}"/>
    <hyperlink ref="R93" r:id="rId125" xr:uid="{00000000-0004-0000-0200-00007C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12" customWidth="1"/>
    <col min="3" max="3" width="20" customWidth="1"/>
    <col min="4" max="4" width="34" customWidth="1"/>
    <col min="5" max="5" width="28" customWidth="1"/>
    <col min="6" max="6" width="40" customWidth="1"/>
    <col min="7" max="7" width="18" customWidth="1"/>
    <col min="8" max="8" width="8" customWidth="1"/>
    <col min="9" max="9" width="34" customWidth="1"/>
    <col min="10" max="10" width="32" customWidth="1"/>
    <col min="11" max="11" width="11" customWidth="1"/>
    <col min="12" max="12" width="9" customWidth="1"/>
    <col min="13" max="13" width="40" customWidth="1"/>
    <col min="14" max="14" width="9" customWidth="1"/>
  </cols>
  <sheetData>
    <row r="1" spans="1:14" ht="42" customHeight="1" x14ac:dyDescent="0.25">
      <c r="A1" s="16" t="s">
        <v>93</v>
      </c>
      <c r="B1" s="16" t="s">
        <v>34</v>
      </c>
      <c r="C1" s="16" t="s">
        <v>1035</v>
      </c>
      <c r="D1" s="16" t="s">
        <v>1036</v>
      </c>
      <c r="E1" s="16" t="s">
        <v>1037</v>
      </c>
      <c r="F1" s="16" t="s">
        <v>1038</v>
      </c>
      <c r="G1" s="16" t="s">
        <v>1039</v>
      </c>
      <c r="H1" s="16" t="s">
        <v>105</v>
      </c>
      <c r="I1" s="16" t="s">
        <v>1040</v>
      </c>
      <c r="J1" s="16" t="s">
        <v>1041</v>
      </c>
      <c r="K1" s="16" t="s">
        <v>110</v>
      </c>
      <c r="L1" s="16" t="s">
        <v>1042</v>
      </c>
      <c r="M1" s="16" t="s">
        <v>1043</v>
      </c>
      <c r="N1" s="16" t="s">
        <v>115</v>
      </c>
    </row>
    <row r="2" spans="1:14" ht="60" x14ac:dyDescent="0.25">
      <c r="A2" s="17" t="s">
        <v>1044</v>
      </c>
      <c r="B2" s="17" t="s">
        <v>38</v>
      </c>
      <c r="C2" s="17" t="s">
        <v>1045</v>
      </c>
      <c r="D2" s="17" t="s">
        <v>1046</v>
      </c>
      <c r="E2" s="17" t="s">
        <v>1047</v>
      </c>
      <c r="F2" s="17" t="s">
        <v>1048</v>
      </c>
      <c r="G2" s="17" t="s">
        <v>1049</v>
      </c>
      <c r="H2" s="17" t="s">
        <v>22</v>
      </c>
      <c r="I2" s="17" t="s">
        <v>1050</v>
      </c>
      <c r="J2" s="19" t="s">
        <v>1051</v>
      </c>
      <c r="K2" s="17" t="s">
        <v>1052</v>
      </c>
      <c r="L2" s="17" t="s">
        <v>131</v>
      </c>
      <c r="M2" s="17" t="s">
        <v>1053</v>
      </c>
      <c r="N2" s="17" t="s">
        <v>131</v>
      </c>
    </row>
    <row r="3" spans="1:14" ht="36" x14ac:dyDescent="0.25">
      <c r="A3" s="20" t="s">
        <v>1054</v>
      </c>
      <c r="B3" s="20" t="s">
        <v>38</v>
      </c>
      <c r="C3" s="20" t="s">
        <v>1055</v>
      </c>
      <c r="D3" s="20" t="s">
        <v>1056</v>
      </c>
      <c r="E3" s="20" t="s">
        <v>1057</v>
      </c>
      <c r="F3" s="20" t="s">
        <v>1058</v>
      </c>
      <c r="G3" s="20" t="s">
        <v>1059</v>
      </c>
      <c r="H3" s="20" t="s">
        <v>22</v>
      </c>
      <c r="I3" s="20" t="s">
        <v>1060</v>
      </c>
      <c r="J3" s="22" t="s">
        <v>1051</v>
      </c>
      <c r="K3" s="20" t="s">
        <v>1052</v>
      </c>
      <c r="L3" s="20" t="s">
        <v>131</v>
      </c>
      <c r="M3" s="20" t="s">
        <v>1061</v>
      </c>
      <c r="N3" s="20" t="s">
        <v>130</v>
      </c>
    </row>
    <row r="4" spans="1:14" ht="72" x14ac:dyDescent="0.25">
      <c r="A4" s="17" t="s">
        <v>1062</v>
      </c>
      <c r="B4" s="17" t="s">
        <v>38</v>
      </c>
      <c r="C4" s="17" t="s">
        <v>1055</v>
      </c>
      <c r="D4" s="17" t="s">
        <v>1063</v>
      </c>
      <c r="E4" s="17" t="s">
        <v>1064</v>
      </c>
      <c r="F4" s="17" t="s">
        <v>1065</v>
      </c>
      <c r="G4" s="17" t="s">
        <v>1066</v>
      </c>
      <c r="H4" s="17" t="s">
        <v>22</v>
      </c>
      <c r="I4" s="17" t="s">
        <v>1067</v>
      </c>
      <c r="J4" s="19" t="s">
        <v>1051</v>
      </c>
      <c r="K4" s="17" t="s">
        <v>1052</v>
      </c>
      <c r="L4" s="17" t="s">
        <v>131</v>
      </c>
      <c r="M4" s="17" t="s">
        <v>1068</v>
      </c>
      <c r="N4" s="17" t="s">
        <v>131</v>
      </c>
    </row>
    <row r="5" spans="1:14" ht="72" x14ac:dyDescent="0.25">
      <c r="A5" s="17" t="s">
        <v>1069</v>
      </c>
      <c r="B5" s="17" t="s">
        <v>38</v>
      </c>
      <c r="C5" s="17" t="s">
        <v>1070</v>
      </c>
      <c r="D5" s="17" t="s">
        <v>1071</v>
      </c>
      <c r="E5" s="17" t="s">
        <v>1072</v>
      </c>
      <c r="F5" s="17" t="s">
        <v>1073</v>
      </c>
      <c r="G5" s="17" t="s">
        <v>1074</v>
      </c>
      <c r="H5" s="17" t="s">
        <v>22</v>
      </c>
      <c r="I5" s="17" t="s">
        <v>1075</v>
      </c>
      <c r="J5" s="19" t="s">
        <v>192</v>
      </c>
      <c r="K5" s="17" t="s">
        <v>194</v>
      </c>
      <c r="L5" s="17" t="s">
        <v>131</v>
      </c>
      <c r="M5" s="17" t="s">
        <v>1076</v>
      </c>
      <c r="N5" s="17" t="s">
        <v>131</v>
      </c>
    </row>
    <row r="6" spans="1:14" ht="60" x14ac:dyDescent="0.25">
      <c r="A6" s="17" t="s">
        <v>1077</v>
      </c>
      <c r="B6" s="17" t="s">
        <v>38</v>
      </c>
      <c r="C6" s="17" t="s">
        <v>1078</v>
      </c>
      <c r="D6" s="17" t="s">
        <v>1079</v>
      </c>
      <c r="E6" s="17" t="s">
        <v>1080</v>
      </c>
      <c r="F6" s="17" t="s">
        <v>1081</v>
      </c>
      <c r="G6" s="17" t="s">
        <v>1082</v>
      </c>
      <c r="H6" s="17" t="s">
        <v>26</v>
      </c>
      <c r="I6" s="17" t="s">
        <v>1083</v>
      </c>
      <c r="J6" s="19" t="s">
        <v>1084</v>
      </c>
      <c r="K6" s="17" t="s">
        <v>1085</v>
      </c>
      <c r="L6" s="17" t="s">
        <v>130</v>
      </c>
      <c r="M6" s="17" t="s">
        <v>1086</v>
      </c>
      <c r="N6" s="17" t="s">
        <v>131</v>
      </c>
    </row>
    <row r="7" spans="1:14" ht="48" x14ac:dyDescent="0.25">
      <c r="A7" s="17" t="s">
        <v>1087</v>
      </c>
      <c r="B7" s="17" t="s">
        <v>38</v>
      </c>
      <c r="C7" s="17" t="s">
        <v>1088</v>
      </c>
      <c r="D7" s="17" t="s">
        <v>1089</v>
      </c>
      <c r="E7" s="17" t="s">
        <v>1090</v>
      </c>
      <c r="F7" s="17" t="s">
        <v>1091</v>
      </c>
      <c r="G7" s="17" t="s">
        <v>1092</v>
      </c>
      <c r="H7" s="17" t="s">
        <v>26</v>
      </c>
      <c r="I7" s="17" t="s">
        <v>1093</v>
      </c>
      <c r="J7" s="19" t="s">
        <v>1094</v>
      </c>
      <c r="K7" s="17" t="s">
        <v>1095</v>
      </c>
      <c r="L7" s="17" t="s">
        <v>130</v>
      </c>
      <c r="M7" s="17" t="s">
        <v>1096</v>
      </c>
      <c r="N7" s="17" t="s">
        <v>131</v>
      </c>
    </row>
    <row r="8" spans="1:14" ht="36" x14ac:dyDescent="0.25">
      <c r="A8" s="17" t="s">
        <v>1097</v>
      </c>
      <c r="B8" s="17" t="s">
        <v>38</v>
      </c>
      <c r="C8" s="17" t="s">
        <v>1098</v>
      </c>
      <c r="D8" s="17" t="s">
        <v>1099</v>
      </c>
      <c r="E8" s="17" t="s">
        <v>1100</v>
      </c>
      <c r="F8" s="17" t="s">
        <v>1101</v>
      </c>
      <c r="G8" s="17" t="s">
        <v>1102</v>
      </c>
      <c r="H8" s="17" t="s">
        <v>24</v>
      </c>
      <c r="I8" s="17" t="s">
        <v>1103</v>
      </c>
      <c r="J8" s="19" t="s">
        <v>1104</v>
      </c>
      <c r="K8" s="17" t="s">
        <v>285</v>
      </c>
      <c r="L8" s="17" t="s">
        <v>130</v>
      </c>
      <c r="M8" s="17" t="s">
        <v>1105</v>
      </c>
      <c r="N8" s="17" t="s">
        <v>131</v>
      </c>
    </row>
    <row r="9" spans="1:14" ht="60" x14ac:dyDescent="0.25">
      <c r="A9" s="17" t="s">
        <v>1106</v>
      </c>
      <c r="B9" s="17" t="s">
        <v>38</v>
      </c>
      <c r="C9" s="17" t="s">
        <v>1107</v>
      </c>
      <c r="D9" s="17" t="s">
        <v>1108</v>
      </c>
      <c r="E9" s="17" t="s">
        <v>1109</v>
      </c>
      <c r="F9" s="17" t="s">
        <v>1110</v>
      </c>
      <c r="G9" s="17" t="s">
        <v>1111</v>
      </c>
      <c r="H9" s="17" t="s">
        <v>24</v>
      </c>
      <c r="I9" s="17" t="s">
        <v>1112</v>
      </c>
      <c r="J9" s="19" t="s">
        <v>1113</v>
      </c>
      <c r="K9" s="17" t="s">
        <v>239</v>
      </c>
      <c r="L9" s="17" t="s">
        <v>130</v>
      </c>
      <c r="M9" s="17"/>
      <c r="N9" s="17" t="s">
        <v>131</v>
      </c>
    </row>
    <row r="10" spans="1:14" ht="48" x14ac:dyDescent="0.25">
      <c r="A10" s="17" t="s">
        <v>1114</v>
      </c>
      <c r="B10" s="17" t="s">
        <v>38</v>
      </c>
      <c r="C10" s="17" t="s">
        <v>1115</v>
      </c>
      <c r="D10" s="17" t="s">
        <v>1116</v>
      </c>
      <c r="E10" s="17" t="s">
        <v>1117</v>
      </c>
      <c r="F10" s="17" t="s">
        <v>1118</v>
      </c>
      <c r="G10" s="17" t="s">
        <v>239</v>
      </c>
      <c r="H10" s="17" t="s">
        <v>30</v>
      </c>
      <c r="I10" s="17" t="s">
        <v>1119</v>
      </c>
      <c r="J10" s="19" t="s">
        <v>1120</v>
      </c>
      <c r="K10" s="17" t="s">
        <v>239</v>
      </c>
      <c r="L10" s="17" t="s">
        <v>130</v>
      </c>
      <c r="M10" s="17" t="s">
        <v>1121</v>
      </c>
      <c r="N10" s="17" t="s">
        <v>131</v>
      </c>
    </row>
    <row r="11" spans="1:14" ht="48" x14ac:dyDescent="0.25">
      <c r="A11" s="17" t="s">
        <v>1122</v>
      </c>
      <c r="B11" s="17" t="s">
        <v>38</v>
      </c>
      <c r="C11" s="17" t="s">
        <v>1123</v>
      </c>
      <c r="D11" s="17" t="s">
        <v>1124</v>
      </c>
      <c r="E11" s="17" t="s">
        <v>1125</v>
      </c>
      <c r="F11" s="17" t="s">
        <v>1126</v>
      </c>
      <c r="G11" s="17" t="s">
        <v>1127</v>
      </c>
      <c r="H11" s="17" t="s">
        <v>22</v>
      </c>
      <c r="I11" s="17" t="s">
        <v>1128</v>
      </c>
      <c r="J11" s="19" t="s">
        <v>1129</v>
      </c>
      <c r="K11" s="17" t="s">
        <v>1130</v>
      </c>
      <c r="L11" s="17" t="s">
        <v>131</v>
      </c>
      <c r="M11" s="17" t="s">
        <v>1131</v>
      </c>
      <c r="N11" s="17" t="s">
        <v>131</v>
      </c>
    </row>
    <row r="12" spans="1:14" ht="48" x14ac:dyDescent="0.25">
      <c r="A12" s="17" t="s">
        <v>1132</v>
      </c>
      <c r="B12" s="17" t="s">
        <v>38</v>
      </c>
      <c r="C12" s="17" t="s">
        <v>1123</v>
      </c>
      <c r="D12" s="17" t="s">
        <v>1133</v>
      </c>
      <c r="E12" s="17" t="s">
        <v>1134</v>
      </c>
      <c r="F12" s="17" t="s">
        <v>1135</v>
      </c>
      <c r="G12" s="17" t="s">
        <v>1136</v>
      </c>
      <c r="H12" s="17" t="s">
        <v>22</v>
      </c>
      <c r="I12" s="17" t="s">
        <v>1137</v>
      </c>
      <c r="J12" s="19" t="s">
        <v>1138</v>
      </c>
      <c r="K12" s="17" t="s">
        <v>1139</v>
      </c>
      <c r="L12" s="17" t="s">
        <v>131</v>
      </c>
      <c r="M12" s="17"/>
      <c r="N12" s="17" t="s">
        <v>131</v>
      </c>
    </row>
    <row r="13" spans="1:14" ht="48" x14ac:dyDescent="0.25">
      <c r="A13" s="20" t="s">
        <v>1140</v>
      </c>
      <c r="B13" s="20" t="s">
        <v>43</v>
      </c>
      <c r="C13" s="20" t="s">
        <v>1141</v>
      </c>
      <c r="D13" s="20" t="s">
        <v>1142</v>
      </c>
      <c r="E13" s="20" t="s">
        <v>1143</v>
      </c>
      <c r="F13" s="20" t="s">
        <v>1144</v>
      </c>
      <c r="G13" s="20" t="s">
        <v>1145</v>
      </c>
      <c r="H13" s="20" t="s">
        <v>22</v>
      </c>
      <c r="I13" s="20" t="s">
        <v>1146</v>
      </c>
      <c r="J13" s="22" t="s">
        <v>1138</v>
      </c>
      <c r="K13" s="20" t="s">
        <v>1139</v>
      </c>
      <c r="L13" s="20" t="s">
        <v>131</v>
      </c>
      <c r="M13" s="20" t="s">
        <v>1147</v>
      </c>
      <c r="N13" s="20" t="s">
        <v>130</v>
      </c>
    </row>
    <row r="14" spans="1:14" ht="60" x14ac:dyDescent="0.25">
      <c r="A14" s="20" t="s">
        <v>1148</v>
      </c>
      <c r="B14" s="20" t="s">
        <v>42</v>
      </c>
      <c r="C14" s="20" t="s">
        <v>1141</v>
      </c>
      <c r="D14" s="20" t="s">
        <v>1149</v>
      </c>
      <c r="E14" s="20" t="s">
        <v>1150</v>
      </c>
      <c r="F14" s="20" t="s">
        <v>1151</v>
      </c>
      <c r="G14" s="20" t="s">
        <v>1152</v>
      </c>
      <c r="H14" s="20" t="s">
        <v>24</v>
      </c>
      <c r="I14" s="20" t="s">
        <v>1153</v>
      </c>
      <c r="J14" s="22" t="s">
        <v>1154</v>
      </c>
      <c r="K14" s="20" t="s">
        <v>1155</v>
      </c>
      <c r="L14" s="20" t="s">
        <v>130</v>
      </c>
      <c r="M14" s="20" t="s">
        <v>1156</v>
      </c>
      <c r="N14" s="20" t="s">
        <v>130</v>
      </c>
    </row>
    <row r="15" spans="1:14" ht="36" x14ac:dyDescent="0.25">
      <c r="A15" s="20" t="s">
        <v>1157</v>
      </c>
      <c r="B15" s="20" t="s">
        <v>39</v>
      </c>
      <c r="C15" s="20" t="s">
        <v>1158</v>
      </c>
      <c r="D15" s="20" t="s">
        <v>1159</v>
      </c>
      <c r="E15" s="20" t="s">
        <v>1160</v>
      </c>
      <c r="F15" s="20" t="s">
        <v>1161</v>
      </c>
      <c r="G15" s="20" t="s">
        <v>1162</v>
      </c>
      <c r="H15" s="20" t="s">
        <v>24</v>
      </c>
      <c r="I15" s="20" t="s">
        <v>1163</v>
      </c>
      <c r="J15" s="22" t="s">
        <v>681</v>
      </c>
      <c r="K15" s="20" t="s">
        <v>682</v>
      </c>
      <c r="L15" s="20" t="s">
        <v>130</v>
      </c>
      <c r="M15" s="20"/>
      <c r="N15" s="20" t="s">
        <v>130</v>
      </c>
    </row>
    <row r="16" spans="1:14" ht="60" x14ac:dyDescent="0.25">
      <c r="A16" s="20" t="s">
        <v>1164</v>
      </c>
      <c r="B16" s="20" t="s">
        <v>40</v>
      </c>
      <c r="C16" s="20" t="s">
        <v>1165</v>
      </c>
      <c r="D16" s="20" t="s">
        <v>1166</v>
      </c>
      <c r="E16" s="20" t="s">
        <v>1167</v>
      </c>
      <c r="F16" s="20" t="s">
        <v>1168</v>
      </c>
      <c r="G16" s="20" t="s">
        <v>239</v>
      </c>
      <c r="H16" s="20" t="s">
        <v>28</v>
      </c>
      <c r="I16" s="20" t="s">
        <v>1169</v>
      </c>
      <c r="J16" s="22" t="s">
        <v>695</v>
      </c>
      <c r="K16" s="20" t="s">
        <v>696</v>
      </c>
      <c r="L16" s="20" t="s">
        <v>130</v>
      </c>
      <c r="M16" s="20"/>
      <c r="N16" s="20" t="s">
        <v>130</v>
      </c>
    </row>
    <row r="17" spans="1:14" ht="48" x14ac:dyDescent="0.25">
      <c r="A17" s="17" t="s">
        <v>1170</v>
      </c>
      <c r="B17" s="17" t="s">
        <v>38</v>
      </c>
      <c r="C17" s="17" t="s">
        <v>1171</v>
      </c>
      <c r="D17" s="17" t="s">
        <v>1172</v>
      </c>
      <c r="E17" s="17" t="s">
        <v>1173</v>
      </c>
      <c r="F17" s="17" t="s">
        <v>1174</v>
      </c>
      <c r="G17" s="17" t="s">
        <v>1175</v>
      </c>
      <c r="H17" s="17" t="s">
        <v>24</v>
      </c>
      <c r="I17" s="17" t="s">
        <v>1176</v>
      </c>
      <c r="J17" s="19" t="s">
        <v>1177</v>
      </c>
      <c r="K17" s="17" t="s">
        <v>1178</v>
      </c>
      <c r="L17" s="17" t="s">
        <v>130</v>
      </c>
      <c r="M17" s="17" t="s">
        <v>1179</v>
      </c>
      <c r="N17" s="17" t="s">
        <v>131</v>
      </c>
    </row>
    <row r="18" spans="1:14" ht="48" x14ac:dyDescent="0.25">
      <c r="A18" s="17" t="s">
        <v>1180</v>
      </c>
      <c r="B18" s="17" t="s">
        <v>38</v>
      </c>
      <c r="C18" s="17" t="s">
        <v>1181</v>
      </c>
      <c r="D18" s="17" t="s">
        <v>1182</v>
      </c>
      <c r="E18" s="17" t="s">
        <v>1183</v>
      </c>
      <c r="F18" s="17" t="s">
        <v>1184</v>
      </c>
      <c r="G18" s="17" t="s">
        <v>1185</v>
      </c>
      <c r="H18" s="17" t="s">
        <v>24</v>
      </c>
      <c r="I18" s="17" t="s">
        <v>1186</v>
      </c>
      <c r="J18" s="19" t="s">
        <v>1187</v>
      </c>
      <c r="K18" s="17" t="s">
        <v>1188</v>
      </c>
      <c r="L18" s="17" t="s">
        <v>130</v>
      </c>
      <c r="M18" s="17"/>
      <c r="N18" s="17" t="s">
        <v>131</v>
      </c>
    </row>
  </sheetData>
  <autoFilter ref="A1:N18" xr:uid="{00000000-0009-0000-0000-000003000000}"/>
  <hyperlinks>
    <hyperlink ref="J2" r:id="rId1" xr:uid="{00000000-0004-0000-0300-000000000000}"/>
    <hyperlink ref="J3" r:id="rId2" xr:uid="{00000000-0004-0000-0300-000001000000}"/>
    <hyperlink ref="J4" r:id="rId3" xr:uid="{00000000-0004-0000-0300-000002000000}"/>
    <hyperlink ref="J5" r:id="rId4" xr:uid="{00000000-0004-0000-0300-000003000000}"/>
    <hyperlink ref="J6" r:id="rId5" xr:uid="{00000000-0004-0000-0300-000004000000}"/>
    <hyperlink ref="J7" r:id="rId6" xr:uid="{00000000-0004-0000-0300-000005000000}"/>
    <hyperlink ref="J8" r:id="rId7" xr:uid="{00000000-0004-0000-0300-000006000000}"/>
    <hyperlink ref="J9" r:id="rId8" xr:uid="{00000000-0004-0000-0300-000007000000}"/>
    <hyperlink ref="J10" r:id="rId9" xr:uid="{00000000-0004-0000-0300-000008000000}"/>
    <hyperlink ref="J11" r:id="rId10" xr:uid="{00000000-0004-0000-0300-000009000000}"/>
    <hyperlink ref="J12" r:id="rId11" xr:uid="{00000000-0004-0000-0300-00000A000000}"/>
    <hyperlink ref="J13" r:id="rId12" xr:uid="{00000000-0004-0000-0300-00000B000000}"/>
    <hyperlink ref="J14" r:id="rId13" xr:uid="{00000000-0004-0000-0300-00000C000000}"/>
    <hyperlink ref="J15" r:id="rId14" xr:uid="{00000000-0004-0000-0300-00000D000000}"/>
    <hyperlink ref="J16" r:id="rId15" xr:uid="{00000000-0004-0000-0300-00000E000000}"/>
    <hyperlink ref="J17" r:id="rId16" xr:uid="{00000000-0004-0000-0300-00000F000000}"/>
    <hyperlink ref="J18" r:id="rId17" xr:uid="{00000000-0004-0000-0300-00001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0" customWidth="1"/>
    <col min="3" max="4" width="22" customWidth="1"/>
    <col min="5" max="5" width="11" customWidth="1"/>
    <col min="6" max="6" width="26" customWidth="1"/>
    <col min="7" max="7" width="22" customWidth="1"/>
    <col min="8" max="8" width="24" customWidth="1"/>
    <col min="9" max="9" width="26" customWidth="1"/>
    <col min="10" max="10" width="16" customWidth="1"/>
    <col min="11" max="11" width="18" customWidth="1"/>
    <col min="12" max="12" width="12" customWidth="1"/>
    <col min="13" max="13" width="10" customWidth="1"/>
    <col min="14" max="14" width="14" customWidth="1"/>
    <col min="15" max="15" width="9" customWidth="1"/>
    <col min="16" max="16" width="7" customWidth="1"/>
    <col min="17" max="17" width="9" customWidth="1"/>
    <col min="18" max="18" width="11" customWidth="1"/>
    <col min="19" max="19" width="20" customWidth="1"/>
    <col min="20" max="20" width="30" customWidth="1"/>
    <col min="21" max="21" width="8" customWidth="1"/>
    <col min="22" max="22" width="36" customWidth="1"/>
  </cols>
  <sheetData>
    <row r="1" spans="1:22" ht="42" customHeight="1" x14ac:dyDescent="0.25">
      <c r="A1" s="16" t="s">
        <v>93</v>
      </c>
      <c r="B1" s="16" t="s">
        <v>1189</v>
      </c>
      <c r="C1" s="16" t="s">
        <v>1190</v>
      </c>
      <c r="D1" s="16" t="s">
        <v>1191</v>
      </c>
      <c r="E1" s="16" t="s">
        <v>1192</v>
      </c>
      <c r="F1" s="16" t="s">
        <v>1193</v>
      </c>
      <c r="G1" s="16" t="s">
        <v>1194</v>
      </c>
      <c r="H1" s="16" t="s">
        <v>1195</v>
      </c>
      <c r="I1" s="16" t="s">
        <v>1196</v>
      </c>
      <c r="J1" s="16" t="s">
        <v>50</v>
      </c>
      <c r="K1" s="16" t="s">
        <v>1197</v>
      </c>
      <c r="L1" s="16" t="s">
        <v>1198</v>
      </c>
      <c r="M1" s="16" t="s">
        <v>1199</v>
      </c>
      <c r="N1" s="16" t="s">
        <v>1200</v>
      </c>
      <c r="O1" s="16" t="s">
        <v>1201</v>
      </c>
      <c r="P1" s="16" t="s">
        <v>1202</v>
      </c>
      <c r="Q1" s="16" t="s">
        <v>1203</v>
      </c>
      <c r="R1" s="16" t="s">
        <v>1204</v>
      </c>
      <c r="S1" s="16" t="s">
        <v>1205</v>
      </c>
      <c r="T1" s="16" t="s">
        <v>1041</v>
      </c>
      <c r="U1" s="16" t="s">
        <v>1206</v>
      </c>
      <c r="V1" s="16" t="s">
        <v>1043</v>
      </c>
    </row>
    <row r="2" spans="1:22" ht="120" x14ac:dyDescent="0.25">
      <c r="A2" s="17" t="s">
        <v>1207</v>
      </c>
      <c r="B2" s="17" t="s">
        <v>1208</v>
      </c>
      <c r="C2" s="17" t="s">
        <v>1209</v>
      </c>
      <c r="D2" s="17" t="s">
        <v>1210</v>
      </c>
      <c r="E2" s="17" t="s">
        <v>1211</v>
      </c>
      <c r="F2" s="17" t="s">
        <v>1212</v>
      </c>
      <c r="G2" s="17" t="s">
        <v>1213</v>
      </c>
      <c r="H2" s="17" t="s">
        <v>1214</v>
      </c>
      <c r="I2" s="17" t="s">
        <v>1215</v>
      </c>
      <c r="J2" s="17" t="s">
        <v>56</v>
      </c>
      <c r="K2" s="17" t="s">
        <v>1216</v>
      </c>
      <c r="L2" s="17" t="s">
        <v>1183</v>
      </c>
      <c r="M2" s="18">
        <v>103.367</v>
      </c>
      <c r="N2" s="17" t="s">
        <v>1217</v>
      </c>
      <c r="O2" s="17">
        <v>2200</v>
      </c>
      <c r="P2" s="17">
        <v>58</v>
      </c>
      <c r="Q2" s="18">
        <f t="shared" ref="Q2:Q46" si="0">IF(AND(ISNUMBER(O2),ISNUMBER(P2)),O2*P2/1000,"")</f>
        <v>127.6</v>
      </c>
      <c r="R2" s="18"/>
      <c r="S2" s="17" t="s">
        <v>1218</v>
      </c>
      <c r="T2" s="19" t="s">
        <v>445</v>
      </c>
      <c r="U2" s="17" t="s">
        <v>131</v>
      </c>
      <c r="V2" s="17"/>
    </row>
    <row r="3" spans="1:22" ht="48" x14ac:dyDescent="0.25">
      <c r="A3" s="17" t="s">
        <v>1219</v>
      </c>
      <c r="B3" s="17" t="s">
        <v>1220</v>
      </c>
      <c r="C3" s="17" t="s">
        <v>1221</v>
      </c>
      <c r="D3" s="17" t="s">
        <v>1222</v>
      </c>
      <c r="E3" s="17" t="s">
        <v>460</v>
      </c>
      <c r="F3" s="17" t="s">
        <v>1223</v>
      </c>
      <c r="G3" s="17" t="s">
        <v>1224</v>
      </c>
      <c r="H3" s="17" t="s">
        <v>1225</v>
      </c>
      <c r="I3" s="17" t="s">
        <v>1226</v>
      </c>
      <c r="J3" s="17" t="s">
        <v>56</v>
      </c>
      <c r="K3" s="17" t="s">
        <v>1227</v>
      </c>
      <c r="L3" s="17" t="s">
        <v>1228</v>
      </c>
      <c r="M3" s="18"/>
      <c r="N3" s="17"/>
      <c r="O3" s="17"/>
      <c r="P3" s="17"/>
      <c r="Q3" s="18" t="str">
        <f t="shared" si="0"/>
        <v/>
      </c>
      <c r="R3" s="18"/>
      <c r="S3" s="17"/>
      <c r="T3" s="19" t="s">
        <v>1229</v>
      </c>
      <c r="U3" s="17" t="s">
        <v>131</v>
      </c>
      <c r="V3" s="17" t="s">
        <v>1230</v>
      </c>
    </row>
    <row r="4" spans="1:22" ht="48" x14ac:dyDescent="0.25">
      <c r="A4" s="17" t="s">
        <v>1231</v>
      </c>
      <c r="B4" s="17" t="s">
        <v>1232</v>
      </c>
      <c r="C4" s="17" t="s">
        <v>1233</v>
      </c>
      <c r="D4" s="17" t="s">
        <v>1234</v>
      </c>
      <c r="E4" s="17" t="s">
        <v>524</v>
      </c>
      <c r="F4" s="17" t="s">
        <v>1223</v>
      </c>
      <c r="G4" s="17" t="s">
        <v>1224</v>
      </c>
      <c r="H4" s="17" t="s">
        <v>1235</v>
      </c>
      <c r="I4" s="17" t="s">
        <v>1226</v>
      </c>
      <c r="J4" s="17" t="s">
        <v>56</v>
      </c>
      <c r="K4" s="17" t="s">
        <v>1216</v>
      </c>
      <c r="L4" s="17" t="s">
        <v>1236</v>
      </c>
      <c r="M4" s="18"/>
      <c r="N4" s="17"/>
      <c r="O4" s="17"/>
      <c r="P4" s="17"/>
      <c r="Q4" s="18" t="str">
        <f t="shared" si="0"/>
        <v/>
      </c>
      <c r="R4" s="18"/>
      <c r="S4" s="17"/>
      <c r="T4" s="19" t="s">
        <v>459</v>
      </c>
      <c r="U4" s="17" t="s">
        <v>131</v>
      </c>
      <c r="V4" s="17"/>
    </row>
    <row r="5" spans="1:22" ht="48" x14ac:dyDescent="0.25">
      <c r="A5" s="17" t="s">
        <v>1237</v>
      </c>
      <c r="B5" s="17" t="s">
        <v>1220</v>
      </c>
      <c r="C5" s="17" t="s">
        <v>1238</v>
      </c>
      <c r="D5" s="17" t="s">
        <v>1239</v>
      </c>
      <c r="E5" s="17" t="s">
        <v>1240</v>
      </c>
      <c r="F5" s="17" t="s">
        <v>1241</v>
      </c>
      <c r="G5" s="17" t="s">
        <v>1242</v>
      </c>
      <c r="H5" s="17" t="s">
        <v>1243</v>
      </c>
      <c r="I5" s="17" t="s">
        <v>1244</v>
      </c>
      <c r="J5" s="17" t="s">
        <v>56</v>
      </c>
      <c r="K5" s="17" t="s">
        <v>1227</v>
      </c>
      <c r="L5" s="17" t="s">
        <v>1245</v>
      </c>
      <c r="M5" s="18"/>
      <c r="N5" s="17"/>
      <c r="O5" s="17"/>
      <c r="P5" s="17"/>
      <c r="Q5" s="18" t="str">
        <f t="shared" si="0"/>
        <v/>
      </c>
      <c r="R5" s="18">
        <v>1895</v>
      </c>
      <c r="S5" s="17"/>
      <c r="T5" s="19" t="s">
        <v>1246</v>
      </c>
      <c r="U5" s="17" t="s">
        <v>131</v>
      </c>
      <c r="V5" s="17" t="s">
        <v>1247</v>
      </c>
    </row>
    <row r="6" spans="1:22" ht="60" x14ac:dyDescent="0.25">
      <c r="A6" s="17" t="s">
        <v>1248</v>
      </c>
      <c r="B6" s="17" t="s">
        <v>1232</v>
      </c>
      <c r="C6" s="17" t="s">
        <v>1249</v>
      </c>
      <c r="D6" s="17" t="s">
        <v>1250</v>
      </c>
      <c r="E6" s="17" t="s">
        <v>1251</v>
      </c>
      <c r="F6" s="17" t="s">
        <v>1252</v>
      </c>
      <c r="G6" s="17" t="s">
        <v>1253</v>
      </c>
      <c r="H6" s="17" t="s">
        <v>1254</v>
      </c>
      <c r="I6" s="17" t="s">
        <v>1255</v>
      </c>
      <c r="J6" s="17" t="s">
        <v>56</v>
      </c>
      <c r="K6" s="17" t="s">
        <v>1256</v>
      </c>
      <c r="L6" s="17" t="s">
        <v>1257</v>
      </c>
      <c r="M6" s="18">
        <v>135</v>
      </c>
      <c r="N6" s="17" t="s">
        <v>1258</v>
      </c>
      <c r="O6" s="17">
        <v>2500</v>
      </c>
      <c r="P6" s="17">
        <v>65</v>
      </c>
      <c r="Q6" s="18">
        <f t="shared" si="0"/>
        <v>162.5</v>
      </c>
      <c r="R6" s="18"/>
      <c r="S6" s="17"/>
      <c r="T6" s="19" t="s">
        <v>1259</v>
      </c>
      <c r="U6" s="17" t="s">
        <v>131</v>
      </c>
      <c r="V6" s="17" t="s">
        <v>1260</v>
      </c>
    </row>
    <row r="7" spans="1:22" ht="60" x14ac:dyDescent="0.25">
      <c r="A7" s="17" t="s">
        <v>1261</v>
      </c>
      <c r="B7" s="17" t="s">
        <v>1220</v>
      </c>
      <c r="C7" s="17" t="s">
        <v>1262</v>
      </c>
      <c r="D7" s="17" t="s">
        <v>1263</v>
      </c>
      <c r="E7" s="17" t="s">
        <v>1240</v>
      </c>
      <c r="F7" s="17" t="s">
        <v>1252</v>
      </c>
      <c r="G7" s="17" t="s">
        <v>1264</v>
      </c>
      <c r="H7" s="17" t="s">
        <v>1235</v>
      </c>
      <c r="I7" s="17" t="s">
        <v>1265</v>
      </c>
      <c r="J7" s="17" t="s">
        <v>56</v>
      </c>
      <c r="K7" s="17" t="s">
        <v>1227</v>
      </c>
      <c r="L7" s="17" t="s">
        <v>1245</v>
      </c>
      <c r="M7" s="18"/>
      <c r="N7" s="17"/>
      <c r="O7" s="17"/>
      <c r="P7" s="17"/>
      <c r="Q7" s="18" t="str">
        <f t="shared" si="0"/>
        <v/>
      </c>
      <c r="R7" s="18">
        <v>3211.9</v>
      </c>
      <c r="S7" s="17"/>
      <c r="T7" s="19" t="s">
        <v>1266</v>
      </c>
      <c r="U7" s="17" t="s">
        <v>131</v>
      </c>
      <c r="V7" s="17"/>
    </row>
    <row r="8" spans="1:22" ht="60" x14ac:dyDescent="0.25">
      <c r="A8" s="17" t="s">
        <v>1267</v>
      </c>
      <c r="B8" s="17" t="s">
        <v>1220</v>
      </c>
      <c r="C8" s="17" t="s">
        <v>1268</v>
      </c>
      <c r="D8" s="17" t="s">
        <v>1269</v>
      </c>
      <c r="E8" s="17" t="s">
        <v>551</v>
      </c>
      <c r="F8" s="17" t="s">
        <v>1252</v>
      </c>
      <c r="G8" s="17" t="s">
        <v>1264</v>
      </c>
      <c r="H8" s="17" t="s">
        <v>1235</v>
      </c>
      <c r="I8" s="17" t="s">
        <v>1270</v>
      </c>
      <c r="J8" s="17" t="s">
        <v>56</v>
      </c>
      <c r="K8" s="17" t="s">
        <v>1271</v>
      </c>
      <c r="L8" s="17" t="s">
        <v>1228</v>
      </c>
      <c r="M8" s="18"/>
      <c r="N8" s="17"/>
      <c r="O8" s="17"/>
      <c r="P8" s="17"/>
      <c r="Q8" s="18" t="str">
        <f t="shared" si="0"/>
        <v/>
      </c>
      <c r="R8" s="18"/>
      <c r="S8" s="17"/>
      <c r="T8" s="19" t="s">
        <v>1272</v>
      </c>
      <c r="U8" s="17" t="s">
        <v>131</v>
      </c>
      <c r="V8" s="17"/>
    </row>
    <row r="9" spans="1:22" ht="60" x14ac:dyDescent="0.25">
      <c r="A9" s="17" t="s">
        <v>1273</v>
      </c>
      <c r="B9" s="17" t="s">
        <v>1232</v>
      </c>
      <c r="C9" s="17" t="s">
        <v>1274</v>
      </c>
      <c r="D9" s="17" t="s">
        <v>1275</v>
      </c>
      <c r="E9" s="17" t="s">
        <v>1251</v>
      </c>
      <c r="F9" s="17" t="s">
        <v>1276</v>
      </c>
      <c r="G9" s="17" t="s">
        <v>1277</v>
      </c>
      <c r="H9" s="17" t="s">
        <v>1278</v>
      </c>
      <c r="I9" s="17" t="s">
        <v>1279</v>
      </c>
      <c r="J9" s="17" t="s">
        <v>56</v>
      </c>
      <c r="K9" s="17" t="s">
        <v>1280</v>
      </c>
      <c r="L9" s="17" t="s">
        <v>1257</v>
      </c>
      <c r="M9" s="18">
        <v>140</v>
      </c>
      <c r="N9" s="17" t="s">
        <v>1281</v>
      </c>
      <c r="O9" s="17">
        <v>2250</v>
      </c>
      <c r="P9" s="17">
        <v>103</v>
      </c>
      <c r="Q9" s="18">
        <f t="shared" si="0"/>
        <v>231.75</v>
      </c>
      <c r="R9" s="18"/>
      <c r="S9" s="17"/>
      <c r="T9" s="19" t="s">
        <v>1259</v>
      </c>
      <c r="U9" s="17" t="s">
        <v>131</v>
      </c>
      <c r="V9" s="17" t="s">
        <v>1282</v>
      </c>
    </row>
    <row r="10" spans="1:22" ht="48" x14ac:dyDescent="0.25">
      <c r="A10" s="17" t="s">
        <v>1283</v>
      </c>
      <c r="B10" s="17" t="s">
        <v>1220</v>
      </c>
      <c r="C10" s="17" t="s">
        <v>1284</v>
      </c>
      <c r="D10" s="17" t="s">
        <v>1285</v>
      </c>
      <c r="E10" s="17" t="s">
        <v>542</v>
      </c>
      <c r="F10" s="17" t="s">
        <v>1276</v>
      </c>
      <c r="G10" s="17" t="s">
        <v>1286</v>
      </c>
      <c r="H10" s="17" t="s">
        <v>1235</v>
      </c>
      <c r="I10" s="17" t="s">
        <v>537</v>
      </c>
      <c r="J10" s="17" t="s">
        <v>56</v>
      </c>
      <c r="K10" s="17" t="s">
        <v>1227</v>
      </c>
      <c r="L10" s="17" t="s">
        <v>1228</v>
      </c>
      <c r="M10" s="18"/>
      <c r="N10" s="17"/>
      <c r="O10" s="17"/>
      <c r="P10" s="17"/>
      <c r="Q10" s="18" t="str">
        <f t="shared" si="0"/>
        <v/>
      </c>
      <c r="R10" s="18"/>
      <c r="S10" s="17"/>
      <c r="T10" s="19" t="s">
        <v>1287</v>
      </c>
      <c r="U10" s="17" t="s">
        <v>131</v>
      </c>
      <c r="V10" s="17"/>
    </row>
    <row r="11" spans="1:22" ht="60" x14ac:dyDescent="0.25">
      <c r="A11" s="20" t="s">
        <v>1288</v>
      </c>
      <c r="B11" s="20" t="s">
        <v>1232</v>
      </c>
      <c r="C11" s="20" t="s">
        <v>1289</v>
      </c>
      <c r="D11" s="20" t="s">
        <v>1290</v>
      </c>
      <c r="E11" s="20" t="s">
        <v>1251</v>
      </c>
      <c r="F11" s="20" t="s">
        <v>1291</v>
      </c>
      <c r="G11" s="20" t="s">
        <v>726</v>
      </c>
      <c r="H11" s="20" t="s">
        <v>1292</v>
      </c>
      <c r="I11" s="20" t="s">
        <v>474</v>
      </c>
      <c r="J11" s="20" t="s">
        <v>60</v>
      </c>
      <c r="K11" s="20" t="s">
        <v>1293</v>
      </c>
      <c r="L11" s="20" t="s">
        <v>1257</v>
      </c>
      <c r="M11" s="21">
        <v>77</v>
      </c>
      <c r="N11" s="20" t="s">
        <v>1294</v>
      </c>
      <c r="O11" s="20"/>
      <c r="P11" s="20"/>
      <c r="Q11" s="21" t="str">
        <f t="shared" si="0"/>
        <v/>
      </c>
      <c r="R11" s="21"/>
      <c r="S11" s="20" t="s">
        <v>1295</v>
      </c>
      <c r="T11" s="22" t="s">
        <v>1259</v>
      </c>
      <c r="U11" s="20" t="s">
        <v>131</v>
      </c>
      <c r="V11" s="20" t="s">
        <v>1296</v>
      </c>
    </row>
    <row r="12" spans="1:22" ht="60" x14ac:dyDescent="0.25">
      <c r="A12" s="20" t="s">
        <v>1297</v>
      </c>
      <c r="B12" s="20" t="s">
        <v>1220</v>
      </c>
      <c r="C12" s="20" t="s">
        <v>1298</v>
      </c>
      <c r="D12" s="20" t="s">
        <v>1269</v>
      </c>
      <c r="E12" s="20" t="s">
        <v>479</v>
      </c>
      <c r="F12" s="20" t="s">
        <v>1291</v>
      </c>
      <c r="G12" s="20" t="s">
        <v>726</v>
      </c>
      <c r="H12" s="20" t="s">
        <v>1292</v>
      </c>
      <c r="I12" s="20" t="s">
        <v>1299</v>
      </c>
      <c r="J12" s="20" t="s">
        <v>60</v>
      </c>
      <c r="K12" s="20" t="s">
        <v>1227</v>
      </c>
      <c r="L12" s="20" t="s">
        <v>1228</v>
      </c>
      <c r="M12" s="21"/>
      <c r="N12" s="20"/>
      <c r="O12" s="20"/>
      <c r="P12" s="20"/>
      <c r="Q12" s="21" t="str">
        <f t="shared" si="0"/>
        <v/>
      </c>
      <c r="R12" s="21">
        <v>2626.63</v>
      </c>
      <c r="S12" s="20"/>
      <c r="T12" s="22" t="s">
        <v>1272</v>
      </c>
      <c r="U12" s="20" t="s">
        <v>131</v>
      </c>
      <c r="V12" s="20" t="s">
        <v>1300</v>
      </c>
    </row>
    <row r="13" spans="1:22" ht="48" x14ac:dyDescent="0.25">
      <c r="A13" s="17" t="s">
        <v>1301</v>
      </c>
      <c r="B13" s="17" t="s">
        <v>1220</v>
      </c>
      <c r="C13" s="17" t="s">
        <v>1302</v>
      </c>
      <c r="D13" s="17" t="s">
        <v>1303</v>
      </c>
      <c r="E13" s="17" t="s">
        <v>470</v>
      </c>
      <c r="F13" s="17" t="s">
        <v>1291</v>
      </c>
      <c r="G13" s="17" t="s">
        <v>726</v>
      </c>
      <c r="H13" s="17" t="s">
        <v>1292</v>
      </c>
      <c r="I13" s="17" t="s">
        <v>1304</v>
      </c>
      <c r="J13" s="17" t="s">
        <v>59</v>
      </c>
      <c r="K13" s="17" t="s">
        <v>1227</v>
      </c>
      <c r="L13" s="17" t="s">
        <v>1228</v>
      </c>
      <c r="M13" s="18"/>
      <c r="N13" s="17" t="s">
        <v>1305</v>
      </c>
      <c r="O13" s="17"/>
      <c r="P13" s="17"/>
      <c r="Q13" s="18" t="str">
        <f t="shared" si="0"/>
        <v/>
      </c>
      <c r="R13" s="18">
        <v>7203.29</v>
      </c>
      <c r="S13" s="17" t="s">
        <v>1306</v>
      </c>
      <c r="T13" s="19" t="s">
        <v>1307</v>
      </c>
      <c r="U13" s="17" t="s">
        <v>131</v>
      </c>
      <c r="V13" s="17"/>
    </row>
    <row r="14" spans="1:22" ht="48" x14ac:dyDescent="0.25">
      <c r="A14" s="17" t="s">
        <v>1308</v>
      </c>
      <c r="B14" s="17" t="s">
        <v>1232</v>
      </c>
      <c r="C14" s="17" t="s">
        <v>1309</v>
      </c>
      <c r="D14" s="17" t="s">
        <v>1310</v>
      </c>
      <c r="E14" s="17" t="s">
        <v>1311</v>
      </c>
      <c r="F14" s="17" t="s">
        <v>1291</v>
      </c>
      <c r="G14" s="17" t="s">
        <v>726</v>
      </c>
      <c r="H14" s="17" t="s">
        <v>1292</v>
      </c>
      <c r="I14" s="17" t="s">
        <v>1304</v>
      </c>
      <c r="J14" s="17" t="s">
        <v>59</v>
      </c>
      <c r="K14" s="17" t="s">
        <v>1216</v>
      </c>
      <c r="L14" s="17" t="s">
        <v>1236</v>
      </c>
      <c r="M14" s="18"/>
      <c r="N14" s="17"/>
      <c r="O14" s="17"/>
      <c r="P14" s="17"/>
      <c r="Q14" s="18" t="str">
        <f t="shared" si="0"/>
        <v/>
      </c>
      <c r="R14" s="18"/>
      <c r="S14" s="17"/>
      <c r="T14" s="19" t="s">
        <v>469</v>
      </c>
      <c r="U14" s="17" t="s">
        <v>131</v>
      </c>
      <c r="V14" s="17"/>
    </row>
    <row r="15" spans="1:22" ht="48" x14ac:dyDescent="0.25">
      <c r="A15" s="20" t="s">
        <v>1312</v>
      </c>
      <c r="B15" s="20" t="s">
        <v>1232</v>
      </c>
      <c r="C15" s="20" t="s">
        <v>1313</v>
      </c>
      <c r="D15" s="20" t="s">
        <v>1314</v>
      </c>
      <c r="E15" s="20" t="s">
        <v>1315</v>
      </c>
      <c r="F15" s="20" t="s">
        <v>1316</v>
      </c>
      <c r="G15" s="20" t="s">
        <v>1317</v>
      </c>
      <c r="H15" s="20" t="s">
        <v>1318</v>
      </c>
      <c r="I15" s="20" t="s">
        <v>1319</v>
      </c>
      <c r="J15" s="20" t="s">
        <v>60</v>
      </c>
      <c r="K15" s="20" t="s">
        <v>1320</v>
      </c>
      <c r="L15" s="20" t="s">
        <v>1257</v>
      </c>
      <c r="M15" s="21">
        <v>113.855</v>
      </c>
      <c r="N15" s="20" t="s">
        <v>1321</v>
      </c>
      <c r="O15" s="20">
        <v>3500</v>
      </c>
      <c r="P15" s="20">
        <v>80</v>
      </c>
      <c r="Q15" s="21">
        <f t="shared" si="0"/>
        <v>280</v>
      </c>
      <c r="R15" s="21">
        <v>610</v>
      </c>
      <c r="S15" s="20" t="s">
        <v>1322</v>
      </c>
      <c r="T15" s="22" t="s">
        <v>1323</v>
      </c>
      <c r="U15" s="20" t="s">
        <v>131</v>
      </c>
      <c r="V15" s="20" t="s">
        <v>1324</v>
      </c>
    </row>
    <row r="16" spans="1:22" ht="48" x14ac:dyDescent="0.25">
      <c r="A16" s="20" t="s">
        <v>1325</v>
      </c>
      <c r="B16" s="20" t="s">
        <v>1232</v>
      </c>
      <c r="C16" s="20" t="s">
        <v>1326</v>
      </c>
      <c r="D16" s="20" t="s">
        <v>1327</v>
      </c>
      <c r="E16" s="20" t="s">
        <v>1328</v>
      </c>
      <c r="F16" s="20" t="s">
        <v>1329</v>
      </c>
      <c r="G16" s="20" t="s">
        <v>1330</v>
      </c>
      <c r="H16" s="20" t="s">
        <v>1331</v>
      </c>
      <c r="I16" s="20" t="s">
        <v>1332</v>
      </c>
      <c r="J16" s="20" t="s">
        <v>61</v>
      </c>
      <c r="K16" s="20" t="s">
        <v>1256</v>
      </c>
      <c r="L16" s="20" t="s">
        <v>1333</v>
      </c>
      <c r="M16" s="21">
        <v>75.400000000000006</v>
      </c>
      <c r="N16" s="20" t="s">
        <v>1334</v>
      </c>
      <c r="O16" s="20">
        <v>3150</v>
      </c>
      <c r="P16" s="20">
        <v>27</v>
      </c>
      <c r="Q16" s="21">
        <f t="shared" si="0"/>
        <v>85.05</v>
      </c>
      <c r="R16" s="21"/>
      <c r="S16" s="20"/>
      <c r="T16" s="22" t="s">
        <v>1335</v>
      </c>
      <c r="U16" s="20" t="s">
        <v>131</v>
      </c>
      <c r="V16" s="20" t="s">
        <v>1336</v>
      </c>
    </row>
    <row r="17" spans="1:22" ht="60" x14ac:dyDescent="0.25">
      <c r="A17" s="20" t="s">
        <v>1337</v>
      </c>
      <c r="B17" s="20" t="s">
        <v>1220</v>
      </c>
      <c r="C17" s="20" t="s">
        <v>1338</v>
      </c>
      <c r="D17" s="20" t="s">
        <v>1339</v>
      </c>
      <c r="E17" s="20" t="s">
        <v>1340</v>
      </c>
      <c r="F17" s="20" t="s">
        <v>1341</v>
      </c>
      <c r="G17" s="20" t="s">
        <v>1342</v>
      </c>
      <c r="H17" s="20" t="s">
        <v>1292</v>
      </c>
      <c r="I17" s="20" t="s">
        <v>1343</v>
      </c>
      <c r="J17" s="20" t="s">
        <v>61</v>
      </c>
      <c r="K17" s="20" t="s">
        <v>1227</v>
      </c>
      <c r="L17" s="20" t="s">
        <v>1228</v>
      </c>
      <c r="M17" s="21"/>
      <c r="N17" s="20"/>
      <c r="O17" s="20"/>
      <c r="P17" s="20"/>
      <c r="Q17" s="21" t="str">
        <f t="shared" si="0"/>
        <v/>
      </c>
      <c r="R17" s="21">
        <v>2014.74</v>
      </c>
      <c r="S17" s="20" t="s">
        <v>1344</v>
      </c>
      <c r="T17" s="22" t="s">
        <v>1345</v>
      </c>
      <c r="U17" s="20" t="s">
        <v>131</v>
      </c>
      <c r="V17" s="20"/>
    </row>
    <row r="18" spans="1:22" ht="60" x14ac:dyDescent="0.25">
      <c r="A18" s="20" t="s">
        <v>1346</v>
      </c>
      <c r="B18" s="20" t="s">
        <v>1220</v>
      </c>
      <c r="C18" s="20" t="s">
        <v>1347</v>
      </c>
      <c r="D18" s="20" t="s">
        <v>1348</v>
      </c>
      <c r="E18" s="20" t="s">
        <v>1340</v>
      </c>
      <c r="F18" s="20" t="s">
        <v>1349</v>
      </c>
      <c r="G18" s="20" t="s">
        <v>1350</v>
      </c>
      <c r="H18" s="20" t="s">
        <v>1351</v>
      </c>
      <c r="I18" s="20" t="s">
        <v>1352</v>
      </c>
      <c r="J18" s="20" t="s">
        <v>61</v>
      </c>
      <c r="K18" s="20" t="s">
        <v>1227</v>
      </c>
      <c r="L18" s="20" t="s">
        <v>1228</v>
      </c>
      <c r="M18" s="21"/>
      <c r="N18" s="20"/>
      <c r="O18" s="20"/>
      <c r="P18" s="20"/>
      <c r="Q18" s="21" t="str">
        <f t="shared" si="0"/>
        <v/>
      </c>
      <c r="R18" s="21">
        <v>5227.84</v>
      </c>
      <c r="S18" s="20" t="s">
        <v>1353</v>
      </c>
      <c r="T18" s="22" t="s">
        <v>1345</v>
      </c>
      <c r="U18" s="20" t="s">
        <v>131</v>
      </c>
      <c r="V18" s="20"/>
    </row>
    <row r="19" spans="1:22" ht="48" x14ac:dyDescent="0.25">
      <c r="A19" s="20" t="s">
        <v>1354</v>
      </c>
      <c r="B19" s="20" t="s">
        <v>1232</v>
      </c>
      <c r="C19" s="20" t="s">
        <v>1355</v>
      </c>
      <c r="D19" s="20" t="s">
        <v>1356</v>
      </c>
      <c r="E19" s="20" t="s">
        <v>503</v>
      </c>
      <c r="F19" s="20" t="s">
        <v>1357</v>
      </c>
      <c r="G19" s="20" t="s">
        <v>1358</v>
      </c>
      <c r="H19" s="20" t="s">
        <v>1235</v>
      </c>
      <c r="I19" s="20" t="s">
        <v>1359</v>
      </c>
      <c r="J19" s="20" t="s">
        <v>61</v>
      </c>
      <c r="K19" s="20" t="s">
        <v>1293</v>
      </c>
      <c r="L19" s="20" t="s">
        <v>1236</v>
      </c>
      <c r="M19" s="21"/>
      <c r="N19" s="20"/>
      <c r="O19" s="20"/>
      <c r="P19" s="20"/>
      <c r="Q19" s="21" t="str">
        <f t="shared" si="0"/>
        <v/>
      </c>
      <c r="R19" s="21"/>
      <c r="S19" s="20"/>
      <c r="T19" s="22" t="s">
        <v>502</v>
      </c>
      <c r="U19" s="20" t="s">
        <v>131</v>
      </c>
      <c r="V19" s="20"/>
    </row>
    <row r="20" spans="1:22" ht="48" x14ac:dyDescent="0.25">
      <c r="A20" s="17" t="s">
        <v>1360</v>
      </c>
      <c r="B20" s="17" t="s">
        <v>1220</v>
      </c>
      <c r="C20" s="17" t="s">
        <v>1361</v>
      </c>
      <c r="D20" s="17" t="s">
        <v>1362</v>
      </c>
      <c r="E20" s="17" t="s">
        <v>1052</v>
      </c>
      <c r="F20" s="17" t="s">
        <v>1363</v>
      </c>
      <c r="G20" s="17" t="s">
        <v>1364</v>
      </c>
      <c r="H20" s="17" t="s">
        <v>1365</v>
      </c>
      <c r="I20" s="17" t="s">
        <v>1366</v>
      </c>
      <c r="J20" s="17" t="s">
        <v>56</v>
      </c>
      <c r="K20" s="17" t="s">
        <v>1227</v>
      </c>
      <c r="L20" s="17" t="s">
        <v>1228</v>
      </c>
      <c r="M20" s="18"/>
      <c r="N20" s="17"/>
      <c r="O20" s="17"/>
      <c r="P20" s="17"/>
      <c r="Q20" s="18" t="str">
        <f t="shared" si="0"/>
        <v/>
      </c>
      <c r="R20" s="18">
        <v>3000</v>
      </c>
      <c r="S20" s="17" t="s">
        <v>1367</v>
      </c>
      <c r="T20" s="19" t="s">
        <v>1368</v>
      </c>
      <c r="U20" s="17" t="s">
        <v>131</v>
      </c>
      <c r="V20" s="17" t="s">
        <v>1369</v>
      </c>
    </row>
    <row r="21" spans="1:22" ht="48" x14ac:dyDescent="0.25">
      <c r="A21" s="17" t="s">
        <v>1370</v>
      </c>
      <c r="B21" s="17" t="s">
        <v>1220</v>
      </c>
      <c r="C21" s="17" t="s">
        <v>1371</v>
      </c>
      <c r="D21" s="17" t="s">
        <v>1372</v>
      </c>
      <c r="E21" s="17" t="s">
        <v>1373</v>
      </c>
      <c r="F21" s="17" t="s">
        <v>1374</v>
      </c>
      <c r="G21" s="17" t="s">
        <v>1375</v>
      </c>
      <c r="H21" s="17" t="s">
        <v>1292</v>
      </c>
      <c r="I21" s="17" t="s">
        <v>1376</v>
      </c>
      <c r="J21" s="17" t="s">
        <v>56</v>
      </c>
      <c r="K21" s="17" t="s">
        <v>1377</v>
      </c>
      <c r="L21" s="17" t="s">
        <v>1228</v>
      </c>
      <c r="M21" s="18"/>
      <c r="N21" s="17"/>
      <c r="O21" s="17"/>
      <c r="P21" s="17"/>
      <c r="Q21" s="18" t="str">
        <f t="shared" si="0"/>
        <v/>
      </c>
      <c r="R21" s="18"/>
      <c r="S21" s="17"/>
      <c r="T21" s="19" t="s">
        <v>1378</v>
      </c>
      <c r="U21" s="17" t="s">
        <v>131</v>
      </c>
      <c r="V21" s="17"/>
    </row>
    <row r="22" spans="1:22" ht="36" x14ac:dyDescent="0.25">
      <c r="A22" s="17" t="s">
        <v>1379</v>
      </c>
      <c r="B22" s="17" t="s">
        <v>1232</v>
      </c>
      <c r="C22" s="17" t="s">
        <v>1380</v>
      </c>
      <c r="D22" s="17" t="s">
        <v>1381</v>
      </c>
      <c r="E22" s="17" t="s">
        <v>273</v>
      </c>
      <c r="F22" s="17" t="s">
        <v>1374</v>
      </c>
      <c r="G22" s="17" t="s">
        <v>1375</v>
      </c>
      <c r="H22" s="17" t="s">
        <v>1292</v>
      </c>
      <c r="I22" s="17" t="s">
        <v>1382</v>
      </c>
      <c r="J22" s="17" t="s">
        <v>56</v>
      </c>
      <c r="K22" s="17" t="s">
        <v>1293</v>
      </c>
      <c r="L22" s="17" t="s">
        <v>1383</v>
      </c>
      <c r="M22" s="18"/>
      <c r="N22" s="17"/>
      <c r="O22" s="17"/>
      <c r="P22" s="17"/>
      <c r="Q22" s="18" t="str">
        <f t="shared" si="0"/>
        <v/>
      </c>
      <c r="R22" s="18"/>
      <c r="S22" s="17"/>
      <c r="T22" s="19" t="s">
        <v>271</v>
      </c>
      <c r="U22" s="17" t="s">
        <v>131</v>
      </c>
      <c r="V22" s="17"/>
    </row>
    <row r="23" spans="1:22" ht="48" x14ac:dyDescent="0.25">
      <c r="A23" s="17" t="s">
        <v>1384</v>
      </c>
      <c r="B23" s="17" t="s">
        <v>1232</v>
      </c>
      <c r="C23" s="17" t="s">
        <v>1385</v>
      </c>
      <c r="D23" s="17" t="s">
        <v>1381</v>
      </c>
      <c r="E23" s="17" t="s">
        <v>259</v>
      </c>
      <c r="F23" s="17" t="s">
        <v>1386</v>
      </c>
      <c r="G23" s="17" t="s">
        <v>1387</v>
      </c>
      <c r="H23" s="17" t="s">
        <v>1292</v>
      </c>
      <c r="I23" s="17" t="s">
        <v>1388</v>
      </c>
      <c r="J23" s="17" t="s">
        <v>56</v>
      </c>
      <c r="K23" s="17" t="s">
        <v>1256</v>
      </c>
      <c r="L23" s="17" t="s">
        <v>1383</v>
      </c>
      <c r="M23" s="18"/>
      <c r="N23" s="17"/>
      <c r="O23" s="17"/>
      <c r="P23" s="17"/>
      <c r="Q23" s="18" t="str">
        <f t="shared" si="0"/>
        <v/>
      </c>
      <c r="R23" s="18"/>
      <c r="S23" s="17"/>
      <c r="T23" s="19" t="s">
        <v>258</v>
      </c>
      <c r="U23" s="17" t="s">
        <v>131</v>
      </c>
      <c r="V23" s="17"/>
    </row>
    <row r="24" spans="1:22" ht="48" x14ac:dyDescent="0.25">
      <c r="A24" s="17" t="s">
        <v>1389</v>
      </c>
      <c r="B24" s="17" t="s">
        <v>1220</v>
      </c>
      <c r="C24" s="17" t="s">
        <v>1390</v>
      </c>
      <c r="D24" s="17" t="s">
        <v>1391</v>
      </c>
      <c r="E24" s="17" t="s">
        <v>1392</v>
      </c>
      <c r="F24" s="17" t="s">
        <v>1386</v>
      </c>
      <c r="G24" s="17" t="s">
        <v>1387</v>
      </c>
      <c r="H24" s="17" t="s">
        <v>1292</v>
      </c>
      <c r="I24" s="17" t="s">
        <v>1393</v>
      </c>
      <c r="J24" s="17" t="s">
        <v>56</v>
      </c>
      <c r="K24" s="17" t="s">
        <v>1394</v>
      </c>
      <c r="L24" s="17" t="s">
        <v>1228</v>
      </c>
      <c r="M24" s="18"/>
      <c r="N24" s="17"/>
      <c r="O24" s="17"/>
      <c r="P24" s="17"/>
      <c r="Q24" s="18" t="str">
        <f t="shared" si="0"/>
        <v/>
      </c>
      <c r="R24" s="18"/>
      <c r="S24" s="17"/>
      <c r="T24" s="19" t="s">
        <v>1395</v>
      </c>
      <c r="U24" s="17" t="s">
        <v>131</v>
      </c>
      <c r="V24" s="17"/>
    </row>
    <row r="25" spans="1:22" ht="60" x14ac:dyDescent="0.25">
      <c r="A25" s="17" t="s">
        <v>1396</v>
      </c>
      <c r="B25" s="17" t="s">
        <v>1220</v>
      </c>
      <c r="C25" s="17" t="s">
        <v>1397</v>
      </c>
      <c r="D25" s="17" t="s">
        <v>1348</v>
      </c>
      <c r="E25" s="17" t="s">
        <v>1340</v>
      </c>
      <c r="F25" s="17" t="s">
        <v>1398</v>
      </c>
      <c r="G25" s="17" t="s">
        <v>1399</v>
      </c>
      <c r="H25" s="17" t="s">
        <v>1400</v>
      </c>
      <c r="I25" s="17" t="s">
        <v>1401</v>
      </c>
      <c r="J25" s="17" t="s">
        <v>56</v>
      </c>
      <c r="K25" s="17" t="s">
        <v>1227</v>
      </c>
      <c r="L25" s="17" t="s">
        <v>1228</v>
      </c>
      <c r="M25" s="18"/>
      <c r="N25" s="17"/>
      <c r="O25" s="17"/>
      <c r="P25" s="17"/>
      <c r="Q25" s="18" t="str">
        <f t="shared" si="0"/>
        <v/>
      </c>
      <c r="R25" s="18">
        <v>1495</v>
      </c>
      <c r="S25" s="17" t="s">
        <v>1402</v>
      </c>
      <c r="T25" s="19" t="s">
        <v>1345</v>
      </c>
      <c r="U25" s="17" t="s">
        <v>131</v>
      </c>
      <c r="V25" s="17"/>
    </row>
    <row r="26" spans="1:22" ht="48" x14ac:dyDescent="0.25">
      <c r="A26" s="17" t="s">
        <v>1403</v>
      </c>
      <c r="B26" s="17" t="s">
        <v>1404</v>
      </c>
      <c r="C26" s="17" t="s">
        <v>1405</v>
      </c>
      <c r="D26" s="17" t="s">
        <v>1406</v>
      </c>
      <c r="E26" s="17" t="s">
        <v>1407</v>
      </c>
      <c r="F26" s="17" t="s">
        <v>1398</v>
      </c>
      <c r="G26" s="17" t="s">
        <v>1408</v>
      </c>
      <c r="H26" s="17" t="s">
        <v>1235</v>
      </c>
      <c r="I26" s="17" t="s">
        <v>1401</v>
      </c>
      <c r="J26" s="17" t="s">
        <v>56</v>
      </c>
      <c r="K26" s="17" t="s">
        <v>1409</v>
      </c>
      <c r="L26" s="17" t="s">
        <v>1410</v>
      </c>
      <c r="M26" s="18"/>
      <c r="N26" s="17"/>
      <c r="O26" s="17"/>
      <c r="P26" s="17"/>
      <c r="Q26" s="18" t="str">
        <f t="shared" si="0"/>
        <v/>
      </c>
      <c r="R26" s="18"/>
      <c r="S26" s="17"/>
      <c r="T26" s="19" t="s">
        <v>1411</v>
      </c>
      <c r="U26" s="17" t="s">
        <v>131</v>
      </c>
      <c r="V26" s="17"/>
    </row>
    <row r="27" spans="1:22" ht="36" x14ac:dyDescent="0.25">
      <c r="A27" s="17" t="s">
        <v>1412</v>
      </c>
      <c r="B27" s="17" t="s">
        <v>1220</v>
      </c>
      <c r="C27" s="17" t="s">
        <v>1413</v>
      </c>
      <c r="D27" s="17" t="s">
        <v>1414</v>
      </c>
      <c r="E27" s="17" t="s">
        <v>1415</v>
      </c>
      <c r="F27" s="17" t="s">
        <v>1416</v>
      </c>
      <c r="G27" s="17" t="s">
        <v>1417</v>
      </c>
      <c r="H27" s="17" t="s">
        <v>1418</v>
      </c>
      <c r="I27" s="17" t="s">
        <v>1419</v>
      </c>
      <c r="J27" s="17" t="s">
        <v>56</v>
      </c>
      <c r="K27" s="17" t="s">
        <v>1227</v>
      </c>
      <c r="L27" s="17" t="s">
        <v>1228</v>
      </c>
      <c r="M27" s="18"/>
      <c r="N27" s="17"/>
      <c r="O27" s="17"/>
      <c r="P27" s="17"/>
      <c r="Q27" s="18" t="str">
        <f t="shared" si="0"/>
        <v/>
      </c>
      <c r="R27" s="18"/>
      <c r="S27" s="17"/>
      <c r="T27" s="19" t="s">
        <v>1420</v>
      </c>
      <c r="U27" s="17" t="s">
        <v>131</v>
      </c>
      <c r="V27" s="17" t="s">
        <v>1421</v>
      </c>
    </row>
    <row r="28" spans="1:22" ht="48" x14ac:dyDescent="0.25">
      <c r="A28" s="17" t="s">
        <v>1422</v>
      </c>
      <c r="B28" s="17" t="s">
        <v>1423</v>
      </c>
      <c r="C28" s="17" t="s">
        <v>1424</v>
      </c>
      <c r="D28" s="17" t="s">
        <v>1425</v>
      </c>
      <c r="E28" s="17" t="s">
        <v>514</v>
      </c>
      <c r="F28" s="17" t="s">
        <v>1426</v>
      </c>
      <c r="G28" s="17" t="s">
        <v>1427</v>
      </c>
      <c r="H28" s="17" t="s">
        <v>1428</v>
      </c>
      <c r="I28" s="17" t="s">
        <v>507</v>
      </c>
      <c r="J28" s="17" t="s">
        <v>56</v>
      </c>
      <c r="K28" s="17" t="s">
        <v>1429</v>
      </c>
      <c r="L28" s="17" t="s">
        <v>1430</v>
      </c>
      <c r="M28" s="18"/>
      <c r="N28" s="17"/>
      <c r="O28" s="17"/>
      <c r="P28" s="17"/>
      <c r="Q28" s="18" t="str">
        <f t="shared" si="0"/>
        <v/>
      </c>
      <c r="R28" s="18"/>
      <c r="S28" s="17"/>
      <c r="T28" s="19" t="s">
        <v>512</v>
      </c>
      <c r="U28" s="17" t="s">
        <v>131</v>
      </c>
      <c r="V28" s="17"/>
    </row>
    <row r="29" spans="1:22" ht="48" x14ac:dyDescent="0.25">
      <c r="A29" s="17" t="s">
        <v>1431</v>
      </c>
      <c r="B29" s="17" t="s">
        <v>1423</v>
      </c>
      <c r="C29" s="17" t="s">
        <v>1432</v>
      </c>
      <c r="D29" s="17" t="s">
        <v>1433</v>
      </c>
      <c r="E29" s="17" t="s">
        <v>1434</v>
      </c>
      <c r="F29" s="17" t="s">
        <v>1435</v>
      </c>
      <c r="G29" s="17" t="s">
        <v>1436</v>
      </c>
      <c r="H29" s="17" t="s">
        <v>1437</v>
      </c>
      <c r="I29" s="17" t="s">
        <v>1438</v>
      </c>
      <c r="J29" s="17" t="s">
        <v>56</v>
      </c>
      <c r="K29" s="17" t="s">
        <v>1439</v>
      </c>
      <c r="L29" s="17" t="s">
        <v>1410</v>
      </c>
      <c r="M29" s="18"/>
      <c r="N29" s="17"/>
      <c r="O29" s="17"/>
      <c r="P29" s="17"/>
      <c r="Q29" s="18" t="str">
        <f t="shared" si="0"/>
        <v/>
      </c>
      <c r="R29" s="18"/>
      <c r="S29" s="17"/>
      <c r="T29" s="19" t="s">
        <v>1440</v>
      </c>
      <c r="U29" s="17" t="s">
        <v>131</v>
      </c>
      <c r="V29" s="17"/>
    </row>
    <row r="30" spans="1:22" ht="48" x14ac:dyDescent="0.25">
      <c r="A30" s="17" t="s">
        <v>1441</v>
      </c>
      <c r="B30" s="17" t="s">
        <v>1232</v>
      </c>
      <c r="C30" s="17" t="s">
        <v>1442</v>
      </c>
      <c r="D30" s="17" t="s">
        <v>1234</v>
      </c>
      <c r="E30" s="17" t="s">
        <v>524</v>
      </c>
      <c r="F30" s="17" t="s">
        <v>519</v>
      </c>
      <c r="G30" s="17" t="s">
        <v>520</v>
      </c>
      <c r="H30" s="17" t="s">
        <v>136</v>
      </c>
      <c r="I30" s="17" t="s">
        <v>1443</v>
      </c>
      <c r="J30" s="17" t="s">
        <v>56</v>
      </c>
      <c r="K30" s="17" t="s">
        <v>1444</v>
      </c>
      <c r="L30" s="17" t="s">
        <v>1236</v>
      </c>
      <c r="M30" s="18"/>
      <c r="N30" s="17"/>
      <c r="O30" s="17"/>
      <c r="P30" s="17"/>
      <c r="Q30" s="18" t="str">
        <f t="shared" si="0"/>
        <v/>
      </c>
      <c r="R30" s="18"/>
      <c r="S30" s="17"/>
      <c r="T30" s="19" t="s">
        <v>459</v>
      </c>
      <c r="U30" s="17" t="s">
        <v>131</v>
      </c>
      <c r="V30" s="17"/>
    </row>
    <row r="31" spans="1:22" ht="48" x14ac:dyDescent="0.25">
      <c r="A31" s="17" t="s">
        <v>1445</v>
      </c>
      <c r="B31" s="17" t="s">
        <v>1232</v>
      </c>
      <c r="C31" s="17" t="s">
        <v>1446</v>
      </c>
      <c r="D31" s="17" t="s">
        <v>1447</v>
      </c>
      <c r="E31" s="17" t="s">
        <v>492</v>
      </c>
      <c r="F31" s="17" t="s">
        <v>1448</v>
      </c>
      <c r="G31" s="17" t="s">
        <v>1449</v>
      </c>
      <c r="H31" s="17" t="s">
        <v>1450</v>
      </c>
      <c r="I31" s="17" t="s">
        <v>483</v>
      </c>
      <c r="J31" s="17" t="s">
        <v>56</v>
      </c>
      <c r="K31" s="17" t="s">
        <v>1293</v>
      </c>
      <c r="L31" s="17" t="s">
        <v>1236</v>
      </c>
      <c r="M31" s="18"/>
      <c r="N31" s="17"/>
      <c r="O31" s="17"/>
      <c r="P31" s="17"/>
      <c r="Q31" s="18" t="str">
        <f t="shared" si="0"/>
        <v/>
      </c>
      <c r="R31" s="18"/>
      <c r="S31" s="17"/>
      <c r="T31" s="19" t="s">
        <v>490</v>
      </c>
      <c r="U31" s="17" t="s">
        <v>131</v>
      </c>
      <c r="V31" s="17"/>
    </row>
    <row r="32" spans="1:22" ht="48" x14ac:dyDescent="0.25">
      <c r="A32" s="17" t="s">
        <v>1451</v>
      </c>
      <c r="B32" s="17" t="s">
        <v>1232</v>
      </c>
      <c r="C32" s="17" t="s">
        <v>1452</v>
      </c>
      <c r="D32" s="17" t="s">
        <v>1453</v>
      </c>
      <c r="E32" s="17" t="s">
        <v>1454</v>
      </c>
      <c r="F32" s="17" t="s">
        <v>497</v>
      </c>
      <c r="G32" s="17" t="s">
        <v>367</v>
      </c>
      <c r="H32" s="17" t="s">
        <v>1292</v>
      </c>
      <c r="I32" s="17" t="s">
        <v>1455</v>
      </c>
      <c r="J32" s="17" t="s">
        <v>56</v>
      </c>
      <c r="K32" s="17" t="s">
        <v>1293</v>
      </c>
      <c r="L32" s="17" t="s">
        <v>1236</v>
      </c>
      <c r="M32" s="18"/>
      <c r="N32" s="17"/>
      <c r="O32" s="17"/>
      <c r="P32" s="17"/>
      <c r="Q32" s="18" t="str">
        <f t="shared" si="0"/>
        <v/>
      </c>
      <c r="R32" s="18"/>
      <c r="S32" s="17"/>
      <c r="T32" s="19" t="s">
        <v>1456</v>
      </c>
      <c r="U32" s="17" t="s">
        <v>131</v>
      </c>
      <c r="V32" s="17"/>
    </row>
    <row r="33" spans="1:22" ht="48" x14ac:dyDescent="0.25">
      <c r="A33" s="17" t="s">
        <v>1457</v>
      </c>
      <c r="B33" s="17" t="s">
        <v>1232</v>
      </c>
      <c r="C33" s="17" t="s">
        <v>1458</v>
      </c>
      <c r="D33" s="17" t="s">
        <v>1459</v>
      </c>
      <c r="E33" s="17" t="s">
        <v>503</v>
      </c>
      <c r="F33" s="17" t="s">
        <v>497</v>
      </c>
      <c r="G33" s="17" t="s">
        <v>1460</v>
      </c>
      <c r="H33" s="17" t="s">
        <v>1292</v>
      </c>
      <c r="I33" s="17" t="s">
        <v>1461</v>
      </c>
      <c r="J33" s="17" t="s">
        <v>52</v>
      </c>
      <c r="K33" s="17" t="s">
        <v>1462</v>
      </c>
      <c r="L33" s="17" t="s">
        <v>1236</v>
      </c>
      <c r="M33" s="18"/>
      <c r="N33" s="17"/>
      <c r="O33" s="17"/>
      <c r="P33" s="17"/>
      <c r="Q33" s="18" t="str">
        <f t="shared" si="0"/>
        <v/>
      </c>
      <c r="R33" s="18"/>
      <c r="S33" s="17"/>
      <c r="T33" s="19" t="s">
        <v>502</v>
      </c>
      <c r="U33" s="17" t="s">
        <v>131</v>
      </c>
      <c r="V33" s="17"/>
    </row>
    <row r="34" spans="1:22" ht="48" x14ac:dyDescent="0.25">
      <c r="A34" s="17" t="s">
        <v>1463</v>
      </c>
      <c r="B34" s="17" t="s">
        <v>1423</v>
      </c>
      <c r="C34" s="17" t="s">
        <v>1464</v>
      </c>
      <c r="D34" s="17" t="s">
        <v>1465</v>
      </c>
      <c r="E34" s="17" t="s">
        <v>574</v>
      </c>
      <c r="F34" s="17" t="s">
        <v>1466</v>
      </c>
      <c r="G34" s="17" t="s">
        <v>1467</v>
      </c>
      <c r="H34" s="17" t="s">
        <v>1292</v>
      </c>
      <c r="I34" s="17" t="s">
        <v>1468</v>
      </c>
      <c r="J34" s="17" t="s">
        <v>56</v>
      </c>
      <c r="K34" s="17" t="s">
        <v>1469</v>
      </c>
      <c r="L34" s="17" t="s">
        <v>1228</v>
      </c>
      <c r="M34" s="18"/>
      <c r="N34" s="17"/>
      <c r="O34" s="17"/>
      <c r="P34" s="17"/>
      <c r="Q34" s="18" t="str">
        <f t="shared" si="0"/>
        <v/>
      </c>
      <c r="R34" s="18"/>
      <c r="S34" s="17" t="s">
        <v>1470</v>
      </c>
      <c r="T34" s="19" t="s">
        <v>1378</v>
      </c>
      <c r="U34" s="17" t="s">
        <v>131</v>
      </c>
      <c r="V34" s="17"/>
    </row>
    <row r="35" spans="1:22" ht="48" x14ac:dyDescent="0.25">
      <c r="A35" s="17" t="s">
        <v>1471</v>
      </c>
      <c r="B35" s="17" t="s">
        <v>1423</v>
      </c>
      <c r="C35" s="17" t="s">
        <v>1472</v>
      </c>
      <c r="D35" s="17" t="s">
        <v>1473</v>
      </c>
      <c r="E35" s="17" t="s">
        <v>944</v>
      </c>
      <c r="F35" s="17" t="s">
        <v>1474</v>
      </c>
      <c r="G35" s="17" t="s">
        <v>1467</v>
      </c>
      <c r="H35" s="17" t="s">
        <v>1292</v>
      </c>
      <c r="I35" s="17" t="s">
        <v>1475</v>
      </c>
      <c r="J35" s="17" t="s">
        <v>56</v>
      </c>
      <c r="K35" s="17" t="s">
        <v>1476</v>
      </c>
      <c r="L35" s="17" t="s">
        <v>1245</v>
      </c>
      <c r="M35" s="18"/>
      <c r="N35" s="17"/>
      <c r="O35" s="17"/>
      <c r="P35" s="17"/>
      <c r="Q35" s="18" t="str">
        <f t="shared" si="0"/>
        <v/>
      </c>
      <c r="R35" s="18">
        <v>173.99</v>
      </c>
      <c r="S35" s="17"/>
      <c r="T35" s="19" t="s">
        <v>1477</v>
      </c>
      <c r="U35" s="17" t="s">
        <v>131</v>
      </c>
      <c r="V35" s="17"/>
    </row>
    <row r="36" spans="1:22" ht="48" x14ac:dyDescent="0.25">
      <c r="A36" s="17" t="s">
        <v>1478</v>
      </c>
      <c r="B36" s="17" t="s">
        <v>1220</v>
      </c>
      <c r="C36" s="17" t="s">
        <v>1479</v>
      </c>
      <c r="D36" s="17" t="s">
        <v>1480</v>
      </c>
      <c r="E36" s="17" t="s">
        <v>1481</v>
      </c>
      <c r="F36" s="17" t="s">
        <v>1482</v>
      </c>
      <c r="G36" s="17" t="s">
        <v>1483</v>
      </c>
      <c r="H36" s="17" t="s">
        <v>1292</v>
      </c>
      <c r="I36" s="17" t="s">
        <v>1484</v>
      </c>
      <c r="J36" s="17" t="s">
        <v>56</v>
      </c>
      <c r="K36" s="17" t="s">
        <v>1485</v>
      </c>
      <c r="L36" s="17" t="s">
        <v>1228</v>
      </c>
      <c r="M36" s="18"/>
      <c r="N36" s="17" t="s">
        <v>1486</v>
      </c>
      <c r="O36" s="17"/>
      <c r="P36" s="17"/>
      <c r="Q36" s="18" t="str">
        <f t="shared" si="0"/>
        <v/>
      </c>
      <c r="R36" s="18"/>
      <c r="S36" s="17"/>
      <c r="T36" s="19" t="s">
        <v>1487</v>
      </c>
      <c r="U36" s="17" t="s">
        <v>131</v>
      </c>
      <c r="V36" s="17" t="s">
        <v>1488</v>
      </c>
    </row>
    <row r="37" spans="1:22" ht="48" x14ac:dyDescent="0.25">
      <c r="A37" s="17" t="s">
        <v>1489</v>
      </c>
      <c r="B37" s="17" t="s">
        <v>1220</v>
      </c>
      <c r="C37" s="17" t="s">
        <v>1490</v>
      </c>
      <c r="D37" s="17" t="s">
        <v>1391</v>
      </c>
      <c r="E37" s="17" t="s">
        <v>1491</v>
      </c>
      <c r="F37" s="17" t="s">
        <v>1492</v>
      </c>
      <c r="G37" s="17" t="s">
        <v>1493</v>
      </c>
      <c r="H37" s="17" t="s">
        <v>1292</v>
      </c>
      <c r="I37" s="17" t="s">
        <v>1494</v>
      </c>
      <c r="J37" s="17" t="s">
        <v>56</v>
      </c>
      <c r="K37" s="17" t="s">
        <v>1495</v>
      </c>
      <c r="L37" s="17" t="s">
        <v>1228</v>
      </c>
      <c r="M37" s="18"/>
      <c r="N37" s="17"/>
      <c r="O37" s="17"/>
      <c r="P37" s="17"/>
      <c r="Q37" s="18" t="str">
        <f t="shared" si="0"/>
        <v/>
      </c>
      <c r="R37" s="18"/>
      <c r="S37" s="17"/>
      <c r="T37" s="19" t="s">
        <v>1395</v>
      </c>
      <c r="U37" s="17" t="s">
        <v>131</v>
      </c>
      <c r="V37" s="17"/>
    </row>
    <row r="38" spans="1:22" ht="48" x14ac:dyDescent="0.25">
      <c r="A38" s="17" t="s">
        <v>1496</v>
      </c>
      <c r="B38" s="17" t="s">
        <v>1220</v>
      </c>
      <c r="C38" s="17" t="s">
        <v>1497</v>
      </c>
      <c r="D38" s="17" t="s">
        <v>1498</v>
      </c>
      <c r="E38" s="17" t="s">
        <v>1499</v>
      </c>
      <c r="F38" s="17" t="s">
        <v>1500</v>
      </c>
      <c r="G38" s="17" t="s">
        <v>1501</v>
      </c>
      <c r="H38" s="17" t="s">
        <v>1292</v>
      </c>
      <c r="I38" s="17" t="s">
        <v>1502</v>
      </c>
      <c r="J38" s="17" t="s">
        <v>56</v>
      </c>
      <c r="K38" s="17" t="s">
        <v>1377</v>
      </c>
      <c r="L38" s="17" t="s">
        <v>1228</v>
      </c>
      <c r="M38" s="18"/>
      <c r="N38" s="17"/>
      <c r="O38" s="17"/>
      <c r="P38" s="17"/>
      <c r="Q38" s="18" t="str">
        <f t="shared" si="0"/>
        <v/>
      </c>
      <c r="R38" s="18"/>
      <c r="S38" s="17"/>
      <c r="T38" s="19" t="s">
        <v>1411</v>
      </c>
      <c r="U38" s="17" t="s">
        <v>131</v>
      </c>
      <c r="V38" s="17"/>
    </row>
    <row r="39" spans="1:22" ht="48" x14ac:dyDescent="0.25">
      <c r="A39" s="17" t="s">
        <v>1503</v>
      </c>
      <c r="B39" s="17" t="s">
        <v>1220</v>
      </c>
      <c r="C39" s="17" t="s">
        <v>1504</v>
      </c>
      <c r="D39" s="17" t="s">
        <v>1505</v>
      </c>
      <c r="E39" s="17" t="s">
        <v>1052</v>
      </c>
      <c r="F39" s="17" t="s">
        <v>1506</v>
      </c>
      <c r="G39" s="17" t="s">
        <v>1507</v>
      </c>
      <c r="H39" s="17" t="s">
        <v>1292</v>
      </c>
      <c r="I39" s="17" t="s">
        <v>1508</v>
      </c>
      <c r="J39" s="17" t="s">
        <v>56</v>
      </c>
      <c r="K39" s="17" t="s">
        <v>1509</v>
      </c>
      <c r="L39" s="17" t="s">
        <v>1228</v>
      </c>
      <c r="M39" s="18"/>
      <c r="N39" s="17"/>
      <c r="O39" s="17"/>
      <c r="P39" s="17"/>
      <c r="Q39" s="18" t="str">
        <f t="shared" si="0"/>
        <v/>
      </c>
      <c r="R39" s="18"/>
      <c r="S39" s="17"/>
      <c r="T39" s="19" t="s">
        <v>1510</v>
      </c>
      <c r="U39" s="17" t="s">
        <v>131</v>
      </c>
      <c r="V39" s="17"/>
    </row>
    <row r="40" spans="1:22" ht="48" x14ac:dyDescent="0.25">
      <c r="A40" s="17" t="s">
        <v>1511</v>
      </c>
      <c r="B40" s="17" t="s">
        <v>1220</v>
      </c>
      <c r="C40" s="17" t="s">
        <v>1512</v>
      </c>
      <c r="D40" s="17" t="s">
        <v>1513</v>
      </c>
      <c r="E40" s="17" t="s">
        <v>1373</v>
      </c>
      <c r="F40" s="17" t="s">
        <v>1514</v>
      </c>
      <c r="G40" s="17" t="s">
        <v>1515</v>
      </c>
      <c r="H40" s="17" t="s">
        <v>1292</v>
      </c>
      <c r="I40" s="17" t="s">
        <v>1516</v>
      </c>
      <c r="J40" s="17" t="s">
        <v>56</v>
      </c>
      <c r="K40" s="17" t="s">
        <v>1517</v>
      </c>
      <c r="L40" s="17" t="s">
        <v>1228</v>
      </c>
      <c r="M40" s="18"/>
      <c r="N40" s="17"/>
      <c r="O40" s="17"/>
      <c r="P40" s="17"/>
      <c r="Q40" s="18" t="str">
        <f t="shared" si="0"/>
        <v/>
      </c>
      <c r="R40" s="18">
        <v>756.8</v>
      </c>
      <c r="S40" s="17"/>
      <c r="T40" s="19" t="s">
        <v>1518</v>
      </c>
      <c r="U40" s="17" t="s">
        <v>131</v>
      </c>
      <c r="V40" s="17"/>
    </row>
    <row r="41" spans="1:22" ht="48" x14ac:dyDescent="0.25">
      <c r="A41" s="17" t="s">
        <v>1519</v>
      </c>
      <c r="B41" s="17" t="s">
        <v>1220</v>
      </c>
      <c r="C41" s="17" t="s">
        <v>1520</v>
      </c>
      <c r="D41" s="17" t="s">
        <v>1521</v>
      </c>
      <c r="E41" s="17" t="s">
        <v>1240</v>
      </c>
      <c r="F41" s="17" t="s">
        <v>547</v>
      </c>
      <c r="G41" s="17" t="s">
        <v>1522</v>
      </c>
      <c r="H41" s="17" t="s">
        <v>1292</v>
      </c>
      <c r="I41" s="17" t="s">
        <v>1523</v>
      </c>
      <c r="J41" s="17" t="s">
        <v>56</v>
      </c>
      <c r="K41" s="17" t="s">
        <v>1524</v>
      </c>
      <c r="L41" s="17" t="s">
        <v>1228</v>
      </c>
      <c r="M41" s="18"/>
      <c r="N41" s="17"/>
      <c r="O41" s="17"/>
      <c r="P41" s="17"/>
      <c r="Q41" s="18" t="str">
        <f t="shared" si="0"/>
        <v/>
      </c>
      <c r="R41" s="18">
        <v>598.52</v>
      </c>
      <c r="S41" s="17"/>
      <c r="T41" s="19" t="s">
        <v>1525</v>
      </c>
      <c r="U41" s="17" t="s">
        <v>131</v>
      </c>
      <c r="V41" s="17"/>
    </row>
    <row r="42" spans="1:22" ht="48" x14ac:dyDescent="0.25">
      <c r="A42" s="17" t="s">
        <v>1526</v>
      </c>
      <c r="B42" s="17" t="s">
        <v>1220</v>
      </c>
      <c r="C42" s="17" t="s">
        <v>1527</v>
      </c>
      <c r="D42" s="17" t="s">
        <v>1498</v>
      </c>
      <c r="E42" s="17" t="s">
        <v>1434</v>
      </c>
      <c r="F42" s="17" t="s">
        <v>1528</v>
      </c>
      <c r="G42" s="17" t="s">
        <v>834</v>
      </c>
      <c r="H42" s="17" t="s">
        <v>1529</v>
      </c>
      <c r="I42" s="17" t="s">
        <v>1530</v>
      </c>
      <c r="J42" s="17" t="s">
        <v>52</v>
      </c>
      <c r="K42" s="17" t="s">
        <v>1531</v>
      </c>
      <c r="L42" s="17" t="s">
        <v>1228</v>
      </c>
      <c r="M42" s="18"/>
      <c r="N42" s="17"/>
      <c r="O42" s="17"/>
      <c r="P42" s="17"/>
      <c r="Q42" s="18" t="str">
        <f t="shared" si="0"/>
        <v/>
      </c>
      <c r="R42" s="18"/>
      <c r="S42" s="17"/>
      <c r="T42" s="19" t="s">
        <v>1411</v>
      </c>
      <c r="U42" s="17" t="s">
        <v>131</v>
      </c>
      <c r="V42" s="17" t="s">
        <v>1532</v>
      </c>
    </row>
    <row r="43" spans="1:22" ht="60" x14ac:dyDescent="0.25">
      <c r="A43" s="17" t="s">
        <v>1533</v>
      </c>
      <c r="B43" s="17" t="s">
        <v>1220</v>
      </c>
      <c r="C43" s="17" t="s">
        <v>1534</v>
      </c>
      <c r="D43" s="17" t="s">
        <v>1535</v>
      </c>
      <c r="E43" s="17" t="s">
        <v>1240</v>
      </c>
      <c r="F43" s="17" t="s">
        <v>1536</v>
      </c>
      <c r="G43" s="17" t="s">
        <v>1537</v>
      </c>
      <c r="H43" s="17" t="s">
        <v>1196</v>
      </c>
      <c r="I43" s="17" t="s">
        <v>1538</v>
      </c>
      <c r="J43" s="17" t="s">
        <v>52</v>
      </c>
      <c r="K43" s="17" t="s">
        <v>1539</v>
      </c>
      <c r="L43" s="17" t="s">
        <v>1228</v>
      </c>
      <c r="M43" s="18"/>
      <c r="N43" s="17"/>
      <c r="O43" s="17"/>
      <c r="P43" s="17"/>
      <c r="Q43" s="18" t="str">
        <f t="shared" si="0"/>
        <v/>
      </c>
      <c r="R43" s="18"/>
      <c r="S43" s="17"/>
      <c r="T43" s="19" t="s">
        <v>1540</v>
      </c>
      <c r="U43" s="17" t="s">
        <v>131</v>
      </c>
      <c r="V43" s="17"/>
    </row>
    <row r="44" spans="1:22" ht="60" x14ac:dyDescent="0.25">
      <c r="A44" s="20" t="s">
        <v>1541</v>
      </c>
      <c r="B44" s="20" t="s">
        <v>1220</v>
      </c>
      <c r="C44" s="20" t="s">
        <v>1542</v>
      </c>
      <c r="D44" s="20" t="s">
        <v>1543</v>
      </c>
      <c r="E44" s="20" t="s">
        <v>1544</v>
      </c>
      <c r="F44" s="20" t="s">
        <v>1545</v>
      </c>
      <c r="G44" s="20" t="s">
        <v>1387</v>
      </c>
      <c r="H44" s="20" t="s">
        <v>1292</v>
      </c>
      <c r="I44" s="20" t="s">
        <v>1546</v>
      </c>
      <c r="J44" s="20" t="s">
        <v>61</v>
      </c>
      <c r="K44" s="20" t="s">
        <v>1547</v>
      </c>
      <c r="L44" s="20" t="s">
        <v>1548</v>
      </c>
      <c r="M44" s="21"/>
      <c r="N44" s="20"/>
      <c r="O44" s="20"/>
      <c r="P44" s="20"/>
      <c r="Q44" s="21" t="str">
        <f t="shared" si="0"/>
        <v/>
      </c>
      <c r="R44" s="21"/>
      <c r="S44" s="20"/>
      <c r="T44" s="22" t="s">
        <v>1549</v>
      </c>
      <c r="U44" s="20" t="s">
        <v>131</v>
      </c>
      <c r="V44" s="20"/>
    </row>
    <row r="45" spans="1:22" ht="48" x14ac:dyDescent="0.25">
      <c r="A45" s="20" t="s">
        <v>1550</v>
      </c>
      <c r="B45" s="20" t="s">
        <v>1220</v>
      </c>
      <c r="C45" s="20" t="s">
        <v>1551</v>
      </c>
      <c r="D45" s="20" t="s">
        <v>1552</v>
      </c>
      <c r="E45" s="20" t="s">
        <v>1240</v>
      </c>
      <c r="F45" s="20" t="s">
        <v>1553</v>
      </c>
      <c r="G45" s="20" t="s">
        <v>1493</v>
      </c>
      <c r="H45" s="20" t="s">
        <v>1292</v>
      </c>
      <c r="I45" s="20" t="s">
        <v>1554</v>
      </c>
      <c r="J45" s="20" t="s">
        <v>60</v>
      </c>
      <c r="K45" s="20" t="s">
        <v>1524</v>
      </c>
      <c r="L45" s="20" t="s">
        <v>1245</v>
      </c>
      <c r="M45" s="21"/>
      <c r="N45" s="20"/>
      <c r="O45" s="20"/>
      <c r="P45" s="20"/>
      <c r="Q45" s="21" t="str">
        <f t="shared" si="0"/>
        <v/>
      </c>
      <c r="R45" s="21">
        <v>960.53</v>
      </c>
      <c r="S45" s="20"/>
      <c r="T45" s="22" t="s">
        <v>1555</v>
      </c>
      <c r="U45" s="20" t="s">
        <v>131</v>
      </c>
      <c r="V45" s="20"/>
    </row>
    <row r="46" spans="1:22" ht="60" x14ac:dyDescent="0.25">
      <c r="A46" s="17" t="s">
        <v>1556</v>
      </c>
      <c r="B46" s="17" t="s">
        <v>1181</v>
      </c>
      <c r="C46" s="17" t="s">
        <v>1557</v>
      </c>
      <c r="D46" s="17" t="s">
        <v>1558</v>
      </c>
      <c r="E46" s="17" t="s">
        <v>194</v>
      </c>
      <c r="F46" s="17" t="s">
        <v>1559</v>
      </c>
      <c r="G46" s="17" t="s">
        <v>1560</v>
      </c>
      <c r="H46" s="17" t="s">
        <v>1561</v>
      </c>
      <c r="I46" s="17" t="s">
        <v>1562</v>
      </c>
      <c r="J46" s="17" t="s">
        <v>54</v>
      </c>
      <c r="K46" s="17" t="s">
        <v>1563</v>
      </c>
      <c r="L46" s="17" t="s">
        <v>1228</v>
      </c>
      <c r="M46" s="18">
        <v>1450</v>
      </c>
      <c r="N46" s="17" t="s">
        <v>1564</v>
      </c>
      <c r="O46" s="17"/>
      <c r="P46" s="17"/>
      <c r="Q46" s="18" t="str">
        <f t="shared" si="0"/>
        <v/>
      </c>
      <c r="R46" s="18"/>
      <c r="S46" s="17"/>
      <c r="T46" s="19" t="s">
        <v>192</v>
      </c>
      <c r="U46" s="17" t="s">
        <v>131</v>
      </c>
      <c r="V46" s="17" t="s">
        <v>1565</v>
      </c>
    </row>
    <row r="48" spans="1:22" x14ac:dyDescent="0.25">
      <c r="A48" s="2" t="s">
        <v>1566</v>
      </c>
    </row>
    <row r="49" spans="1:13" x14ac:dyDescent="0.25">
      <c r="A49" s="7" t="s">
        <v>1567</v>
      </c>
      <c r="M49" s="23">
        <f>SUMIFS(M2:M46,B2:B46,"&lt;&gt;MERC")</f>
        <v>644.62199999999996</v>
      </c>
    </row>
    <row r="50" spans="1:13" x14ac:dyDescent="0.25">
      <c r="A50" s="7" t="s">
        <v>79</v>
      </c>
      <c r="M50" s="23">
        <f>SUM(Q2:Q46)</f>
        <v>886.9</v>
      </c>
    </row>
    <row r="51" spans="1:13" x14ac:dyDescent="0.25">
      <c r="A51" s="7" t="s">
        <v>1568</v>
      </c>
      <c r="M51" s="23">
        <f>SUM(R2:R46)</f>
        <v>29774.240000000002</v>
      </c>
    </row>
    <row r="52" spans="1:13" x14ac:dyDescent="0.25">
      <c r="A52" s="7" t="s">
        <v>1569</v>
      </c>
      <c r="M52" s="23">
        <f>SUMIFS(M2:M46,B2:B46,"MERC")</f>
        <v>1450</v>
      </c>
    </row>
    <row r="53" spans="1:13" x14ac:dyDescent="0.25">
      <c r="A53" s="7" t="s">
        <v>1570</v>
      </c>
      <c r="M53" s="23">
        <f>COUNTA(A2:A46)</f>
        <v>45</v>
      </c>
    </row>
  </sheetData>
  <autoFilter ref="A1:V46" xr:uid="{00000000-0009-0000-0000-000004000000}"/>
  <hyperlinks>
    <hyperlink ref="T2" r:id="rId1" xr:uid="{00000000-0004-0000-0400-000000000000}"/>
    <hyperlink ref="T3" r:id="rId2" xr:uid="{00000000-0004-0000-0400-000001000000}"/>
    <hyperlink ref="T4" r:id="rId3" xr:uid="{00000000-0004-0000-0400-000002000000}"/>
    <hyperlink ref="T5" r:id="rId4" xr:uid="{00000000-0004-0000-0400-000003000000}"/>
    <hyperlink ref="T6" r:id="rId5" xr:uid="{00000000-0004-0000-0400-000004000000}"/>
    <hyperlink ref="T7" r:id="rId6" xr:uid="{00000000-0004-0000-0400-000005000000}"/>
    <hyperlink ref="T8" r:id="rId7" xr:uid="{00000000-0004-0000-0400-000006000000}"/>
    <hyperlink ref="T9" r:id="rId8" xr:uid="{00000000-0004-0000-0400-000007000000}"/>
    <hyperlink ref="T10" r:id="rId9" xr:uid="{00000000-0004-0000-0400-000008000000}"/>
    <hyperlink ref="T11" r:id="rId10" xr:uid="{00000000-0004-0000-0400-000009000000}"/>
    <hyperlink ref="T12" r:id="rId11" xr:uid="{00000000-0004-0000-0400-00000A000000}"/>
    <hyperlink ref="T13" r:id="rId12" xr:uid="{00000000-0004-0000-0400-00000B000000}"/>
    <hyperlink ref="T14" r:id="rId13" xr:uid="{00000000-0004-0000-0400-00000C000000}"/>
    <hyperlink ref="T15" r:id="rId14" xr:uid="{00000000-0004-0000-0400-00000D000000}"/>
    <hyperlink ref="T16" r:id="rId15" xr:uid="{00000000-0004-0000-0400-00000E000000}"/>
    <hyperlink ref="T17" r:id="rId16" xr:uid="{00000000-0004-0000-0400-00000F000000}"/>
    <hyperlink ref="T18" r:id="rId17" xr:uid="{00000000-0004-0000-0400-000010000000}"/>
    <hyperlink ref="T19" r:id="rId18" xr:uid="{00000000-0004-0000-0400-000011000000}"/>
    <hyperlink ref="T20" r:id="rId19" xr:uid="{00000000-0004-0000-0400-000012000000}"/>
    <hyperlink ref="T21" r:id="rId20" xr:uid="{00000000-0004-0000-0400-000013000000}"/>
    <hyperlink ref="T22" r:id="rId21" xr:uid="{00000000-0004-0000-0400-000014000000}"/>
    <hyperlink ref="T23" r:id="rId22" xr:uid="{00000000-0004-0000-0400-000015000000}"/>
    <hyperlink ref="T24" r:id="rId23" xr:uid="{00000000-0004-0000-0400-000016000000}"/>
    <hyperlink ref="T25" r:id="rId24" xr:uid="{00000000-0004-0000-0400-000017000000}"/>
    <hyperlink ref="T26" r:id="rId25" xr:uid="{00000000-0004-0000-0400-000018000000}"/>
    <hyperlink ref="T27" r:id="rId26" xr:uid="{00000000-0004-0000-0400-000019000000}"/>
    <hyperlink ref="T28" r:id="rId27" xr:uid="{00000000-0004-0000-0400-00001A000000}"/>
    <hyperlink ref="T29" r:id="rId28" xr:uid="{00000000-0004-0000-0400-00001B000000}"/>
    <hyperlink ref="T30" r:id="rId29" xr:uid="{00000000-0004-0000-0400-00001C000000}"/>
    <hyperlink ref="T31" r:id="rId30" xr:uid="{00000000-0004-0000-0400-00001D000000}"/>
    <hyperlink ref="T32" r:id="rId31" xr:uid="{00000000-0004-0000-0400-00001E000000}"/>
    <hyperlink ref="T33" r:id="rId32" xr:uid="{00000000-0004-0000-0400-00001F000000}"/>
    <hyperlink ref="T34" r:id="rId33" xr:uid="{00000000-0004-0000-0400-000020000000}"/>
    <hyperlink ref="T35" r:id="rId34" xr:uid="{00000000-0004-0000-0400-000021000000}"/>
    <hyperlink ref="T36" r:id="rId35" xr:uid="{00000000-0004-0000-0400-000022000000}"/>
    <hyperlink ref="T37" r:id="rId36" xr:uid="{00000000-0004-0000-0400-000023000000}"/>
    <hyperlink ref="T38" r:id="rId37" xr:uid="{00000000-0004-0000-0400-000024000000}"/>
    <hyperlink ref="T39" r:id="rId38" xr:uid="{00000000-0004-0000-0400-000025000000}"/>
    <hyperlink ref="T40" r:id="rId39" xr:uid="{00000000-0004-0000-0400-000026000000}"/>
    <hyperlink ref="T41" r:id="rId40" xr:uid="{00000000-0004-0000-0400-000027000000}"/>
    <hyperlink ref="T42" r:id="rId41" xr:uid="{00000000-0004-0000-0400-000028000000}"/>
    <hyperlink ref="T43" r:id="rId42" xr:uid="{00000000-0004-0000-0400-000029000000}"/>
    <hyperlink ref="T44" r:id="rId43" xr:uid="{00000000-0004-0000-0400-00002A000000}"/>
    <hyperlink ref="T45" r:id="rId44" xr:uid="{00000000-0004-0000-0400-00002B000000}"/>
    <hyperlink ref="T46" r:id="rId45" xr:uid="{00000000-0004-0000-0400-00002C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2" customWidth="1"/>
    <col min="3" max="3" width="18" customWidth="1"/>
    <col min="4" max="4" width="26" customWidth="1"/>
    <col min="5" max="5" width="11" customWidth="1"/>
    <col min="6" max="6" width="26" customWidth="1"/>
    <col min="7" max="7" width="20" customWidth="1"/>
    <col min="8" max="8" width="24" customWidth="1"/>
    <col min="9" max="9" width="18" customWidth="1"/>
    <col min="10" max="10" width="10" customWidth="1"/>
    <col min="11" max="11" width="9" customWidth="1"/>
    <col min="12" max="12" width="11" customWidth="1"/>
    <col min="13" max="13" width="44" customWidth="1"/>
    <col min="14" max="14" width="30" customWidth="1"/>
    <col min="15" max="16" width="8" customWidth="1"/>
  </cols>
  <sheetData>
    <row r="1" spans="1:16" ht="42" customHeight="1" x14ac:dyDescent="0.25">
      <c r="A1" s="16" t="s">
        <v>93</v>
      </c>
      <c r="B1" s="16" t="s">
        <v>34</v>
      </c>
      <c r="C1" s="16" t="s">
        <v>1571</v>
      </c>
      <c r="D1" s="16" t="s">
        <v>1572</v>
      </c>
      <c r="E1" s="16" t="s">
        <v>1192</v>
      </c>
      <c r="F1" s="16" t="s">
        <v>1573</v>
      </c>
      <c r="G1" s="16" t="s">
        <v>1574</v>
      </c>
      <c r="H1" s="16" t="s">
        <v>1196</v>
      </c>
      <c r="I1" s="16" t="s">
        <v>1575</v>
      </c>
      <c r="J1" s="16" t="s">
        <v>1576</v>
      </c>
      <c r="K1" s="16" t="s">
        <v>1577</v>
      </c>
      <c r="L1" s="16" t="s">
        <v>1578</v>
      </c>
      <c r="M1" s="16" t="s">
        <v>1579</v>
      </c>
      <c r="N1" s="16" t="s">
        <v>1041</v>
      </c>
      <c r="O1" s="16" t="s">
        <v>105</v>
      </c>
      <c r="P1" s="16" t="s">
        <v>1042</v>
      </c>
    </row>
    <row r="2" spans="1:16" ht="60" x14ac:dyDescent="0.25">
      <c r="A2" s="20" t="s">
        <v>1580</v>
      </c>
      <c r="B2" s="20" t="s">
        <v>39</v>
      </c>
      <c r="C2" s="20" t="s">
        <v>1581</v>
      </c>
      <c r="D2" s="20" t="s">
        <v>1582</v>
      </c>
      <c r="E2" s="20" t="s">
        <v>1583</v>
      </c>
      <c r="F2" s="20" t="s">
        <v>1584</v>
      </c>
      <c r="G2" s="20" t="s">
        <v>1585</v>
      </c>
      <c r="H2" s="20" t="s">
        <v>1586</v>
      </c>
      <c r="I2" s="20" t="s">
        <v>1587</v>
      </c>
      <c r="J2" s="21">
        <v>929</v>
      </c>
      <c r="K2" s="21">
        <v>555</v>
      </c>
      <c r="L2" s="21">
        <v>26400</v>
      </c>
      <c r="M2" s="20" t="s">
        <v>1588</v>
      </c>
      <c r="N2" s="22" t="s">
        <v>1589</v>
      </c>
      <c r="O2" s="20" t="s">
        <v>24</v>
      </c>
      <c r="P2" s="20" t="s">
        <v>130</v>
      </c>
    </row>
    <row r="3" spans="1:16" ht="60" x14ac:dyDescent="0.25">
      <c r="A3" s="20" t="s">
        <v>1590</v>
      </c>
      <c r="B3" s="20" t="s">
        <v>39</v>
      </c>
      <c r="C3" s="20" t="s">
        <v>1581</v>
      </c>
      <c r="D3" s="20" t="s">
        <v>1591</v>
      </c>
      <c r="E3" s="20" t="s">
        <v>1583</v>
      </c>
      <c r="F3" s="20" t="s">
        <v>1592</v>
      </c>
      <c r="G3" s="20" t="s">
        <v>1585</v>
      </c>
      <c r="H3" s="20" t="s">
        <v>1593</v>
      </c>
      <c r="I3" s="20" t="s">
        <v>1594</v>
      </c>
      <c r="J3" s="21">
        <v>697</v>
      </c>
      <c r="K3" s="21">
        <v>416.5</v>
      </c>
      <c r="L3" s="21"/>
      <c r="M3" s="20" t="s">
        <v>1595</v>
      </c>
      <c r="N3" s="22" t="s">
        <v>1589</v>
      </c>
      <c r="O3" s="20" t="s">
        <v>24</v>
      </c>
      <c r="P3" s="20" t="s">
        <v>130</v>
      </c>
    </row>
    <row r="4" spans="1:16" ht="60" x14ac:dyDescent="0.25">
      <c r="A4" s="20" t="s">
        <v>1596</v>
      </c>
      <c r="B4" s="20" t="s">
        <v>39</v>
      </c>
      <c r="C4" s="20" t="s">
        <v>1597</v>
      </c>
      <c r="D4" s="20" t="s">
        <v>1598</v>
      </c>
      <c r="E4" s="20" t="s">
        <v>682</v>
      </c>
      <c r="F4" s="20" t="s">
        <v>1599</v>
      </c>
      <c r="G4" s="20" t="s">
        <v>1585</v>
      </c>
      <c r="H4" s="20" t="s">
        <v>1600</v>
      </c>
      <c r="I4" s="20" t="s">
        <v>1601</v>
      </c>
      <c r="J4" s="21">
        <v>512</v>
      </c>
      <c r="K4" s="21">
        <v>275</v>
      </c>
      <c r="L4" s="21"/>
      <c r="M4" s="20" t="s">
        <v>1602</v>
      </c>
      <c r="N4" s="22" t="s">
        <v>1603</v>
      </c>
      <c r="O4" s="20" t="s">
        <v>24</v>
      </c>
      <c r="P4" s="20" t="s">
        <v>130</v>
      </c>
    </row>
    <row r="5" spans="1:16" ht="36" x14ac:dyDescent="0.25">
      <c r="A5" s="20" t="s">
        <v>1604</v>
      </c>
      <c r="B5" s="20" t="s">
        <v>39</v>
      </c>
      <c r="C5" s="20" t="s">
        <v>1141</v>
      </c>
      <c r="D5" s="20" t="s">
        <v>1605</v>
      </c>
      <c r="E5" s="20" t="s">
        <v>1606</v>
      </c>
      <c r="F5" s="20" t="s">
        <v>1607</v>
      </c>
      <c r="G5" s="20" t="s">
        <v>1608</v>
      </c>
      <c r="H5" s="20" t="s">
        <v>1609</v>
      </c>
      <c r="I5" s="20" t="s">
        <v>1610</v>
      </c>
      <c r="J5" s="21">
        <v>2323</v>
      </c>
      <c r="K5" s="21"/>
      <c r="L5" s="21"/>
      <c r="M5" s="20" t="s">
        <v>1611</v>
      </c>
      <c r="N5" s="22" t="s">
        <v>923</v>
      </c>
      <c r="O5" s="20" t="s">
        <v>22</v>
      </c>
      <c r="P5" s="20" t="s">
        <v>131</v>
      </c>
    </row>
    <row r="6" spans="1:16" ht="60" x14ac:dyDescent="0.25">
      <c r="A6" s="20" t="s">
        <v>1612</v>
      </c>
      <c r="B6" s="20" t="s">
        <v>39</v>
      </c>
      <c r="C6" s="20" t="s">
        <v>1613</v>
      </c>
      <c r="D6" s="20" t="s">
        <v>1614</v>
      </c>
      <c r="E6" s="20" t="s">
        <v>503</v>
      </c>
      <c r="F6" s="20" t="s">
        <v>617</v>
      </c>
      <c r="G6" s="20" t="s">
        <v>1224</v>
      </c>
      <c r="H6" s="20" t="s">
        <v>1615</v>
      </c>
      <c r="I6" s="20" t="s">
        <v>1616</v>
      </c>
      <c r="J6" s="21">
        <v>1000</v>
      </c>
      <c r="K6" s="21"/>
      <c r="L6" s="21"/>
      <c r="M6" s="20" t="s">
        <v>1617</v>
      </c>
      <c r="N6" s="22" t="s">
        <v>624</v>
      </c>
      <c r="O6" s="20" t="s">
        <v>22</v>
      </c>
      <c r="P6" s="20" t="s">
        <v>131</v>
      </c>
    </row>
    <row r="7" spans="1:16" ht="60" x14ac:dyDescent="0.25">
      <c r="A7" s="20" t="s">
        <v>1618</v>
      </c>
      <c r="B7" s="20" t="s">
        <v>39</v>
      </c>
      <c r="C7" s="20" t="s">
        <v>1619</v>
      </c>
      <c r="D7" s="20" t="s">
        <v>1620</v>
      </c>
      <c r="E7" s="20" t="s">
        <v>1621</v>
      </c>
      <c r="F7" s="20" t="s">
        <v>1622</v>
      </c>
      <c r="G7" s="20" t="s">
        <v>1623</v>
      </c>
      <c r="H7" s="20" t="s">
        <v>1624</v>
      </c>
      <c r="I7" s="20" t="s">
        <v>1625</v>
      </c>
      <c r="J7" s="21"/>
      <c r="K7" s="21"/>
      <c r="L7" s="21"/>
      <c r="M7" s="20" t="s">
        <v>1626</v>
      </c>
      <c r="N7" s="22" t="s">
        <v>1627</v>
      </c>
      <c r="O7" s="20" t="s">
        <v>24</v>
      </c>
      <c r="P7" s="20" t="s">
        <v>130</v>
      </c>
    </row>
    <row r="8" spans="1:16" ht="24" x14ac:dyDescent="0.25">
      <c r="A8" s="20" t="s">
        <v>1628</v>
      </c>
      <c r="B8" s="20" t="s">
        <v>39</v>
      </c>
      <c r="C8" s="20" t="s">
        <v>1613</v>
      </c>
      <c r="D8" s="20" t="s">
        <v>1629</v>
      </c>
      <c r="E8" s="20" t="s">
        <v>239</v>
      </c>
      <c r="F8" s="20" t="s">
        <v>638</v>
      </c>
      <c r="G8" s="20" t="s">
        <v>1630</v>
      </c>
      <c r="H8" s="20" t="s">
        <v>1631</v>
      </c>
      <c r="I8" s="20" t="s">
        <v>1632</v>
      </c>
      <c r="J8" s="21">
        <v>1500</v>
      </c>
      <c r="K8" s="21"/>
      <c r="L8" s="21">
        <v>108010</v>
      </c>
      <c r="M8" s="20" t="s">
        <v>1633</v>
      </c>
      <c r="N8" s="22" t="s">
        <v>901</v>
      </c>
      <c r="O8" s="20" t="s">
        <v>24</v>
      </c>
      <c r="P8" s="20" t="s">
        <v>130</v>
      </c>
    </row>
    <row r="9" spans="1:16" ht="36" x14ac:dyDescent="0.25">
      <c r="A9" s="20" t="s">
        <v>1634</v>
      </c>
      <c r="B9" s="20" t="s">
        <v>39</v>
      </c>
      <c r="C9" s="20" t="s">
        <v>1613</v>
      </c>
      <c r="D9" s="20" t="s">
        <v>1635</v>
      </c>
      <c r="E9" s="20" t="s">
        <v>611</v>
      </c>
      <c r="F9" s="20" t="s">
        <v>1636</v>
      </c>
      <c r="G9" s="20" t="s">
        <v>1637</v>
      </c>
      <c r="H9" s="20" t="s">
        <v>1638</v>
      </c>
      <c r="I9" s="20" t="s">
        <v>1639</v>
      </c>
      <c r="J9" s="21">
        <v>1000</v>
      </c>
      <c r="K9" s="21"/>
      <c r="L9" s="21">
        <v>85200</v>
      </c>
      <c r="M9" s="20" t="s">
        <v>1640</v>
      </c>
      <c r="N9" s="22" t="s">
        <v>644</v>
      </c>
      <c r="O9" s="20" t="s">
        <v>24</v>
      </c>
      <c r="P9" s="20" t="s">
        <v>130</v>
      </c>
    </row>
    <row r="10" spans="1:16" ht="36" x14ac:dyDescent="0.25">
      <c r="A10" s="20" t="s">
        <v>1641</v>
      </c>
      <c r="B10" s="20" t="s">
        <v>39</v>
      </c>
      <c r="C10" s="20" t="s">
        <v>1613</v>
      </c>
      <c r="D10" s="20" t="s">
        <v>1642</v>
      </c>
      <c r="E10" s="20" t="s">
        <v>662</v>
      </c>
      <c r="F10" s="20" t="s">
        <v>1643</v>
      </c>
      <c r="G10" s="20" t="s">
        <v>1644</v>
      </c>
      <c r="H10" s="20" t="s">
        <v>657</v>
      </c>
      <c r="I10" s="20" t="s">
        <v>1639</v>
      </c>
      <c r="J10" s="21">
        <v>486</v>
      </c>
      <c r="K10" s="21"/>
      <c r="L10" s="21">
        <v>58743</v>
      </c>
      <c r="M10" s="20" t="s">
        <v>1645</v>
      </c>
      <c r="N10" s="22" t="s">
        <v>644</v>
      </c>
      <c r="O10" s="20" t="s">
        <v>24</v>
      </c>
      <c r="P10" s="20" t="s">
        <v>130</v>
      </c>
    </row>
    <row r="11" spans="1:16" ht="48" x14ac:dyDescent="0.25">
      <c r="A11" s="20" t="s">
        <v>1646</v>
      </c>
      <c r="B11" s="20" t="s">
        <v>39</v>
      </c>
      <c r="C11" s="20" t="s">
        <v>1613</v>
      </c>
      <c r="D11" s="20" t="s">
        <v>1647</v>
      </c>
      <c r="E11" s="20" t="s">
        <v>985</v>
      </c>
      <c r="F11" s="20" t="s">
        <v>667</v>
      </c>
      <c r="G11" s="20" t="s">
        <v>1648</v>
      </c>
      <c r="H11" s="20" t="s">
        <v>1649</v>
      </c>
      <c r="I11" s="20" t="s">
        <v>1650</v>
      </c>
      <c r="J11" s="21">
        <v>512</v>
      </c>
      <c r="K11" s="21"/>
      <c r="L11" s="21">
        <v>31387</v>
      </c>
      <c r="M11" s="20" t="s">
        <v>1651</v>
      </c>
      <c r="N11" s="22" t="s">
        <v>1652</v>
      </c>
      <c r="O11" s="20" t="s">
        <v>24</v>
      </c>
      <c r="P11" s="20" t="s">
        <v>130</v>
      </c>
    </row>
    <row r="12" spans="1:16" ht="60" x14ac:dyDescent="0.25">
      <c r="A12" s="20" t="s">
        <v>1653</v>
      </c>
      <c r="B12" s="20" t="s">
        <v>39</v>
      </c>
      <c r="C12" s="20" t="s">
        <v>1158</v>
      </c>
      <c r="D12" s="20" t="s">
        <v>1654</v>
      </c>
      <c r="E12" s="20" t="s">
        <v>682</v>
      </c>
      <c r="F12" s="20" t="s">
        <v>1655</v>
      </c>
      <c r="G12" s="20" t="s">
        <v>1656</v>
      </c>
      <c r="H12" s="20" t="s">
        <v>1657</v>
      </c>
      <c r="I12" s="20" t="s">
        <v>1658</v>
      </c>
      <c r="J12" s="21">
        <v>9100</v>
      </c>
      <c r="K12" s="21"/>
      <c r="L12" s="21"/>
      <c r="M12" s="20" t="s">
        <v>1659</v>
      </c>
      <c r="N12" s="22" t="s">
        <v>681</v>
      </c>
      <c r="O12" s="20" t="s">
        <v>24</v>
      </c>
      <c r="P12" s="20" t="s">
        <v>130</v>
      </c>
    </row>
    <row r="13" spans="1:16" ht="36" x14ac:dyDescent="0.25">
      <c r="A13" s="20" t="s">
        <v>1660</v>
      </c>
      <c r="B13" s="20" t="s">
        <v>39</v>
      </c>
      <c r="C13" s="20" t="s">
        <v>1661</v>
      </c>
      <c r="D13" s="20" t="s">
        <v>1662</v>
      </c>
      <c r="E13" s="20" t="s">
        <v>392</v>
      </c>
      <c r="F13" s="20" t="s">
        <v>1663</v>
      </c>
      <c r="G13" s="20" t="s">
        <v>675</v>
      </c>
      <c r="H13" s="20" t="s">
        <v>1664</v>
      </c>
      <c r="I13" s="20" t="s">
        <v>1665</v>
      </c>
      <c r="J13" s="21">
        <v>8000</v>
      </c>
      <c r="K13" s="21"/>
      <c r="L13" s="21"/>
      <c r="M13" s="20" t="s">
        <v>1666</v>
      </c>
      <c r="N13" s="22" t="s">
        <v>901</v>
      </c>
      <c r="O13" s="20" t="s">
        <v>30</v>
      </c>
      <c r="P13" s="20" t="s">
        <v>131</v>
      </c>
    </row>
    <row r="14" spans="1:16" ht="60" x14ac:dyDescent="0.25">
      <c r="A14" s="20" t="s">
        <v>1667</v>
      </c>
      <c r="B14" s="20" t="s">
        <v>40</v>
      </c>
      <c r="C14" s="20" t="s">
        <v>1668</v>
      </c>
      <c r="D14" s="20" t="s">
        <v>1669</v>
      </c>
      <c r="E14" s="20" t="s">
        <v>709</v>
      </c>
      <c r="F14" s="20" t="s">
        <v>1670</v>
      </c>
      <c r="G14" s="20" t="s">
        <v>1671</v>
      </c>
      <c r="H14" s="20" t="s">
        <v>1672</v>
      </c>
      <c r="I14" s="20" t="s">
        <v>1673</v>
      </c>
      <c r="J14" s="21"/>
      <c r="K14" s="21"/>
      <c r="L14" s="21">
        <v>60000</v>
      </c>
      <c r="M14" s="20" t="s">
        <v>1674</v>
      </c>
      <c r="N14" s="22" t="s">
        <v>1675</v>
      </c>
      <c r="O14" s="20" t="s">
        <v>28</v>
      </c>
      <c r="P14" s="20" t="s">
        <v>130</v>
      </c>
    </row>
    <row r="15" spans="1:16" ht="24" x14ac:dyDescent="0.25">
      <c r="A15" s="20" t="s">
        <v>1676</v>
      </c>
      <c r="B15" s="20" t="s">
        <v>40</v>
      </c>
      <c r="C15" s="20" t="s">
        <v>1141</v>
      </c>
      <c r="D15" s="20" t="s">
        <v>1677</v>
      </c>
      <c r="E15" s="20" t="s">
        <v>1678</v>
      </c>
      <c r="F15" s="20" t="s">
        <v>1679</v>
      </c>
      <c r="G15" s="20" t="s">
        <v>1680</v>
      </c>
      <c r="H15" s="20" t="s">
        <v>1681</v>
      </c>
      <c r="I15" s="20" t="s">
        <v>1610</v>
      </c>
      <c r="J15" s="21">
        <v>1550</v>
      </c>
      <c r="K15" s="21"/>
      <c r="L15" s="21"/>
      <c r="M15" s="20" t="s">
        <v>1682</v>
      </c>
      <c r="N15" s="22" t="s">
        <v>923</v>
      </c>
      <c r="O15" s="20" t="s">
        <v>22</v>
      </c>
      <c r="P15" s="20" t="s">
        <v>131</v>
      </c>
    </row>
    <row r="16" spans="1:16" ht="24" x14ac:dyDescent="0.25">
      <c r="A16" s="20" t="s">
        <v>1683</v>
      </c>
      <c r="B16" s="20" t="s">
        <v>40</v>
      </c>
      <c r="C16" s="20" t="s">
        <v>1141</v>
      </c>
      <c r="D16" s="20" t="s">
        <v>1677</v>
      </c>
      <c r="E16" s="20" t="s">
        <v>963</v>
      </c>
      <c r="F16" s="20" t="s">
        <v>1684</v>
      </c>
      <c r="G16" s="20" t="s">
        <v>1685</v>
      </c>
      <c r="H16" s="20" t="s">
        <v>1686</v>
      </c>
      <c r="I16" s="20" t="s">
        <v>1610</v>
      </c>
      <c r="J16" s="21">
        <v>1056</v>
      </c>
      <c r="K16" s="21"/>
      <c r="L16" s="21"/>
      <c r="M16" s="20" t="s">
        <v>1687</v>
      </c>
      <c r="N16" s="22" t="s">
        <v>923</v>
      </c>
      <c r="O16" s="20" t="s">
        <v>22</v>
      </c>
      <c r="P16" s="20" t="s">
        <v>131</v>
      </c>
    </row>
    <row r="17" spans="1:16" ht="24" x14ac:dyDescent="0.25">
      <c r="A17" s="20" t="s">
        <v>1688</v>
      </c>
      <c r="B17" s="20" t="s">
        <v>40</v>
      </c>
      <c r="C17" s="20" t="s">
        <v>1141</v>
      </c>
      <c r="D17" s="20" t="s">
        <v>1677</v>
      </c>
      <c r="E17" s="20" t="s">
        <v>963</v>
      </c>
      <c r="F17" s="20" t="s">
        <v>960</v>
      </c>
      <c r="G17" s="20" t="s">
        <v>520</v>
      </c>
      <c r="H17" s="20" t="s">
        <v>959</v>
      </c>
      <c r="I17" s="20" t="s">
        <v>1610</v>
      </c>
      <c r="J17" s="21">
        <v>1346</v>
      </c>
      <c r="K17" s="21"/>
      <c r="L17" s="21"/>
      <c r="M17" s="20" t="s">
        <v>1689</v>
      </c>
      <c r="N17" s="22" t="s">
        <v>923</v>
      </c>
      <c r="O17" s="20" t="s">
        <v>22</v>
      </c>
      <c r="P17" s="20" t="s">
        <v>131</v>
      </c>
    </row>
    <row r="18" spans="1:16" ht="24" x14ac:dyDescent="0.25">
      <c r="A18" s="20" t="s">
        <v>1690</v>
      </c>
      <c r="B18" s="20" t="s">
        <v>40</v>
      </c>
      <c r="C18" s="20" t="s">
        <v>1141</v>
      </c>
      <c r="D18" s="20" t="s">
        <v>1677</v>
      </c>
      <c r="E18" s="20" t="s">
        <v>1691</v>
      </c>
      <c r="F18" s="20" t="s">
        <v>1692</v>
      </c>
      <c r="G18" s="20" t="s">
        <v>1693</v>
      </c>
      <c r="H18" s="20" t="s">
        <v>1694</v>
      </c>
      <c r="I18" s="20" t="s">
        <v>1695</v>
      </c>
      <c r="J18" s="21">
        <v>150</v>
      </c>
      <c r="K18" s="21"/>
      <c r="L18" s="21"/>
      <c r="M18" s="20" t="s">
        <v>1696</v>
      </c>
      <c r="N18" s="22" t="s">
        <v>923</v>
      </c>
      <c r="O18" s="20" t="s">
        <v>22</v>
      </c>
      <c r="P18" s="20" t="s">
        <v>131</v>
      </c>
    </row>
    <row r="19" spans="1:16" ht="36" x14ac:dyDescent="0.25">
      <c r="A19" s="20" t="s">
        <v>1697</v>
      </c>
      <c r="B19" s="20" t="s">
        <v>40</v>
      </c>
      <c r="C19" s="20" t="s">
        <v>1698</v>
      </c>
      <c r="D19" s="20" t="s">
        <v>1699</v>
      </c>
      <c r="E19" s="20" t="s">
        <v>955</v>
      </c>
      <c r="F19" s="20" t="s">
        <v>1700</v>
      </c>
      <c r="G19" s="20" t="s">
        <v>1701</v>
      </c>
      <c r="H19" s="20" t="s">
        <v>947</v>
      </c>
      <c r="I19" s="20" t="s">
        <v>1702</v>
      </c>
      <c r="J19" s="21">
        <v>278</v>
      </c>
      <c r="K19" s="21">
        <v>269.5</v>
      </c>
      <c r="L19" s="21"/>
      <c r="M19" s="20" t="s">
        <v>1703</v>
      </c>
      <c r="N19" s="22" t="s">
        <v>954</v>
      </c>
      <c r="O19" s="20" t="s">
        <v>24</v>
      </c>
      <c r="P19" s="20" t="s">
        <v>130</v>
      </c>
    </row>
    <row r="20" spans="1:16" ht="60" x14ac:dyDescent="0.25">
      <c r="A20" s="20" t="s">
        <v>1704</v>
      </c>
      <c r="B20" s="20" t="s">
        <v>40</v>
      </c>
      <c r="C20" s="20" t="s">
        <v>1705</v>
      </c>
      <c r="D20" s="20" t="s">
        <v>1706</v>
      </c>
      <c r="E20" s="20" t="s">
        <v>1678</v>
      </c>
      <c r="F20" s="20" t="s">
        <v>34</v>
      </c>
      <c r="G20" s="20" t="s">
        <v>136</v>
      </c>
      <c r="H20" s="20" t="s">
        <v>1624</v>
      </c>
      <c r="I20" s="20" t="s">
        <v>1707</v>
      </c>
      <c r="J20" s="21">
        <v>2000</v>
      </c>
      <c r="K20" s="21"/>
      <c r="L20" s="21"/>
      <c r="M20" s="20" t="s">
        <v>1708</v>
      </c>
      <c r="N20" s="22" t="s">
        <v>1709</v>
      </c>
      <c r="O20" s="20" t="s">
        <v>24</v>
      </c>
      <c r="P20" s="20" t="s">
        <v>130</v>
      </c>
    </row>
    <row r="21" spans="1:16" ht="48" x14ac:dyDescent="0.25">
      <c r="A21" s="20" t="s">
        <v>1710</v>
      </c>
      <c r="B21" s="20" t="s">
        <v>41</v>
      </c>
      <c r="C21" s="20" t="s">
        <v>1711</v>
      </c>
      <c r="D21" s="20" t="s">
        <v>1712</v>
      </c>
      <c r="E21" s="20" t="s">
        <v>1713</v>
      </c>
      <c r="F21" s="20" t="s">
        <v>1714</v>
      </c>
      <c r="G21" s="20" t="s">
        <v>1715</v>
      </c>
      <c r="H21" s="20" t="s">
        <v>1716</v>
      </c>
      <c r="I21" s="20" t="s">
        <v>704</v>
      </c>
      <c r="J21" s="21"/>
      <c r="K21" s="21"/>
      <c r="L21" s="21">
        <v>1045</v>
      </c>
      <c r="M21" s="20" t="s">
        <v>1717</v>
      </c>
      <c r="N21" s="22" t="s">
        <v>1718</v>
      </c>
      <c r="O21" s="20" t="s">
        <v>24</v>
      </c>
      <c r="P21" s="20" t="s">
        <v>130</v>
      </c>
    </row>
    <row r="22" spans="1:16" x14ac:dyDescent="0.25">
      <c r="A22" s="20" t="s">
        <v>1719</v>
      </c>
      <c r="B22" s="20" t="s">
        <v>41</v>
      </c>
      <c r="C22" s="20" t="s">
        <v>1141</v>
      </c>
      <c r="D22" s="20" t="s">
        <v>1677</v>
      </c>
      <c r="E22" s="20" t="s">
        <v>985</v>
      </c>
      <c r="F22" s="20" t="s">
        <v>982</v>
      </c>
      <c r="G22" s="20" t="s">
        <v>520</v>
      </c>
      <c r="H22" s="20" t="s">
        <v>1720</v>
      </c>
      <c r="I22" s="20" t="s">
        <v>1610</v>
      </c>
      <c r="J22" s="21">
        <v>70</v>
      </c>
      <c r="K22" s="21"/>
      <c r="L22" s="21"/>
      <c r="M22" s="20" t="s">
        <v>1721</v>
      </c>
      <c r="N22" s="22" t="s">
        <v>923</v>
      </c>
      <c r="O22" s="20" t="s">
        <v>22</v>
      </c>
      <c r="P22" s="20" t="s">
        <v>131</v>
      </c>
    </row>
    <row r="23" spans="1:16" ht="24" x14ac:dyDescent="0.25">
      <c r="A23" s="20" t="s">
        <v>1722</v>
      </c>
      <c r="B23" s="20" t="s">
        <v>47</v>
      </c>
      <c r="C23" s="20" t="s">
        <v>1141</v>
      </c>
      <c r="D23" s="20" t="s">
        <v>1677</v>
      </c>
      <c r="E23" s="20" t="s">
        <v>994</v>
      </c>
      <c r="F23" s="20" t="s">
        <v>991</v>
      </c>
      <c r="G23" s="20" t="s">
        <v>520</v>
      </c>
      <c r="H23" s="20" t="s">
        <v>1723</v>
      </c>
      <c r="I23" s="20" t="s">
        <v>1610</v>
      </c>
      <c r="J23" s="21">
        <v>120</v>
      </c>
      <c r="K23" s="21"/>
      <c r="L23" s="21"/>
      <c r="M23" s="20" t="s">
        <v>1724</v>
      </c>
      <c r="N23" s="22" t="s">
        <v>923</v>
      </c>
      <c r="O23" s="20" t="s">
        <v>22</v>
      </c>
      <c r="P23" s="20" t="s">
        <v>131</v>
      </c>
    </row>
    <row r="24" spans="1:16" ht="36" x14ac:dyDescent="0.25">
      <c r="A24" s="20" t="s">
        <v>1725</v>
      </c>
      <c r="B24" s="20" t="s">
        <v>47</v>
      </c>
      <c r="C24" s="20" t="s">
        <v>1726</v>
      </c>
      <c r="D24" s="20" t="s">
        <v>1727</v>
      </c>
      <c r="E24" s="20" t="s">
        <v>709</v>
      </c>
      <c r="F24" s="20" t="s">
        <v>1728</v>
      </c>
      <c r="G24" s="20" t="s">
        <v>136</v>
      </c>
      <c r="H24" s="20" t="s">
        <v>1729</v>
      </c>
      <c r="I24" s="20" t="s">
        <v>1730</v>
      </c>
      <c r="J24" s="21">
        <v>1000</v>
      </c>
      <c r="K24" s="21"/>
      <c r="L24" s="21">
        <v>1300</v>
      </c>
      <c r="M24" s="20" t="s">
        <v>1731</v>
      </c>
      <c r="N24" s="22" t="s">
        <v>1732</v>
      </c>
      <c r="O24" s="20" t="s">
        <v>24</v>
      </c>
      <c r="P24" s="20" t="s">
        <v>130</v>
      </c>
    </row>
    <row r="25" spans="1:16" ht="48" x14ac:dyDescent="0.25">
      <c r="A25" s="20" t="s">
        <v>1733</v>
      </c>
      <c r="B25" s="20" t="s">
        <v>42</v>
      </c>
      <c r="C25" s="20" t="s">
        <v>1734</v>
      </c>
      <c r="D25" s="20" t="s">
        <v>1735</v>
      </c>
      <c r="E25" s="20" t="s">
        <v>787</v>
      </c>
      <c r="F25" s="20" t="s">
        <v>34</v>
      </c>
      <c r="G25" s="20" t="s">
        <v>1736</v>
      </c>
      <c r="H25" s="20" t="s">
        <v>773</v>
      </c>
      <c r="I25" s="20" t="s">
        <v>1737</v>
      </c>
      <c r="J25" s="21">
        <v>133</v>
      </c>
      <c r="K25" s="21"/>
      <c r="L25" s="21">
        <v>21343</v>
      </c>
      <c r="M25" s="20" t="s">
        <v>1738</v>
      </c>
      <c r="N25" s="22" t="s">
        <v>785</v>
      </c>
      <c r="O25" s="20" t="s">
        <v>22</v>
      </c>
      <c r="P25" s="20" t="s">
        <v>131</v>
      </c>
    </row>
    <row r="26" spans="1:16" ht="48" x14ac:dyDescent="0.25">
      <c r="A26" s="20" t="s">
        <v>1739</v>
      </c>
      <c r="B26" s="20" t="s">
        <v>42</v>
      </c>
      <c r="C26" s="20" t="s">
        <v>1740</v>
      </c>
      <c r="D26" s="20" t="s">
        <v>1741</v>
      </c>
      <c r="E26" s="20" t="s">
        <v>1188</v>
      </c>
      <c r="F26" s="20" t="s">
        <v>1742</v>
      </c>
      <c r="G26" s="20" t="s">
        <v>136</v>
      </c>
      <c r="H26" s="20" t="s">
        <v>1624</v>
      </c>
      <c r="I26" s="20" t="s">
        <v>1743</v>
      </c>
      <c r="J26" s="21">
        <v>2000</v>
      </c>
      <c r="K26" s="21"/>
      <c r="L26" s="21">
        <v>200000</v>
      </c>
      <c r="M26" s="20" t="s">
        <v>1744</v>
      </c>
      <c r="N26" s="22" t="s">
        <v>1745</v>
      </c>
      <c r="O26" s="20" t="s">
        <v>22</v>
      </c>
      <c r="P26" s="20" t="s">
        <v>131</v>
      </c>
    </row>
    <row r="27" spans="1:16" ht="48" x14ac:dyDescent="0.25">
      <c r="A27" s="20" t="s">
        <v>1746</v>
      </c>
      <c r="B27" s="20" t="s">
        <v>44</v>
      </c>
      <c r="C27" s="20" t="s">
        <v>1747</v>
      </c>
      <c r="D27" s="20" t="s">
        <v>1650</v>
      </c>
      <c r="E27" s="20" t="s">
        <v>611</v>
      </c>
      <c r="F27" s="20" t="s">
        <v>814</v>
      </c>
      <c r="G27" s="20" t="s">
        <v>1748</v>
      </c>
      <c r="H27" s="20" t="s">
        <v>813</v>
      </c>
      <c r="I27" s="20" t="s">
        <v>1228</v>
      </c>
      <c r="J27" s="21">
        <v>1000</v>
      </c>
      <c r="K27" s="21"/>
      <c r="L27" s="21">
        <v>104000</v>
      </c>
      <c r="M27" s="20" t="s">
        <v>1749</v>
      </c>
      <c r="N27" s="22" t="s">
        <v>819</v>
      </c>
      <c r="O27" s="20" t="s">
        <v>24</v>
      </c>
      <c r="P27" s="20" t="s">
        <v>130</v>
      </c>
    </row>
    <row r="28" spans="1:16" ht="60" x14ac:dyDescent="0.25">
      <c r="A28" s="20" t="s">
        <v>1750</v>
      </c>
      <c r="B28" s="20" t="s">
        <v>44</v>
      </c>
      <c r="C28" s="20" t="s">
        <v>1751</v>
      </c>
      <c r="D28" s="20" t="s">
        <v>1650</v>
      </c>
      <c r="E28" s="20" t="s">
        <v>239</v>
      </c>
      <c r="F28" s="20" t="s">
        <v>1752</v>
      </c>
      <c r="G28" s="20" t="s">
        <v>675</v>
      </c>
      <c r="H28" s="20" t="s">
        <v>1753</v>
      </c>
      <c r="I28" s="20" t="s">
        <v>1228</v>
      </c>
      <c r="J28" s="21">
        <v>120</v>
      </c>
      <c r="K28" s="21"/>
      <c r="L28" s="21">
        <v>38391</v>
      </c>
      <c r="M28" s="20" t="s">
        <v>1754</v>
      </c>
      <c r="N28" s="22" t="s">
        <v>1003</v>
      </c>
      <c r="O28" s="20" t="s">
        <v>24</v>
      </c>
      <c r="P28" s="20" t="s">
        <v>130</v>
      </c>
    </row>
    <row r="29" spans="1:16" ht="24" x14ac:dyDescent="0.25">
      <c r="A29" s="20" t="s">
        <v>1755</v>
      </c>
      <c r="B29" s="20" t="s">
        <v>38</v>
      </c>
      <c r="C29" s="20" t="s">
        <v>1141</v>
      </c>
      <c r="D29" s="20" t="s">
        <v>1677</v>
      </c>
      <c r="E29" s="20" t="s">
        <v>1756</v>
      </c>
      <c r="F29" s="20" t="s">
        <v>1426</v>
      </c>
      <c r="G29" s="20" t="s">
        <v>1757</v>
      </c>
      <c r="H29" s="20" t="s">
        <v>1758</v>
      </c>
      <c r="I29" s="20" t="s">
        <v>1759</v>
      </c>
      <c r="J29" s="21">
        <v>1468</v>
      </c>
      <c r="K29" s="21"/>
      <c r="L29" s="21"/>
      <c r="M29" s="20" t="s">
        <v>1760</v>
      </c>
      <c r="N29" s="22" t="s">
        <v>923</v>
      </c>
      <c r="O29" s="20" t="s">
        <v>22</v>
      </c>
      <c r="P29" s="20" t="s">
        <v>131</v>
      </c>
    </row>
    <row r="30" spans="1:16" ht="24" x14ac:dyDescent="0.25">
      <c r="A30" s="20" t="s">
        <v>1761</v>
      </c>
      <c r="B30" s="20" t="s">
        <v>38</v>
      </c>
      <c r="C30" s="20" t="s">
        <v>1141</v>
      </c>
      <c r="D30" s="20" t="s">
        <v>1677</v>
      </c>
      <c r="E30" s="20" t="s">
        <v>1762</v>
      </c>
      <c r="F30" s="20" t="s">
        <v>1763</v>
      </c>
      <c r="G30" s="20" t="s">
        <v>1764</v>
      </c>
      <c r="H30" s="20" t="s">
        <v>1765</v>
      </c>
      <c r="I30" s="20" t="s">
        <v>1610</v>
      </c>
      <c r="J30" s="21">
        <v>500</v>
      </c>
      <c r="K30" s="21"/>
      <c r="L30" s="21"/>
      <c r="M30" s="20" t="s">
        <v>1766</v>
      </c>
      <c r="N30" s="22" t="s">
        <v>923</v>
      </c>
      <c r="O30" s="20" t="s">
        <v>22</v>
      </c>
      <c r="P30" s="20" t="s">
        <v>131</v>
      </c>
    </row>
    <row r="31" spans="1:16" x14ac:dyDescent="0.25">
      <c r="A31" s="20" t="s">
        <v>1767</v>
      </c>
      <c r="B31" s="20" t="s">
        <v>38</v>
      </c>
      <c r="C31" s="20" t="s">
        <v>1141</v>
      </c>
      <c r="D31" s="20" t="s">
        <v>1677</v>
      </c>
      <c r="E31" s="20" t="s">
        <v>1768</v>
      </c>
      <c r="F31" s="20" t="s">
        <v>1769</v>
      </c>
      <c r="G31" s="20" t="s">
        <v>520</v>
      </c>
      <c r="H31" s="20" t="s">
        <v>1770</v>
      </c>
      <c r="I31" s="20" t="s">
        <v>1610</v>
      </c>
      <c r="J31" s="21">
        <v>100</v>
      </c>
      <c r="K31" s="21"/>
      <c r="L31" s="21"/>
      <c r="M31" s="20" t="s">
        <v>971</v>
      </c>
      <c r="N31" s="22" t="s">
        <v>923</v>
      </c>
      <c r="O31" s="20" t="s">
        <v>22</v>
      </c>
      <c r="P31" s="20" t="s">
        <v>131</v>
      </c>
    </row>
  </sheetData>
  <autoFilter ref="A1:P31" xr:uid="{00000000-0009-0000-0000-000005000000}"/>
  <hyperlinks>
    <hyperlink ref="N2" r:id="rId1" xr:uid="{00000000-0004-0000-0500-000000000000}"/>
    <hyperlink ref="N3" r:id="rId2" xr:uid="{00000000-0004-0000-0500-000001000000}"/>
    <hyperlink ref="N4" r:id="rId3" xr:uid="{00000000-0004-0000-0500-000002000000}"/>
    <hyperlink ref="N5" r:id="rId4" xr:uid="{00000000-0004-0000-0500-000003000000}"/>
    <hyperlink ref="N6" r:id="rId5" xr:uid="{00000000-0004-0000-0500-000004000000}"/>
    <hyperlink ref="N7" r:id="rId6" xr:uid="{00000000-0004-0000-0500-000005000000}"/>
    <hyperlink ref="N8" r:id="rId7" xr:uid="{00000000-0004-0000-0500-000006000000}"/>
    <hyperlink ref="N9" r:id="rId8" xr:uid="{00000000-0004-0000-0500-000007000000}"/>
    <hyperlink ref="N10" r:id="rId9" xr:uid="{00000000-0004-0000-0500-000008000000}"/>
    <hyperlink ref="N11" r:id="rId10" xr:uid="{00000000-0004-0000-0500-000009000000}"/>
    <hyperlink ref="N12" r:id="rId11" xr:uid="{00000000-0004-0000-0500-00000A000000}"/>
    <hyperlink ref="N13" r:id="rId12" xr:uid="{00000000-0004-0000-0500-00000B000000}"/>
    <hyperlink ref="N14" r:id="rId13" xr:uid="{00000000-0004-0000-0500-00000C000000}"/>
    <hyperlink ref="N15" r:id="rId14" xr:uid="{00000000-0004-0000-0500-00000D000000}"/>
    <hyperlink ref="N16" r:id="rId15" xr:uid="{00000000-0004-0000-0500-00000E000000}"/>
    <hyperlink ref="N17" r:id="rId16" xr:uid="{00000000-0004-0000-0500-00000F000000}"/>
    <hyperlink ref="N18" r:id="rId17" xr:uid="{00000000-0004-0000-0500-000010000000}"/>
    <hyperlink ref="N19" r:id="rId18" xr:uid="{00000000-0004-0000-0500-000011000000}"/>
    <hyperlink ref="N20" r:id="rId19" xr:uid="{00000000-0004-0000-0500-000012000000}"/>
    <hyperlink ref="N21" r:id="rId20" xr:uid="{00000000-0004-0000-0500-000013000000}"/>
    <hyperlink ref="N22" r:id="rId21" xr:uid="{00000000-0004-0000-0500-000014000000}"/>
    <hyperlink ref="N23" r:id="rId22" xr:uid="{00000000-0004-0000-0500-000015000000}"/>
    <hyperlink ref="N24" r:id="rId23" xr:uid="{00000000-0004-0000-0500-000016000000}"/>
    <hyperlink ref="N25" r:id="rId24" xr:uid="{00000000-0004-0000-0500-000017000000}"/>
    <hyperlink ref="N26" r:id="rId25" xr:uid="{00000000-0004-0000-0500-000018000000}"/>
    <hyperlink ref="N27" r:id="rId26" xr:uid="{00000000-0004-0000-0500-000019000000}"/>
    <hyperlink ref="N28" r:id="rId27" xr:uid="{00000000-0004-0000-0500-00001A000000}"/>
    <hyperlink ref="N29" r:id="rId28" xr:uid="{00000000-0004-0000-0500-00001B000000}"/>
    <hyperlink ref="N30" r:id="rId29" xr:uid="{00000000-0004-0000-0500-00001C000000}"/>
    <hyperlink ref="N31" r:id="rId30" xr:uid="{00000000-0004-0000-0500-00001D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34" customWidth="1"/>
    <col min="3" max="3" width="13" customWidth="1"/>
    <col min="4" max="4" width="11" customWidth="1"/>
    <col min="5" max="5" width="30" customWidth="1"/>
    <col min="6" max="6" width="10" customWidth="1"/>
    <col min="7" max="7" width="34" customWidth="1"/>
    <col min="8" max="8" width="12" customWidth="1"/>
    <col min="9" max="9" width="14" customWidth="1"/>
    <col min="10" max="10" width="22" customWidth="1"/>
  </cols>
  <sheetData>
    <row r="1" spans="1:10" ht="42" customHeight="1" x14ac:dyDescent="0.25">
      <c r="A1" s="16" t="s">
        <v>1771</v>
      </c>
      <c r="B1" s="16" t="s">
        <v>1292</v>
      </c>
      <c r="C1" s="16" t="s">
        <v>1772</v>
      </c>
      <c r="D1" s="16" t="s">
        <v>1773</v>
      </c>
      <c r="E1" s="16" t="s">
        <v>1774</v>
      </c>
      <c r="F1" s="16" t="s">
        <v>1775</v>
      </c>
      <c r="G1" s="16" t="s">
        <v>1776</v>
      </c>
      <c r="H1" s="16" t="s">
        <v>103</v>
      </c>
      <c r="I1" s="16" t="s">
        <v>1777</v>
      </c>
      <c r="J1" s="16" t="s">
        <v>1778</v>
      </c>
    </row>
    <row r="2" spans="1:10" ht="36" x14ac:dyDescent="0.25">
      <c r="A2" s="17" t="s">
        <v>1779</v>
      </c>
      <c r="B2" s="17" t="s">
        <v>1780</v>
      </c>
      <c r="C2" s="17" t="s">
        <v>1781</v>
      </c>
      <c r="D2" s="17" t="s">
        <v>1782</v>
      </c>
      <c r="E2" s="17" t="s">
        <v>1783</v>
      </c>
      <c r="F2" s="18">
        <v>100</v>
      </c>
      <c r="G2" s="17" t="s">
        <v>1784</v>
      </c>
      <c r="H2" s="17" t="s">
        <v>1785</v>
      </c>
      <c r="I2" s="17" t="s">
        <v>39</v>
      </c>
      <c r="J2" s="17" t="s">
        <v>86</v>
      </c>
    </row>
    <row r="3" spans="1:10" ht="36" x14ac:dyDescent="0.25">
      <c r="A3" s="17" t="s">
        <v>1786</v>
      </c>
      <c r="B3" s="17" t="s">
        <v>1787</v>
      </c>
      <c r="C3" s="17" t="s">
        <v>1788</v>
      </c>
      <c r="D3" s="17" t="s">
        <v>1789</v>
      </c>
      <c r="E3" s="17" t="s">
        <v>1783</v>
      </c>
      <c r="F3" s="18">
        <v>150</v>
      </c>
      <c r="G3" s="17" t="s">
        <v>1784</v>
      </c>
      <c r="H3" s="17" t="s">
        <v>1785</v>
      </c>
      <c r="I3" s="17" t="s">
        <v>39</v>
      </c>
      <c r="J3" s="17" t="s">
        <v>86</v>
      </c>
    </row>
    <row r="4" spans="1:10" ht="36" x14ac:dyDescent="0.25">
      <c r="A4" s="17" t="s">
        <v>1790</v>
      </c>
      <c r="B4" s="17" t="s">
        <v>1791</v>
      </c>
      <c r="C4" s="17" t="s">
        <v>1792</v>
      </c>
      <c r="D4" s="17" t="s">
        <v>1793</v>
      </c>
      <c r="E4" s="17" t="s">
        <v>1783</v>
      </c>
      <c r="F4" s="18">
        <v>50</v>
      </c>
      <c r="G4" s="17" t="s">
        <v>1794</v>
      </c>
      <c r="H4" s="17" t="s">
        <v>1785</v>
      </c>
      <c r="I4" s="17" t="s">
        <v>43</v>
      </c>
      <c r="J4" s="17" t="s">
        <v>86</v>
      </c>
    </row>
    <row r="5" spans="1:10" ht="36" x14ac:dyDescent="0.25">
      <c r="A5" s="17" t="s">
        <v>1795</v>
      </c>
      <c r="B5" s="17" t="s">
        <v>1796</v>
      </c>
      <c r="C5" s="17" t="s">
        <v>1797</v>
      </c>
      <c r="D5" s="17" t="s">
        <v>1798</v>
      </c>
      <c r="E5" s="17" t="s">
        <v>1783</v>
      </c>
      <c r="F5" s="18">
        <v>80</v>
      </c>
      <c r="G5" s="17" t="s">
        <v>1799</v>
      </c>
      <c r="H5" s="17" t="s">
        <v>1785</v>
      </c>
      <c r="I5" s="17" t="s">
        <v>43</v>
      </c>
      <c r="J5" s="17" t="s">
        <v>86</v>
      </c>
    </row>
    <row r="6" spans="1:10" ht="36" x14ac:dyDescent="0.25">
      <c r="A6" s="17" t="s">
        <v>1800</v>
      </c>
      <c r="B6" s="17" t="s">
        <v>1796</v>
      </c>
      <c r="C6" s="17" t="s">
        <v>1801</v>
      </c>
      <c r="D6" s="17" t="s">
        <v>1798</v>
      </c>
      <c r="E6" s="17" t="s">
        <v>1783</v>
      </c>
      <c r="F6" s="18">
        <v>80</v>
      </c>
      <c r="G6" s="17" t="s">
        <v>1799</v>
      </c>
      <c r="H6" s="17" t="s">
        <v>1785</v>
      </c>
      <c r="I6" s="17" t="s">
        <v>43</v>
      </c>
      <c r="J6" s="17" t="s">
        <v>86</v>
      </c>
    </row>
    <row r="7" spans="1:10" ht="36" x14ac:dyDescent="0.25">
      <c r="A7" s="17" t="s">
        <v>1802</v>
      </c>
      <c r="B7" s="17" t="s">
        <v>1796</v>
      </c>
      <c r="C7" s="17" t="s">
        <v>1803</v>
      </c>
      <c r="D7" s="17" t="s">
        <v>1798</v>
      </c>
      <c r="E7" s="17" t="s">
        <v>1783</v>
      </c>
      <c r="F7" s="18">
        <v>80</v>
      </c>
      <c r="G7" s="17" t="s">
        <v>1799</v>
      </c>
      <c r="H7" s="17" t="s">
        <v>1785</v>
      </c>
      <c r="I7" s="17" t="s">
        <v>43</v>
      </c>
      <c r="J7" s="17" t="s">
        <v>86</v>
      </c>
    </row>
    <row r="8" spans="1:10" ht="36" x14ac:dyDescent="0.25">
      <c r="A8" s="17" t="s">
        <v>1804</v>
      </c>
      <c r="B8" s="17" t="s">
        <v>1796</v>
      </c>
      <c r="C8" s="17" t="s">
        <v>1805</v>
      </c>
      <c r="D8" s="17" t="s">
        <v>1798</v>
      </c>
      <c r="E8" s="17" t="s">
        <v>1783</v>
      </c>
      <c r="F8" s="18">
        <v>80</v>
      </c>
      <c r="G8" s="17" t="s">
        <v>1799</v>
      </c>
      <c r="H8" s="17" t="s">
        <v>1785</v>
      </c>
      <c r="I8" s="17" t="s">
        <v>43</v>
      </c>
      <c r="J8" s="17" t="s">
        <v>86</v>
      </c>
    </row>
    <row r="9" spans="1:10" ht="36" x14ac:dyDescent="0.25">
      <c r="A9" s="17" t="s">
        <v>1806</v>
      </c>
      <c r="B9" s="17" t="s">
        <v>1796</v>
      </c>
      <c r="C9" s="17" t="s">
        <v>1807</v>
      </c>
      <c r="D9" s="17" t="s">
        <v>1798</v>
      </c>
      <c r="E9" s="17" t="s">
        <v>1783</v>
      </c>
      <c r="F9" s="18">
        <v>80</v>
      </c>
      <c r="G9" s="17" t="s">
        <v>1799</v>
      </c>
      <c r="H9" s="17" t="s">
        <v>1785</v>
      </c>
      <c r="I9" s="17" t="s">
        <v>43</v>
      </c>
      <c r="J9" s="17" t="s">
        <v>86</v>
      </c>
    </row>
    <row r="10" spans="1:10" ht="36" x14ac:dyDescent="0.25">
      <c r="A10" s="17" t="s">
        <v>1808</v>
      </c>
      <c r="B10" s="17" t="s">
        <v>1796</v>
      </c>
      <c r="C10" s="17" t="s">
        <v>1809</v>
      </c>
      <c r="D10" s="17" t="s">
        <v>1798</v>
      </c>
      <c r="E10" s="17" t="s">
        <v>1783</v>
      </c>
      <c r="F10" s="18">
        <v>80</v>
      </c>
      <c r="G10" s="17" t="s">
        <v>1799</v>
      </c>
      <c r="H10" s="17" t="s">
        <v>1785</v>
      </c>
      <c r="I10" s="17" t="s">
        <v>43</v>
      </c>
      <c r="J10" s="17" t="s">
        <v>86</v>
      </c>
    </row>
    <row r="11" spans="1:10" ht="36" x14ac:dyDescent="0.25">
      <c r="A11" s="17" t="s">
        <v>1810</v>
      </c>
      <c r="B11" s="17" t="s">
        <v>1796</v>
      </c>
      <c r="C11" s="17" t="s">
        <v>1811</v>
      </c>
      <c r="D11" s="17" t="s">
        <v>1798</v>
      </c>
      <c r="E11" s="17" t="s">
        <v>1783</v>
      </c>
      <c r="F11" s="18">
        <v>80</v>
      </c>
      <c r="G11" s="17" t="s">
        <v>1799</v>
      </c>
      <c r="H11" s="17" t="s">
        <v>1785</v>
      </c>
      <c r="I11" s="17" t="s">
        <v>43</v>
      </c>
      <c r="J11" s="17" t="s">
        <v>86</v>
      </c>
    </row>
    <row r="12" spans="1:10" ht="36" x14ac:dyDescent="0.25">
      <c r="A12" s="17" t="s">
        <v>1812</v>
      </c>
      <c r="B12" s="17" t="s">
        <v>1796</v>
      </c>
      <c r="C12" s="17" t="s">
        <v>1813</v>
      </c>
      <c r="D12" s="17" t="s">
        <v>1798</v>
      </c>
      <c r="E12" s="17" t="s">
        <v>1783</v>
      </c>
      <c r="F12" s="18">
        <v>80</v>
      </c>
      <c r="G12" s="17" t="s">
        <v>1799</v>
      </c>
      <c r="H12" s="17" t="s">
        <v>1785</v>
      </c>
      <c r="I12" s="17" t="s">
        <v>43</v>
      </c>
      <c r="J12" s="17" t="s">
        <v>86</v>
      </c>
    </row>
    <row r="13" spans="1:10" ht="36" x14ac:dyDescent="0.25">
      <c r="A13" s="17" t="s">
        <v>1814</v>
      </c>
      <c r="B13" s="17" t="s">
        <v>1796</v>
      </c>
      <c r="C13" s="17" t="s">
        <v>1815</v>
      </c>
      <c r="D13" s="17" t="s">
        <v>1798</v>
      </c>
      <c r="E13" s="17" t="s">
        <v>1783</v>
      </c>
      <c r="F13" s="18">
        <v>80</v>
      </c>
      <c r="G13" s="17" t="s">
        <v>1799</v>
      </c>
      <c r="H13" s="17" t="s">
        <v>1785</v>
      </c>
      <c r="I13" s="17" t="s">
        <v>43</v>
      </c>
      <c r="J13" s="17" t="s">
        <v>86</v>
      </c>
    </row>
    <row r="14" spans="1:10" ht="36" x14ac:dyDescent="0.25">
      <c r="A14" s="17" t="s">
        <v>1816</v>
      </c>
      <c r="B14" s="17" t="s">
        <v>1796</v>
      </c>
      <c r="C14" s="17" t="s">
        <v>1817</v>
      </c>
      <c r="D14" s="17" t="s">
        <v>1798</v>
      </c>
      <c r="E14" s="17" t="s">
        <v>1783</v>
      </c>
      <c r="F14" s="18">
        <v>80</v>
      </c>
      <c r="G14" s="17" t="s">
        <v>1799</v>
      </c>
      <c r="H14" s="17" t="s">
        <v>1785</v>
      </c>
      <c r="I14" s="17" t="s">
        <v>43</v>
      </c>
      <c r="J14" s="17" t="s">
        <v>86</v>
      </c>
    </row>
    <row r="15" spans="1:10" ht="36" x14ac:dyDescent="0.25">
      <c r="A15" s="17" t="s">
        <v>1818</v>
      </c>
      <c r="B15" s="17" t="s">
        <v>1796</v>
      </c>
      <c r="C15" s="17" t="s">
        <v>1819</v>
      </c>
      <c r="D15" s="17" t="s">
        <v>1798</v>
      </c>
      <c r="E15" s="17" t="s">
        <v>1783</v>
      </c>
      <c r="F15" s="18">
        <v>80</v>
      </c>
      <c r="G15" s="17" t="s">
        <v>1799</v>
      </c>
      <c r="H15" s="17" t="s">
        <v>1785</v>
      </c>
      <c r="I15" s="17" t="s">
        <v>43</v>
      </c>
      <c r="J15" s="17" t="s">
        <v>86</v>
      </c>
    </row>
    <row r="16" spans="1:10" ht="36" x14ac:dyDescent="0.25">
      <c r="A16" s="17" t="s">
        <v>1820</v>
      </c>
      <c r="B16" s="17" t="s">
        <v>1796</v>
      </c>
      <c r="C16" s="17" t="s">
        <v>1821</v>
      </c>
      <c r="D16" s="17" t="s">
        <v>1798</v>
      </c>
      <c r="E16" s="17" t="s">
        <v>1783</v>
      </c>
      <c r="F16" s="18">
        <v>80</v>
      </c>
      <c r="G16" s="17" t="s">
        <v>1799</v>
      </c>
      <c r="H16" s="17" t="s">
        <v>1785</v>
      </c>
      <c r="I16" s="17" t="s">
        <v>43</v>
      </c>
      <c r="J16" s="17" t="s">
        <v>86</v>
      </c>
    </row>
    <row r="17" spans="1:10" ht="36" x14ac:dyDescent="0.25">
      <c r="A17" s="17" t="s">
        <v>1822</v>
      </c>
      <c r="B17" s="17" t="s">
        <v>1796</v>
      </c>
      <c r="C17" s="17" t="s">
        <v>1823</v>
      </c>
      <c r="D17" s="17" t="s">
        <v>1824</v>
      </c>
      <c r="E17" s="17" t="s">
        <v>1783</v>
      </c>
      <c r="F17" s="18">
        <v>80</v>
      </c>
      <c r="G17" s="17" t="s">
        <v>1799</v>
      </c>
      <c r="H17" s="17" t="s">
        <v>1785</v>
      </c>
      <c r="I17" s="17" t="s">
        <v>43</v>
      </c>
      <c r="J17" s="17" t="s">
        <v>86</v>
      </c>
    </row>
    <row r="18" spans="1:10" ht="36" x14ac:dyDescent="0.25">
      <c r="A18" s="17" t="s">
        <v>1825</v>
      </c>
      <c r="B18" s="17" t="s">
        <v>1796</v>
      </c>
      <c r="C18" s="17" t="s">
        <v>1826</v>
      </c>
      <c r="D18" s="17" t="s">
        <v>1824</v>
      </c>
      <c r="E18" s="17" t="s">
        <v>1783</v>
      </c>
      <c r="F18" s="18">
        <v>80</v>
      </c>
      <c r="G18" s="17" t="s">
        <v>1799</v>
      </c>
      <c r="H18" s="17" t="s">
        <v>1785</v>
      </c>
      <c r="I18" s="17" t="s">
        <v>43</v>
      </c>
      <c r="J18" s="17" t="s">
        <v>86</v>
      </c>
    </row>
    <row r="19" spans="1:10" ht="36" x14ac:dyDescent="0.25">
      <c r="A19" s="17" t="s">
        <v>1827</v>
      </c>
      <c r="B19" s="17" t="s">
        <v>1796</v>
      </c>
      <c r="C19" s="17" t="s">
        <v>1828</v>
      </c>
      <c r="D19" s="17" t="s">
        <v>1824</v>
      </c>
      <c r="E19" s="17" t="s">
        <v>1783</v>
      </c>
      <c r="F19" s="18">
        <v>80</v>
      </c>
      <c r="G19" s="17" t="s">
        <v>1829</v>
      </c>
      <c r="H19" s="17" t="s">
        <v>1785</v>
      </c>
      <c r="I19" s="17" t="s">
        <v>43</v>
      </c>
      <c r="J19" s="17" t="s">
        <v>86</v>
      </c>
    </row>
    <row r="20" spans="1:10" ht="36" x14ac:dyDescent="0.25">
      <c r="A20" s="17" t="s">
        <v>1830</v>
      </c>
      <c r="B20" s="17" t="s">
        <v>1796</v>
      </c>
      <c r="C20" s="17" t="s">
        <v>1831</v>
      </c>
      <c r="D20" s="17" t="s">
        <v>1824</v>
      </c>
      <c r="E20" s="17" t="s">
        <v>1783</v>
      </c>
      <c r="F20" s="18">
        <v>80</v>
      </c>
      <c r="G20" s="17" t="s">
        <v>1829</v>
      </c>
      <c r="H20" s="17" t="s">
        <v>1785</v>
      </c>
      <c r="I20" s="17" t="s">
        <v>43</v>
      </c>
      <c r="J20" s="17" t="s">
        <v>86</v>
      </c>
    </row>
    <row r="21" spans="1:10" ht="36" x14ac:dyDescent="0.25">
      <c r="A21" s="17" t="s">
        <v>1832</v>
      </c>
      <c r="B21" s="17" t="s">
        <v>1796</v>
      </c>
      <c r="C21" s="17" t="s">
        <v>1833</v>
      </c>
      <c r="D21" s="17" t="s">
        <v>1824</v>
      </c>
      <c r="E21" s="17" t="s">
        <v>1783</v>
      </c>
      <c r="F21" s="18">
        <v>80</v>
      </c>
      <c r="G21" s="17" t="s">
        <v>1829</v>
      </c>
      <c r="H21" s="17" t="s">
        <v>1785</v>
      </c>
      <c r="I21" s="17" t="s">
        <v>43</v>
      </c>
      <c r="J21" s="17" t="s">
        <v>86</v>
      </c>
    </row>
    <row r="22" spans="1:10" ht="36" x14ac:dyDescent="0.25">
      <c r="A22" s="17" t="s">
        <v>1834</v>
      </c>
      <c r="B22" s="17" t="s">
        <v>1796</v>
      </c>
      <c r="C22" s="17" t="s">
        <v>1835</v>
      </c>
      <c r="D22" s="17" t="s">
        <v>1824</v>
      </c>
      <c r="E22" s="17" t="s">
        <v>1783</v>
      </c>
      <c r="F22" s="18">
        <v>80</v>
      </c>
      <c r="G22" s="17" t="s">
        <v>1829</v>
      </c>
      <c r="H22" s="17" t="s">
        <v>1785</v>
      </c>
      <c r="I22" s="17" t="s">
        <v>43</v>
      </c>
      <c r="J22" s="17" t="s">
        <v>86</v>
      </c>
    </row>
    <row r="23" spans="1:10" ht="36" x14ac:dyDescent="0.25">
      <c r="A23" s="17" t="s">
        <v>1836</v>
      </c>
      <c r="B23" s="17" t="s">
        <v>1796</v>
      </c>
      <c r="C23" s="17" t="s">
        <v>1837</v>
      </c>
      <c r="D23" s="17" t="s">
        <v>1824</v>
      </c>
      <c r="E23" s="17" t="s">
        <v>1783</v>
      </c>
      <c r="F23" s="18">
        <v>80</v>
      </c>
      <c r="G23" s="17" t="s">
        <v>1829</v>
      </c>
      <c r="H23" s="17" t="s">
        <v>1785</v>
      </c>
      <c r="I23" s="17" t="s">
        <v>43</v>
      </c>
      <c r="J23" s="17" t="s">
        <v>86</v>
      </c>
    </row>
    <row r="24" spans="1:10" ht="36" x14ac:dyDescent="0.25">
      <c r="A24" s="17" t="s">
        <v>1838</v>
      </c>
      <c r="B24" s="17" t="s">
        <v>1796</v>
      </c>
      <c r="C24" s="17" t="s">
        <v>1839</v>
      </c>
      <c r="D24" s="17" t="s">
        <v>1824</v>
      </c>
      <c r="E24" s="17" t="s">
        <v>1783</v>
      </c>
      <c r="F24" s="18">
        <v>80</v>
      </c>
      <c r="G24" s="17" t="s">
        <v>1829</v>
      </c>
      <c r="H24" s="17" t="s">
        <v>1785</v>
      </c>
      <c r="I24" s="17" t="s">
        <v>43</v>
      </c>
      <c r="J24" s="17" t="s">
        <v>86</v>
      </c>
    </row>
    <row r="25" spans="1:10" ht="36" x14ac:dyDescent="0.25">
      <c r="A25" s="17" t="s">
        <v>1840</v>
      </c>
      <c r="B25" s="17" t="s">
        <v>1796</v>
      </c>
      <c r="C25" s="17" t="s">
        <v>1841</v>
      </c>
      <c r="D25" s="17" t="s">
        <v>1824</v>
      </c>
      <c r="E25" s="17" t="s">
        <v>1783</v>
      </c>
      <c r="F25" s="18">
        <v>80</v>
      </c>
      <c r="G25" s="17" t="s">
        <v>1829</v>
      </c>
      <c r="H25" s="17" t="s">
        <v>1785</v>
      </c>
      <c r="I25" s="17" t="s">
        <v>43</v>
      </c>
      <c r="J25" s="17" t="s">
        <v>86</v>
      </c>
    </row>
    <row r="26" spans="1:10" ht="36" x14ac:dyDescent="0.25">
      <c r="A26" s="17" t="s">
        <v>1842</v>
      </c>
      <c r="B26" s="17" t="s">
        <v>1796</v>
      </c>
      <c r="C26" s="17" t="s">
        <v>1843</v>
      </c>
      <c r="D26" s="17" t="s">
        <v>1824</v>
      </c>
      <c r="E26" s="17" t="s">
        <v>1783</v>
      </c>
      <c r="F26" s="18">
        <v>80</v>
      </c>
      <c r="G26" s="17" t="s">
        <v>1829</v>
      </c>
      <c r="H26" s="17" t="s">
        <v>1785</v>
      </c>
      <c r="I26" s="17" t="s">
        <v>43</v>
      </c>
      <c r="J26" s="17" t="s">
        <v>86</v>
      </c>
    </row>
    <row r="27" spans="1:10" ht="36" x14ac:dyDescent="0.25">
      <c r="A27" s="17" t="s">
        <v>1844</v>
      </c>
      <c r="B27" s="17" t="s">
        <v>1796</v>
      </c>
      <c r="C27" s="17" t="s">
        <v>1845</v>
      </c>
      <c r="D27" s="17" t="s">
        <v>1824</v>
      </c>
      <c r="E27" s="17" t="s">
        <v>1783</v>
      </c>
      <c r="F27" s="18">
        <v>80</v>
      </c>
      <c r="G27" s="17" t="s">
        <v>1829</v>
      </c>
      <c r="H27" s="17" t="s">
        <v>1785</v>
      </c>
      <c r="I27" s="17" t="s">
        <v>43</v>
      </c>
      <c r="J27" s="17" t="s">
        <v>86</v>
      </c>
    </row>
    <row r="28" spans="1:10" ht="36" x14ac:dyDescent="0.25">
      <c r="A28" s="17" t="s">
        <v>1846</v>
      </c>
      <c r="B28" s="17" t="s">
        <v>1796</v>
      </c>
      <c r="C28" s="17" t="s">
        <v>1847</v>
      </c>
      <c r="D28" s="17" t="s">
        <v>1824</v>
      </c>
      <c r="E28" s="17" t="s">
        <v>1783</v>
      </c>
      <c r="F28" s="18">
        <v>80</v>
      </c>
      <c r="G28" s="17" t="s">
        <v>1829</v>
      </c>
      <c r="H28" s="17" t="s">
        <v>1785</v>
      </c>
      <c r="I28" s="17" t="s">
        <v>43</v>
      </c>
      <c r="J28" s="17" t="s">
        <v>86</v>
      </c>
    </row>
    <row r="29" spans="1:10" ht="36" x14ac:dyDescent="0.25">
      <c r="A29" s="17" t="s">
        <v>1848</v>
      </c>
      <c r="B29" s="17" t="s">
        <v>1796</v>
      </c>
      <c r="C29" s="17" t="s">
        <v>1849</v>
      </c>
      <c r="D29" s="17" t="s">
        <v>1824</v>
      </c>
      <c r="E29" s="17" t="s">
        <v>1783</v>
      </c>
      <c r="F29" s="18">
        <v>80</v>
      </c>
      <c r="G29" s="17" t="s">
        <v>1829</v>
      </c>
      <c r="H29" s="17" t="s">
        <v>1785</v>
      </c>
      <c r="I29" s="17" t="s">
        <v>43</v>
      </c>
      <c r="J29" s="17" t="s">
        <v>86</v>
      </c>
    </row>
    <row r="30" spans="1:10" ht="36" x14ac:dyDescent="0.25">
      <c r="A30" s="17" t="s">
        <v>1850</v>
      </c>
      <c r="B30" s="17" t="s">
        <v>1796</v>
      </c>
      <c r="C30" s="17" t="s">
        <v>1851</v>
      </c>
      <c r="D30" s="17" t="s">
        <v>1852</v>
      </c>
      <c r="E30" s="17" t="s">
        <v>1783</v>
      </c>
      <c r="F30" s="18">
        <v>80</v>
      </c>
      <c r="G30" s="17" t="s">
        <v>1829</v>
      </c>
      <c r="H30" s="17" t="s">
        <v>1785</v>
      </c>
      <c r="I30" s="17" t="s">
        <v>43</v>
      </c>
      <c r="J30" s="17" t="s">
        <v>86</v>
      </c>
    </row>
    <row r="31" spans="1:10" ht="36" x14ac:dyDescent="0.25">
      <c r="A31" s="17" t="s">
        <v>1853</v>
      </c>
      <c r="B31" s="17" t="s">
        <v>1854</v>
      </c>
      <c r="C31" s="17" t="s">
        <v>1855</v>
      </c>
      <c r="D31" s="17" t="s">
        <v>1856</v>
      </c>
      <c r="E31" s="17" t="s">
        <v>1783</v>
      </c>
      <c r="F31" s="18">
        <v>50</v>
      </c>
      <c r="G31" s="17" t="s">
        <v>1857</v>
      </c>
      <c r="H31" s="17" t="s">
        <v>1785</v>
      </c>
      <c r="I31" s="17" t="s">
        <v>46</v>
      </c>
      <c r="J31" s="17" t="s">
        <v>86</v>
      </c>
    </row>
    <row r="32" spans="1:10" ht="36" x14ac:dyDescent="0.25">
      <c r="A32" s="17" t="s">
        <v>1858</v>
      </c>
      <c r="B32" s="17" t="s">
        <v>1791</v>
      </c>
      <c r="C32" s="17" t="s">
        <v>1859</v>
      </c>
      <c r="D32" s="17" t="s">
        <v>1860</v>
      </c>
      <c r="E32" s="17" t="s">
        <v>1783</v>
      </c>
      <c r="F32" s="18">
        <v>50</v>
      </c>
      <c r="G32" s="17" t="s">
        <v>1861</v>
      </c>
      <c r="H32" s="17" t="s">
        <v>1785</v>
      </c>
      <c r="I32" s="17" t="s">
        <v>38</v>
      </c>
      <c r="J32" s="17" t="s">
        <v>86</v>
      </c>
    </row>
    <row r="33" spans="1:10" ht="36" x14ac:dyDescent="0.25">
      <c r="A33" s="17" t="s">
        <v>1862</v>
      </c>
      <c r="B33" s="17" t="s">
        <v>1791</v>
      </c>
      <c r="C33" s="17" t="s">
        <v>1863</v>
      </c>
      <c r="D33" s="17" t="s">
        <v>1860</v>
      </c>
      <c r="E33" s="17" t="s">
        <v>1783</v>
      </c>
      <c r="F33" s="18">
        <v>50</v>
      </c>
      <c r="G33" s="17" t="s">
        <v>1861</v>
      </c>
      <c r="H33" s="17" t="s">
        <v>1785</v>
      </c>
      <c r="I33" s="17" t="s">
        <v>38</v>
      </c>
      <c r="J33" s="17" t="s">
        <v>86</v>
      </c>
    </row>
    <row r="34" spans="1:10" ht="36" x14ac:dyDescent="0.25">
      <c r="A34" s="17" t="s">
        <v>1864</v>
      </c>
      <c r="B34" s="17" t="s">
        <v>1791</v>
      </c>
      <c r="C34" s="17" t="s">
        <v>1865</v>
      </c>
      <c r="D34" s="17" t="s">
        <v>1860</v>
      </c>
      <c r="E34" s="17" t="s">
        <v>1783</v>
      </c>
      <c r="F34" s="18">
        <v>50</v>
      </c>
      <c r="G34" s="17" t="s">
        <v>1861</v>
      </c>
      <c r="H34" s="17" t="s">
        <v>1785</v>
      </c>
      <c r="I34" s="17" t="s">
        <v>38</v>
      </c>
      <c r="J34" s="17" t="s">
        <v>86</v>
      </c>
    </row>
    <row r="35" spans="1:10" ht="36" x14ac:dyDescent="0.25">
      <c r="A35" s="17" t="s">
        <v>1866</v>
      </c>
      <c r="B35" s="17" t="s">
        <v>1791</v>
      </c>
      <c r="C35" s="17" t="s">
        <v>1867</v>
      </c>
      <c r="D35" s="17" t="s">
        <v>1860</v>
      </c>
      <c r="E35" s="17" t="s">
        <v>1783</v>
      </c>
      <c r="F35" s="18">
        <v>50</v>
      </c>
      <c r="G35" s="17" t="s">
        <v>1861</v>
      </c>
      <c r="H35" s="17" t="s">
        <v>1785</v>
      </c>
      <c r="I35" s="17" t="s">
        <v>38</v>
      </c>
      <c r="J35" s="17" t="s">
        <v>86</v>
      </c>
    </row>
    <row r="36" spans="1:10" ht="36" x14ac:dyDescent="0.25">
      <c r="A36" s="17" t="s">
        <v>1868</v>
      </c>
      <c r="B36" s="17" t="s">
        <v>1791</v>
      </c>
      <c r="C36" s="17" t="s">
        <v>1869</v>
      </c>
      <c r="D36" s="17" t="s">
        <v>1860</v>
      </c>
      <c r="E36" s="17" t="s">
        <v>1783</v>
      </c>
      <c r="F36" s="18">
        <v>50</v>
      </c>
      <c r="G36" s="17" t="s">
        <v>1861</v>
      </c>
      <c r="H36" s="17" t="s">
        <v>1785</v>
      </c>
      <c r="I36" s="17" t="s">
        <v>38</v>
      </c>
      <c r="J36" s="17" t="s">
        <v>86</v>
      </c>
    </row>
    <row r="37" spans="1:10" ht="36" x14ac:dyDescent="0.25">
      <c r="A37" s="17" t="s">
        <v>1870</v>
      </c>
      <c r="B37" s="17" t="s">
        <v>1791</v>
      </c>
      <c r="C37" s="17" t="s">
        <v>1871</v>
      </c>
      <c r="D37" s="17" t="s">
        <v>1860</v>
      </c>
      <c r="E37" s="17" t="s">
        <v>1783</v>
      </c>
      <c r="F37" s="18">
        <v>50</v>
      </c>
      <c r="G37" s="17" t="s">
        <v>1861</v>
      </c>
      <c r="H37" s="17" t="s">
        <v>1785</v>
      </c>
      <c r="I37" s="17" t="s">
        <v>38</v>
      </c>
      <c r="J37" s="17" t="s">
        <v>86</v>
      </c>
    </row>
    <row r="38" spans="1:10" ht="36" x14ac:dyDescent="0.25">
      <c r="A38" s="17" t="s">
        <v>1872</v>
      </c>
      <c r="B38" s="17" t="s">
        <v>1791</v>
      </c>
      <c r="C38" s="17" t="s">
        <v>1873</v>
      </c>
      <c r="D38" s="17" t="s">
        <v>1860</v>
      </c>
      <c r="E38" s="17" t="s">
        <v>1783</v>
      </c>
      <c r="F38" s="18">
        <v>50</v>
      </c>
      <c r="G38" s="17" t="s">
        <v>1861</v>
      </c>
      <c r="H38" s="17" t="s">
        <v>1785</v>
      </c>
      <c r="I38" s="17" t="s">
        <v>38</v>
      </c>
      <c r="J38" s="17" t="s">
        <v>86</v>
      </c>
    </row>
    <row r="39" spans="1:10" ht="36" x14ac:dyDescent="0.25">
      <c r="A39" s="17" t="s">
        <v>1874</v>
      </c>
      <c r="B39" s="17" t="s">
        <v>1791</v>
      </c>
      <c r="C39" s="17" t="s">
        <v>1875</v>
      </c>
      <c r="D39" s="17" t="s">
        <v>1860</v>
      </c>
      <c r="E39" s="17" t="s">
        <v>1783</v>
      </c>
      <c r="F39" s="18">
        <v>50</v>
      </c>
      <c r="G39" s="17" t="s">
        <v>1861</v>
      </c>
      <c r="H39" s="17" t="s">
        <v>1785</v>
      </c>
      <c r="I39" s="17" t="s">
        <v>38</v>
      </c>
      <c r="J39" s="17" t="s">
        <v>86</v>
      </c>
    </row>
    <row r="40" spans="1:10" ht="36" x14ac:dyDescent="0.25">
      <c r="A40" s="17" t="s">
        <v>1876</v>
      </c>
      <c r="B40" s="17" t="s">
        <v>1791</v>
      </c>
      <c r="C40" s="17" t="s">
        <v>1877</v>
      </c>
      <c r="D40" s="17" t="s">
        <v>1860</v>
      </c>
      <c r="E40" s="17" t="s">
        <v>1783</v>
      </c>
      <c r="F40" s="18">
        <v>50</v>
      </c>
      <c r="G40" s="17" t="s">
        <v>1861</v>
      </c>
      <c r="H40" s="17" t="s">
        <v>1785</v>
      </c>
      <c r="I40" s="17" t="s">
        <v>38</v>
      </c>
      <c r="J40" s="17" t="s">
        <v>86</v>
      </c>
    </row>
    <row r="41" spans="1:10" ht="36" x14ac:dyDescent="0.25">
      <c r="A41" s="17" t="s">
        <v>1878</v>
      </c>
      <c r="B41" s="17" t="s">
        <v>1791</v>
      </c>
      <c r="C41" s="17" t="s">
        <v>1879</v>
      </c>
      <c r="D41" s="17" t="s">
        <v>1880</v>
      </c>
      <c r="E41" s="17" t="s">
        <v>1783</v>
      </c>
      <c r="F41" s="18">
        <v>50</v>
      </c>
      <c r="G41" s="17" t="s">
        <v>1861</v>
      </c>
      <c r="H41" s="17" t="s">
        <v>1785</v>
      </c>
      <c r="I41" s="17" t="s">
        <v>38</v>
      </c>
      <c r="J41" s="17" t="s">
        <v>86</v>
      </c>
    </row>
    <row r="42" spans="1:10" ht="36" x14ac:dyDescent="0.25">
      <c r="A42" s="17" t="s">
        <v>1881</v>
      </c>
      <c r="B42" s="17" t="s">
        <v>1882</v>
      </c>
      <c r="C42" s="17" t="s">
        <v>1883</v>
      </c>
      <c r="D42" s="17" t="s">
        <v>1884</v>
      </c>
      <c r="E42" s="17" t="s">
        <v>1783</v>
      </c>
      <c r="F42" s="18">
        <v>50</v>
      </c>
      <c r="G42" s="17" t="s">
        <v>1885</v>
      </c>
      <c r="H42" s="17" t="s">
        <v>1228</v>
      </c>
      <c r="I42" s="17" t="s">
        <v>38</v>
      </c>
      <c r="J42" s="17" t="s">
        <v>86</v>
      </c>
    </row>
    <row r="43" spans="1:10" ht="36" x14ac:dyDescent="0.25">
      <c r="A43" s="17" t="s">
        <v>1886</v>
      </c>
      <c r="B43" s="17" t="s">
        <v>1882</v>
      </c>
      <c r="C43" s="17" t="s">
        <v>1887</v>
      </c>
      <c r="D43" s="17" t="s">
        <v>1884</v>
      </c>
      <c r="E43" s="17" t="s">
        <v>1783</v>
      </c>
      <c r="F43" s="18">
        <v>50</v>
      </c>
      <c r="G43" s="17" t="s">
        <v>1885</v>
      </c>
      <c r="H43" s="17" t="s">
        <v>1228</v>
      </c>
      <c r="I43" s="17" t="s">
        <v>38</v>
      </c>
      <c r="J43" s="17" t="s">
        <v>86</v>
      </c>
    </row>
    <row r="44" spans="1:10" ht="36" x14ac:dyDescent="0.25">
      <c r="A44" s="17" t="s">
        <v>1888</v>
      </c>
      <c r="B44" s="17" t="s">
        <v>1882</v>
      </c>
      <c r="C44" s="17" t="s">
        <v>1889</v>
      </c>
      <c r="D44" s="17" t="s">
        <v>1884</v>
      </c>
      <c r="E44" s="17" t="s">
        <v>1783</v>
      </c>
      <c r="F44" s="18">
        <v>50</v>
      </c>
      <c r="G44" s="17" t="s">
        <v>1885</v>
      </c>
      <c r="H44" s="17" t="s">
        <v>1228</v>
      </c>
      <c r="I44" s="17" t="s">
        <v>38</v>
      </c>
      <c r="J44" s="17" t="s">
        <v>86</v>
      </c>
    </row>
    <row r="45" spans="1:10" ht="36" x14ac:dyDescent="0.25">
      <c r="A45" s="17" t="s">
        <v>1890</v>
      </c>
      <c r="B45" s="17" t="s">
        <v>1882</v>
      </c>
      <c r="C45" s="17" t="s">
        <v>1891</v>
      </c>
      <c r="D45" s="17" t="s">
        <v>1884</v>
      </c>
      <c r="E45" s="17" t="s">
        <v>1783</v>
      </c>
      <c r="F45" s="18">
        <v>50</v>
      </c>
      <c r="G45" s="17" t="s">
        <v>1885</v>
      </c>
      <c r="H45" s="17" t="s">
        <v>1228</v>
      </c>
      <c r="I45" s="17" t="s">
        <v>38</v>
      </c>
      <c r="J45" s="17" t="s">
        <v>86</v>
      </c>
    </row>
    <row r="46" spans="1:10" ht="36" x14ac:dyDescent="0.25">
      <c r="A46" s="17" t="s">
        <v>1892</v>
      </c>
      <c r="B46" s="17" t="s">
        <v>1882</v>
      </c>
      <c r="C46" s="17" t="s">
        <v>1893</v>
      </c>
      <c r="D46" s="17" t="s">
        <v>1884</v>
      </c>
      <c r="E46" s="17" t="s">
        <v>1783</v>
      </c>
      <c r="F46" s="18">
        <v>50</v>
      </c>
      <c r="G46" s="17" t="s">
        <v>1885</v>
      </c>
      <c r="H46" s="17" t="s">
        <v>1228</v>
      </c>
      <c r="I46" s="17" t="s">
        <v>38</v>
      </c>
      <c r="J46" s="17" t="s">
        <v>86</v>
      </c>
    </row>
    <row r="47" spans="1:10" ht="36" x14ac:dyDescent="0.25">
      <c r="A47" s="17" t="s">
        <v>1894</v>
      </c>
      <c r="B47" s="17" t="s">
        <v>1882</v>
      </c>
      <c r="C47" s="17" t="s">
        <v>1895</v>
      </c>
      <c r="D47" s="17" t="s">
        <v>1884</v>
      </c>
      <c r="E47" s="17" t="s">
        <v>1783</v>
      </c>
      <c r="F47" s="18">
        <v>50</v>
      </c>
      <c r="G47" s="17" t="s">
        <v>1885</v>
      </c>
      <c r="H47" s="17" t="s">
        <v>1228</v>
      </c>
      <c r="I47" s="17" t="s">
        <v>38</v>
      </c>
      <c r="J47" s="17" t="s">
        <v>86</v>
      </c>
    </row>
    <row r="48" spans="1:10" ht="36" x14ac:dyDescent="0.25">
      <c r="A48" s="17" t="s">
        <v>1896</v>
      </c>
      <c r="B48" s="17" t="s">
        <v>1882</v>
      </c>
      <c r="C48" s="17" t="s">
        <v>1897</v>
      </c>
      <c r="D48" s="17" t="s">
        <v>1884</v>
      </c>
      <c r="E48" s="17" t="s">
        <v>1783</v>
      </c>
      <c r="F48" s="18">
        <v>50</v>
      </c>
      <c r="G48" s="17" t="s">
        <v>1885</v>
      </c>
      <c r="H48" s="17" t="s">
        <v>1228</v>
      </c>
      <c r="I48" s="17" t="s">
        <v>38</v>
      </c>
      <c r="J48" s="17" t="s">
        <v>86</v>
      </c>
    </row>
    <row r="49" spans="1:10" ht="36" x14ac:dyDescent="0.25">
      <c r="A49" s="17" t="s">
        <v>1898</v>
      </c>
      <c r="B49" s="17" t="s">
        <v>1882</v>
      </c>
      <c r="C49" s="17" t="s">
        <v>1899</v>
      </c>
      <c r="D49" s="17" t="s">
        <v>1884</v>
      </c>
      <c r="E49" s="17" t="s">
        <v>1783</v>
      </c>
      <c r="F49" s="18">
        <v>50</v>
      </c>
      <c r="G49" s="17" t="s">
        <v>1885</v>
      </c>
      <c r="H49" s="17" t="s">
        <v>1228</v>
      </c>
      <c r="I49" s="17" t="s">
        <v>38</v>
      </c>
      <c r="J49" s="17" t="s">
        <v>86</v>
      </c>
    </row>
    <row r="50" spans="1:10" ht="36" x14ac:dyDescent="0.25">
      <c r="A50" s="17" t="s">
        <v>1900</v>
      </c>
      <c r="B50" s="17" t="s">
        <v>1882</v>
      </c>
      <c r="C50" s="17" t="s">
        <v>1901</v>
      </c>
      <c r="D50" s="17" t="s">
        <v>1884</v>
      </c>
      <c r="E50" s="17" t="s">
        <v>1783</v>
      </c>
      <c r="F50" s="18">
        <v>50</v>
      </c>
      <c r="G50" s="17" t="s">
        <v>1885</v>
      </c>
      <c r="H50" s="17" t="s">
        <v>1228</v>
      </c>
      <c r="I50" s="17" t="s">
        <v>38</v>
      </c>
      <c r="J50" s="17" t="s">
        <v>86</v>
      </c>
    </row>
    <row r="51" spans="1:10" ht="36" x14ac:dyDescent="0.25">
      <c r="A51" s="17" t="s">
        <v>1902</v>
      </c>
      <c r="B51" s="17" t="s">
        <v>1882</v>
      </c>
      <c r="C51" s="17" t="s">
        <v>1903</v>
      </c>
      <c r="D51" s="17" t="s">
        <v>1884</v>
      </c>
      <c r="E51" s="17" t="s">
        <v>1783</v>
      </c>
      <c r="F51" s="18">
        <v>50</v>
      </c>
      <c r="G51" s="17" t="s">
        <v>1885</v>
      </c>
      <c r="H51" s="17" t="s">
        <v>1228</v>
      </c>
      <c r="I51" s="17" t="s">
        <v>38</v>
      </c>
      <c r="J51" s="17" t="s">
        <v>86</v>
      </c>
    </row>
    <row r="52" spans="1:10" ht="36" x14ac:dyDescent="0.25">
      <c r="A52" s="17" t="s">
        <v>1904</v>
      </c>
      <c r="B52" s="17" t="s">
        <v>1882</v>
      </c>
      <c r="C52" s="17" t="s">
        <v>1905</v>
      </c>
      <c r="D52" s="17" t="s">
        <v>1884</v>
      </c>
      <c r="E52" s="17" t="s">
        <v>1783</v>
      </c>
      <c r="F52" s="18">
        <v>50</v>
      </c>
      <c r="G52" s="17" t="s">
        <v>1885</v>
      </c>
      <c r="H52" s="17" t="s">
        <v>1228</v>
      </c>
      <c r="I52" s="17" t="s">
        <v>38</v>
      </c>
      <c r="J52" s="17" t="s">
        <v>86</v>
      </c>
    </row>
    <row r="53" spans="1:10" ht="36" x14ac:dyDescent="0.25">
      <c r="A53" s="17" t="s">
        <v>1906</v>
      </c>
      <c r="B53" s="17" t="s">
        <v>1882</v>
      </c>
      <c r="C53" s="17" t="s">
        <v>1907</v>
      </c>
      <c r="D53" s="17" t="s">
        <v>1884</v>
      </c>
      <c r="E53" s="17" t="s">
        <v>1783</v>
      </c>
      <c r="F53" s="18">
        <v>50</v>
      </c>
      <c r="G53" s="17" t="s">
        <v>1885</v>
      </c>
      <c r="H53" s="17" t="s">
        <v>1228</v>
      </c>
      <c r="I53" s="17" t="s">
        <v>38</v>
      </c>
      <c r="J53" s="17" t="s">
        <v>86</v>
      </c>
    </row>
    <row r="54" spans="1:10" ht="36" x14ac:dyDescent="0.25">
      <c r="A54" s="17" t="s">
        <v>1908</v>
      </c>
      <c r="B54" s="17" t="s">
        <v>1882</v>
      </c>
      <c r="C54" s="17" t="s">
        <v>1909</v>
      </c>
      <c r="D54" s="17" t="s">
        <v>1884</v>
      </c>
      <c r="E54" s="17" t="s">
        <v>1783</v>
      </c>
      <c r="F54" s="18">
        <v>50</v>
      </c>
      <c r="G54" s="17" t="s">
        <v>1885</v>
      </c>
      <c r="H54" s="17" t="s">
        <v>1228</v>
      </c>
      <c r="I54" s="17" t="s">
        <v>38</v>
      </c>
      <c r="J54" s="17" t="s">
        <v>86</v>
      </c>
    </row>
    <row r="55" spans="1:10" ht="36" x14ac:dyDescent="0.25">
      <c r="A55" s="17" t="s">
        <v>1910</v>
      </c>
      <c r="B55" s="17" t="s">
        <v>1882</v>
      </c>
      <c r="C55" s="17" t="s">
        <v>1911</v>
      </c>
      <c r="D55" s="17" t="s">
        <v>1912</v>
      </c>
      <c r="E55" s="17" t="s">
        <v>1783</v>
      </c>
      <c r="F55" s="18">
        <v>418</v>
      </c>
      <c r="G55" s="17" t="s">
        <v>1885</v>
      </c>
      <c r="H55" s="17" t="s">
        <v>1228</v>
      </c>
      <c r="I55" s="17" t="s">
        <v>38</v>
      </c>
      <c r="J55" s="17" t="s">
        <v>86</v>
      </c>
    </row>
    <row r="56" spans="1:10" ht="36" x14ac:dyDescent="0.25">
      <c r="A56" s="17" t="s">
        <v>1913</v>
      </c>
      <c r="B56" s="17" t="s">
        <v>1882</v>
      </c>
      <c r="C56" s="17" t="s">
        <v>1914</v>
      </c>
      <c r="D56" s="17" t="s">
        <v>1912</v>
      </c>
      <c r="E56" s="17" t="s">
        <v>1783</v>
      </c>
      <c r="F56" s="18">
        <v>74</v>
      </c>
      <c r="G56" s="17" t="s">
        <v>1885</v>
      </c>
      <c r="H56" s="17" t="s">
        <v>1228</v>
      </c>
      <c r="I56" s="17" t="s">
        <v>38</v>
      </c>
      <c r="J56" s="17" t="s">
        <v>86</v>
      </c>
    </row>
    <row r="57" spans="1:10" ht="36" x14ac:dyDescent="0.25">
      <c r="A57" s="17" t="s">
        <v>1915</v>
      </c>
      <c r="B57" s="17" t="s">
        <v>1882</v>
      </c>
      <c r="C57" s="17" t="s">
        <v>1916</v>
      </c>
      <c r="D57" s="17" t="s">
        <v>1912</v>
      </c>
      <c r="E57" s="17" t="s">
        <v>1783</v>
      </c>
      <c r="F57" s="18">
        <v>174</v>
      </c>
      <c r="G57" s="17" t="s">
        <v>1885</v>
      </c>
      <c r="H57" s="17" t="s">
        <v>1228</v>
      </c>
      <c r="I57" s="17" t="s">
        <v>38</v>
      </c>
      <c r="J57" s="17" t="s">
        <v>86</v>
      </c>
    </row>
    <row r="58" spans="1:10" ht="36" x14ac:dyDescent="0.25">
      <c r="A58" s="17" t="s">
        <v>1917</v>
      </c>
      <c r="B58" s="17" t="s">
        <v>1882</v>
      </c>
      <c r="C58" s="17" t="s">
        <v>1918</v>
      </c>
      <c r="D58" s="17" t="s">
        <v>1912</v>
      </c>
      <c r="E58" s="17" t="s">
        <v>1783</v>
      </c>
      <c r="F58" s="18">
        <v>152</v>
      </c>
      <c r="G58" s="17" t="s">
        <v>1885</v>
      </c>
      <c r="H58" s="17" t="s">
        <v>1228</v>
      </c>
      <c r="I58" s="17" t="s">
        <v>38</v>
      </c>
      <c r="J58" s="17" t="s">
        <v>86</v>
      </c>
    </row>
    <row r="59" spans="1:10" ht="36" x14ac:dyDescent="0.25">
      <c r="A59" s="17" t="s">
        <v>1919</v>
      </c>
      <c r="B59" s="17" t="s">
        <v>1920</v>
      </c>
      <c r="C59" s="17" t="s">
        <v>1921</v>
      </c>
      <c r="D59" s="17" t="s">
        <v>1922</v>
      </c>
      <c r="E59" s="17" t="s">
        <v>1783</v>
      </c>
      <c r="F59" s="18">
        <v>66</v>
      </c>
      <c r="G59" s="17" t="s">
        <v>1923</v>
      </c>
      <c r="H59" s="17" t="s">
        <v>1785</v>
      </c>
      <c r="I59" s="17" t="s">
        <v>40</v>
      </c>
      <c r="J59" s="17" t="s">
        <v>86</v>
      </c>
    </row>
    <row r="60" spans="1:10" ht="36" x14ac:dyDescent="0.25">
      <c r="A60" s="17" t="s">
        <v>1924</v>
      </c>
      <c r="B60" s="17" t="s">
        <v>1920</v>
      </c>
      <c r="C60" s="17" t="s">
        <v>1925</v>
      </c>
      <c r="D60" s="17" t="s">
        <v>1922</v>
      </c>
      <c r="E60" s="17" t="s">
        <v>1783</v>
      </c>
      <c r="F60" s="18">
        <v>132</v>
      </c>
      <c r="G60" s="17" t="s">
        <v>1923</v>
      </c>
      <c r="H60" s="17" t="s">
        <v>1785</v>
      </c>
      <c r="I60" s="17" t="s">
        <v>40</v>
      </c>
      <c r="J60" s="17" t="s">
        <v>86</v>
      </c>
    </row>
    <row r="61" spans="1:10" ht="36" x14ac:dyDescent="0.25">
      <c r="A61" s="17" t="s">
        <v>1926</v>
      </c>
      <c r="B61" s="17" t="s">
        <v>1920</v>
      </c>
      <c r="C61" s="17" t="s">
        <v>1927</v>
      </c>
      <c r="D61" s="17" t="s">
        <v>1922</v>
      </c>
      <c r="E61" s="17" t="s">
        <v>1783</v>
      </c>
      <c r="F61" s="18">
        <v>132</v>
      </c>
      <c r="G61" s="17" t="s">
        <v>1923</v>
      </c>
      <c r="H61" s="17" t="s">
        <v>1785</v>
      </c>
      <c r="I61" s="17" t="s">
        <v>40</v>
      </c>
      <c r="J61" s="17" t="s">
        <v>86</v>
      </c>
    </row>
    <row r="62" spans="1:10" ht="36" x14ac:dyDescent="0.25">
      <c r="A62" s="17" t="s">
        <v>1928</v>
      </c>
      <c r="B62" s="17" t="s">
        <v>1920</v>
      </c>
      <c r="C62" s="17" t="s">
        <v>1929</v>
      </c>
      <c r="D62" s="17" t="s">
        <v>1922</v>
      </c>
      <c r="E62" s="17" t="s">
        <v>1783</v>
      </c>
      <c r="F62" s="18">
        <v>132</v>
      </c>
      <c r="G62" s="17" t="s">
        <v>1923</v>
      </c>
      <c r="H62" s="17" t="s">
        <v>1785</v>
      </c>
      <c r="I62" s="17" t="s">
        <v>40</v>
      </c>
      <c r="J62" s="17" t="s">
        <v>86</v>
      </c>
    </row>
    <row r="63" spans="1:10" ht="36" x14ac:dyDescent="0.25">
      <c r="A63" s="17" t="s">
        <v>1930</v>
      </c>
      <c r="B63" s="17" t="s">
        <v>1920</v>
      </c>
      <c r="C63" s="17" t="s">
        <v>1931</v>
      </c>
      <c r="D63" s="17" t="s">
        <v>1922</v>
      </c>
      <c r="E63" s="17" t="s">
        <v>1783</v>
      </c>
      <c r="F63" s="18">
        <v>66</v>
      </c>
      <c r="G63" s="17" t="s">
        <v>1923</v>
      </c>
      <c r="H63" s="17" t="s">
        <v>1785</v>
      </c>
      <c r="I63" s="17" t="s">
        <v>40</v>
      </c>
      <c r="J63" s="17" t="s">
        <v>86</v>
      </c>
    </row>
    <row r="64" spans="1:10" ht="36" x14ac:dyDescent="0.25">
      <c r="A64" s="17" t="s">
        <v>1932</v>
      </c>
      <c r="B64" s="17" t="s">
        <v>1933</v>
      </c>
      <c r="C64" s="17" t="s">
        <v>1934</v>
      </c>
      <c r="D64" s="17" t="s">
        <v>1935</v>
      </c>
      <c r="E64" s="17" t="s">
        <v>1783</v>
      </c>
      <c r="F64" s="18">
        <v>63</v>
      </c>
      <c r="G64" s="17" t="s">
        <v>1936</v>
      </c>
      <c r="H64" s="17" t="s">
        <v>1785</v>
      </c>
      <c r="I64" s="17" t="s">
        <v>40</v>
      </c>
      <c r="J64" s="17" t="s">
        <v>86</v>
      </c>
    </row>
    <row r="65" spans="1:10" ht="36" x14ac:dyDescent="0.25">
      <c r="A65" s="17" t="s">
        <v>1937</v>
      </c>
      <c r="B65" s="17" t="s">
        <v>1933</v>
      </c>
      <c r="C65" s="17" t="s">
        <v>1938</v>
      </c>
      <c r="D65" s="17" t="s">
        <v>1935</v>
      </c>
      <c r="E65" s="17" t="s">
        <v>1783</v>
      </c>
      <c r="F65" s="18">
        <v>63</v>
      </c>
      <c r="G65" s="17" t="s">
        <v>1939</v>
      </c>
      <c r="H65" s="17" t="s">
        <v>1785</v>
      </c>
      <c r="I65" s="17" t="s">
        <v>40</v>
      </c>
      <c r="J65" s="17" t="s">
        <v>86</v>
      </c>
    </row>
    <row r="66" spans="1:10" ht="36" x14ac:dyDescent="0.25">
      <c r="A66" s="17" t="s">
        <v>1940</v>
      </c>
      <c r="B66" s="17" t="s">
        <v>1933</v>
      </c>
      <c r="C66" s="17" t="s">
        <v>1941</v>
      </c>
      <c r="D66" s="17" t="s">
        <v>1935</v>
      </c>
      <c r="E66" s="17" t="s">
        <v>1783</v>
      </c>
      <c r="F66" s="18">
        <v>94</v>
      </c>
      <c r="G66" s="17" t="s">
        <v>1939</v>
      </c>
      <c r="H66" s="17" t="s">
        <v>1785</v>
      </c>
      <c r="I66" s="17" t="s">
        <v>40</v>
      </c>
      <c r="J66" s="17" t="s">
        <v>86</v>
      </c>
    </row>
    <row r="67" spans="1:10" ht="36" x14ac:dyDescent="0.25">
      <c r="A67" s="17" t="s">
        <v>1942</v>
      </c>
      <c r="B67" s="17" t="s">
        <v>1933</v>
      </c>
      <c r="C67" s="17" t="s">
        <v>1943</v>
      </c>
      <c r="D67" s="17" t="s">
        <v>1935</v>
      </c>
      <c r="E67" s="17" t="s">
        <v>1783</v>
      </c>
      <c r="F67" s="18">
        <v>94</v>
      </c>
      <c r="G67" s="17" t="s">
        <v>1939</v>
      </c>
      <c r="H67" s="17" t="s">
        <v>1785</v>
      </c>
      <c r="I67" s="17" t="s">
        <v>40</v>
      </c>
      <c r="J67" s="17" t="s">
        <v>86</v>
      </c>
    </row>
    <row r="68" spans="1:10" ht="36" x14ac:dyDescent="0.25">
      <c r="A68" s="17" t="s">
        <v>1944</v>
      </c>
      <c r="B68" s="17" t="s">
        <v>1933</v>
      </c>
      <c r="C68" s="17" t="s">
        <v>1945</v>
      </c>
      <c r="D68" s="17" t="s">
        <v>1922</v>
      </c>
      <c r="E68" s="17" t="s">
        <v>1783</v>
      </c>
      <c r="F68" s="18">
        <v>264</v>
      </c>
      <c r="G68" s="17" t="s">
        <v>1946</v>
      </c>
      <c r="H68" s="17" t="s">
        <v>1785</v>
      </c>
      <c r="I68" s="17" t="s">
        <v>40</v>
      </c>
      <c r="J68" s="17" t="s">
        <v>86</v>
      </c>
    </row>
    <row r="69" spans="1:10" ht="36" x14ac:dyDescent="0.25">
      <c r="A69" s="17" t="s">
        <v>1947</v>
      </c>
      <c r="B69" s="17" t="s">
        <v>1933</v>
      </c>
      <c r="C69" s="17" t="s">
        <v>1948</v>
      </c>
      <c r="D69" s="17" t="s">
        <v>1922</v>
      </c>
      <c r="E69" s="17" t="s">
        <v>1783</v>
      </c>
      <c r="F69" s="18">
        <v>264</v>
      </c>
      <c r="G69" s="17" t="s">
        <v>1949</v>
      </c>
      <c r="H69" s="17" t="s">
        <v>1785</v>
      </c>
      <c r="I69" s="17" t="s">
        <v>40</v>
      </c>
      <c r="J69" s="17" t="s">
        <v>86</v>
      </c>
    </row>
    <row r="70" spans="1:10" ht="36" x14ac:dyDescent="0.25">
      <c r="A70" s="17" t="s">
        <v>1950</v>
      </c>
      <c r="B70" s="17" t="s">
        <v>1933</v>
      </c>
      <c r="C70" s="17" t="s">
        <v>1951</v>
      </c>
      <c r="D70" s="17" t="s">
        <v>1922</v>
      </c>
      <c r="E70" s="17" t="s">
        <v>1783</v>
      </c>
      <c r="F70" s="18">
        <v>264</v>
      </c>
      <c r="G70" s="17" t="s">
        <v>1949</v>
      </c>
      <c r="H70" s="17" t="s">
        <v>1785</v>
      </c>
      <c r="I70" s="17" t="s">
        <v>40</v>
      </c>
      <c r="J70" s="17" t="s">
        <v>86</v>
      </c>
    </row>
    <row r="71" spans="1:10" ht="36" x14ac:dyDescent="0.25">
      <c r="A71" s="17" t="s">
        <v>1952</v>
      </c>
      <c r="B71" s="17" t="s">
        <v>1933</v>
      </c>
      <c r="C71" s="17" t="s">
        <v>1953</v>
      </c>
      <c r="D71" s="17" t="s">
        <v>1922</v>
      </c>
      <c r="E71" s="17" t="s">
        <v>1783</v>
      </c>
      <c r="F71" s="18">
        <v>66</v>
      </c>
      <c r="G71" s="17" t="s">
        <v>1949</v>
      </c>
      <c r="H71" s="17" t="s">
        <v>1785</v>
      </c>
      <c r="I71" s="17" t="s">
        <v>40</v>
      </c>
      <c r="J71" s="17" t="s">
        <v>86</v>
      </c>
    </row>
    <row r="72" spans="1:10" ht="36" x14ac:dyDescent="0.25">
      <c r="A72" s="17" t="s">
        <v>1954</v>
      </c>
      <c r="B72" s="17" t="s">
        <v>1955</v>
      </c>
      <c r="C72" s="17" t="s">
        <v>1956</v>
      </c>
      <c r="D72" s="17" t="s">
        <v>1957</v>
      </c>
      <c r="E72" s="17" t="s">
        <v>1783</v>
      </c>
      <c r="F72" s="18">
        <v>51</v>
      </c>
      <c r="G72" s="17" t="s">
        <v>1939</v>
      </c>
      <c r="H72" s="17" t="s">
        <v>1785</v>
      </c>
      <c r="I72" s="17" t="s">
        <v>40</v>
      </c>
      <c r="J72" s="17" t="s">
        <v>86</v>
      </c>
    </row>
    <row r="73" spans="1:10" ht="36" x14ac:dyDescent="0.25">
      <c r="A73" s="17" t="s">
        <v>1958</v>
      </c>
      <c r="B73" s="17" t="s">
        <v>1955</v>
      </c>
      <c r="C73" s="17" t="s">
        <v>1959</v>
      </c>
      <c r="D73" s="17" t="s">
        <v>1957</v>
      </c>
      <c r="E73" s="17" t="s">
        <v>1783</v>
      </c>
      <c r="F73" s="18">
        <v>51</v>
      </c>
      <c r="G73" s="17" t="s">
        <v>1939</v>
      </c>
      <c r="H73" s="17" t="s">
        <v>1785</v>
      </c>
      <c r="I73" s="17" t="s">
        <v>40</v>
      </c>
      <c r="J73" s="17" t="s">
        <v>86</v>
      </c>
    </row>
    <row r="74" spans="1:10" ht="36" x14ac:dyDescent="0.25">
      <c r="A74" s="17" t="s">
        <v>1960</v>
      </c>
      <c r="B74" s="17" t="s">
        <v>1955</v>
      </c>
      <c r="C74" s="17" t="s">
        <v>1961</v>
      </c>
      <c r="D74" s="17" t="s">
        <v>1957</v>
      </c>
      <c r="E74" s="17" t="s">
        <v>1783</v>
      </c>
      <c r="F74" s="18">
        <v>72</v>
      </c>
      <c r="G74" s="17" t="s">
        <v>1936</v>
      </c>
      <c r="H74" s="17" t="s">
        <v>1785</v>
      </c>
      <c r="I74" s="17" t="s">
        <v>40</v>
      </c>
      <c r="J74" s="17" t="s">
        <v>86</v>
      </c>
    </row>
    <row r="75" spans="1:10" ht="36" x14ac:dyDescent="0.25">
      <c r="A75" s="17" t="s">
        <v>1962</v>
      </c>
      <c r="B75" s="17" t="s">
        <v>1963</v>
      </c>
      <c r="C75" s="17" t="s">
        <v>1964</v>
      </c>
      <c r="D75" s="17" t="s">
        <v>1922</v>
      </c>
      <c r="E75" s="17" t="s">
        <v>1783</v>
      </c>
      <c r="F75" s="18">
        <v>66</v>
      </c>
      <c r="G75" s="17" t="s">
        <v>1923</v>
      </c>
      <c r="H75" s="17" t="s">
        <v>1785</v>
      </c>
      <c r="I75" s="17" t="s">
        <v>40</v>
      </c>
      <c r="J75" s="17" t="s">
        <v>86</v>
      </c>
    </row>
    <row r="76" spans="1:10" ht="36" x14ac:dyDescent="0.25">
      <c r="A76" s="17" t="s">
        <v>1965</v>
      </c>
      <c r="B76" s="17" t="s">
        <v>1963</v>
      </c>
      <c r="C76" s="17" t="s">
        <v>1966</v>
      </c>
      <c r="D76" s="17" t="s">
        <v>1922</v>
      </c>
      <c r="E76" s="17" t="s">
        <v>1783</v>
      </c>
      <c r="F76" s="18">
        <v>132</v>
      </c>
      <c r="G76" s="17" t="s">
        <v>1923</v>
      </c>
      <c r="H76" s="17" t="s">
        <v>1785</v>
      </c>
      <c r="I76" s="17" t="s">
        <v>40</v>
      </c>
      <c r="J76" s="17" t="s">
        <v>86</v>
      </c>
    </row>
    <row r="77" spans="1:10" ht="36" x14ac:dyDescent="0.25">
      <c r="A77" s="17" t="s">
        <v>1967</v>
      </c>
      <c r="B77" s="17" t="s">
        <v>1963</v>
      </c>
      <c r="C77" s="17" t="s">
        <v>1968</v>
      </c>
      <c r="D77" s="17" t="s">
        <v>1922</v>
      </c>
      <c r="E77" s="17" t="s">
        <v>1783</v>
      </c>
      <c r="F77" s="18">
        <v>132</v>
      </c>
      <c r="G77" s="17" t="s">
        <v>1923</v>
      </c>
      <c r="H77" s="17" t="s">
        <v>1785</v>
      </c>
      <c r="I77" s="17" t="s">
        <v>40</v>
      </c>
      <c r="J77" s="17" t="s">
        <v>86</v>
      </c>
    </row>
    <row r="78" spans="1:10" ht="36" x14ac:dyDescent="0.25">
      <c r="A78" s="17" t="s">
        <v>1969</v>
      </c>
      <c r="B78" s="17" t="s">
        <v>1963</v>
      </c>
      <c r="C78" s="17" t="s">
        <v>1970</v>
      </c>
      <c r="D78" s="17" t="s">
        <v>1922</v>
      </c>
      <c r="E78" s="17" t="s">
        <v>1783</v>
      </c>
      <c r="F78" s="18">
        <v>132</v>
      </c>
      <c r="G78" s="17" t="s">
        <v>1923</v>
      </c>
      <c r="H78" s="17" t="s">
        <v>1785</v>
      </c>
      <c r="I78" s="17" t="s">
        <v>40</v>
      </c>
      <c r="J78" s="17" t="s">
        <v>86</v>
      </c>
    </row>
    <row r="79" spans="1:10" ht="36" x14ac:dyDescent="0.25">
      <c r="A79" s="17" t="s">
        <v>1971</v>
      </c>
      <c r="B79" s="17" t="s">
        <v>1963</v>
      </c>
      <c r="C79" s="17" t="s">
        <v>1972</v>
      </c>
      <c r="D79" s="17" t="s">
        <v>1922</v>
      </c>
      <c r="E79" s="17" t="s">
        <v>1783</v>
      </c>
      <c r="F79" s="18">
        <v>66</v>
      </c>
      <c r="G79" s="17" t="s">
        <v>1923</v>
      </c>
      <c r="H79" s="17" t="s">
        <v>1785</v>
      </c>
      <c r="I79" s="17" t="s">
        <v>40</v>
      </c>
      <c r="J79" s="17" t="s">
        <v>86</v>
      </c>
    </row>
    <row r="80" spans="1:10" ht="36" x14ac:dyDescent="0.25">
      <c r="A80" s="17" t="s">
        <v>1973</v>
      </c>
      <c r="B80" s="17" t="s">
        <v>1974</v>
      </c>
      <c r="C80" s="17" t="s">
        <v>1975</v>
      </c>
      <c r="D80" s="17" t="s">
        <v>1976</v>
      </c>
      <c r="E80" s="17" t="s">
        <v>1783</v>
      </c>
      <c r="F80" s="18">
        <v>216</v>
      </c>
      <c r="G80" s="17" t="s">
        <v>1977</v>
      </c>
      <c r="H80" s="17" t="s">
        <v>1785</v>
      </c>
      <c r="I80" s="17" t="s">
        <v>39</v>
      </c>
      <c r="J80" s="17" t="s">
        <v>85</v>
      </c>
    </row>
    <row r="81" spans="1:10" ht="36" x14ac:dyDescent="0.25">
      <c r="A81" s="17" t="s">
        <v>1978</v>
      </c>
      <c r="B81" s="17" t="s">
        <v>1974</v>
      </c>
      <c r="C81" s="17" t="s">
        <v>1979</v>
      </c>
      <c r="D81" s="17" t="s">
        <v>1976</v>
      </c>
      <c r="E81" s="17" t="s">
        <v>1783</v>
      </c>
      <c r="F81" s="18">
        <v>54</v>
      </c>
      <c r="G81" s="17" t="s">
        <v>1977</v>
      </c>
      <c r="H81" s="17" t="s">
        <v>1785</v>
      </c>
      <c r="I81" s="17" t="s">
        <v>39</v>
      </c>
      <c r="J81" s="17" t="s">
        <v>85</v>
      </c>
    </row>
    <row r="82" spans="1:10" ht="36" x14ac:dyDescent="0.25">
      <c r="A82" s="17" t="s">
        <v>1980</v>
      </c>
      <c r="B82" s="17" t="s">
        <v>1974</v>
      </c>
      <c r="C82" s="17" t="s">
        <v>1981</v>
      </c>
      <c r="D82" s="17" t="s">
        <v>1976</v>
      </c>
      <c r="E82" s="17" t="s">
        <v>1783</v>
      </c>
      <c r="F82" s="18">
        <v>54</v>
      </c>
      <c r="G82" s="17" t="s">
        <v>1977</v>
      </c>
      <c r="H82" s="17" t="s">
        <v>1785</v>
      </c>
      <c r="I82" s="17" t="s">
        <v>39</v>
      </c>
      <c r="J82" s="17" t="s">
        <v>85</v>
      </c>
    </row>
    <row r="83" spans="1:10" ht="36" x14ac:dyDescent="0.25">
      <c r="A83" s="17" t="s">
        <v>1982</v>
      </c>
      <c r="B83" s="17" t="s">
        <v>1974</v>
      </c>
      <c r="C83" s="17" t="s">
        <v>1983</v>
      </c>
      <c r="D83" s="17" t="s">
        <v>1976</v>
      </c>
      <c r="E83" s="17" t="s">
        <v>1783</v>
      </c>
      <c r="F83" s="18">
        <v>54</v>
      </c>
      <c r="G83" s="17" t="s">
        <v>1984</v>
      </c>
      <c r="H83" s="17" t="s">
        <v>1785</v>
      </c>
      <c r="I83" s="17" t="s">
        <v>39</v>
      </c>
      <c r="J83" s="17" t="s">
        <v>85</v>
      </c>
    </row>
    <row r="84" spans="1:10" ht="36" x14ac:dyDescent="0.25">
      <c r="A84" s="17" t="s">
        <v>1985</v>
      </c>
      <c r="B84" s="17" t="s">
        <v>1974</v>
      </c>
      <c r="C84" s="17" t="s">
        <v>1986</v>
      </c>
      <c r="D84" s="17" t="s">
        <v>1976</v>
      </c>
      <c r="E84" s="17" t="s">
        <v>1783</v>
      </c>
      <c r="F84" s="18">
        <v>54</v>
      </c>
      <c r="G84" s="17" t="s">
        <v>1987</v>
      </c>
      <c r="H84" s="17" t="s">
        <v>1785</v>
      </c>
      <c r="I84" s="17" t="s">
        <v>39</v>
      </c>
      <c r="J84" s="17" t="s">
        <v>85</v>
      </c>
    </row>
    <row r="85" spans="1:10" ht="36" x14ac:dyDescent="0.25">
      <c r="A85" s="17" t="s">
        <v>1988</v>
      </c>
      <c r="B85" s="17" t="s">
        <v>1974</v>
      </c>
      <c r="C85" s="17" t="s">
        <v>1989</v>
      </c>
      <c r="D85" s="17" t="s">
        <v>1990</v>
      </c>
      <c r="E85" s="17" t="s">
        <v>1783</v>
      </c>
      <c r="F85" s="18">
        <v>54</v>
      </c>
      <c r="G85" s="17" t="s">
        <v>1987</v>
      </c>
      <c r="H85" s="17" t="s">
        <v>1785</v>
      </c>
      <c r="I85" s="17" t="s">
        <v>39</v>
      </c>
      <c r="J85" s="17" t="s">
        <v>85</v>
      </c>
    </row>
    <row r="86" spans="1:10" ht="36" x14ac:dyDescent="0.25">
      <c r="A86" s="17" t="s">
        <v>1991</v>
      </c>
      <c r="B86" s="17" t="s">
        <v>1974</v>
      </c>
      <c r="C86" s="17" t="s">
        <v>1992</v>
      </c>
      <c r="D86" s="17" t="s">
        <v>1990</v>
      </c>
      <c r="E86" s="17" t="s">
        <v>1783</v>
      </c>
      <c r="F86" s="18">
        <v>54</v>
      </c>
      <c r="G86" s="17" t="s">
        <v>1987</v>
      </c>
      <c r="H86" s="17" t="s">
        <v>1785</v>
      </c>
      <c r="I86" s="17" t="s">
        <v>39</v>
      </c>
      <c r="J86" s="17" t="s">
        <v>85</v>
      </c>
    </row>
    <row r="87" spans="1:10" ht="36" x14ac:dyDescent="0.25">
      <c r="A87" s="17" t="s">
        <v>1993</v>
      </c>
      <c r="B87" s="17" t="s">
        <v>1974</v>
      </c>
      <c r="C87" s="17" t="s">
        <v>1994</v>
      </c>
      <c r="D87" s="17" t="s">
        <v>1990</v>
      </c>
      <c r="E87" s="17" t="s">
        <v>1783</v>
      </c>
      <c r="F87" s="18">
        <v>157</v>
      </c>
      <c r="G87" s="17" t="s">
        <v>1987</v>
      </c>
      <c r="H87" s="17" t="s">
        <v>1785</v>
      </c>
      <c r="I87" s="17" t="s">
        <v>39</v>
      </c>
      <c r="J87" s="17" t="s">
        <v>85</v>
      </c>
    </row>
    <row r="88" spans="1:10" ht="36" x14ac:dyDescent="0.25">
      <c r="A88" s="17" t="s">
        <v>1995</v>
      </c>
      <c r="B88" s="17" t="s">
        <v>1996</v>
      </c>
      <c r="C88" s="17" t="s">
        <v>1997</v>
      </c>
      <c r="D88" s="17" t="s">
        <v>1998</v>
      </c>
      <c r="E88" s="17" t="s">
        <v>1783</v>
      </c>
      <c r="F88" s="18">
        <v>270</v>
      </c>
      <c r="G88" s="17" t="s">
        <v>1999</v>
      </c>
      <c r="H88" s="17" t="s">
        <v>1785</v>
      </c>
      <c r="I88" s="17" t="s">
        <v>39</v>
      </c>
      <c r="J88" s="17" t="s">
        <v>85</v>
      </c>
    </row>
    <row r="89" spans="1:10" ht="36" x14ac:dyDescent="0.25">
      <c r="A89" s="17" t="s">
        <v>2000</v>
      </c>
      <c r="B89" s="17" t="s">
        <v>1996</v>
      </c>
      <c r="C89" s="17" t="s">
        <v>2001</v>
      </c>
      <c r="D89" s="17" t="s">
        <v>1998</v>
      </c>
      <c r="E89" s="17" t="s">
        <v>1783</v>
      </c>
      <c r="F89" s="18">
        <v>54</v>
      </c>
      <c r="G89" s="17" t="s">
        <v>1999</v>
      </c>
      <c r="H89" s="17" t="s">
        <v>1785</v>
      </c>
      <c r="I89" s="17" t="s">
        <v>39</v>
      </c>
      <c r="J89" s="17" t="s">
        <v>85</v>
      </c>
    </row>
    <row r="90" spans="1:10" ht="36" x14ac:dyDescent="0.25">
      <c r="A90" s="17" t="s">
        <v>2002</v>
      </c>
      <c r="B90" s="17" t="s">
        <v>1996</v>
      </c>
      <c r="C90" s="17" t="s">
        <v>2003</v>
      </c>
      <c r="D90" s="17" t="s">
        <v>1998</v>
      </c>
      <c r="E90" s="17" t="s">
        <v>1783</v>
      </c>
      <c r="F90" s="18">
        <v>54</v>
      </c>
      <c r="G90" s="17" t="s">
        <v>1977</v>
      </c>
      <c r="H90" s="17" t="s">
        <v>1785</v>
      </c>
      <c r="I90" s="17" t="s">
        <v>39</v>
      </c>
      <c r="J90" s="17" t="s">
        <v>85</v>
      </c>
    </row>
    <row r="91" spans="1:10" ht="36" x14ac:dyDescent="0.25">
      <c r="A91" s="17" t="s">
        <v>2004</v>
      </c>
      <c r="B91" s="17" t="s">
        <v>1996</v>
      </c>
      <c r="C91" s="17" t="s">
        <v>2005</v>
      </c>
      <c r="D91" s="17" t="s">
        <v>1998</v>
      </c>
      <c r="E91" s="17" t="s">
        <v>1783</v>
      </c>
      <c r="F91" s="18">
        <v>54</v>
      </c>
      <c r="G91" s="17" t="s">
        <v>1977</v>
      </c>
      <c r="H91" s="17" t="s">
        <v>1785</v>
      </c>
      <c r="I91" s="17" t="s">
        <v>39</v>
      </c>
      <c r="J91" s="17" t="s">
        <v>85</v>
      </c>
    </row>
    <row r="92" spans="1:10" ht="36" x14ac:dyDescent="0.25">
      <c r="A92" s="17" t="s">
        <v>2006</v>
      </c>
      <c r="B92" s="17" t="s">
        <v>1996</v>
      </c>
      <c r="C92" s="17" t="s">
        <v>2007</v>
      </c>
      <c r="D92" s="17" t="s">
        <v>1998</v>
      </c>
      <c r="E92" s="17" t="s">
        <v>1783</v>
      </c>
      <c r="F92" s="18">
        <v>54</v>
      </c>
      <c r="G92" s="17" t="s">
        <v>2008</v>
      </c>
      <c r="H92" s="17" t="s">
        <v>1785</v>
      </c>
      <c r="I92" s="17" t="s">
        <v>39</v>
      </c>
      <c r="J92" s="17" t="s">
        <v>85</v>
      </c>
    </row>
    <row r="93" spans="1:10" ht="36" x14ac:dyDescent="0.25">
      <c r="A93" s="17" t="s">
        <v>2009</v>
      </c>
      <c r="B93" s="17" t="s">
        <v>1996</v>
      </c>
      <c r="C93" s="17" t="s">
        <v>2010</v>
      </c>
      <c r="D93" s="17" t="s">
        <v>1998</v>
      </c>
      <c r="E93" s="17" t="s">
        <v>1783</v>
      </c>
      <c r="F93" s="18">
        <v>54</v>
      </c>
      <c r="G93" s="17" t="s">
        <v>1987</v>
      </c>
      <c r="H93" s="17" t="s">
        <v>1785</v>
      </c>
      <c r="I93" s="17" t="s">
        <v>39</v>
      </c>
      <c r="J93" s="17" t="s">
        <v>85</v>
      </c>
    </row>
    <row r="94" spans="1:10" ht="36" x14ac:dyDescent="0.25">
      <c r="A94" s="17" t="s">
        <v>2011</v>
      </c>
      <c r="B94" s="17" t="s">
        <v>1996</v>
      </c>
      <c r="C94" s="17" t="s">
        <v>2012</v>
      </c>
      <c r="D94" s="17" t="s">
        <v>1998</v>
      </c>
      <c r="E94" s="17" t="s">
        <v>1783</v>
      </c>
      <c r="F94" s="18">
        <v>54</v>
      </c>
      <c r="G94" s="17" t="s">
        <v>1987</v>
      </c>
      <c r="H94" s="17" t="s">
        <v>1785</v>
      </c>
      <c r="I94" s="17" t="s">
        <v>39</v>
      </c>
      <c r="J94" s="17" t="s">
        <v>85</v>
      </c>
    </row>
    <row r="95" spans="1:10" ht="36" x14ac:dyDescent="0.25">
      <c r="A95" s="17" t="s">
        <v>2013</v>
      </c>
      <c r="B95" s="17" t="s">
        <v>1996</v>
      </c>
      <c r="C95" s="17" t="s">
        <v>2014</v>
      </c>
      <c r="D95" s="17" t="s">
        <v>1998</v>
      </c>
      <c r="E95" s="17" t="s">
        <v>1783</v>
      </c>
      <c r="F95" s="18">
        <v>54</v>
      </c>
      <c r="G95" s="17" t="s">
        <v>1987</v>
      </c>
      <c r="H95" s="17" t="s">
        <v>1785</v>
      </c>
      <c r="I95" s="17" t="s">
        <v>39</v>
      </c>
      <c r="J95" s="17" t="s">
        <v>85</v>
      </c>
    </row>
    <row r="96" spans="1:10" ht="36" x14ac:dyDescent="0.25">
      <c r="A96" s="17" t="s">
        <v>2015</v>
      </c>
      <c r="B96" s="17" t="s">
        <v>1996</v>
      </c>
      <c r="C96" s="17" t="s">
        <v>2016</v>
      </c>
      <c r="D96" s="17" t="s">
        <v>1998</v>
      </c>
      <c r="E96" s="17" t="s">
        <v>1783</v>
      </c>
      <c r="F96" s="18">
        <v>54</v>
      </c>
      <c r="G96" s="17" t="s">
        <v>1987</v>
      </c>
      <c r="H96" s="17" t="s">
        <v>1785</v>
      </c>
      <c r="I96" s="17" t="s">
        <v>39</v>
      </c>
      <c r="J96" s="17" t="s">
        <v>85</v>
      </c>
    </row>
    <row r="97" spans="1:10" ht="36" x14ac:dyDescent="0.25">
      <c r="A97" s="17" t="s">
        <v>2017</v>
      </c>
      <c r="B97" s="17" t="s">
        <v>1996</v>
      </c>
      <c r="C97" s="17" t="s">
        <v>2018</v>
      </c>
      <c r="D97" s="17" t="s">
        <v>1976</v>
      </c>
      <c r="E97" s="17" t="s">
        <v>1783</v>
      </c>
      <c r="F97" s="18">
        <v>173</v>
      </c>
      <c r="G97" s="17" t="s">
        <v>1987</v>
      </c>
      <c r="H97" s="17" t="s">
        <v>1785</v>
      </c>
      <c r="I97" s="17" t="s">
        <v>39</v>
      </c>
      <c r="J97" s="17" t="s">
        <v>85</v>
      </c>
    </row>
    <row r="98" spans="1:10" ht="36" x14ac:dyDescent="0.25">
      <c r="A98" s="17" t="s">
        <v>2019</v>
      </c>
      <c r="B98" s="17" t="s">
        <v>1996</v>
      </c>
      <c r="C98" s="17" t="s">
        <v>2020</v>
      </c>
      <c r="D98" s="17" t="s">
        <v>1976</v>
      </c>
      <c r="E98" s="17" t="s">
        <v>1783</v>
      </c>
      <c r="F98" s="18">
        <v>54</v>
      </c>
      <c r="G98" s="17" t="s">
        <v>1987</v>
      </c>
      <c r="H98" s="17" t="s">
        <v>1785</v>
      </c>
      <c r="I98" s="17" t="s">
        <v>39</v>
      </c>
      <c r="J98" s="17" t="s">
        <v>85</v>
      </c>
    </row>
    <row r="99" spans="1:10" ht="36" x14ac:dyDescent="0.25">
      <c r="A99" s="17" t="s">
        <v>2021</v>
      </c>
      <c r="B99" s="17" t="s">
        <v>2022</v>
      </c>
      <c r="C99" s="17" t="s">
        <v>2023</v>
      </c>
      <c r="D99" s="17" t="s">
        <v>1976</v>
      </c>
      <c r="E99" s="17" t="s">
        <v>1783</v>
      </c>
      <c r="F99" s="18">
        <v>216</v>
      </c>
      <c r="G99" s="17" t="s">
        <v>1977</v>
      </c>
      <c r="H99" s="17" t="s">
        <v>1785</v>
      </c>
      <c r="I99" s="17" t="s">
        <v>39</v>
      </c>
      <c r="J99" s="17" t="s">
        <v>85</v>
      </c>
    </row>
    <row r="100" spans="1:10" ht="36" x14ac:dyDescent="0.25">
      <c r="A100" s="17" t="s">
        <v>2024</v>
      </c>
      <c r="B100" s="17" t="s">
        <v>2022</v>
      </c>
      <c r="C100" s="17" t="s">
        <v>2025</v>
      </c>
      <c r="D100" s="17" t="s">
        <v>1976</v>
      </c>
      <c r="E100" s="17" t="s">
        <v>1783</v>
      </c>
      <c r="F100" s="18">
        <v>54</v>
      </c>
      <c r="G100" s="17" t="s">
        <v>1977</v>
      </c>
      <c r="H100" s="17" t="s">
        <v>1785</v>
      </c>
      <c r="I100" s="17" t="s">
        <v>39</v>
      </c>
      <c r="J100" s="17" t="s">
        <v>85</v>
      </c>
    </row>
    <row r="101" spans="1:10" ht="36" x14ac:dyDescent="0.25">
      <c r="A101" s="17" t="s">
        <v>2026</v>
      </c>
      <c r="B101" s="17" t="s">
        <v>2022</v>
      </c>
      <c r="C101" s="17" t="s">
        <v>2027</v>
      </c>
      <c r="D101" s="17" t="s">
        <v>1976</v>
      </c>
      <c r="E101" s="17" t="s">
        <v>1783</v>
      </c>
      <c r="F101" s="18">
        <v>54</v>
      </c>
      <c r="G101" s="17" t="s">
        <v>1977</v>
      </c>
      <c r="H101" s="17" t="s">
        <v>1785</v>
      </c>
      <c r="I101" s="17" t="s">
        <v>39</v>
      </c>
      <c r="J101" s="17" t="s">
        <v>85</v>
      </c>
    </row>
    <row r="102" spans="1:10" ht="36" x14ac:dyDescent="0.25">
      <c r="A102" s="17" t="s">
        <v>2028</v>
      </c>
      <c r="B102" s="17" t="s">
        <v>2022</v>
      </c>
      <c r="C102" s="17" t="s">
        <v>2029</v>
      </c>
      <c r="D102" s="17" t="s">
        <v>1990</v>
      </c>
      <c r="E102" s="17" t="s">
        <v>1783</v>
      </c>
      <c r="F102" s="18">
        <v>54</v>
      </c>
      <c r="G102" s="17" t="s">
        <v>1987</v>
      </c>
      <c r="H102" s="17" t="s">
        <v>1785</v>
      </c>
      <c r="I102" s="17" t="s">
        <v>39</v>
      </c>
      <c r="J102" s="17" t="s">
        <v>85</v>
      </c>
    </row>
    <row r="103" spans="1:10" ht="36" x14ac:dyDescent="0.25">
      <c r="A103" s="17" t="s">
        <v>2030</v>
      </c>
      <c r="B103" s="17" t="s">
        <v>2022</v>
      </c>
      <c r="C103" s="17" t="s">
        <v>2031</v>
      </c>
      <c r="D103" s="17" t="s">
        <v>1990</v>
      </c>
      <c r="E103" s="17" t="s">
        <v>1783</v>
      </c>
      <c r="F103" s="18">
        <v>54</v>
      </c>
      <c r="G103" s="17" t="s">
        <v>1987</v>
      </c>
      <c r="H103" s="17" t="s">
        <v>1785</v>
      </c>
      <c r="I103" s="17" t="s">
        <v>39</v>
      </c>
      <c r="J103" s="17" t="s">
        <v>85</v>
      </c>
    </row>
    <row r="104" spans="1:10" ht="36" x14ac:dyDescent="0.25">
      <c r="A104" s="17" t="s">
        <v>2032</v>
      </c>
      <c r="B104" s="17" t="s">
        <v>2022</v>
      </c>
      <c r="C104" s="17" t="s">
        <v>2033</v>
      </c>
      <c r="D104" s="17" t="s">
        <v>1990</v>
      </c>
      <c r="E104" s="17" t="s">
        <v>1783</v>
      </c>
      <c r="F104" s="18">
        <v>54</v>
      </c>
      <c r="G104" s="17" t="s">
        <v>1987</v>
      </c>
      <c r="H104" s="17" t="s">
        <v>1785</v>
      </c>
      <c r="I104" s="17" t="s">
        <v>39</v>
      </c>
      <c r="J104" s="17" t="s">
        <v>85</v>
      </c>
    </row>
    <row r="105" spans="1:10" ht="36" x14ac:dyDescent="0.25">
      <c r="A105" s="17" t="s">
        <v>2034</v>
      </c>
      <c r="B105" s="17" t="s">
        <v>2022</v>
      </c>
      <c r="C105" s="17" t="s">
        <v>2035</v>
      </c>
      <c r="D105" s="17" t="s">
        <v>1990</v>
      </c>
      <c r="E105" s="17" t="s">
        <v>1783</v>
      </c>
      <c r="F105" s="18">
        <v>54</v>
      </c>
      <c r="G105" s="17" t="s">
        <v>1987</v>
      </c>
      <c r="H105" s="17" t="s">
        <v>1785</v>
      </c>
      <c r="I105" s="17" t="s">
        <v>39</v>
      </c>
      <c r="J105" s="17" t="s">
        <v>85</v>
      </c>
    </row>
    <row r="106" spans="1:10" ht="36" x14ac:dyDescent="0.25">
      <c r="A106" s="17" t="s">
        <v>2036</v>
      </c>
      <c r="B106" s="17" t="s">
        <v>2022</v>
      </c>
      <c r="C106" s="17" t="s">
        <v>2037</v>
      </c>
      <c r="D106" s="17" t="s">
        <v>1990</v>
      </c>
      <c r="E106" s="17" t="s">
        <v>1783</v>
      </c>
      <c r="F106" s="18">
        <v>157</v>
      </c>
      <c r="G106" s="17" t="s">
        <v>1987</v>
      </c>
      <c r="H106" s="17" t="s">
        <v>1785</v>
      </c>
      <c r="I106" s="17" t="s">
        <v>39</v>
      </c>
      <c r="J106" s="17" t="s">
        <v>85</v>
      </c>
    </row>
    <row r="107" spans="1:10" ht="36" x14ac:dyDescent="0.25">
      <c r="A107" s="17" t="s">
        <v>2038</v>
      </c>
      <c r="B107" s="17" t="s">
        <v>2039</v>
      </c>
      <c r="C107" s="17" t="s">
        <v>2040</v>
      </c>
      <c r="D107" s="17" t="s">
        <v>2041</v>
      </c>
      <c r="E107" s="17" t="s">
        <v>1783</v>
      </c>
      <c r="F107" s="18">
        <v>70</v>
      </c>
      <c r="G107" s="17" t="s">
        <v>2042</v>
      </c>
      <c r="H107" s="17" t="s">
        <v>1785</v>
      </c>
      <c r="I107" s="17" t="s">
        <v>47</v>
      </c>
      <c r="J107" s="17" t="s">
        <v>85</v>
      </c>
    </row>
    <row r="108" spans="1:10" ht="36" x14ac:dyDescent="0.25">
      <c r="A108" s="17" t="s">
        <v>2043</v>
      </c>
      <c r="B108" s="17" t="s">
        <v>2044</v>
      </c>
      <c r="C108" s="17" t="s">
        <v>2045</v>
      </c>
      <c r="D108" s="17" t="s">
        <v>1782</v>
      </c>
      <c r="E108" s="17" t="s">
        <v>1783</v>
      </c>
      <c r="F108" s="18">
        <v>50</v>
      </c>
      <c r="G108" s="17" t="s">
        <v>2046</v>
      </c>
      <c r="H108" s="17" t="s">
        <v>1785</v>
      </c>
      <c r="I108" s="17" t="s">
        <v>47</v>
      </c>
      <c r="J108" s="17" t="s">
        <v>85</v>
      </c>
    </row>
    <row r="109" spans="1:10" ht="36" x14ac:dyDescent="0.25">
      <c r="A109" s="17" t="s">
        <v>2047</v>
      </c>
      <c r="B109" s="17" t="s">
        <v>2048</v>
      </c>
      <c r="C109" s="17" t="s">
        <v>2049</v>
      </c>
      <c r="D109" s="17" t="s">
        <v>2050</v>
      </c>
      <c r="E109" s="17" t="s">
        <v>1783</v>
      </c>
      <c r="F109" s="18">
        <v>100</v>
      </c>
      <c r="G109" s="17" t="s">
        <v>2051</v>
      </c>
      <c r="H109" s="17" t="s">
        <v>1785</v>
      </c>
      <c r="I109" s="17" t="s">
        <v>38</v>
      </c>
      <c r="J109" s="17" t="s">
        <v>85</v>
      </c>
    </row>
    <row r="110" spans="1:10" ht="36" x14ac:dyDescent="0.25">
      <c r="A110" s="17" t="s">
        <v>2052</v>
      </c>
      <c r="B110" s="17" t="s">
        <v>2053</v>
      </c>
      <c r="C110" s="17" t="s">
        <v>2054</v>
      </c>
      <c r="D110" s="17" t="s">
        <v>2050</v>
      </c>
      <c r="E110" s="17" t="s">
        <v>1783</v>
      </c>
      <c r="F110" s="18">
        <v>100</v>
      </c>
      <c r="G110" s="17" t="s">
        <v>2055</v>
      </c>
      <c r="H110" s="17" t="s">
        <v>1785</v>
      </c>
      <c r="I110" s="17" t="s">
        <v>90</v>
      </c>
      <c r="J110" s="17" t="s">
        <v>85</v>
      </c>
    </row>
    <row r="111" spans="1:10" ht="36" x14ac:dyDescent="0.25">
      <c r="A111" s="17" t="s">
        <v>2056</v>
      </c>
      <c r="B111" s="17" t="s">
        <v>2039</v>
      </c>
      <c r="C111" s="17" t="s">
        <v>2057</v>
      </c>
      <c r="D111" s="17" t="s">
        <v>2041</v>
      </c>
      <c r="E111" s="17" t="s">
        <v>1783</v>
      </c>
      <c r="F111" s="18">
        <v>70</v>
      </c>
      <c r="G111" s="17" t="s">
        <v>2058</v>
      </c>
      <c r="H111" s="17" t="s">
        <v>1785</v>
      </c>
      <c r="I111" s="17" t="s">
        <v>41</v>
      </c>
      <c r="J111" s="17" t="s">
        <v>85</v>
      </c>
    </row>
    <row r="112" spans="1:10" ht="36" x14ac:dyDescent="0.25">
      <c r="A112" s="17" t="s">
        <v>2059</v>
      </c>
      <c r="B112" s="17" t="s">
        <v>2060</v>
      </c>
      <c r="C112" s="17" t="s">
        <v>2061</v>
      </c>
      <c r="D112" s="17" t="s">
        <v>2062</v>
      </c>
      <c r="E112" s="17" t="s">
        <v>1783</v>
      </c>
      <c r="F112" s="18">
        <v>100</v>
      </c>
      <c r="G112" s="17" t="s">
        <v>2063</v>
      </c>
      <c r="H112" s="17" t="s">
        <v>1785</v>
      </c>
      <c r="I112" s="17" t="s">
        <v>40</v>
      </c>
      <c r="J112" s="17" t="s">
        <v>85</v>
      </c>
    </row>
    <row r="113" spans="1:10" ht="36" x14ac:dyDescent="0.25">
      <c r="A113" s="17" t="s">
        <v>2064</v>
      </c>
      <c r="B113" s="17" t="s">
        <v>2065</v>
      </c>
      <c r="C113" s="17" t="s">
        <v>2066</v>
      </c>
      <c r="D113" s="17" t="s">
        <v>2067</v>
      </c>
      <c r="E113" s="17" t="s">
        <v>1783</v>
      </c>
      <c r="F113" s="18">
        <v>50</v>
      </c>
      <c r="G113" s="17" t="s">
        <v>2068</v>
      </c>
      <c r="H113" s="17" t="s">
        <v>2069</v>
      </c>
      <c r="I113" s="17" t="s">
        <v>40</v>
      </c>
      <c r="J113" s="17" t="s">
        <v>85</v>
      </c>
    </row>
    <row r="114" spans="1:10" ht="36" x14ac:dyDescent="0.25">
      <c r="A114" s="17" t="s">
        <v>2070</v>
      </c>
      <c r="B114" s="17" t="s">
        <v>2071</v>
      </c>
      <c r="C114" s="17" t="s">
        <v>2072</v>
      </c>
      <c r="D114" s="17" t="s">
        <v>2073</v>
      </c>
      <c r="E114" s="17" t="s">
        <v>1783</v>
      </c>
      <c r="F114" s="18">
        <v>450</v>
      </c>
      <c r="G114" s="17" t="s">
        <v>2074</v>
      </c>
      <c r="H114" s="17" t="s">
        <v>1785</v>
      </c>
      <c r="I114" s="17" t="s">
        <v>40</v>
      </c>
      <c r="J114" s="17" t="s">
        <v>85</v>
      </c>
    </row>
    <row r="115" spans="1:10" ht="36" x14ac:dyDescent="0.25">
      <c r="A115" s="17" t="s">
        <v>2075</v>
      </c>
      <c r="B115" s="17" t="s">
        <v>2071</v>
      </c>
      <c r="C115" s="17" t="s">
        <v>2076</v>
      </c>
      <c r="D115" s="17" t="s">
        <v>2077</v>
      </c>
      <c r="E115" s="17" t="s">
        <v>1783</v>
      </c>
      <c r="F115" s="18">
        <v>1100</v>
      </c>
      <c r="G115" s="17" t="s">
        <v>2078</v>
      </c>
      <c r="H115" s="17" t="s">
        <v>1785</v>
      </c>
      <c r="I115" s="17" t="s">
        <v>40</v>
      </c>
      <c r="J115" s="17" t="s">
        <v>85</v>
      </c>
    </row>
    <row r="116" spans="1:10" ht="36" x14ac:dyDescent="0.25">
      <c r="A116" s="20" t="s">
        <v>2079</v>
      </c>
      <c r="B116" s="20" t="s">
        <v>2080</v>
      </c>
      <c r="C116" s="20" t="s">
        <v>2081</v>
      </c>
      <c r="D116" s="20" t="s">
        <v>2082</v>
      </c>
      <c r="E116" s="20" t="s">
        <v>1783</v>
      </c>
      <c r="F116" s="21">
        <v>50</v>
      </c>
      <c r="G116" s="20" t="s">
        <v>2083</v>
      </c>
      <c r="H116" s="20" t="s">
        <v>2069</v>
      </c>
      <c r="I116" s="20" t="s">
        <v>39</v>
      </c>
      <c r="J116" s="20" t="s">
        <v>2084</v>
      </c>
    </row>
    <row r="117" spans="1:10" ht="36" x14ac:dyDescent="0.25">
      <c r="A117" s="20" t="s">
        <v>2085</v>
      </c>
      <c r="B117" s="20" t="s">
        <v>2086</v>
      </c>
      <c r="C117" s="20" t="s">
        <v>2087</v>
      </c>
      <c r="D117" s="20" t="s">
        <v>2088</v>
      </c>
      <c r="E117" s="20" t="s">
        <v>1783</v>
      </c>
      <c r="F117" s="21">
        <v>150</v>
      </c>
      <c r="G117" s="20" t="s">
        <v>2089</v>
      </c>
      <c r="H117" s="20" t="s">
        <v>1785</v>
      </c>
      <c r="I117" s="20" t="s">
        <v>39</v>
      </c>
      <c r="J117" s="20" t="s">
        <v>2084</v>
      </c>
    </row>
    <row r="118" spans="1:10" ht="36" x14ac:dyDescent="0.25">
      <c r="A118" s="20" t="s">
        <v>2090</v>
      </c>
      <c r="B118" s="20" t="s">
        <v>2091</v>
      </c>
      <c r="C118" s="20" t="s">
        <v>2092</v>
      </c>
      <c r="D118" s="20" t="s">
        <v>2093</v>
      </c>
      <c r="E118" s="20" t="s">
        <v>1783</v>
      </c>
      <c r="F118" s="21">
        <v>2500</v>
      </c>
      <c r="G118" s="20" t="s">
        <v>2094</v>
      </c>
      <c r="H118" s="20"/>
      <c r="I118" s="20" t="s">
        <v>39</v>
      </c>
      <c r="J118" s="20" t="s">
        <v>2084</v>
      </c>
    </row>
    <row r="119" spans="1:10" ht="36" x14ac:dyDescent="0.25">
      <c r="A119" s="20" t="s">
        <v>2095</v>
      </c>
      <c r="B119" s="20" t="s">
        <v>2091</v>
      </c>
      <c r="C119" s="20" t="s">
        <v>2096</v>
      </c>
      <c r="D119" s="20" t="s">
        <v>2097</v>
      </c>
      <c r="E119" s="20" t="s">
        <v>1783</v>
      </c>
      <c r="F119" s="21">
        <v>1000</v>
      </c>
      <c r="G119" s="20" t="s">
        <v>2098</v>
      </c>
      <c r="H119" s="20" t="s">
        <v>1785</v>
      </c>
      <c r="I119" s="20" t="s">
        <v>39</v>
      </c>
      <c r="J119" s="20" t="s">
        <v>2084</v>
      </c>
    </row>
    <row r="120" spans="1:10" ht="36" x14ac:dyDescent="0.25">
      <c r="A120" s="20" t="s">
        <v>2099</v>
      </c>
      <c r="B120" s="20" t="s">
        <v>2100</v>
      </c>
      <c r="C120" s="20" t="s">
        <v>2101</v>
      </c>
      <c r="D120" s="20" t="s">
        <v>2102</v>
      </c>
      <c r="E120" s="20" t="s">
        <v>1783</v>
      </c>
      <c r="F120" s="21">
        <v>50</v>
      </c>
      <c r="G120" s="20" t="s">
        <v>2103</v>
      </c>
      <c r="H120" s="20" t="s">
        <v>1785</v>
      </c>
      <c r="I120" s="20" t="s">
        <v>39</v>
      </c>
      <c r="J120" s="20" t="s">
        <v>2084</v>
      </c>
    </row>
    <row r="121" spans="1:10" ht="36" x14ac:dyDescent="0.25">
      <c r="A121" s="20" t="s">
        <v>2104</v>
      </c>
      <c r="B121" s="20" t="s">
        <v>2105</v>
      </c>
      <c r="C121" s="20" t="s">
        <v>2106</v>
      </c>
      <c r="D121" s="20" t="s">
        <v>2107</v>
      </c>
      <c r="E121" s="20" t="s">
        <v>1783</v>
      </c>
      <c r="F121" s="21">
        <v>100</v>
      </c>
      <c r="G121" s="20" t="s">
        <v>2108</v>
      </c>
      <c r="H121" s="20" t="s">
        <v>1228</v>
      </c>
      <c r="I121" s="20" t="s">
        <v>2109</v>
      </c>
      <c r="J121" s="20" t="s">
        <v>2084</v>
      </c>
    </row>
    <row r="122" spans="1:10" ht="36" x14ac:dyDescent="0.25">
      <c r="A122" s="20" t="s">
        <v>2110</v>
      </c>
      <c r="B122" s="20" t="s">
        <v>2111</v>
      </c>
      <c r="C122" s="20" t="s">
        <v>2112</v>
      </c>
      <c r="D122" s="20" t="s">
        <v>2113</v>
      </c>
      <c r="E122" s="20" t="s">
        <v>1783</v>
      </c>
      <c r="F122" s="21">
        <v>50</v>
      </c>
      <c r="G122" s="20" t="s">
        <v>2114</v>
      </c>
      <c r="H122" s="20" t="s">
        <v>2069</v>
      </c>
      <c r="I122" s="20" t="s">
        <v>2109</v>
      </c>
      <c r="J122" s="20" t="s">
        <v>2084</v>
      </c>
    </row>
    <row r="123" spans="1:10" ht="36" x14ac:dyDescent="0.25">
      <c r="A123" s="20" t="s">
        <v>2115</v>
      </c>
      <c r="B123" s="20" t="s">
        <v>2116</v>
      </c>
      <c r="C123" s="20" t="s">
        <v>2117</v>
      </c>
      <c r="D123" s="20" t="s">
        <v>2118</v>
      </c>
      <c r="E123" s="20" t="s">
        <v>1783</v>
      </c>
      <c r="F123" s="21">
        <v>260</v>
      </c>
      <c r="G123" s="20" t="s">
        <v>2119</v>
      </c>
      <c r="H123" s="20" t="s">
        <v>1228</v>
      </c>
      <c r="I123" s="20" t="s">
        <v>2109</v>
      </c>
      <c r="J123" s="20" t="s">
        <v>2084</v>
      </c>
    </row>
    <row r="124" spans="1:10" ht="36" x14ac:dyDescent="0.25">
      <c r="A124" s="20" t="s">
        <v>2120</v>
      </c>
      <c r="B124" s="20" t="s">
        <v>2080</v>
      </c>
      <c r="C124" s="20" t="s">
        <v>2121</v>
      </c>
      <c r="D124" s="20" t="s">
        <v>2122</v>
      </c>
      <c r="E124" s="20" t="s">
        <v>1783</v>
      </c>
      <c r="F124" s="21">
        <v>337</v>
      </c>
      <c r="G124" s="20" t="s">
        <v>2123</v>
      </c>
      <c r="H124" s="20" t="s">
        <v>1228</v>
      </c>
      <c r="I124" s="20" t="s">
        <v>43</v>
      </c>
      <c r="J124" s="20" t="s">
        <v>2084</v>
      </c>
    </row>
    <row r="125" spans="1:10" ht="36" x14ac:dyDescent="0.25">
      <c r="A125" s="20" t="s">
        <v>2124</v>
      </c>
      <c r="B125" s="20" t="s">
        <v>2080</v>
      </c>
      <c r="C125" s="20" t="s">
        <v>2125</v>
      </c>
      <c r="D125" s="20" t="s">
        <v>2126</v>
      </c>
      <c r="E125" s="20" t="s">
        <v>1783</v>
      </c>
      <c r="F125" s="21">
        <v>150</v>
      </c>
      <c r="G125" s="20" t="s">
        <v>2127</v>
      </c>
      <c r="H125" s="20" t="s">
        <v>1228</v>
      </c>
      <c r="I125" s="20" t="s">
        <v>43</v>
      </c>
      <c r="J125" s="20" t="s">
        <v>2084</v>
      </c>
    </row>
    <row r="126" spans="1:10" ht="36" x14ac:dyDescent="0.25">
      <c r="A126" s="20" t="s">
        <v>2128</v>
      </c>
      <c r="B126" s="20" t="s">
        <v>2129</v>
      </c>
      <c r="C126" s="20" t="s">
        <v>2130</v>
      </c>
      <c r="D126" s="20" t="s">
        <v>2131</v>
      </c>
      <c r="E126" s="20" t="s">
        <v>1783</v>
      </c>
      <c r="F126" s="21">
        <v>160</v>
      </c>
      <c r="G126" s="20" t="s">
        <v>2132</v>
      </c>
      <c r="H126" s="20" t="s">
        <v>2069</v>
      </c>
      <c r="I126" s="20" t="s">
        <v>43</v>
      </c>
      <c r="J126" s="20" t="s">
        <v>2084</v>
      </c>
    </row>
    <row r="127" spans="1:10" ht="36" x14ac:dyDescent="0.25">
      <c r="A127" s="20" t="s">
        <v>2133</v>
      </c>
      <c r="B127" s="20" t="s">
        <v>2134</v>
      </c>
      <c r="C127" s="20" t="s">
        <v>2135</v>
      </c>
      <c r="D127" s="20" t="s">
        <v>2136</v>
      </c>
      <c r="E127" s="20" t="s">
        <v>1783</v>
      </c>
      <c r="F127" s="21">
        <v>150</v>
      </c>
      <c r="G127" s="20" t="s">
        <v>2137</v>
      </c>
      <c r="H127" s="20" t="s">
        <v>2069</v>
      </c>
      <c r="I127" s="20" t="s">
        <v>43</v>
      </c>
      <c r="J127" s="20" t="s">
        <v>2084</v>
      </c>
    </row>
    <row r="128" spans="1:10" ht="36" x14ac:dyDescent="0.25">
      <c r="A128" s="20" t="s">
        <v>2138</v>
      </c>
      <c r="B128" s="20" t="s">
        <v>2139</v>
      </c>
      <c r="C128" s="20" t="s">
        <v>2140</v>
      </c>
      <c r="D128" s="20" t="s">
        <v>2141</v>
      </c>
      <c r="E128" s="20" t="s">
        <v>1783</v>
      </c>
      <c r="F128" s="21">
        <v>100</v>
      </c>
      <c r="G128" s="20" t="s">
        <v>2142</v>
      </c>
      <c r="H128" s="20" t="s">
        <v>2069</v>
      </c>
      <c r="I128" s="20" t="s">
        <v>43</v>
      </c>
      <c r="J128" s="20" t="s">
        <v>2084</v>
      </c>
    </row>
    <row r="129" spans="1:10" ht="36" x14ac:dyDescent="0.25">
      <c r="A129" s="20" t="s">
        <v>2143</v>
      </c>
      <c r="B129" s="20" t="s">
        <v>2144</v>
      </c>
      <c r="C129" s="20" t="s">
        <v>2145</v>
      </c>
      <c r="D129" s="20" t="s">
        <v>2146</v>
      </c>
      <c r="E129" s="20" t="s">
        <v>1783</v>
      </c>
      <c r="F129" s="21">
        <v>575</v>
      </c>
      <c r="G129" s="20" t="s">
        <v>2147</v>
      </c>
      <c r="H129" s="20" t="s">
        <v>2069</v>
      </c>
      <c r="I129" s="20" t="s">
        <v>43</v>
      </c>
      <c r="J129" s="20" t="s">
        <v>2084</v>
      </c>
    </row>
    <row r="130" spans="1:10" ht="36" x14ac:dyDescent="0.25">
      <c r="A130" s="20" t="s">
        <v>2148</v>
      </c>
      <c r="B130" s="20" t="s">
        <v>2149</v>
      </c>
      <c r="C130" s="20" t="s">
        <v>2150</v>
      </c>
      <c r="D130" s="20" t="s">
        <v>2151</v>
      </c>
      <c r="E130" s="20" t="s">
        <v>1783</v>
      </c>
      <c r="F130" s="21">
        <v>500</v>
      </c>
      <c r="G130" s="20" t="s">
        <v>2147</v>
      </c>
      <c r="H130" s="20" t="s">
        <v>1785</v>
      </c>
      <c r="I130" s="20" t="s">
        <v>43</v>
      </c>
      <c r="J130" s="20" t="s">
        <v>2084</v>
      </c>
    </row>
    <row r="131" spans="1:10" ht="36" x14ac:dyDescent="0.25">
      <c r="A131" s="20" t="s">
        <v>2152</v>
      </c>
      <c r="B131" s="20" t="s">
        <v>2153</v>
      </c>
      <c r="C131" s="20" t="s">
        <v>2154</v>
      </c>
      <c r="D131" s="20" t="s">
        <v>2155</v>
      </c>
      <c r="E131" s="20" t="s">
        <v>1783</v>
      </c>
      <c r="F131" s="21">
        <v>1140</v>
      </c>
      <c r="G131" s="20" t="s">
        <v>2156</v>
      </c>
      <c r="H131" s="20" t="s">
        <v>1228</v>
      </c>
      <c r="I131" s="20" t="s">
        <v>43</v>
      </c>
      <c r="J131" s="20" t="s">
        <v>2084</v>
      </c>
    </row>
    <row r="132" spans="1:10" ht="36" x14ac:dyDescent="0.25">
      <c r="A132" s="20" t="s">
        <v>2157</v>
      </c>
      <c r="B132" s="20" t="s">
        <v>2158</v>
      </c>
      <c r="C132" s="20" t="s">
        <v>2159</v>
      </c>
      <c r="D132" s="20" t="s">
        <v>2160</v>
      </c>
      <c r="E132" s="20" t="s">
        <v>1783</v>
      </c>
      <c r="F132" s="21">
        <v>110</v>
      </c>
      <c r="G132" s="20" t="s">
        <v>2161</v>
      </c>
      <c r="H132" s="20" t="s">
        <v>2069</v>
      </c>
      <c r="I132" s="20" t="s">
        <v>46</v>
      </c>
      <c r="J132" s="20" t="s">
        <v>2084</v>
      </c>
    </row>
    <row r="133" spans="1:10" ht="36" x14ac:dyDescent="0.25">
      <c r="A133" s="20" t="s">
        <v>2162</v>
      </c>
      <c r="B133" s="20" t="s">
        <v>2134</v>
      </c>
      <c r="C133" s="20" t="s">
        <v>2163</v>
      </c>
      <c r="D133" s="20" t="s">
        <v>2164</v>
      </c>
      <c r="E133" s="20" t="s">
        <v>1783</v>
      </c>
      <c r="F133" s="21">
        <v>100</v>
      </c>
      <c r="G133" s="20" t="s">
        <v>2165</v>
      </c>
      <c r="H133" s="20" t="s">
        <v>1785</v>
      </c>
      <c r="I133" s="20" t="s">
        <v>2166</v>
      </c>
      <c r="J133" s="20" t="s">
        <v>2084</v>
      </c>
    </row>
    <row r="134" spans="1:10" ht="36" x14ac:dyDescent="0.25">
      <c r="A134" s="20" t="s">
        <v>2167</v>
      </c>
      <c r="B134" s="20" t="s">
        <v>2168</v>
      </c>
      <c r="C134" s="20" t="s">
        <v>2169</v>
      </c>
      <c r="D134" s="20" t="s">
        <v>2170</v>
      </c>
      <c r="E134" s="20" t="s">
        <v>1783</v>
      </c>
      <c r="F134" s="21">
        <v>110</v>
      </c>
      <c r="G134" s="20" t="s">
        <v>2171</v>
      </c>
      <c r="H134" s="20" t="s">
        <v>1785</v>
      </c>
      <c r="I134" s="20" t="s">
        <v>2166</v>
      </c>
      <c r="J134" s="20" t="s">
        <v>2084</v>
      </c>
    </row>
    <row r="135" spans="1:10" ht="36" x14ac:dyDescent="0.25">
      <c r="A135" s="20" t="s">
        <v>2172</v>
      </c>
      <c r="B135" s="20" t="s">
        <v>2173</v>
      </c>
      <c r="C135" s="20" t="s">
        <v>2174</v>
      </c>
      <c r="D135" s="20" t="s">
        <v>2175</v>
      </c>
      <c r="E135" s="20" t="s">
        <v>1783</v>
      </c>
      <c r="F135" s="21">
        <v>150</v>
      </c>
      <c r="G135" s="20" t="s">
        <v>2176</v>
      </c>
      <c r="H135" s="20" t="s">
        <v>2069</v>
      </c>
      <c r="I135" s="20" t="s">
        <v>2166</v>
      </c>
      <c r="J135" s="20" t="s">
        <v>2084</v>
      </c>
    </row>
    <row r="136" spans="1:10" ht="36" x14ac:dyDescent="0.25">
      <c r="A136" s="20" t="s">
        <v>2177</v>
      </c>
      <c r="B136" s="20" t="s">
        <v>2178</v>
      </c>
      <c r="C136" s="20" t="s">
        <v>2179</v>
      </c>
      <c r="D136" s="20" t="s">
        <v>2180</v>
      </c>
      <c r="E136" s="20" t="s">
        <v>1783</v>
      </c>
      <c r="F136" s="21">
        <v>700</v>
      </c>
      <c r="G136" s="20" t="s">
        <v>2181</v>
      </c>
      <c r="H136" s="20" t="s">
        <v>2069</v>
      </c>
      <c r="I136" s="20" t="s">
        <v>38</v>
      </c>
      <c r="J136" s="20" t="s">
        <v>2084</v>
      </c>
    </row>
    <row r="137" spans="1:10" ht="36" x14ac:dyDescent="0.25">
      <c r="A137" s="20" t="s">
        <v>2182</v>
      </c>
      <c r="B137" s="20" t="s">
        <v>2183</v>
      </c>
      <c r="C137" s="20" t="s">
        <v>2184</v>
      </c>
      <c r="D137" s="20" t="s">
        <v>2185</v>
      </c>
      <c r="E137" s="20" t="s">
        <v>1783</v>
      </c>
      <c r="F137" s="21">
        <v>50</v>
      </c>
      <c r="G137" s="20" t="s">
        <v>2186</v>
      </c>
      <c r="H137" s="20" t="s">
        <v>2069</v>
      </c>
      <c r="I137" s="20" t="s">
        <v>38</v>
      </c>
      <c r="J137" s="20" t="s">
        <v>2084</v>
      </c>
    </row>
    <row r="138" spans="1:10" ht="36" x14ac:dyDescent="0.25">
      <c r="A138" s="20" t="s">
        <v>2187</v>
      </c>
      <c r="B138" s="20" t="s">
        <v>2183</v>
      </c>
      <c r="C138" s="20" t="s">
        <v>2188</v>
      </c>
      <c r="D138" s="20" t="s">
        <v>2185</v>
      </c>
      <c r="E138" s="20" t="s">
        <v>1783</v>
      </c>
      <c r="F138" s="21">
        <v>50</v>
      </c>
      <c r="G138" s="20" t="s">
        <v>2189</v>
      </c>
      <c r="H138" s="20" t="s">
        <v>1228</v>
      </c>
      <c r="I138" s="20" t="s">
        <v>38</v>
      </c>
      <c r="J138" s="20" t="s">
        <v>2084</v>
      </c>
    </row>
    <row r="139" spans="1:10" ht="36" x14ac:dyDescent="0.25">
      <c r="A139" s="20" t="s">
        <v>2190</v>
      </c>
      <c r="B139" s="20" t="s">
        <v>2191</v>
      </c>
      <c r="C139" s="20" t="s">
        <v>2192</v>
      </c>
      <c r="D139" s="20" t="s">
        <v>2193</v>
      </c>
      <c r="E139" s="20" t="s">
        <v>1783</v>
      </c>
      <c r="F139" s="21">
        <v>2182</v>
      </c>
      <c r="G139" s="20" t="s">
        <v>2194</v>
      </c>
      <c r="H139" s="20" t="s">
        <v>2069</v>
      </c>
      <c r="I139" s="20" t="s">
        <v>44</v>
      </c>
      <c r="J139" s="20" t="s">
        <v>2084</v>
      </c>
    </row>
    <row r="140" spans="1:10" ht="36" x14ac:dyDescent="0.25">
      <c r="A140" s="20" t="s">
        <v>2195</v>
      </c>
      <c r="B140" s="20" t="s">
        <v>2196</v>
      </c>
      <c r="C140" s="20" t="s">
        <v>2197</v>
      </c>
      <c r="D140" s="20" t="s">
        <v>2198</v>
      </c>
      <c r="E140" s="20" t="s">
        <v>1783</v>
      </c>
      <c r="F140" s="21">
        <v>2000</v>
      </c>
      <c r="G140" s="20" t="s">
        <v>2194</v>
      </c>
      <c r="H140" s="20" t="s">
        <v>1785</v>
      </c>
      <c r="I140" s="20" t="s">
        <v>44</v>
      </c>
      <c r="J140" s="20" t="s">
        <v>2084</v>
      </c>
    </row>
    <row r="141" spans="1:10" ht="36" x14ac:dyDescent="0.25">
      <c r="A141" s="20" t="s">
        <v>2199</v>
      </c>
      <c r="B141" s="20" t="s">
        <v>2196</v>
      </c>
      <c r="C141" s="20" t="s">
        <v>2200</v>
      </c>
      <c r="D141" s="20" t="s">
        <v>2201</v>
      </c>
      <c r="E141" s="20" t="s">
        <v>1783</v>
      </c>
      <c r="F141" s="21">
        <v>1300</v>
      </c>
      <c r="G141" s="20" t="s">
        <v>2202</v>
      </c>
      <c r="H141" s="20" t="s">
        <v>1785</v>
      </c>
      <c r="I141" s="20" t="s">
        <v>44</v>
      </c>
      <c r="J141" s="20" t="s">
        <v>2084</v>
      </c>
    </row>
    <row r="142" spans="1:10" ht="36" x14ac:dyDescent="0.25">
      <c r="A142" s="20" t="s">
        <v>2203</v>
      </c>
      <c r="B142" s="20" t="s">
        <v>2196</v>
      </c>
      <c r="C142" s="20" t="s">
        <v>2204</v>
      </c>
      <c r="D142" s="20" t="s">
        <v>2201</v>
      </c>
      <c r="E142" s="20" t="s">
        <v>1783</v>
      </c>
      <c r="F142" s="21">
        <v>3000</v>
      </c>
      <c r="G142" s="20" t="s">
        <v>2202</v>
      </c>
      <c r="H142" s="20" t="s">
        <v>1785</v>
      </c>
      <c r="I142" s="20" t="s">
        <v>44</v>
      </c>
      <c r="J142" s="20" t="s">
        <v>2084</v>
      </c>
    </row>
    <row r="143" spans="1:10" ht="36" x14ac:dyDescent="0.25">
      <c r="A143" s="20" t="s">
        <v>2205</v>
      </c>
      <c r="B143" s="20" t="s">
        <v>2196</v>
      </c>
      <c r="C143" s="20" t="s">
        <v>2206</v>
      </c>
      <c r="D143" s="20" t="s">
        <v>2207</v>
      </c>
      <c r="E143" s="20" t="s">
        <v>1783</v>
      </c>
      <c r="F143" s="21">
        <v>800</v>
      </c>
      <c r="G143" s="20" t="s">
        <v>2208</v>
      </c>
      <c r="H143" s="20" t="s">
        <v>1785</v>
      </c>
      <c r="I143" s="20" t="s">
        <v>44</v>
      </c>
      <c r="J143" s="20" t="s">
        <v>2084</v>
      </c>
    </row>
    <row r="144" spans="1:10" ht="36" x14ac:dyDescent="0.25">
      <c r="A144" s="20" t="s">
        <v>2209</v>
      </c>
      <c r="B144" s="20" t="s">
        <v>2196</v>
      </c>
      <c r="C144" s="20" t="s">
        <v>2210</v>
      </c>
      <c r="D144" s="20" t="s">
        <v>2207</v>
      </c>
      <c r="E144" s="20" t="s">
        <v>1783</v>
      </c>
      <c r="F144" s="21">
        <v>800</v>
      </c>
      <c r="G144" s="20" t="s">
        <v>2208</v>
      </c>
      <c r="H144" s="20" t="s">
        <v>1785</v>
      </c>
      <c r="I144" s="20" t="s">
        <v>44</v>
      </c>
      <c r="J144" s="20" t="s">
        <v>2084</v>
      </c>
    </row>
    <row r="145" spans="1:10" ht="36" x14ac:dyDescent="0.25">
      <c r="A145" s="20" t="s">
        <v>2211</v>
      </c>
      <c r="B145" s="20" t="s">
        <v>2196</v>
      </c>
      <c r="C145" s="20" t="s">
        <v>2212</v>
      </c>
      <c r="D145" s="20" t="s">
        <v>2207</v>
      </c>
      <c r="E145" s="20" t="s">
        <v>1783</v>
      </c>
      <c r="F145" s="21">
        <v>1100</v>
      </c>
      <c r="G145" s="20" t="s">
        <v>2208</v>
      </c>
      <c r="H145" s="20" t="s">
        <v>1785</v>
      </c>
      <c r="I145" s="20" t="s">
        <v>44</v>
      </c>
      <c r="J145" s="20" t="s">
        <v>2084</v>
      </c>
    </row>
    <row r="146" spans="1:10" ht="36" x14ac:dyDescent="0.25">
      <c r="A146" s="20" t="s">
        <v>2213</v>
      </c>
      <c r="B146" s="20" t="s">
        <v>2196</v>
      </c>
      <c r="C146" s="20" t="s">
        <v>2214</v>
      </c>
      <c r="D146" s="20" t="s">
        <v>2207</v>
      </c>
      <c r="E146" s="20" t="s">
        <v>1783</v>
      </c>
      <c r="F146" s="21">
        <v>500</v>
      </c>
      <c r="G146" s="20" t="s">
        <v>2208</v>
      </c>
      <c r="H146" s="20" t="s">
        <v>1785</v>
      </c>
      <c r="I146" s="20" t="s">
        <v>44</v>
      </c>
      <c r="J146" s="20" t="s">
        <v>2084</v>
      </c>
    </row>
    <row r="147" spans="1:10" ht="36" x14ac:dyDescent="0.25">
      <c r="A147" s="20" t="s">
        <v>2215</v>
      </c>
      <c r="B147" s="20" t="s">
        <v>2196</v>
      </c>
      <c r="C147" s="20" t="s">
        <v>2216</v>
      </c>
      <c r="D147" s="20" t="s">
        <v>1852</v>
      </c>
      <c r="E147" s="20" t="s">
        <v>1783</v>
      </c>
      <c r="F147" s="21">
        <v>600</v>
      </c>
      <c r="G147" s="20" t="s">
        <v>2194</v>
      </c>
      <c r="H147" s="20" t="s">
        <v>1785</v>
      </c>
      <c r="I147" s="20" t="s">
        <v>44</v>
      </c>
      <c r="J147" s="20" t="s">
        <v>2084</v>
      </c>
    </row>
    <row r="148" spans="1:10" ht="36" x14ac:dyDescent="0.25">
      <c r="A148" s="20" t="s">
        <v>2217</v>
      </c>
      <c r="B148" s="20" t="s">
        <v>2080</v>
      </c>
      <c r="C148" s="20" t="s">
        <v>2218</v>
      </c>
      <c r="D148" s="20" t="s">
        <v>2219</v>
      </c>
      <c r="E148" s="20" t="s">
        <v>1783</v>
      </c>
      <c r="F148" s="21">
        <v>432</v>
      </c>
      <c r="G148" s="20" t="s">
        <v>2220</v>
      </c>
      <c r="H148" s="20" t="s">
        <v>2069</v>
      </c>
      <c r="I148" s="20" t="s">
        <v>44</v>
      </c>
      <c r="J148" s="20" t="s">
        <v>2084</v>
      </c>
    </row>
    <row r="149" spans="1:10" ht="36" x14ac:dyDescent="0.25">
      <c r="A149" s="20" t="s">
        <v>2221</v>
      </c>
      <c r="B149" s="20" t="s">
        <v>2080</v>
      </c>
      <c r="C149" s="20" t="s">
        <v>2222</v>
      </c>
      <c r="D149" s="20" t="s">
        <v>2223</v>
      </c>
      <c r="E149" s="20" t="s">
        <v>1783</v>
      </c>
      <c r="F149" s="21">
        <v>432</v>
      </c>
      <c r="G149" s="20" t="s">
        <v>2220</v>
      </c>
      <c r="H149" s="20" t="s">
        <v>1228</v>
      </c>
      <c r="I149" s="20" t="s">
        <v>44</v>
      </c>
      <c r="J149" s="20" t="s">
        <v>2084</v>
      </c>
    </row>
    <row r="150" spans="1:10" ht="36" x14ac:dyDescent="0.25">
      <c r="A150" s="20" t="s">
        <v>2224</v>
      </c>
      <c r="B150" s="20" t="s">
        <v>2225</v>
      </c>
      <c r="C150" s="20" t="s">
        <v>2226</v>
      </c>
      <c r="D150" s="20" t="s">
        <v>2097</v>
      </c>
      <c r="E150" s="20" t="s">
        <v>1783</v>
      </c>
      <c r="F150" s="21">
        <v>425</v>
      </c>
      <c r="G150" s="20" t="s">
        <v>2227</v>
      </c>
      <c r="H150" s="20" t="s">
        <v>1785</v>
      </c>
      <c r="I150" s="20" t="s">
        <v>44</v>
      </c>
      <c r="J150" s="20" t="s">
        <v>2084</v>
      </c>
    </row>
    <row r="151" spans="1:10" ht="36" x14ac:dyDescent="0.25">
      <c r="A151" s="20" t="s">
        <v>2228</v>
      </c>
      <c r="B151" s="20" t="s">
        <v>2229</v>
      </c>
      <c r="C151" s="20" t="s">
        <v>2230</v>
      </c>
      <c r="D151" s="20" t="s">
        <v>2170</v>
      </c>
      <c r="E151" s="20" t="s">
        <v>1783</v>
      </c>
      <c r="F151" s="21">
        <v>250</v>
      </c>
      <c r="G151" s="20" t="s">
        <v>2231</v>
      </c>
      <c r="H151" s="20" t="s">
        <v>1785</v>
      </c>
      <c r="I151" s="20" t="s">
        <v>44</v>
      </c>
      <c r="J151" s="20" t="s">
        <v>2084</v>
      </c>
    </row>
    <row r="152" spans="1:10" ht="36" x14ac:dyDescent="0.25">
      <c r="A152" s="20" t="s">
        <v>2232</v>
      </c>
      <c r="B152" s="20" t="s">
        <v>2233</v>
      </c>
      <c r="C152" s="20" t="s">
        <v>2234</v>
      </c>
      <c r="D152" s="20" t="s">
        <v>2235</v>
      </c>
      <c r="E152" s="20" t="s">
        <v>1783</v>
      </c>
      <c r="F152" s="21">
        <v>300</v>
      </c>
      <c r="G152" s="20" t="s">
        <v>2202</v>
      </c>
      <c r="H152" s="20" t="s">
        <v>1785</v>
      </c>
      <c r="I152" s="20" t="s">
        <v>44</v>
      </c>
      <c r="J152" s="20" t="s">
        <v>2084</v>
      </c>
    </row>
    <row r="153" spans="1:10" ht="36" x14ac:dyDescent="0.25">
      <c r="A153" s="20" t="s">
        <v>2236</v>
      </c>
      <c r="B153" s="20" t="s">
        <v>2237</v>
      </c>
      <c r="C153" s="20" t="s">
        <v>2238</v>
      </c>
      <c r="D153" s="20" t="s">
        <v>2239</v>
      </c>
      <c r="E153" s="20" t="s">
        <v>1783</v>
      </c>
      <c r="F153" s="21">
        <v>200</v>
      </c>
      <c r="G153" s="20" t="s">
        <v>2231</v>
      </c>
      <c r="H153" s="20" t="s">
        <v>1785</v>
      </c>
      <c r="I153" s="20" t="s">
        <v>44</v>
      </c>
      <c r="J153" s="20" t="s">
        <v>2084</v>
      </c>
    </row>
    <row r="154" spans="1:10" ht="36" x14ac:dyDescent="0.25">
      <c r="A154" s="20" t="s">
        <v>2240</v>
      </c>
      <c r="B154" s="20" t="s">
        <v>2241</v>
      </c>
      <c r="C154" s="20" t="s">
        <v>2242</v>
      </c>
      <c r="D154" s="20" t="s">
        <v>2243</v>
      </c>
      <c r="E154" s="20" t="s">
        <v>1783</v>
      </c>
      <c r="F154" s="21">
        <v>50</v>
      </c>
      <c r="G154" s="20" t="s">
        <v>2244</v>
      </c>
      <c r="H154" s="20"/>
      <c r="I154" s="20" t="s">
        <v>90</v>
      </c>
      <c r="J154" s="20" t="s">
        <v>2084</v>
      </c>
    </row>
    <row r="155" spans="1:10" ht="36" x14ac:dyDescent="0.25">
      <c r="A155" s="20" t="s">
        <v>2245</v>
      </c>
      <c r="B155" s="20" t="s">
        <v>2241</v>
      </c>
      <c r="C155" s="20" t="s">
        <v>2246</v>
      </c>
      <c r="D155" s="20" t="s">
        <v>2243</v>
      </c>
      <c r="E155" s="20" t="s">
        <v>1783</v>
      </c>
      <c r="F155" s="21">
        <v>55</v>
      </c>
      <c r="G155" s="20" t="s">
        <v>2244</v>
      </c>
      <c r="H155" s="20" t="s">
        <v>2069</v>
      </c>
      <c r="I155" s="20" t="s">
        <v>90</v>
      </c>
      <c r="J155" s="20" t="s">
        <v>2084</v>
      </c>
    </row>
    <row r="156" spans="1:10" ht="36" x14ac:dyDescent="0.25">
      <c r="A156" s="20" t="s">
        <v>2247</v>
      </c>
      <c r="B156" s="20" t="s">
        <v>2241</v>
      </c>
      <c r="C156" s="20" t="s">
        <v>2248</v>
      </c>
      <c r="D156" s="20" t="s">
        <v>2249</v>
      </c>
      <c r="E156" s="20" t="s">
        <v>1783</v>
      </c>
      <c r="F156" s="21">
        <v>220</v>
      </c>
      <c r="G156" s="20" t="s">
        <v>2250</v>
      </c>
      <c r="H156" s="20" t="s">
        <v>1228</v>
      </c>
      <c r="I156" s="20" t="s">
        <v>90</v>
      </c>
      <c r="J156" s="20" t="s">
        <v>2084</v>
      </c>
    </row>
    <row r="157" spans="1:10" ht="36" x14ac:dyDescent="0.25">
      <c r="A157" s="20" t="s">
        <v>2251</v>
      </c>
      <c r="B157" s="20" t="s">
        <v>2252</v>
      </c>
      <c r="C157" s="20" t="s">
        <v>2253</v>
      </c>
      <c r="D157" s="20" t="s">
        <v>2254</v>
      </c>
      <c r="E157" s="20" t="s">
        <v>1783</v>
      </c>
      <c r="F157" s="21">
        <v>100</v>
      </c>
      <c r="G157" s="20" t="s">
        <v>2255</v>
      </c>
      <c r="H157" s="20" t="s">
        <v>2069</v>
      </c>
      <c r="I157" s="20" t="s">
        <v>90</v>
      </c>
      <c r="J157" s="20" t="s">
        <v>2084</v>
      </c>
    </row>
    <row r="158" spans="1:10" ht="36" x14ac:dyDescent="0.25">
      <c r="A158" s="20" t="s">
        <v>2256</v>
      </c>
      <c r="B158" s="20" t="s">
        <v>2257</v>
      </c>
      <c r="C158" s="20" t="s">
        <v>2258</v>
      </c>
      <c r="D158" s="20" t="s">
        <v>2259</v>
      </c>
      <c r="E158" s="20" t="s">
        <v>1783</v>
      </c>
      <c r="F158" s="21">
        <v>65</v>
      </c>
      <c r="G158" s="20" t="s">
        <v>2260</v>
      </c>
      <c r="H158" s="20" t="s">
        <v>2069</v>
      </c>
      <c r="I158" s="20" t="s">
        <v>41</v>
      </c>
      <c r="J158" s="20" t="s">
        <v>2084</v>
      </c>
    </row>
    <row r="159" spans="1:10" ht="36" x14ac:dyDescent="0.25">
      <c r="A159" s="20" t="s">
        <v>2261</v>
      </c>
      <c r="B159" s="20" t="s">
        <v>2257</v>
      </c>
      <c r="C159" s="20" t="s">
        <v>2262</v>
      </c>
      <c r="D159" s="20" t="s">
        <v>2263</v>
      </c>
      <c r="E159" s="20" t="s">
        <v>1783</v>
      </c>
      <c r="F159" s="21">
        <v>60</v>
      </c>
      <c r="G159" s="20" t="s">
        <v>2264</v>
      </c>
      <c r="H159" s="20" t="s">
        <v>1785</v>
      </c>
      <c r="I159" s="20" t="s">
        <v>41</v>
      </c>
      <c r="J159" s="20" t="s">
        <v>2084</v>
      </c>
    </row>
    <row r="160" spans="1:10" ht="36" x14ac:dyDescent="0.25">
      <c r="A160" s="20" t="s">
        <v>2265</v>
      </c>
      <c r="B160" s="20" t="s">
        <v>2257</v>
      </c>
      <c r="C160" s="20" t="s">
        <v>2266</v>
      </c>
      <c r="D160" s="20" t="s">
        <v>2136</v>
      </c>
      <c r="E160" s="20" t="s">
        <v>1783</v>
      </c>
      <c r="F160" s="21">
        <v>75</v>
      </c>
      <c r="G160" s="20" t="s">
        <v>2267</v>
      </c>
      <c r="H160" s="20" t="s">
        <v>1785</v>
      </c>
      <c r="I160" s="20" t="s">
        <v>41</v>
      </c>
      <c r="J160" s="20" t="s">
        <v>2084</v>
      </c>
    </row>
    <row r="161" spans="1:10" ht="36" x14ac:dyDescent="0.25">
      <c r="A161" s="20" t="s">
        <v>2268</v>
      </c>
      <c r="B161" s="20" t="s">
        <v>2241</v>
      </c>
      <c r="C161" s="20" t="s">
        <v>2269</v>
      </c>
      <c r="D161" s="20" t="s">
        <v>2243</v>
      </c>
      <c r="E161" s="20" t="s">
        <v>1783</v>
      </c>
      <c r="F161" s="21">
        <v>70</v>
      </c>
      <c r="G161" s="20" t="s">
        <v>136</v>
      </c>
      <c r="H161" s="20" t="s">
        <v>2069</v>
      </c>
      <c r="I161" s="20" t="s">
        <v>2270</v>
      </c>
      <c r="J161" s="20" t="s">
        <v>2084</v>
      </c>
    </row>
    <row r="162" spans="1:10" ht="36" x14ac:dyDescent="0.25">
      <c r="A162" s="20" t="s">
        <v>2271</v>
      </c>
      <c r="B162" s="20" t="s">
        <v>2241</v>
      </c>
      <c r="C162" s="20" t="s">
        <v>2272</v>
      </c>
      <c r="D162" s="20" t="s">
        <v>2273</v>
      </c>
      <c r="E162" s="20" t="s">
        <v>1783</v>
      </c>
      <c r="F162" s="21">
        <v>180</v>
      </c>
      <c r="G162" s="20" t="s">
        <v>136</v>
      </c>
      <c r="H162" s="20" t="s">
        <v>2069</v>
      </c>
      <c r="I162" s="20" t="s">
        <v>2270</v>
      </c>
      <c r="J162" s="20" t="s">
        <v>2084</v>
      </c>
    </row>
    <row r="163" spans="1:10" ht="36" x14ac:dyDescent="0.25">
      <c r="A163" s="20" t="s">
        <v>2274</v>
      </c>
      <c r="B163" s="20" t="s">
        <v>2257</v>
      </c>
      <c r="C163" s="20" t="s">
        <v>2275</v>
      </c>
      <c r="D163" s="20" t="s">
        <v>2276</v>
      </c>
      <c r="E163" s="20" t="s">
        <v>1783</v>
      </c>
      <c r="F163" s="21">
        <v>50</v>
      </c>
      <c r="G163" s="20" t="s">
        <v>2277</v>
      </c>
      <c r="H163" s="20" t="s">
        <v>2069</v>
      </c>
      <c r="I163" s="20" t="s">
        <v>42</v>
      </c>
      <c r="J163" s="20" t="s">
        <v>2084</v>
      </c>
    </row>
    <row r="164" spans="1:10" ht="36" x14ac:dyDescent="0.25">
      <c r="A164" s="20" t="s">
        <v>2278</v>
      </c>
      <c r="B164" s="20" t="s">
        <v>2257</v>
      </c>
      <c r="C164" s="20" t="s">
        <v>2279</v>
      </c>
      <c r="D164" s="20" t="s">
        <v>2280</v>
      </c>
      <c r="E164" s="20" t="s">
        <v>1783</v>
      </c>
      <c r="F164" s="21">
        <v>50</v>
      </c>
      <c r="G164" s="20" t="s">
        <v>2277</v>
      </c>
      <c r="H164" s="20" t="s">
        <v>1228</v>
      </c>
      <c r="I164" s="20" t="s">
        <v>42</v>
      </c>
      <c r="J164" s="20" t="s">
        <v>2084</v>
      </c>
    </row>
    <row r="165" spans="1:10" ht="36" x14ac:dyDescent="0.25">
      <c r="A165" s="20" t="s">
        <v>2281</v>
      </c>
      <c r="B165" s="20" t="s">
        <v>2257</v>
      </c>
      <c r="C165" s="20" t="s">
        <v>2282</v>
      </c>
      <c r="D165" s="20" t="s">
        <v>2283</v>
      </c>
      <c r="E165" s="20" t="s">
        <v>1783</v>
      </c>
      <c r="F165" s="21">
        <v>50</v>
      </c>
      <c r="G165" s="20" t="s">
        <v>2284</v>
      </c>
      <c r="H165" s="20" t="s">
        <v>2069</v>
      </c>
      <c r="I165" s="20" t="s">
        <v>42</v>
      </c>
      <c r="J165" s="20" t="s">
        <v>2084</v>
      </c>
    </row>
    <row r="166" spans="1:10" ht="36" x14ac:dyDescent="0.25">
      <c r="A166" s="20" t="s">
        <v>2285</v>
      </c>
      <c r="B166" s="20" t="s">
        <v>2286</v>
      </c>
      <c r="C166" s="20" t="s">
        <v>2287</v>
      </c>
      <c r="D166" s="20" t="s">
        <v>2288</v>
      </c>
      <c r="E166" s="20" t="s">
        <v>1783</v>
      </c>
      <c r="F166" s="21">
        <v>350</v>
      </c>
      <c r="G166" s="20" t="s">
        <v>2289</v>
      </c>
      <c r="H166" s="20" t="s">
        <v>1785</v>
      </c>
      <c r="I166" s="20" t="s">
        <v>43</v>
      </c>
      <c r="J166" s="20" t="s">
        <v>87</v>
      </c>
    </row>
    <row r="167" spans="1:10" ht="36" x14ac:dyDescent="0.25">
      <c r="A167" s="20" t="s">
        <v>2290</v>
      </c>
      <c r="B167" s="20" t="s">
        <v>2286</v>
      </c>
      <c r="C167" s="20" t="s">
        <v>2291</v>
      </c>
      <c r="D167" s="20" t="s">
        <v>2288</v>
      </c>
      <c r="E167" s="20" t="s">
        <v>1783</v>
      </c>
      <c r="F167" s="21">
        <v>600</v>
      </c>
      <c r="G167" s="20" t="s">
        <v>2289</v>
      </c>
      <c r="H167" s="20" t="s">
        <v>1785</v>
      </c>
      <c r="I167" s="20" t="s">
        <v>43</v>
      </c>
      <c r="J167" s="20" t="s">
        <v>87</v>
      </c>
    </row>
    <row r="168" spans="1:10" ht="36" x14ac:dyDescent="0.25">
      <c r="A168" s="20" t="s">
        <v>2292</v>
      </c>
      <c r="B168" s="20" t="s">
        <v>2286</v>
      </c>
      <c r="C168" s="20" t="s">
        <v>2293</v>
      </c>
      <c r="D168" s="20" t="s">
        <v>2288</v>
      </c>
      <c r="E168" s="20" t="s">
        <v>1783</v>
      </c>
      <c r="F168" s="21">
        <v>300</v>
      </c>
      <c r="G168" s="20" t="s">
        <v>2289</v>
      </c>
      <c r="H168" s="20" t="s">
        <v>1785</v>
      </c>
      <c r="I168" s="20" t="s">
        <v>43</v>
      </c>
      <c r="J168" s="20" t="s">
        <v>87</v>
      </c>
    </row>
    <row r="169" spans="1:10" ht="36" x14ac:dyDescent="0.25">
      <c r="A169" s="20" t="s">
        <v>2294</v>
      </c>
      <c r="B169" s="20" t="s">
        <v>2286</v>
      </c>
      <c r="C169" s="20" t="s">
        <v>2295</v>
      </c>
      <c r="D169" s="20" t="s">
        <v>2296</v>
      </c>
      <c r="E169" s="20" t="s">
        <v>1783</v>
      </c>
      <c r="F169" s="21">
        <v>50</v>
      </c>
      <c r="G169" s="20" t="s">
        <v>2297</v>
      </c>
      <c r="H169" s="20" t="s">
        <v>1785</v>
      </c>
      <c r="I169" s="20" t="s">
        <v>43</v>
      </c>
      <c r="J169" s="20" t="s">
        <v>87</v>
      </c>
    </row>
    <row r="170" spans="1:10" ht="36" x14ac:dyDescent="0.25">
      <c r="A170" s="20" t="s">
        <v>2298</v>
      </c>
      <c r="B170" s="20" t="s">
        <v>2286</v>
      </c>
      <c r="C170" s="20" t="s">
        <v>2299</v>
      </c>
      <c r="D170" s="20" t="s">
        <v>2296</v>
      </c>
      <c r="E170" s="20" t="s">
        <v>1783</v>
      </c>
      <c r="F170" s="21">
        <v>50</v>
      </c>
      <c r="G170" s="20" t="s">
        <v>2300</v>
      </c>
      <c r="H170" s="20" t="s">
        <v>1785</v>
      </c>
      <c r="I170" s="20" t="s">
        <v>43</v>
      </c>
      <c r="J170" s="20" t="s">
        <v>87</v>
      </c>
    </row>
    <row r="171" spans="1:10" ht="36" x14ac:dyDescent="0.25">
      <c r="A171" s="20" t="s">
        <v>2301</v>
      </c>
      <c r="B171" s="20" t="s">
        <v>2286</v>
      </c>
      <c r="C171" s="20" t="s">
        <v>2302</v>
      </c>
      <c r="D171" s="20" t="s">
        <v>1782</v>
      </c>
      <c r="E171" s="20" t="s">
        <v>1783</v>
      </c>
      <c r="F171" s="21">
        <v>1200</v>
      </c>
      <c r="G171" s="20" t="s">
        <v>2303</v>
      </c>
      <c r="H171" s="20" t="s">
        <v>1785</v>
      </c>
      <c r="I171" s="20" t="s">
        <v>43</v>
      </c>
      <c r="J171" s="20" t="s">
        <v>87</v>
      </c>
    </row>
    <row r="172" spans="1:10" ht="36" x14ac:dyDescent="0.25">
      <c r="A172" s="20" t="s">
        <v>2304</v>
      </c>
      <c r="B172" s="20" t="s">
        <v>2286</v>
      </c>
      <c r="C172" s="20" t="s">
        <v>2305</v>
      </c>
      <c r="D172" s="20" t="s">
        <v>1782</v>
      </c>
      <c r="E172" s="20" t="s">
        <v>1783</v>
      </c>
      <c r="F172" s="21">
        <v>1200</v>
      </c>
      <c r="G172" s="20" t="s">
        <v>2303</v>
      </c>
      <c r="H172" s="20" t="s">
        <v>1785</v>
      </c>
      <c r="I172" s="20" t="s">
        <v>43</v>
      </c>
      <c r="J172" s="20" t="s">
        <v>87</v>
      </c>
    </row>
    <row r="173" spans="1:10" ht="36" x14ac:dyDescent="0.25">
      <c r="A173" s="20" t="s">
        <v>2306</v>
      </c>
      <c r="B173" s="20" t="s">
        <v>2286</v>
      </c>
      <c r="C173" s="20" t="s">
        <v>2307</v>
      </c>
      <c r="D173" s="20" t="s">
        <v>1782</v>
      </c>
      <c r="E173" s="20" t="s">
        <v>1783</v>
      </c>
      <c r="F173" s="21">
        <v>1200</v>
      </c>
      <c r="G173" s="20" t="s">
        <v>2303</v>
      </c>
      <c r="H173" s="20" t="s">
        <v>1785</v>
      </c>
      <c r="I173" s="20" t="s">
        <v>43</v>
      </c>
      <c r="J173" s="20" t="s">
        <v>87</v>
      </c>
    </row>
    <row r="174" spans="1:10" ht="36" x14ac:dyDescent="0.25">
      <c r="A174" s="20" t="s">
        <v>2308</v>
      </c>
      <c r="B174" s="20" t="s">
        <v>2286</v>
      </c>
      <c r="C174" s="20" t="s">
        <v>2309</v>
      </c>
      <c r="D174" s="20" t="s">
        <v>1782</v>
      </c>
      <c r="E174" s="20" t="s">
        <v>1783</v>
      </c>
      <c r="F174" s="21">
        <v>1200</v>
      </c>
      <c r="G174" s="20" t="s">
        <v>2303</v>
      </c>
      <c r="H174" s="20" t="s">
        <v>1785</v>
      </c>
      <c r="I174" s="20" t="s">
        <v>43</v>
      </c>
      <c r="J174" s="20" t="s">
        <v>87</v>
      </c>
    </row>
    <row r="175" spans="1:10" ht="36" x14ac:dyDescent="0.25">
      <c r="A175" s="20" t="s">
        <v>2310</v>
      </c>
      <c r="B175" s="20" t="s">
        <v>2286</v>
      </c>
      <c r="C175" s="20" t="s">
        <v>2311</v>
      </c>
      <c r="D175" s="20" t="s">
        <v>1782</v>
      </c>
      <c r="E175" s="20" t="s">
        <v>1783</v>
      </c>
      <c r="F175" s="21">
        <v>1200</v>
      </c>
      <c r="G175" s="20" t="s">
        <v>2303</v>
      </c>
      <c r="H175" s="20" t="s">
        <v>1785</v>
      </c>
      <c r="I175" s="20" t="s">
        <v>43</v>
      </c>
      <c r="J175" s="20" t="s">
        <v>87</v>
      </c>
    </row>
    <row r="176" spans="1:10" ht="36" x14ac:dyDescent="0.25">
      <c r="A176" s="20" t="s">
        <v>2312</v>
      </c>
      <c r="B176" s="20" t="s">
        <v>2286</v>
      </c>
      <c r="C176" s="20" t="s">
        <v>2313</v>
      </c>
      <c r="D176" s="20" t="s">
        <v>1782</v>
      </c>
      <c r="E176" s="20" t="s">
        <v>1783</v>
      </c>
      <c r="F176" s="21">
        <v>1200</v>
      </c>
      <c r="G176" s="20" t="s">
        <v>2303</v>
      </c>
      <c r="H176" s="20" t="s">
        <v>1785</v>
      </c>
      <c r="I176" s="20" t="s">
        <v>43</v>
      </c>
      <c r="J176" s="20" t="s">
        <v>87</v>
      </c>
    </row>
    <row r="177" spans="1:10" ht="36" x14ac:dyDescent="0.25">
      <c r="A177" s="20" t="s">
        <v>2314</v>
      </c>
      <c r="B177" s="20" t="s">
        <v>2286</v>
      </c>
      <c r="C177" s="20" t="s">
        <v>2315</v>
      </c>
      <c r="D177" s="20" t="s">
        <v>1782</v>
      </c>
      <c r="E177" s="20" t="s">
        <v>1783</v>
      </c>
      <c r="F177" s="21">
        <v>1200</v>
      </c>
      <c r="G177" s="20" t="s">
        <v>2303</v>
      </c>
      <c r="H177" s="20" t="s">
        <v>1785</v>
      </c>
      <c r="I177" s="20" t="s">
        <v>43</v>
      </c>
      <c r="J177" s="20" t="s">
        <v>87</v>
      </c>
    </row>
    <row r="178" spans="1:10" ht="36" x14ac:dyDescent="0.25">
      <c r="A178" s="20" t="s">
        <v>2316</v>
      </c>
      <c r="B178" s="20" t="s">
        <v>2286</v>
      </c>
      <c r="C178" s="20" t="s">
        <v>2317</v>
      </c>
      <c r="D178" s="20" t="s">
        <v>1782</v>
      </c>
      <c r="E178" s="20" t="s">
        <v>1783</v>
      </c>
      <c r="F178" s="21">
        <v>1200</v>
      </c>
      <c r="G178" s="20" t="s">
        <v>2303</v>
      </c>
      <c r="H178" s="20" t="s">
        <v>1785</v>
      </c>
      <c r="I178" s="20" t="s">
        <v>43</v>
      </c>
      <c r="J178" s="20" t="s">
        <v>87</v>
      </c>
    </row>
    <row r="179" spans="1:10" ht="36" x14ac:dyDescent="0.25">
      <c r="A179" s="20" t="s">
        <v>2318</v>
      </c>
      <c r="B179" s="20" t="s">
        <v>2286</v>
      </c>
      <c r="C179" s="20" t="s">
        <v>2319</v>
      </c>
      <c r="D179" s="20" t="s">
        <v>1782</v>
      </c>
      <c r="E179" s="20" t="s">
        <v>1783</v>
      </c>
      <c r="F179" s="21">
        <v>1200</v>
      </c>
      <c r="G179" s="20" t="s">
        <v>2303</v>
      </c>
      <c r="H179" s="20" t="s">
        <v>1785</v>
      </c>
      <c r="I179" s="20" t="s">
        <v>43</v>
      </c>
      <c r="J179" s="20" t="s">
        <v>87</v>
      </c>
    </row>
    <row r="180" spans="1:10" ht="36" x14ac:dyDescent="0.25">
      <c r="A180" s="20" t="s">
        <v>2320</v>
      </c>
      <c r="B180" s="20" t="s">
        <v>2286</v>
      </c>
      <c r="C180" s="20" t="s">
        <v>2321</v>
      </c>
      <c r="D180" s="20" t="s">
        <v>1782</v>
      </c>
      <c r="E180" s="20" t="s">
        <v>1783</v>
      </c>
      <c r="F180" s="21">
        <v>1200</v>
      </c>
      <c r="G180" s="20" t="s">
        <v>2303</v>
      </c>
      <c r="H180" s="20" t="s">
        <v>1785</v>
      </c>
      <c r="I180" s="20" t="s">
        <v>43</v>
      </c>
      <c r="J180" s="20" t="s">
        <v>87</v>
      </c>
    </row>
    <row r="181" spans="1:10" ht="36" x14ac:dyDescent="0.25">
      <c r="A181" s="20" t="s">
        <v>2322</v>
      </c>
      <c r="B181" s="20" t="s">
        <v>2286</v>
      </c>
      <c r="C181" s="20" t="s">
        <v>2323</v>
      </c>
      <c r="D181" s="20" t="s">
        <v>1798</v>
      </c>
      <c r="E181" s="20" t="s">
        <v>1783</v>
      </c>
      <c r="F181" s="21">
        <v>300</v>
      </c>
      <c r="G181" s="20" t="s">
        <v>2289</v>
      </c>
      <c r="H181" s="20" t="s">
        <v>1785</v>
      </c>
      <c r="I181" s="20" t="s">
        <v>43</v>
      </c>
      <c r="J181" s="20" t="s">
        <v>87</v>
      </c>
    </row>
    <row r="182" spans="1:10" ht="36" x14ac:dyDescent="0.25">
      <c r="A182" s="20" t="s">
        <v>2324</v>
      </c>
      <c r="B182" s="20" t="s">
        <v>2286</v>
      </c>
      <c r="C182" s="20" t="s">
        <v>2325</v>
      </c>
      <c r="D182" s="20" t="s">
        <v>1798</v>
      </c>
      <c r="E182" s="20" t="s">
        <v>1783</v>
      </c>
      <c r="F182" s="21">
        <v>350</v>
      </c>
      <c r="G182" s="20" t="s">
        <v>2289</v>
      </c>
      <c r="H182" s="20" t="s">
        <v>1785</v>
      </c>
      <c r="I182" s="20" t="s">
        <v>43</v>
      </c>
      <c r="J182" s="20" t="s">
        <v>87</v>
      </c>
    </row>
    <row r="183" spans="1:10" ht="36" x14ac:dyDescent="0.25">
      <c r="A183" s="20" t="s">
        <v>2326</v>
      </c>
      <c r="B183" s="20" t="s">
        <v>2286</v>
      </c>
      <c r="C183" s="20" t="s">
        <v>2327</v>
      </c>
      <c r="D183" s="20" t="s">
        <v>1798</v>
      </c>
      <c r="E183" s="20" t="s">
        <v>1783</v>
      </c>
      <c r="F183" s="21">
        <v>600</v>
      </c>
      <c r="G183" s="20" t="s">
        <v>2289</v>
      </c>
      <c r="H183" s="20" t="s">
        <v>1785</v>
      </c>
      <c r="I183" s="20" t="s">
        <v>43</v>
      </c>
      <c r="J183" s="20" t="s">
        <v>87</v>
      </c>
    </row>
    <row r="184" spans="1:10" ht="36" x14ac:dyDescent="0.25">
      <c r="A184" s="20" t="s">
        <v>2328</v>
      </c>
      <c r="B184" s="20" t="s">
        <v>2286</v>
      </c>
      <c r="C184" s="20" t="s">
        <v>2329</v>
      </c>
      <c r="D184" s="20" t="s">
        <v>2296</v>
      </c>
      <c r="E184" s="20" t="s">
        <v>1783</v>
      </c>
      <c r="F184" s="21">
        <v>50</v>
      </c>
      <c r="G184" s="20" t="s">
        <v>2330</v>
      </c>
      <c r="H184" s="20" t="s">
        <v>1785</v>
      </c>
      <c r="I184" s="20" t="s">
        <v>38</v>
      </c>
      <c r="J184" s="20" t="s">
        <v>87</v>
      </c>
    </row>
    <row r="186" spans="1:10" x14ac:dyDescent="0.25">
      <c r="A186" s="5" t="s">
        <v>2331</v>
      </c>
    </row>
  </sheetData>
  <autoFilter ref="A1:J18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14" customWidth="1"/>
    <col min="3" max="3" width="24" customWidth="1"/>
    <col min="4" max="4" width="40" customWidth="1"/>
    <col min="5" max="5" width="14" customWidth="1"/>
    <col min="6" max="6" width="10" customWidth="1"/>
    <col min="7" max="7" width="12" customWidth="1"/>
    <col min="8" max="8" width="8" customWidth="1"/>
    <col min="9" max="10" width="34" customWidth="1"/>
    <col min="11" max="11" width="9" customWidth="1"/>
    <col min="12" max="12" width="44" customWidth="1"/>
  </cols>
  <sheetData>
    <row r="1" spans="1:12" ht="42" customHeight="1" x14ac:dyDescent="0.25">
      <c r="A1" s="16" t="s">
        <v>93</v>
      </c>
      <c r="B1" s="16" t="s">
        <v>2332</v>
      </c>
      <c r="C1" s="16" t="s">
        <v>2333</v>
      </c>
      <c r="D1" s="16" t="s">
        <v>2334</v>
      </c>
      <c r="E1" s="16" t="s">
        <v>2335</v>
      </c>
      <c r="F1" s="16" t="s">
        <v>2336</v>
      </c>
      <c r="G1" s="16" t="s">
        <v>2337</v>
      </c>
      <c r="H1" s="16" t="s">
        <v>105</v>
      </c>
      <c r="I1" s="16" t="s">
        <v>1040</v>
      </c>
      <c r="J1" s="16" t="s">
        <v>1041</v>
      </c>
      <c r="K1" s="16" t="s">
        <v>1042</v>
      </c>
      <c r="L1" s="16" t="s">
        <v>1043</v>
      </c>
    </row>
    <row r="2" spans="1:12" ht="36" x14ac:dyDescent="0.25">
      <c r="A2" s="20" t="s">
        <v>2338</v>
      </c>
      <c r="B2" s="20" t="s">
        <v>2339</v>
      </c>
      <c r="C2" s="20" t="s">
        <v>2340</v>
      </c>
      <c r="D2" s="20" t="s">
        <v>2341</v>
      </c>
      <c r="E2" s="24">
        <v>26300</v>
      </c>
      <c r="F2" s="20" t="s">
        <v>2342</v>
      </c>
      <c r="G2" s="20" t="s">
        <v>2343</v>
      </c>
      <c r="H2" s="20" t="s">
        <v>22</v>
      </c>
      <c r="I2" s="20" t="s">
        <v>2344</v>
      </c>
      <c r="J2" s="22" t="s">
        <v>2345</v>
      </c>
      <c r="K2" s="20" t="s">
        <v>131</v>
      </c>
      <c r="L2" s="20" t="s">
        <v>2346</v>
      </c>
    </row>
    <row r="3" spans="1:12" ht="24" x14ac:dyDescent="0.25">
      <c r="A3" s="20" t="s">
        <v>2347</v>
      </c>
      <c r="B3" s="20" t="s">
        <v>2339</v>
      </c>
      <c r="C3" s="20" t="s">
        <v>2348</v>
      </c>
      <c r="D3" s="20" t="s">
        <v>2349</v>
      </c>
      <c r="E3" s="24">
        <v>17000</v>
      </c>
      <c r="F3" s="20" t="s">
        <v>2342</v>
      </c>
      <c r="G3" s="20" t="s">
        <v>2350</v>
      </c>
      <c r="H3" s="20" t="s">
        <v>30</v>
      </c>
      <c r="I3" s="20" t="s">
        <v>2351</v>
      </c>
      <c r="J3" s="22" t="s">
        <v>2352</v>
      </c>
      <c r="K3" s="20" t="s">
        <v>130</v>
      </c>
      <c r="L3" s="20" t="s">
        <v>2353</v>
      </c>
    </row>
    <row r="4" spans="1:12" ht="48" x14ac:dyDescent="0.25">
      <c r="A4" s="20" t="s">
        <v>2354</v>
      </c>
      <c r="B4" s="20" t="s">
        <v>2339</v>
      </c>
      <c r="C4" s="20" t="s">
        <v>2355</v>
      </c>
      <c r="D4" s="20" t="s">
        <v>2356</v>
      </c>
      <c r="E4" s="24">
        <v>13560</v>
      </c>
      <c r="F4" s="20" t="s">
        <v>2342</v>
      </c>
      <c r="G4" s="20" t="s">
        <v>2357</v>
      </c>
      <c r="H4" s="20" t="s">
        <v>22</v>
      </c>
      <c r="I4" s="20" t="s">
        <v>2358</v>
      </c>
      <c r="J4" s="22" t="s">
        <v>2359</v>
      </c>
      <c r="K4" s="20" t="s">
        <v>131</v>
      </c>
      <c r="L4" s="20" t="s">
        <v>2360</v>
      </c>
    </row>
    <row r="5" spans="1:12" ht="24" x14ac:dyDescent="0.25">
      <c r="A5" s="20" t="s">
        <v>2361</v>
      </c>
      <c r="B5" s="20" t="s">
        <v>2339</v>
      </c>
      <c r="C5" s="20" t="s">
        <v>2362</v>
      </c>
      <c r="D5" s="20" t="s">
        <v>2363</v>
      </c>
      <c r="E5" s="24">
        <v>1000</v>
      </c>
      <c r="F5" s="20" t="s">
        <v>2342</v>
      </c>
      <c r="G5" s="20" t="s">
        <v>2364</v>
      </c>
      <c r="H5" s="20" t="s">
        <v>22</v>
      </c>
      <c r="I5" s="20" t="s">
        <v>2365</v>
      </c>
      <c r="J5" s="22" t="s">
        <v>2366</v>
      </c>
      <c r="K5" s="20" t="s">
        <v>131</v>
      </c>
      <c r="L5" s="20" t="s">
        <v>2367</v>
      </c>
    </row>
    <row r="6" spans="1:12" ht="36" x14ac:dyDescent="0.25">
      <c r="A6" s="20" t="s">
        <v>2368</v>
      </c>
      <c r="B6" s="20" t="s">
        <v>2339</v>
      </c>
      <c r="C6" s="20" t="s">
        <v>2369</v>
      </c>
      <c r="D6" s="20" t="s">
        <v>2370</v>
      </c>
      <c r="E6" s="24">
        <v>1575</v>
      </c>
      <c r="F6" s="20" t="s">
        <v>2342</v>
      </c>
      <c r="G6" s="20" t="s">
        <v>2371</v>
      </c>
      <c r="H6" s="20" t="s">
        <v>22</v>
      </c>
      <c r="I6" s="20" t="s">
        <v>2372</v>
      </c>
      <c r="J6" s="22" t="s">
        <v>2373</v>
      </c>
      <c r="K6" s="20" t="s">
        <v>131</v>
      </c>
      <c r="L6" s="20" t="s">
        <v>2374</v>
      </c>
    </row>
    <row r="7" spans="1:12" ht="36" x14ac:dyDescent="0.25">
      <c r="A7" s="20" t="s">
        <v>2375</v>
      </c>
      <c r="B7" s="20" t="s">
        <v>38</v>
      </c>
      <c r="C7" s="20" t="s">
        <v>2376</v>
      </c>
      <c r="D7" s="20" t="s">
        <v>2377</v>
      </c>
      <c r="E7" s="24">
        <v>1450</v>
      </c>
      <c r="F7" s="20" t="s">
        <v>2342</v>
      </c>
      <c r="G7" s="20" t="s">
        <v>194</v>
      </c>
      <c r="H7" s="20" t="s">
        <v>22</v>
      </c>
      <c r="I7" s="20" t="s">
        <v>2378</v>
      </c>
      <c r="J7" s="22" t="s">
        <v>192</v>
      </c>
      <c r="K7" s="20" t="s">
        <v>131</v>
      </c>
      <c r="L7" s="20" t="s">
        <v>2379</v>
      </c>
    </row>
    <row r="8" spans="1:12" ht="36" x14ac:dyDescent="0.25">
      <c r="A8" s="20" t="s">
        <v>2380</v>
      </c>
      <c r="B8" s="20" t="s">
        <v>38</v>
      </c>
      <c r="C8" s="20" t="s">
        <v>2381</v>
      </c>
      <c r="D8" s="20" t="s">
        <v>2382</v>
      </c>
      <c r="E8" s="24">
        <v>6000</v>
      </c>
      <c r="F8" s="20" t="s">
        <v>2383</v>
      </c>
      <c r="G8" s="20" t="s">
        <v>1052</v>
      </c>
      <c r="H8" s="20" t="s">
        <v>22</v>
      </c>
      <c r="I8" s="20" t="s">
        <v>2384</v>
      </c>
      <c r="J8" s="22" t="s">
        <v>1051</v>
      </c>
      <c r="K8" s="20" t="s">
        <v>131</v>
      </c>
      <c r="L8" s="20" t="s">
        <v>2385</v>
      </c>
    </row>
    <row r="9" spans="1:12" ht="24" x14ac:dyDescent="0.25">
      <c r="A9" s="20" t="s">
        <v>2386</v>
      </c>
      <c r="B9" s="20" t="s">
        <v>38</v>
      </c>
      <c r="C9" s="20" t="s">
        <v>2387</v>
      </c>
      <c r="D9" s="20" t="s">
        <v>2388</v>
      </c>
      <c r="E9" s="24">
        <v>5700</v>
      </c>
      <c r="F9" s="20" t="s">
        <v>2342</v>
      </c>
      <c r="G9" s="20" t="s">
        <v>2389</v>
      </c>
      <c r="H9" s="20" t="s">
        <v>30</v>
      </c>
      <c r="I9" s="20" t="s">
        <v>2390</v>
      </c>
      <c r="J9" s="22" t="s">
        <v>2391</v>
      </c>
      <c r="K9" s="20" t="s">
        <v>130</v>
      </c>
      <c r="L9" s="20" t="s">
        <v>2392</v>
      </c>
    </row>
    <row r="10" spans="1:12" ht="48" x14ac:dyDescent="0.25">
      <c r="A10" s="20" t="s">
        <v>2393</v>
      </c>
      <c r="B10" s="20" t="s">
        <v>2339</v>
      </c>
      <c r="C10" s="20" t="s">
        <v>2394</v>
      </c>
      <c r="D10" s="20" t="s">
        <v>2395</v>
      </c>
      <c r="E10" s="24">
        <v>25000</v>
      </c>
      <c r="F10" s="20" t="s">
        <v>2342</v>
      </c>
      <c r="G10" s="20" t="s">
        <v>2396</v>
      </c>
      <c r="H10" s="20" t="s">
        <v>30</v>
      </c>
      <c r="I10" s="20" t="s">
        <v>2397</v>
      </c>
      <c r="J10" s="22" t="s">
        <v>2398</v>
      </c>
      <c r="K10" s="20" t="s">
        <v>130</v>
      </c>
      <c r="L10" s="20" t="s">
        <v>2399</v>
      </c>
    </row>
    <row r="11" spans="1:12" ht="36" x14ac:dyDescent="0.25">
      <c r="A11" s="20" t="s">
        <v>2400</v>
      </c>
      <c r="B11" s="20" t="s">
        <v>38</v>
      </c>
      <c r="C11" s="20" t="s">
        <v>2401</v>
      </c>
      <c r="D11" s="20" t="s">
        <v>2402</v>
      </c>
      <c r="E11" s="24">
        <v>44</v>
      </c>
      <c r="F11" s="20" t="s">
        <v>2403</v>
      </c>
      <c r="G11" s="20" t="s">
        <v>2404</v>
      </c>
      <c r="H11" s="20" t="s">
        <v>24</v>
      </c>
      <c r="I11" s="20" t="s">
        <v>2405</v>
      </c>
      <c r="J11" s="22" t="s">
        <v>2406</v>
      </c>
      <c r="K11" s="20" t="s">
        <v>130</v>
      </c>
      <c r="L11" s="20" t="s">
        <v>2407</v>
      </c>
    </row>
    <row r="12" spans="1:12" ht="36" x14ac:dyDescent="0.25">
      <c r="A12" s="20" t="s">
        <v>2408</v>
      </c>
      <c r="B12" s="20" t="s">
        <v>38</v>
      </c>
      <c r="C12" s="20" t="s">
        <v>2401</v>
      </c>
      <c r="D12" s="20" t="s">
        <v>2409</v>
      </c>
      <c r="E12" s="24">
        <v>23800</v>
      </c>
      <c r="F12" s="20" t="s">
        <v>2342</v>
      </c>
      <c r="G12" s="20" t="s">
        <v>2404</v>
      </c>
      <c r="H12" s="20" t="s">
        <v>24</v>
      </c>
      <c r="I12" s="20" t="s">
        <v>2405</v>
      </c>
      <c r="J12" s="22" t="s">
        <v>2406</v>
      </c>
      <c r="K12" s="20" t="s">
        <v>130</v>
      </c>
      <c r="L12" s="20" t="s">
        <v>2410</v>
      </c>
    </row>
    <row r="13" spans="1:12" ht="36" x14ac:dyDescent="0.25">
      <c r="A13" s="20" t="s">
        <v>2411</v>
      </c>
      <c r="B13" s="20" t="s">
        <v>38</v>
      </c>
      <c r="C13" s="20" t="s">
        <v>2401</v>
      </c>
      <c r="D13" s="20" t="s">
        <v>2412</v>
      </c>
      <c r="E13" s="24">
        <v>31879</v>
      </c>
      <c r="F13" s="20" t="s">
        <v>2342</v>
      </c>
      <c r="G13" s="20" t="s">
        <v>2404</v>
      </c>
      <c r="H13" s="20" t="s">
        <v>24</v>
      </c>
      <c r="I13" s="20" t="s">
        <v>2405</v>
      </c>
      <c r="J13" s="22" t="s">
        <v>2406</v>
      </c>
      <c r="K13" s="20" t="s">
        <v>130</v>
      </c>
      <c r="L13" s="20"/>
    </row>
    <row r="14" spans="1:12" ht="36" x14ac:dyDescent="0.25">
      <c r="A14" s="20" t="s">
        <v>2413</v>
      </c>
      <c r="B14" s="20" t="s">
        <v>38</v>
      </c>
      <c r="C14" s="20" t="s">
        <v>2401</v>
      </c>
      <c r="D14" s="20" t="s">
        <v>2414</v>
      </c>
      <c r="E14" s="24">
        <v>1669000</v>
      </c>
      <c r="F14" s="20" t="s">
        <v>2415</v>
      </c>
      <c r="G14" s="20" t="s">
        <v>2404</v>
      </c>
      <c r="H14" s="20" t="s">
        <v>24</v>
      </c>
      <c r="I14" s="20" t="s">
        <v>2405</v>
      </c>
      <c r="J14" s="22" t="s">
        <v>2406</v>
      </c>
      <c r="K14" s="20" t="s">
        <v>130</v>
      </c>
      <c r="L14" s="20" t="s">
        <v>2416</v>
      </c>
    </row>
    <row r="15" spans="1:12" ht="36" x14ac:dyDescent="0.25">
      <c r="A15" s="20" t="s">
        <v>2417</v>
      </c>
      <c r="B15" s="20" t="s">
        <v>134</v>
      </c>
      <c r="C15" s="20" t="s">
        <v>2401</v>
      </c>
      <c r="D15" s="20" t="s">
        <v>2418</v>
      </c>
      <c r="E15" s="24">
        <v>4040</v>
      </c>
      <c r="F15" s="20" t="s">
        <v>2342</v>
      </c>
      <c r="G15" s="20" t="s">
        <v>2404</v>
      </c>
      <c r="H15" s="20" t="s">
        <v>24</v>
      </c>
      <c r="I15" s="20" t="s">
        <v>2405</v>
      </c>
      <c r="J15" s="22" t="s">
        <v>2406</v>
      </c>
      <c r="K15" s="20" t="s">
        <v>130</v>
      </c>
      <c r="L15" s="20" t="s">
        <v>2419</v>
      </c>
    </row>
    <row r="16" spans="1:12" ht="36" x14ac:dyDescent="0.25">
      <c r="A16" s="20" t="s">
        <v>2420</v>
      </c>
      <c r="B16" s="20" t="s">
        <v>134</v>
      </c>
      <c r="C16" s="20" t="s">
        <v>2401</v>
      </c>
      <c r="D16" s="20" t="s">
        <v>2421</v>
      </c>
      <c r="E16" s="24">
        <v>3770</v>
      </c>
      <c r="F16" s="20" t="s">
        <v>2342</v>
      </c>
      <c r="G16" s="20" t="s">
        <v>2404</v>
      </c>
      <c r="H16" s="20" t="s">
        <v>24</v>
      </c>
      <c r="I16" s="20" t="s">
        <v>2405</v>
      </c>
      <c r="J16" s="22" t="s">
        <v>2406</v>
      </c>
      <c r="K16" s="20" t="s">
        <v>130</v>
      </c>
      <c r="L16" s="20" t="s">
        <v>2422</v>
      </c>
    </row>
    <row r="17" spans="1:12" ht="36" x14ac:dyDescent="0.25">
      <c r="A17" s="20" t="s">
        <v>2423</v>
      </c>
      <c r="B17" s="20" t="s">
        <v>38</v>
      </c>
      <c r="C17" s="20" t="s">
        <v>2401</v>
      </c>
      <c r="D17" s="20" t="s">
        <v>2424</v>
      </c>
      <c r="E17" s="24">
        <v>856</v>
      </c>
      <c r="F17" s="20" t="s">
        <v>2425</v>
      </c>
      <c r="G17" s="20" t="s">
        <v>2404</v>
      </c>
      <c r="H17" s="20" t="s">
        <v>24</v>
      </c>
      <c r="I17" s="20" t="s">
        <v>2405</v>
      </c>
      <c r="J17" s="22" t="s">
        <v>2406</v>
      </c>
      <c r="K17" s="20" t="s">
        <v>130</v>
      </c>
      <c r="L17" s="20" t="s">
        <v>2426</v>
      </c>
    </row>
    <row r="18" spans="1:12" ht="36" x14ac:dyDescent="0.25">
      <c r="A18" s="20" t="s">
        <v>2427</v>
      </c>
      <c r="B18" s="20" t="s">
        <v>39</v>
      </c>
      <c r="C18" s="20" t="s">
        <v>2428</v>
      </c>
      <c r="D18" s="20" t="s">
        <v>2429</v>
      </c>
      <c r="E18" s="24">
        <v>9100</v>
      </c>
      <c r="F18" s="20" t="s">
        <v>2342</v>
      </c>
      <c r="G18" s="20" t="s">
        <v>682</v>
      </c>
      <c r="H18" s="20" t="s">
        <v>24</v>
      </c>
      <c r="I18" s="20" t="s">
        <v>1163</v>
      </c>
      <c r="J18" s="22" t="s">
        <v>681</v>
      </c>
      <c r="K18" s="20" t="s">
        <v>130</v>
      </c>
      <c r="L18" s="20" t="s">
        <v>2430</v>
      </c>
    </row>
    <row r="19" spans="1:12" ht="24" x14ac:dyDescent="0.25">
      <c r="A19" s="20" t="s">
        <v>2431</v>
      </c>
      <c r="B19" s="20" t="s">
        <v>39</v>
      </c>
      <c r="C19" s="20" t="s">
        <v>2432</v>
      </c>
      <c r="D19" s="20" t="s">
        <v>2433</v>
      </c>
      <c r="E19" s="24">
        <v>3498</v>
      </c>
      <c r="F19" s="20" t="s">
        <v>2342</v>
      </c>
      <c r="G19" s="20" t="s">
        <v>611</v>
      </c>
      <c r="H19" s="20" t="s">
        <v>24</v>
      </c>
      <c r="I19" s="20" t="s">
        <v>2434</v>
      </c>
      <c r="J19" s="22" t="s">
        <v>644</v>
      </c>
      <c r="K19" s="20" t="s">
        <v>130</v>
      </c>
      <c r="L19" s="20" t="s">
        <v>2435</v>
      </c>
    </row>
    <row r="20" spans="1:12" ht="24" x14ac:dyDescent="0.25">
      <c r="A20" s="20" t="s">
        <v>2436</v>
      </c>
      <c r="B20" s="20" t="s">
        <v>40</v>
      </c>
      <c r="C20" s="20" t="s">
        <v>2437</v>
      </c>
      <c r="D20" s="20" t="s">
        <v>2438</v>
      </c>
      <c r="E20" s="24">
        <v>11000</v>
      </c>
      <c r="F20" s="20" t="s">
        <v>2342</v>
      </c>
      <c r="G20" s="20" t="s">
        <v>239</v>
      </c>
      <c r="H20" s="20" t="s">
        <v>30</v>
      </c>
      <c r="I20" s="20" t="s">
        <v>2439</v>
      </c>
      <c r="J20" s="22" t="s">
        <v>716</v>
      </c>
      <c r="K20" s="20" t="s">
        <v>130</v>
      </c>
      <c r="L20" s="20"/>
    </row>
    <row r="21" spans="1:12" ht="24" x14ac:dyDescent="0.25">
      <c r="A21" s="20" t="s">
        <v>2440</v>
      </c>
      <c r="B21" s="20" t="s">
        <v>42</v>
      </c>
      <c r="C21" s="20" t="s">
        <v>2441</v>
      </c>
      <c r="D21" s="20" t="s">
        <v>2442</v>
      </c>
      <c r="E21" s="24">
        <v>2000</v>
      </c>
      <c r="F21" s="20" t="s">
        <v>2342</v>
      </c>
      <c r="G21" s="20" t="s">
        <v>1188</v>
      </c>
      <c r="H21" s="20" t="s">
        <v>24</v>
      </c>
      <c r="I21" s="20" t="s">
        <v>2441</v>
      </c>
      <c r="J21" s="22" t="s">
        <v>786</v>
      </c>
      <c r="K21" s="20" t="s">
        <v>130</v>
      </c>
      <c r="L21" s="20" t="s">
        <v>2443</v>
      </c>
    </row>
    <row r="22" spans="1:12" ht="36" x14ac:dyDescent="0.25">
      <c r="A22" s="20" t="s">
        <v>2444</v>
      </c>
      <c r="B22" s="20" t="s">
        <v>43</v>
      </c>
      <c r="C22" s="20" t="s">
        <v>2445</v>
      </c>
      <c r="D22" s="20" t="s">
        <v>2446</v>
      </c>
      <c r="E22" s="24">
        <v>7500</v>
      </c>
      <c r="F22" s="20" t="s">
        <v>2342</v>
      </c>
      <c r="G22" s="20" t="s">
        <v>239</v>
      </c>
      <c r="H22" s="20" t="s">
        <v>24</v>
      </c>
      <c r="I22" s="20" t="s">
        <v>2447</v>
      </c>
      <c r="J22" s="22" t="s">
        <v>2448</v>
      </c>
      <c r="K22" s="20" t="s">
        <v>130</v>
      </c>
      <c r="L22" s="20" t="s">
        <v>2449</v>
      </c>
    </row>
    <row r="23" spans="1:12" ht="36" x14ac:dyDescent="0.25">
      <c r="A23" s="20" t="s">
        <v>2450</v>
      </c>
      <c r="B23" s="20" t="s">
        <v>47</v>
      </c>
      <c r="C23" s="20" t="s">
        <v>1728</v>
      </c>
      <c r="D23" s="20" t="s">
        <v>2451</v>
      </c>
      <c r="E23" s="24">
        <v>1000</v>
      </c>
      <c r="F23" s="20" t="s">
        <v>2342</v>
      </c>
      <c r="G23" s="20" t="s">
        <v>709</v>
      </c>
      <c r="H23" s="20" t="s">
        <v>24</v>
      </c>
      <c r="I23" s="20" t="s">
        <v>2434</v>
      </c>
      <c r="J23" s="22" t="s">
        <v>1732</v>
      </c>
      <c r="K23" s="20" t="s">
        <v>130</v>
      </c>
      <c r="L23" s="20" t="s">
        <v>2452</v>
      </c>
    </row>
    <row r="24" spans="1:12" ht="60" x14ac:dyDescent="0.25">
      <c r="A24" s="20" t="s">
        <v>2453</v>
      </c>
      <c r="B24" s="20" t="s">
        <v>2454</v>
      </c>
      <c r="C24" s="20" t="s">
        <v>2455</v>
      </c>
      <c r="D24" s="20" t="s">
        <v>2456</v>
      </c>
      <c r="E24" s="24">
        <v>960</v>
      </c>
      <c r="F24" s="20" t="s">
        <v>2342</v>
      </c>
      <c r="G24" s="20" t="s">
        <v>142</v>
      </c>
      <c r="H24" s="20" t="s">
        <v>26</v>
      </c>
      <c r="I24" s="20" t="s">
        <v>2457</v>
      </c>
      <c r="J24" s="22" t="s">
        <v>141</v>
      </c>
      <c r="K24" s="20" t="s">
        <v>131</v>
      </c>
      <c r="L24" s="20" t="s">
        <v>2458</v>
      </c>
    </row>
    <row r="25" spans="1:12" ht="24" x14ac:dyDescent="0.25">
      <c r="A25" s="20" t="s">
        <v>2459</v>
      </c>
      <c r="B25" s="20" t="s">
        <v>2454</v>
      </c>
      <c r="C25" s="20" t="s">
        <v>2460</v>
      </c>
      <c r="D25" s="20" t="s">
        <v>2461</v>
      </c>
      <c r="E25" s="24">
        <v>280</v>
      </c>
      <c r="F25" s="20" t="s">
        <v>2342</v>
      </c>
      <c r="G25" s="20" t="s">
        <v>574</v>
      </c>
      <c r="H25" s="20" t="s">
        <v>26</v>
      </c>
      <c r="I25" s="20" t="s">
        <v>2462</v>
      </c>
      <c r="J25" s="22" t="s">
        <v>2463</v>
      </c>
      <c r="K25" s="20" t="s">
        <v>131</v>
      </c>
      <c r="L25" s="20" t="s">
        <v>2464</v>
      </c>
    </row>
    <row r="26" spans="1:12" ht="36" x14ac:dyDescent="0.25">
      <c r="A26" s="20" t="s">
        <v>2465</v>
      </c>
      <c r="B26" s="20" t="s">
        <v>2454</v>
      </c>
      <c r="C26" s="20" t="s">
        <v>2466</v>
      </c>
      <c r="D26" s="20" t="s">
        <v>2467</v>
      </c>
      <c r="E26" s="24">
        <v>188</v>
      </c>
      <c r="F26" s="20" t="s">
        <v>2342</v>
      </c>
      <c r="G26" s="20" t="s">
        <v>2468</v>
      </c>
      <c r="H26" s="20" t="s">
        <v>26</v>
      </c>
      <c r="I26" s="20" t="s">
        <v>2469</v>
      </c>
      <c r="J26" s="22" t="s">
        <v>2470</v>
      </c>
      <c r="K26" s="20" t="s">
        <v>130</v>
      </c>
      <c r="L26" s="20" t="s">
        <v>2471</v>
      </c>
    </row>
    <row r="27" spans="1:12" ht="36" x14ac:dyDescent="0.25">
      <c r="A27" s="20" t="s">
        <v>2472</v>
      </c>
      <c r="B27" s="20" t="s">
        <v>2454</v>
      </c>
      <c r="C27" s="20" t="s">
        <v>2473</v>
      </c>
      <c r="D27" s="20" t="s">
        <v>2474</v>
      </c>
      <c r="E27" s="24">
        <v>5000</v>
      </c>
      <c r="F27" s="20" t="s">
        <v>2342</v>
      </c>
      <c r="G27" s="20" t="s">
        <v>2475</v>
      </c>
      <c r="H27" s="20" t="s">
        <v>28</v>
      </c>
      <c r="I27" s="20" t="s">
        <v>2476</v>
      </c>
      <c r="J27" s="22" t="s">
        <v>226</v>
      </c>
      <c r="K27" s="20" t="s">
        <v>130</v>
      </c>
      <c r="L27" s="20" t="s">
        <v>2477</v>
      </c>
    </row>
    <row r="28" spans="1:12" ht="36" x14ac:dyDescent="0.25">
      <c r="A28" s="20" t="s">
        <v>2478</v>
      </c>
      <c r="B28" s="20" t="s">
        <v>2454</v>
      </c>
      <c r="C28" s="20" t="s">
        <v>2479</v>
      </c>
      <c r="D28" s="20" t="s">
        <v>2480</v>
      </c>
      <c r="E28" s="24">
        <v>1000</v>
      </c>
      <c r="F28" s="20" t="s">
        <v>2342</v>
      </c>
      <c r="G28" s="20" t="s">
        <v>239</v>
      </c>
      <c r="H28" s="20" t="s">
        <v>28</v>
      </c>
      <c r="I28" s="20" t="s">
        <v>2481</v>
      </c>
      <c r="J28" s="22" t="s">
        <v>2482</v>
      </c>
      <c r="K28" s="20" t="s">
        <v>130</v>
      </c>
      <c r="L28" s="20" t="s">
        <v>2483</v>
      </c>
    </row>
    <row r="29" spans="1:12" ht="36" x14ac:dyDescent="0.25">
      <c r="A29" s="20" t="s">
        <v>2484</v>
      </c>
      <c r="B29" s="20" t="s">
        <v>2485</v>
      </c>
      <c r="C29" s="20" t="s">
        <v>2486</v>
      </c>
      <c r="D29" s="20" t="s">
        <v>2487</v>
      </c>
      <c r="E29" s="24">
        <v>2800</v>
      </c>
      <c r="F29" s="20" t="s">
        <v>2342</v>
      </c>
      <c r="G29" s="20" t="s">
        <v>1095</v>
      </c>
      <c r="H29" s="20" t="s">
        <v>26</v>
      </c>
      <c r="I29" s="20" t="s">
        <v>2488</v>
      </c>
      <c r="J29" s="22" t="s">
        <v>1094</v>
      </c>
      <c r="K29" s="20" t="s">
        <v>130</v>
      </c>
      <c r="L29" s="20" t="s">
        <v>2489</v>
      </c>
    </row>
  </sheetData>
  <autoFilter ref="A1:L29" xr:uid="{00000000-0009-0000-0000-000007000000}"/>
  <hyperlinks>
    <hyperlink ref="J2" r:id="rId1" xr:uid="{00000000-0004-0000-0700-000000000000}"/>
    <hyperlink ref="J3" r:id="rId2" xr:uid="{00000000-0004-0000-0700-000001000000}"/>
    <hyperlink ref="J4" r:id="rId3" xr:uid="{00000000-0004-0000-0700-000002000000}"/>
    <hyperlink ref="J5" r:id="rId4" xr:uid="{00000000-0004-0000-0700-000003000000}"/>
    <hyperlink ref="J6" r:id="rId5" xr:uid="{00000000-0004-0000-0700-000004000000}"/>
    <hyperlink ref="J7" r:id="rId6" xr:uid="{00000000-0004-0000-0700-000005000000}"/>
    <hyperlink ref="J8" r:id="rId7" xr:uid="{00000000-0004-0000-0700-000006000000}"/>
    <hyperlink ref="J9" r:id="rId8" xr:uid="{00000000-0004-0000-0700-000007000000}"/>
    <hyperlink ref="J10" r:id="rId9" xr:uid="{00000000-0004-0000-0700-000008000000}"/>
    <hyperlink ref="J11" r:id="rId10" xr:uid="{00000000-0004-0000-0700-000009000000}"/>
    <hyperlink ref="J12" r:id="rId11" xr:uid="{00000000-0004-0000-0700-00000A000000}"/>
    <hyperlink ref="J13" r:id="rId12" xr:uid="{00000000-0004-0000-0700-00000B000000}"/>
    <hyperlink ref="J14" r:id="rId13" xr:uid="{00000000-0004-0000-0700-00000C000000}"/>
    <hyperlink ref="J15" r:id="rId14" xr:uid="{00000000-0004-0000-0700-00000D000000}"/>
    <hyperlink ref="J16" r:id="rId15" xr:uid="{00000000-0004-0000-0700-00000E000000}"/>
    <hyperlink ref="J17" r:id="rId16" xr:uid="{00000000-0004-0000-0700-00000F000000}"/>
    <hyperlink ref="J18" r:id="rId17" xr:uid="{00000000-0004-0000-0700-000010000000}"/>
    <hyperlink ref="J19" r:id="rId18" xr:uid="{00000000-0004-0000-0700-000011000000}"/>
    <hyperlink ref="J20" r:id="rId19" xr:uid="{00000000-0004-0000-0700-000012000000}"/>
    <hyperlink ref="J21" r:id="rId20" xr:uid="{00000000-0004-0000-0700-000013000000}"/>
    <hyperlink ref="J22" r:id="rId21" xr:uid="{00000000-0004-0000-0700-000014000000}"/>
    <hyperlink ref="J23" r:id="rId22" xr:uid="{00000000-0004-0000-0700-000015000000}"/>
    <hyperlink ref="J24" r:id="rId23" xr:uid="{00000000-0004-0000-0700-000016000000}"/>
    <hyperlink ref="J25" r:id="rId24" xr:uid="{00000000-0004-0000-0700-000017000000}"/>
    <hyperlink ref="J26" r:id="rId25" xr:uid="{00000000-0004-0000-0700-000018000000}"/>
    <hyperlink ref="J27" r:id="rId26" xr:uid="{00000000-0004-0000-0700-000019000000}"/>
    <hyperlink ref="J28" r:id="rId27" xr:uid="{00000000-0004-0000-0700-00001A000000}"/>
    <hyperlink ref="J29" r:id="rId28" xr:uid="{00000000-0004-0000-0700-00001B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46" customWidth="1"/>
    <col min="3" max="3" width="40" customWidth="1"/>
    <col min="4" max="4" width="46" customWidth="1"/>
    <col min="5" max="5" width="24" customWidth="1"/>
  </cols>
  <sheetData>
    <row r="1" spans="1:5" ht="42" customHeight="1" x14ac:dyDescent="0.25">
      <c r="A1" s="16" t="s">
        <v>2490</v>
      </c>
      <c r="B1" s="16" t="s">
        <v>2491</v>
      </c>
      <c r="C1" s="16" t="s">
        <v>2492</v>
      </c>
      <c r="D1" s="16" t="s">
        <v>2493</v>
      </c>
      <c r="E1" s="16" t="s">
        <v>2494</v>
      </c>
    </row>
    <row r="2" spans="1:5" ht="36" x14ac:dyDescent="0.25">
      <c r="A2" s="20">
        <v>1</v>
      </c>
      <c r="B2" s="20" t="s">
        <v>2495</v>
      </c>
      <c r="C2" s="20" t="s">
        <v>2496</v>
      </c>
      <c r="D2" s="20" t="s">
        <v>2497</v>
      </c>
      <c r="E2" s="20" t="s">
        <v>2498</v>
      </c>
    </row>
    <row r="3" spans="1:5" ht="24" x14ac:dyDescent="0.25">
      <c r="A3" s="20">
        <v>2</v>
      </c>
      <c r="B3" s="20" t="s">
        <v>2499</v>
      </c>
      <c r="C3" s="20" t="s">
        <v>2500</v>
      </c>
      <c r="D3" s="20" t="s">
        <v>2501</v>
      </c>
      <c r="E3" s="20" t="s">
        <v>2502</v>
      </c>
    </row>
    <row r="4" spans="1:5" ht="36" x14ac:dyDescent="0.25">
      <c r="A4" s="20">
        <v>3</v>
      </c>
      <c r="B4" s="20" t="s">
        <v>2503</v>
      </c>
      <c r="C4" s="20" t="s">
        <v>2504</v>
      </c>
      <c r="D4" s="20" t="s">
        <v>2505</v>
      </c>
      <c r="E4" s="20" t="s">
        <v>2506</v>
      </c>
    </row>
    <row r="5" spans="1:5" ht="36" x14ac:dyDescent="0.25">
      <c r="A5" s="20">
        <v>4</v>
      </c>
      <c r="B5" s="20" t="s">
        <v>2507</v>
      </c>
      <c r="C5" s="20" t="s">
        <v>2508</v>
      </c>
      <c r="D5" s="20" t="s">
        <v>2509</v>
      </c>
      <c r="E5" s="20" t="s">
        <v>2510</v>
      </c>
    </row>
    <row r="6" spans="1:5" ht="24" x14ac:dyDescent="0.25">
      <c r="A6" s="20">
        <v>5</v>
      </c>
      <c r="B6" s="20" t="s">
        <v>2511</v>
      </c>
      <c r="C6" s="20" t="s">
        <v>2512</v>
      </c>
      <c r="D6" s="20" t="s">
        <v>2513</v>
      </c>
      <c r="E6" s="20" t="s">
        <v>2514</v>
      </c>
    </row>
    <row r="7" spans="1:5" ht="24" x14ac:dyDescent="0.25">
      <c r="A7" s="20">
        <v>6</v>
      </c>
      <c r="B7" s="20" t="s">
        <v>2515</v>
      </c>
      <c r="C7" s="20" t="s">
        <v>2516</v>
      </c>
      <c r="D7" s="20" t="s">
        <v>2517</v>
      </c>
      <c r="E7" s="20" t="s">
        <v>2518</v>
      </c>
    </row>
    <row r="8" spans="1:5" ht="24" x14ac:dyDescent="0.25">
      <c r="A8" s="20">
        <v>7</v>
      </c>
      <c r="B8" s="20" t="s">
        <v>2519</v>
      </c>
      <c r="C8" s="20" t="s">
        <v>2520</v>
      </c>
      <c r="D8" s="20" t="s">
        <v>2521</v>
      </c>
      <c r="E8" s="20" t="s">
        <v>2522</v>
      </c>
    </row>
    <row r="9" spans="1:5" ht="24" x14ac:dyDescent="0.25">
      <c r="A9" s="20">
        <v>8</v>
      </c>
      <c r="B9" s="20" t="s">
        <v>2523</v>
      </c>
      <c r="C9" s="20" t="s">
        <v>2524</v>
      </c>
      <c r="D9" s="20" t="s">
        <v>2525</v>
      </c>
      <c r="E9" s="20" t="s">
        <v>2526</v>
      </c>
    </row>
    <row r="10" spans="1:5" ht="24" x14ac:dyDescent="0.25">
      <c r="A10" s="20">
        <v>9</v>
      </c>
      <c r="B10" s="20" t="s">
        <v>2527</v>
      </c>
      <c r="C10" s="20" t="s">
        <v>2528</v>
      </c>
      <c r="D10" s="20" t="s">
        <v>2529</v>
      </c>
      <c r="E10" s="20" t="s">
        <v>2530</v>
      </c>
    </row>
    <row r="11" spans="1:5" ht="36" x14ac:dyDescent="0.25">
      <c r="A11" s="20">
        <v>10</v>
      </c>
      <c r="B11" s="20" t="s">
        <v>2531</v>
      </c>
      <c r="C11" s="20" t="s">
        <v>2532</v>
      </c>
      <c r="D11" s="20" t="s">
        <v>2533</v>
      </c>
      <c r="E11" s="20" t="s">
        <v>2534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6"/>
  <sheetViews>
    <sheetView workbookViewId="0"/>
  </sheetViews>
  <sheetFormatPr defaultRowHeight="15" x14ac:dyDescent="0.25"/>
  <cols>
    <col min="1" max="1" width="5" customWidth="1"/>
    <col min="2" max="2" width="80" customWidth="1"/>
    <col min="3" max="3" width="22" customWidth="1"/>
  </cols>
  <sheetData>
    <row r="1" spans="1:3" ht="42" customHeight="1" x14ac:dyDescent="0.25">
      <c r="A1" s="16" t="s">
        <v>2490</v>
      </c>
      <c r="B1" s="16" t="s">
        <v>2535</v>
      </c>
      <c r="C1" s="16" t="s">
        <v>2536</v>
      </c>
    </row>
    <row r="2" spans="1:3" ht="24" x14ac:dyDescent="0.25">
      <c r="A2" s="20">
        <v>1</v>
      </c>
      <c r="B2" s="22" t="s">
        <v>126</v>
      </c>
      <c r="C2" s="20" t="s">
        <v>2537</v>
      </c>
    </row>
    <row r="3" spans="1:3" ht="24" x14ac:dyDescent="0.25">
      <c r="A3" s="20">
        <v>2</v>
      </c>
      <c r="B3" s="22" t="s">
        <v>127</v>
      </c>
      <c r="C3" s="20" t="s">
        <v>2537</v>
      </c>
    </row>
    <row r="4" spans="1:3" ht="84" x14ac:dyDescent="0.25">
      <c r="A4" s="20">
        <v>3</v>
      </c>
      <c r="B4" s="22" t="s">
        <v>141</v>
      </c>
      <c r="C4" s="20" t="s">
        <v>2538</v>
      </c>
    </row>
    <row r="5" spans="1:3" x14ac:dyDescent="0.25">
      <c r="A5" s="20">
        <v>4</v>
      </c>
      <c r="B5" s="22" t="s">
        <v>152</v>
      </c>
      <c r="C5" s="20" t="s">
        <v>2539</v>
      </c>
    </row>
    <row r="6" spans="1:3" x14ac:dyDescent="0.25">
      <c r="A6" s="20">
        <v>5</v>
      </c>
      <c r="B6" s="22" t="s">
        <v>164</v>
      </c>
      <c r="C6" s="20" t="s">
        <v>2540</v>
      </c>
    </row>
    <row r="7" spans="1:3" x14ac:dyDescent="0.25">
      <c r="A7" s="20">
        <v>6</v>
      </c>
      <c r="B7" s="22" t="s">
        <v>177</v>
      </c>
      <c r="C7" s="20" t="s">
        <v>2541</v>
      </c>
    </row>
    <row r="8" spans="1:3" ht="24" x14ac:dyDescent="0.25">
      <c r="A8" s="20">
        <v>7</v>
      </c>
      <c r="B8" s="22" t="s">
        <v>178</v>
      </c>
      <c r="C8" s="20" t="s">
        <v>2541</v>
      </c>
    </row>
    <row r="9" spans="1:3" ht="48" x14ac:dyDescent="0.25">
      <c r="A9" s="20">
        <v>8</v>
      </c>
      <c r="B9" s="22" t="s">
        <v>192</v>
      </c>
      <c r="C9" s="20" t="s">
        <v>2542</v>
      </c>
    </row>
    <row r="10" spans="1:3" ht="24" x14ac:dyDescent="0.25">
      <c r="A10" s="20">
        <v>9</v>
      </c>
      <c r="B10" s="22" t="s">
        <v>193</v>
      </c>
      <c r="C10" s="20" t="s">
        <v>2543</v>
      </c>
    </row>
    <row r="11" spans="1:3" x14ac:dyDescent="0.25">
      <c r="A11" s="20">
        <v>10</v>
      </c>
      <c r="B11" s="22" t="s">
        <v>204</v>
      </c>
      <c r="C11" s="20" t="s">
        <v>2544</v>
      </c>
    </row>
    <row r="12" spans="1:3" x14ac:dyDescent="0.25">
      <c r="A12" s="20">
        <v>11</v>
      </c>
      <c r="B12" s="22" t="s">
        <v>205</v>
      </c>
      <c r="C12" s="20" t="s">
        <v>2544</v>
      </c>
    </row>
    <row r="13" spans="1:3" x14ac:dyDescent="0.25">
      <c r="A13" s="20">
        <v>12</v>
      </c>
      <c r="B13" s="22" t="s">
        <v>214</v>
      </c>
      <c r="C13" s="20" t="s">
        <v>2545</v>
      </c>
    </row>
    <row r="14" spans="1:3" ht="24" x14ac:dyDescent="0.25">
      <c r="A14" s="20">
        <v>13</v>
      </c>
      <c r="B14" s="22" t="s">
        <v>225</v>
      </c>
      <c r="C14" s="20" t="s">
        <v>2546</v>
      </c>
    </row>
    <row r="15" spans="1:3" ht="24" x14ac:dyDescent="0.25">
      <c r="A15" s="20">
        <v>14</v>
      </c>
      <c r="B15" s="22" t="s">
        <v>226</v>
      </c>
      <c r="C15" s="20" t="s">
        <v>2547</v>
      </c>
    </row>
    <row r="16" spans="1:3" ht="24" x14ac:dyDescent="0.25">
      <c r="A16" s="20">
        <v>15</v>
      </c>
      <c r="B16" s="22" t="s">
        <v>237</v>
      </c>
      <c r="C16" s="20" t="s">
        <v>2548</v>
      </c>
    </row>
    <row r="17" spans="1:3" x14ac:dyDescent="0.25">
      <c r="A17" s="20">
        <v>16</v>
      </c>
      <c r="B17" s="22" t="s">
        <v>238</v>
      </c>
      <c r="C17" s="20" t="s">
        <v>2548</v>
      </c>
    </row>
    <row r="18" spans="1:3" ht="24" x14ac:dyDescent="0.25">
      <c r="A18" s="20">
        <v>17</v>
      </c>
      <c r="B18" s="22" t="s">
        <v>248</v>
      </c>
      <c r="C18" s="20" t="s">
        <v>2549</v>
      </c>
    </row>
    <row r="19" spans="1:3" ht="24" x14ac:dyDescent="0.25">
      <c r="A19" s="20">
        <v>18</v>
      </c>
      <c r="B19" s="22" t="s">
        <v>258</v>
      </c>
      <c r="C19" s="20" t="s">
        <v>2550</v>
      </c>
    </row>
    <row r="20" spans="1:3" ht="24" x14ac:dyDescent="0.25">
      <c r="A20" s="20">
        <v>19</v>
      </c>
      <c r="B20" s="22" t="s">
        <v>271</v>
      </c>
      <c r="C20" s="20" t="s">
        <v>2551</v>
      </c>
    </row>
    <row r="21" spans="1:3" x14ac:dyDescent="0.25">
      <c r="A21" s="20">
        <v>20</v>
      </c>
      <c r="B21" s="22" t="s">
        <v>272</v>
      </c>
      <c r="C21" s="20" t="s">
        <v>2552</v>
      </c>
    </row>
    <row r="22" spans="1:3" x14ac:dyDescent="0.25">
      <c r="A22" s="20">
        <v>21</v>
      </c>
      <c r="B22" s="22" t="s">
        <v>283</v>
      </c>
      <c r="C22" s="20" t="s">
        <v>2553</v>
      </c>
    </row>
    <row r="23" spans="1:3" x14ac:dyDescent="0.25">
      <c r="A23" s="20">
        <v>22</v>
      </c>
      <c r="B23" s="22" t="s">
        <v>284</v>
      </c>
      <c r="C23" s="20" t="s">
        <v>2553</v>
      </c>
    </row>
    <row r="24" spans="1:3" x14ac:dyDescent="0.25">
      <c r="A24" s="20">
        <v>23</v>
      </c>
      <c r="B24" s="22" t="s">
        <v>294</v>
      </c>
      <c r="C24" s="20" t="s">
        <v>2554</v>
      </c>
    </row>
    <row r="25" spans="1:3" x14ac:dyDescent="0.25">
      <c r="A25" s="20">
        <v>24</v>
      </c>
      <c r="B25" s="22" t="s">
        <v>295</v>
      </c>
      <c r="C25" s="20" t="s">
        <v>2554</v>
      </c>
    </row>
    <row r="26" spans="1:3" x14ac:dyDescent="0.25">
      <c r="A26" s="20">
        <v>25</v>
      </c>
      <c r="B26" s="22" t="s">
        <v>303</v>
      </c>
      <c r="C26" s="20" t="s">
        <v>2555</v>
      </c>
    </row>
    <row r="27" spans="1:3" x14ac:dyDescent="0.25">
      <c r="A27" s="20">
        <v>26</v>
      </c>
      <c r="B27" s="22" t="s">
        <v>304</v>
      </c>
      <c r="C27" s="20" t="s">
        <v>2555</v>
      </c>
    </row>
    <row r="28" spans="1:3" x14ac:dyDescent="0.25">
      <c r="A28" s="20">
        <v>27</v>
      </c>
      <c r="B28" s="22" t="s">
        <v>314</v>
      </c>
      <c r="C28" s="20" t="s">
        <v>2556</v>
      </c>
    </row>
    <row r="29" spans="1:3" ht="24" x14ac:dyDescent="0.25">
      <c r="A29" s="20">
        <v>28</v>
      </c>
      <c r="B29" s="22" t="s">
        <v>315</v>
      </c>
      <c r="C29" s="20" t="s">
        <v>2556</v>
      </c>
    </row>
    <row r="30" spans="1:3" x14ac:dyDescent="0.25">
      <c r="A30" s="20">
        <v>29</v>
      </c>
      <c r="B30" s="22" t="s">
        <v>326</v>
      </c>
      <c r="C30" s="20" t="s">
        <v>2557</v>
      </c>
    </row>
    <row r="31" spans="1:3" x14ac:dyDescent="0.25">
      <c r="A31" s="20">
        <v>30</v>
      </c>
      <c r="B31" s="22" t="s">
        <v>327</v>
      </c>
      <c r="C31" s="20" t="s">
        <v>2557</v>
      </c>
    </row>
    <row r="32" spans="1:3" ht="24" x14ac:dyDescent="0.25">
      <c r="A32" s="20">
        <v>31</v>
      </c>
      <c r="B32" s="22" t="s">
        <v>339</v>
      </c>
      <c r="C32" s="20" t="s">
        <v>2558</v>
      </c>
    </row>
    <row r="33" spans="1:3" x14ac:dyDescent="0.25">
      <c r="A33" s="20">
        <v>32</v>
      </c>
      <c r="B33" s="22" t="s">
        <v>349</v>
      </c>
      <c r="C33" s="20" t="s">
        <v>2559</v>
      </c>
    </row>
    <row r="34" spans="1:3" ht="24" x14ac:dyDescent="0.25">
      <c r="A34" s="20">
        <v>33</v>
      </c>
      <c r="B34" s="22" t="s">
        <v>350</v>
      </c>
      <c r="C34" s="20" t="s">
        <v>2559</v>
      </c>
    </row>
    <row r="35" spans="1:3" x14ac:dyDescent="0.25">
      <c r="A35" s="20">
        <v>34</v>
      </c>
      <c r="B35" s="22" t="s">
        <v>361</v>
      </c>
      <c r="C35" s="20" t="s">
        <v>2560</v>
      </c>
    </row>
    <row r="36" spans="1:3" ht="24" x14ac:dyDescent="0.25">
      <c r="A36" s="20">
        <v>35</v>
      </c>
      <c r="B36" s="22" t="s">
        <v>362</v>
      </c>
      <c r="C36" s="20" t="s">
        <v>2560</v>
      </c>
    </row>
    <row r="37" spans="1:3" ht="24" x14ac:dyDescent="0.25">
      <c r="A37" s="20">
        <v>36</v>
      </c>
      <c r="B37" s="22" t="s">
        <v>370</v>
      </c>
      <c r="C37" s="20" t="s">
        <v>2561</v>
      </c>
    </row>
    <row r="38" spans="1:3" ht="24" x14ac:dyDescent="0.25">
      <c r="A38" s="20">
        <v>37</v>
      </c>
      <c r="B38" s="22" t="s">
        <v>380</v>
      </c>
      <c r="C38" s="20" t="s">
        <v>2562</v>
      </c>
    </row>
    <row r="39" spans="1:3" x14ac:dyDescent="0.25">
      <c r="A39" s="20">
        <v>38</v>
      </c>
      <c r="B39" s="22" t="s">
        <v>391</v>
      </c>
      <c r="C39" s="20" t="s">
        <v>2563</v>
      </c>
    </row>
    <row r="40" spans="1:3" ht="24" x14ac:dyDescent="0.25">
      <c r="A40" s="20">
        <v>39</v>
      </c>
      <c r="B40" s="22" t="s">
        <v>402</v>
      </c>
      <c r="C40" s="20" t="s">
        <v>2564</v>
      </c>
    </row>
    <row r="41" spans="1:3" ht="24" x14ac:dyDescent="0.25">
      <c r="A41" s="20">
        <v>40</v>
      </c>
      <c r="B41" s="22" t="s">
        <v>413</v>
      </c>
      <c r="C41" s="20" t="s">
        <v>2565</v>
      </c>
    </row>
    <row r="42" spans="1:3" ht="24" x14ac:dyDescent="0.25">
      <c r="A42" s="20">
        <v>41</v>
      </c>
      <c r="B42" s="22" t="s">
        <v>414</v>
      </c>
      <c r="C42" s="20" t="s">
        <v>2565</v>
      </c>
    </row>
    <row r="43" spans="1:3" ht="24" x14ac:dyDescent="0.25">
      <c r="A43" s="20">
        <v>42</v>
      </c>
      <c r="B43" s="22" t="s">
        <v>425</v>
      </c>
      <c r="C43" s="20" t="s">
        <v>2566</v>
      </c>
    </row>
    <row r="44" spans="1:3" ht="24" x14ac:dyDescent="0.25">
      <c r="A44" s="20">
        <v>43</v>
      </c>
      <c r="B44" s="22" t="s">
        <v>433</v>
      </c>
      <c r="C44" s="20" t="s">
        <v>2567</v>
      </c>
    </row>
    <row r="45" spans="1:3" ht="48" x14ac:dyDescent="0.25">
      <c r="A45" s="20">
        <v>44</v>
      </c>
      <c r="B45" s="22" t="s">
        <v>445</v>
      </c>
      <c r="C45" s="20" t="s">
        <v>2568</v>
      </c>
    </row>
    <row r="46" spans="1:3" x14ac:dyDescent="0.25">
      <c r="A46" s="20">
        <v>45</v>
      </c>
      <c r="B46" s="22" t="s">
        <v>446</v>
      </c>
      <c r="C46" s="20" t="s">
        <v>2569</v>
      </c>
    </row>
    <row r="47" spans="1:3" ht="96" x14ac:dyDescent="0.25">
      <c r="A47" s="20">
        <v>46</v>
      </c>
      <c r="B47" s="22" t="s">
        <v>458</v>
      </c>
      <c r="C47" s="20" t="s">
        <v>2570</v>
      </c>
    </row>
    <row r="48" spans="1:3" ht="48" x14ac:dyDescent="0.25">
      <c r="A48" s="20">
        <v>47</v>
      </c>
      <c r="B48" s="22" t="s">
        <v>459</v>
      </c>
      <c r="C48" s="20" t="s">
        <v>2571</v>
      </c>
    </row>
    <row r="49" spans="1:3" ht="24" x14ac:dyDescent="0.25">
      <c r="A49" s="20">
        <v>48</v>
      </c>
      <c r="B49" s="22" t="s">
        <v>469</v>
      </c>
      <c r="C49" s="20" t="s">
        <v>2572</v>
      </c>
    </row>
    <row r="50" spans="1:3" ht="24" x14ac:dyDescent="0.25">
      <c r="A50" s="20">
        <v>49</v>
      </c>
      <c r="B50" s="22" t="s">
        <v>490</v>
      </c>
      <c r="C50" s="20" t="s">
        <v>2573</v>
      </c>
    </row>
    <row r="51" spans="1:3" x14ac:dyDescent="0.25">
      <c r="A51" s="20">
        <v>50</v>
      </c>
      <c r="B51" s="22" t="s">
        <v>491</v>
      </c>
      <c r="C51" s="20" t="s">
        <v>2574</v>
      </c>
    </row>
    <row r="52" spans="1:3" ht="48" x14ac:dyDescent="0.25">
      <c r="A52" s="20">
        <v>51</v>
      </c>
      <c r="B52" s="22" t="s">
        <v>502</v>
      </c>
      <c r="C52" s="20" t="s">
        <v>2575</v>
      </c>
    </row>
    <row r="53" spans="1:3" ht="24" x14ac:dyDescent="0.25">
      <c r="A53" s="20">
        <v>52</v>
      </c>
      <c r="B53" s="22" t="s">
        <v>512</v>
      </c>
      <c r="C53" s="20" t="s">
        <v>2576</v>
      </c>
    </row>
    <row r="54" spans="1:3" x14ac:dyDescent="0.25">
      <c r="A54" s="20">
        <v>53</v>
      </c>
      <c r="B54" s="22" t="s">
        <v>513</v>
      </c>
      <c r="C54" s="20" t="s">
        <v>2577</v>
      </c>
    </row>
    <row r="55" spans="1:3" ht="24" x14ac:dyDescent="0.25">
      <c r="A55" s="20">
        <v>54</v>
      </c>
      <c r="B55" s="22" t="s">
        <v>533</v>
      </c>
      <c r="C55" s="20" t="s">
        <v>2578</v>
      </c>
    </row>
    <row r="56" spans="1:3" x14ac:dyDescent="0.25">
      <c r="A56" s="20">
        <v>55</v>
      </c>
      <c r="B56" s="22" t="s">
        <v>563</v>
      </c>
      <c r="C56" s="20" t="s">
        <v>2579</v>
      </c>
    </row>
    <row r="57" spans="1:3" ht="24" x14ac:dyDescent="0.25">
      <c r="A57" s="20">
        <v>56</v>
      </c>
      <c r="B57" s="22" t="s">
        <v>584</v>
      </c>
      <c r="C57" s="20" t="s">
        <v>2580</v>
      </c>
    </row>
    <row r="58" spans="1:3" ht="24" x14ac:dyDescent="0.25">
      <c r="A58" s="20">
        <v>57</v>
      </c>
      <c r="B58" s="22" t="s">
        <v>598</v>
      </c>
      <c r="C58" s="20" t="s">
        <v>2581</v>
      </c>
    </row>
    <row r="59" spans="1:3" ht="24" x14ac:dyDescent="0.25">
      <c r="A59" s="20">
        <v>58</v>
      </c>
      <c r="B59" s="22" t="s">
        <v>599</v>
      </c>
      <c r="C59" s="20" t="s">
        <v>2581</v>
      </c>
    </row>
    <row r="60" spans="1:3" ht="24" x14ac:dyDescent="0.25">
      <c r="A60" s="20">
        <v>59</v>
      </c>
      <c r="B60" s="22" t="s">
        <v>610</v>
      </c>
      <c r="C60" s="20" t="s">
        <v>2582</v>
      </c>
    </row>
    <row r="61" spans="1:3" ht="36" x14ac:dyDescent="0.25">
      <c r="A61" s="20">
        <v>60</v>
      </c>
      <c r="B61" s="22" t="s">
        <v>624</v>
      </c>
      <c r="C61" s="20" t="s">
        <v>2583</v>
      </c>
    </row>
    <row r="62" spans="1:3" ht="24" x14ac:dyDescent="0.25">
      <c r="A62" s="20">
        <v>61</v>
      </c>
      <c r="B62" s="22" t="s">
        <v>625</v>
      </c>
      <c r="C62" s="20" t="s">
        <v>2584</v>
      </c>
    </row>
    <row r="63" spans="1:3" ht="24" x14ac:dyDescent="0.25">
      <c r="A63" s="20">
        <v>62</v>
      </c>
      <c r="B63" s="22" t="s">
        <v>643</v>
      </c>
      <c r="C63" s="20" t="s">
        <v>2585</v>
      </c>
    </row>
    <row r="64" spans="1:3" ht="72" x14ac:dyDescent="0.25">
      <c r="A64" s="20">
        <v>63</v>
      </c>
      <c r="B64" s="22" t="s">
        <v>644</v>
      </c>
      <c r="C64" s="20" t="s">
        <v>2586</v>
      </c>
    </row>
    <row r="65" spans="1:3" ht="24" x14ac:dyDescent="0.25">
      <c r="A65" s="20">
        <v>64</v>
      </c>
      <c r="B65" s="22" t="s">
        <v>671</v>
      </c>
      <c r="C65" s="20" t="s">
        <v>2587</v>
      </c>
    </row>
    <row r="66" spans="1:3" ht="48" x14ac:dyDescent="0.25">
      <c r="A66" s="20">
        <v>65</v>
      </c>
      <c r="B66" s="22" t="s">
        <v>681</v>
      </c>
      <c r="C66" s="20" t="s">
        <v>2588</v>
      </c>
    </row>
    <row r="67" spans="1:3" ht="24" x14ac:dyDescent="0.25">
      <c r="A67" s="20">
        <v>66</v>
      </c>
      <c r="B67" s="22" t="s">
        <v>695</v>
      </c>
      <c r="C67" s="20" t="s">
        <v>2589</v>
      </c>
    </row>
    <row r="68" spans="1:3" x14ac:dyDescent="0.25">
      <c r="A68" s="20">
        <v>67</v>
      </c>
      <c r="B68" s="22" t="s">
        <v>707</v>
      </c>
      <c r="C68" s="20" t="s">
        <v>2590</v>
      </c>
    </row>
    <row r="69" spans="1:3" ht="24" x14ac:dyDescent="0.25">
      <c r="A69" s="20">
        <v>68</v>
      </c>
      <c r="B69" s="22" t="s">
        <v>708</v>
      </c>
      <c r="C69" s="20" t="s">
        <v>2590</v>
      </c>
    </row>
    <row r="70" spans="1:3" ht="48" x14ac:dyDescent="0.25">
      <c r="A70" s="20">
        <v>69</v>
      </c>
      <c r="B70" s="22" t="s">
        <v>716</v>
      </c>
      <c r="C70" s="20" t="s">
        <v>2591</v>
      </c>
    </row>
    <row r="71" spans="1:3" ht="24" x14ac:dyDescent="0.25">
      <c r="A71" s="20">
        <v>70</v>
      </c>
      <c r="B71" s="22" t="s">
        <v>730</v>
      </c>
      <c r="C71" s="20" t="s">
        <v>2592</v>
      </c>
    </row>
    <row r="72" spans="1:3" x14ac:dyDescent="0.25">
      <c r="A72" s="20">
        <v>71</v>
      </c>
      <c r="B72" s="22" t="s">
        <v>731</v>
      </c>
      <c r="C72" s="20" t="s">
        <v>2592</v>
      </c>
    </row>
    <row r="73" spans="1:3" ht="48" x14ac:dyDescent="0.25">
      <c r="A73" s="20">
        <v>72</v>
      </c>
      <c r="B73" s="22" t="s">
        <v>741</v>
      </c>
      <c r="C73" s="20" t="s">
        <v>2593</v>
      </c>
    </row>
    <row r="74" spans="1:3" x14ac:dyDescent="0.25">
      <c r="A74" s="20">
        <v>73</v>
      </c>
      <c r="B74" s="22" t="s">
        <v>754</v>
      </c>
      <c r="C74" s="20" t="s">
        <v>2594</v>
      </c>
    </row>
    <row r="75" spans="1:3" x14ac:dyDescent="0.25">
      <c r="A75" s="20">
        <v>74</v>
      </c>
      <c r="B75" s="22" t="s">
        <v>761</v>
      </c>
      <c r="C75" s="20" t="s">
        <v>2595</v>
      </c>
    </row>
    <row r="76" spans="1:3" x14ac:dyDescent="0.25">
      <c r="A76" s="20">
        <v>75</v>
      </c>
      <c r="B76" s="22" t="s">
        <v>770</v>
      </c>
      <c r="C76" s="20" t="s">
        <v>2596</v>
      </c>
    </row>
    <row r="77" spans="1:3" ht="48" x14ac:dyDescent="0.25">
      <c r="A77" s="20">
        <v>76</v>
      </c>
      <c r="B77" s="22" t="s">
        <v>785</v>
      </c>
      <c r="C77" s="20" t="s">
        <v>2597</v>
      </c>
    </row>
    <row r="78" spans="1:3" ht="24" x14ac:dyDescent="0.25">
      <c r="A78" s="20">
        <v>77</v>
      </c>
      <c r="B78" s="22" t="s">
        <v>786</v>
      </c>
      <c r="C78" s="20" t="s">
        <v>2598</v>
      </c>
    </row>
    <row r="79" spans="1:3" ht="24" x14ac:dyDescent="0.25">
      <c r="A79" s="20">
        <v>78</v>
      </c>
      <c r="B79" s="22" t="s">
        <v>799</v>
      </c>
      <c r="C79" s="20" t="s">
        <v>2599</v>
      </c>
    </row>
    <row r="80" spans="1:3" ht="24" x14ac:dyDescent="0.25">
      <c r="A80" s="20">
        <v>79</v>
      </c>
      <c r="B80" s="22" t="s">
        <v>808</v>
      </c>
      <c r="C80" s="20" t="s">
        <v>2600</v>
      </c>
    </row>
    <row r="81" spans="1:3" ht="24" x14ac:dyDescent="0.25">
      <c r="A81" s="20">
        <v>80</v>
      </c>
      <c r="B81" s="22" t="s">
        <v>819</v>
      </c>
      <c r="C81" s="20" t="s">
        <v>2601</v>
      </c>
    </row>
    <row r="82" spans="1:3" ht="24" x14ac:dyDescent="0.25">
      <c r="A82" s="20">
        <v>81</v>
      </c>
      <c r="B82" s="22" t="s">
        <v>820</v>
      </c>
      <c r="C82" s="20" t="s">
        <v>2602</v>
      </c>
    </row>
    <row r="83" spans="1:3" x14ac:dyDescent="0.25">
      <c r="A83" s="20">
        <v>82</v>
      </c>
      <c r="B83" s="22" t="s">
        <v>829</v>
      </c>
      <c r="C83" s="20" t="s">
        <v>2603</v>
      </c>
    </row>
    <row r="84" spans="1:3" ht="24" x14ac:dyDescent="0.25">
      <c r="A84" s="20">
        <v>83</v>
      </c>
      <c r="B84" s="22" t="s">
        <v>838</v>
      </c>
      <c r="C84" s="20" t="s">
        <v>2604</v>
      </c>
    </row>
    <row r="85" spans="1:3" ht="24" x14ac:dyDescent="0.25">
      <c r="A85" s="20">
        <v>84</v>
      </c>
      <c r="B85" s="22" t="s">
        <v>847</v>
      </c>
      <c r="C85" s="20" t="s">
        <v>2605</v>
      </c>
    </row>
    <row r="86" spans="1:3" ht="24" x14ac:dyDescent="0.25">
      <c r="A86" s="20">
        <v>85</v>
      </c>
      <c r="B86" s="22" t="s">
        <v>859</v>
      </c>
      <c r="C86" s="20" t="s">
        <v>2606</v>
      </c>
    </row>
    <row r="87" spans="1:3" x14ac:dyDescent="0.25">
      <c r="A87" s="20">
        <v>86</v>
      </c>
      <c r="B87" s="22" t="s">
        <v>860</v>
      </c>
      <c r="C87" s="20" t="s">
        <v>2606</v>
      </c>
    </row>
    <row r="88" spans="1:3" ht="24" x14ac:dyDescent="0.25">
      <c r="A88" s="20">
        <v>87</v>
      </c>
      <c r="B88" s="22" t="s">
        <v>871</v>
      </c>
      <c r="C88" s="20" t="s">
        <v>2607</v>
      </c>
    </row>
    <row r="89" spans="1:3" ht="24" x14ac:dyDescent="0.25">
      <c r="A89" s="20">
        <v>88</v>
      </c>
      <c r="B89" s="22" t="s">
        <v>881</v>
      </c>
      <c r="C89" s="20" t="s">
        <v>2608</v>
      </c>
    </row>
    <row r="90" spans="1:3" x14ac:dyDescent="0.25">
      <c r="A90" s="20">
        <v>89</v>
      </c>
      <c r="B90" s="22" t="s">
        <v>882</v>
      </c>
      <c r="C90" s="20" t="s">
        <v>2609</v>
      </c>
    </row>
    <row r="91" spans="1:3" x14ac:dyDescent="0.25">
      <c r="A91" s="20">
        <v>90</v>
      </c>
      <c r="B91" s="22" t="s">
        <v>900</v>
      </c>
      <c r="C91" s="20" t="s">
        <v>2610</v>
      </c>
    </row>
    <row r="92" spans="1:3" ht="48" x14ac:dyDescent="0.25">
      <c r="A92" s="20">
        <v>91</v>
      </c>
      <c r="B92" s="22" t="s">
        <v>901</v>
      </c>
      <c r="C92" s="20" t="s">
        <v>2611</v>
      </c>
    </row>
    <row r="93" spans="1:3" ht="192" x14ac:dyDescent="0.25">
      <c r="A93" s="20">
        <v>92</v>
      </c>
      <c r="B93" s="22" t="s">
        <v>923</v>
      </c>
      <c r="C93" s="20" t="s">
        <v>2612</v>
      </c>
    </row>
    <row r="94" spans="1:3" ht="24" x14ac:dyDescent="0.25">
      <c r="A94" s="20">
        <v>93</v>
      </c>
      <c r="B94" s="22" t="s">
        <v>934</v>
      </c>
      <c r="C94" s="20" t="s">
        <v>2613</v>
      </c>
    </row>
    <row r="95" spans="1:3" ht="24" x14ac:dyDescent="0.25">
      <c r="A95" s="20">
        <v>94</v>
      </c>
      <c r="B95" s="22" t="s">
        <v>943</v>
      </c>
      <c r="C95" s="20" t="s">
        <v>2614</v>
      </c>
    </row>
    <row r="96" spans="1:3" ht="24" x14ac:dyDescent="0.25">
      <c r="A96" s="20">
        <v>95</v>
      </c>
      <c r="B96" s="22" t="s">
        <v>954</v>
      </c>
      <c r="C96" s="20" t="s">
        <v>2615</v>
      </c>
    </row>
    <row r="97" spans="1:3" x14ac:dyDescent="0.25">
      <c r="A97" s="20">
        <v>96</v>
      </c>
      <c r="B97" s="22" t="s">
        <v>977</v>
      </c>
      <c r="C97" s="20" t="s">
        <v>2616</v>
      </c>
    </row>
    <row r="98" spans="1:3" ht="24" x14ac:dyDescent="0.25">
      <c r="A98" s="20">
        <v>97</v>
      </c>
      <c r="B98" s="22" t="s">
        <v>1003</v>
      </c>
      <c r="C98" s="20" t="s">
        <v>2617</v>
      </c>
    </row>
    <row r="99" spans="1:3" ht="24" x14ac:dyDescent="0.25">
      <c r="A99" s="20">
        <v>98</v>
      </c>
      <c r="B99" s="22" t="s">
        <v>1010</v>
      </c>
      <c r="C99" s="20" t="s">
        <v>2618</v>
      </c>
    </row>
    <row r="100" spans="1:3" ht="48" x14ac:dyDescent="0.25">
      <c r="A100" s="20">
        <v>99</v>
      </c>
      <c r="B100" s="22" t="s">
        <v>1051</v>
      </c>
      <c r="C100" s="20" t="s">
        <v>2619</v>
      </c>
    </row>
    <row r="101" spans="1:3" ht="24" x14ac:dyDescent="0.25">
      <c r="A101" s="20">
        <v>100</v>
      </c>
      <c r="B101" s="22" t="s">
        <v>1084</v>
      </c>
      <c r="C101" s="20" t="s">
        <v>2620</v>
      </c>
    </row>
    <row r="102" spans="1:3" ht="24" x14ac:dyDescent="0.25">
      <c r="A102" s="20">
        <v>101</v>
      </c>
      <c r="B102" s="22" t="s">
        <v>1094</v>
      </c>
      <c r="C102" s="20" t="s">
        <v>2621</v>
      </c>
    </row>
    <row r="103" spans="1:3" x14ac:dyDescent="0.25">
      <c r="A103" s="20">
        <v>102</v>
      </c>
      <c r="B103" s="22" t="s">
        <v>1104</v>
      </c>
      <c r="C103" s="20" t="s">
        <v>2622</v>
      </c>
    </row>
    <row r="104" spans="1:3" ht="24" x14ac:dyDescent="0.25">
      <c r="A104" s="20">
        <v>103</v>
      </c>
      <c r="B104" s="22" t="s">
        <v>1113</v>
      </c>
      <c r="C104" s="20" t="s">
        <v>2623</v>
      </c>
    </row>
    <row r="105" spans="1:3" ht="24" x14ac:dyDescent="0.25">
      <c r="A105" s="20">
        <v>104</v>
      </c>
      <c r="B105" s="22" t="s">
        <v>1120</v>
      </c>
      <c r="C105" s="20" t="s">
        <v>2624</v>
      </c>
    </row>
    <row r="106" spans="1:3" ht="24" x14ac:dyDescent="0.25">
      <c r="A106" s="20">
        <v>105</v>
      </c>
      <c r="B106" s="22" t="s">
        <v>1129</v>
      </c>
      <c r="C106" s="20" t="s">
        <v>2625</v>
      </c>
    </row>
    <row r="107" spans="1:3" ht="24" x14ac:dyDescent="0.25">
      <c r="A107" s="20">
        <v>106</v>
      </c>
      <c r="B107" s="22" t="s">
        <v>1138</v>
      </c>
      <c r="C107" s="20" t="s">
        <v>2626</v>
      </c>
    </row>
    <row r="108" spans="1:3" ht="24" x14ac:dyDescent="0.25">
      <c r="A108" s="20">
        <v>107</v>
      </c>
      <c r="B108" s="22" t="s">
        <v>1154</v>
      </c>
      <c r="C108" s="20" t="s">
        <v>2627</v>
      </c>
    </row>
    <row r="109" spans="1:3" x14ac:dyDescent="0.25">
      <c r="A109" s="20">
        <v>108</v>
      </c>
      <c r="B109" s="22" t="s">
        <v>1177</v>
      </c>
      <c r="C109" s="20" t="s">
        <v>2628</v>
      </c>
    </row>
    <row r="110" spans="1:3" ht="24" x14ac:dyDescent="0.25">
      <c r="A110" s="20">
        <v>109</v>
      </c>
      <c r="B110" s="22" t="s">
        <v>1187</v>
      </c>
      <c r="C110" s="20" t="s">
        <v>2629</v>
      </c>
    </row>
    <row r="111" spans="1:3" ht="24" x14ac:dyDescent="0.25">
      <c r="A111" s="20">
        <v>110</v>
      </c>
      <c r="B111" s="22" t="s">
        <v>1229</v>
      </c>
      <c r="C111" s="20" t="s">
        <v>2630</v>
      </c>
    </row>
    <row r="112" spans="1:3" ht="24" x14ac:dyDescent="0.25">
      <c r="A112" s="20">
        <v>111</v>
      </c>
      <c r="B112" s="22" t="s">
        <v>1246</v>
      </c>
      <c r="C112" s="20" t="s">
        <v>2631</v>
      </c>
    </row>
    <row r="113" spans="1:3" ht="36" x14ac:dyDescent="0.25">
      <c r="A113" s="20">
        <v>112</v>
      </c>
      <c r="B113" s="22" t="s">
        <v>1259</v>
      </c>
      <c r="C113" s="20" t="s">
        <v>2632</v>
      </c>
    </row>
    <row r="114" spans="1:3" ht="24" x14ac:dyDescent="0.25">
      <c r="A114" s="20">
        <v>113</v>
      </c>
      <c r="B114" s="22" t="s">
        <v>1266</v>
      </c>
      <c r="C114" s="20" t="s">
        <v>2633</v>
      </c>
    </row>
    <row r="115" spans="1:3" ht="24" x14ac:dyDescent="0.25">
      <c r="A115" s="20">
        <v>114</v>
      </c>
      <c r="B115" s="22" t="s">
        <v>1272</v>
      </c>
      <c r="C115" s="20" t="s">
        <v>2634</v>
      </c>
    </row>
    <row r="116" spans="1:3" ht="24" x14ac:dyDescent="0.25">
      <c r="A116" s="20">
        <v>115</v>
      </c>
      <c r="B116" s="22" t="s">
        <v>1287</v>
      </c>
      <c r="C116" s="20" t="s">
        <v>2635</v>
      </c>
    </row>
    <row r="117" spans="1:3" ht="24" x14ac:dyDescent="0.25">
      <c r="A117" s="20">
        <v>116</v>
      </c>
      <c r="B117" s="22" t="s">
        <v>1307</v>
      </c>
      <c r="C117" s="20" t="s">
        <v>2636</v>
      </c>
    </row>
    <row r="118" spans="1:3" ht="24" x14ac:dyDescent="0.25">
      <c r="A118" s="20">
        <v>117</v>
      </c>
      <c r="B118" s="22" t="s">
        <v>1323</v>
      </c>
      <c r="C118" s="20" t="s">
        <v>2637</v>
      </c>
    </row>
    <row r="119" spans="1:3" ht="24" x14ac:dyDescent="0.25">
      <c r="A119" s="20">
        <v>118</v>
      </c>
      <c r="B119" s="22" t="s">
        <v>1335</v>
      </c>
      <c r="C119" s="20" t="s">
        <v>2638</v>
      </c>
    </row>
    <row r="120" spans="1:3" ht="36" x14ac:dyDescent="0.25">
      <c r="A120" s="20">
        <v>119</v>
      </c>
      <c r="B120" s="22" t="s">
        <v>1345</v>
      </c>
      <c r="C120" s="20" t="s">
        <v>2639</v>
      </c>
    </row>
    <row r="121" spans="1:3" x14ac:dyDescent="0.25">
      <c r="A121" s="20">
        <v>120</v>
      </c>
      <c r="B121" s="22" t="s">
        <v>1368</v>
      </c>
      <c r="C121" s="20" t="s">
        <v>2640</v>
      </c>
    </row>
    <row r="122" spans="1:3" ht="24" x14ac:dyDescent="0.25">
      <c r="A122" s="20">
        <v>121</v>
      </c>
      <c r="B122" s="22" t="s">
        <v>1378</v>
      </c>
      <c r="C122" s="20" t="s">
        <v>2641</v>
      </c>
    </row>
    <row r="123" spans="1:3" ht="24" x14ac:dyDescent="0.25">
      <c r="A123" s="20">
        <v>122</v>
      </c>
      <c r="B123" s="22" t="s">
        <v>1395</v>
      </c>
      <c r="C123" s="20" t="s">
        <v>2642</v>
      </c>
    </row>
    <row r="124" spans="1:3" ht="36" x14ac:dyDescent="0.25">
      <c r="A124" s="20">
        <v>123</v>
      </c>
      <c r="B124" s="22" t="s">
        <v>1411</v>
      </c>
      <c r="C124" s="20" t="s">
        <v>2643</v>
      </c>
    </row>
    <row r="125" spans="1:3" x14ac:dyDescent="0.25">
      <c r="A125" s="20">
        <v>124</v>
      </c>
      <c r="B125" s="22" t="s">
        <v>1420</v>
      </c>
      <c r="C125" s="20" t="s">
        <v>2644</v>
      </c>
    </row>
    <row r="126" spans="1:3" ht="24" x14ac:dyDescent="0.25">
      <c r="A126" s="20">
        <v>125</v>
      </c>
      <c r="B126" s="22" t="s">
        <v>1440</v>
      </c>
      <c r="C126" s="20" t="s">
        <v>2645</v>
      </c>
    </row>
    <row r="127" spans="1:3" ht="24" x14ac:dyDescent="0.25">
      <c r="A127" s="20">
        <v>126</v>
      </c>
      <c r="B127" s="22" t="s">
        <v>1456</v>
      </c>
      <c r="C127" s="20" t="s">
        <v>2646</v>
      </c>
    </row>
    <row r="128" spans="1:3" x14ac:dyDescent="0.25">
      <c r="A128" s="20">
        <v>127</v>
      </c>
      <c r="B128" s="22" t="s">
        <v>1477</v>
      </c>
      <c r="C128" s="20" t="s">
        <v>2647</v>
      </c>
    </row>
    <row r="129" spans="1:3" ht="24" x14ac:dyDescent="0.25">
      <c r="A129" s="20">
        <v>128</v>
      </c>
      <c r="B129" s="22" t="s">
        <v>1487</v>
      </c>
      <c r="C129" s="20" t="s">
        <v>2648</v>
      </c>
    </row>
    <row r="130" spans="1:3" ht="24" x14ac:dyDescent="0.25">
      <c r="A130" s="20">
        <v>129</v>
      </c>
      <c r="B130" s="22" t="s">
        <v>1510</v>
      </c>
      <c r="C130" s="20" t="s">
        <v>2649</v>
      </c>
    </row>
    <row r="131" spans="1:3" ht="24" x14ac:dyDescent="0.25">
      <c r="A131" s="20">
        <v>130</v>
      </c>
      <c r="B131" s="22" t="s">
        <v>1518</v>
      </c>
      <c r="C131" s="20" t="s">
        <v>2650</v>
      </c>
    </row>
    <row r="132" spans="1:3" x14ac:dyDescent="0.25">
      <c r="A132" s="20">
        <v>131</v>
      </c>
      <c r="B132" s="22" t="s">
        <v>1525</v>
      </c>
      <c r="C132" s="20" t="s">
        <v>2651</v>
      </c>
    </row>
    <row r="133" spans="1:3" ht="24" x14ac:dyDescent="0.25">
      <c r="A133" s="20">
        <v>132</v>
      </c>
      <c r="B133" s="22" t="s">
        <v>1540</v>
      </c>
      <c r="C133" s="20" t="s">
        <v>2652</v>
      </c>
    </row>
    <row r="134" spans="1:3" ht="24" x14ac:dyDescent="0.25">
      <c r="A134" s="20">
        <v>133</v>
      </c>
      <c r="B134" s="22" t="s">
        <v>1549</v>
      </c>
      <c r="C134" s="20" t="s">
        <v>2653</v>
      </c>
    </row>
    <row r="135" spans="1:3" ht="24" x14ac:dyDescent="0.25">
      <c r="A135" s="20">
        <v>134</v>
      </c>
      <c r="B135" s="22" t="s">
        <v>1555</v>
      </c>
      <c r="C135" s="20" t="s">
        <v>2654</v>
      </c>
    </row>
    <row r="136" spans="1:3" ht="24" x14ac:dyDescent="0.25">
      <c r="A136" s="20">
        <v>135</v>
      </c>
      <c r="B136" s="22" t="s">
        <v>1589</v>
      </c>
      <c r="C136" s="20" t="s">
        <v>2655</v>
      </c>
    </row>
    <row r="137" spans="1:3" ht="24" x14ac:dyDescent="0.25">
      <c r="A137" s="20">
        <v>136</v>
      </c>
      <c r="B137" s="22" t="s">
        <v>1603</v>
      </c>
      <c r="C137" s="20" t="s">
        <v>2656</v>
      </c>
    </row>
    <row r="138" spans="1:3" ht="24" x14ac:dyDescent="0.25">
      <c r="A138" s="20">
        <v>137</v>
      </c>
      <c r="B138" s="22" t="s">
        <v>1627</v>
      </c>
      <c r="C138" s="20" t="s">
        <v>2657</v>
      </c>
    </row>
    <row r="139" spans="1:3" ht="24" x14ac:dyDescent="0.25">
      <c r="A139" s="20">
        <v>138</v>
      </c>
      <c r="B139" s="22" t="s">
        <v>1652</v>
      </c>
      <c r="C139" s="20" t="s">
        <v>2658</v>
      </c>
    </row>
    <row r="140" spans="1:3" ht="24" x14ac:dyDescent="0.25">
      <c r="A140" s="20">
        <v>139</v>
      </c>
      <c r="B140" s="22" t="s">
        <v>1675</v>
      </c>
      <c r="C140" s="20" t="s">
        <v>2659</v>
      </c>
    </row>
    <row r="141" spans="1:3" ht="24" x14ac:dyDescent="0.25">
      <c r="A141" s="20">
        <v>140</v>
      </c>
      <c r="B141" s="22" t="s">
        <v>1709</v>
      </c>
      <c r="C141" s="20" t="s">
        <v>2660</v>
      </c>
    </row>
    <row r="142" spans="1:3" ht="24" x14ac:dyDescent="0.25">
      <c r="A142" s="20">
        <v>141</v>
      </c>
      <c r="B142" s="22" t="s">
        <v>1718</v>
      </c>
      <c r="C142" s="20" t="s">
        <v>2661</v>
      </c>
    </row>
    <row r="143" spans="1:3" ht="24" x14ac:dyDescent="0.25">
      <c r="A143" s="20">
        <v>142</v>
      </c>
      <c r="B143" s="22" t="s">
        <v>1732</v>
      </c>
      <c r="C143" s="20" t="s">
        <v>2662</v>
      </c>
    </row>
    <row r="144" spans="1:3" x14ac:dyDescent="0.25">
      <c r="A144" s="20">
        <v>143</v>
      </c>
      <c r="B144" s="22" t="s">
        <v>1745</v>
      </c>
      <c r="C144" s="20" t="s">
        <v>2663</v>
      </c>
    </row>
    <row r="145" spans="1:3" x14ac:dyDescent="0.25">
      <c r="A145" s="20">
        <v>144</v>
      </c>
      <c r="B145" s="22" t="s">
        <v>2345</v>
      </c>
      <c r="C145" s="20" t="s">
        <v>2664</v>
      </c>
    </row>
    <row r="146" spans="1:3" x14ac:dyDescent="0.25">
      <c r="A146" s="20">
        <v>145</v>
      </c>
      <c r="B146" s="22" t="s">
        <v>2352</v>
      </c>
      <c r="C146" s="20" t="s">
        <v>2665</v>
      </c>
    </row>
    <row r="147" spans="1:3" x14ac:dyDescent="0.25">
      <c r="A147" s="20">
        <v>146</v>
      </c>
      <c r="B147" s="22" t="s">
        <v>2359</v>
      </c>
      <c r="C147" s="20" t="s">
        <v>2666</v>
      </c>
    </row>
    <row r="148" spans="1:3" x14ac:dyDescent="0.25">
      <c r="A148" s="20">
        <v>147</v>
      </c>
      <c r="B148" s="22" t="s">
        <v>2366</v>
      </c>
      <c r="C148" s="20" t="s">
        <v>2667</v>
      </c>
    </row>
    <row r="149" spans="1:3" x14ac:dyDescent="0.25">
      <c r="A149" s="20">
        <v>148</v>
      </c>
      <c r="B149" s="22" t="s">
        <v>2373</v>
      </c>
      <c r="C149" s="20" t="s">
        <v>2668</v>
      </c>
    </row>
    <row r="150" spans="1:3" x14ac:dyDescent="0.25">
      <c r="A150" s="20">
        <v>149</v>
      </c>
      <c r="B150" s="22" t="s">
        <v>2391</v>
      </c>
      <c r="C150" s="20" t="s">
        <v>2669</v>
      </c>
    </row>
    <row r="151" spans="1:3" ht="24" x14ac:dyDescent="0.25">
      <c r="A151" s="20">
        <v>150</v>
      </c>
      <c r="B151" s="22" t="s">
        <v>2398</v>
      </c>
      <c r="C151" s="20" t="s">
        <v>2670</v>
      </c>
    </row>
    <row r="152" spans="1:3" ht="84" x14ac:dyDescent="0.25">
      <c r="A152" s="20">
        <v>151</v>
      </c>
      <c r="B152" s="22" t="s">
        <v>2406</v>
      </c>
      <c r="C152" s="20" t="s">
        <v>2671</v>
      </c>
    </row>
    <row r="153" spans="1:3" ht="24" x14ac:dyDescent="0.25">
      <c r="A153" s="20">
        <v>152</v>
      </c>
      <c r="B153" s="22" t="s">
        <v>2448</v>
      </c>
      <c r="C153" s="20" t="s">
        <v>2672</v>
      </c>
    </row>
    <row r="154" spans="1:3" x14ac:dyDescent="0.25">
      <c r="A154" s="20">
        <v>153</v>
      </c>
      <c r="B154" s="22" t="s">
        <v>2463</v>
      </c>
      <c r="C154" s="20" t="s">
        <v>2673</v>
      </c>
    </row>
    <row r="155" spans="1:3" ht="24" x14ac:dyDescent="0.25">
      <c r="A155" s="20">
        <v>154</v>
      </c>
      <c r="B155" s="22" t="s">
        <v>2470</v>
      </c>
      <c r="C155" s="20" t="s">
        <v>2674</v>
      </c>
    </row>
    <row r="156" spans="1:3" ht="24" x14ac:dyDescent="0.25">
      <c r="A156" s="20">
        <v>155</v>
      </c>
      <c r="B156" s="22" t="s">
        <v>2482</v>
      </c>
      <c r="C156" s="20" t="s">
        <v>2675</v>
      </c>
    </row>
  </sheetData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B6" r:id="rId5" xr:uid="{00000000-0004-0000-0900-000004000000}"/>
    <hyperlink ref="B7" r:id="rId6" xr:uid="{00000000-0004-0000-0900-000005000000}"/>
    <hyperlink ref="B8" r:id="rId7" xr:uid="{00000000-0004-0000-0900-000006000000}"/>
    <hyperlink ref="B9" r:id="rId8" xr:uid="{00000000-0004-0000-0900-000007000000}"/>
    <hyperlink ref="B10" r:id="rId9" xr:uid="{00000000-0004-0000-0900-000008000000}"/>
    <hyperlink ref="B11" r:id="rId10" xr:uid="{00000000-0004-0000-0900-000009000000}"/>
    <hyperlink ref="B12" r:id="rId11" xr:uid="{00000000-0004-0000-0900-00000A000000}"/>
    <hyperlink ref="B13" r:id="rId12" xr:uid="{00000000-0004-0000-0900-00000B000000}"/>
    <hyperlink ref="B14" r:id="rId13" xr:uid="{00000000-0004-0000-0900-00000C000000}"/>
    <hyperlink ref="B15" r:id="rId14" xr:uid="{00000000-0004-0000-0900-00000D000000}"/>
    <hyperlink ref="B16" r:id="rId15" xr:uid="{00000000-0004-0000-0900-00000E000000}"/>
    <hyperlink ref="B17" r:id="rId16" xr:uid="{00000000-0004-0000-0900-00000F000000}"/>
    <hyperlink ref="B18" r:id="rId17" xr:uid="{00000000-0004-0000-0900-000010000000}"/>
    <hyperlink ref="B19" r:id="rId18" xr:uid="{00000000-0004-0000-0900-000011000000}"/>
    <hyperlink ref="B20" r:id="rId19" xr:uid="{00000000-0004-0000-0900-000012000000}"/>
    <hyperlink ref="B21" r:id="rId20" xr:uid="{00000000-0004-0000-0900-000013000000}"/>
    <hyperlink ref="B22" r:id="rId21" xr:uid="{00000000-0004-0000-0900-000014000000}"/>
    <hyperlink ref="B23" r:id="rId22" xr:uid="{00000000-0004-0000-0900-000015000000}"/>
    <hyperlink ref="B24" r:id="rId23" xr:uid="{00000000-0004-0000-0900-000016000000}"/>
    <hyperlink ref="B25" r:id="rId24" xr:uid="{00000000-0004-0000-0900-000017000000}"/>
    <hyperlink ref="B26" r:id="rId25" xr:uid="{00000000-0004-0000-0900-000018000000}"/>
    <hyperlink ref="B27" r:id="rId26" xr:uid="{00000000-0004-0000-0900-000019000000}"/>
    <hyperlink ref="B28" r:id="rId27" xr:uid="{00000000-0004-0000-0900-00001A000000}"/>
    <hyperlink ref="B29" r:id="rId28" xr:uid="{00000000-0004-0000-0900-00001B000000}"/>
    <hyperlink ref="B30" r:id="rId29" xr:uid="{00000000-0004-0000-0900-00001C000000}"/>
    <hyperlink ref="B31" r:id="rId30" xr:uid="{00000000-0004-0000-0900-00001D000000}"/>
    <hyperlink ref="B32" r:id="rId31" xr:uid="{00000000-0004-0000-0900-00001E000000}"/>
    <hyperlink ref="B33" r:id="rId32" xr:uid="{00000000-0004-0000-0900-00001F000000}"/>
    <hyperlink ref="B34" r:id="rId33" xr:uid="{00000000-0004-0000-0900-000020000000}"/>
    <hyperlink ref="B35" r:id="rId34" xr:uid="{00000000-0004-0000-0900-000021000000}"/>
    <hyperlink ref="B36" r:id="rId35" xr:uid="{00000000-0004-0000-0900-000022000000}"/>
    <hyperlink ref="B37" r:id="rId36" xr:uid="{00000000-0004-0000-0900-000023000000}"/>
    <hyperlink ref="B38" r:id="rId37" xr:uid="{00000000-0004-0000-0900-000024000000}"/>
    <hyperlink ref="B39" r:id="rId38" xr:uid="{00000000-0004-0000-0900-000025000000}"/>
    <hyperlink ref="B40" r:id="rId39" xr:uid="{00000000-0004-0000-0900-000026000000}"/>
    <hyperlink ref="B41" r:id="rId40" xr:uid="{00000000-0004-0000-0900-000027000000}"/>
    <hyperlink ref="B42" r:id="rId41" xr:uid="{00000000-0004-0000-0900-000028000000}"/>
    <hyperlink ref="B43" r:id="rId42" xr:uid="{00000000-0004-0000-0900-000029000000}"/>
    <hyperlink ref="B44" r:id="rId43" xr:uid="{00000000-0004-0000-0900-00002A000000}"/>
    <hyperlink ref="B45" r:id="rId44" xr:uid="{00000000-0004-0000-0900-00002B000000}"/>
    <hyperlink ref="B46" r:id="rId45" xr:uid="{00000000-0004-0000-0900-00002C000000}"/>
    <hyperlink ref="B47" r:id="rId46" xr:uid="{00000000-0004-0000-0900-00002D000000}"/>
    <hyperlink ref="B48" r:id="rId47" xr:uid="{00000000-0004-0000-0900-00002E000000}"/>
    <hyperlink ref="B49" r:id="rId48" xr:uid="{00000000-0004-0000-0900-00002F000000}"/>
    <hyperlink ref="B50" r:id="rId49" xr:uid="{00000000-0004-0000-0900-000030000000}"/>
    <hyperlink ref="B51" r:id="rId50" xr:uid="{00000000-0004-0000-0900-000031000000}"/>
    <hyperlink ref="B52" r:id="rId51" xr:uid="{00000000-0004-0000-0900-000032000000}"/>
    <hyperlink ref="B53" r:id="rId52" xr:uid="{00000000-0004-0000-0900-000033000000}"/>
    <hyperlink ref="B54" r:id="rId53" xr:uid="{00000000-0004-0000-0900-000034000000}"/>
    <hyperlink ref="B55" r:id="rId54" xr:uid="{00000000-0004-0000-0900-000035000000}"/>
    <hyperlink ref="B56" r:id="rId55" xr:uid="{00000000-0004-0000-0900-000036000000}"/>
    <hyperlink ref="B57" r:id="rId56" xr:uid="{00000000-0004-0000-0900-000037000000}"/>
    <hyperlink ref="B58" r:id="rId57" xr:uid="{00000000-0004-0000-0900-000038000000}"/>
    <hyperlink ref="B59" r:id="rId58" xr:uid="{00000000-0004-0000-0900-000039000000}"/>
    <hyperlink ref="B60" r:id="rId59" xr:uid="{00000000-0004-0000-0900-00003A000000}"/>
    <hyperlink ref="B61" r:id="rId60" xr:uid="{00000000-0004-0000-0900-00003B000000}"/>
    <hyperlink ref="B62" r:id="rId61" xr:uid="{00000000-0004-0000-0900-00003C000000}"/>
    <hyperlink ref="B63" r:id="rId62" xr:uid="{00000000-0004-0000-0900-00003D000000}"/>
    <hyperlink ref="B64" r:id="rId63" xr:uid="{00000000-0004-0000-0900-00003E000000}"/>
    <hyperlink ref="B65" r:id="rId64" xr:uid="{00000000-0004-0000-0900-00003F000000}"/>
    <hyperlink ref="B66" r:id="rId65" xr:uid="{00000000-0004-0000-0900-000040000000}"/>
    <hyperlink ref="B67" r:id="rId66" xr:uid="{00000000-0004-0000-0900-000041000000}"/>
    <hyperlink ref="B68" r:id="rId67" xr:uid="{00000000-0004-0000-0900-000042000000}"/>
    <hyperlink ref="B69" r:id="rId68" xr:uid="{00000000-0004-0000-0900-000043000000}"/>
    <hyperlink ref="B70" r:id="rId69" xr:uid="{00000000-0004-0000-0900-000044000000}"/>
    <hyperlink ref="B71" r:id="rId70" xr:uid="{00000000-0004-0000-0900-000045000000}"/>
    <hyperlink ref="B72" r:id="rId71" xr:uid="{00000000-0004-0000-0900-000046000000}"/>
    <hyperlink ref="B73" r:id="rId72" xr:uid="{00000000-0004-0000-0900-000047000000}"/>
    <hyperlink ref="B74" r:id="rId73" xr:uid="{00000000-0004-0000-0900-000048000000}"/>
    <hyperlink ref="B75" r:id="rId74" xr:uid="{00000000-0004-0000-0900-000049000000}"/>
    <hyperlink ref="B76" r:id="rId75" xr:uid="{00000000-0004-0000-0900-00004A000000}"/>
    <hyperlink ref="B77" r:id="rId76" xr:uid="{00000000-0004-0000-0900-00004B000000}"/>
    <hyperlink ref="B78" r:id="rId77" xr:uid="{00000000-0004-0000-0900-00004C000000}"/>
    <hyperlink ref="B79" r:id="rId78" xr:uid="{00000000-0004-0000-0900-00004D000000}"/>
    <hyperlink ref="B80" r:id="rId79" xr:uid="{00000000-0004-0000-0900-00004E000000}"/>
    <hyperlink ref="B81" r:id="rId80" xr:uid="{00000000-0004-0000-0900-00004F000000}"/>
    <hyperlink ref="B82" r:id="rId81" xr:uid="{00000000-0004-0000-0900-000050000000}"/>
    <hyperlink ref="B83" r:id="rId82" xr:uid="{00000000-0004-0000-0900-000051000000}"/>
    <hyperlink ref="B84" r:id="rId83" xr:uid="{00000000-0004-0000-0900-000052000000}"/>
    <hyperlink ref="B85" r:id="rId84" xr:uid="{00000000-0004-0000-0900-000053000000}"/>
    <hyperlink ref="B86" r:id="rId85" xr:uid="{00000000-0004-0000-0900-000054000000}"/>
    <hyperlink ref="B87" r:id="rId86" xr:uid="{00000000-0004-0000-0900-000055000000}"/>
    <hyperlink ref="B88" r:id="rId87" xr:uid="{00000000-0004-0000-0900-000056000000}"/>
    <hyperlink ref="B89" r:id="rId88" xr:uid="{00000000-0004-0000-0900-000057000000}"/>
    <hyperlink ref="B90" r:id="rId89" xr:uid="{00000000-0004-0000-0900-000058000000}"/>
    <hyperlink ref="B91" r:id="rId90" xr:uid="{00000000-0004-0000-0900-000059000000}"/>
    <hyperlink ref="B92" r:id="rId91" xr:uid="{00000000-0004-0000-0900-00005A000000}"/>
    <hyperlink ref="B93" r:id="rId92" xr:uid="{00000000-0004-0000-0900-00005B000000}"/>
    <hyperlink ref="B94" r:id="rId93" xr:uid="{00000000-0004-0000-0900-00005C000000}"/>
    <hyperlink ref="B95" r:id="rId94" xr:uid="{00000000-0004-0000-0900-00005D000000}"/>
    <hyperlink ref="B96" r:id="rId95" xr:uid="{00000000-0004-0000-0900-00005E000000}"/>
    <hyperlink ref="B97" r:id="rId96" xr:uid="{00000000-0004-0000-0900-00005F000000}"/>
    <hyperlink ref="B98" r:id="rId97" xr:uid="{00000000-0004-0000-0900-000060000000}"/>
    <hyperlink ref="B99" r:id="rId98" xr:uid="{00000000-0004-0000-0900-000061000000}"/>
    <hyperlink ref="B100" r:id="rId99" xr:uid="{00000000-0004-0000-0900-000062000000}"/>
    <hyperlink ref="B101" r:id="rId100" xr:uid="{00000000-0004-0000-0900-000063000000}"/>
    <hyperlink ref="B102" r:id="rId101" xr:uid="{00000000-0004-0000-0900-000064000000}"/>
    <hyperlink ref="B103" r:id="rId102" xr:uid="{00000000-0004-0000-0900-000065000000}"/>
    <hyperlink ref="B104" r:id="rId103" xr:uid="{00000000-0004-0000-0900-000066000000}"/>
    <hyperlink ref="B105" r:id="rId104" xr:uid="{00000000-0004-0000-0900-000067000000}"/>
    <hyperlink ref="B106" r:id="rId105" xr:uid="{00000000-0004-0000-0900-000068000000}"/>
    <hyperlink ref="B107" r:id="rId106" xr:uid="{00000000-0004-0000-0900-000069000000}"/>
    <hyperlink ref="B108" r:id="rId107" xr:uid="{00000000-0004-0000-0900-00006A000000}"/>
    <hyperlink ref="B109" r:id="rId108" xr:uid="{00000000-0004-0000-0900-00006B000000}"/>
    <hyperlink ref="B110" r:id="rId109" xr:uid="{00000000-0004-0000-0900-00006C000000}"/>
    <hyperlink ref="B111" r:id="rId110" xr:uid="{00000000-0004-0000-0900-00006D000000}"/>
    <hyperlink ref="B112" r:id="rId111" xr:uid="{00000000-0004-0000-0900-00006E000000}"/>
    <hyperlink ref="B113" r:id="rId112" xr:uid="{00000000-0004-0000-0900-00006F000000}"/>
    <hyperlink ref="B114" r:id="rId113" xr:uid="{00000000-0004-0000-0900-000070000000}"/>
    <hyperlink ref="B115" r:id="rId114" xr:uid="{00000000-0004-0000-0900-000071000000}"/>
    <hyperlink ref="B116" r:id="rId115" xr:uid="{00000000-0004-0000-0900-000072000000}"/>
    <hyperlink ref="B117" r:id="rId116" xr:uid="{00000000-0004-0000-0900-000073000000}"/>
    <hyperlink ref="B118" r:id="rId117" xr:uid="{00000000-0004-0000-0900-000074000000}"/>
    <hyperlink ref="B119" r:id="rId118" xr:uid="{00000000-0004-0000-0900-000075000000}"/>
    <hyperlink ref="B120" r:id="rId119" xr:uid="{00000000-0004-0000-0900-000076000000}"/>
    <hyperlink ref="B121" r:id="rId120" xr:uid="{00000000-0004-0000-0900-000077000000}"/>
    <hyperlink ref="B122" r:id="rId121" xr:uid="{00000000-0004-0000-0900-000078000000}"/>
    <hyperlink ref="B123" r:id="rId122" xr:uid="{00000000-0004-0000-0900-000079000000}"/>
    <hyperlink ref="B124" r:id="rId123" xr:uid="{00000000-0004-0000-0900-00007A000000}"/>
    <hyperlink ref="B125" r:id="rId124" xr:uid="{00000000-0004-0000-0900-00007B000000}"/>
    <hyperlink ref="B126" r:id="rId125" xr:uid="{00000000-0004-0000-0900-00007C000000}"/>
    <hyperlink ref="B127" r:id="rId126" xr:uid="{00000000-0004-0000-0900-00007D000000}"/>
    <hyperlink ref="B128" r:id="rId127" xr:uid="{00000000-0004-0000-0900-00007E000000}"/>
    <hyperlink ref="B129" r:id="rId128" xr:uid="{00000000-0004-0000-0900-00007F000000}"/>
    <hyperlink ref="B130" r:id="rId129" xr:uid="{00000000-0004-0000-0900-000080000000}"/>
    <hyperlink ref="B131" r:id="rId130" xr:uid="{00000000-0004-0000-0900-000081000000}"/>
    <hyperlink ref="B132" r:id="rId131" xr:uid="{00000000-0004-0000-0900-000082000000}"/>
    <hyperlink ref="B133" r:id="rId132" xr:uid="{00000000-0004-0000-0900-000083000000}"/>
    <hyperlink ref="B134" r:id="rId133" xr:uid="{00000000-0004-0000-0900-000084000000}"/>
    <hyperlink ref="B135" r:id="rId134" xr:uid="{00000000-0004-0000-0900-000085000000}"/>
    <hyperlink ref="B136" r:id="rId135" xr:uid="{00000000-0004-0000-0900-000086000000}"/>
    <hyperlink ref="B137" r:id="rId136" xr:uid="{00000000-0004-0000-0900-000087000000}"/>
    <hyperlink ref="B138" r:id="rId137" xr:uid="{00000000-0004-0000-0900-000088000000}"/>
    <hyperlink ref="B139" r:id="rId138" xr:uid="{00000000-0004-0000-0900-000089000000}"/>
    <hyperlink ref="B140" r:id="rId139" xr:uid="{00000000-0004-0000-0900-00008A000000}"/>
    <hyperlink ref="B141" r:id="rId140" xr:uid="{00000000-0004-0000-0900-00008B000000}"/>
    <hyperlink ref="B142" r:id="rId141" xr:uid="{00000000-0004-0000-0900-00008C000000}"/>
    <hyperlink ref="B143" r:id="rId142" xr:uid="{00000000-0004-0000-0900-00008D000000}"/>
    <hyperlink ref="B144" r:id="rId143" xr:uid="{00000000-0004-0000-0900-00008E000000}"/>
    <hyperlink ref="B145" r:id="rId144" xr:uid="{00000000-0004-0000-0900-00008F000000}"/>
    <hyperlink ref="B146" r:id="rId145" xr:uid="{00000000-0004-0000-0900-000090000000}"/>
    <hyperlink ref="B147" r:id="rId146" xr:uid="{00000000-0004-0000-0900-000091000000}"/>
    <hyperlink ref="B148" r:id="rId147" xr:uid="{00000000-0004-0000-0900-000092000000}"/>
    <hyperlink ref="B149" r:id="rId148" xr:uid="{00000000-0004-0000-0900-000093000000}"/>
    <hyperlink ref="B150" r:id="rId149" xr:uid="{00000000-0004-0000-0900-000094000000}"/>
    <hyperlink ref="B151" r:id="rId150" xr:uid="{00000000-0004-0000-0900-000095000000}"/>
    <hyperlink ref="B152" r:id="rId151" xr:uid="{00000000-0004-0000-0900-000096000000}"/>
    <hyperlink ref="B153" r:id="rId152" xr:uid="{00000000-0004-0000-0900-000097000000}"/>
    <hyperlink ref="B154" r:id="rId153" xr:uid="{00000000-0004-0000-0900-000098000000}"/>
    <hyperlink ref="B155" r:id="rId154" xr:uid="{00000000-0004-0000-0900-000099000000}"/>
    <hyperlink ref="B156" r:id="rId155" xr:uid="{00000000-0004-0000-0900-00009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Summary</vt:lpstr>
      <vt:lpstr>Projects</vt:lpstr>
      <vt:lpstr>Grid_Power</vt:lpstr>
      <vt:lpstr>MH_Permits</vt:lpstr>
      <vt:lpstr>States_Evidence</vt:lpstr>
      <vt:lpstr>CTU_Bulk_Register</vt:lpstr>
      <vt:lpstr>Govt_Aggregates</vt:lpstr>
      <vt:lpstr>To_Pull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2026-10-19T06:56:31Z</dcterms:created>
  <dcterms:modified xsi:type="dcterms:W3CDTF">2026-10-19T06:56:48Z</dcterms:modified>
</cp:coreProperties>
</file>