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8651A366-6251-4AFF-BEF1-0B20EA5F1150}" xr6:coauthVersionLast="47" xr6:coauthVersionMax="47" xr10:uidLastSave="{00000000-0000-0000-0000-000000000000}"/>
  <bookViews>
    <workbookView xWindow="-120" yWindow="-120" windowWidth="20730" windowHeight="11040" xr2:uid="{00000000-000D-0000-FFFF-FFFF00000000}"/>
  </bookViews>
  <sheets>
    <sheet name="Daily " sheetId="1" r:id="rId1"/>
    <sheet name="Quarterly " sheetId="2" r:id="rId2"/>
    <sheet name="Sources" sheetId="3" r:id="rId3"/>
  </sheets>
  <definedNames>
    <definedName name="_xlnm._FilterDatabase" localSheetId="0" hidden="1">'Daily '!$A$3:$BH$662</definedName>
  </definedNames>
  <calcPr calcId="191029"/>
  <fileRecoveryPr repairLoad="1"/>
</workbook>
</file>

<file path=xl/calcChain.xml><?xml version="1.0" encoding="utf-8"?>
<calcChain xmlns="http://schemas.openxmlformats.org/spreadsheetml/2006/main">
  <c r="C69" i="3" l="1"/>
  <c r="C67" i="3"/>
  <c r="C65" i="3"/>
  <c r="C64" i="3"/>
  <c r="C63" i="3"/>
  <c r="A63" i="3"/>
  <c r="C58" i="3"/>
  <c r="AY11" i="2"/>
  <c r="AX11" i="2"/>
  <c r="AW11" i="2"/>
  <c r="AT11" i="2"/>
  <c r="AQ11" i="2"/>
  <c r="AP11" i="2"/>
  <c r="AJ11" i="2"/>
  <c r="AE11" i="2"/>
  <c r="AD11" i="2"/>
  <c r="AB11" i="2"/>
  <c r="AA11" i="2"/>
  <c r="Z11" i="2"/>
  <c r="S11" i="2"/>
  <c r="R11" i="2"/>
  <c r="Q11" i="2"/>
  <c r="P11" i="2"/>
  <c r="M11" i="2"/>
  <c r="L11" i="2"/>
  <c r="K11" i="2"/>
  <c r="J11" i="2"/>
  <c r="I11" i="2"/>
  <c r="H11" i="2"/>
  <c r="G11" i="2"/>
  <c r="AO11" i="2" s="1"/>
  <c r="F11" i="2"/>
  <c r="AN11" i="2" s="1"/>
  <c r="E11" i="2"/>
  <c r="D11" i="2"/>
  <c r="AL11" i="2" s="1"/>
  <c r="AY10" i="2"/>
  <c r="AX10" i="2"/>
  <c r="AW10" i="2"/>
  <c r="AT10" i="2"/>
  <c r="AQ10" i="2"/>
  <c r="AP10" i="2"/>
  <c r="AJ10" i="2"/>
  <c r="AE10" i="2"/>
  <c r="AD10" i="2"/>
  <c r="AB10" i="2"/>
  <c r="AA10" i="2"/>
  <c r="Z10" i="2"/>
  <c r="S10" i="2"/>
  <c r="R10" i="2"/>
  <c r="Q10" i="2"/>
  <c r="P10" i="2"/>
  <c r="M10" i="2"/>
  <c r="L10" i="2"/>
  <c r="K10" i="2"/>
  <c r="J10" i="2"/>
  <c r="I10" i="2"/>
  <c r="H10" i="2"/>
  <c r="G10" i="2"/>
  <c r="AO10" i="2" s="1"/>
  <c r="F10" i="2"/>
  <c r="AN10" i="2" s="1"/>
  <c r="E10" i="2"/>
  <c r="AM10" i="2" s="1"/>
  <c r="D10" i="2"/>
  <c r="AL10" i="2" s="1"/>
  <c r="AY9" i="2"/>
  <c r="AX9" i="2"/>
  <c r="AW9" i="2"/>
  <c r="AT9" i="2"/>
  <c r="AQ9" i="2"/>
  <c r="AP9" i="2"/>
  <c r="AN9" i="2"/>
  <c r="AJ9" i="2"/>
  <c r="AE9" i="2"/>
  <c r="AD9" i="2"/>
  <c r="AB9" i="2"/>
  <c r="AA9" i="2"/>
  <c r="Z9" i="2"/>
  <c r="S9" i="2"/>
  <c r="R9" i="2"/>
  <c r="Q9" i="2"/>
  <c r="P9" i="2"/>
  <c r="M9" i="2"/>
  <c r="L9" i="2"/>
  <c r="K9" i="2"/>
  <c r="J9" i="2"/>
  <c r="I9" i="2"/>
  <c r="H9" i="2"/>
  <c r="G9" i="2"/>
  <c r="AO9" i="2" s="1"/>
  <c r="F9" i="2"/>
  <c r="E9" i="2"/>
  <c r="AM9" i="2" s="1"/>
  <c r="D9" i="2"/>
  <c r="AL9" i="2" s="1"/>
  <c r="AY8" i="2"/>
  <c r="AX8" i="2"/>
  <c r="AW8" i="2"/>
  <c r="AT8" i="2"/>
  <c r="AQ8" i="2"/>
  <c r="AP8" i="2"/>
  <c r="AL8" i="2"/>
  <c r="AJ8" i="2"/>
  <c r="AE8" i="2"/>
  <c r="AD8" i="2"/>
  <c r="AB8" i="2"/>
  <c r="AA8" i="2"/>
  <c r="Z8" i="2"/>
  <c r="S8" i="2"/>
  <c r="R8" i="2"/>
  <c r="Q8" i="2"/>
  <c r="P8" i="2"/>
  <c r="M8" i="2"/>
  <c r="L8" i="2"/>
  <c r="K8" i="2"/>
  <c r="J8" i="2"/>
  <c r="I8" i="2"/>
  <c r="H8" i="2"/>
  <c r="G8" i="2"/>
  <c r="AO8" i="2" s="1"/>
  <c r="F8" i="2"/>
  <c r="AN8" i="2" s="1"/>
  <c r="E8" i="2"/>
  <c r="D8" i="2"/>
  <c r="AY7" i="2"/>
  <c r="AX7" i="2"/>
  <c r="AW7" i="2"/>
  <c r="AT7" i="2"/>
  <c r="AQ7" i="2"/>
  <c r="AP7" i="2"/>
  <c r="AN7" i="2"/>
  <c r="AJ7" i="2"/>
  <c r="AE7" i="2"/>
  <c r="AD7" i="2"/>
  <c r="AB7" i="2"/>
  <c r="AA7" i="2"/>
  <c r="Z7" i="2"/>
  <c r="S7" i="2"/>
  <c r="R7" i="2"/>
  <c r="Q7" i="2"/>
  <c r="P7" i="2"/>
  <c r="O7" i="2"/>
  <c r="N7" i="2"/>
  <c r="M7" i="2"/>
  <c r="L7" i="2"/>
  <c r="K7" i="2"/>
  <c r="J7" i="2"/>
  <c r="I7" i="2"/>
  <c r="H7" i="2"/>
  <c r="G7" i="2"/>
  <c r="AO7" i="2" s="1"/>
  <c r="F7" i="2"/>
  <c r="E7" i="2"/>
  <c r="AM7" i="2" s="1"/>
  <c r="D7" i="2"/>
  <c r="AL7" i="2" s="1"/>
  <c r="AY6" i="2"/>
  <c r="AX6" i="2"/>
  <c r="AW6" i="2"/>
  <c r="AT6" i="2"/>
  <c r="AQ6" i="2"/>
  <c r="AP6" i="2"/>
  <c r="AL6" i="2"/>
  <c r="AJ6" i="2"/>
  <c r="AE6" i="2"/>
  <c r="AD6" i="2"/>
  <c r="AB6" i="2"/>
  <c r="AA6" i="2"/>
  <c r="Z6" i="2"/>
  <c r="S6" i="2"/>
  <c r="R6" i="2"/>
  <c r="Q6" i="2"/>
  <c r="P6" i="2"/>
  <c r="N6" i="2"/>
  <c r="M6" i="2"/>
  <c r="L6" i="2"/>
  <c r="K6" i="2"/>
  <c r="J6" i="2"/>
  <c r="I6" i="2"/>
  <c r="H6" i="2"/>
  <c r="G6" i="2"/>
  <c r="AO6" i="2" s="1"/>
  <c r="F6" i="2"/>
  <c r="AN6" i="2" s="1"/>
  <c r="E6" i="2"/>
  <c r="AM6" i="2" s="1"/>
  <c r="D6" i="2"/>
  <c r="AY5" i="2"/>
  <c r="AX5" i="2"/>
  <c r="AW5" i="2"/>
  <c r="AT5" i="2"/>
  <c r="AQ5" i="2"/>
  <c r="AP5" i="2"/>
  <c r="AN5" i="2"/>
  <c r="AJ5" i="2"/>
  <c r="AE5" i="2"/>
  <c r="AD5" i="2"/>
  <c r="AB5" i="2"/>
  <c r="AA5" i="2"/>
  <c r="Z5" i="2"/>
  <c r="S5" i="2"/>
  <c r="R5" i="2"/>
  <c r="Q5" i="2"/>
  <c r="P5" i="2"/>
  <c r="O5" i="2"/>
  <c r="N5" i="2"/>
  <c r="M5" i="2"/>
  <c r="L5" i="2"/>
  <c r="K5" i="2"/>
  <c r="J5" i="2"/>
  <c r="I5" i="2"/>
  <c r="H5" i="2"/>
  <c r="G5" i="2"/>
  <c r="AO5" i="2" s="1"/>
  <c r="F5" i="2"/>
  <c r="E5" i="2"/>
  <c r="AM5" i="2" s="1"/>
  <c r="D5" i="2"/>
  <c r="AL5" i="2" s="1"/>
  <c r="AY4" i="2"/>
  <c r="AX4" i="2"/>
  <c r="AW4" i="2"/>
  <c r="AT4" i="2"/>
  <c r="AQ4" i="2"/>
  <c r="AP4" i="2"/>
  <c r="AN4" i="2"/>
  <c r="AL4" i="2"/>
  <c r="AJ4" i="2"/>
  <c r="AE4" i="2"/>
  <c r="AD4" i="2"/>
  <c r="AB4" i="2"/>
  <c r="AA4" i="2"/>
  <c r="Z4" i="2"/>
  <c r="S4" i="2"/>
  <c r="R4" i="2"/>
  <c r="Q4" i="2"/>
  <c r="P4" i="2"/>
  <c r="N4" i="2"/>
  <c r="M4" i="2"/>
  <c r="L4" i="2"/>
  <c r="K4" i="2"/>
  <c r="J4" i="2"/>
  <c r="I4" i="2"/>
  <c r="H4" i="2"/>
  <c r="G4" i="2"/>
  <c r="AO4" i="2" s="1"/>
  <c r="F4" i="2"/>
  <c r="E4" i="2"/>
  <c r="D4" i="2"/>
  <c r="BE662" i="1"/>
  <c r="BD662" i="1"/>
  <c r="AY662" i="1"/>
  <c r="AQ662" i="1"/>
  <c r="AP662" i="1"/>
  <c r="AM662" i="1"/>
  <c r="AL662" i="1"/>
  <c r="AK662" i="1"/>
  <c r="AJ662" i="1"/>
  <c r="AF662" i="1"/>
  <c r="AE662" i="1"/>
  <c r="AG662" i="1" s="1"/>
  <c r="AI662" i="1" s="1"/>
  <c r="AD662" i="1"/>
  <c r="U662" i="1" s="1"/>
  <c r="W662" i="1"/>
  <c r="V662" i="1"/>
  <c r="T662" i="1"/>
  <c r="R662" i="1"/>
  <c r="L662" i="1"/>
  <c r="BD661" i="1"/>
  <c r="BE661" i="1" s="1"/>
  <c r="AY661" i="1"/>
  <c r="AQ661" i="1"/>
  <c r="AP661" i="1"/>
  <c r="AM661" i="1"/>
  <c r="AL661" i="1"/>
  <c r="AK661" i="1"/>
  <c r="AJ661" i="1"/>
  <c r="AF661" i="1"/>
  <c r="AE661" i="1"/>
  <c r="AD661" i="1"/>
  <c r="W661" i="1"/>
  <c r="V661" i="1"/>
  <c r="T661" i="1"/>
  <c r="R661" i="1"/>
  <c r="L661" i="1"/>
  <c r="BH660" i="1"/>
  <c r="BE660" i="1"/>
  <c r="BG660" i="1" s="1"/>
  <c r="BD660" i="1"/>
  <c r="AY660" i="1"/>
  <c r="AQ660" i="1"/>
  <c r="AP660" i="1"/>
  <c r="AM660" i="1"/>
  <c r="AL660" i="1"/>
  <c r="AK660" i="1"/>
  <c r="AJ660" i="1"/>
  <c r="AG660" i="1"/>
  <c r="AI660" i="1" s="1"/>
  <c r="AF660" i="1"/>
  <c r="AE660" i="1"/>
  <c r="AD660" i="1"/>
  <c r="W660" i="1"/>
  <c r="V660" i="1"/>
  <c r="U660" i="1"/>
  <c r="T660" i="1"/>
  <c r="AA660" i="1" s="1"/>
  <c r="R660" i="1"/>
  <c r="L660" i="1"/>
  <c r="BD659" i="1"/>
  <c r="BE659" i="1" s="1"/>
  <c r="BH659" i="1" s="1"/>
  <c r="AY659" i="1"/>
  <c r="AQ659" i="1"/>
  <c r="AP659" i="1"/>
  <c r="AM659" i="1"/>
  <c r="AL659" i="1"/>
  <c r="AK659" i="1"/>
  <c r="AJ659" i="1"/>
  <c r="AF659" i="1"/>
  <c r="AE659" i="1"/>
  <c r="AD659" i="1"/>
  <c r="W659" i="1"/>
  <c r="V659" i="1"/>
  <c r="U659" i="1"/>
  <c r="T659" i="1"/>
  <c r="R659" i="1"/>
  <c r="L659" i="1"/>
  <c r="BE658" i="1"/>
  <c r="BD658" i="1"/>
  <c r="AY658" i="1"/>
  <c r="AQ658" i="1"/>
  <c r="AP658" i="1"/>
  <c r="AM658" i="1"/>
  <c r="AL658" i="1"/>
  <c r="AK658" i="1"/>
  <c r="AJ658" i="1"/>
  <c r="AF658" i="1"/>
  <c r="W658" i="1" s="1"/>
  <c r="AE658" i="1"/>
  <c r="AD658" i="1"/>
  <c r="U658" i="1"/>
  <c r="T658" i="1"/>
  <c r="R658" i="1"/>
  <c r="L658" i="1"/>
  <c r="BD657" i="1"/>
  <c r="BE657" i="1" s="1"/>
  <c r="AY657" i="1"/>
  <c r="AQ657" i="1"/>
  <c r="AP657" i="1"/>
  <c r="AM657" i="1"/>
  <c r="AL657" i="1"/>
  <c r="AK657" i="1"/>
  <c r="AJ657" i="1"/>
  <c r="AF657" i="1"/>
  <c r="W657" i="1" s="1"/>
  <c r="AE657" i="1"/>
  <c r="V657" i="1" s="1"/>
  <c r="AD657" i="1"/>
  <c r="AG657" i="1" s="1"/>
  <c r="AI657" i="1" s="1"/>
  <c r="T657" i="1"/>
  <c r="R657" i="1"/>
  <c r="L657" i="1"/>
  <c r="BH656" i="1"/>
  <c r="BE656" i="1"/>
  <c r="BG656" i="1" s="1"/>
  <c r="BD656" i="1"/>
  <c r="AY656" i="1"/>
  <c r="AQ656" i="1"/>
  <c r="AP656" i="1"/>
  <c r="AM656" i="1"/>
  <c r="AL656" i="1"/>
  <c r="AK656" i="1"/>
  <c r="AJ656" i="1"/>
  <c r="AG656" i="1"/>
  <c r="AI656" i="1" s="1"/>
  <c r="AF656" i="1"/>
  <c r="W656" i="1" s="1"/>
  <c r="AE656" i="1"/>
  <c r="V656" i="1" s="1"/>
  <c r="AA656" i="1" s="1"/>
  <c r="AD656" i="1"/>
  <c r="U656" i="1" s="1"/>
  <c r="T656" i="1"/>
  <c r="R656" i="1"/>
  <c r="L656" i="1"/>
  <c r="BG655" i="1"/>
  <c r="BD655" i="1"/>
  <c r="BE655" i="1" s="1"/>
  <c r="BH655" i="1" s="1"/>
  <c r="AY655" i="1"/>
  <c r="AQ655" i="1"/>
  <c r="AP655" i="1"/>
  <c r="AM655" i="1"/>
  <c r="AL655" i="1"/>
  <c r="AK655" i="1"/>
  <c r="AJ655" i="1"/>
  <c r="AF655" i="1"/>
  <c r="W655" i="1" s="1"/>
  <c r="AE655" i="1"/>
  <c r="V655" i="1" s="1"/>
  <c r="AD655" i="1"/>
  <c r="U655" i="1" s="1"/>
  <c r="T655" i="1"/>
  <c r="R655" i="1"/>
  <c r="L655" i="1"/>
  <c r="BE654" i="1"/>
  <c r="BD654" i="1"/>
  <c r="AY654" i="1"/>
  <c r="AQ654" i="1"/>
  <c r="AP654" i="1"/>
  <c r="AM654" i="1"/>
  <c r="AL654" i="1"/>
  <c r="AK654" i="1"/>
  <c r="AJ654" i="1"/>
  <c r="AF654" i="1"/>
  <c r="AE654" i="1"/>
  <c r="AG654" i="1" s="1"/>
  <c r="AI654" i="1" s="1"/>
  <c r="AD654" i="1"/>
  <c r="U654" i="1" s="1"/>
  <c r="W654" i="1"/>
  <c r="T654" i="1"/>
  <c r="R654" i="1"/>
  <c r="L654" i="1"/>
  <c r="BD653" i="1"/>
  <c r="BE653" i="1" s="1"/>
  <c r="AY653" i="1"/>
  <c r="AQ653" i="1"/>
  <c r="AP653" i="1"/>
  <c r="AM653" i="1"/>
  <c r="AL653" i="1"/>
  <c r="AK653" i="1"/>
  <c r="AJ653" i="1"/>
  <c r="AI653" i="1"/>
  <c r="AF653" i="1"/>
  <c r="AE653" i="1"/>
  <c r="AD653" i="1"/>
  <c r="AG653" i="1" s="1"/>
  <c r="W653" i="1"/>
  <c r="V653" i="1"/>
  <c r="U653" i="1"/>
  <c r="AA653" i="1" s="1"/>
  <c r="T653" i="1"/>
  <c r="R653" i="1"/>
  <c r="L653" i="1"/>
  <c r="BH652" i="1"/>
  <c r="BE652" i="1"/>
  <c r="BG652" i="1" s="1"/>
  <c r="BD652" i="1"/>
  <c r="AY652" i="1"/>
  <c r="AQ652" i="1"/>
  <c r="AP652" i="1"/>
  <c r="AM652" i="1"/>
  <c r="AL652" i="1"/>
  <c r="AK652" i="1"/>
  <c r="AJ652" i="1"/>
  <c r="AG652" i="1"/>
  <c r="AI652" i="1" s="1"/>
  <c r="AF652" i="1"/>
  <c r="AE652" i="1"/>
  <c r="AD652" i="1"/>
  <c r="AA652" i="1"/>
  <c r="W652" i="1"/>
  <c r="V652" i="1"/>
  <c r="U652" i="1"/>
  <c r="T652" i="1"/>
  <c r="R652" i="1"/>
  <c r="L652" i="1"/>
  <c r="BG651" i="1"/>
  <c r="BD651" i="1"/>
  <c r="BE651" i="1" s="1"/>
  <c r="BH651" i="1" s="1"/>
  <c r="AY651" i="1"/>
  <c r="AQ651" i="1"/>
  <c r="AP651" i="1"/>
  <c r="AM651" i="1"/>
  <c r="AL651" i="1"/>
  <c r="AK651" i="1"/>
  <c r="AJ651" i="1"/>
  <c r="AF651" i="1"/>
  <c r="W651" i="1" s="1"/>
  <c r="AE651" i="1"/>
  <c r="AD651" i="1"/>
  <c r="V651" i="1"/>
  <c r="U651" i="1"/>
  <c r="T651" i="1"/>
  <c r="AA651" i="1" s="1"/>
  <c r="R651" i="1"/>
  <c r="L651" i="1"/>
  <c r="BE650" i="1"/>
  <c r="BD650" i="1"/>
  <c r="AY650" i="1"/>
  <c r="AQ650" i="1"/>
  <c r="AP650" i="1"/>
  <c r="AM650" i="1"/>
  <c r="AL650" i="1"/>
  <c r="AK650" i="1"/>
  <c r="AJ650" i="1"/>
  <c r="AF650" i="1"/>
  <c r="W650" i="1" s="1"/>
  <c r="AE650" i="1"/>
  <c r="AG650" i="1" s="1"/>
  <c r="AI650" i="1" s="1"/>
  <c r="AD650" i="1"/>
  <c r="U650" i="1"/>
  <c r="T650" i="1"/>
  <c r="R650" i="1"/>
  <c r="L650" i="1"/>
  <c r="BD649" i="1"/>
  <c r="BE649" i="1" s="1"/>
  <c r="AY649" i="1"/>
  <c r="AQ649" i="1"/>
  <c r="AP649" i="1"/>
  <c r="AM649" i="1"/>
  <c r="AL649" i="1"/>
  <c r="AK649" i="1"/>
  <c r="AJ649" i="1"/>
  <c r="AF649" i="1"/>
  <c r="W649" i="1" s="1"/>
  <c r="AE649" i="1"/>
  <c r="V649" i="1" s="1"/>
  <c r="AD649" i="1"/>
  <c r="AG649" i="1" s="1"/>
  <c r="AI649" i="1" s="1"/>
  <c r="U649" i="1"/>
  <c r="T649" i="1"/>
  <c r="AA649" i="1" s="1"/>
  <c r="R649" i="1"/>
  <c r="L649" i="1"/>
  <c r="BH648" i="1"/>
  <c r="BE648" i="1"/>
  <c r="BG648" i="1" s="1"/>
  <c r="BD648" i="1"/>
  <c r="AY648" i="1"/>
  <c r="AQ648" i="1"/>
  <c r="AP648" i="1"/>
  <c r="AM648" i="1"/>
  <c r="AL648" i="1"/>
  <c r="AK648" i="1"/>
  <c r="AJ648" i="1"/>
  <c r="AG648" i="1"/>
  <c r="AI648" i="1" s="1"/>
  <c r="AF648" i="1"/>
  <c r="W648" i="1" s="1"/>
  <c r="AE648" i="1"/>
  <c r="V648" i="1" s="1"/>
  <c r="AD648" i="1"/>
  <c r="U648" i="1" s="1"/>
  <c r="AA648" i="1" s="1"/>
  <c r="T648" i="1"/>
  <c r="R648" i="1"/>
  <c r="L648" i="1"/>
  <c r="BD647" i="1"/>
  <c r="BE647" i="1" s="1"/>
  <c r="BH647" i="1" s="1"/>
  <c r="AY647" i="1"/>
  <c r="AQ647" i="1"/>
  <c r="AP647" i="1"/>
  <c r="AM647" i="1"/>
  <c r="AL647" i="1"/>
  <c r="AK647" i="1"/>
  <c r="AJ647" i="1"/>
  <c r="AF647" i="1"/>
  <c r="AE647" i="1"/>
  <c r="V647" i="1" s="1"/>
  <c r="AD647" i="1"/>
  <c r="U647" i="1" s="1"/>
  <c r="AA647" i="1" s="1"/>
  <c r="W647" i="1"/>
  <c r="T647" i="1"/>
  <c r="R647" i="1"/>
  <c r="L647" i="1"/>
  <c r="BE646" i="1"/>
  <c r="BD646" i="1"/>
  <c r="AY646" i="1"/>
  <c r="AQ646" i="1"/>
  <c r="AP646" i="1"/>
  <c r="AM646" i="1"/>
  <c r="AL646" i="1"/>
  <c r="AK646" i="1"/>
  <c r="AJ646" i="1"/>
  <c r="AF646" i="1"/>
  <c r="AE646" i="1"/>
  <c r="AD646" i="1"/>
  <c r="U646" i="1" s="1"/>
  <c r="W646" i="1"/>
  <c r="T646" i="1"/>
  <c r="R646" i="1"/>
  <c r="L646" i="1"/>
  <c r="BD645" i="1"/>
  <c r="BE645" i="1" s="1"/>
  <c r="AY645" i="1"/>
  <c r="AQ645" i="1"/>
  <c r="AP645" i="1"/>
  <c r="AM645" i="1"/>
  <c r="AL645" i="1"/>
  <c r="AK645" i="1"/>
  <c r="AJ645" i="1"/>
  <c r="AF645" i="1"/>
  <c r="AE645" i="1"/>
  <c r="AD645" i="1"/>
  <c r="AG645" i="1" s="1"/>
  <c r="AI645" i="1" s="1"/>
  <c r="W645" i="1"/>
  <c r="V645" i="1"/>
  <c r="T645" i="1"/>
  <c r="R645" i="1"/>
  <c r="L645" i="1"/>
  <c r="BH644" i="1"/>
  <c r="BE644" i="1"/>
  <c r="BG644" i="1" s="1"/>
  <c r="BD644" i="1"/>
  <c r="AY644" i="1"/>
  <c r="AQ644" i="1"/>
  <c r="AP644" i="1"/>
  <c r="AM644" i="1"/>
  <c r="AL644" i="1"/>
  <c r="AK644" i="1"/>
  <c r="AJ644" i="1"/>
  <c r="AG644" i="1"/>
  <c r="AI644" i="1" s="1"/>
  <c r="AF644" i="1"/>
  <c r="AE644" i="1"/>
  <c r="AD644" i="1"/>
  <c r="W644" i="1"/>
  <c r="V644" i="1"/>
  <c r="U644" i="1"/>
  <c r="T644" i="1"/>
  <c r="AA644" i="1" s="1"/>
  <c r="R644" i="1"/>
  <c r="L644" i="1"/>
  <c r="BD643" i="1"/>
  <c r="BE643" i="1" s="1"/>
  <c r="BH643" i="1" s="1"/>
  <c r="AY643" i="1"/>
  <c r="AQ643" i="1"/>
  <c r="AP643" i="1"/>
  <c r="AM643" i="1"/>
  <c r="AL643" i="1"/>
  <c r="AK643" i="1"/>
  <c r="AJ643" i="1"/>
  <c r="AF643" i="1"/>
  <c r="AE643" i="1"/>
  <c r="AD643" i="1"/>
  <c r="AG643" i="1" s="1"/>
  <c r="AI643" i="1" s="1"/>
  <c r="W643" i="1"/>
  <c r="V643" i="1"/>
  <c r="U643" i="1"/>
  <c r="T643" i="1"/>
  <c r="R643" i="1"/>
  <c r="L643" i="1"/>
  <c r="BE642" i="1"/>
  <c r="BD642" i="1"/>
  <c r="AY642" i="1"/>
  <c r="AQ642" i="1"/>
  <c r="AP642" i="1"/>
  <c r="AM642" i="1"/>
  <c r="AL642" i="1"/>
  <c r="AK642" i="1"/>
  <c r="AJ642" i="1"/>
  <c r="AF642" i="1"/>
  <c r="W642" i="1" s="1"/>
  <c r="AE642" i="1"/>
  <c r="AD642" i="1"/>
  <c r="U642" i="1"/>
  <c r="T642" i="1"/>
  <c r="R642" i="1"/>
  <c r="L642" i="1"/>
  <c r="BD641" i="1"/>
  <c r="BE641" i="1" s="1"/>
  <c r="AY641" i="1"/>
  <c r="AQ641" i="1"/>
  <c r="AP641" i="1"/>
  <c r="AM641" i="1"/>
  <c r="AL641" i="1"/>
  <c r="AK641" i="1"/>
  <c r="AJ641" i="1"/>
  <c r="AI641" i="1"/>
  <c r="AF641" i="1"/>
  <c r="W641" i="1" s="1"/>
  <c r="AE641" i="1"/>
  <c r="V641" i="1" s="1"/>
  <c r="AD641" i="1"/>
  <c r="AG641" i="1" s="1"/>
  <c r="U641" i="1"/>
  <c r="T641" i="1"/>
  <c r="R641" i="1"/>
  <c r="L641" i="1"/>
  <c r="BH640" i="1"/>
  <c r="BE640" i="1"/>
  <c r="BG640" i="1" s="1"/>
  <c r="BD640" i="1"/>
  <c r="AY640" i="1"/>
  <c r="AQ640" i="1"/>
  <c r="AP640" i="1"/>
  <c r="AM640" i="1"/>
  <c r="AL640" i="1"/>
  <c r="AK640" i="1"/>
  <c r="AJ640" i="1"/>
  <c r="AG640" i="1"/>
  <c r="AI640" i="1" s="1"/>
  <c r="AF640" i="1"/>
  <c r="W640" i="1" s="1"/>
  <c r="AE640" i="1"/>
  <c r="V640" i="1" s="1"/>
  <c r="AD640" i="1"/>
  <c r="U640" i="1" s="1"/>
  <c r="T640" i="1"/>
  <c r="AA640" i="1" s="1"/>
  <c r="R640" i="1"/>
  <c r="L640" i="1"/>
  <c r="BG639" i="1"/>
  <c r="BD639" i="1"/>
  <c r="BE639" i="1" s="1"/>
  <c r="BH639" i="1" s="1"/>
  <c r="AY639" i="1"/>
  <c r="AQ639" i="1"/>
  <c r="AP639" i="1"/>
  <c r="AM639" i="1"/>
  <c r="AL639" i="1"/>
  <c r="AK639" i="1"/>
  <c r="AJ639" i="1"/>
  <c r="AF639" i="1"/>
  <c r="AE639" i="1"/>
  <c r="V639" i="1" s="1"/>
  <c r="AD639" i="1"/>
  <c r="U639" i="1" s="1"/>
  <c r="W639" i="1"/>
  <c r="T639" i="1"/>
  <c r="R639" i="1"/>
  <c r="L639" i="1"/>
  <c r="BE638" i="1"/>
  <c r="BD638" i="1"/>
  <c r="AY638" i="1"/>
  <c r="AQ638" i="1"/>
  <c r="AP638" i="1"/>
  <c r="AM638" i="1"/>
  <c r="AL638" i="1"/>
  <c r="AK638" i="1"/>
  <c r="AJ638" i="1"/>
  <c r="AF638" i="1"/>
  <c r="AE638" i="1"/>
  <c r="AG638" i="1" s="1"/>
  <c r="AI638" i="1" s="1"/>
  <c r="AD638" i="1"/>
  <c r="U638" i="1" s="1"/>
  <c r="W638" i="1"/>
  <c r="V638" i="1"/>
  <c r="T638" i="1"/>
  <c r="R638" i="1"/>
  <c r="L638" i="1"/>
  <c r="BD637" i="1"/>
  <c r="BE637" i="1" s="1"/>
  <c r="AY637" i="1"/>
  <c r="AQ637" i="1"/>
  <c r="AP637" i="1"/>
  <c r="AM637" i="1"/>
  <c r="AL637" i="1"/>
  <c r="AK637" i="1"/>
  <c r="AJ637" i="1"/>
  <c r="AF637" i="1"/>
  <c r="AE637" i="1"/>
  <c r="AD637" i="1"/>
  <c r="AG637" i="1" s="1"/>
  <c r="AI637" i="1" s="1"/>
  <c r="W637" i="1"/>
  <c r="V637" i="1"/>
  <c r="U637" i="1"/>
  <c r="AA637" i="1" s="1"/>
  <c r="T637" i="1"/>
  <c r="R637" i="1"/>
  <c r="L637" i="1"/>
  <c r="BH636" i="1"/>
  <c r="BE636" i="1"/>
  <c r="BG636" i="1" s="1"/>
  <c r="BD636" i="1"/>
  <c r="AY636" i="1"/>
  <c r="AQ636" i="1"/>
  <c r="AP636" i="1"/>
  <c r="AM636" i="1"/>
  <c r="AL636" i="1"/>
  <c r="AK636" i="1"/>
  <c r="AJ636" i="1"/>
  <c r="AG636" i="1"/>
  <c r="AI636" i="1" s="1"/>
  <c r="AF636" i="1"/>
  <c r="AE636" i="1"/>
  <c r="AD636" i="1"/>
  <c r="W636" i="1"/>
  <c r="V636" i="1"/>
  <c r="U636" i="1"/>
  <c r="T636" i="1"/>
  <c r="AA636" i="1" s="1"/>
  <c r="R636" i="1"/>
  <c r="L636" i="1"/>
  <c r="BG635" i="1"/>
  <c r="BD635" i="1"/>
  <c r="BE635" i="1" s="1"/>
  <c r="BH635" i="1" s="1"/>
  <c r="AY635" i="1"/>
  <c r="AQ635" i="1"/>
  <c r="AP635" i="1"/>
  <c r="AM635" i="1"/>
  <c r="AL635" i="1"/>
  <c r="AK635" i="1"/>
  <c r="AJ635" i="1"/>
  <c r="AF635" i="1"/>
  <c r="AE635" i="1"/>
  <c r="AD635" i="1"/>
  <c r="W635" i="1"/>
  <c r="V635" i="1"/>
  <c r="U635" i="1"/>
  <c r="T635" i="1"/>
  <c r="AA635" i="1" s="1"/>
  <c r="R635" i="1"/>
  <c r="L635" i="1"/>
  <c r="BE634" i="1"/>
  <c r="BD634" i="1"/>
  <c r="AY634" i="1"/>
  <c r="AQ634" i="1"/>
  <c r="AP634" i="1"/>
  <c r="AM634" i="1"/>
  <c r="AL634" i="1"/>
  <c r="AK634" i="1"/>
  <c r="AJ634" i="1"/>
  <c r="AF634" i="1"/>
  <c r="W634" i="1" s="1"/>
  <c r="AE634" i="1"/>
  <c r="AG634" i="1" s="1"/>
  <c r="AI634" i="1" s="1"/>
  <c r="AD634" i="1"/>
  <c r="V634" i="1"/>
  <c r="U634" i="1"/>
  <c r="T634" i="1"/>
  <c r="R634" i="1"/>
  <c r="L634" i="1"/>
  <c r="BD633" i="1"/>
  <c r="BE633" i="1" s="1"/>
  <c r="AY633" i="1"/>
  <c r="AQ633" i="1"/>
  <c r="AP633" i="1"/>
  <c r="AM633" i="1"/>
  <c r="AL633" i="1"/>
  <c r="AK633" i="1"/>
  <c r="AJ633" i="1"/>
  <c r="AF633" i="1"/>
  <c r="W633" i="1" s="1"/>
  <c r="AE633" i="1"/>
  <c r="V633" i="1" s="1"/>
  <c r="AD633" i="1"/>
  <c r="AG633" i="1" s="1"/>
  <c r="AI633" i="1" s="1"/>
  <c r="T633" i="1"/>
  <c r="R633" i="1"/>
  <c r="L633" i="1"/>
  <c r="BH632" i="1"/>
  <c r="BE632" i="1"/>
  <c r="BG632" i="1" s="1"/>
  <c r="BD632" i="1"/>
  <c r="AY632" i="1"/>
  <c r="AQ632" i="1"/>
  <c r="AP632" i="1"/>
  <c r="AM632" i="1"/>
  <c r="AL632" i="1"/>
  <c r="AK632" i="1"/>
  <c r="AJ632" i="1"/>
  <c r="AG632" i="1"/>
  <c r="AI632" i="1" s="1"/>
  <c r="AF632" i="1"/>
  <c r="W632" i="1" s="1"/>
  <c r="AE632" i="1"/>
  <c r="V632" i="1" s="1"/>
  <c r="AD632" i="1"/>
  <c r="U632" i="1" s="1"/>
  <c r="T632" i="1"/>
  <c r="AA632" i="1" s="1"/>
  <c r="R632" i="1"/>
  <c r="L632" i="1"/>
  <c r="BG631" i="1"/>
  <c r="BD631" i="1"/>
  <c r="BE631" i="1" s="1"/>
  <c r="BH631" i="1" s="1"/>
  <c r="AY631" i="1"/>
  <c r="AQ631" i="1"/>
  <c r="AP631" i="1"/>
  <c r="AM631" i="1"/>
  <c r="AL631" i="1"/>
  <c r="AK631" i="1"/>
  <c r="AJ631" i="1"/>
  <c r="AF631" i="1"/>
  <c r="W631" i="1" s="1"/>
  <c r="AE631" i="1"/>
  <c r="V631" i="1" s="1"/>
  <c r="AD631" i="1"/>
  <c r="U631" i="1" s="1"/>
  <c r="T631" i="1"/>
  <c r="R631" i="1"/>
  <c r="L631" i="1"/>
  <c r="BE630" i="1"/>
  <c r="BD630" i="1"/>
  <c r="AY630" i="1"/>
  <c r="AQ630" i="1"/>
  <c r="AP630" i="1"/>
  <c r="AM630" i="1"/>
  <c r="AL630" i="1"/>
  <c r="AK630" i="1"/>
  <c r="AJ630" i="1"/>
  <c r="AF630" i="1"/>
  <c r="AE630" i="1"/>
  <c r="AD630" i="1"/>
  <c r="U630" i="1" s="1"/>
  <c r="W630" i="1"/>
  <c r="T630" i="1"/>
  <c r="R630" i="1"/>
  <c r="L630" i="1"/>
  <c r="BD629" i="1"/>
  <c r="BE629" i="1" s="1"/>
  <c r="AY629" i="1"/>
  <c r="AQ629" i="1"/>
  <c r="AP629" i="1"/>
  <c r="AM629" i="1"/>
  <c r="AL629" i="1"/>
  <c r="AK629" i="1"/>
  <c r="AJ629" i="1"/>
  <c r="AI629" i="1"/>
  <c r="AF629" i="1"/>
  <c r="AE629" i="1"/>
  <c r="AD629" i="1"/>
  <c r="AG629" i="1" s="1"/>
  <c r="W629" i="1"/>
  <c r="V629" i="1"/>
  <c r="U629" i="1"/>
  <c r="AA629" i="1" s="1"/>
  <c r="T629" i="1"/>
  <c r="R629" i="1"/>
  <c r="L629" i="1"/>
  <c r="BH628" i="1"/>
  <c r="BE628" i="1"/>
  <c r="BG628" i="1" s="1"/>
  <c r="BD628" i="1"/>
  <c r="AY628" i="1"/>
  <c r="AQ628" i="1"/>
  <c r="AP628" i="1"/>
  <c r="AM628" i="1"/>
  <c r="AL628" i="1"/>
  <c r="AK628" i="1"/>
  <c r="AJ628" i="1"/>
  <c r="AG628" i="1"/>
  <c r="AI628" i="1" s="1"/>
  <c r="AF628" i="1"/>
  <c r="AE628" i="1"/>
  <c r="AD628" i="1"/>
  <c r="AA628" i="1"/>
  <c r="W628" i="1"/>
  <c r="V628" i="1"/>
  <c r="U628" i="1"/>
  <c r="T628" i="1"/>
  <c r="R628" i="1"/>
  <c r="L628" i="1"/>
  <c r="BG627" i="1"/>
  <c r="BD627" i="1"/>
  <c r="BE627" i="1" s="1"/>
  <c r="BH627" i="1" s="1"/>
  <c r="AY627" i="1"/>
  <c r="AQ627" i="1"/>
  <c r="AP627" i="1"/>
  <c r="AM627" i="1"/>
  <c r="AL627" i="1"/>
  <c r="AK627" i="1"/>
  <c r="AJ627" i="1"/>
  <c r="AF627" i="1"/>
  <c r="W627" i="1" s="1"/>
  <c r="AE627" i="1"/>
  <c r="AD627" i="1"/>
  <c r="V627" i="1"/>
  <c r="U627" i="1"/>
  <c r="T627" i="1"/>
  <c r="R627" i="1"/>
  <c r="L627" i="1"/>
  <c r="BE626" i="1"/>
  <c r="BD626" i="1"/>
  <c r="AY626" i="1"/>
  <c r="AQ626" i="1"/>
  <c r="AP626" i="1"/>
  <c r="AM626" i="1"/>
  <c r="AL626" i="1"/>
  <c r="AK626" i="1"/>
  <c r="AJ626" i="1"/>
  <c r="AF626" i="1"/>
  <c r="W626" i="1" s="1"/>
  <c r="AE626" i="1"/>
  <c r="AG626" i="1" s="1"/>
  <c r="AI626" i="1" s="1"/>
  <c r="AD626" i="1"/>
  <c r="U626" i="1"/>
  <c r="T626" i="1"/>
  <c r="R626" i="1"/>
  <c r="L626" i="1"/>
  <c r="BD625" i="1"/>
  <c r="BE625" i="1" s="1"/>
  <c r="AY625" i="1"/>
  <c r="AQ625" i="1"/>
  <c r="AP625" i="1"/>
  <c r="AM625" i="1"/>
  <c r="AL625" i="1"/>
  <c r="AK625" i="1"/>
  <c r="AJ625" i="1"/>
  <c r="AI625" i="1"/>
  <c r="AF625" i="1"/>
  <c r="W625" i="1" s="1"/>
  <c r="AE625" i="1"/>
  <c r="V625" i="1" s="1"/>
  <c r="AD625" i="1"/>
  <c r="AG625" i="1" s="1"/>
  <c r="U625" i="1"/>
  <c r="T625" i="1"/>
  <c r="AA625" i="1" s="1"/>
  <c r="R625" i="1"/>
  <c r="L625" i="1"/>
  <c r="BH624" i="1"/>
  <c r="BE624" i="1"/>
  <c r="BG624" i="1" s="1"/>
  <c r="BD624" i="1"/>
  <c r="AY624" i="1"/>
  <c r="AQ624" i="1"/>
  <c r="AP624" i="1"/>
  <c r="AM624" i="1"/>
  <c r="AL624" i="1"/>
  <c r="AK624" i="1"/>
  <c r="AJ624" i="1"/>
  <c r="AG624" i="1"/>
  <c r="AI624" i="1" s="1"/>
  <c r="AF624" i="1"/>
  <c r="W624" i="1" s="1"/>
  <c r="AE624" i="1"/>
  <c r="V624" i="1" s="1"/>
  <c r="AD624" i="1"/>
  <c r="U624" i="1" s="1"/>
  <c r="T624" i="1"/>
  <c r="AA624" i="1" s="1"/>
  <c r="R624" i="1"/>
  <c r="L624" i="1"/>
  <c r="BG623" i="1"/>
  <c r="BD623" i="1"/>
  <c r="BE623" i="1" s="1"/>
  <c r="BH623" i="1" s="1"/>
  <c r="AY623" i="1"/>
  <c r="AQ623" i="1"/>
  <c r="AP623" i="1"/>
  <c r="AM623" i="1"/>
  <c r="AL623" i="1"/>
  <c r="AK623" i="1"/>
  <c r="AJ623" i="1"/>
  <c r="AF623" i="1"/>
  <c r="AE623" i="1"/>
  <c r="V623" i="1" s="1"/>
  <c r="AD623" i="1"/>
  <c r="U623" i="1" s="1"/>
  <c r="AA623" i="1" s="1"/>
  <c r="W623" i="1"/>
  <c r="T623" i="1"/>
  <c r="R623" i="1"/>
  <c r="L623" i="1"/>
  <c r="BE622" i="1"/>
  <c r="BD622" i="1"/>
  <c r="AY622" i="1"/>
  <c r="AQ622" i="1"/>
  <c r="AP622" i="1"/>
  <c r="AM622" i="1"/>
  <c r="AL622" i="1"/>
  <c r="AK622" i="1"/>
  <c r="AJ622" i="1"/>
  <c r="AF622" i="1"/>
  <c r="AE622" i="1"/>
  <c r="AG622" i="1" s="1"/>
  <c r="AI622" i="1" s="1"/>
  <c r="AD622" i="1"/>
  <c r="U622" i="1" s="1"/>
  <c r="W622" i="1"/>
  <c r="V622" i="1"/>
  <c r="T622" i="1"/>
  <c r="R622" i="1"/>
  <c r="L622" i="1"/>
  <c r="BD621" i="1"/>
  <c r="BE621" i="1" s="1"/>
  <c r="AY621" i="1"/>
  <c r="AQ621" i="1"/>
  <c r="AP621" i="1"/>
  <c r="AM621" i="1"/>
  <c r="AL621" i="1"/>
  <c r="AK621" i="1"/>
  <c r="AJ621" i="1"/>
  <c r="AF621" i="1"/>
  <c r="AE621" i="1"/>
  <c r="AD621" i="1"/>
  <c r="W621" i="1"/>
  <c r="V621" i="1"/>
  <c r="T621" i="1"/>
  <c r="R621" i="1"/>
  <c r="L621" i="1"/>
  <c r="BH620" i="1"/>
  <c r="BE620" i="1"/>
  <c r="BG620" i="1" s="1"/>
  <c r="BD620" i="1"/>
  <c r="AY620" i="1"/>
  <c r="AQ620" i="1"/>
  <c r="AP620" i="1"/>
  <c r="AM620" i="1"/>
  <c r="AL620" i="1"/>
  <c r="AK620" i="1"/>
  <c r="AJ620" i="1"/>
  <c r="AG620" i="1"/>
  <c r="AI620" i="1" s="1"/>
  <c r="AF620" i="1"/>
  <c r="AE620" i="1"/>
  <c r="AD620" i="1"/>
  <c r="W620" i="1"/>
  <c r="V620" i="1"/>
  <c r="U620" i="1"/>
  <c r="T620" i="1"/>
  <c r="AA620" i="1" s="1"/>
  <c r="R620" i="1"/>
  <c r="L620" i="1"/>
  <c r="BG619" i="1"/>
  <c r="BD619" i="1"/>
  <c r="BE619" i="1" s="1"/>
  <c r="BH619" i="1" s="1"/>
  <c r="AY619" i="1"/>
  <c r="AQ619" i="1"/>
  <c r="AP619" i="1"/>
  <c r="AM619" i="1"/>
  <c r="AL619" i="1"/>
  <c r="AK619" i="1"/>
  <c r="AJ619" i="1"/>
  <c r="AF619" i="1"/>
  <c r="AE619" i="1"/>
  <c r="AD619" i="1"/>
  <c r="AG619" i="1" s="1"/>
  <c r="AI619" i="1" s="1"/>
  <c r="W619" i="1"/>
  <c r="V619" i="1"/>
  <c r="U619" i="1"/>
  <c r="T619" i="1"/>
  <c r="R619" i="1"/>
  <c r="L619" i="1"/>
  <c r="BE618" i="1"/>
  <c r="BD618" i="1"/>
  <c r="AY618" i="1"/>
  <c r="AQ618" i="1"/>
  <c r="AP618" i="1"/>
  <c r="AM618" i="1"/>
  <c r="AL618" i="1"/>
  <c r="AK618" i="1"/>
  <c r="AJ618" i="1"/>
  <c r="AF618" i="1"/>
  <c r="W618" i="1" s="1"/>
  <c r="AE618" i="1"/>
  <c r="AD618" i="1"/>
  <c r="U618" i="1"/>
  <c r="T618" i="1"/>
  <c r="R618" i="1"/>
  <c r="L618" i="1"/>
  <c r="BD617" i="1"/>
  <c r="BE617" i="1" s="1"/>
  <c r="AY617" i="1"/>
  <c r="AQ617" i="1"/>
  <c r="AP617" i="1"/>
  <c r="AM617" i="1"/>
  <c r="AL617" i="1"/>
  <c r="AK617" i="1"/>
  <c r="AJ617" i="1"/>
  <c r="AI617" i="1"/>
  <c r="AF617" i="1"/>
  <c r="W617" i="1" s="1"/>
  <c r="AE617" i="1"/>
  <c r="V617" i="1" s="1"/>
  <c r="AD617" i="1"/>
  <c r="AG617" i="1" s="1"/>
  <c r="T617" i="1"/>
  <c r="R617" i="1"/>
  <c r="L617" i="1"/>
  <c r="BH616" i="1"/>
  <c r="BE616" i="1"/>
  <c r="BG616" i="1" s="1"/>
  <c r="BD616" i="1"/>
  <c r="AY616" i="1"/>
  <c r="AQ616" i="1"/>
  <c r="AP616" i="1"/>
  <c r="AM616" i="1"/>
  <c r="AL616" i="1"/>
  <c r="AK616" i="1"/>
  <c r="AJ616" i="1"/>
  <c r="AG616" i="1"/>
  <c r="AI616" i="1" s="1"/>
  <c r="AF616" i="1"/>
  <c r="W616" i="1" s="1"/>
  <c r="AE616" i="1"/>
  <c r="V616" i="1" s="1"/>
  <c r="AD616" i="1"/>
  <c r="U616" i="1" s="1"/>
  <c r="T616" i="1"/>
  <c r="AA616" i="1" s="1"/>
  <c r="R616" i="1"/>
  <c r="L616" i="1"/>
  <c r="BG615" i="1"/>
  <c r="BD615" i="1"/>
  <c r="BE615" i="1" s="1"/>
  <c r="BH615" i="1" s="1"/>
  <c r="AY615" i="1"/>
  <c r="AQ615" i="1"/>
  <c r="AP615" i="1"/>
  <c r="AM615" i="1"/>
  <c r="AL615" i="1"/>
  <c r="AK615" i="1"/>
  <c r="AJ615" i="1"/>
  <c r="AF615" i="1"/>
  <c r="W615" i="1" s="1"/>
  <c r="AE615" i="1"/>
  <c r="V615" i="1" s="1"/>
  <c r="AD615" i="1"/>
  <c r="U615" i="1" s="1"/>
  <c r="T615" i="1"/>
  <c r="R615" i="1"/>
  <c r="L615" i="1"/>
  <c r="BE614" i="1"/>
  <c r="BD614" i="1"/>
  <c r="AY614" i="1"/>
  <c r="AQ614" i="1"/>
  <c r="AP614" i="1"/>
  <c r="AM614" i="1"/>
  <c r="AL614" i="1"/>
  <c r="AK614" i="1"/>
  <c r="AJ614" i="1"/>
  <c r="AF614" i="1"/>
  <c r="AE614" i="1"/>
  <c r="AG614" i="1" s="1"/>
  <c r="AI614" i="1" s="1"/>
  <c r="AD614" i="1"/>
  <c r="U614" i="1" s="1"/>
  <c r="AA614" i="1" s="1"/>
  <c r="W614" i="1"/>
  <c r="V614" i="1"/>
  <c r="T614" i="1"/>
  <c r="R614" i="1"/>
  <c r="L614" i="1"/>
  <c r="BD613" i="1"/>
  <c r="BE613" i="1" s="1"/>
  <c r="AY613" i="1"/>
  <c r="AQ613" i="1"/>
  <c r="AP613" i="1"/>
  <c r="AM613" i="1"/>
  <c r="AL613" i="1"/>
  <c r="AK613" i="1"/>
  <c r="AJ613" i="1"/>
  <c r="AI613" i="1"/>
  <c r="AF613" i="1"/>
  <c r="AE613" i="1"/>
  <c r="AD613" i="1"/>
  <c r="AG613" i="1" s="1"/>
  <c r="W613" i="1"/>
  <c r="V613" i="1"/>
  <c r="U613" i="1"/>
  <c r="AA613" i="1" s="1"/>
  <c r="T613" i="1"/>
  <c r="R613" i="1"/>
  <c r="L613" i="1"/>
  <c r="BH612" i="1"/>
  <c r="BE612" i="1"/>
  <c r="BG612" i="1" s="1"/>
  <c r="BD612" i="1"/>
  <c r="AY612" i="1"/>
  <c r="AQ612" i="1"/>
  <c r="AP612" i="1"/>
  <c r="AM612" i="1"/>
  <c r="AL612" i="1"/>
  <c r="AK612" i="1"/>
  <c r="AJ612" i="1"/>
  <c r="AG612" i="1"/>
  <c r="AI612" i="1" s="1"/>
  <c r="AF612" i="1"/>
  <c r="AE612" i="1"/>
  <c r="AD612" i="1"/>
  <c r="AA612" i="1"/>
  <c r="W612" i="1"/>
  <c r="V612" i="1"/>
  <c r="U612" i="1"/>
  <c r="T612" i="1"/>
  <c r="R612" i="1"/>
  <c r="L612" i="1"/>
  <c r="BG611" i="1"/>
  <c r="BD611" i="1"/>
  <c r="BE611" i="1" s="1"/>
  <c r="BH611" i="1" s="1"/>
  <c r="AY611" i="1"/>
  <c r="AQ611" i="1"/>
  <c r="AP611" i="1"/>
  <c r="AM611" i="1"/>
  <c r="AL611" i="1"/>
  <c r="AK611" i="1"/>
  <c r="AJ611" i="1"/>
  <c r="AF611" i="1"/>
  <c r="W611" i="1" s="1"/>
  <c r="AE611" i="1"/>
  <c r="AD611" i="1"/>
  <c r="V611" i="1"/>
  <c r="U611" i="1"/>
  <c r="T611" i="1"/>
  <c r="R611" i="1"/>
  <c r="L611" i="1"/>
  <c r="BE610" i="1"/>
  <c r="BD610" i="1"/>
  <c r="AY610" i="1"/>
  <c r="AQ610" i="1"/>
  <c r="AP610" i="1"/>
  <c r="AM610" i="1"/>
  <c r="AL610" i="1"/>
  <c r="AK610" i="1"/>
  <c r="AJ610" i="1"/>
  <c r="AF610" i="1"/>
  <c r="W610" i="1" s="1"/>
  <c r="AE610" i="1"/>
  <c r="AG610" i="1" s="1"/>
  <c r="AI610" i="1" s="1"/>
  <c r="AD610" i="1"/>
  <c r="V610" i="1"/>
  <c r="U610" i="1"/>
  <c r="T610" i="1"/>
  <c r="AA610" i="1" s="1"/>
  <c r="R610" i="1"/>
  <c r="L610" i="1"/>
  <c r="BD609" i="1"/>
  <c r="BE609" i="1" s="1"/>
  <c r="AY609" i="1"/>
  <c r="AQ609" i="1"/>
  <c r="AP609" i="1"/>
  <c r="AM609" i="1"/>
  <c r="AL609" i="1"/>
  <c r="AK609" i="1"/>
  <c r="AJ609" i="1"/>
  <c r="AF609" i="1"/>
  <c r="W609" i="1" s="1"/>
  <c r="AE609" i="1"/>
  <c r="V609" i="1" s="1"/>
  <c r="AD609" i="1"/>
  <c r="AG609" i="1" s="1"/>
  <c r="AI609" i="1" s="1"/>
  <c r="U609" i="1"/>
  <c r="T609" i="1"/>
  <c r="R609" i="1"/>
  <c r="L609" i="1"/>
  <c r="BH608" i="1"/>
  <c r="BE608" i="1"/>
  <c r="BG608" i="1" s="1"/>
  <c r="BD608" i="1"/>
  <c r="AY608" i="1"/>
  <c r="AQ608" i="1"/>
  <c r="AP608" i="1"/>
  <c r="AM608" i="1"/>
  <c r="AL608" i="1"/>
  <c r="AK608" i="1"/>
  <c r="AJ608" i="1"/>
  <c r="AG608" i="1"/>
  <c r="AI608" i="1" s="1"/>
  <c r="AF608" i="1"/>
  <c r="W608" i="1" s="1"/>
  <c r="AE608" i="1"/>
  <c r="V608" i="1" s="1"/>
  <c r="AD608" i="1"/>
  <c r="U608" i="1" s="1"/>
  <c r="T608" i="1"/>
  <c r="R608" i="1"/>
  <c r="L608" i="1"/>
  <c r="BD607" i="1"/>
  <c r="BE607" i="1" s="1"/>
  <c r="AY607" i="1"/>
  <c r="AQ607" i="1"/>
  <c r="AP607" i="1"/>
  <c r="AM607" i="1"/>
  <c r="AL607" i="1"/>
  <c r="AK607" i="1"/>
  <c r="AJ607" i="1"/>
  <c r="AG607" i="1"/>
  <c r="AI607" i="1" s="1"/>
  <c r="AF607" i="1"/>
  <c r="W607" i="1" s="1"/>
  <c r="AE607" i="1"/>
  <c r="AD607" i="1"/>
  <c r="U607" i="1" s="1"/>
  <c r="V607" i="1"/>
  <c r="T607" i="1"/>
  <c r="R607" i="1"/>
  <c r="L607" i="1"/>
  <c r="BE606" i="1"/>
  <c r="BD606" i="1"/>
  <c r="AY606" i="1"/>
  <c r="AQ606" i="1"/>
  <c r="AP606" i="1"/>
  <c r="AM606" i="1"/>
  <c r="AL606" i="1"/>
  <c r="AK606" i="1"/>
  <c r="AJ606" i="1"/>
  <c r="AF606" i="1"/>
  <c r="W606" i="1" s="1"/>
  <c r="AE606" i="1"/>
  <c r="V606" i="1" s="1"/>
  <c r="AD606" i="1"/>
  <c r="U606" i="1"/>
  <c r="T606" i="1"/>
  <c r="R606" i="1"/>
  <c r="L606" i="1"/>
  <c r="BD605" i="1"/>
  <c r="BE605" i="1" s="1"/>
  <c r="AY605" i="1"/>
  <c r="AQ605" i="1"/>
  <c r="AP605" i="1"/>
  <c r="AM605" i="1"/>
  <c r="AL605" i="1"/>
  <c r="AK605" i="1"/>
  <c r="AJ605" i="1"/>
  <c r="AF605" i="1"/>
  <c r="AE605" i="1"/>
  <c r="V605" i="1" s="1"/>
  <c r="AD605" i="1"/>
  <c r="AG605" i="1" s="1"/>
  <c r="AI605" i="1" s="1"/>
  <c r="W605" i="1"/>
  <c r="U605" i="1"/>
  <c r="T605" i="1"/>
  <c r="AA605" i="1" s="1"/>
  <c r="R605" i="1"/>
  <c r="L605" i="1"/>
  <c r="BH604" i="1"/>
  <c r="BE604" i="1"/>
  <c r="BG604" i="1" s="1"/>
  <c r="BD604" i="1"/>
  <c r="AY604" i="1"/>
  <c r="AQ604" i="1"/>
  <c r="AP604" i="1"/>
  <c r="AM604" i="1"/>
  <c r="AL604" i="1"/>
  <c r="AK604" i="1"/>
  <c r="AJ604" i="1"/>
  <c r="AF604" i="1"/>
  <c r="W604" i="1" s="1"/>
  <c r="AE604" i="1"/>
  <c r="AD604" i="1"/>
  <c r="V604" i="1"/>
  <c r="T604" i="1"/>
  <c r="R604" i="1"/>
  <c r="L604" i="1"/>
  <c r="BG603" i="1"/>
  <c r="BD603" i="1"/>
  <c r="BE603" i="1" s="1"/>
  <c r="BH603" i="1" s="1"/>
  <c r="AY603" i="1"/>
  <c r="AQ603" i="1"/>
  <c r="AP603" i="1"/>
  <c r="AM603" i="1"/>
  <c r="AL603" i="1"/>
  <c r="AK603" i="1"/>
  <c r="AJ603" i="1"/>
  <c r="AF603" i="1"/>
  <c r="W603" i="1" s="1"/>
  <c r="AE603" i="1"/>
  <c r="V603" i="1" s="1"/>
  <c r="AA603" i="1" s="1"/>
  <c r="AD603" i="1"/>
  <c r="U603" i="1"/>
  <c r="T603" i="1"/>
  <c r="R603" i="1"/>
  <c r="L603" i="1"/>
  <c r="BG602" i="1"/>
  <c r="BE602" i="1"/>
  <c r="BH602" i="1" s="1"/>
  <c r="BD602" i="1"/>
  <c r="AY602" i="1"/>
  <c r="AQ602" i="1"/>
  <c r="AP602" i="1"/>
  <c r="AM602" i="1"/>
  <c r="AL602" i="1"/>
  <c r="AK602" i="1"/>
  <c r="AJ602" i="1"/>
  <c r="AF602" i="1"/>
  <c r="AE602" i="1"/>
  <c r="AD602" i="1"/>
  <c r="W602" i="1"/>
  <c r="V602" i="1"/>
  <c r="T602" i="1"/>
  <c r="R602" i="1"/>
  <c r="L602" i="1"/>
  <c r="BD601" i="1"/>
  <c r="BE601" i="1" s="1"/>
  <c r="AY601" i="1"/>
  <c r="AQ601" i="1"/>
  <c r="AP601" i="1"/>
  <c r="AM601" i="1"/>
  <c r="AL601" i="1"/>
  <c r="AK601" i="1"/>
  <c r="AJ601" i="1"/>
  <c r="AF601" i="1"/>
  <c r="W601" i="1" s="1"/>
  <c r="AE601" i="1"/>
  <c r="AD601" i="1"/>
  <c r="V601" i="1"/>
  <c r="T601" i="1"/>
  <c r="R601" i="1"/>
  <c r="L601" i="1"/>
  <c r="BH600" i="1"/>
  <c r="BG600" i="1"/>
  <c r="BD600" i="1"/>
  <c r="BE600" i="1" s="1"/>
  <c r="AY600" i="1"/>
  <c r="AQ600" i="1"/>
  <c r="AP600" i="1"/>
  <c r="AM600" i="1"/>
  <c r="AL600" i="1"/>
  <c r="AK600" i="1"/>
  <c r="AJ600" i="1"/>
  <c r="AI600" i="1"/>
  <c r="AG600" i="1"/>
  <c r="AF600" i="1"/>
  <c r="AE600" i="1"/>
  <c r="V600" i="1" s="1"/>
  <c r="AD600" i="1"/>
  <c r="W600" i="1"/>
  <c r="U600" i="1"/>
  <c r="AA600" i="1" s="1"/>
  <c r="T600" i="1"/>
  <c r="R600" i="1"/>
  <c r="L600" i="1"/>
  <c r="BE599" i="1"/>
  <c r="BH599" i="1" s="1"/>
  <c r="BD599" i="1"/>
  <c r="AY599" i="1"/>
  <c r="AQ599" i="1"/>
  <c r="AP599" i="1"/>
  <c r="AM599" i="1"/>
  <c r="AL599" i="1"/>
  <c r="AK599" i="1"/>
  <c r="AJ599" i="1"/>
  <c r="AF599" i="1"/>
  <c r="W599" i="1" s="1"/>
  <c r="AE599" i="1"/>
  <c r="AD599" i="1"/>
  <c r="U599" i="1" s="1"/>
  <c r="V599" i="1"/>
  <c r="T599" i="1"/>
  <c r="R599" i="1"/>
  <c r="L599" i="1"/>
  <c r="BD598" i="1"/>
  <c r="BE598" i="1" s="1"/>
  <c r="AY598" i="1"/>
  <c r="AQ598" i="1"/>
  <c r="AP598" i="1"/>
  <c r="AM598" i="1"/>
  <c r="AL598" i="1"/>
  <c r="AK598" i="1"/>
  <c r="AJ598" i="1"/>
  <c r="AF598" i="1"/>
  <c r="W598" i="1" s="1"/>
  <c r="AE598" i="1"/>
  <c r="V598" i="1" s="1"/>
  <c r="AD598" i="1"/>
  <c r="U598" i="1"/>
  <c r="T598" i="1"/>
  <c r="R598" i="1"/>
  <c r="L598" i="1"/>
  <c r="BD597" i="1"/>
  <c r="BE597" i="1" s="1"/>
  <c r="AY597" i="1"/>
  <c r="AQ597" i="1"/>
  <c r="AP597" i="1"/>
  <c r="AM597" i="1"/>
  <c r="AL597" i="1"/>
  <c r="AK597" i="1"/>
  <c r="AJ597" i="1"/>
  <c r="AF597" i="1"/>
  <c r="AE597" i="1"/>
  <c r="V597" i="1" s="1"/>
  <c r="AD597" i="1"/>
  <c r="AG597" i="1" s="1"/>
  <c r="AI597" i="1" s="1"/>
  <c r="W597" i="1"/>
  <c r="U597" i="1"/>
  <c r="T597" i="1"/>
  <c r="AA597" i="1" s="1"/>
  <c r="R597" i="1"/>
  <c r="L597" i="1"/>
  <c r="BH596" i="1"/>
  <c r="BE596" i="1"/>
  <c r="BG596" i="1" s="1"/>
  <c r="BD596" i="1"/>
  <c r="AY596" i="1"/>
  <c r="AQ596" i="1"/>
  <c r="AP596" i="1"/>
  <c r="AM596" i="1"/>
  <c r="AL596" i="1"/>
  <c r="AK596" i="1"/>
  <c r="AJ596" i="1"/>
  <c r="AF596" i="1"/>
  <c r="W596" i="1" s="1"/>
  <c r="AE596" i="1"/>
  <c r="AD596" i="1"/>
  <c r="V596" i="1"/>
  <c r="T596" i="1"/>
  <c r="R596" i="1"/>
  <c r="L596" i="1"/>
  <c r="BG595" i="1"/>
  <c r="BD595" i="1"/>
  <c r="BE595" i="1" s="1"/>
  <c r="BH595" i="1" s="1"/>
  <c r="AY595" i="1"/>
  <c r="AQ595" i="1"/>
  <c r="AP595" i="1"/>
  <c r="AM595" i="1"/>
  <c r="AL595" i="1"/>
  <c r="AK595" i="1"/>
  <c r="AJ595" i="1"/>
  <c r="AF595" i="1"/>
  <c r="W595" i="1" s="1"/>
  <c r="AE595" i="1"/>
  <c r="V595" i="1" s="1"/>
  <c r="AD595" i="1"/>
  <c r="U595" i="1"/>
  <c r="T595" i="1"/>
  <c r="R595" i="1"/>
  <c r="L595" i="1"/>
  <c r="BG594" i="1"/>
  <c r="BE594" i="1"/>
  <c r="BH594" i="1" s="1"/>
  <c r="BD594" i="1"/>
  <c r="AY594" i="1"/>
  <c r="AQ594" i="1"/>
  <c r="AP594" i="1"/>
  <c r="AM594" i="1"/>
  <c r="AL594" i="1"/>
  <c r="AK594" i="1"/>
  <c r="AJ594" i="1"/>
  <c r="AF594" i="1"/>
  <c r="AE594" i="1"/>
  <c r="AD594" i="1"/>
  <c r="W594" i="1"/>
  <c r="V594" i="1"/>
  <c r="T594" i="1"/>
  <c r="R594" i="1"/>
  <c r="L594" i="1"/>
  <c r="BD593" i="1"/>
  <c r="BE593" i="1" s="1"/>
  <c r="AY593" i="1"/>
  <c r="AQ593" i="1"/>
  <c r="AP593" i="1"/>
  <c r="AM593" i="1"/>
  <c r="AL593" i="1"/>
  <c r="AK593" i="1"/>
  <c r="AJ593" i="1"/>
  <c r="AF593" i="1"/>
  <c r="W593" i="1" s="1"/>
  <c r="AE593" i="1"/>
  <c r="AD593" i="1"/>
  <c r="V593" i="1"/>
  <c r="T593" i="1"/>
  <c r="R593" i="1"/>
  <c r="L593" i="1"/>
  <c r="BH592" i="1"/>
  <c r="BG592" i="1"/>
  <c r="BE592" i="1"/>
  <c r="BD592" i="1"/>
  <c r="AY592" i="1"/>
  <c r="AQ592" i="1"/>
  <c r="AP592" i="1"/>
  <c r="AM592" i="1"/>
  <c r="AL592" i="1"/>
  <c r="AK592" i="1"/>
  <c r="AJ592" i="1"/>
  <c r="AG592" i="1"/>
  <c r="AI592" i="1" s="1"/>
  <c r="AF592" i="1"/>
  <c r="AE592" i="1"/>
  <c r="AD592" i="1"/>
  <c r="AA592" i="1"/>
  <c r="W592" i="1"/>
  <c r="V592" i="1"/>
  <c r="U592" i="1"/>
  <c r="T592" i="1"/>
  <c r="R592" i="1"/>
  <c r="L592" i="1"/>
  <c r="BE591" i="1"/>
  <c r="BH591" i="1" s="1"/>
  <c r="BD591" i="1"/>
  <c r="AY591" i="1"/>
  <c r="AQ591" i="1"/>
  <c r="AP591" i="1"/>
  <c r="AM591" i="1"/>
  <c r="AL591" i="1"/>
  <c r="AK591" i="1"/>
  <c r="AJ591" i="1"/>
  <c r="AI591" i="1"/>
  <c r="AG591" i="1"/>
  <c r="AF591" i="1"/>
  <c r="AE591" i="1"/>
  <c r="AD591" i="1"/>
  <c r="W591" i="1"/>
  <c r="V591" i="1"/>
  <c r="U591" i="1"/>
  <c r="T591" i="1"/>
  <c r="R591" i="1"/>
  <c r="L591" i="1"/>
  <c r="BE590" i="1"/>
  <c r="BD590" i="1"/>
  <c r="AY590" i="1"/>
  <c r="AQ590" i="1"/>
  <c r="AP590" i="1"/>
  <c r="AM590" i="1"/>
  <c r="AL590" i="1"/>
  <c r="AK590" i="1"/>
  <c r="AJ590" i="1"/>
  <c r="AF590" i="1"/>
  <c r="W590" i="1" s="1"/>
  <c r="AE590" i="1"/>
  <c r="AD590" i="1"/>
  <c r="U590" i="1"/>
  <c r="T590" i="1"/>
  <c r="R590" i="1"/>
  <c r="L590" i="1"/>
  <c r="BD589" i="1"/>
  <c r="BE589" i="1" s="1"/>
  <c r="AY589" i="1"/>
  <c r="AQ589" i="1"/>
  <c r="AP589" i="1"/>
  <c r="AM589" i="1"/>
  <c r="AL589" i="1"/>
  <c r="AK589" i="1"/>
  <c r="AJ589" i="1"/>
  <c r="AG589" i="1"/>
  <c r="AI589" i="1" s="1"/>
  <c r="AF589" i="1"/>
  <c r="W589" i="1" s="1"/>
  <c r="AE589" i="1"/>
  <c r="V589" i="1" s="1"/>
  <c r="AD589" i="1"/>
  <c r="U589" i="1" s="1"/>
  <c r="T589" i="1"/>
  <c r="R589" i="1"/>
  <c r="L589" i="1"/>
  <c r="BH588" i="1"/>
  <c r="BD588" i="1"/>
  <c r="BE588" i="1" s="1"/>
  <c r="BG588" i="1" s="1"/>
  <c r="AY588" i="1"/>
  <c r="AQ588" i="1"/>
  <c r="AP588" i="1"/>
  <c r="AM588" i="1"/>
  <c r="AL588" i="1"/>
  <c r="AK588" i="1"/>
  <c r="AJ588" i="1"/>
  <c r="AF588" i="1"/>
  <c r="AE588" i="1"/>
  <c r="V588" i="1" s="1"/>
  <c r="AD588" i="1"/>
  <c r="W588" i="1"/>
  <c r="T588" i="1"/>
  <c r="R588" i="1"/>
  <c r="L588" i="1"/>
  <c r="BE587" i="1"/>
  <c r="BH587" i="1" s="1"/>
  <c r="BD587" i="1"/>
  <c r="AY587" i="1"/>
  <c r="AQ587" i="1"/>
  <c r="AP587" i="1"/>
  <c r="AM587" i="1"/>
  <c r="AL587" i="1"/>
  <c r="AK587" i="1"/>
  <c r="AJ587" i="1"/>
  <c r="AG587" i="1"/>
  <c r="AI587" i="1" s="1"/>
  <c r="AF587" i="1"/>
  <c r="AE587" i="1"/>
  <c r="AD587" i="1"/>
  <c r="U587" i="1" s="1"/>
  <c r="W587" i="1"/>
  <c r="V587" i="1"/>
  <c r="T587" i="1"/>
  <c r="R587" i="1"/>
  <c r="L587" i="1"/>
  <c r="BD586" i="1"/>
  <c r="BE586" i="1" s="1"/>
  <c r="AY586" i="1"/>
  <c r="AQ586" i="1"/>
  <c r="AP586" i="1"/>
  <c r="AM586" i="1"/>
  <c r="AL586" i="1"/>
  <c r="AK586" i="1"/>
  <c r="AJ586" i="1"/>
  <c r="AF586" i="1"/>
  <c r="W586" i="1" s="1"/>
  <c r="AE586" i="1"/>
  <c r="V586" i="1" s="1"/>
  <c r="AD586" i="1"/>
  <c r="U586" i="1" s="1"/>
  <c r="T586" i="1"/>
  <c r="R586" i="1"/>
  <c r="L586" i="1"/>
  <c r="BH585" i="1"/>
  <c r="BE585" i="1"/>
  <c r="BG585" i="1" s="1"/>
  <c r="BD585" i="1"/>
  <c r="AY585" i="1"/>
  <c r="AQ585" i="1"/>
  <c r="AP585" i="1"/>
  <c r="AM585" i="1"/>
  <c r="AL585" i="1"/>
  <c r="AK585" i="1"/>
  <c r="AJ585" i="1"/>
  <c r="AF585" i="1"/>
  <c r="AE585" i="1"/>
  <c r="V585" i="1" s="1"/>
  <c r="AD585" i="1"/>
  <c r="W585" i="1"/>
  <c r="T585" i="1"/>
  <c r="R585" i="1"/>
  <c r="L585" i="1"/>
  <c r="BH584" i="1"/>
  <c r="BD584" i="1"/>
  <c r="BE584" i="1" s="1"/>
  <c r="BG584" i="1" s="1"/>
  <c r="AY584" i="1"/>
  <c r="AQ584" i="1"/>
  <c r="AP584" i="1"/>
  <c r="AM584" i="1"/>
  <c r="AL584" i="1"/>
  <c r="AK584" i="1"/>
  <c r="AJ584" i="1"/>
  <c r="AF584" i="1"/>
  <c r="AE584" i="1"/>
  <c r="AD584" i="1"/>
  <c r="W584" i="1"/>
  <c r="V584" i="1"/>
  <c r="T584" i="1"/>
  <c r="R584" i="1"/>
  <c r="L584" i="1"/>
  <c r="BH583" i="1"/>
  <c r="BG583" i="1"/>
  <c r="BE583" i="1"/>
  <c r="BD583" i="1"/>
  <c r="AY583" i="1"/>
  <c r="AQ583" i="1"/>
  <c r="AP583" i="1"/>
  <c r="AM583" i="1"/>
  <c r="AL583" i="1"/>
  <c r="AK583" i="1"/>
  <c r="AJ583" i="1"/>
  <c r="AG583" i="1"/>
  <c r="AI583" i="1" s="1"/>
  <c r="AF583" i="1"/>
  <c r="AE583" i="1"/>
  <c r="AD583" i="1"/>
  <c r="AA583" i="1"/>
  <c r="W583" i="1"/>
  <c r="V583" i="1"/>
  <c r="U583" i="1"/>
  <c r="T583" i="1"/>
  <c r="R583" i="1"/>
  <c r="L583" i="1"/>
  <c r="BG582" i="1"/>
  <c r="BE582" i="1"/>
  <c r="BH582" i="1" s="1"/>
  <c r="BD582" i="1"/>
  <c r="AY582" i="1"/>
  <c r="AQ582" i="1"/>
  <c r="AP582" i="1"/>
  <c r="AM582" i="1"/>
  <c r="AL582" i="1"/>
  <c r="AK582" i="1"/>
  <c r="AJ582" i="1"/>
  <c r="AF582" i="1"/>
  <c r="AE582" i="1"/>
  <c r="AD582" i="1"/>
  <c r="W582" i="1"/>
  <c r="V582" i="1"/>
  <c r="U582" i="1"/>
  <c r="T582" i="1"/>
  <c r="R582" i="1"/>
  <c r="L582" i="1"/>
  <c r="BD581" i="1"/>
  <c r="BE581" i="1" s="1"/>
  <c r="AY581" i="1"/>
  <c r="AQ581" i="1"/>
  <c r="AP581" i="1"/>
  <c r="AM581" i="1"/>
  <c r="AL581" i="1"/>
  <c r="AK581" i="1"/>
  <c r="AJ581" i="1"/>
  <c r="AF581" i="1"/>
  <c r="W581" i="1" s="1"/>
  <c r="AE581" i="1"/>
  <c r="V581" i="1" s="1"/>
  <c r="AD581" i="1"/>
  <c r="U581" i="1" s="1"/>
  <c r="AA581" i="1" s="1"/>
  <c r="T581" i="1"/>
  <c r="R581" i="1"/>
  <c r="L581" i="1"/>
  <c r="BH580" i="1"/>
  <c r="BD580" i="1"/>
  <c r="BE580" i="1" s="1"/>
  <c r="BG580" i="1" s="1"/>
  <c r="AY580" i="1"/>
  <c r="AQ580" i="1"/>
  <c r="AP580" i="1"/>
  <c r="AM580" i="1"/>
  <c r="AL580" i="1"/>
  <c r="AK580" i="1"/>
  <c r="AJ580" i="1"/>
  <c r="AF580" i="1"/>
  <c r="AE580" i="1"/>
  <c r="V580" i="1" s="1"/>
  <c r="AD580" i="1"/>
  <c r="W580" i="1"/>
  <c r="T580" i="1"/>
  <c r="R580" i="1"/>
  <c r="L580" i="1"/>
  <c r="BE579" i="1"/>
  <c r="BH579" i="1" s="1"/>
  <c r="BD579" i="1"/>
  <c r="AY579" i="1"/>
  <c r="AQ579" i="1"/>
  <c r="AP579" i="1"/>
  <c r="AM579" i="1"/>
  <c r="AL579" i="1"/>
  <c r="AK579" i="1"/>
  <c r="AJ579" i="1"/>
  <c r="AG579" i="1"/>
  <c r="AI579" i="1" s="1"/>
  <c r="AF579" i="1"/>
  <c r="W579" i="1" s="1"/>
  <c r="AE579" i="1"/>
  <c r="AD579" i="1"/>
  <c r="U579" i="1" s="1"/>
  <c r="V579" i="1"/>
  <c r="T579" i="1"/>
  <c r="R579" i="1"/>
  <c r="L579" i="1"/>
  <c r="BD578" i="1"/>
  <c r="BE578" i="1" s="1"/>
  <c r="AY578" i="1"/>
  <c r="AQ578" i="1"/>
  <c r="AP578" i="1"/>
  <c r="AM578" i="1"/>
  <c r="AL578" i="1"/>
  <c r="AK578" i="1"/>
  <c r="AJ578" i="1"/>
  <c r="AF578" i="1"/>
  <c r="W578" i="1" s="1"/>
  <c r="AE578" i="1"/>
  <c r="V578" i="1" s="1"/>
  <c r="AD578" i="1"/>
  <c r="T578" i="1"/>
  <c r="R578" i="1"/>
  <c r="L578" i="1"/>
  <c r="BD577" i="1"/>
  <c r="BE577" i="1" s="1"/>
  <c r="BG577" i="1" s="1"/>
  <c r="AY577" i="1"/>
  <c r="AQ577" i="1"/>
  <c r="AP577" i="1"/>
  <c r="AM577" i="1"/>
  <c r="AL577" i="1"/>
  <c r="AK577" i="1"/>
  <c r="AJ577" i="1"/>
  <c r="AF577" i="1"/>
  <c r="AE577" i="1"/>
  <c r="V577" i="1" s="1"/>
  <c r="AD577" i="1"/>
  <c r="W577" i="1"/>
  <c r="T577" i="1"/>
  <c r="R577" i="1"/>
  <c r="L577" i="1"/>
  <c r="BD576" i="1"/>
  <c r="BE576" i="1" s="1"/>
  <c r="BH576" i="1" s="1"/>
  <c r="AY576" i="1"/>
  <c r="AQ576" i="1"/>
  <c r="AP576" i="1"/>
  <c r="AM576" i="1"/>
  <c r="AL576" i="1"/>
  <c r="AK576" i="1"/>
  <c r="AJ576" i="1"/>
  <c r="AF576" i="1"/>
  <c r="AE576" i="1"/>
  <c r="AD576" i="1"/>
  <c r="W576" i="1"/>
  <c r="V576" i="1"/>
  <c r="T576" i="1"/>
  <c r="R576" i="1"/>
  <c r="L576" i="1"/>
  <c r="BH575" i="1"/>
  <c r="BG575" i="1"/>
  <c r="BE575" i="1"/>
  <c r="BD575" i="1"/>
  <c r="AY575" i="1"/>
  <c r="AQ575" i="1"/>
  <c r="AP575" i="1"/>
  <c r="AM575" i="1"/>
  <c r="AL575" i="1"/>
  <c r="AK575" i="1"/>
  <c r="AJ575" i="1"/>
  <c r="AF575" i="1"/>
  <c r="AG575" i="1" s="1"/>
  <c r="AI575" i="1" s="1"/>
  <c r="AE575" i="1"/>
  <c r="AD575" i="1"/>
  <c r="W575" i="1"/>
  <c r="V575" i="1"/>
  <c r="AA575" i="1" s="1"/>
  <c r="U575" i="1"/>
  <c r="T575" i="1"/>
  <c r="R575" i="1"/>
  <c r="L575" i="1"/>
  <c r="BD574" i="1"/>
  <c r="BE574" i="1" s="1"/>
  <c r="AY574" i="1"/>
  <c r="AQ574" i="1"/>
  <c r="AP574" i="1"/>
  <c r="AM574" i="1"/>
  <c r="AL574" i="1"/>
  <c r="AK574" i="1"/>
  <c r="AJ574" i="1"/>
  <c r="AG574" i="1"/>
  <c r="AI574" i="1" s="1"/>
  <c r="AF574" i="1"/>
  <c r="W574" i="1" s="1"/>
  <c r="AE574" i="1"/>
  <c r="V574" i="1" s="1"/>
  <c r="AD574" i="1"/>
  <c r="U574" i="1"/>
  <c r="T574" i="1"/>
  <c r="R574" i="1"/>
  <c r="L574" i="1"/>
  <c r="BE573" i="1"/>
  <c r="BG573" i="1" s="1"/>
  <c r="BD573" i="1"/>
  <c r="AY573" i="1"/>
  <c r="AQ573" i="1"/>
  <c r="AP573" i="1"/>
  <c r="AM573" i="1"/>
  <c r="AL573" i="1"/>
  <c r="AK573" i="1"/>
  <c r="AJ573" i="1"/>
  <c r="AF573" i="1"/>
  <c r="W573" i="1" s="1"/>
  <c r="AE573" i="1"/>
  <c r="V573" i="1" s="1"/>
  <c r="AD573" i="1"/>
  <c r="T573" i="1"/>
  <c r="R573" i="1"/>
  <c r="L573" i="1"/>
  <c r="BH572" i="1"/>
  <c r="BG572" i="1"/>
  <c r="BD572" i="1"/>
  <c r="BE572" i="1" s="1"/>
  <c r="AY572" i="1"/>
  <c r="AQ572" i="1"/>
  <c r="AP572" i="1"/>
  <c r="AM572" i="1"/>
  <c r="AL572" i="1"/>
  <c r="AK572" i="1"/>
  <c r="AJ572" i="1"/>
  <c r="AF572" i="1"/>
  <c r="AG572" i="1" s="1"/>
  <c r="AI572" i="1" s="1"/>
  <c r="AE572" i="1"/>
  <c r="V572" i="1" s="1"/>
  <c r="AD572" i="1"/>
  <c r="W572" i="1"/>
  <c r="U572" i="1"/>
  <c r="AA572" i="1" s="1"/>
  <c r="T572" i="1"/>
  <c r="R572" i="1"/>
  <c r="L572" i="1"/>
  <c r="BE571" i="1"/>
  <c r="BD571" i="1"/>
  <c r="AY571" i="1"/>
  <c r="AQ571" i="1"/>
  <c r="AP571" i="1"/>
  <c r="AM571" i="1"/>
  <c r="AL571" i="1"/>
  <c r="AK571" i="1"/>
  <c r="AJ571" i="1"/>
  <c r="AI571" i="1"/>
  <c r="AG571" i="1"/>
  <c r="AF571" i="1"/>
  <c r="W571" i="1" s="1"/>
  <c r="AE571" i="1"/>
  <c r="AD571" i="1"/>
  <c r="V571" i="1"/>
  <c r="U571" i="1"/>
  <c r="T571" i="1"/>
  <c r="R571" i="1"/>
  <c r="L571" i="1"/>
  <c r="BD570" i="1"/>
  <c r="BE570" i="1" s="1"/>
  <c r="AY570" i="1"/>
  <c r="AQ570" i="1"/>
  <c r="AP570" i="1"/>
  <c r="AM570" i="1"/>
  <c r="AL570" i="1"/>
  <c r="AK570" i="1"/>
  <c r="AJ570" i="1"/>
  <c r="AF570" i="1"/>
  <c r="W570" i="1" s="1"/>
  <c r="AE570" i="1"/>
  <c r="V570" i="1" s="1"/>
  <c r="AD570" i="1"/>
  <c r="U570" i="1"/>
  <c r="T570" i="1"/>
  <c r="R570" i="1"/>
  <c r="L570" i="1"/>
  <c r="BD569" i="1"/>
  <c r="BE569" i="1" s="1"/>
  <c r="AY569" i="1"/>
  <c r="AQ569" i="1"/>
  <c r="AP569" i="1"/>
  <c r="AM569" i="1"/>
  <c r="AL569" i="1"/>
  <c r="AK569" i="1"/>
  <c r="AJ569" i="1"/>
  <c r="AF569" i="1"/>
  <c r="W569" i="1" s="1"/>
  <c r="AE569" i="1"/>
  <c r="V569" i="1" s="1"/>
  <c r="AD569" i="1"/>
  <c r="U569" i="1" s="1"/>
  <c r="T569" i="1"/>
  <c r="R569" i="1"/>
  <c r="L569" i="1"/>
  <c r="BE568" i="1"/>
  <c r="BH568" i="1" s="1"/>
  <c r="BD568" i="1"/>
  <c r="AY568" i="1"/>
  <c r="AQ568" i="1"/>
  <c r="AP568" i="1"/>
  <c r="AM568" i="1"/>
  <c r="AL568" i="1"/>
  <c r="AK568" i="1"/>
  <c r="AJ568" i="1"/>
  <c r="AF568" i="1"/>
  <c r="W568" i="1" s="1"/>
  <c r="AE568" i="1"/>
  <c r="V568" i="1" s="1"/>
  <c r="AD568" i="1"/>
  <c r="T568" i="1"/>
  <c r="R568" i="1"/>
  <c r="L568" i="1"/>
  <c r="BD567" i="1"/>
  <c r="BE567" i="1" s="1"/>
  <c r="BG567" i="1" s="1"/>
  <c r="AY567" i="1"/>
  <c r="AQ567" i="1"/>
  <c r="AP567" i="1"/>
  <c r="AM567" i="1"/>
  <c r="AL567" i="1"/>
  <c r="AK567" i="1"/>
  <c r="AJ567" i="1"/>
  <c r="AF567" i="1"/>
  <c r="AE567" i="1"/>
  <c r="V567" i="1" s="1"/>
  <c r="AD567" i="1"/>
  <c r="W567" i="1"/>
  <c r="T567" i="1"/>
  <c r="R567" i="1"/>
  <c r="L567" i="1"/>
  <c r="BD566" i="1"/>
  <c r="BE566" i="1" s="1"/>
  <c r="BH566" i="1" s="1"/>
  <c r="AY566" i="1"/>
  <c r="AQ566" i="1"/>
  <c r="AP566" i="1"/>
  <c r="AM566" i="1"/>
  <c r="AL566" i="1"/>
  <c r="AK566" i="1"/>
  <c r="AJ566" i="1"/>
  <c r="AG566" i="1"/>
  <c r="AI566" i="1" s="1"/>
  <c r="AF566" i="1"/>
  <c r="AE566" i="1"/>
  <c r="AD566" i="1"/>
  <c r="U566" i="1" s="1"/>
  <c r="W566" i="1"/>
  <c r="V566" i="1"/>
  <c r="T566" i="1"/>
  <c r="AA566" i="1" s="1"/>
  <c r="R566" i="1"/>
  <c r="L566" i="1"/>
  <c r="BH565" i="1"/>
  <c r="BG565" i="1"/>
  <c r="BE565" i="1"/>
  <c r="BD565" i="1"/>
  <c r="AY565" i="1"/>
  <c r="AQ565" i="1"/>
  <c r="AP565" i="1"/>
  <c r="AM565" i="1"/>
  <c r="AL565" i="1"/>
  <c r="AK565" i="1"/>
  <c r="AJ565" i="1"/>
  <c r="AF565" i="1"/>
  <c r="AG565" i="1" s="1"/>
  <c r="AI565" i="1" s="1"/>
  <c r="AE565" i="1"/>
  <c r="AD565" i="1"/>
  <c r="W565" i="1"/>
  <c r="V565" i="1"/>
  <c r="AA565" i="1" s="1"/>
  <c r="U565" i="1"/>
  <c r="T565" i="1"/>
  <c r="R565" i="1"/>
  <c r="L565" i="1"/>
  <c r="BD564" i="1"/>
  <c r="BE564" i="1" s="1"/>
  <c r="AY564" i="1"/>
  <c r="AQ564" i="1"/>
  <c r="AP564" i="1"/>
  <c r="AM564" i="1"/>
  <c r="AL564" i="1"/>
  <c r="AK564" i="1"/>
  <c r="AJ564" i="1"/>
  <c r="AI564" i="1"/>
  <c r="AF564" i="1"/>
  <c r="AE564" i="1"/>
  <c r="AG564" i="1" s="1"/>
  <c r="AD564" i="1"/>
  <c r="W564" i="1"/>
  <c r="U564" i="1"/>
  <c r="T564" i="1"/>
  <c r="R564" i="1"/>
  <c r="L564" i="1"/>
  <c r="BE563" i="1"/>
  <c r="BD563" i="1"/>
  <c r="AY563" i="1"/>
  <c r="AQ563" i="1"/>
  <c r="AP563" i="1"/>
  <c r="AM563" i="1"/>
  <c r="AL563" i="1"/>
  <c r="AK563" i="1"/>
  <c r="AJ563" i="1"/>
  <c r="AF563" i="1"/>
  <c r="W563" i="1" s="1"/>
  <c r="AE563" i="1"/>
  <c r="AD563" i="1"/>
  <c r="AG563" i="1" s="1"/>
  <c r="AI563" i="1" s="1"/>
  <c r="V563" i="1"/>
  <c r="U563" i="1"/>
  <c r="T563" i="1"/>
  <c r="R563" i="1"/>
  <c r="L563" i="1"/>
  <c r="BD562" i="1"/>
  <c r="BE562" i="1" s="1"/>
  <c r="BG562" i="1" s="1"/>
  <c r="AY562" i="1"/>
  <c r="AQ562" i="1"/>
  <c r="AP562" i="1"/>
  <c r="AM562" i="1"/>
  <c r="AL562" i="1"/>
  <c r="AK562" i="1"/>
  <c r="AJ562" i="1"/>
  <c r="AF562" i="1"/>
  <c r="W562" i="1" s="1"/>
  <c r="AE562" i="1"/>
  <c r="V562" i="1" s="1"/>
  <c r="AD562" i="1"/>
  <c r="U562" i="1"/>
  <c r="T562" i="1"/>
  <c r="AA562" i="1" s="1"/>
  <c r="R562" i="1"/>
  <c r="L562" i="1"/>
  <c r="BG561" i="1"/>
  <c r="BD561" i="1"/>
  <c r="BE561" i="1" s="1"/>
  <c r="BH561" i="1" s="1"/>
  <c r="AY561" i="1"/>
  <c r="AQ561" i="1"/>
  <c r="AP561" i="1"/>
  <c r="AM561" i="1"/>
  <c r="AL561" i="1"/>
  <c r="AK561" i="1"/>
  <c r="AJ561" i="1"/>
  <c r="AG561" i="1"/>
  <c r="AI561" i="1" s="1"/>
  <c r="AF561" i="1"/>
  <c r="W561" i="1" s="1"/>
  <c r="AE561" i="1"/>
  <c r="V561" i="1" s="1"/>
  <c r="AD561" i="1"/>
  <c r="U561" i="1" s="1"/>
  <c r="T561" i="1"/>
  <c r="R561" i="1"/>
  <c r="L561" i="1"/>
  <c r="BE560" i="1"/>
  <c r="BD560" i="1"/>
  <c r="AY560" i="1"/>
  <c r="AQ560" i="1"/>
  <c r="AP560" i="1"/>
  <c r="AM560" i="1"/>
  <c r="AL560" i="1"/>
  <c r="AK560" i="1"/>
  <c r="AJ560" i="1"/>
  <c r="AF560" i="1"/>
  <c r="W560" i="1" s="1"/>
  <c r="AE560" i="1"/>
  <c r="AD560" i="1"/>
  <c r="V560" i="1"/>
  <c r="T560" i="1"/>
  <c r="R560" i="1"/>
  <c r="L560" i="1"/>
  <c r="BH559" i="1"/>
  <c r="BD559" i="1"/>
  <c r="BE559" i="1" s="1"/>
  <c r="BG559" i="1" s="1"/>
  <c r="AY559" i="1"/>
  <c r="AQ559" i="1"/>
  <c r="AP559" i="1"/>
  <c r="AM559" i="1"/>
  <c r="AL559" i="1"/>
  <c r="AK559" i="1"/>
  <c r="AJ559" i="1"/>
  <c r="AI559" i="1"/>
  <c r="AF559" i="1"/>
  <c r="AE559" i="1"/>
  <c r="V559" i="1" s="1"/>
  <c r="AD559" i="1"/>
  <c r="AG559" i="1" s="1"/>
  <c r="W559" i="1"/>
  <c r="U559" i="1"/>
  <c r="AA559" i="1" s="1"/>
  <c r="T559" i="1"/>
  <c r="R559" i="1"/>
  <c r="L559" i="1"/>
  <c r="BD558" i="1"/>
  <c r="BE558" i="1" s="1"/>
  <c r="BH558" i="1" s="1"/>
  <c r="AY558" i="1"/>
  <c r="AQ558" i="1"/>
  <c r="AP558" i="1"/>
  <c r="AM558" i="1"/>
  <c r="AL558" i="1"/>
  <c r="AK558" i="1"/>
  <c r="AJ558" i="1"/>
  <c r="AF558" i="1"/>
  <c r="AE558" i="1"/>
  <c r="AD558" i="1"/>
  <c r="U558" i="1" s="1"/>
  <c r="AA558" i="1" s="1"/>
  <c r="W558" i="1"/>
  <c r="V558" i="1"/>
  <c r="T558" i="1"/>
  <c r="R558" i="1"/>
  <c r="L558" i="1"/>
  <c r="BH557" i="1"/>
  <c r="BG557" i="1"/>
  <c r="BE557" i="1"/>
  <c r="BD557" i="1"/>
  <c r="AY557" i="1"/>
  <c r="AQ557" i="1"/>
  <c r="AP557" i="1"/>
  <c r="AM557" i="1"/>
  <c r="AL557" i="1"/>
  <c r="AK557" i="1"/>
  <c r="AJ557" i="1"/>
  <c r="AF557" i="1"/>
  <c r="AG557" i="1" s="1"/>
  <c r="AI557" i="1" s="1"/>
  <c r="AE557" i="1"/>
  <c r="AD557" i="1"/>
  <c r="W557" i="1"/>
  <c r="V557" i="1"/>
  <c r="AA557" i="1" s="1"/>
  <c r="U557" i="1"/>
  <c r="T557" i="1"/>
  <c r="R557" i="1"/>
  <c r="L557" i="1"/>
  <c r="BD556" i="1"/>
  <c r="BE556" i="1" s="1"/>
  <c r="AY556" i="1"/>
  <c r="AQ556" i="1"/>
  <c r="AP556" i="1"/>
  <c r="AM556" i="1"/>
  <c r="AL556" i="1"/>
  <c r="AK556" i="1"/>
  <c r="AJ556" i="1"/>
  <c r="AF556" i="1"/>
  <c r="AE556" i="1"/>
  <c r="AG556" i="1" s="1"/>
  <c r="AI556" i="1" s="1"/>
  <c r="AD556" i="1"/>
  <c r="W556" i="1"/>
  <c r="U556" i="1"/>
  <c r="T556" i="1"/>
  <c r="R556" i="1"/>
  <c r="L556" i="1"/>
  <c r="BE555" i="1"/>
  <c r="BD555" i="1"/>
  <c r="AY555" i="1"/>
  <c r="AQ555" i="1"/>
  <c r="AP555" i="1"/>
  <c r="AM555" i="1"/>
  <c r="AL555" i="1"/>
  <c r="AK555" i="1"/>
  <c r="AJ555" i="1"/>
  <c r="AF555" i="1"/>
  <c r="W555" i="1" s="1"/>
  <c r="AE555" i="1"/>
  <c r="AD555" i="1"/>
  <c r="AG555" i="1" s="1"/>
  <c r="AI555" i="1" s="1"/>
  <c r="V555" i="1"/>
  <c r="U555" i="1"/>
  <c r="T555" i="1"/>
  <c r="AA555" i="1" s="1"/>
  <c r="R555" i="1"/>
  <c r="L555" i="1"/>
  <c r="BD554" i="1"/>
  <c r="BE554" i="1" s="1"/>
  <c r="BG554" i="1" s="1"/>
  <c r="AY554" i="1"/>
  <c r="AQ554" i="1"/>
  <c r="AP554" i="1"/>
  <c r="AM554" i="1"/>
  <c r="AL554" i="1"/>
  <c r="AK554" i="1"/>
  <c r="AJ554" i="1"/>
  <c r="AF554" i="1"/>
  <c r="W554" i="1" s="1"/>
  <c r="AE554" i="1"/>
  <c r="V554" i="1" s="1"/>
  <c r="AA554" i="1" s="1"/>
  <c r="AD554" i="1"/>
  <c r="U554" i="1"/>
  <c r="T554" i="1"/>
  <c r="R554" i="1"/>
  <c r="L554" i="1"/>
  <c r="BD553" i="1"/>
  <c r="BE553" i="1" s="1"/>
  <c r="BH553" i="1" s="1"/>
  <c r="AY553" i="1"/>
  <c r="AQ553" i="1"/>
  <c r="AP553" i="1"/>
  <c r="AM553" i="1"/>
  <c r="AL553" i="1"/>
  <c r="AK553" i="1"/>
  <c r="AJ553" i="1"/>
  <c r="AF553" i="1"/>
  <c r="W553" i="1" s="1"/>
  <c r="AE553" i="1"/>
  <c r="V553" i="1" s="1"/>
  <c r="AD553" i="1"/>
  <c r="U553" i="1" s="1"/>
  <c r="T553" i="1"/>
  <c r="R553" i="1"/>
  <c r="L553" i="1"/>
  <c r="BE552" i="1"/>
  <c r="BD552" i="1"/>
  <c r="AY552" i="1"/>
  <c r="AQ552" i="1"/>
  <c r="AP552" i="1"/>
  <c r="AM552" i="1"/>
  <c r="AL552" i="1"/>
  <c r="AK552" i="1"/>
  <c r="AJ552" i="1"/>
  <c r="AF552" i="1"/>
  <c r="W552" i="1" s="1"/>
  <c r="AE552" i="1"/>
  <c r="V552" i="1" s="1"/>
  <c r="AD552" i="1"/>
  <c r="T552" i="1"/>
  <c r="R552" i="1"/>
  <c r="L552" i="1"/>
  <c r="BD551" i="1"/>
  <c r="BE551" i="1" s="1"/>
  <c r="BG551" i="1" s="1"/>
  <c r="AY551" i="1"/>
  <c r="AQ551" i="1"/>
  <c r="AP551" i="1"/>
  <c r="AM551" i="1"/>
  <c r="AL551" i="1"/>
  <c r="AK551" i="1"/>
  <c r="AJ551" i="1"/>
  <c r="AF551" i="1"/>
  <c r="AE551" i="1"/>
  <c r="V551" i="1" s="1"/>
  <c r="AD551" i="1"/>
  <c r="W551" i="1"/>
  <c r="U551" i="1"/>
  <c r="AA551" i="1" s="1"/>
  <c r="T551" i="1"/>
  <c r="R551" i="1"/>
  <c r="L551" i="1"/>
  <c r="BD550" i="1"/>
  <c r="BE550" i="1" s="1"/>
  <c r="BH550" i="1" s="1"/>
  <c r="AY550" i="1"/>
  <c r="AQ550" i="1"/>
  <c r="AP550" i="1"/>
  <c r="AM550" i="1"/>
  <c r="AL550" i="1"/>
  <c r="AK550" i="1"/>
  <c r="AJ550" i="1"/>
  <c r="AF550" i="1"/>
  <c r="AE550" i="1"/>
  <c r="AD550" i="1"/>
  <c r="U550" i="1" s="1"/>
  <c r="AA550" i="1"/>
  <c r="W550" i="1"/>
  <c r="V550" i="1"/>
  <c r="T550" i="1"/>
  <c r="R550" i="1"/>
  <c r="L550" i="1"/>
  <c r="BE549" i="1"/>
  <c r="BH549" i="1" s="1"/>
  <c r="BD549" i="1"/>
  <c r="AY549" i="1"/>
  <c r="AQ549" i="1"/>
  <c r="AP549" i="1"/>
  <c r="AM549" i="1"/>
  <c r="AL549" i="1"/>
  <c r="AK549" i="1"/>
  <c r="AJ549" i="1"/>
  <c r="AF549" i="1"/>
  <c r="AG549" i="1" s="1"/>
  <c r="AI549" i="1" s="1"/>
  <c r="AE549" i="1"/>
  <c r="AD549" i="1"/>
  <c r="W549" i="1"/>
  <c r="V549" i="1"/>
  <c r="AA549" i="1" s="1"/>
  <c r="U549" i="1"/>
  <c r="T549" i="1"/>
  <c r="R549" i="1"/>
  <c r="L549" i="1"/>
  <c r="BD548" i="1"/>
  <c r="BE548" i="1" s="1"/>
  <c r="AY548" i="1"/>
  <c r="AQ548" i="1"/>
  <c r="AP548" i="1"/>
  <c r="AM548" i="1"/>
  <c r="AL548" i="1"/>
  <c r="AK548" i="1"/>
  <c r="AJ548" i="1"/>
  <c r="AF548" i="1"/>
  <c r="AE548" i="1"/>
  <c r="AG548" i="1" s="1"/>
  <c r="AI548" i="1" s="1"/>
  <c r="AD548" i="1"/>
  <c r="W548" i="1"/>
  <c r="U548" i="1"/>
  <c r="T548" i="1"/>
  <c r="R548" i="1"/>
  <c r="L548" i="1"/>
  <c r="BD547" i="1"/>
  <c r="BE547" i="1" s="1"/>
  <c r="AY547" i="1"/>
  <c r="AQ547" i="1"/>
  <c r="AP547" i="1"/>
  <c r="AM547" i="1"/>
  <c r="AL547" i="1"/>
  <c r="AK547" i="1"/>
  <c r="AJ547" i="1"/>
  <c r="AI547" i="1"/>
  <c r="AG547" i="1"/>
  <c r="AF547" i="1"/>
  <c r="W547" i="1" s="1"/>
  <c r="AE547" i="1"/>
  <c r="AD547" i="1"/>
  <c r="V547" i="1"/>
  <c r="U547" i="1"/>
  <c r="T547" i="1"/>
  <c r="AA547" i="1" s="1"/>
  <c r="R547" i="1"/>
  <c r="L547" i="1"/>
  <c r="BH546" i="1"/>
  <c r="BD546" i="1"/>
  <c r="BE546" i="1" s="1"/>
  <c r="BG546" i="1" s="1"/>
  <c r="AY546" i="1"/>
  <c r="AQ546" i="1"/>
  <c r="AP546" i="1"/>
  <c r="AM546" i="1"/>
  <c r="AL546" i="1"/>
  <c r="AK546" i="1"/>
  <c r="AJ546" i="1"/>
  <c r="AF546" i="1"/>
  <c r="W546" i="1" s="1"/>
  <c r="AE546" i="1"/>
  <c r="V546" i="1" s="1"/>
  <c r="AD546" i="1"/>
  <c r="AA546" i="1"/>
  <c r="U546" i="1"/>
  <c r="T546" i="1"/>
  <c r="R546" i="1"/>
  <c r="L546" i="1"/>
  <c r="BD545" i="1"/>
  <c r="BE545" i="1" s="1"/>
  <c r="BH545" i="1" s="1"/>
  <c r="AY545" i="1"/>
  <c r="AQ545" i="1"/>
  <c r="AP545" i="1"/>
  <c r="AM545" i="1"/>
  <c r="AL545" i="1"/>
  <c r="AK545" i="1"/>
  <c r="AJ545" i="1"/>
  <c r="AF545" i="1"/>
  <c r="W545" i="1" s="1"/>
  <c r="AE545" i="1"/>
  <c r="V545" i="1" s="1"/>
  <c r="AD545" i="1"/>
  <c r="U545" i="1" s="1"/>
  <c r="T545" i="1"/>
  <c r="R545" i="1"/>
  <c r="L545" i="1"/>
  <c r="BE544" i="1"/>
  <c r="BD544" i="1"/>
  <c r="AY544" i="1"/>
  <c r="AQ544" i="1"/>
  <c r="AP544" i="1"/>
  <c r="AM544" i="1"/>
  <c r="AL544" i="1"/>
  <c r="AK544" i="1"/>
  <c r="AJ544" i="1"/>
  <c r="AF544" i="1"/>
  <c r="W544" i="1" s="1"/>
  <c r="AE544" i="1"/>
  <c r="V544" i="1" s="1"/>
  <c r="AD544" i="1"/>
  <c r="T544" i="1"/>
  <c r="R544" i="1"/>
  <c r="L544" i="1"/>
  <c r="BD543" i="1"/>
  <c r="BE543" i="1" s="1"/>
  <c r="BG543" i="1" s="1"/>
  <c r="AY543" i="1"/>
  <c r="AQ543" i="1"/>
  <c r="AP543" i="1"/>
  <c r="AM543" i="1"/>
  <c r="AL543" i="1"/>
  <c r="AK543" i="1"/>
  <c r="AJ543" i="1"/>
  <c r="AF543" i="1"/>
  <c r="AE543" i="1"/>
  <c r="V543" i="1" s="1"/>
  <c r="AD543" i="1"/>
  <c r="W543" i="1"/>
  <c r="U543" i="1"/>
  <c r="AA543" i="1" s="1"/>
  <c r="T543" i="1"/>
  <c r="R543" i="1"/>
  <c r="L543" i="1"/>
  <c r="BH542" i="1"/>
  <c r="BG542" i="1"/>
  <c r="BD542" i="1"/>
  <c r="BE542" i="1" s="1"/>
  <c r="AY542" i="1"/>
  <c r="AQ542" i="1"/>
  <c r="AP542" i="1"/>
  <c r="AM542" i="1"/>
  <c r="AL542" i="1"/>
  <c r="AK542" i="1"/>
  <c r="AJ542" i="1"/>
  <c r="AF542" i="1"/>
  <c r="AE542" i="1"/>
  <c r="AD542" i="1"/>
  <c r="U542" i="1" s="1"/>
  <c r="AA542" i="1" s="1"/>
  <c r="W542" i="1"/>
  <c r="V542" i="1"/>
  <c r="T542" i="1"/>
  <c r="R542" i="1"/>
  <c r="L542" i="1"/>
  <c r="BE541" i="1"/>
  <c r="BH541" i="1" s="1"/>
  <c r="BD541" i="1"/>
  <c r="AY541" i="1"/>
  <c r="AQ541" i="1"/>
  <c r="AP541" i="1"/>
  <c r="AM541" i="1"/>
  <c r="AL541" i="1"/>
  <c r="AK541" i="1"/>
  <c r="AJ541" i="1"/>
  <c r="AG541" i="1"/>
  <c r="AI541" i="1" s="1"/>
  <c r="AF541" i="1"/>
  <c r="AE541" i="1"/>
  <c r="AD541" i="1"/>
  <c r="W541" i="1"/>
  <c r="V541" i="1"/>
  <c r="U541" i="1"/>
  <c r="T541" i="1"/>
  <c r="AA541" i="1" s="1"/>
  <c r="R541" i="1"/>
  <c r="L541" i="1"/>
  <c r="BD540" i="1"/>
  <c r="BE540" i="1" s="1"/>
  <c r="AY540" i="1"/>
  <c r="AQ540" i="1"/>
  <c r="AP540" i="1"/>
  <c r="AM540" i="1"/>
  <c r="AL540" i="1"/>
  <c r="AK540" i="1"/>
  <c r="AJ540" i="1"/>
  <c r="AF540" i="1"/>
  <c r="W540" i="1" s="1"/>
  <c r="AE540" i="1"/>
  <c r="AG540" i="1" s="1"/>
  <c r="AI540" i="1" s="1"/>
  <c r="AD540" i="1"/>
  <c r="U540" i="1"/>
  <c r="T540" i="1"/>
  <c r="R540" i="1"/>
  <c r="L540" i="1"/>
  <c r="BE539" i="1"/>
  <c r="BD539" i="1"/>
  <c r="AY539" i="1"/>
  <c r="AQ539" i="1"/>
  <c r="AP539" i="1"/>
  <c r="AM539" i="1"/>
  <c r="AL539" i="1"/>
  <c r="AK539" i="1"/>
  <c r="AJ539" i="1"/>
  <c r="AF539" i="1"/>
  <c r="W539" i="1" s="1"/>
  <c r="AE539" i="1"/>
  <c r="AD539" i="1"/>
  <c r="AG539" i="1" s="1"/>
  <c r="AI539" i="1" s="1"/>
  <c r="V539" i="1"/>
  <c r="U539" i="1"/>
  <c r="T539" i="1"/>
  <c r="AA539" i="1" s="1"/>
  <c r="R539" i="1"/>
  <c r="L539" i="1"/>
  <c r="BD538" i="1"/>
  <c r="BE538" i="1" s="1"/>
  <c r="BG538" i="1" s="1"/>
  <c r="AY538" i="1"/>
  <c r="AQ538" i="1"/>
  <c r="AP538" i="1"/>
  <c r="AM538" i="1"/>
  <c r="AL538" i="1"/>
  <c r="AK538" i="1"/>
  <c r="AJ538" i="1"/>
  <c r="AF538" i="1"/>
  <c r="W538" i="1" s="1"/>
  <c r="AE538" i="1"/>
  <c r="V538" i="1" s="1"/>
  <c r="AD538" i="1"/>
  <c r="U538" i="1" s="1"/>
  <c r="AA538" i="1" s="1"/>
  <c r="T538" i="1"/>
  <c r="R538" i="1"/>
  <c r="L538" i="1"/>
  <c r="BD537" i="1"/>
  <c r="BE537" i="1" s="1"/>
  <c r="BH537" i="1" s="1"/>
  <c r="AY537" i="1"/>
  <c r="AQ537" i="1"/>
  <c r="AP537" i="1"/>
  <c r="AM537" i="1"/>
  <c r="AL537" i="1"/>
  <c r="AK537" i="1"/>
  <c r="AJ537" i="1"/>
  <c r="AG537" i="1"/>
  <c r="AI537" i="1" s="1"/>
  <c r="AF537" i="1"/>
  <c r="W537" i="1" s="1"/>
  <c r="AE537" i="1"/>
  <c r="V537" i="1" s="1"/>
  <c r="AD537" i="1"/>
  <c r="U537" i="1" s="1"/>
  <c r="T537" i="1"/>
  <c r="R537" i="1"/>
  <c r="L537" i="1"/>
  <c r="BH536" i="1"/>
  <c r="BG536" i="1"/>
  <c r="BE536" i="1"/>
  <c r="BD536" i="1"/>
  <c r="AY536" i="1"/>
  <c r="AQ536" i="1"/>
  <c r="AP536" i="1"/>
  <c r="AM536" i="1"/>
  <c r="AL536" i="1"/>
  <c r="AK536" i="1"/>
  <c r="AJ536" i="1"/>
  <c r="AF536" i="1"/>
  <c r="AE536" i="1"/>
  <c r="AD536" i="1"/>
  <c r="W536" i="1"/>
  <c r="V536" i="1"/>
  <c r="T536" i="1"/>
  <c r="R536" i="1"/>
  <c r="L536" i="1"/>
  <c r="BD535" i="1"/>
  <c r="BE535" i="1" s="1"/>
  <c r="AY535" i="1"/>
  <c r="AQ535" i="1"/>
  <c r="AP535" i="1"/>
  <c r="AM535" i="1"/>
  <c r="AL535" i="1"/>
  <c r="AK535" i="1"/>
  <c r="AJ535" i="1"/>
  <c r="AF535" i="1"/>
  <c r="AE535" i="1"/>
  <c r="AD535" i="1"/>
  <c r="W535" i="1"/>
  <c r="V535" i="1"/>
  <c r="U535" i="1"/>
  <c r="AA535" i="1" s="1"/>
  <c r="T535" i="1"/>
  <c r="R535" i="1"/>
  <c r="L535" i="1"/>
  <c r="BD534" i="1"/>
  <c r="BE534" i="1" s="1"/>
  <c r="AY534" i="1"/>
  <c r="AQ534" i="1"/>
  <c r="AP534" i="1"/>
  <c r="AM534" i="1"/>
  <c r="AL534" i="1"/>
  <c r="AK534" i="1"/>
  <c r="AJ534" i="1"/>
  <c r="AG534" i="1"/>
  <c r="AI534" i="1" s="1"/>
  <c r="AF534" i="1"/>
  <c r="AE534" i="1"/>
  <c r="AD534" i="1"/>
  <c r="W534" i="1"/>
  <c r="V534" i="1"/>
  <c r="U534" i="1"/>
  <c r="T534" i="1"/>
  <c r="AA534" i="1" s="1"/>
  <c r="R534" i="1"/>
  <c r="L534" i="1"/>
  <c r="BD533" i="1"/>
  <c r="BE533" i="1" s="1"/>
  <c r="AY533" i="1"/>
  <c r="AQ533" i="1"/>
  <c r="AP533" i="1"/>
  <c r="AM533" i="1"/>
  <c r="AL533" i="1"/>
  <c r="AK533" i="1"/>
  <c r="AJ533" i="1"/>
  <c r="AF533" i="1"/>
  <c r="W533" i="1" s="1"/>
  <c r="AE533" i="1"/>
  <c r="AD533" i="1"/>
  <c r="V533" i="1"/>
  <c r="U533" i="1"/>
  <c r="T533" i="1"/>
  <c r="R533" i="1"/>
  <c r="L533" i="1"/>
  <c r="BG532" i="1"/>
  <c r="BE532" i="1"/>
  <c r="BH532" i="1" s="1"/>
  <c r="BD532" i="1"/>
  <c r="AY532" i="1"/>
  <c r="AQ532" i="1"/>
  <c r="AP532" i="1"/>
  <c r="AM532" i="1"/>
  <c r="AL532" i="1"/>
  <c r="AK532" i="1"/>
  <c r="AJ532" i="1"/>
  <c r="AF532" i="1"/>
  <c r="AE532" i="1"/>
  <c r="AG532" i="1" s="1"/>
  <c r="AI532" i="1" s="1"/>
  <c r="AD532" i="1"/>
  <c r="W532" i="1"/>
  <c r="U532" i="1"/>
  <c r="T532" i="1"/>
  <c r="R532" i="1"/>
  <c r="L532" i="1"/>
  <c r="BD531" i="1"/>
  <c r="BE531" i="1" s="1"/>
  <c r="AY531" i="1"/>
  <c r="AQ531" i="1"/>
  <c r="AP531" i="1"/>
  <c r="AM531" i="1"/>
  <c r="AL531" i="1"/>
  <c r="AK531" i="1"/>
  <c r="AJ531" i="1"/>
  <c r="AG531" i="1"/>
  <c r="AI531" i="1" s="1"/>
  <c r="AF531" i="1"/>
  <c r="W531" i="1" s="1"/>
  <c r="AE531" i="1"/>
  <c r="AD531" i="1"/>
  <c r="V531" i="1"/>
  <c r="U531" i="1"/>
  <c r="T531" i="1"/>
  <c r="AA531" i="1" s="1"/>
  <c r="R531" i="1"/>
  <c r="L531" i="1"/>
  <c r="BH530" i="1"/>
  <c r="BD530" i="1"/>
  <c r="BE530" i="1" s="1"/>
  <c r="BG530" i="1" s="1"/>
  <c r="AY530" i="1"/>
  <c r="AQ530" i="1"/>
  <c r="AP530" i="1"/>
  <c r="AM530" i="1"/>
  <c r="AL530" i="1"/>
  <c r="AK530" i="1"/>
  <c r="AJ530" i="1"/>
  <c r="AF530" i="1"/>
  <c r="W530" i="1" s="1"/>
  <c r="AE530" i="1"/>
  <c r="V530" i="1" s="1"/>
  <c r="AD530" i="1"/>
  <c r="AG530" i="1" s="1"/>
  <c r="AI530" i="1" s="1"/>
  <c r="U530" i="1"/>
  <c r="AA530" i="1" s="1"/>
  <c r="T530" i="1"/>
  <c r="R530" i="1"/>
  <c r="L530" i="1"/>
  <c r="BD529" i="1"/>
  <c r="BE529" i="1" s="1"/>
  <c r="BH529" i="1" s="1"/>
  <c r="AY529" i="1"/>
  <c r="AQ529" i="1"/>
  <c r="AP529" i="1"/>
  <c r="AM529" i="1"/>
  <c r="AL529" i="1"/>
  <c r="AK529" i="1"/>
  <c r="AJ529" i="1"/>
  <c r="AF529" i="1"/>
  <c r="W529" i="1" s="1"/>
  <c r="AE529" i="1"/>
  <c r="V529" i="1" s="1"/>
  <c r="AD529" i="1"/>
  <c r="U529" i="1" s="1"/>
  <c r="T529" i="1"/>
  <c r="R529" i="1"/>
  <c r="L529" i="1"/>
  <c r="BH528" i="1"/>
  <c r="BG528" i="1"/>
  <c r="BE528" i="1"/>
  <c r="BD528" i="1"/>
  <c r="AY528" i="1"/>
  <c r="AQ528" i="1"/>
  <c r="AP528" i="1"/>
  <c r="AM528" i="1"/>
  <c r="AL528" i="1"/>
  <c r="AK528" i="1"/>
  <c r="AJ528" i="1"/>
  <c r="AF528" i="1"/>
  <c r="AE528" i="1"/>
  <c r="AD528" i="1"/>
  <c r="W528" i="1"/>
  <c r="V528" i="1"/>
  <c r="T528" i="1"/>
  <c r="R528" i="1"/>
  <c r="L528" i="1"/>
  <c r="BD527" i="1"/>
  <c r="BE527" i="1" s="1"/>
  <c r="AY527" i="1"/>
  <c r="AQ527" i="1"/>
  <c r="AP527" i="1"/>
  <c r="AM527" i="1"/>
  <c r="AL527" i="1"/>
  <c r="AK527" i="1"/>
  <c r="AJ527" i="1"/>
  <c r="AF527" i="1"/>
  <c r="AE527" i="1"/>
  <c r="V527" i="1" s="1"/>
  <c r="AD527" i="1"/>
  <c r="W527" i="1"/>
  <c r="U527" i="1"/>
  <c r="AA527" i="1" s="1"/>
  <c r="T527" i="1"/>
  <c r="R527" i="1"/>
  <c r="L527" i="1"/>
  <c r="BD526" i="1"/>
  <c r="BE526" i="1" s="1"/>
  <c r="AY526" i="1"/>
  <c r="AQ526" i="1"/>
  <c r="AP526" i="1"/>
  <c r="AM526" i="1"/>
  <c r="AL526" i="1"/>
  <c r="AK526" i="1"/>
  <c r="AJ526" i="1"/>
  <c r="AF526" i="1"/>
  <c r="AE526" i="1"/>
  <c r="AD526" i="1"/>
  <c r="U526" i="1" s="1"/>
  <c r="W526" i="1"/>
  <c r="V526" i="1"/>
  <c r="T526" i="1"/>
  <c r="R526" i="1"/>
  <c r="L526" i="1"/>
  <c r="BH525" i="1"/>
  <c r="BG525" i="1"/>
  <c r="BE525" i="1"/>
  <c r="BD525" i="1"/>
  <c r="AY525" i="1"/>
  <c r="AQ525" i="1"/>
  <c r="AP525" i="1"/>
  <c r="AM525" i="1"/>
  <c r="AL525" i="1"/>
  <c r="AK525" i="1"/>
  <c r="AJ525" i="1"/>
  <c r="AF525" i="1"/>
  <c r="AG525" i="1" s="1"/>
  <c r="AI525" i="1" s="1"/>
  <c r="AE525" i="1"/>
  <c r="AD525" i="1"/>
  <c r="AA525" i="1"/>
  <c r="W525" i="1"/>
  <c r="V525" i="1"/>
  <c r="U525" i="1"/>
  <c r="T525" i="1"/>
  <c r="R525" i="1"/>
  <c r="L525" i="1"/>
  <c r="BE524" i="1"/>
  <c r="BH524" i="1" s="1"/>
  <c r="BD524" i="1"/>
  <c r="AY524" i="1"/>
  <c r="AQ524" i="1"/>
  <c r="AP524" i="1"/>
  <c r="AM524" i="1"/>
  <c r="AL524" i="1"/>
  <c r="AK524" i="1"/>
  <c r="AJ524" i="1"/>
  <c r="AF524" i="1"/>
  <c r="AE524" i="1"/>
  <c r="AG524" i="1" s="1"/>
  <c r="AI524" i="1" s="1"/>
  <c r="AD524" i="1"/>
  <c r="W524" i="1"/>
  <c r="V524" i="1"/>
  <c r="U524" i="1"/>
  <c r="T524" i="1"/>
  <c r="R524" i="1"/>
  <c r="L524" i="1"/>
  <c r="BD523" i="1"/>
  <c r="BE523" i="1" s="1"/>
  <c r="AY523" i="1"/>
  <c r="AQ523" i="1"/>
  <c r="AP523" i="1"/>
  <c r="AM523" i="1"/>
  <c r="AL523" i="1"/>
  <c r="AK523" i="1"/>
  <c r="AJ523" i="1"/>
  <c r="AF523" i="1"/>
  <c r="W523" i="1" s="1"/>
  <c r="AE523" i="1"/>
  <c r="V523" i="1" s="1"/>
  <c r="AD523" i="1"/>
  <c r="U523" i="1"/>
  <c r="T523" i="1"/>
  <c r="R523" i="1"/>
  <c r="L523" i="1"/>
  <c r="BH522" i="1"/>
  <c r="BE522" i="1"/>
  <c r="BG522" i="1" s="1"/>
  <c r="BD522" i="1"/>
  <c r="AY522" i="1"/>
  <c r="AQ522" i="1"/>
  <c r="AP522" i="1"/>
  <c r="AM522" i="1"/>
  <c r="AL522" i="1"/>
  <c r="AK522" i="1"/>
  <c r="AJ522" i="1"/>
  <c r="AF522" i="1"/>
  <c r="W522" i="1" s="1"/>
  <c r="AE522" i="1"/>
  <c r="V522" i="1" s="1"/>
  <c r="AD522" i="1"/>
  <c r="U522" i="1" s="1"/>
  <c r="AA522" i="1" s="1"/>
  <c r="T522" i="1"/>
  <c r="R522" i="1"/>
  <c r="L522" i="1"/>
  <c r="BD521" i="1"/>
  <c r="BE521" i="1" s="1"/>
  <c r="BH521" i="1" s="1"/>
  <c r="AY521" i="1"/>
  <c r="AQ521" i="1"/>
  <c r="AP521" i="1"/>
  <c r="AM521" i="1"/>
  <c r="AL521" i="1"/>
  <c r="AK521" i="1"/>
  <c r="AJ521" i="1"/>
  <c r="AF521" i="1"/>
  <c r="AE521" i="1"/>
  <c r="V521" i="1" s="1"/>
  <c r="AD521" i="1"/>
  <c r="AG521" i="1" s="1"/>
  <c r="AI521" i="1" s="1"/>
  <c r="W521" i="1"/>
  <c r="U521" i="1"/>
  <c r="T521" i="1"/>
  <c r="AA521" i="1" s="1"/>
  <c r="R521" i="1"/>
  <c r="L521" i="1"/>
  <c r="BE520" i="1"/>
  <c r="BH520" i="1" s="1"/>
  <c r="BD520" i="1"/>
  <c r="AY520" i="1"/>
  <c r="AQ520" i="1"/>
  <c r="AP520" i="1"/>
  <c r="AM520" i="1"/>
  <c r="AL520" i="1"/>
  <c r="AK520" i="1"/>
  <c r="AJ520" i="1"/>
  <c r="AF520" i="1"/>
  <c r="AE520" i="1"/>
  <c r="V520" i="1" s="1"/>
  <c r="AD520" i="1"/>
  <c r="U520" i="1" s="1"/>
  <c r="W520" i="1"/>
  <c r="T520" i="1"/>
  <c r="R520" i="1"/>
  <c r="L520" i="1"/>
  <c r="BH519" i="1"/>
  <c r="BG519" i="1"/>
  <c r="BE519" i="1"/>
  <c r="BD519" i="1"/>
  <c r="AY519" i="1"/>
  <c r="AQ519" i="1"/>
  <c r="AP519" i="1"/>
  <c r="AM519" i="1"/>
  <c r="AL519" i="1"/>
  <c r="AK519" i="1"/>
  <c r="AJ519" i="1"/>
  <c r="AF519" i="1"/>
  <c r="AE519" i="1"/>
  <c r="AD519" i="1"/>
  <c r="AG519" i="1" s="1"/>
  <c r="AI519" i="1" s="1"/>
  <c r="W519" i="1"/>
  <c r="V519" i="1"/>
  <c r="T519" i="1"/>
  <c r="R519" i="1"/>
  <c r="L519" i="1"/>
  <c r="BE518" i="1"/>
  <c r="BH518" i="1" s="1"/>
  <c r="BD518" i="1"/>
  <c r="AY518" i="1"/>
  <c r="AQ518" i="1"/>
  <c r="AP518" i="1"/>
  <c r="AM518" i="1"/>
  <c r="AL518" i="1"/>
  <c r="AK518" i="1"/>
  <c r="AJ518" i="1"/>
  <c r="AF518" i="1"/>
  <c r="AE518" i="1"/>
  <c r="AD518" i="1"/>
  <c r="AG518" i="1" s="1"/>
  <c r="AI518" i="1" s="1"/>
  <c r="W518" i="1"/>
  <c r="V518" i="1"/>
  <c r="T518" i="1"/>
  <c r="R518" i="1"/>
  <c r="L518" i="1"/>
  <c r="BD517" i="1"/>
  <c r="BE517" i="1" s="1"/>
  <c r="AY517" i="1"/>
  <c r="AQ517" i="1"/>
  <c r="AP517" i="1"/>
  <c r="AM517" i="1"/>
  <c r="AL517" i="1"/>
  <c r="AK517" i="1"/>
  <c r="AJ517" i="1"/>
  <c r="AF517" i="1"/>
  <c r="AE517" i="1"/>
  <c r="AD517" i="1"/>
  <c r="AG517" i="1" s="1"/>
  <c r="AI517" i="1" s="1"/>
  <c r="W517" i="1"/>
  <c r="V517" i="1"/>
  <c r="U517" i="1"/>
  <c r="AA517" i="1" s="1"/>
  <c r="T517" i="1"/>
  <c r="R517" i="1"/>
  <c r="L517" i="1"/>
  <c r="BD516" i="1"/>
  <c r="BE516" i="1" s="1"/>
  <c r="AY516" i="1"/>
  <c r="AQ516" i="1"/>
  <c r="AP516" i="1"/>
  <c r="AM516" i="1"/>
  <c r="AL516" i="1"/>
  <c r="AK516" i="1"/>
  <c r="AJ516" i="1"/>
  <c r="AG516" i="1"/>
  <c r="AI516" i="1" s="1"/>
  <c r="AF516" i="1"/>
  <c r="AE516" i="1"/>
  <c r="AD516" i="1"/>
  <c r="W516" i="1"/>
  <c r="V516" i="1"/>
  <c r="U516" i="1"/>
  <c r="T516" i="1"/>
  <c r="AA516" i="1" s="1"/>
  <c r="R516" i="1"/>
  <c r="L516" i="1"/>
  <c r="BD515" i="1"/>
  <c r="BE515" i="1" s="1"/>
  <c r="AY515" i="1"/>
  <c r="AQ515" i="1"/>
  <c r="AP515" i="1"/>
  <c r="AM515" i="1"/>
  <c r="AL515" i="1"/>
  <c r="AK515" i="1"/>
  <c r="AJ515" i="1"/>
  <c r="AF515" i="1"/>
  <c r="AE515" i="1"/>
  <c r="V515" i="1" s="1"/>
  <c r="AD515" i="1"/>
  <c r="W515" i="1"/>
  <c r="U515" i="1"/>
  <c r="T515" i="1"/>
  <c r="R515" i="1"/>
  <c r="L515" i="1"/>
  <c r="BH514" i="1"/>
  <c r="BE514" i="1"/>
  <c r="BG514" i="1" s="1"/>
  <c r="BD514" i="1"/>
  <c r="AY514" i="1"/>
  <c r="AQ514" i="1"/>
  <c r="AP514" i="1"/>
  <c r="AM514" i="1"/>
  <c r="AL514" i="1"/>
  <c r="AK514" i="1"/>
  <c r="AJ514" i="1"/>
  <c r="AF514" i="1"/>
  <c r="AE514" i="1"/>
  <c r="AD514" i="1"/>
  <c r="U514" i="1" s="1"/>
  <c r="AA514" i="1" s="1"/>
  <c r="W514" i="1"/>
  <c r="V514" i="1"/>
  <c r="T514" i="1"/>
  <c r="R514" i="1"/>
  <c r="L514" i="1"/>
  <c r="BD513" i="1"/>
  <c r="BE513" i="1" s="1"/>
  <c r="BH513" i="1" s="1"/>
  <c r="AY513" i="1"/>
  <c r="AQ513" i="1"/>
  <c r="AP513" i="1"/>
  <c r="AM513" i="1"/>
  <c r="AL513" i="1"/>
  <c r="AK513" i="1"/>
  <c r="AJ513" i="1"/>
  <c r="AI513" i="1"/>
  <c r="AG513" i="1"/>
  <c r="AF513" i="1"/>
  <c r="AE513" i="1"/>
  <c r="V513" i="1" s="1"/>
  <c r="AD513" i="1"/>
  <c r="W513" i="1"/>
  <c r="U513" i="1"/>
  <c r="T513" i="1"/>
  <c r="AA513" i="1" s="1"/>
  <c r="R513" i="1"/>
  <c r="L513" i="1"/>
  <c r="BG512" i="1"/>
  <c r="BE512" i="1"/>
  <c r="BH512" i="1" s="1"/>
  <c r="BD512" i="1"/>
  <c r="AY512" i="1"/>
  <c r="AQ512" i="1"/>
  <c r="AP512" i="1"/>
  <c r="AM512" i="1"/>
  <c r="AL512" i="1"/>
  <c r="AK512" i="1"/>
  <c r="AJ512" i="1"/>
  <c r="AF512" i="1"/>
  <c r="AE512" i="1"/>
  <c r="V512" i="1" s="1"/>
  <c r="AD512" i="1"/>
  <c r="U512" i="1" s="1"/>
  <c r="W512" i="1"/>
  <c r="T512" i="1"/>
  <c r="AA512" i="1" s="1"/>
  <c r="R512" i="1"/>
  <c r="L512" i="1"/>
  <c r="BH511" i="1"/>
  <c r="BG511" i="1"/>
  <c r="BE511" i="1"/>
  <c r="BD511" i="1"/>
  <c r="AY511" i="1"/>
  <c r="AQ511" i="1"/>
  <c r="AP511" i="1"/>
  <c r="AM511" i="1"/>
  <c r="AL511" i="1"/>
  <c r="AK511" i="1"/>
  <c r="AJ511" i="1"/>
  <c r="AF511" i="1"/>
  <c r="AE511" i="1"/>
  <c r="AD511" i="1"/>
  <c r="AG511" i="1" s="1"/>
  <c r="AI511" i="1" s="1"/>
  <c r="W511" i="1"/>
  <c r="V511" i="1"/>
  <c r="T511" i="1"/>
  <c r="R511" i="1"/>
  <c r="L511" i="1"/>
  <c r="BE510" i="1"/>
  <c r="BH510" i="1" s="1"/>
  <c r="BD510" i="1"/>
  <c r="AY510" i="1"/>
  <c r="AQ510" i="1"/>
  <c r="AP510" i="1"/>
  <c r="AM510" i="1"/>
  <c r="AL510" i="1"/>
  <c r="AK510" i="1"/>
  <c r="AJ510" i="1"/>
  <c r="AF510" i="1"/>
  <c r="AE510" i="1"/>
  <c r="AD510" i="1"/>
  <c r="AG510" i="1" s="1"/>
  <c r="AI510" i="1" s="1"/>
  <c r="W510" i="1"/>
  <c r="V510" i="1"/>
  <c r="AA510" i="1" s="1"/>
  <c r="U510" i="1"/>
  <c r="T510" i="1"/>
  <c r="R510" i="1"/>
  <c r="L510" i="1"/>
  <c r="BD509" i="1"/>
  <c r="BE509" i="1" s="1"/>
  <c r="AY509" i="1"/>
  <c r="AQ509" i="1"/>
  <c r="AP509" i="1"/>
  <c r="AM509" i="1"/>
  <c r="AL509" i="1"/>
  <c r="AK509" i="1"/>
  <c r="AJ509" i="1"/>
  <c r="AI509" i="1"/>
  <c r="AG509" i="1"/>
  <c r="AF509" i="1"/>
  <c r="AE509" i="1"/>
  <c r="AD509" i="1"/>
  <c r="W509" i="1"/>
  <c r="V509" i="1"/>
  <c r="U509" i="1"/>
  <c r="T509" i="1"/>
  <c r="AA509" i="1" s="1"/>
  <c r="R509" i="1"/>
  <c r="L509" i="1"/>
  <c r="BD508" i="1"/>
  <c r="BE508" i="1" s="1"/>
  <c r="AY508" i="1"/>
  <c r="AQ508" i="1"/>
  <c r="AP508" i="1"/>
  <c r="AM508" i="1"/>
  <c r="AL508" i="1"/>
  <c r="AK508" i="1"/>
  <c r="AJ508" i="1"/>
  <c r="AG508" i="1"/>
  <c r="AI508" i="1" s="1"/>
  <c r="AF508" i="1"/>
  <c r="AE508" i="1"/>
  <c r="AD508" i="1"/>
  <c r="W508" i="1"/>
  <c r="V508" i="1"/>
  <c r="U508" i="1"/>
  <c r="T508" i="1"/>
  <c r="AA508" i="1" s="1"/>
  <c r="R508" i="1"/>
  <c r="L508" i="1"/>
  <c r="BE507" i="1"/>
  <c r="BH507" i="1" s="1"/>
  <c r="BD507" i="1"/>
  <c r="AY507" i="1"/>
  <c r="AQ507" i="1"/>
  <c r="AP507" i="1"/>
  <c r="AM507" i="1"/>
  <c r="AL507" i="1"/>
  <c r="AK507" i="1"/>
  <c r="AJ507" i="1"/>
  <c r="AF507" i="1"/>
  <c r="AE507" i="1"/>
  <c r="V507" i="1" s="1"/>
  <c r="AD507" i="1"/>
  <c r="U507" i="1" s="1"/>
  <c r="W507" i="1"/>
  <c r="T507" i="1"/>
  <c r="R507" i="1"/>
  <c r="L507" i="1"/>
  <c r="BH506" i="1"/>
  <c r="BE506" i="1"/>
  <c r="BG506" i="1" s="1"/>
  <c r="BD506" i="1"/>
  <c r="AY506" i="1"/>
  <c r="AQ506" i="1"/>
  <c r="AP506" i="1"/>
  <c r="AM506" i="1"/>
  <c r="AL506" i="1"/>
  <c r="AK506" i="1"/>
  <c r="AJ506" i="1"/>
  <c r="AF506" i="1"/>
  <c r="AE506" i="1"/>
  <c r="AD506" i="1"/>
  <c r="U506" i="1" s="1"/>
  <c r="AA506" i="1" s="1"/>
  <c r="W506" i="1"/>
  <c r="V506" i="1"/>
  <c r="T506" i="1"/>
  <c r="R506" i="1"/>
  <c r="L506" i="1"/>
  <c r="BD505" i="1"/>
  <c r="BE505" i="1" s="1"/>
  <c r="BH505" i="1" s="1"/>
  <c r="AY505" i="1"/>
  <c r="AQ505" i="1"/>
  <c r="AP505" i="1"/>
  <c r="AM505" i="1"/>
  <c r="AL505" i="1"/>
  <c r="AK505" i="1"/>
  <c r="AJ505" i="1"/>
  <c r="AI505" i="1"/>
  <c r="AG505" i="1"/>
  <c r="AF505" i="1"/>
  <c r="AE505" i="1"/>
  <c r="V505" i="1" s="1"/>
  <c r="AD505" i="1"/>
  <c r="W505" i="1"/>
  <c r="U505" i="1"/>
  <c r="T505" i="1"/>
  <c r="AA505" i="1" s="1"/>
  <c r="R505" i="1"/>
  <c r="L505" i="1"/>
  <c r="BG504" i="1"/>
  <c r="BE504" i="1"/>
  <c r="BH504" i="1" s="1"/>
  <c r="BD504" i="1"/>
  <c r="AY504" i="1"/>
  <c r="AQ504" i="1"/>
  <c r="AP504" i="1"/>
  <c r="AM504" i="1"/>
  <c r="AL504" i="1"/>
  <c r="AK504" i="1"/>
  <c r="AJ504" i="1"/>
  <c r="AF504" i="1"/>
  <c r="AE504" i="1"/>
  <c r="V504" i="1" s="1"/>
  <c r="AD504" i="1"/>
  <c r="U504" i="1" s="1"/>
  <c r="W504" i="1"/>
  <c r="T504" i="1"/>
  <c r="AA504" i="1" s="1"/>
  <c r="R504" i="1"/>
  <c r="L504" i="1"/>
  <c r="BH503" i="1"/>
  <c r="BG503" i="1"/>
  <c r="BE503" i="1"/>
  <c r="BD503" i="1"/>
  <c r="AY503" i="1"/>
  <c r="AQ503" i="1"/>
  <c r="AP503" i="1"/>
  <c r="AM503" i="1"/>
  <c r="AL503" i="1"/>
  <c r="AK503" i="1"/>
  <c r="AJ503" i="1"/>
  <c r="AF503" i="1"/>
  <c r="AE503" i="1"/>
  <c r="AD503" i="1"/>
  <c r="AG503" i="1" s="1"/>
  <c r="AI503" i="1" s="1"/>
  <c r="W503" i="1"/>
  <c r="V503" i="1"/>
  <c r="T503" i="1"/>
  <c r="R503" i="1"/>
  <c r="L503" i="1"/>
  <c r="BE502" i="1"/>
  <c r="BH502" i="1" s="1"/>
  <c r="BD502" i="1"/>
  <c r="AY502" i="1"/>
  <c r="AQ502" i="1"/>
  <c r="AP502" i="1"/>
  <c r="AM502" i="1"/>
  <c r="AL502" i="1"/>
  <c r="AK502" i="1"/>
  <c r="AJ502" i="1"/>
  <c r="AF502" i="1"/>
  <c r="AE502" i="1"/>
  <c r="AD502" i="1"/>
  <c r="AG502" i="1" s="1"/>
  <c r="AI502" i="1" s="1"/>
  <c r="W502" i="1"/>
  <c r="V502" i="1"/>
  <c r="AA502" i="1" s="1"/>
  <c r="U502" i="1"/>
  <c r="T502" i="1"/>
  <c r="R502" i="1"/>
  <c r="L502" i="1"/>
  <c r="BD501" i="1"/>
  <c r="BE501" i="1" s="1"/>
  <c r="AY501" i="1"/>
  <c r="AQ501" i="1"/>
  <c r="AP501" i="1"/>
  <c r="AM501" i="1"/>
  <c r="AL501" i="1"/>
  <c r="AK501" i="1"/>
  <c r="AJ501" i="1"/>
  <c r="AI501" i="1"/>
  <c r="AG501" i="1"/>
  <c r="AF501" i="1"/>
  <c r="AE501" i="1"/>
  <c r="AD501" i="1"/>
  <c r="W501" i="1"/>
  <c r="V501" i="1"/>
  <c r="U501" i="1"/>
  <c r="T501" i="1"/>
  <c r="AA501" i="1" s="1"/>
  <c r="R501" i="1"/>
  <c r="L501" i="1"/>
  <c r="BD500" i="1"/>
  <c r="BE500" i="1" s="1"/>
  <c r="AY500" i="1"/>
  <c r="AQ500" i="1"/>
  <c r="AP500" i="1"/>
  <c r="AM500" i="1"/>
  <c r="AL500" i="1"/>
  <c r="AK500" i="1"/>
  <c r="AJ500" i="1"/>
  <c r="AG500" i="1"/>
  <c r="AI500" i="1" s="1"/>
  <c r="AF500" i="1"/>
  <c r="AE500" i="1"/>
  <c r="AD500" i="1"/>
  <c r="W500" i="1"/>
  <c r="V500" i="1"/>
  <c r="U500" i="1"/>
  <c r="T500" i="1"/>
  <c r="AA500" i="1" s="1"/>
  <c r="R500" i="1"/>
  <c r="L500" i="1"/>
  <c r="BE499" i="1"/>
  <c r="BH499" i="1" s="1"/>
  <c r="BD499" i="1"/>
  <c r="AY499" i="1"/>
  <c r="AQ499" i="1"/>
  <c r="AP499" i="1"/>
  <c r="AM499" i="1"/>
  <c r="AL499" i="1"/>
  <c r="AK499" i="1"/>
  <c r="AJ499" i="1"/>
  <c r="AF499" i="1"/>
  <c r="AE499" i="1"/>
  <c r="V499" i="1" s="1"/>
  <c r="AD499" i="1"/>
  <c r="U499" i="1" s="1"/>
  <c r="W499" i="1"/>
  <c r="T499" i="1"/>
  <c r="R499" i="1"/>
  <c r="L499" i="1"/>
  <c r="BH498" i="1"/>
  <c r="BE498" i="1"/>
  <c r="BG498" i="1" s="1"/>
  <c r="BD498" i="1"/>
  <c r="AY498" i="1"/>
  <c r="AQ498" i="1"/>
  <c r="AP498" i="1"/>
  <c r="AM498" i="1"/>
  <c r="AL498" i="1"/>
  <c r="AK498" i="1"/>
  <c r="AJ498" i="1"/>
  <c r="AF498" i="1"/>
  <c r="AE498" i="1"/>
  <c r="AD498" i="1"/>
  <c r="U498" i="1" s="1"/>
  <c r="AA498" i="1" s="1"/>
  <c r="W498" i="1"/>
  <c r="V498" i="1"/>
  <c r="T498" i="1"/>
  <c r="R498" i="1"/>
  <c r="L498" i="1"/>
  <c r="BD497" i="1"/>
  <c r="BE497" i="1" s="1"/>
  <c r="BH497" i="1" s="1"/>
  <c r="AY497" i="1"/>
  <c r="AQ497" i="1"/>
  <c r="AP497" i="1"/>
  <c r="AM497" i="1"/>
  <c r="AL497" i="1"/>
  <c r="AK497" i="1"/>
  <c r="AJ497" i="1"/>
  <c r="AI497" i="1"/>
  <c r="AG497" i="1"/>
  <c r="AF497" i="1"/>
  <c r="AE497" i="1"/>
  <c r="V497" i="1" s="1"/>
  <c r="AD497" i="1"/>
  <c r="W497" i="1"/>
  <c r="U497" i="1"/>
  <c r="T497" i="1"/>
  <c r="AA497" i="1" s="1"/>
  <c r="R497" i="1"/>
  <c r="L497" i="1"/>
  <c r="BG496" i="1"/>
  <c r="BE496" i="1"/>
  <c r="BH496" i="1" s="1"/>
  <c r="BD496" i="1"/>
  <c r="AY496" i="1"/>
  <c r="AQ496" i="1"/>
  <c r="AP496" i="1"/>
  <c r="AM496" i="1"/>
  <c r="AL496" i="1"/>
  <c r="AK496" i="1"/>
  <c r="AJ496" i="1"/>
  <c r="AF496" i="1"/>
  <c r="AE496" i="1"/>
  <c r="V496" i="1" s="1"/>
  <c r="AD496" i="1"/>
  <c r="U496" i="1" s="1"/>
  <c r="W496" i="1"/>
  <c r="T496" i="1"/>
  <c r="R496" i="1"/>
  <c r="L496" i="1"/>
  <c r="BH495" i="1"/>
  <c r="BG495" i="1"/>
  <c r="BE495" i="1"/>
  <c r="BD495" i="1"/>
  <c r="AY495" i="1"/>
  <c r="AQ495" i="1"/>
  <c r="AP495" i="1"/>
  <c r="AM495" i="1"/>
  <c r="AL495" i="1"/>
  <c r="AK495" i="1"/>
  <c r="AJ495" i="1"/>
  <c r="AF495" i="1"/>
  <c r="AE495" i="1"/>
  <c r="AD495" i="1"/>
  <c r="AG495" i="1" s="1"/>
  <c r="AI495" i="1" s="1"/>
  <c r="W495" i="1"/>
  <c r="V495" i="1"/>
  <c r="T495" i="1"/>
  <c r="R495" i="1"/>
  <c r="L495" i="1"/>
  <c r="BE494" i="1"/>
  <c r="BH494" i="1" s="1"/>
  <c r="BD494" i="1"/>
  <c r="AY494" i="1"/>
  <c r="AQ494" i="1"/>
  <c r="AP494" i="1"/>
  <c r="AM494" i="1"/>
  <c r="AL494" i="1"/>
  <c r="AK494" i="1"/>
  <c r="AJ494" i="1"/>
  <c r="AF494" i="1"/>
  <c r="AE494" i="1"/>
  <c r="AD494" i="1"/>
  <c r="AG494" i="1" s="1"/>
  <c r="AI494" i="1" s="1"/>
  <c r="W494" i="1"/>
  <c r="V494" i="1"/>
  <c r="AA494" i="1" s="1"/>
  <c r="U494" i="1"/>
  <c r="T494" i="1"/>
  <c r="R494" i="1"/>
  <c r="L494" i="1"/>
  <c r="BD493" i="1"/>
  <c r="BE493" i="1" s="1"/>
  <c r="AY493" i="1"/>
  <c r="AQ493" i="1"/>
  <c r="AP493" i="1"/>
  <c r="AM493" i="1"/>
  <c r="AL493" i="1"/>
  <c r="AK493" i="1"/>
  <c r="AJ493" i="1"/>
  <c r="AI493" i="1"/>
  <c r="AG493" i="1"/>
  <c r="AF493" i="1"/>
  <c r="AE493" i="1"/>
  <c r="AD493" i="1"/>
  <c r="W493" i="1"/>
  <c r="V493" i="1"/>
  <c r="U493" i="1"/>
  <c r="T493" i="1"/>
  <c r="AA493" i="1" s="1"/>
  <c r="R493" i="1"/>
  <c r="L493" i="1"/>
  <c r="BD492" i="1"/>
  <c r="BE492" i="1" s="1"/>
  <c r="AY492" i="1"/>
  <c r="AQ492" i="1"/>
  <c r="AP492" i="1"/>
  <c r="AM492" i="1"/>
  <c r="AL492" i="1"/>
  <c r="AK492" i="1"/>
  <c r="AJ492" i="1"/>
  <c r="AG492" i="1"/>
  <c r="AI492" i="1" s="1"/>
  <c r="AF492" i="1"/>
  <c r="AE492" i="1"/>
  <c r="AD492" i="1"/>
  <c r="W492" i="1"/>
  <c r="V492" i="1"/>
  <c r="U492" i="1"/>
  <c r="T492" i="1"/>
  <c r="AA492" i="1" s="1"/>
  <c r="R492" i="1"/>
  <c r="L492" i="1"/>
  <c r="BE491" i="1"/>
  <c r="BH491" i="1" s="1"/>
  <c r="BD491" i="1"/>
  <c r="AY491" i="1"/>
  <c r="AQ491" i="1"/>
  <c r="AS10" i="2" s="1"/>
  <c r="AP491" i="1"/>
  <c r="AR10" i="2" s="1"/>
  <c r="AM491" i="1"/>
  <c r="AL491" i="1"/>
  <c r="AK491" i="1"/>
  <c r="AJ491" i="1"/>
  <c r="AF491" i="1"/>
  <c r="AH10" i="2" s="1"/>
  <c r="AE491" i="1"/>
  <c r="AG10" i="2" s="1"/>
  <c r="AD491" i="1"/>
  <c r="AF10" i="2" s="1"/>
  <c r="W491" i="1"/>
  <c r="T491" i="1"/>
  <c r="R491" i="1"/>
  <c r="T10" i="2" s="1"/>
  <c r="L491" i="1"/>
  <c r="N10" i="2" s="1"/>
  <c r="BH490" i="1"/>
  <c r="BE490" i="1"/>
  <c r="BG490" i="1" s="1"/>
  <c r="BD490" i="1"/>
  <c r="AY490" i="1"/>
  <c r="AQ490" i="1"/>
  <c r="AP490" i="1"/>
  <c r="AM490" i="1"/>
  <c r="AL490" i="1"/>
  <c r="AK490" i="1"/>
  <c r="AJ490" i="1"/>
  <c r="AF490" i="1"/>
  <c r="AE490" i="1"/>
  <c r="AD490" i="1"/>
  <c r="U490" i="1" s="1"/>
  <c r="AA490" i="1" s="1"/>
  <c r="W490" i="1"/>
  <c r="V490" i="1"/>
  <c r="T490" i="1"/>
  <c r="R490" i="1"/>
  <c r="L490" i="1"/>
  <c r="BD489" i="1"/>
  <c r="BE489" i="1" s="1"/>
  <c r="AY489" i="1"/>
  <c r="AQ489" i="1"/>
  <c r="AP489" i="1"/>
  <c r="AM489" i="1"/>
  <c r="AL489" i="1"/>
  <c r="AK489" i="1"/>
  <c r="AJ489" i="1"/>
  <c r="AI489" i="1"/>
  <c r="AG489" i="1"/>
  <c r="AF489" i="1"/>
  <c r="AE489" i="1"/>
  <c r="V489" i="1" s="1"/>
  <c r="AD489" i="1"/>
  <c r="W489" i="1"/>
  <c r="U489" i="1"/>
  <c r="T489" i="1"/>
  <c r="R489" i="1"/>
  <c r="L489" i="1"/>
  <c r="BG488" i="1"/>
  <c r="BE488" i="1"/>
  <c r="BH488" i="1" s="1"/>
  <c r="BD488" i="1"/>
  <c r="AY488" i="1"/>
  <c r="AQ488" i="1"/>
  <c r="AP488" i="1"/>
  <c r="AM488" i="1"/>
  <c r="AL488" i="1"/>
  <c r="AK488" i="1"/>
  <c r="AJ488" i="1"/>
  <c r="AF488" i="1"/>
  <c r="AE488" i="1"/>
  <c r="AD488" i="1"/>
  <c r="U488" i="1" s="1"/>
  <c r="W488" i="1"/>
  <c r="T488" i="1"/>
  <c r="R488" i="1"/>
  <c r="L488" i="1"/>
  <c r="BH487" i="1"/>
  <c r="BG487" i="1"/>
  <c r="BE487" i="1"/>
  <c r="BD487" i="1"/>
  <c r="AY487" i="1"/>
  <c r="AQ487" i="1"/>
  <c r="AP487" i="1"/>
  <c r="AM487" i="1"/>
  <c r="AL487" i="1"/>
  <c r="AK487" i="1"/>
  <c r="AJ487" i="1"/>
  <c r="AF487" i="1"/>
  <c r="AE487" i="1"/>
  <c r="AD487" i="1"/>
  <c r="AG487" i="1" s="1"/>
  <c r="AI487" i="1" s="1"/>
  <c r="W487" i="1"/>
  <c r="V487" i="1"/>
  <c r="T487" i="1"/>
  <c r="R487" i="1"/>
  <c r="L487" i="1"/>
  <c r="BE486" i="1"/>
  <c r="BD486" i="1"/>
  <c r="AY486" i="1"/>
  <c r="AQ486" i="1"/>
  <c r="AP486" i="1"/>
  <c r="AM486" i="1"/>
  <c r="AL486" i="1"/>
  <c r="AK486" i="1"/>
  <c r="AJ486" i="1"/>
  <c r="AI486" i="1"/>
  <c r="AG486" i="1"/>
  <c r="AF486" i="1"/>
  <c r="AE486" i="1"/>
  <c r="AD486" i="1"/>
  <c r="W486" i="1"/>
  <c r="V486" i="1"/>
  <c r="U486" i="1"/>
  <c r="T486" i="1"/>
  <c r="R486" i="1"/>
  <c r="L486" i="1"/>
  <c r="BE485" i="1"/>
  <c r="BD485" i="1"/>
  <c r="AY485" i="1"/>
  <c r="AQ485" i="1"/>
  <c r="AP485" i="1"/>
  <c r="AM485" i="1"/>
  <c r="AL485" i="1"/>
  <c r="AK485" i="1"/>
  <c r="AJ485" i="1"/>
  <c r="AI485" i="1"/>
  <c r="AG485" i="1"/>
  <c r="AF485" i="1"/>
  <c r="AE485" i="1"/>
  <c r="AD485" i="1"/>
  <c r="W485" i="1"/>
  <c r="V485" i="1"/>
  <c r="U485" i="1"/>
  <c r="T485" i="1"/>
  <c r="R485" i="1"/>
  <c r="L485" i="1"/>
  <c r="BD484" i="1"/>
  <c r="BE484" i="1" s="1"/>
  <c r="AY484" i="1"/>
  <c r="AQ484" i="1"/>
  <c r="AP484" i="1"/>
  <c r="AM484" i="1"/>
  <c r="AL484" i="1"/>
  <c r="AK484" i="1"/>
  <c r="AJ484" i="1"/>
  <c r="AI484" i="1"/>
  <c r="AG484" i="1"/>
  <c r="AF484" i="1"/>
  <c r="AE484" i="1"/>
  <c r="AD484" i="1"/>
  <c r="W484" i="1"/>
  <c r="V484" i="1"/>
  <c r="U484" i="1"/>
  <c r="T484" i="1"/>
  <c r="AA484" i="1" s="1"/>
  <c r="R484" i="1"/>
  <c r="L484" i="1"/>
  <c r="BE483" i="1"/>
  <c r="BH483" i="1" s="1"/>
  <c r="BD483" i="1"/>
  <c r="AY483" i="1"/>
  <c r="AQ483" i="1"/>
  <c r="AP483" i="1"/>
  <c r="AM483" i="1"/>
  <c r="AL483" i="1"/>
  <c r="AK483" i="1"/>
  <c r="AJ483" i="1"/>
  <c r="AF483" i="1"/>
  <c r="AE483" i="1"/>
  <c r="AD483" i="1"/>
  <c r="U483" i="1" s="1"/>
  <c r="W483" i="1"/>
  <c r="T483" i="1"/>
  <c r="R483" i="1"/>
  <c r="L483" i="1"/>
  <c r="BH482" i="1"/>
  <c r="BE482" i="1"/>
  <c r="BG482" i="1" s="1"/>
  <c r="BD482" i="1"/>
  <c r="AY482" i="1"/>
  <c r="AQ482" i="1"/>
  <c r="AP482" i="1"/>
  <c r="AM482" i="1"/>
  <c r="AL482" i="1"/>
  <c r="AK482" i="1"/>
  <c r="AJ482" i="1"/>
  <c r="AF482" i="1"/>
  <c r="AE482" i="1"/>
  <c r="AD482" i="1"/>
  <c r="U482" i="1" s="1"/>
  <c r="AA482" i="1"/>
  <c r="W482" i="1"/>
  <c r="V482" i="1"/>
  <c r="T482" i="1"/>
  <c r="R482" i="1"/>
  <c r="L482" i="1"/>
  <c r="BG481" i="1"/>
  <c r="BD481" i="1"/>
  <c r="BE481" i="1" s="1"/>
  <c r="BH481" i="1" s="1"/>
  <c r="AY481" i="1"/>
  <c r="AQ481" i="1"/>
  <c r="AP481" i="1"/>
  <c r="AM481" i="1"/>
  <c r="AL481" i="1"/>
  <c r="AK481" i="1"/>
  <c r="AJ481" i="1"/>
  <c r="AI481" i="1"/>
  <c r="AG481" i="1"/>
  <c r="AF481" i="1"/>
  <c r="AE481" i="1"/>
  <c r="V481" i="1" s="1"/>
  <c r="AD481" i="1"/>
  <c r="W481" i="1"/>
  <c r="U481" i="1"/>
  <c r="T481" i="1"/>
  <c r="AA481" i="1" s="1"/>
  <c r="R481" i="1"/>
  <c r="L481" i="1"/>
  <c r="BG480" i="1"/>
  <c r="BE480" i="1"/>
  <c r="BH480" i="1" s="1"/>
  <c r="BD480" i="1"/>
  <c r="AY480" i="1"/>
  <c r="AQ480" i="1"/>
  <c r="AP480" i="1"/>
  <c r="AM480" i="1"/>
  <c r="AL480" i="1"/>
  <c r="AK480" i="1"/>
  <c r="AJ480" i="1"/>
  <c r="AF480" i="1"/>
  <c r="AE480" i="1"/>
  <c r="V480" i="1" s="1"/>
  <c r="AD480" i="1"/>
  <c r="U480" i="1" s="1"/>
  <c r="W480" i="1"/>
  <c r="T480" i="1"/>
  <c r="R480" i="1"/>
  <c r="L480" i="1"/>
  <c r="BH479" i="1"/>
  <c r="BG479" i="1"/>
  <c r="BE479" i="1"/>
  <c r="BD479" i="1"/>
  <c r="AY479" i="1"/>
  <c r="AQ479" i="1"/>
  <c r="AP479" i="1"/>
  <c r="AM479" i="1"/>
  <c r="AL479" i="1"/>
  <c r="AK479" i="1"/>
  <c r="AJ479" i="1"/>
  <c r="AF479" i="1"/>
  <c r="AE479" i="1"/>
  <c r="AD479" i="1"/>
  <c r="AG479" i="1" s="1"/>
  <c r="AI479" i="1" s="1"/>
  <c r="W479" i="1"/>
  <c r="V479" i="1"/>
  <c r="T479" i="1"/>
  <c r="R479" i="1"/>
  <c r="L479" i="1"/>
  <c r="BG478" i="1"/>
  <c r="BE478" i="1"/>
  <c r="BH478" i="1" s="1"/>
  <c r="BD478" i="1"/>
  <c r="AY478" i="1"/>
  <c r="AQ478" i="1"/>
  <c r="AP478" i="1"/>
  <c r="AM478" i="1"/>
  <c r="AL478" i="1"/>
  <c r="AK478" i="1"/>
  <c r="AJ478" i="1"/>
  <c r="AI478" i="1"/>
  <c r="AG478" i="1"/>
  <c r="AF478" i="1"/>
  <c r="AE478" i="1"/>
  <c r="AD478" i="1"/>
  <c r="W478" i="1"/>
  <c r="V478" i="1"/>
  <c r="U478" i="1"/>
  <c r="T478" i="1"/>
  <c r="R478" i="1"/>
  <c r="L478" i="1"/>
  <c r="BE477" i="1"/>
  <c r="BD477" i="1"/>
  <c r="AY477" i="1"/>
  <c r="AQ477" i="1"/>
  <c r="AP477" i="1"/>
  <c r="AM477" i="1"/>
  <c r="AL477" i="1"/>
  <c r="AK477" i="1"/>
  <c r="AJ477" i="1"/>
  <c r="AI477" i="1"/>
  <c r="AG477" i="1"/>
  <c r="AF477" i="1"/>
  <c r="AE477" i="1"/>
  <c r="AD477" i="1"/>
  <c r="W477" i="1"/>
  <c r="V477" i="1"/>
  <c r="U477" i="1"/>
  <c r="T477" i="1"/>
  <c r="R477" i="1"/>
  <c r="L477" i="1"/>
  <c r="BD476" i="1"/>
  <c r="BE476" i="1" s="1"/>
  <c r="AY476" i="1"/>
  <c r="AQ476" i="1"/>
  <c r="AP476" i="1"/>
  <c r="AM476" i="1"/>
  <c r="AL476" i="1"/>
  <c r="AK476" i="1"/>
  <c r="AJ476" i="1"/>
  <c r="AG476" i="1"/>
  <c r="AI476" i="1" s="1"/>
  <c r="AF476" i="1"/>
  <c r="AE476" i="1"/>
  <c r="AD476" i="1"/>
  <c r="W476" i="1"/>
  <c r="V476" i="1"/>
  <c r="U476" i="1"/>
  <c r="T476" i="1"/>
  <c r="R476" i="1"/>
  <c r="L476" i="1"/>
  <c r="BE475" i="1"/>
  <c r="BH475" i="1" s="1"/>
  <c r="BD475" i="1"/>
  <c r="AY475" i="1"/>
  <c r="AQ475" i="1"/>
  <c r="AP475" i="1"/>
  <c r="AM475" i="1"/>
  <c r="AL475" i="1"/>
  <c r="AK475" i="1"/>
  <c r="AJ475" i="1"/>
  <c r="AF475" i="1"/>
  <c r="AE475" i="1"/>
  <c r="V475" i="1" s="1"/>
  <c r="AD475" i="1"/>
  <c r="U475" i="1" s="1"/>
  <c r="W475" i="1"/>
  <c r="T475" i="1"/>
  <c r="R475" i="1"/>
  <c r="L475" i="1"/>
  <c r="BH474" i="1"/>
  <c r="BE474" i="1"/>
  <c r="BG474" i="1" s="1"/>
  <c r="BD474" i="1"/>
  <c r="AY474" i="1"/>
  <c r="AQ474" i="1"/>
  <c r="AP474" i="1"/>
  <c r="AM474" i="1"/>
  <c r="AL474" i="1"/>
  <c r="AK474" i="1"/>
  <c r="AJ474" i="1"/>
  <c r="AF474" i="1"/>
  <c r="AE474" i="1"/>
  <c r="AD474" i="1"/>
  <c r="U474" i="1" s="1"/>
  <c r="AA474" i="1" s="1"/>
  <c r="W474" i="1"/>
  <c r="V474" i="1"/>
  <c r="T474" i="1"/>
  <c r="R474" i="1"/>
  <c r="L474" i="1"/>
  <c r="BD473" i="1"/>
  <c r="BE473" i="1" s="1"/>
  <c r="BH473" i="1" s="1"/>
  <c r="AY473" i="1"/>
  <c r="AQ473" i="1"/>
  <c r="AP473" i="1"/>
  <c r="AM473" i="1"/>
  <c r="AL473" i="1"/>
  <c r="AK473" i="1"/>
  <c r="AJ473" i="1"/>
  <c r="AI473" i="1"/>
  <c r="AG473" i="1"/>
  <c r="AF473" i="1"/>
  <c r="AE473" i="1"/>
  <c r="V473" i="1" s="1"/>
  <c r="AD473" i="1"/>
  <c r="W473" i="1"/>
  <c r="U473" i="1"/>
  <c r="T473" i="1"/>
  <c r="R473" i="1"/>
  <c r="L473" i="1"/>
  <c r="BG472" i="1"/>
  <c r="BE472" i="1"/>
  <c r="BH472" i="1" s="1"/>
  <c r="BD472" i="1"/>
  <c r="AY472" i="1"/>
  <c r="AQ472" i="1"/>
  <c r="AP472" i="1"/>
  <c r="AM472" i="1"/>
  <c r="AL472" i="1"/>
  <c r="AK472" i="1"/>
  <c r="AJ472" i="1"/>
  <c r="AF472" i="1"/>
  <c r="AE472" i="1"/>
  <c r="V472" i="1" s="1"/>
  <c r="AD472" i="1"/>
  <c r="U472" i="1" s="1"/>
  <c r="W472" i="1"/>
  <c r="T472" i="1"/>
  <c r="R472" i="1"/>
  <c r="L472" i="1"/>
  <c r="BH471" i="1"/>
  <c r="BG471" i="1"/>
  <c r="BE471" i="1"/>
  <c r="BD471" i="1"/>
  <c r="AY471" i="1"/>
  <c r="AQ471" i="1"/>
  <c r="AP471" i="1"/>
  <c r="AM471" i="1"/>
  <c r="AL471" i="1"/>
  <c r="AK471" i="1"/>
  <c r="AJ471" i="1"/>
  <c r="AF471" i="1"/>
  <c r="AE471" i="1"/>
  <c r="AD471" i="1"/>
  <c r="AG471" i="1" s="1"/>
  <c r="AI471" i="1" s="1"/>
  <c r="W471" i="1"/>
  <c r="V471" i="1"/>
  <c r="T471" i="1"/>
  <c r="R471" i="1"/>
  <c r="L471" i="1"/>
  <c r="BE470" i="1"/>
  <c r="BH470" i="1" s="1"/>
  <c r="BD470" i="1"/>
  <c r="AY470" i="1"/>
  <c r="AQ470" i="1"/>
  <c r="AP470" i="1"/>
  <c r="AM470" i="1"/>
  <c r="AL470" i="1"/>
  <c r="AK470" i="1"/>
  <c r="AJ470" i="1"/>
  <c r="AI470" i="1"/>
  <c r="AG470" i="1"/>
  <c r="AF470" i="1"/>
  <c r="AE470" i="1"/>
  <c r="AD470" i="1"/>
  <c r="W470" i="1"/>
  <c r="V470" i="1"/>
  <c r="U470" i="1"/>
  <c r="AA470" i="1" s="1"/>
  <c r="T470" i="1"/>
  <c r="R470" i="1"/>
  <c r="L470" i="1"/>
  <c r="BD469" i="1"/>
  <c r="BE469" i="1" s="1"/>
  <c r="AY469" i="1"/>
  <c r="AQ469" i="1"/>
  <c r="AP469" i="1"/>
  <c r="AM469" i="1"/>
  <c r="AL469" i="1"/>
  <c r="AK469" i="1"/>
  <c r="AJ469" i="1"/>
  <c r="AI469" i="1"/>
  <c r="AG469" i="1"/>
  <c r="AF469" i="1"/>
  <c r="AE469" i="1"/>
  <c r="AD469" i="1"/>
  <c r="W469" i="1"/>
  <c r="V469" i="1"/>
  <c r="U469" i="1"/>
  <c r="T469" i="1"/>
  <c r="AA469" i="1" s="1"/>
  <c r="R469" i="1"/>
  <c r="L469" i="1"/>
  <c r="BD468" i="1"/>
  <c r="BE468" i="1" s="1"/>
  <c r="AY468" i="1"/>
  <c r="AQ468" i="1"/>
  <c r="AP468" i="1"/>
  <c r="AM468" i="1"/>
  <c r="AL468" i="1"/>
  <c r="AK468" i="1"/>
  <c r="AJ468" i="1"/>
  <c r="AI468" i="1"/>
  <c r="AG468" i="1"/>
  <c r="AF468" i="1"/>
  <c r="AE468" i="1"/>
  <c r="AD468" i="1"/>
  <c r="W468" i="1"/>
  <c r="V468" i="1"/>
  <c r="U468" i="1"/>
  <c r="T468" i="1"/>
  <c r="AA468" i="1" s="1"/>
  <c r="R468" i="1"/>
  <c r="L468" i="1"/>
  <c r="BE467" i="1"/>
  <c r="BH467" i="1" s="1"/>
  <c r="BD467" i="1"/>
  <c r="AY467" i="1"/>
  <c r="AQ467" i="1"/>
  <c r="AP467" i="1"/>
  <c r="AM467" i="1"/>
  <c r="AL467" i="1"/>
  <c r="AK467" i="1"/>
  <c r="AJ467" i="1"/>
  <c r="AF467" i="1"/>
  <c r="AE467" i="1"/>
  <c r="V467" i="1" s="1"/>
  <c r="AD467" i="1"/>
  <c r="U467" i="1" s="1"/>
  <c r="W467" i="1"/>
  <c r="T467" i="1"/>
  <c r="R467" i="1"/>
  <c r="L467" i="1"/>
  <c r="BD466" i="1"/>
  <c r="BE466" i="1" s="1"/>
  <c r="AY466" i="1"/>
  <c r="AQ466" i="1"/>
  <c r="AP466" i="1"/>
  <c r="AM466" i="1"/>
  <c r="AL466" i="1"/>
  <c r="AK466" i="1"/>
  <c r="AJ466" i="1"/>
  <c r="AF466" i="1"/>
  <c r="AE466" i="1"/>
  <c r="V466" i="1" s="1"/>
  <c r="AD466" i="1"/>
  <c r="W466" i="1"/>
  <c r="T466" i="1"/>
  <c r="R466" i="1"/>
  <c r="L466" i="1"/>
  <c r="BH465" i="1"/>
  <c r="BG465" i="1"/>
  <c r="BE465" i="1"/>
  <c r="BD465" i="1"/>
  <c r="AY465" i="1"/>
  <c r="AQ465" i="1"/>
  <c r="AP465" i="1"/>
  <c r="AM465" i="1"/>
  <c r="AL465" i="1"/>
  <c r="AK465" i="1"/>
  <c r="AJ465" i="1"/>
  <c r="AF465" i="1"/>
  <c r="AE465" i="1"/>
  <c r="V465" i="1" s="1"/>
  <c r="AD465" i="1"/>
  <c r="W465" i="1"/>
  <c r="T465" i="1"/>
  <c r="R465" i="1"/>
  <c r="L465" i="1"/>
  <c r="BH464" i="1"/>
  <c r="BG464" i="1"/>
  <c r="BE464" i="1"/>
  <c r="BD464" i="1"/>
  <c r="AY464" i="1"/>
  <c r="AQ464" i="1"/>
  <c r="AP464" i="1"/>
  <c r="AM464" i="1"/>
  <c r="AL464" i="1"/>
  <c r="AK464" i="1"/>
  <c r="AJ464" i="1"/>
  <c r="AF464" i="1"/>
  <c r="AE464" i="1"/>
  <c r="AD464" i="1"/>
  <c r="U464" i="1" s="1"/>
  <c r="AA464" i="1" s="1"/>
  <c r="W464" i="1"/>
  <c r="V464" i="1"/>
  <c r="T464" i="1"/>
  <c r="R464" i="1"/>
  <c r="L464" i="1"/>
  <c r="BE463" i="1"/>
  <c r="BD463" i="1"/>
  <c r="AY463" i="1"/>
  <c r="AQ463" i="1"/>
  <c r="AP463" i="1"/>
  <c r="AM463" i="1"/>
  <c r="AL463" i="1"/>
  <c r="AK463" i="1"/>
  <c r="AJ463" i="1"/>
  <c r="AI463" i="1"/>
  <c r="AG463" i="1"/>
  <c r="AF463" i="1"/>
  <c r="AE463" i="1"/>
  <c r="AD463" i="1"/>
  <c r="W463" i="1"/>
  <c r="V463" i="1"/>
  <c r="U463" i="1"/>
  <c r="AA463" i="1" s="1"/>
  <c r="T463" i="1"/>
  <c r="R463" i="1"/>
  <c r="L463" i="1"/>
  <c r="BE462" i="1"/>
  <c r="BD462" i="1"/>
  <c r="AY462" i="1"/>
  <c r="AQ462" i="1"/>
  <c r="AP462" i="1"/>
  <c r="AM462" i="1"/>
  <c r="AL462" i="1"/>
  <c r="AK462" i="1"/>
  <c r="AJ462" i="1"/>
  <c r="AI462" i="1"/>
  <c r="AG462" i="1"/>
  <c r="AF462" i="1"/>
  <c r="AE462" i="1"/>
  <c r="AD462" i="1"/>
  <c r="W462" i="1"/>
  <c r="V462" i="1"/>
  <c r="U462" i="1"/>
  <c r="T462" i="1"/>
  <c r="R462" i="1"/>
  <c r="L462" i="1"/>
  <c r="BD461" i="1"/>
  <c r="BE461" i="1" s="1"/>
  <c r="AY461" i="1"/>
  <c r="AQ461" i="1"/>
  <c r="AP461" i="1"/>
  <c r="AM461" i="1"/>
  <c r="AL461" i="1"/>
  <c r="AK461" i="1"/>
  <c r="AJ461" i="1"/>
  <c r="AI461" i="1"/>
  <c r="AG461" i="1"/>
  <c r="AF461" i="1"/>
  <c r="AE461" i="1"/>
  <c r="AD461" i="1"/>
  <c r="W461" i="1"/>
  <c r="V461" i="1"/>
  <c r="U461" i="1"/>
  <c r="T461" i="1"/>
  <c r="AA461" i="1" s="1"/>
  <c r="R461" i="1"/>
  <c r="L461" i="1"/>
  <c r="BD460" i="1"/>
  <c r="BE460" i="1" s="1"/>
  <c r="AY460" i="1"/>
  <c r="AQ460" i="1"/>
  <c r="AP460" i="1"/>
  <c r="AM460" i="1"/>
  <c r="AL460" i="1"/>
  <c r="AK460" i="1"/>
  <c r="AJ460" i="1"/>
  <c r="AG460" i="1"/>
  <c r="AI460" i="1" s="1"/>
  <c r="AF460" i="1"/>
  <c r="AE460" i="1"/>
  <c r="V460" i="1" s="1"/>
  <c r="AD460" i="1"/>
  <c r="W460" i="1"/>
  <c r="U460" i="1"/>
  <c r="T460" i="1"/>
  <c r="AA460" i="1" s="1"/>
  <c r="R460" i="1"/>
  <c r="L460" i="1"/>
  <c r="BH459" i="1"/>
  <c r="BE459" i="1"/>
  <c r="BG459" i="1" s="1"/>
  <c r="BD459" i="1"/>
  <c r="AY459" i="1"/>
  <c r="AQ459" i="1"/>
  <c r="AP459" i="1"/>
  <c r="AM459" i="1"/>
  <c r="AL459" i="1"/>
  <c r="AK459" i="1"/>
  <c r="AJ459" i="1"/>
  <c r="AF459" i="1"/>
  <c r="AE459" i="1"/>
  <c r="V459" i="1" s="1"/>
  <c r="AD459" i="1"/>
  <c r="U459" i="1" s="1"/>
  <c r="W459" i="1"/>
  <c r="T459" i="1"/>
  <c r="R459" i="1"/>
  <c r="L459" i="1"/>
  <c r="BD458" i="1"/>
  <c r="BE458" i="1" s="1"/>
  <c r="AY458" i="1"/>
  <c r="AQ458" i="1"/>
  <c r="AP458" i="1"/>
  <c r="AM458" i="1"/>
  <c r="AL458" i="1"/>
  <c r="AK458" i="1"/>
  <c r="AJ458" i="1"/>
  <c r="AF458" i="1"/>
  <c r="AE458" i="1"/>
  <c r="V458" i="1" s="1"/>
  <c r="AD458" i="1"/>
  <c r="W458" i="1"/>
  <c r="T458" i="1"/>
  <c r="R458" i="1"/>
  <c r="L458" i="1"/>
  <c r="BH457" i="1"/>
  <c r="BG457" i="1"/>
  <c r="BE457" i="1"/>
  <c r="BD457" i="1"/>
  <c r="AY457" i="1"/>
  <c r="AQ457" i="1"/>
  <c r="AP457" i="1"/>
  <c r="AM457" i="1"/>
  <c r="AL457" i="1"/>
  <c r="AK457" i="1"/>
  <c r="AJ457" i="1"/>
  <c r="AF457" i="1"/>
  <c r="AE457" i="1"/>
  <c r="V457" i="1" s="1"/>
  <c r="AD457" i="1"/>
  <c r="W457" i="1"/>
  <c r="T457" i="1"/>
  <c r="R457" i="1"/>
  <c r="L457" i="1"/>
  <c r="BH456" i="1"/>
  <c r="BG456" i="1"/>
  <c r="BE456" i="1"/>
  <c r="BD456" i="1"/>
  <c r="AY456" i="1"/>
  <c r="AQ456" i="1"/>
  <c r="AP456" i="1"/>
  <c r="AM456" i="1"/>
  <c r="AL456" i="1"/>
  <c r="AK456" i="1"/>
  <c r="AJ456" i="1"/>
  <c r="AF456" i="1"/>
  <c r="AE456" i="1"/>
  <c r="AD456" i="1"/>
  <c r="U456" i="1" s="1"/>
  <c r="AA456" i="1" s="1"/>
  <c r="W456" i="1"/>
  <c r="V456" i="1"/>
  <c r="T456" i="1"/>
  <c r="R456" i="1"/>
  <c r="L456" i="1"/>
  <c r="BG455" i="1"/>
  <c r="BE455" i="1"/>
  <c r="BH455" i="1" s="1"/>
  <c r="BD455" i="1"/>
  <c r="AY455" i="1"/>
  <c r="AQ455" i="1"/>
  <c r="AP455" i="1"/>
  <c r="AM455" i="1"/>
  <c r="AL455" i="1"/>
  <c r="AK455" i="1"/>
  <c r="AJ455" i="1"/>
  <c r="AI455" i="1"/>
  <c r="AG455" i="1"/>
  <c r="AF455" i="1"/>
  <c r="AE455" i="1"/>
  <c r="AD455" i="1"/>
  <c r="W455" i="1"/>
  <c r="V455" i="1"/>
  <c r="U455" i="1"/>
  <c r="T455" i="1"/>
  <c r="R455" i="1"/>
  <c r="L455" i="1"/>
  <c r="BE454" i="1"/>
  <c r="BD454" i="1"/>
  <c r="AY454" i="1"/>
  <c r="AQ454" i="1"/>
  <c r="AP454" i="1"/>
  <c r="AM454" i="1"/>
  <c r="AL454" i="1"/>
  <c r="AK454" i="1"/>
  <c r="AJ454" i="1"/>
  <c r="AI454" i="1"/>
  <c r="AG454" i="1"/>
  <c r="AF454" i="1"/>
  <c r="AE454" i="1"/>
  <c r="AD454" i="1"/>
  <c r="W454" i="1"/>
  <c r="V454" i="1"/>
  <c r="U454" i="1"/>
  <c r="T454" i="1"/>
  <c r="R454" i="1"/>
  <c r="L454" i="1"/>
  <c r="BD453" i="1"/>
  <c r="BE453" i="1" s="1"/>
  <c r="AY453" i="1"/>
  <c r="AQ453" i="1"/>
  <c r="AP453" i="1"/>
  <c r="AM453" i="1"/>
  <c r="AL453" i="1"/>
  <c r="AK453" i="1"/>
  <c r="AJ453" i="1"/>
  <c r="AF453" i="1"/>
  <c r="AG453" i="1" s="1"/>
  <c r="AI453" i="1" s="1"/>
  <c r="AE453" i="1"/>
  <c r="AD453" i="1"/>
  <c r="W453" i="1"/>
  <c r="V453" i="1"/>
  <c r="U453" i="1"/>
  <c r="T453" i="1"/>
  <c r="R453" i="1"/>
  <c r="L453" i="1"/>
  <c r="BD452" i="1"/>
  <c r="BE452" i="1" s="1"/>
  <c r="AY452" i="1"/>
  <c r="AQ452" i="1"/>
  <c r="AP452" i="1"/>
  <c r="AM452" i="1"/>
  <c r="AL452" i="1"/>
  <c r="AK452" i="1"/>
  <c r="AJ452" i="1"/>
  <c r="AG452" i="1"/>
  <c r="AI452" i="1" s="1"/>
  <c r="AF452" i="1"/>
  <c r="AE452" i="1"/>
  <c r="V452" i="1" s="1"/>
  <c r="AD452" i="1"/>
  <c r="W452" i="1"/>
  <c r="U452" i="1"/>
  <c r="T452" i="1"/>
  <c r="R452" i="1"/>
  <c r="L452" i="1"/>
  <c r="BH451" i="1"/>
  <c r="BE451" i="1"/>
  <c r="BG451" i="1" s="1"/>
  <c r="BD451" i="1"/>
  <c r="AY451" i="1"/>
  <c r="AQ451" i="1"/>
  <c r="AP451" i="1"/>
  <c r="AM451" i="1"/>
  <c r="AL451" i="1"/>
  <c r="AK451" i="1"/>
  <c r="AJ451" i="1"/>
  <c r="AG451" i="1"/>
  <c r="AI451" i="1" s="1"/>
  <c r="AF451" i="1"/>
  <c r="AE451" i="1"/>
  <c r="V451" i="1" s="1"/>
  <c r="AD451" i="1"/>
  <c r="U451" i="1" s="1"/>
  <c r="W451" i="1"/>
  <c r="T451" i="1"/>
  <c r="AA451" i="1" s="1"/>
  <c r="R451" i="1"/>
  <c r="L451" i="1"/>
  <c r="BH450" i="1"/>
  <c r="BD450" i="1"/>
  <c r="BE450" i="1" s="1"/>
  <c r="BG450" i="1" s="1"/>
  <c r="AY450" i="1"/>
  <c r="AQ450" i="1"/>
  <c r="AP450" i="1"/>
  <c r="AM450" i="1"/>
  <c r="AL450" i="1"/>
  <c r="AK450" i="1"/>
  <c r="AJ450" i="1"/>
  <c r="AF450" i="1"/>
  <c r="AE450" i="1"/>
  <c r="V450" i="1" s="1"/>
  <c r="AD450" i="1"/>
  <c r="W450" i="1"/>
  <c r="T450" i="1"/>
  <c r="R450" i="1"/>
  <c r="L450" i="1"/>
  <c r="BH449" i="1"/>
  <c r="BG449" i="1"/>
  <c r="BE449" i="1"/>
  <c r="BD449" i="1"/>
  <c r="AY449" i="1"/>
  <c r="AQ449" i="1"/>
  <c r="AP449" i="1"/>
  <c r="AM449" i="1"/>
  <c r="AL449" i="1"/>
  <c r="AK449" i="1"/>
  <c r="AJ449" i="1"/>
  <c r="AF449" i="1"/>
  <c r="AE449" i="1"/>
  <c r="V449" i="1" s="1"/>
  <c r="AD449" i="1"/>
  <c r="W449" i="1"/>
  <c r="T449" i="1"/>
  <c r="R449" i="1"/>
  <c r="L449" i="1"/>
  <c r="BG448" i="1"/>
  <c r="BE448" i="1"/>
  <c r="BH448" i="1" s="1"/>
  <c r="BD448" i="1"/>
  <c r="AY448" i="1"/>
  <c r="AQ448" i="1"/>
  <c r="AP448" i="1"/>
  <c r="AM448" i="1"/>
  <c r="AL448" i="1"/>
  <c r="AK448" i="1"/>
  <c r="AJ448" i="1"/>
  <c r="AF448" i="1"/>
  <c r="AE448" i="1"/>
  <c r="AD448" i="1"/>
  <c r="W448" i="1"/>
  <c r="V448" i="1"/>
  <c r="T448" i="1"/>
  <c r="R448" i="1"/>
  <c r="L448" i="1"/>
  <c r="BD447" i="1"/>
  <c r="BE447" i="1" s="1"/>
  <c r="AY447" i="1"/>
  <c r="AQ447" i="1"/>
  <c r="AP447" i="1"/>
  <c r="AM447" i="1"/>
  <c r="AL447" i="1"/>
  <c r="AK447" i="1"/>
  <c r="AJ447" i="1"/>
  <c r="AI447" i="1"/>
  <c r="AG447" i="1"/>
  <c r="AF447" i="1"/>
  <c r="AE447" i="1"/>
  <c r="AD447" i="1"/>
  <c r="AA447" i="1"/>
  <c r="W447" i="1"/>
  <c r="V447" i="1"/>
  <c r="U447" i="1"/>
  <c r="T447" i="1"/>
  <c r="R447" i="1"/>
  <c r="L447" i="1"/>
  <c r="BE446" i="1"/>
  <c r="BH446" i="1" s="1"/>
  <c r="BD446" i="1"/>
  <c r="AY446" i="1"/>
  <c r="AQ446" i="1"/>
  <c r="AP446" i="1"/>
  <c r="AM446" i="1"/>
  <c r="AL446" i="1"/>
  <c r="AK446" i="1"/>
  <c r="AJ446" i="1"/>
  <c r="AI446" i="1"/>
  <c r="AG446" i="1"/>
  <c r="AF446" i="1"/>
  <c r="AE446" i="1"/>
  <c r="AD446" i="1"/>
  <c r="W446" i="1"/>
  <c r="V446" i="1"/>
  <c r="U446" i="1"/>
  <c r="T446" i="1"/>
  <c r="R446" i="1"/>
  <c r="L446" i="1"/>
  <c r="BD445" i="1"/>
  <c r="BE445" i="1" s="1"/>
  <c r="AY445" i="1"/>
  <c r="AQ445" i="1"/>
  <c r="AP445" i="1"/>
  <c r="AM445" i="1"/>
  <c r="AL445" i="1"/>
  <c r="AK445" i="1"/>
  <c r="AJ445" i="1"/>
  <c r="AI445" i="1"/>
  <c r="AG445" i="1"/>
  <c r="AF445" i="1"/>
  <c r="AE445" i="1"/>
  <c r="AD445" i="1"/>
  <c r="W445" i="1"/>
  <c r="V445" i="1"/>
  <c r="U445" i="1"/>
  <c r="T445" i="1"/>
  <c r="AA445" i="1" s="1"/>
  <c r="R445" i="1"/>
  <c r="L445" i="1"/>
  <c r="BD444" i="1"/>
  <c r="BE444" i="1" s="1"/>
  <c r="AY444" i="1"/>
  <c r="AQ444" i="1"/>
  <c r="AP444" i="1"/>
  <c r="AM444" i="1"/>
  <c r="AL444" i="1"/>
  <c r="AK444" i="1"/>
  <c r="AJ444" i="1"/>
  <c r="AF444" i="1"/>
  <c r="AE444" i="1"/>
  <c r="V444" i="1" s="1"/>
  <c r="AD444" i="1"/>
  <c r="W444" i="1"/>
  <c r="U444" i="1"/>
  <c r="T444" i="1"/>
  <c r="R444" i="1"/>
  <c r="L444" i="1"/>
  <c r="BH443" i="1"/>
  <c r="BE443" i="1"/>
  <c r="BG443" i="1" s="1"/>
  <c r="BD443" i="1"/>
  <c r="AY443" i="1"/>
  <c r="AQ443" i="1"/>
  <c r="AP443" i="1"/>
  <c r="AM443" i="1"/>
  <c r="AL443" i="1"/>
  <c r="AK443" i="1"/>
  <c r="AJ443" i="1"/>
  <c r="AF443" i="1"/>
  <c r="AE443" i="1"/>
  <c r="V443" i="1" s="1"/>
  <c r="AD443" i="1"/>
  <c r="U443" i="1" s="1"/>
  <c r="W443" i="1"/>
  <c r="T443" i="1"/>
  <c r="R443" i="1"/>
  <c r="L443" i="1"/>
  <c r="BD442" i="1"/>
  <c r="BE442" i="1" s="1"/>
  <c r="AY442" i="1"/>
  <c r="AQ442" i="1"/>
  <c r="AP442" i="1"/>
  <c r="AM442" i="1"/>
  <c r="AL442" i="1"/>
  <c r="AK442" i="1"/>
  <c r="AJ442" i="1"/>
  <c r="AF442" i="1"/>
  <c r="AE442" i="1"/>
  <c r="V442" i="1" s="1"/>
  <c r="AD442" i="1"/>
  <c r="W442" i="1"/>
  <c r="T442" i="1"/>
  <c r="R442" i="1"/>
  <c r="L442" i="1"/>
  <c r="BH441" i="1"/>
  <c r="BG441" i="1"/>
  <c r="BE441" i="1"/>
  <c r="BD441" i="1"/>
  <c r="AY441" i="1"/>
  <c r="AQ441" i="1"/>
  <c r="AP441" i="1"/>
  <c r="AM441" i="1"/>
  <c r="AL441" i="1"/>
  <c r="AK441" i="1"/>
  <c r="AJ441" i="1"/>
  <c r="AF441" i="1"/>
  <c r="AE441" i="1"/>
  <c r="V441" i="1" s="1"/>
  <c r="AD441" i="1"/>
  <c r="W441" i="1"/>
  <c r="T441" i="1"/>
  <c r="R441" i="1"/>
  <c r="L441" i="1"/>
  <c r="BH440" i="1"/>
  <c r="BG440" i="1"/>
  <c r="BE440" i="1"/>
  <c r="BD440" i="1"/>
  <c r="AY440" i="1"/>
  <c r="AQ440" i="1"/>
  <c r="AP440" i="1"/>
  <c r="AM440" i="1"/>
  <c r="AL440" i="1"/>
  <c r="AK440" i="1"/>
  <c r="AJ440" i="1"/>
  <c r="AF440" i="1"/>
  <c r="AE440" i="1"/>
  <c r="AD440" i="1"/>
  <c r="W440" i="1"/>
  <c r="V440" i="1"/>
  <c r="T440" i="1"/>
  <c r="R440" i="1"/>
  <c r="L440" i="1"/>
  <c r="BG439" i="1"/>
  <c r="BE439" i="1"/>
  <c r="BH439" i="1" s="1"/>
  <c r="BD439" i="1"/>
  <c r="AY439" i="1"/>
  <c r="AQ439" i="1"/>
  <c r="AP439" i="1"/>
  <c r="AM439" i="1"/>
  <c r="AL439" i="1"/>
  <c r="AK439" i="1"/>
  <c r="AJ439" i="1"/>
  <c r="AI439" i="1"/>
  <c r="AG439" i="1"/>
  <c r="AF439" i="1"/>
  <c r="AE439" i="1"/>
  <c r="AD439" i="1"/>
  <c r="W439" i="1"/>
  <c r="V439" i="1"/>
  <c r="U439" i="1"/>
  <c r="AA439" i="1" s="1"/>
  <c r="T439" i="1"/>
  <c r="R439" i="1"/>
  <c r="L439" i="1"/>
  <c r="BD438" i="1"/>
  <c r="BE438" i="1" s="1"/>
  <c r="AY438" i="1"/>
  <c r="AQ438" i="1"/>
  <c r="AP438" i="1"/>
  <c r="AM438" i="1"/>
  <c r="AL438" i="1"/>
  <c r="AK438" i="1"/>
  <c r="AJ438" i="1"/>
  <c r="AI438" i="1"/>
  <c r="AG438" i="1"/>
  <c r="AF438" i="1"/>
  <c r="AE438" i="1"/>
  <c r="AD438" i="1"/>
  <c r="W438" i="1"/>
  <c r="V438" i="1"/>
  <c r="U438" i="1"/>
  <c r="T438" i="1"/>
  <c r="AA438" i="1" s="1"/>
  <c r="R438" i="1"/>
  <c r="L438" i="1"/>
  <c r="BE437" i="1"/>
  <c r="BD437" i="1"/>
  <c r="AY437" i="1"/>
  <c r="AQ437" i="1"/>
  <c r="AP437" i="1"/>
  <c r="AM437" i="1"/>
  <c r="AL437" i="1"/>
  <c r="AK437" i="1"/>
  <c r="AJ437" i="1"/>
  <c r="AF437" i="1"/>
  <c r="AG437" i="1" s="1"/>
  <c r="AI437" i="1" s="1"/>
  <c r="AE437" i="1"/>
  <c r="AD437" i="1"/>
  <c r="W437" i="1"/>
  <c r="V437" i="1"/>
  <c r="U437" i="1"/>
  <c r="T437" i="1"/>
  <c r="R437" i="1"/>
  <c r="L437" i="1"/>
  <c r="BD436" i="1"/>
  <c r="BE436" i="1" s="1"/>
  <c r="AY436" i="1"/>
  <c r="AQ436" i="1"/>
  <c r="AP436" i="1"/>
  <c r="AM436" i="1"/>
  <c r="AL436" i="1"/>
  <c r="AK436" i="1"/>
  <c r="AJ436" i="1"/>
  <c r="AG436" i="1"/>
  <c r="AI436" i="1" s="1"/>
  <c r="AF436" i="1"/>
  <c r="AE436" i="1"/>
  <c r="V436" i="1" s="1"/>
  <c r="AD436" i="1"/>
  <c r="W436" i="1"/>
  <c r="U436" i="1"/>
  <c r="T436" i="1"/>
  <c r="AA436" i="1" s="1"/>
  <c r="R436" i="1"/>
  <c r="L436" i="1"/>
  <c r="BH435" i="1"/>
  <c r="BE435" i="1"/>
  <c r="BG435" i="1" s="1"/>
  <c r="BD435" i="1"/>
  <c r="AY435" i="1"/>
  <c r="AQ435" i="1"/>
  <c r="AP435" i="1"/>
  <c r="AM435" i="1"/>
  <c r="AL435" i="1"/>
  <c r="AK435" i="1"/>
  <c r="AJ435" i="1"/>
  <c r="AG435" i="1"/>
  <c r="AI435" i="1" s="1"/>
  <c r="AF435" i="1"/>
  <c r="AE435" i="1"/>
  <c r="V435" i="1" s="1"/>
  <c r="AD435" i="1"/>
  <c r="U435" i="1" s="1"/>
  <c r="W435" i="1"/>
  <c r="T435" i="1"/>
  <c r="AA435" i="1" s="1"/>
  <c r="R435" i="1"/>
  <c r="L435" i="1"/>
  <c r="BH434" i="1"/>
  <c r="BD434" i="1"/>
  <c r="BE434" i="1" s="1"/>
  <c r="BG434" i="1" s="1"/>
  <c r="AY434" i="1"/>
  <c r="AQ434" i="1"/>
  <c r="AP434" i="1"/>
  <c r="AM434" i="1"/>
  <c r="AL434" i="1"/>
  <c r="AK434" i="1"/>
  <c r="AJ434" i="1"/>
  <c r="AF434" i="1"/>
  <c r="AE434" i="1"/>
  <c r="V434" i="1" s="1"/>
  <c r="AD434" i="1"/>
  <c r="W434" i="1"/>
  <c r="T434" i="1"/>
  <c r="R434" i="1"/>
  <c r="L434" i="1"/>
  <c r="BH433" i="1"/>
  <c r="BG433" i="1"/>
  <c r="BE433" i="1"/>
  <c r="BD433" i="1"/>
  <c r="AY433" i="1"/>
  <c r="AQ433" i="1"/>
  <c r="AP433" i="1"/>
  <c r="AM433" i="1"/>
  <c r="AL433" i="1"/>
  <c r="AK433" i="1"/>
  <c r="AJ433" i="1"/>
  <c r="AF433" i="1"/>
  <c r="AE433" i="1"/>
  <c r="V433" i="1" s="1"/>
  <c r="AD433" i="1"/>
  <c r="W433" i="1"/>
  <c r="T433" i="1"/>
  <c r="R433" i="1"/>
  <c r="L433" i="1"/>
  <c r="BG432" i="1"/>
  <c r="BE432" i="1"/>
  <c r="BH432" i="1" s="1"/>
  <c r="BD432" i="1"/>
  <c r="AY432" i="1"/>
  <c r="AQ432" i="1"/>
  <c r="AP432" i="1"/>
  <c r="AM432" i="1"/>
  <c r="AL432" i="1"/>
  <c r="AK432" i="1"/>
  <c r="AJ432" i="1"/>
  <c r="AF432" i="1"/>
  <c r="AE432" i="1"/>
  <c r="AD432" i="1"/>
  <c r="W432" i="1"/>
  <c r="V432" i="1"/>
  <c r="T432" i="1"/>
  <c r="R432" i="1"/>
  <c r="L432" i="1"/>
  <c r="BD431" i="1"/>
  <c r="BE431" i="1" s="1"/>
  <c r="AY431" i="1"/>
  <c r="AQ431" i="1"/>
  <c r="AP431" i="1"/>
  <c r="AM431" i="1"/>
  <c r="AL431" i="1"/>
  <c r="AK431" i="1"/>
  <c r="AJ431" i="1"/>
  <c r="AI431" i="1"/>
  <c r="AG431" i="1"/>
  <c r="AF431" i="1"/>
  <c r="AE431" i="1"/>
  <c r="AD431" i="1"/>
  <c r="AA431" i="1"/>
  <c r="W431" i="1"/>
  <c r="V431" i="1"/>
  <c r="U431" i="1"/>
  <c r="T431" i="1"/>
  <c r="R431" i="1"/>
  <c r="L431" i="1"/>
  <c r="BE430" i="1"/>
  <c r="BH430" i="1" s="1"/>
  <c r="BD430" i="1"/>
  <c r="AY430" i="1"/>
  <c r="AQ430" i="1"/>
  <c r="AP430" i="1"/>
  <c r="AM430" i="1"/>
  <c r="AL430" i="1"/>
  <c r="AK430" i="1"/>
  <c r="AJ430" i="1"/>
  <c r="AI430" i="1"/>
  <c r="AG430" i="1"/>
  <c r="AF430" i="1"/>
  <c r="AE430" i="1"/>
  <c r="AD430" i="1"/>
  <c r="W430" i="1"/>
  <c r="V430" i="1"/>
  <c r="U430" i="1"/>
  <c r="T430" i="1"/>
  <c r="R430" i="1"/>
  <c r="L430" i="1"/>
  <c r="BD429" i="1"/>
  <c r="BE429" i="1" s="1"/>
  <c r="AY429" i="1"/>
  <c r="AQ429" i="1"/>
  <c r="AP429" i="1"/>
  <c r="AM429" i="1"/>
  <c r="AL429" i="1"/>
  <c r="AK429" i="1"/>
  <c r="AJ429" i="1"/>
  <c r="AI429" i="1"/>
  <c r="AG429" i="1"/>
  <c r="AF429" i="1"/>
  <c r="AE429" i="1"/>
  <c r="AD429" i="1"/>
  <c r="W429" i="1"/>
  <c r="V429" i="1"/>
  <c r="U429" i="1"/>
  <c r="T429" i="1"/>
  <c r="AA429" i="1" s="1"/>
  <c r="R429" i="1"/>
  <c r="L429" i="1"/>
  <c r="BD428" i="1"/>
  <c r="BE428" i="1" s="1"/>
  <c r="AY428" i="1"/>
  <c r="AQ428" i="1"/>
  <c r="AP428" i="1"/>
  <c r="AM428" i="1"/>
  <c r="AL428" i="1"/>
  <c r="AK428" i="1"/>
  <c r="AJ428" i="1"/>
  <c r="AF428" i="1"/>
  <c r="AE428" i="1"/>
  <c r="V428" i="1" s="1"/>
  <c r="AD428" i="1"/>
  <c r="W428" i="1"/>
  <c r="U428" i="1"/>
  <c r="T428" i="1"/>
  <c r="R428" i="1"/>
  <c r="L428" i="1"/>
  <c r="BH427" i="1"/>
  <c r="BE427" i="1"/>
  <c r="BG427" i="1" s="1"/>
  <c r="BD427" i="1"/>
  <c r="AY427" i="1"/>
  <c r="AQ427" i="1"/>
  <c r="AP427" i="1"/>
  <c r="AM427" i="1"/>
  <c r="AL427" i="1"/>
  <c r="AK427" i="1"/>
  <c r="AJ427" i="1"/>
  <c r="AF427" i="1"/>
  <c r="AE427" i="1"/>
  <c r="V427" i="1" s="1"/>
  <c r="AD427" i="1"/>
  <c r="U427" i="1" s="1"/>
  <c r="W427" i="1"/>
  <c r="T427" i="1"/>
  <c r="R427" i="1"/>
  <c r="L427" i="1"/>
  <c r="BD426" i="1"/>
  <c r="BE426" i="1" s="1"/>
  <c r="AY426" i="1"/>
  <c r="AQ426" i="1"/>
  <c r="AP426" i="1"/>
  <c r="AM426" i="1"/>
  <c r="AL426" i="1"/>
  <c r="AK426" i="1"/>
  <c r="AJ426" i="1"/>
  <c r="AF426" i="1"/>
  <c r="AE426" i="1"/>
  <c r="V426" i="1" s="1"/>
  <c r="AD426" i="1"/>
  <c r="W426" i="1"/>
  <c r="T426" i="1"/>
  <c r="R426" i="1"/>
  <c r="L426" i="1"/>
  <c r="BH425" i="1"/>
  <c r="BG425" i="1"/>
  <c r="BE425" i="1"/>
  <c r="BD425" i="1"/>
  <c r="AY425" i="1"/>
  <c r="AQ425" i="1"/>
  <c r="AP425" i="1"/>
  <c r="AM425" i="1"/>
  <c r="AL425" i="1"/>
  <c r="AK425" i="1"/>
  <c r="AJ425" i="1"/>
  <c r="AF425" i="1"/>
  <c r="AE425" i="1"/>
  <c r="V425" i="1" s="1"/>
  <c r="AD425" i="1"/>
  <c r="W425" i="1"/>
  <c r="T425" i="1"/>
  <c r="R425" i="1"/>
  <c r="L425" i="1"/>
  <c r="BH424" i="1"/>
  <c r="BG424" i="1"/>
  <c r="BE424" i="1"/>
  <c r="BD424" i="1"/>
  <c r="AY424" i="1"/>
  <c r="AQ424" i="1"/>
  <c r="AP424" i="1"/>
  <c r="AM424" i="1"/>
  <c r="AL424" i="1"/>
  <c r="AK424" i="1"/>
  <c r="AJ424" i="1"/>
  <c r="AF424" i="1"/>
  <c r="AE424" i="1"/>
  <c r="AD424" i="1"/>
  <c r="W424" i="1"/>
  <c r="V424" i="1"/>
  <c r="T424" i="1"/>
  <c r="R424" i="1"/>
  <c r="L424" i="1"/>
  <c r="BG423" i="1"/>
  <c r="BE423" i="1"/>
  <c r="BH423" i="1" s="1"/>
  <c r="BD423" i="1"/>
  <c r="AY423" i="1"/>
  <c r="AQ423" i="1"/>
  <c r="AP423" i="1"/>
  <c r="AM423" i="1"/>
  <c r="AL423" i="1"/>
  <c r="AK423" i="1"/>
  <c r="AJ423" i="1"/>
  <c r="AI423" i="1"/>
  <c r="AG423" i="1"/>
  <c r="AF423" i="1"/>
  <c r="AE423" i="1"/>
  <c r="AD423" i="1"/>
  <c r="W423" i="1"/>
  <c r="V423" i="1"/>
  <c r="U423" i="1"/>
  <c r="T423" i="1"/>
  <c r="R423" i="1"/>
  <c r="L423" i="1"/>
  <c r="BD422" i="1"/>
  <c r="BE422" i="1" s="1"/>
  <c r="AY422" i="1"/>
  <c r="AQ422" i="1"/>
  <c r="AP422" i="1"/>
  <c r="AM422" i="1"/>
  <c r="AL422" i="1"/>
  <c r="AK422" i="1"/>
  <c r="AJ422" i="1"/>
  <c r="AI422" i="1"/>
  <c r="AG422" i="1"/>
  <c r="AF422" i="1"/>
  <c r="AE422" i="1"/>
  <c r="AD422" i="1"/>
  <c r="W422" i="1"/>
  <c r="V422" i="1"/>
  <c r="U422" i="1"/>
  <c r="T422" i="1"/>
  <c r="AA422" i="1" s="1"/>
  <c r="R422" i="1"/>
  <c r="L422" i="1"/>
  <c r="BE421" i="1"/>
  <c r="BD421" i="1"/>
  <c r="AY421" i="1"/>
  <c r="AQ421" i="1"/>
  <c r="AP421" i="1"/>
  <c r="AM421" i="1"/>
  <c r="AL421" i="1"/>
  <c r="AK421" i="1"/>
  <c r="AJ421" i="1"/>
  <c r="AF421" i="1"/>
  <c r="AE421" i="1"/>
  <c r="AG421" i="1" s="1"/>
  <c r="AI421" i="1" s="1"/>
  <c r="AD421" i="1"/>
  <c r="W421" i="1"/>
  <c r="V421" i="1"/>
  <c r="U421" i="1"/>
  <c r="T421" i="1"/>
  <c r="R421" i="1"/>
  <c r="L421" i="1"/>
  <c r="BD420" i="1"/>
  <c r="BE420" i="1" s="1"/>
  <c r="AY420" i="1"/>
  <c r="AQ420" i="1"/>
  <c r="AP420" i="1"/>
  <c r="AM420" i="1"/>
  <c r="AL420" i="1"/>
  <c r="AK420" i="1"/>
  <c r="AJ420" i="1"/>
  <c r="AG420" i="1"/>
  <c r="AI420" i="1" s="1"/>
  <c r="AF420" i="1"/>
  <c r="AE420" i="1"/>
  <c r="V420" i="1" s="1"/>
  <c r="AD420" i="1"/>
  <c r="U420" i="1" s="1"/>
  <c r="W420" i="1"/>
  <c r="T420" i="1"/>
  <c r="R420" i="1"/>
  <c r="L420" i="1"/>
  <c r="BH419" i="1"/>
  <c r="BE419" i="1"/>
  <c r="BG419" i="1" s="1"/>
  <c r="BD419" i="1"/>
  <c r="AY419" i="1"/>
  <c r="AQ419" i="1"/>
  <c r="AP419" i="1"/>
  <c r="AM419" i="1"/>
  <c r="AL419" i="1"/>
  <c r="AK419" i="1"/>
  <c r="AJ419" i="1"/>
  <c r="AG419" i="1"/>
  <c r="AI419" i="1" s="1"/>
  <c r="AF419" i="1"/>
  <c r="AE419" i="1"/>
  <c r="V419" i="1" s="1"/>
  <c r="AD419" i="1"/>
  <c r="U419" i="1" s="1"/>
  <c r="W419" i="1"/>
  <c r="T419" i="1"/>
  <c r="AA419" i="1" s="1"/>
  <c r="R419" i="1"/>
  <c r="L419" i="1"/>
  <c r="BD418" i="1"/>
  <c r="BE418" i="1" s="1"/>
  <c r="BH418" i="1" s="1"/>
  <c r="AY418" i="1"/>
  <c r="AQ418" i="1"/>
  <c r="AP418" i="1"/>
  <c r="AM418" i="1"/>
  <c r="AL418" i="1"/>
  <c r="AK418" i="1"/>
  <c r="AJ418" i="1"/>
  <c r="AF418" i="1"/>
  <c r="AE418" i="1"/>
  <c r="V418" i="1" s="1"/>
  <c r="AD418" i="1"/>
  <c r="W418" i="1"/>
  <c r="T418" i="1"/>
  <c r="R418" i="1"/>
  <c r="L418" i="1"/>
  <c r="BE417" i="1"/>
  <c r="BD417" i="1"/>
  <c r="AY417" i="1"/>
  <c r="AQ417" i="1"/>
  <c r="AP417" i="1"/>
  <c r="AM417" i="1"/>
  <c r="AL417" i="1"/>
  <c r="AK417" i="1"/>
  <c r="AJ417" i="1"/>
  <c r="AF417" i="1"/>
  <c r="AE417" i="1"/>
  <c r="AD417" i="1"/>
  <c r="W417" i="1"/>
  <c r="V417" i="1"/>
  <c r="T417" i="1"/>
  <c r="R417" i="1"/>
  <c r="L417" i="1"/>
  <c r="BG416" i="1"/>
  <c r="BE416" i="1"/>
  <c r="BH416" i="1" s="1"/>
  <c r="BD416" i="1"/>
  <c r="AY416" i="1"/>
  <c r="AQ416" i="1"/>
  <c r="AP416" i="1"/>
  <c r="AM416" i="1"/>
  <c r="AL416" i="1"/>
  <c r="AK416" i="1"/>
  <c r="AJ416" i="1"/>
  <c r="AF416" i="1"/>
  <c r="AE416" i="1"/>
  <c r="AD416" i="1"/>
  <c r="W416" i="1"/>
  <c r="V416" i="1"/>
  <c r="T416" i="1"/>
  <c r="R416" i="1"/>
  <c r="L416" i="1"/>
  <c r="BD415" i="1"/>
  <c r="BE415" i="1" s="1"/>
  <c r="BG415" i="1" s="1"/>
  <c r="AY415" i="1"/>
  <c r="AQ415" i="1"/>
  <c r="AP415" i="1"/>
  <c r="AM415" i="1"/>
  <c r="AL415" i="1"/>
  <c r="AK415" i="1"/>
  <c r="AJ415" i="1"/>
  <c r="AI415" i="1"/>
  <c r="AG415" i="1"/>
  <c r="AF415" i="1"/>
  <c r="AE415" i="1"/>
  <c r="AD415" i="1"/>
  <c r="AA415" i="1"/>
  <c r="W415" i="1"/>
  <c r="V415" i="1"/>
  <c r="U415" i="1"/>
  <c r="T415" i="1"/>
  <c r="R415" i="1"/>
  <c r="L415" i="1"/>
  <c r="BE414" i="1"/>
  <c r="BD414" i="1"/>
  <c r="AY414" i="1"/>
  <c r="AQ414" i="1"/>
  <c r="AP414" i="1"/>
  <c r="AM414" i="1"/>
  <c r="AL414" i="1"/>
  <c r="AK414" i="1"/>
  <c r="AJ414" i="1"/>
  <c r="AF414" i="1"/>
  <c r="AG414" i="1" s="1"/>
  <c r="AI414" i="1" s="1"/>
  <c r="AE414" i="1"/>
  <c r="AD414" i="1"/>
  <c r="W414" i="1"/>
  <c r="V414" i="1"/>
  <c r="U414" i="1"/>
  <c r="T414" i="1"/>
  <c r="R414" i="1"/>
  <c r="L414" i="1"/>
  <c r="BE413" i="1"/>
  <c r="BD413" i="1"/>
  <c r="AY413" i="1"/>
  <c r="AQ413" i="1"/>
  <c r="AP413" i="1"/>
  <c r="AM413" i="1"/>
  <c r="AL413" i="1"/>
  <c r="AK413" i="1"/>
  <c r="AJ413" i="1"/>
  <c r="AF413" i="1"/>
  <c r="AE413" i="1"/>
  <c r="AD413" i="1"/>
  <c r="W413" i="1"/>
  <c r="U413" i="1"/>
  <c r="T413" i="1"/>
  <c r="R413" i="1"/>
  <c r="L413" i="1"/>
  <c r="BD412" i="1"/>
  <c r="BE412" i="1" s="1"/>
  <c r="AY412" i="1"/>
  <c r="AQ412" i="1"/>
  <c r="AP412" i="1"/>
  <c r="AM412" i="1"/>
  <c r="AL412" i="1"/>
  <c r="AK412" i="1"/>
  <c r="AJ412" i="1"/>
  <c r="AF412" i="1"/>
  <c r="AE412" i="1"/>
  <c r="V412" i="1" s="1"/>
  <c r="AD412" i="1"/>
  <c r="U412" i="1" s="1"/>
  <c r="W412" i="1"/>
  <c r="T412" i="1"/>
  <c r="R412" i="1"/>
  <c r="L412" i="1"/>
  <c r="BH411" i="1"/>
  <c r="BE411" i="1"/>
  <c r="BG411" i="1" s="1"/>
  <c r="BD411" i="1"/>
  <c r="AY411" i="1"/>
  <c r="AQ411" i="1"/>
  <c r="AP411" i="1"/>
  <c r="AM411" i="1"/>
  <c r="AL411" i="1"/>
  <c r="AK411" i="1"/>
  <c r="AJ411" i="1"/>
  <c r="AG411" i="1"/>
  <c r="AI411" i="1" s="1"/>
  <c r="AF411" i="1"/>
  <c r="AE411" i="1"/>
  <c r="V411" i="1" s="1"/>
  <c r="AD411" i="1"/>
  <c r="U411" i="1" s="1"/>
  <c r="AA411" i="1"/>
  <c r="W411" i="1"/>
  <c r="T411" i="1"/>
  <c r="R411" i="1"/>
  <c r="L411" i="1"/>
  <c r="BG410" i="1"/>
  <c r="BD410" i="1"/>
  <c r="BE410" i="1" s="1"/>
  <c r="BH410" i="1" s="1"/>
  <c r="AY410" i="1"/>
  <c r="AQ410" i="1"/>
  <c r="AP410" i="1"/>
  <c r="AM410" i="1"/>
  <c r="AL410" i="1"/>
  <c r="AK410" i="1"/>
  <c r="AJ410" i="1"/>
  <c r="AF410" i="1"/>
  <c r="AE410" i="1"/>
  <c r="V410" i="1" s="1"/>
  <c r="AD410" i="1"/>
  <c r="W410" i="1"/>
  <c r="T410" i="1"/>
  <c r="R410" i="1"/>
  <c r="L410" i="1"/>
  <c r="BG409" i="1"/>
  <c r="BE409" i="1"/>
  <c r="BH409" i="1" s="1"/>
  <c r="BD409" i="1"/>
  <c r="AY409" i="1"/>
  <c r="AQ409" i="1"/>
  <c r="AP409" i="1"/>
  <c r="AM409" i="1"/>
  <c r="AL409" i="1"/>
  <c r="AK409" i="1"/>
  <c r="AJ409" i="1"/>
  <c r="AF409" i="1"/>
  <c r="AE409" i="1"/>
  <c r="V409" i="1" s="1"/>
  <c r="AD409" i="1"/>
  <c r="W409" i="1"/>
  <c r="T409" i="1"/>
  <c r="R409" i="1"/>
  <c r="L409" i="1"/>
  <c r="BD408" i="1"/>
  <c r="BE408" i="1" s="1"/>
  <c r="AY408" i="1"/>
  <c r="AQ408" i="1"/>
  <c r="AP408" i="1"/>
  <c r="AM408" i="1"/>
  <c r="AL408" i="1"/>
  <c r="AK408" i="1"/>
  <c r="AJ408" i="1"/>
  <c r="AF408" i="1"/>
  <c r="AE408" i="1"/>
  <c r="AD408" i="1"/>
  <c r="AG408" i="1" s="1"/>
  <c r="AI408" i="1" s="1"/>
  <c r="W408" i="1"/>
  <c r="V408" i="1"/>
  <c r="T408" i="1"/>
  <c r="R408" i="1"/>
  <c r="L408" i="1"/>
  <c r="BE407" i="1"/>
  <c r="BH407" i="1" s="1"/>
  <c r="BD407" i="1"/>
  <c r="AY407" i="1"/>
  <c r="AQ407" i="1"/>
  <c r="AP407" i="1"/>
  <c r="AM407" i="1"/>
  <c r="AL407" i="1"/>
  <c r="AK407" i="1"/>
  <c r="AJ407" i="1"/>
  <c r="AI407" i="1"/>
  <c r="AG407" i="1"/>
  <c r="AF407" i="1"/>
  <c r="AE407" i="1"/>
  <c r="AD407" i="1"/>
  <c r="W407" i="1"/>
  <c r="V407" i="1"/>
  <c r="AA407" i="1" s="1"/>
  <c r="U407" i="1"/>
  <c r="T407" i="1"/>
  <c r="R407" i="1"/>
  <c r="L407" i="1"/>
  <c r="BG406" i="1"/>
  <c r="BE406" i="1"/>
  <c r="BH406" i="1" s="1"/>
  <c r="BD406" i="1"/>
  <c r="AY406" i="1"/>
  <c r="AQ406" i="1"/>
  <c r="AP406" i="1"/>
  <c r="AM406" i="1"/>
  <c r="AL406" i="1"/>
  <c r="AK406" i="1"/>
  <c r="AJ406" i="1"/>
  <c r="AG406" i="1"/>
  <c r="AI406" i="1" s="1"/>
  <c r="AF406" i="1"/>
  <c r="AE406" i="1"/>
  <c r="AD406" i="1"/>
  <c r="W406" i="1"/>
  <c r="V406" i="1"/>
  <c r="U406" i="1"/>
  <c r="T406" i="1"/>
  <c r="R406" i="1"/>
  <c r="L406" i="1"/>
  <c r="BD405" i="1"/>
  <c r="BE405" i="1" s="1"/>
  <c r="AY405" i="1"/>
  <c r="AQ405" i="1"/>
  <c r="AP405" i="1"/>
  <c r="AM405" i="1"/>
  <c r="AL405" i="1"/>
  <c r="AK405" i="1"/>
  <c r="AJ405" i="1"/>
  <c r="AF405" i="1"/>
  <c r="AE405" i="1"/>
  <c r="V405" i="1" s="1"/>
  <c r="AD405" i="1"/>
  <c r="W405" i="1"/>
  <c r="U405" i="1"/>
  <c r="T405" i="1"/>
  <c r="R405" i="1"/>
  <c r="L405" i="1"/>
  <c r="BD404" i="1"/>
  <c r="BE404" i="1" s="1"/>
  <c r="AY404" i="1"/>
  <c r="AQ404" i="1"/>
  <c r="AP404" i="1"/>
  <c r="AM404" i="1"/>
  <c r="AL404" i="1"/>
  <c r="AK404" i="1"/>
  <c r="AJ404" i="1"/>
  <c r="AF404" i="1"/>
  <c r="AE404" i="1"/>
  <c r="V404" i="1" s="1"/>
  <c r="AD404" i="1"/>
  <c r="W404" i="1"/>
  <c r="U404" i="1"/>
  <c r="T404" i="1"/>
  <c r="AA404" i="1" s="1"/>
  <c r="R404" i="1"/>
  <c r="L404" i="1"/>
  <c r="BH403" i="1"/>
  <c r="BE403" i="1"/>
  <c r="BG403" i="1" s="1"/>
  <c r="BD403" i="1"/>
  <c r="AY403" i="1"/>
  <c r="AQ403" i="1"/>
  <c r="AP403" i="1"/>
  <c r="AM403" i="1"/>
  <c r="AL403" i="1"/>
  <c r="AK403" i="1"/>
  <c r="AJ403" i="1"/>
  <c r="AF403" i="1"/>
  <c r="AE403" i="1"/>
  <c r="V403" i="1" s="1"/>
  <c r="AD403" i="1"/>
  <c r="W403" i="1"/>
  <c r="T403" i="1"/>
  <c r="R403" i="1"/>
  <c r="L403" i="1"/>
  <c r="BD402" i="1"/>
  <c r="BE402" i="1" s="1"/>
  <c r="AY402" i="1"/>
  <c r="AQ402" i="1"/>
  <c r="AP402" i="1"/>
  <c r="AM402" i="1"/>
  <c r="AL402" i="1"/>
  <c r="AK402" i="1"/>
  <c r="AJ402" i="1"/>
  <c r="AF402" i="1"/>
  <c r="AE402" i="1"/>
  <c r="V402" i="1" s="1"/>
  <c r="AD402" i="1"/>
  <c r="W402" i="1"/>
  <c r="T402" i="1"/>
  <c r="R402" i="1"/>
  <c r="L402" i="1"/>
  <c r="BH401" i="1"/>
  <c r="BG401" i="1"/>
  <c r="BE401" i="1"/>
  <c r="BD401" i="1"/>
  <c r="AY401" i="1"/>
  <c r="AQ401" i="1"/>
  <c r="AP401" i="1"/>
  <c r="AM401" i="1"/>
  <c r="AL401" i="1"/>
  <c r="AK401" i="1"/>
  <c r="AJ401" i="1"/>
  <c r="AF401" i="1"/>
  <c r="AE401" i="1"/>
  <c r="AD401" i="1"/>
  <c r="W401" i="1"/>
  <c r="V401" i="1"/>
  <c r="T401" i="1"/>
  <c r="R401" i="1"/>
  <c r="L401" i="1"/>
  <c r="BD400" i="1"/>
  <c r="BE400" i="1" s="1"/>
  <c r="AY400" i="1"/>
  <c r="AQ400" i="1"/>
  <c r="AP400" i="1"/>
  <c r="AM400" i="1"/>
  <c r="AL400" i="1"/>
  <c r="AK400" i="1"/>
  <c r="AJ400" i="1"/>
  <c r="AF400" i="1"/>
  <c r="AE400" i="1"/>
  <c r="V400" i="1" s="1"/>
  <c r="AA400" i="1" s="1"/>
  <c r="AD400" i="1"/>
  <c r="W400" i="1"/>
  <c r="U400" i="1"/>
  <c r="T400" i="1"/>
  <c r="R400" i="1"/>
  <c r="L400" i="1"/>
  <c r="BG399" i="1"/>
  <c r="BE399" i="1"/>
  <c r="BH399" i="1" s="1"/>
  <c r="BD399" i="1"/>
  <c r="AY399" i="1"/>
  <c r="AQ399" i="1"/>
  <c r="AP399" i="1"/>
  <c r="AM399" i="1"/>
  <c r="AL399" i="1"/>
  <c r="AK399" i="1"/>
  <c r="AJ399" i="1"/>
  <c r="AF399" i="1"/>
  <c r="AE399" i="1"/>
  <c r="AD399" i="1"/>
  <c r="U399" i="1" s="1"/>
  <c r="W399" i="1"/>
  <c r="T399" i="1"/>
  <c r="R399" i="1"/>
  <c r="L399" i="1"/>
  <c r="BE398" i="1"/>
  <c r="BH398" i="1" s="1"/>
  <c r="BD398" i="1"/>
  <c r="AY398" i="1"/>
  <c r="AQ398" i="1"/>
  <c r="AP398" i="1"/>
  <c r="AM398" i="1"/>
  <c r="AL398" i="1"/>
  <c r="AK398" i="1"/>
  <c r="AJ398" i="1"/>
  <c r="AF398" i="1"/>
  <c r="AE398" i="1"/>
  <c r="AD398" i="1"/>
  <c r="W398" i="1"/>
  <c r="V398" i="1"/>
  <c r="T398" i="1"/>
  <c r="R398" i="1"/>
  <c r="L398" i="1"/>
  <c r="BH397" i="1"/>
  <c r="BD397" i="1"/>
  <c r="BE397" i="1" s="1"/>
  <c r="BG397" i="1" s="1"/>
  <c r="AY397" i="1"/>
  <c r="AQ397" i="1"/>
  <c r="AP397" i="1"/>
  <c r="AM397" i="1"/>
  <c r="AL397" i="1"/>
  <c r="AK397" i="1"/>
  <c r="AJ397" i="1"/>
  <c r="AI397" i="1"/>
  <c r="AG397" i="1"/>
  <c r="AF397" i="1"/>
  <c r="AE397" i="1"/>
  <c r="V397" i="1" s="1"/>
  <c r="AA397" i="1" s="1"/>
  <c r="AD397" i="1"/>
  <c r="W397" i="1"/>
  <c r="U397" i="1"/>
  <c r="T397" i="1"/>
  <c r="R397" i="1"/>
  <c r="L397" i="1"/>
  <c r="BE396" i="1"/>
  <c r="BD396" i="1"/>
  <c r="AY396" i="1"/>
  <c r="AQ396" i="1"/>
  <c r="AP396" i="1"/>
  <c r="AM396" i="1"/>
  <c r="AL396" i="1"/>
  <c r="AK396" i="1"/>
  <c r="AJ396" i="1"/>
  <c r="AF396" i="1"/>
  <c r="AE396" i="1"/>
  <c r="V396" i="1" s="1"/>
  <c r="AD396" i="1"/>
  <c r="W396" i="1"/>
  <c r="U396" i="1"/>
  <c r="T396" i="1"/>
  <c r="R396" i="1"/>
  <c r="L396" i="1"/>
  <c r="BD395" i="1"/>
  <c r="BE395" i="1" s="1"/>
  <c r="AY395" i="1"/>
  <c r="AQ395" i="1"/>
  <c r="AP395" i="1"/>
  <c r="AM395" i="1"/>
  <c r="AL395" i="1"/>
  <c r="AK395" i="1"/>
  <c r="AJ395" i="1"/>
  <c r="AF395" i="1"/>
  <c r="AE395" i="1"/>
  <c r="V395" i="1" s="1"/>
  <c r="AA395" i="1" s="1"/>
  <c r="AD395" i="1"/>
  <c r="W395" i="1"/>
  <c r="U395" i="1"/>
  <c r="T395" i="1"/>
  <c r="R395" i="1"/>
  <c r="L395" i="1"/>
  <c r="BG394" i="1"/>
  <c r="BD394" i="1"/>
  <c r="BE394" i="1" s="1"/>
  <c r="BH394" i="1" s="1"/>
  <c r="AY394" i="1"/>
  <c r="AQ394" i="1"/>
  <c r="AP394" i="1"/>
  <c r="AM394" i="1"/>
  <c r="AL394" i="1"/>
  <c r="AK394" i="1"/>
  <c r="AJ394" i="1"/>
  <c r="AF394" i="1"/>
  <c r="AE394" i="1"/>
  <c r="V394" i="1" s="1"/>
  <c r="AD394" i="1"/>
  <c r="W394" i="1"/>
  <c r="T394" i="1"/>
  <c r="R394" i="1"/>
  <c r="L394" i="1"/>
  <c r="BH393" i="1"/>
  <c r="BG393" i="1"/>
  <c r="BE393" i="1"/>
  <c r="BD393" i="1"/>
  <c r="AY393" i="1"/>
  <c r="AQ393" i="1"/>
  <c r="AP393" i="1"/>
  <c r="AM393" i="1"/>
  <c r="AL393" i="1"/>
  <c r="AK393" i="1"/>
  <c r="AJ393" i="1"/>
  <c r="AF393" i="1"/>
  <c r="AE393" i="1"/>
  <c r="AG393" i="1" s="1"/>
  <c r="AI393" i="1" s="1"/>
  <c r="AD393" i="1"/>
  <c r="U393" i="1" s="1"/>
  <c r="W393" i="1"/>
  <c r="V393" i="1"/>
  <c r="AA393" i="1" s="1"/>
  <c r="T393" i="1"/>
  <c r="R393" i="1"/>
  <c r="L393" i="1"/>
  <c r="BH392" i="1"/>
  <c r="BE392" i="1"/>
  <c r="BG392" i="1" s="1"/>
  <c r="BD392" i="1"/>
  <c r="AY392" i="1"/>
  <c r="AQ392" i="1"/>
  <c r="AP392" i="1"/>
  <c r="AM392" i="1"/>
  <c r="AL392" i="1"/>
  <c r="AK392" i="1"/>
  <c r="AJ392" i="1"/>
  <c r="AF392" i="1"/>
  <c r="AE392" i="1"/>
  <c r="V392" i="1" s="1"/>
  <c r="AA392" i="1" s="1"/>
  <c r="AD392" i="1"/>
  <c r="W392" i="1"/>
  <c r="U392" i="1"/>
  <c r="T392" i="1"/>
  <c r="R392" i="1"/>
  <c r="L392" i="1"/>
  <c r="BG391" i="1"/>
  <c r="BE391" i="1"/>
  <c r="BH391" i="1" s="1"/>
  <c r="BD391" i="1"/>
  <c r="AY391" i="1"/>
  <c r="AQ391" i="1"/>
  <c r="AP391" i="1"/>
  <c r="AM391" i="1"/>
  <c r="AL391" i="1"/>
  <c r="AK391" i="1"/>
  <c r="AJ391" i="1"/>
  <c r="AF391" i="1"/>
  <c r="AE391" i="1"/>
  <c r="AD391" i="1"/>
  <c r="U391" i="1" s="1"/>
  <c r="W391" i="1"/>
  <c r="T391" i="1"/>
  <c r="R391" i="1"/>
  <c r="L391" i="1"/>
  <c r="BE390" i="1"/>
  <c r="BH390" i="1" s="1"/>
  <c r="BD390" i="1"/>
  <c r="AY390" i="1"/>
  <c r="AQ390" i="1"/>
  <c r="AP390" i="1"/>
  <c r="AM390" i="1"/>
  <c r="AL390" i="1"/>
  <c r="AK390" i="1"/>
  <c r="AJ390" i="1"/>
  <c r="AF390" i="1"/>
  <c r="AE390" i="1"/>
  <c r="AD390" i="1"/>
  <c r="W390" i="1"/>
  <c r="V390" i="1"/>
  <c r="T390" i="1"/>
  <c r="R390" i="1"/>
  <c r="L390" i="1"/>
  <c r="BH389" i="1"/>
  <c r="BD389" i="1"/>
  <c r="BE389" i="1" s="1"/>
  <c r="BG389" i="1" s="1"/>
  <c r="AY389" i="1"/>
  <c r="AQ389" i="1"/>
  <c r="AP389" i="1"/>
  <c r="AM389" i="1"/>
  <c r="AL389" i="1"/>
  <c r="AK389" i="1"/>
  <c r="AJ389" i="1"/>
  <c r="AI389" i="1"/>
  <c r="AG389" i="1"/>
  <c r="AF389" i="1"/>
  <c r="AE389" i="1"/>
  <c r="V389" i="1" s="1"/>
  <c r="AD389" i="1"/>
  <c r="AA389" i="1"/>
  <c r="W389" i="1"/>
  <c r="U389" i="1"/>
  <c r="T389" i="1"/>
  <c r="R389" i="1"/>
  <c r="L389" i="1"/>
  <c r="BE388" i="1"/>
  <c r="BD388" i="1"/>
  <c r="AY388" i="1"/>
  <c r="AQ388" i="1"/>
  <c r="AP388" i="1"/>
  <c r="AM388" i="1"/>
  <c r="AL388" i="1"/>
  <c r="AK388" i="1"/>
  <c r="AJ388" i="1"/>
  <c r="AF388" i="1"/>
  <c r="AE388" i="1"/>
  <c r="V388" i="1" s="1"/>
  <c r="AD388" i="1"/>
  <c r="W388" i="1"/>
  <c r="U388" i="1"/>
  <c r="T388" i="1"/>
  <c r="R388" i="1"/>
  <c r="L388" i="1"/>
  <c r="BD387" i="1"/>
  <c r="BE387" i="1" s="1"/>
  <c r="AY387" i="1"/>
  <c r="AQ387" i="1"/>
  <c r="AP387" i="1"/>
  <c r="AM387" i="1"/>
  <c r="AL387" i="1"/>
  <c r="AK387" i="1"/>
  <c r="AJ387" i="1"/>
  <c r="AF387" i="1"/>
  <c r="AE387" i="1"/>
  <c r="V387" i="1" s="1"/>
  <c r="AA387" i="1" s="1"/>
  <c r="AD387" i="1"/>
  <c r="AG387" i="1" s="1"/>
  <c r="AI387" i="1" s="1"/>
  <c r="W387" i="1"/>
  <c r="U387" i="1"/>
  <c r="T387" i="1"/>
  <c r="R387" i="1"/>
  <c r="L387" i="1"/>
  <c r="BG386" i="1"/>
  <c r="BD386" i="1"/>
  <c r="BE386" i="1" s="1"/>
  <c r="BH386" i="1" s="1"/>
  <c r="AY386" i="1"/>
  <c r="AQ386" i="1"/>
  <c r="AP386" i="1"/>
  <c r="AM386" i="1"/>
  <c r="AL386" i="1"/>
  <c r="AK386" i="1"/>
  <c r="AJ386" i="1"/>
  <c r="AF386" i="1"/>
  <c r="AE386" i="1"/>
  <c r="V386" i="1" s="1"/>
  <c r="AD386" i="1"/>
  <c r="W386" i="1"/>
  <c r="T386" i="1"/>
  <c r="R386" i="1"/>
  <c r="L386" i="1"/>
  <c r="BH385" i="1"/>
  <c r="BG385" i="1"/>
  <c r="BE385" i="1"/>
  <c r="BD385" i="1"/>
  <c r="AY385" i="1"/>
  <c r="AQ385" i="1"/>
  <c r="AP385" i="1"/>
  <c r="AM385" i="1"/>
  <c r="AL385" i="1"/>
  <c r="AK385" i="1"/>
  <c r="AJ385" i="1"/>
  <c r="AF385" i="1"/>
  <c r="AE385" i="1"/>
  <c r="AG385" i="1" s="1"/>
  <c r="AI385" i="1" s="1"/>
  <c r="AD385" i="1"/>
  <c r="U385" i="1" s="1"/>
  <c r="W385" i="1"/>
  <c r="V385" i="1"/>
  <c r="AA385" i="1" s="1"/>
  <c r="T385" i="1"/>
  <c r="R385" i="1"/>
  <c r="L385" i="1"/>
  <c r="BH384" i="1"/>
  <c r="BE384" i="1"/>
  <c r="BG384" i="1" s="1"/>
  <c r="BD384" i="1"/>
  <c r="AY384" i="1"/>
  <c r="AQ384" i="1"/>
  <c r="AP384" i="1"/>
  <c r="AM384" i="1"/>
  <c r="AL384" i="1"/>
  <c r="AK384" i="1"/>
  <c r="AJ384" i="1"/>
  <c r="AF384" i="1"/>
  <c r="AE384" i="1"/>
  <c r="V384" i="1" s="1"/>
  <c r="AA384" i="1" s="1"/>
  <c r="AD384" i="1"/>
  <c r="W384" i="1"/>
  <c r="U384" i="1"/>
  <c r="T384" i="1"/>
  <c r="R384" i="1"/>
  <c r="L384" i="1"/>
  <c r="BG383" i="1"/>
  <c r="BE383" i="1"/>
  <c r="BH383" i="1" s="1"/>
  <c r="BD383" i="1"/>
  <c r="AY383" i="1"/>
  <c r="AQ383" i="1"/>
  <c r="AP383" i="1"/>
  <c r="AM383" i="1"/>
  <c r="AL383" i="1"/>
  <c r="AK383" i="1"/>
  <c r="AJ383" i="1"/>
  <c r="AF383" i="1"/>
  <c r="AE383" i="1"/>
  <c r="AD383" i="1"/>
  <c r="U383" i="1" s="1"/>
  <c r="W383" i="1"/>
  <c r="T383" i="1"/>
  <c r="R383" i="1"/>
  <c r="L383" i="1"/>
  <c r="BE382" i="1"/>
  <c r="BH382" i="1" s="1"/>
  <c r="BD382" i="1"/>
  <c r="AY382" i="1"/>
  <c r="AQ382" i="1"/>
  <c r="AP382" i="1"/>
  <c r="AM382" i="1"/>
  <c r="AL382" i="1"/>
  <c r="AK382" i="1"/>
  <c r="AJ382" i="1"/>
  <c r="AF382" i="1"/>
  <c r="AE382" i="1"/>
  <c r="AD382" i="1"/>
  <c r="W382" i="1"/>
  <c r="V382" i="1"/>
  <c r="T382" i="1"/>
  <c r="R382" i="1"/>
  <c r="L382" i="1"/>
  <c r="BH381" i="1"/>
  <c r="BD381" i="1"/>
  <c r="BE381" i="1" s="1"/>
  <c r="BG381" i="1" s="1"/>
  <c r="AY381" i="1"/>
  <c r="AQ381" i="1"/>
  <c r="AP381" i="1"/>
  <c r="AM381" i="1"/>
  <c r="AL381" i="1"/>
  <c r="AK381" i="1"/>
  <c r="AJ381" i="1"/>
  <c r="AI381" i="1"/>
  <c r="AG381" i="1"/>
  <c r="AF381" i="1"/>
  <c r="AE381" i="1"/>
  <c r="V381" i="1" s="1"/>
  <c r="AA381" i="1" s="1"/>
  <c r="AD381" i="1"/>
  <c r="W381" i="1"/>
  <c r="U381" i="1"/>
  <c r="T381" i="1"/>
  <c r="R381" i="1"/>
  <c r="L381" i="1"/>
  <c r="BE380" i="1"/>
  <c r="BD380" i="1"/>
  <c r="AY380" i="1"/>
  <c r="AQ380" i="1"/>
  <c r="AP380" i="1"/>
  <c r="AM380" i="1"/>
  <c r="AL380" i="1"/>
  <c r="AK380" i="1"/>
  <c r="AJ380" i="1"/>
  <c r="AF380" i="1"/>
  <c r="AE380" i="1"/>
  <c r="V380" i="1" s="1"/>
  <c r="AD380" i="1"/>
  <c r="W380" i="1"/>
  <c r="U380" i="1"/>
  <c r="T380" i="1"/>
  <c r="R380" i="1"/>
  <c r="L380" i="1"/>
  <c r="BD379" i="1"/>
  <c r="BE379" i="1" s="1"/>
  <c r="AY379" i="1"/>
  <c r="AQ379" i="1"/>
  <c r="AP379" i="1"/>
  <c r="AM379" i="1"/>
  <c r="AL379" i="1"/>
  <c r="AK379" i="1"/>
  <c r="AJ379" i="1"/>
  <c r="AF379" i="1"/>
  <c r="AE379" i="1"/>
  <c r="V379" i="1" s="1"/>
  <c r="AA379" i="1" s="1"/>
  <c r="AD379" i="1"/>
  <c r="W379" i="1"/>
  <c r="U379" i="1"/>
  <c r="T379" i="1"/>
  <c r="R379" i="1"/>
  <c r="L379" i="1"/>
  <c r="BG378" i="1"/>
  <c r="BD378" i="1"/>
  <c r="BE378" i="1" s="1"/>
  <c r="BH378" i="1" s="1"/>
  <c r="AY378" i="1"/>
  <c r="AQ378" i="1"/>
  <c r="AP378" i="1"/>
  <c r="AM378" i="1"/>
  <c r="AL378" i="1"/>
  <c r="AK378" i="1"/>
  <c r="AJ378" i="1"/>
  <c r="AF378" i="1"/>
  <c r="AE378" i="1"/>
  <c r="V378" i="1" s="1"/>
  <c r="AD378" i="1"/>
  <c r="W378" i="1"/>
  <c r="T378" i="1"/>
  <c r="R378" i="1"/>
  <c r="L378" i="1"/>
  <c r="BH377" i="1"/>
  <c r="BG377" i="1"/>
  <c r="BE377" i="1"/>
  <c r="BD377" i="1"/>
  <c r="AY377" i="1"/>
  <c r="AQ377" i="1"/>
  <c r="AP377" i="1"/>
  <c r="AM377" i="1"/>
  <c r="AL377" i="1"/>
  <c r="AK377" i="1"/>
  <c r="AJ377" i="1"/>
  <c r="AF377" i="1"/>
  <c r="AE377" i="1"/>
  <c r="AG377" i="1" s="1"/>
  <c r="AI377" i="1" s="1"/>
  <c r="AD377" i="1"/>
  <c r="U377" i="1" s="1"/>
  <c r="W377" i="1"/>
  <c r="V377" i="1"/>
  <c r="AA377" i="1" s="1"/>
  <c r="T377" i="1"/>
  <c r="R377" i="1"/>
  <c r="L377" i="1"/>
  <c r="BH376" i="1"/>
  <c r="BE376" i="1"/>
  <c r="BG376" i="1" s="1"/>
  <c r="BD376" i="1"/>
  <c r="AY376" i="1"/>
  <c r="AQ376" i="1"/>
  <c r="AP376" i="1"/>
  <c r="AM376" i="1"/>
  <c r="AL376" i="1"/>
  <c r="AK376" i="1"/>
  <c r="AJ376" i="1"/>
  <c r="AF376" i="1"/>
  <c r="AE376" i="1"/>
  <c r="V376" i="1" s="1"/>
  <c r="AA376" i="1" s="1"/>
  <c r="AD376" i="1"/>
  <c r="W376" i="1"/>
  <c r="U376" i="1"/>
  <c r="T376" i="1"/>
  <c r="R376" i="1"/>
  <c r="L376" i="1"/>
  <c r="BG375" i="1"/>
  <c r="BE375" i="1"/>
  <c r="BH375" i="1" s="1"/>
  <c r="BD375" i="1"/>
  <c r="AY375" i="1"/>
  <c r="AQ375" i="1"/>
  <c r="AP375" i="1"/>
  <c r="AM375" i="1"/>
  <c r="AL375" i="1"/>
  <c r="AK375" i="1"/>
  <c r="AJ375" i="1"/>
  <c r="AF375" i="1"/>
  <c r="AE375" i="1"/>
  <c r="AD375" i="1"/>
  <c r="U375" i="1" s="1"/>
  <c r="W375" i="1"/>
  <c r="T375" i="1"/>
  <c r="R375" i="1"/>
  <c r="L375" i="1"/>
  <c r="BE374" i="1"/>
  <c r="BH374" i="1" s="1"/>
  <c r="BD374" i="1"/>
  <c r="AY374" i="1"/>
  <c r="AQ374" i="1"/>
  <c r="AP374" i="1"/>
  <c r="AM374" i="1"/>
  <c r="AL374" i="1"/>
  <c r="AK374" i="1"/>
  <c r="AJ374" i="1"/>
  <c r="AF374" i="1"/>
  <c r="AE374" i="1"/>
  <c r="AD374" i="1"/>
  <c r="W374" i="1"/>
  <c r="V374" i="1"/>
  <c r="T374" i="1"/>
  <c r="R374" i="1"/>
  <c r="L374" i="1"/>
  <c r="BH373" i="1"/>
  <c r="BD373" i="1"/>
  <c r="BE373" i="1" s="1"/>
  <c r="BG373" i="1" s="1"/>
  <c r="AY373" i="1"/>
  <c r="AQ373" i="1"/>
  <c r="AP373" i="1"/>
  <c r="AM373" i="1"/>
  <c r="AL373" i="1"/>
  <c r="AK373" i="1"/>
  <c r="AJ373" i="1"/>
  <c r="AI373" i="1"/>
  <c r="AG373" i="1"/>
  <c r="AF373" i="1"/>
  <c r="AE373" i="1"/>
  <c r="V373" i="1" s="1"/>
  <c r="AD373" i="1"/>
  <c r="AA373" i="1"/>
  <c r="W373" i="1"/>
  <c r="U373" i="1"/>
  <c r="T373" i="1"/>
  <c r="R373" i="1"/>
  <c r="L373" i="1"/>
  <c r="BE372" i="1"/>
  <c r="BD372" i="1"/>
  <c r="AY372" i="1"/>
  <c r="AQ372" i="1"/>
  <c r="AP372" i="1"/>
  <c r="AM372" i="1"/>
  <c r="AL372" i="1"/>
  <c r="AK372" i="1"/>
  <c r="AJ372" i="1"/>
  <c r="AF372" i="1"/>
  <c r="AE372" i="1"/>
  <c r="V372" i="1" s="1"/>
  <c r="AD372" i="1"/>
  <c r="W372" i="1"/>
  <c r="U372" i="1"/>
  <c r="T372" i="1"/>
  <c r="R372" i="1"/>
  <c r="L372" i="1"/>
  <c r="BD371" i="1"/>
  <c r="BE371" i="1" s="1"/>
  <c r="AY371" i="1"/>
  <c r="AQ371" i="1"/>
  <c r="AP371" i="1"/>
  <c r="AM371" i="1"/>
  <c r="AL371" i="1"/>
  <c r="AK371" i="1"/>
  <c r="AJ371" i="1"/>
  <c r="AF371" i="1"/>
  <c r="AE371" i="1"/>
  <c r="V371" i="1" s="1"/>
  <c r="AA371" i="1" s="1"/>
  <c r="AD371" i="1"/>
  <c r="AG371" i="1" s="1"/>
  <c r="AI371" i="1" s="1"/>
  <c r="W371" i="1"/>
  <c r="U371" i="1"/>
  <c r="T371" i="1"/>
  <c r="R371" i="1"/>
  <c r="L371" i="1"/>
  <c r="BG370" i="1"/>
  <c r="BD370" i="1"/>
  <c r="BE370" i="1" s="1"/>
  <c r="BH370" i="1" s="1"/>
  <c r="AY370" i="1"/>
  <c r="AQ370" i="1"/>
  <c r="AP370" i="1"/>
  <c r="AM370" i="1"/>
  <c r="AL370" i="1"/>
  <c r="AK370" i="1"/>
  <c r="AJ370" i="1"/>
  <c r="AF370" i="1"/>
  <c r="AE370" i="1"/>
  <c r="AD370" i="1"/>
  <c r="W370" i="1"/>
  <c r="V370" i="1"/>
  <c r="T370" i="1"/>
  <c r="R370" i="1"/>
  <c r="L370" i="1"/>
  <c r="BH369" i="1"/>
  <c r="BD369" i="1"/>
  <c r="BE369" i="1" s="1"/>
  <c r="BG369" i="1" s="1"/>
  <c r="AY369" i="1"/>
  <c r="AQ369" i="1"/>
  <c r="AP369" i="1"/>
  <c r="AM369" i="1"/>
  <c r="AL369" i="1"/>
  <c r="AK369" i="1"/>
  <c r="AJ369" i="1"/>
  <c r="AI369" i="1"/>
  <c r="AG369" i="1"/>
  <c r="AF369" i="1"/>
  <c r="AE369" i="1"/>
  <c r="V369" i="1" s="1"/>
  <c r="AA369" i="1" s="1"/>
  <c r="AD369" i="1"/>
  <c r="W369" i="1"/>
  <c r="U369" i="1"/>
  <c r="T369" i="1"/>
  <c r="R369" i="1"/>
  <c r="L369" i="1"/>
  <c r="BG368" i="1"/>
  <c r="BD368" i="1"/>
  <c r="BE368" i="1" s="1"/>
  <c r="BH368" i="1" s="1"/>
  <c r="AY368" i="1"/>
  <c r="AQ368" i="1"/>
  <c r="AP368" i="1"/>
  <c r="AM368" i="1"/>
  <c r="AL368" i="1"/>
  <c r="AK368" i="1"/>
  <c r="AJ368" i="1"/>
  <c r="AG368" i="1"/>
  <c r="AI368" i="1" s="1"/>
  <c r="AF368" i="1"/>
  <c r="AE368" i="1"/>
  <c r="AD368" i="1"/>
  <c r="U368" i="1" s="1"/>
  <c r="W368" i="1"/>
  <c r="V368" i="1"/>
  <c r="T368" i="1"/>
  <c r="R368" i="1"/>
  <c r="L368" i="1"/>
  <c r="BE367" i="1"/>
  <c r="BD367" i="1"/>
  <c r="AY367" i="1"/>
  <c r="AQ367" i="1"/>
  <c r="AP367" i="1"/>
  <c r="AM367" i="1"/>
  <c r="AL367" i="1"/>
  <c r="AK367" i="1"/>
  <c r="AJ367" i="1"/>
  <c r="AF367" i="1"/>
  <c r="AE367" i="1"/>
  <c r="AG367" i="1" s="1"/>
  <c r="AI367" i="1" s="1"/>
  <c r="AD367" i="1"/>
  <c r="W367" i="1"/>
  <c r="V367" i="1"/>
  <c r="AA367" i="1" s="1"/>
  <c r="U367" i="1"/>
  <c r="T367" i="1"/>
  <c r="R367" i="1"/>
  <c r="L367" i="1"/>
  <c r="BD366" i="1"/>
  <c r="BE366" i="1" s="1"/>
  <c r="AY366" i="1"/>
  <c r="AQ366" i="1"/>
  <c r="AP366" i="1"/>
  <c r="AM366" i="1"/>
  <c r="AL366" i="1"/>
  <c r="AK366" i="1"/>
  <c r="AJ366" i="1"/>
  <c r="AI366" i="1"/>
  <c r="AF366" i="1"/>
  <c r="AE366" i="1"/>
  <c r="V366" i="1" s="1"/>
  <c r="AD366" i="1"/>
  <c r="AG366" i="1" s="1"/>
  <c r="W366" i="1"/>
  <c r="U366" i="1"/>
  <c r="T366" i="1"/>
  <c r="R366" i="1"/>
  <c r="L366" i="1"/>
  <c r="BH365" i="1"/>
  <c r="BE365" i="1"/>
  <c r="BG365" i="1" s="1"/>
  <c r="BD365" i="1"/>
  <c r="AY365" i="1"/>
  <c r="AQ365" i="1"/>
  <c r="AP365" i="1"/>
  <c r="AM365" i="1"/>
  <c r="AL365" i="1"/>
  <c r="AK365" i="1"/>
  <c r="AJ365" i="1"/>
  <c r="AG365" i="1"/>
  <c r="AI365" i="1" s="1"/>
  <c r="AF365" i="1"/>
  <c r="AE365" i="1"/>
  <c r="AD365" i="1"/>
  <c r="U365" i="1" s="1"/>
  <c r="W365" i="1"/>
  <c r="V365" i="1"/>
  <c r="T365" i="1"/>
  <c r="AA365" i="1" s="1"/>
  <c r="R365" i="1"/>
  <c r="L365" i="1"/>
  <c r="BD364" i="1"/>
  <c r="BE364" i="1" s="1"/>
  <c r="AY364" i="1"/>
  <c r="AQ364" i="1"/>
  <c r="AP364" i="1"/>
  <c r="AM364" i="1"/>
  <c r="AL364" i="1"/>
  <c r="AK364" i="1"/>
  <c r="AJ364" i="1"/>
  <c r="AF364" i="1"/>
  <c r="AE364" i="1"/>
  <c r="V364" i="1" s="1"/>
  <c r="AA364" i="1" s="1"/>
  <c r="AD364" i="1"/>
  <c r="W364" i="1"/>
  <c r="U364" i="1"/>
  <c r="T364" i="1"/>
  <c r="R364" i="1"/>
  <c r="L364" i="1"/>
  <c r="BG363" i="1"/>
  <c r="BE363" i="1"/>
  <c r="BH363" i="1" s="1"/>
  <c r="BD363" i="1"/>
  <c r="AY363" i="1"/>
  <c r="AQ363" i="1"/>
  <c r="AP363" i="1"/>
  <c r="AM363" i="1"/>
  <c r="AL363" i="1"/>
  <c r="AK363" i="1"/>
  <c r="AJ363" i="1"/>
  <c r="AF363" i="1"/>
  <c r="AE363" i="1"/>
  <c r="AD363" i="1"/>
  <c r="U363" i="1" s="1"/>
  <c r="W363" i="1"/>
  <c r="T363" i="1"/>
  <c r="R363" i="1"/>
  <c r="L363" i="1"/>
  <c r="BE362" i="1"/>
  <c r="BH362" i="1" s="1"/>
  <c r="BD362" i="1"/>
  <c r="AY362" i="1"/>
  <c r="AQ362" i="1"/>
  <c r="AP362" i="1"/>
  <c r="AM362" i="1"/>
  <c r="AL362" i="1"/>
  <c r="AK362" i="1"/>
  <c r="AJ362" i="1"/>
  <c r="AF362" i="1"/>
  <c r="AE362" i="1"/>
  <c r="AD362" i="1"/>
  <c r="W362" i="1"/>
  <c r="V362" i="1"/>
  <c r="T362" i="1"/>
  <c r="R362" i="1"/>
  <c r="L362" i="1"/>
  <c r="BH361" i="1"/>
  <c r="BD361" i="1"/>
  <c r="BE361" i="1" s="1"/>
  <c r="BG361" i="1" s="1"/>
  <c r="AY361" i="1"/>
  <c r="AQ361" i="1"/>
  <c r="AP361" i="1"/>
  <c r="AM361" i="1"/>
  <c r="AL361" i="1"/>
  <c r="AK361" i="1"/>
  <c r="AJ361" i="1"/>
  <c r="AI361" i="1"/>
  <c r="AG361" i="1"/>
  <c r="AF361" i="1"/>
  <c r="AE361" i="1"/>
  <c r="V361" i="1" s="1"/>
  <c r="AA361" i="1" s="1"/>
  <c r="AD361" i="1"/>
  <c r="W361" i="1"/>
  <c r="U361" i="1"/>
  <c r="T361" i="1"/>
  <c r="R361" i="1"/>
  <c r="L361" i="1"/>
  <c r="BG360" i="1"/>
  <c r="BD360" i="1"/>
  <c r="BE360" i="1" s="1"/>
  <c r="BH360" i="1" s="1"/>
  <c r="AY360" i="1"/>
  <c r="AQ360" i="1"/>
  <c r="AP360" i="1"/>
  <c r="AM360" i="1"/>
  <c r="AL360" i="1"/>
  <c r="AK360" i="1"/>
  <c r="AJ360" i="1"/>
  <c r="AG360" i="1"/>
  <c r="AI360" i="1" s="1"/>
  <c r="AF360" i="1"/>
  <c r="AE360" i="1"/>
  <c r="AD360" i="1"/>
  <c r="U360" i="1" s="1"/>
  <c r="W360" i="1"/>
  <c r="V360" i="1"/>
  <c r="T360" i="1"/>
  <c r="AA360" i="1" s="1"/>
  <c r="R360" i="1"/>
  <c r="L360" i="1"/>
  <c r="BE359" i="1"/>
  <c r="BD359" i="1"/>
  <c r="AY359" i="1"/>
  <c r="AQ359" i="1"/>
  <c r="AP359" i="1"/>
  <c r="AM359" i="1"/>
  <c r="AL359" i="1"/>
  <c r="AK359" i="1"/>
  <c r="AJ359" i="1"/>
  <c r="AF359" i="1"/>
  <c r="AE359" i="1"/>
  <c r="AG359" i="1" s="1"/>
  <c r="AI359" i="1" s="1"/>
  <c r="AD359" i="1"/>
  <c r="W359" i="1"/>
  <c r="V359" i="1"/>
  <c r="AA359" i="1" s="1"/>
  <c r="U359" i="1"/>
  <c r="T359" i="1"/>
  <c r="R359" i="1"/>
  <c r="L359" i="1"/>
  <c r="BD358" i="1"/>
  <c r="BE358" i="1" s="1"/>
  <c r="AY358" i="1"/>
  <c r="AQ358" i="1"/>
  <c r="AP358" i="1"/>
  <c r="AM358" i="1"/>
  <c r="AL358" i="1"/>
  <c r="AK358" i="1"/>
  <c r="AJ358" i="1"/>
  <c r="AF358" i="1"/>
  <c r="AE358" i="1"/>
  <c r="V358" i="1" s="1"/>
  <c r="AD358" i="1"/>
  <c r="AG358" i="1" s="1"/>
  <c r="AI358" i="1" s="1"/>
  <c r="W358" i="1"/>
  <c r="U358" i="1"/>
  <c r="T358" i="1"/>
  <c r="R358" i="1"/>
  <c r="L358" i="1"/>
  <c r="BH357" i="1"/>
  <c r="BE357" i="1"/>
  <c r="BG357" i="1" s="1"/>
  <c r="BD357" i="1"/>
  <c r="AY357" i="1"/>
  <c r="AQ357" i="1"/>
  <c r="AP357" i="1"/>
  <c r="AM357" i="1"/>
  <c r="AL357" i="1"/>
  <c r="AK357" i="1"/>
  <c r="AJ357" i="1"/>
  <c r="AG357" i="1"/>
  <c r="AI357" i="1" s="1"/>
  <c r="AF357" i="1"/>
  <c r="AE357" i="1"/>
  <c r="AD357" i="1"/>
  <c r="U357" i="1" s="1"/>
  <c r="W357" i="1"/>
  <c r="V357" i="1"/>
  <c r="T357" i="1"/>
  <c r="R357" i="1"/>
  <c r="L357" i="1"/>
  <c r="BD356" i="1"/>
  <c r="BE356" i="1" s="1"/>
  <c r="AY356" i="1"/>
  <c r="AQ356" i="1"/>
  <c r="AP356" i="1"/>
  <c r="AM356" i="1"/>
  <c r="AL356" i="1"/>
  <c r="AK356" i="1"/>
  <c r="AJ356" i="1"/>
  <c r="AF356" i="1"/>
  <c r="AE356" i="1"/>
  <c r="V356" i="1" s="1"/>
  <c r="AA356" i="1" s="1"/>
  <c r="AD356" i="1"/>
  <c r="W356" i="1"/>
  <c r="U356" i="1"/>
  <c r="T356" i="1"/>
  <c r="R356" i="1"/>
  <c r="L356" i="1"/>
  <c r="BG355" i="1"/>
  <c r="BE355" i="1"/>
  <c r="BH355" i="1" s="1"/>
  <c r="BD355" i="1"/>
  <c r="AY355" i="1"/>
  <c r="AQ355" i="1"/>
  <c r="AP355" i="1"/>
  <c r="AM355" i="1"/>
  <c r="AL355" i="1"/>
  <c r="AK355" i="1"/>
  <c r="AJ355" i="1"/>
  <c r="AF355" i="1"/>
  <c r="AE355" i="1"/>
  <c r="AD355" i="1"/>
  <c r="U355" i="1" s="1"/>
  <c r="W355" i="1"/>
  <c r="T355" i="1"/>
  <c r="R355" i="1"/>
  <c r="L355" i="1"/>
  <c r="BE354" i="1"/>
  <c r="BH354" i="1" s="1"/>
  <c r="BD354" i="1"/>
  <c r="AY354" i="1"/>
  <c r="AQ354" i="1"/>
  <c r="AP354" i="1"/>
  <c r="AM354" i="1"/>
  <c r="AL354" i="1"/>
  <c r="AK354" i="1"/>
  <c r="AJ354" i="1"/>
  <c r="AF354" i="1"/>
  <c r="AE354" i="1"/>
  <c r="AD354" i="1"/>
  <c r="W354" i="1"/>
  <c r="V354" i="1"/>
  <c r="T354" i="1"/>
  <c r="R354" i="1"/>
  <c r="L354" i="1"/>
  <c r="BH353" i="1"/>
  <c r="BD353" i="1"/>
  <c r="BE353" i="1" s="1"/>
  <c r="BG353" i="1" s="1"/>
  <c r="AY353" i="1"/>
  <c r="AQ353" i="1"/>
  <c r="AP353" i="1"/>
  <c r="AM353" i="1"/>
  <c r="AL353" i="1"/>
  <c r="AK353" i="1"/>
  <c r="AJ353" i="1"/>
  <c r="AI353" i="1"/>
  <c r="AG353" i="1"/>
  <c r="AF353" i="1"/>
  <c r="AE353" i="1"/>
  <c r="V353" i="1" s="1"/>
  <c r="AA353" i="1" s="1"/>
  <c r="AD353" i="1"/>
  <c r="W353" i="1"/>
  <c r="U353" i="1"/>
  <c r="T353" i="1"/>
  <c r="R353" i="1"/>
  <c r="L353" i="1"/>
  <c r="BG352" i="1"/>
  <c r="BD352" i="1"/>
  <c r="BE352" i="1" s="1"/>
  <c r="BH352" i="1" s="1"/>
  <c r="AY352" i="1"/>
  <c r="AQ352" i="1"/>
  <c r="AP352" i="1"/>
  <c r="AM352" i="1"/>
  <c r="AL352" i="1"/>
  <c r="AK352" i="1"/>
  <c r="AJ352" i="1"/>
  <c r="AG352" i="1"/>
  <c r="AI352" i="1" s="1"/>
  <c r="AF352" i="1"/>
  <c r="AE352" i="1"/>
  <c r="AD352" i="1"/>
  <c r="U352" i="1" s="1"/>
  <c r="W352" i="1"/>
  <c r="V352" i="1"/>
  <c r="T352" i="1"/>
  <c r="R352" i="1"/>
  <c r="L352" i="1"/>
  <c r="BE351" i="1"/>
  <c r="BD351" i="1"/>
  <c r="AY351" i="1"/>
  <c r="AQ351" i="1"/>
  <c r="AP351" i="1"/>
  <c r="AM351" i="1"/>
  <c r="AL351" i="1"/>
  <c r="AK351" i="1"/>
  <c r="AJ351" i="1"/>
  <c r="AF351" i="1"/>
  <c r="AE351" i="1"/>
  <c r="AG351" i="1" s="1"/>
  <c r="AI351" i="1" s="1"/>
  <c r="AD351" i="1"/>
  <c r="W351" i="1"/>
  <c r="V351" i="1"/>
  <c r="AA351" i="1" s="1"/>
  <c r="U351" i="1"/>
  <c r="T351" i="1"/>
  <c r="R351" i="1"/>
  <c r="L351" i="1"/>
  <c r="BD350" i="1"/>
  <c r="BE350" i="1" s="1"/>
  <c r="AY350" i="1"/>
  <c r="AQ350" i="1"/>
  <c r="AP350" i="1"/>
  <c r="AM350" i="1"/>
  <c r="AL350" i="1"/>
  <c r="AK350" i="1"/>
  <c r="AJ350" i="1"/>
  <c r="AI350" i="1"/>
  <c r="AF350" i="1"/>
  <c r="AE350" i="1"/>
  <c r="V350" i="1" s="1"/>
  <c r="AD350" i="1"/>
  <c r="AG350" i="1" s="1"/>
  <c r="W350" i="1"/>
  <c r="U350" i="1"/>
  <c r="T350" i="1"/>
  <c r="R350" i="1"/>
  <c r="L350" i="1"/>
  <c r="BH349" i="1"/>
  <c r="BE349" i="1"/>
  <c r="BG349" i="1" s="1"/>
  <c r="BD349" i="1"/>
  <c r="AY349" i="1"/>
  <c r="AQ349" i="1"/>
  <c r="AP349" i="1"/>
  <c r="AM349" i="1"/>
  <c r="AL349" i="1"/>
  <c r="AK349" i="1"/>
  <c r="AJ349" i="1"/>
  <c r="AG349" i="1"/>
  <c r="AI349" i="1" s="1"/>
  <c r="AF349" i="1"/>
  <c r="AE349" i="1"/>
  <c r="AD349" i="1"/>
  <c r="U349" i="1" s="1"/>
  <c r="W349" i="1"/>
  <c r="V349" i="1"/>
  <c r="T349" i="1"/>
  <c r="R349" i="1"/>
  <c r="L349" i="1"/>
  <c r="BD348" i="1"/>
  <c r="BE348" i="1" s="1"/>
  <c r="AY348" i="1"/>
  <c r="AQ348" i="1"/>
  <c r="AP348" i="1"/>
  <c r="AM348" i="1"/>
  <c r="AL348" i="1"/>
  <c r="AK348" i="1"/>
  <c r="AJ348" i="1"/>
  <c r="AF348" i="1"/>
  <c r="AE348" i="1"/>
  <c r="V348" i="1" s="1"/>
  <c r="AA348" i="1" s="1"/>
  <c r="AD348" i="1"/>
  <c r="W348" i="1"/>
  <c r="U348" i="1"/>
  <c r="T348" i="1"/>
  <c r="R348" i="1"/>
  <c r="L348" i="1"/>
  <c r="BG347" i="1"/>
  <c r="BE347" i="1"/>
  <c r="BH347" i="1" s="1"/>
  <c r="BD347" i="1"/>
  <c r="AY347" i="1"/>
  <c r="AQ347" i="1"/>
  <c r="AP347" i="1"/>
  <c r="AM347" i="1"/>
  <c r="AL347" i="1"/>
  <c r="AK347" i="1"/>
  <c r="AJ347" i="1"/>
  <c r="AF347" i="1"/>
  <c r="AE347" i="1"/>
  <c r="AD347" i="1"/>
  <c r="U347" i="1" s="1"/>
  <c r="W347" i="1"/>
  <c r="T347" i="1"/>
  <c r="R347" i="1"/>
  <c r="L347" i="1"/>
  <c r="BE346" i="1"/>
  <c r="BH346" i="1" s="1"/>
  <c r="BD346" i="1"/>
  <c r="AY346" i="1"/>
  <c r="AQ346" i="1"/>
  <c r="AP346" i="1"/>
  <c r="AM346" i="1"/>
  <c r="AL346" i="1"/>
  <c r="AK346" i="1"/>
  <c r="AJ346" i="1"/>
  <c r="AF346" i="1"/>
  <c r="AE346" i="1"/>
  <c r="AD346" i="1"/>
  <c r="W346" i="1"/>
  <c r="V346" i="1"/>
  <c r="T346" i="1"/>
  <c r="R346" i="1"/>
  <c r="L346" i="1"/>
  <c r="BH345" i="1"/>
  <c r="BD345" i="1"/>
  <c r="BE345" i="1" s="1"/>
  <c r="BG345" i="1" s="1"/>
  <c r="AY345" i="1"/>
  <c r="AQ345" i="1"/>
  <c r="AP345" i="1"/>
  <c r="AM345" i="1"/>
  <c r="AL345" i="1"/>
  <c r="AK345" i="1"/>
  <c r="AJ345" i="1"/>
  <c r="AI345" i="1"/>
  <c r="AG345" i="1"/>
  <c r="AF345" i="1"/>
  <c r="AE345" i="1"/>
  <c r="V345" i="1" s="1"/>
  <c r="AD345" i="1"/>
  <c r="AA345" i="1"/>
  <c r="W345" i="1"/>
  <c r="U345" i="1"/>
  <c r="T345" i="1"/>
  <c r="R345" i="1"/>
  <c r="L345" i="1"/>
  <c r="BG344" i="1"/>
  <c r="BD344" i="1"/>
  <c r="BE344" i="1" s="1"/>
  <c r="BH344" i="1" s="1"/>
  <c r="AY344" i="1"/>
  <c r="AQ344" i="1"/>
  <c r="AP344" i="1"/>
  <c r="AM344" i="1"/>
  <c r="AL344" i="1"/>
  <c r="AK344" i="1"/>
  <c r="AJ344" i="1"/>
  <c r="AG344" i="1"/>
  <c r="AI344" i="1" s="1"/>
  <c r="AF344" i="1"/>
  <c r="AE344" i="1"/>
  <c r="AD344" i="1"/>
  <c r="U344" i="1" s="1"/>
  <c r="W344" i="1"/>
  <c r="V344" i="1"/>
  <c r="T344" i="1"/>
  <c r="R344" i="1"/>
  <c r="L344" i="1"/>
  <c r="BE343" i="1"/>
  <c r="BD343" i="1"/>
  <c r="AY343" i="1"/>
  <c r="AQ343" i="1"/>
  <c r="AP343" i="1"/>
  <c r="AM343" i="1"/>
  <c r="AL343" i="1"/>
  <c r="AK343" i="1"/>
  <c r="AJ343" i="1"/>
  <c r="AF343" i="1"/>
  <c r="AE343" i="1"/>
  <c r="AD343" i="1"/>
  <c r="W343" i="1"/>
  <c r="V343" i="1"/>
  <c r="AA343" i="1" s="1"/>
  <c r="U343" i="1"/>
  <c r="T343" i="1"/>
  <c r="R343" i="1"/>
  <c r="L343" i="1"/>
  <c r="BD342" i="1"/>
  <c r="BE342" i="1" s="1"/>
  <c r="AY342" i="1"/>
  <c r="AQ342" i="1"/>
  <c r="AP342" i="1"/>
  <c r="AM342" i="1"/>
  <c r="AL342" i="1"/>
  <c r="AK342" i="1"/>
  <c r="AJ342" i="1"/>
  <c r="AF342" i="1"/>
  <c r="AE342" i="1"/>
  <c r="V342" i="1" s="1"/>
  <c r="AD342" i="1"/>
  <c r="W342" i="1"/>
  <c r="U342" i="1"/>
  <c r="T342" i="1"/>
  <c r="AA342" i="1" s="1"/>
  <c r="R342" i="1"/>
  <c r="L342" i="1"/>
  <c r="BH341" i="1"/>
  <c r="BE341" i="1"/>
  <c r="BG341" i="1" s="1"/>
  <c r="BD341" i="1"/>
  <c r="AY341" i="1"/>
  <c r="AQ341" i="1"/>
  <c r="AP341" i="1"/>
  <c r="AM341" i="1"/>
  <c r="AL341" i="1"/>
  <c r="AK341" i="1"/>
  <c r="AJ341" i="1"/>
  <c r="AF341" i="1"/>
  <c r="AE341" i="1"/>
  <c r="AD341" i="1"/>
  <c r="U341" i="1" s="1"/>
  <c r="W341" i="1"/>
  <c r="V341" i="1"/>
  <c r="T341" i="1"/>
  <c r="R341" i="1"/>
  <c r="L341" i="1"/>
  <c r="BH340" i="1"/>
  <c r="BD340" i="1"/>
  <c r="BE340" i="1" s="1"/>
  <c r="BG340" i="1" s="1"/>
  <c r="AY340" i="1"/>
  <c r="AQ340" i="1"/>
  <c r="AP340" i="1"/>
  <c r="AM340" i="1"/>
  <c r="AL340" i="1"/>
  <c r="AK340" i="1"/>
  <c r="AJ340" i="1"/>
  <c r="AF340" i="1"/>
  <c r="AE340" i="1"/>
  <c r="V340" i="1" s="1"/>
  <c r="AA340" i="1" s="1"/>
  <c r="AD340" i="1"/>
  <c r="AG340" i="1" s="1"/>
  <c r="AI340" i="1" s="1"/>
  <c r="W340" i="1"/>
  <c r="U340" i="1"/>
  <c r="T340" i="1"/>
  <c r="R340" i="1"/>
  <c r="L340" i="1"/>
  <c r="BG339" i="1"/>
  <c r="BE339" i="1"/>
  <c r="BH339" i="1" s="1"/>
  <c r="BD339" i="1"/>
  <c r="AY339" i="1"/>
  <c r="AQ339" i="1"/>
  <c r="AP339" i="1"/>
  <c r="AM339" i="1"/>
  <c r="AL339" i="1"/>
  <c r="AK339" i="1"/>
  <c r="AJ339" i="1"/>
  <c r="AF339" i="1"/>
  <c r="AE339" i="1"/>
  <c r="AD339" i="1"/>
  <c r="U339" i="1" s="1"/>
  <c r="W339" i="1"/>
  <c r="T339" i="1"/>
  <c r="R339" i="1"/>
  <c r="L339" i="1"/>
  <c r="BE338" i="1"/>
  <c r="BD338" i="1"/>
  <c r="AY338" i="1"/>
  <c r="AQ338" i="1"/>
  <c r="AP338" i="1"/>
  <c r="AM338" i="1"/>
  <c r="AL338" i="1"/>
  <c r="AK338" i="1"/>
  <c r="AJ338" i="1"/>
  <c r="AF338" i="1"/>
  <c r="AE338" i="1"/>
  <c r="AD338" i="1"/>
  <c r="W338" i="1"/>
  <c r="V338" i="1"/>
  <c r="T338" i="1"/>
  <c r="R338" i="1"/>
  <c r="L338" i="1"/>
  <c r="BH337" i="1"/>
  <c r="BD337" i="1"/>
  <c r="BE337" i="1" s="1"/>
  <c r="BG337" i="1" s="1"/>
  <c r="AY337" i="1"/>
  <c r="AQ337" i="1"/>
  <c r="AP337" i="1"/>
  <c r="AM337" i="1"/>
  <c r="AL337" i="1"/>
  <c r="AK337" i="1"/>
  <c r="AJ337" i="1"/>
  <c r="AI337" i="1"/>
  <c r="AG337" i="1"/>
  <c r="AF337" i="1"/>
  <c r="AE337" i="1"/>
  <c r="V337" i="1" s="1"/>
  <c r="AD337" i="1"/>
  <c r="AA337" i="1"/>
  <c r="W337" i="1"/>
  <c r="U337" i="1"/>
  <c r="T337" i="1"/>
  <c r="R337" i="1"/>
  <c r="L337" i="1"/>
  <c r="BG336" i="1"/>
  <c r="BD336" i="1"/>
  <c r="BE336" i="1" s="1"/>
  <c r="BH336" i="1" s="1"/>
  <c r="AY336" i="1"/>
  <c r="AQ336" i="1"/>
  <c r="AP336" i="1"/>
  <c r="AM336" i="1"/>
  <c r="AL336" i="1"/>
  <c r="AK336" i="1"/>
  <c r="AJ336" i="1"/>
  <c r="AG336" i="1"/>
  <c r="AI336" i="1" s="1"/>
  <c r="AF336" i="1"/>
  <c r="AE336" i="1"/>
  <c r="AD336" i="1"/>
  <c r="U336" i="1" s="1"/>
  <c r="W336" i="1"/>
  <c r="V336" i="1"/>
  <c r="T336" i="1"/>
  <c r="R336" i="1"/>
  <c r="L336" i="1"/>
  <c r="BE335" i="1"/>
  <c r="BD335" i="1"/>
  <c r="AY335" i="1"/>
  <c r="AQ335" i="1"/>
  <c r="AP335" i="1"/>
  <c r="AM335" i="1"/>
  <c r="AL335" i="1"/>
  <c r="AK335" i="1"/>
  <c r="AJ335" i="1"/>
  <c r="AF335" i="1"/>
  <c r="AE335" i="1"/>
  <c r="AD335" i="1"/>
  <c r="W335" i="1"/>
  <c r="V335" i="1"/>
  <c r="AA335" i="1" s="1"/>
  <c r="U335" i="1"/>
  <c r="T335" i="1"/>
  <c r="R335" i="1"/>
  <c r="L335" i="1"/>
  <c r="BD334" i="1"/>
  <c r="BE334" i="1" s="1"/>
  <c r="AY334" i="1"/>
  <c r="AQ334" i="1"/>
  <c r="AP334" i="1"/>
  <c r="AM334" i="1"/>
  <c r="AL334" i="1"/>
  <c r="AK334" i="1"/>
  <c r="AJ334" i="1"/>
  <c r="AF334" i="1"/>
  <c r="AE334" i="1"/>
  <c r="V334" i="1" s="1"/>
  <c r="AD334" i="1"/>
  <c r="W334" i="1"/>
  <c r="U334" i="1"/>
  <c r="T334" i="1"/>
  <c r="AA334" i="1" s="1"/>
  <c r="R334" i="1"/>
  <c r="L334" i="1"/>
  <c r="BH333" i="1"/>
  <c r="BE333" i="1"/>
  <c r="BG333" i="1" s="1"/>
  <c r="BD333" i="1"/>
  <c r="AY333" i="1"/>
  <c r="AQ333" i="1"/>
  <c r="AP333" i="1"/>
  <c r="AM333" i="1"/>
  <c r="AL333" i="1"/>
  <c r="AK333" i="1"/>
  <c r="AJ333" i="1"/>
  <c r="AF333" i="1"/>
  <c r="AE333" i="1"/>
  <c r="AD333" i="1"/>
  <c r="U333" i="1" s="1"/>
  <c r="W333" i="1"/>
  <c r="V333" i="1"/>
  <c r="T333" i="1"/>
  <c r="R333" i="1"/>
  <c r="L333" i="1"/>
  <c r="BH332" i="1"/>
  <c r="BD332" i="1"/>
  <c r="BE332" i="1" s="1"/>
  <c r="BG332" i="1" s="1"/>
  <c r="AY332" i="1"/>
  <c r="AQ332" i="1"/>
  <c r="AP332" i="1"/>
  <c r="AM332" i="1"/>
  <c r="AL332" i="1"/>
  <c r="AK332" i="1"/>
  <c r="AJ332" i="1"/>
  <c r="AF332" i="1"/>
  <c r="AG332" i="1" s="1"/>
  <c r="AI332" i="1" s="1"/>
  <c r="AE332" i="1"/>
  <c r="V332" i="1" s="1"/>
  <c r="AA332" i="1" s="1"/>
  <c r="AD332" i="1"/>
  <c r="W332" i="1"/>
  <c r="U332" i="1"/>
  <c r="T332" i="1"/>
  <c r="R332" i="1"/>
  <c r="L332" i="1"/>
  <c r="BG331" i="1"/>
  <c r="BE331" i="1"/>
  <c r="BH331" i="1" s="1"/>
  <c r="BD331" i="1"/>
  <c r="AY331" i="1"/>
  <c r="AQ331" i="1"/>
  <c r="AP331" i="1"/>
  <c r="AM331" i="1"/>
  <c r="AL331" i="1"/>
  <c r="AK331" i="1"/>
  <c r="AJ331" i="1"/>
  <c r="AF331" i="1"/>
  <c r="AE331" i="1"/>
  <c r="AD331" i="1"/>
  <c r="U331" i="1" s="1"/>
  <c r="W331" i="1"/>
  <c r="T331" i="1"/>
  <c r="R331" i="1"/>
  <c r="L331" i="1"/>
  <c r="BE330" i="1"/>
  <c r="BD330" i="1"/>
  <c r="AY330" i="1"/>
  <c r="AQ330" i="1"/>
  <c r="AP330" i="1"/>
  <c r="AM330" i="1"/>
  <c r="AL330" i="1"/>
  <c r="AK330" i="1"/>
  <c r="AJ330" i="1"/>
  <c r="AF330" i="1"/>
  <c r="AE330" i="1"/>
  <c r="AD330" i="1"/>
  <c r="W330" i="1"/>
  <c r="V330" i="1"/>
  <c r="T330" i="1"/>
  <c r="R330" i="1"/>
  <c r="L330" i="1"/>
  <c r="BH329" i="1"/>
  <c r="BD329" i="1"/>
  <c r="BE329" i="1" s="1"/>
  <c r="BG329" i="1" s="1"/>
  <c r="AY329" i="1"/>
  <c r="AQ329" i="1"/>
  <c r="AP329" i="1"/>
  <c r="AM329" i="1"/>
  <c r="AL329" i="1"/>
  <c r="AK329" i="1"/>
  <c r="AJ329" i="1"/>
  <c r="AI329" i="1"/>
  <c r="AG329" i="1"/>
  <c r="AF329" i="1"/>
  <c r="AE329" i="1"/>
  <c r="V329" i="1" s="1"/>
  <c r="AD329" i="1"/>
  <c r="AA329" i="1"/>
  <c r="W329" i="1"/>
  <c r="U329" i="1"/>
  <c r="T329" i="1"/>
  <c r="R329" i="1"/>
  <c r="L329" i="1"/>
  <c r="BG328" i="1"/>
  <c r="BD328" i="1"/>
  <c r="BE328" i="1" s="1"/>
  <c r="BH328" i="1" s="1"/>
  <c r="AY328" i="1"/>
  <c r="AQ328" i="1"/>
  <c r="AP328" i="1"/>
  <c r="AM328" i="1"/>
  <c r="AL328" i="1"/>
  <c r="AK328" i="1"/>
  <c r="AJ328" i="1"/>
  <c r="AG328" i="1"/>
  <c r="AI328" i="1" s="1"/>
  <c r="AF328" i="1"/>
  <c r="AE328" i="1"/>
  <c r="AD328" i="1"/>
  <c r="U328" i="1" s="1"/>
  <c r="W328" i="1"/>
  <c r="V328" i="1"/>
  <c r="T328" i="1"/>
  <c r="R328" i="1"/>
  <c r="L328" i="1"/>
  <c r="BE327" i="1"/>
  <c r="BD327" i="1"/>
  <c r="AY327" i="1"/>
  <c r="AQ327" i="1"/>
  <c r="AP327" i="1"/>
  <c r="AM327" i="1"/>
  <c r="AL327" i="1"/>
  <c r="AK327" i="1"/>
  <c r="AJ327" i="1"/>
  <c r="AF327" i="1"/>
  <c r="AE327" i="1"/>
  <c r="AD327" i="1"/>
  <c r="W327" i="1"/>
  <c r="V327" i="1"/>
  <c r="AA327" i="1" s="1"/>
  <c r="U327" i="1"/>
  <c r="T327" i="1"/>
  <c r="R327" i="1"/>
  <c r="L327" i="1"/>
  <c r="BD326" i="1"/>
  <c r="BE326" i="1" s="1"/>
  <c r="AY326" i="1"/>
  <c r="AQ326" i="1"/>
  <c r="AP326" i="1"/>
  <c r="AM326" i="1"/>
  <c r="AL326" i="1"/>
  <c r="AK326" i="1"/>
  <c r="AJ326" i="1"/>
  <c r="AF326" i="1"/>
  <c r="AE326" i="1"/>
  <c r="V326" i="1" s="1"/>
  <c r="AD326" i="1"/>
  <c r="W326" i="1"/>
  <c r="U326" i="1"/>
  <c r="T326" i="1"/>
  <c r="AA326" i="1" s="1"/>
  <c r="R326" i="1"/>
  <c r="L326" i="1"/>
  <c r="BH325" i="1"/>
  <c r="BE325" i="1"/>
  <c r="BG325" i="1" s="1"/>
  <c r="BD325" i="1"/>
  <c r="AY325" i="1"/>
  <c r="AQ325" i="1"/>
  <c r="AP325" i="1"/>
  <c r="AM325" i="1"/>
  <c r="AL325" i="1"/>
  <c r="AK325" i="1"/>
  <c r="AJ325" i="1"/>
  <c r="AF325" i="1"/>
  <c r="AE325" i="1"/>
  <c r="AD325" i="1"/>
  <c r="U325" i="1" s="1"/>
  <c r="W325" i="1"/>
  <c r="V325" i="1"/>
  <c r="T325" i="1"/>
  <c r="R325" i="1"/>
  <c r="L325" i="1"/>
  <c r="BH324" i="1"/>
  <c r="BD324" i="1"/>
  <c r="BE324" i="1" s="1"/>
  <c r="BG324" i="1" s="1"/>
  <c r="AY324" i="1"/>
  <c r="AQ324" i="1"/>
  <c r="AP324" i="1"/>
  <c r="AM324" i="1"/>
  <c r="AL324" i="1"/>
  <c r="AK324" i="1"/>
  <c r="AJ324" i="1"/>
  <c r="AF324" i="1"/>
  <c r="AG324" i="1" s="1"/>
  <c r="AI324" i="1" s="1"/>
  <c r="AE324" i="1"/>
  <c r="V324" i="1" s="1"/>
  <c r="AA324" i="1" s="1"/>
  <c r="AD324" i="1"/>
  <c r="W324" i="1"/>
  <c r="U324" i="1"/>
  <c r="T324" i="1"/>
  <c r="R324" i="1"/>
  <c r="L324" i="1"/>
  <c r="BG323" i="1"/>
  <c r="BE323" i="1"/>
  <c r="BH323" i="1" s="1"/>
  <c r="BD323" i="1"/>
  <c r="AY323" i="1"/>
  <c r="AQ323" i="1"/>
  <c r="AP323" i="1"/>
  <c r="AM323" i="1"/>
  <c r="AL323" i="1"/>
  <c r="AK323" i="1"/>
  <c r="AJ323" i="1"/>
  <c r="AF323" i="1"/>
  <c r="AE323" i="1"/>
  <c r="AD323" i="1"/>
  <c r="U323" i="1" s="1"/>
  <c r="W323" i="1"/>
  <c r="T323" i="1"/>
  <c r="R323" i="1"/>
  <c r="L323" i="1"/>
  <c r="BE322" i="1"/>
  <c r="BD322" i="1"/>
  <c r="AY322" i="1"/>
  <c r="AQ322" i="1"/>
  <c r="AP322" i="1"/>
  <c r="AM322" i="1"/>
  <c r="AL322" i="1"/>
  <c r="AK322" i="1"/>
  <c r="AJ322" i="1"/>
  <c r="AF322" i="1"/>
  <c r="AE322" i="1"/>
  <c r="AD322" i="1"/>
  <c r="W322" i="1"/>
  <c r="V322" i="1"/>
  <c r="T322" i="1"/>
  <c r="R322" i="1"/>
  <c r="L322" i="1"/>
  <c r="BH321" i="1"/>
  <c r="BD321" i="1"/>
  <c r="BE321" i="1" s="1"/>
  <c r="BG321" i="1" s="1"/>
  <c r="AY321" i="1"/>
  <c r="AQ321" i="1"/>
  <c r="AP321" i="1"/>
  <c r="AM321" i="1"/>
  <c r="AL321" i="1"/>
  <c r="AK321" i="1"/>
  <c r="AJ321" i="1"/>
  <c r="AI321" i="1"/>
  <c r="AG321" i="1"/>
  <c r="AF321" i="1"/>
  <c r="AE321" i="1"/>
  <c r="V321" i="1" s="1"/>
  <c r="AD321" i="1"/>
  <c r="AA321" i="1"/>
  <c r="W321" i="1"/>
  <c r="U321" i="1"/>
  <c r="T321" i="1"/>
  <c r="R321" i="1"/>
  <c r="L321" i="1"/>
  <c r="BG320" i="1"/>
  <c r="BD320" i="1"/>
  <c r="BE320" i="1" s="1"/>
  <c r="BH320" i="1" s="1"/>
  <c r="AY320" i="1"/>
  <c r="AQ320" i="1"/>
  <c r="AP320" i="1"/>
  <c r="AM320" i="1"/>
  <c r="AL320" i="1"/>
  <c r="AK320" i="1"/>
  <c r="AJ320" i="1"/>
  <c r="AG320" i="1"/>
  <c r="AI320" i="1" s="1"/>
  <c r="AF320" i="1"/>
  <c r="AE320" i="1"/>
  <c r="AD320" i="1"/>
  <c r="U320" i="1" s="1"/>
  <c r="W320" i="1"/>
  <c r="V320" i="1"/>
  <c r="T320" i="1"/>
  <c r="R320" i="1"/>
  <c r="BD319" i="1"/>
  <c r="BE319" i="1" s="1"/>
  <c r="AY319" i="1"/>
  <c r="AQ319" i="1"/>
  <c r="AP319" i="1"/>
  <c r="AM319" i="1"/>
  <c r="AL319" i="1"/>
  <c r="AK319" i="1"/>
  <c r="AJ319" i="1"/>
  <c r="AF319" i="1"/>
  <c r="AE319" i="1"/>
  <c r="V319" i="1" s="1"/>
  <c r="AD319" i="1"/>
  <c r="W319" i="1"/>
  <c r="U319" i="1"/>
  <c r="T319" i="1"/>
  <c r="R319" i="1"/>
  <c r="BD318" i="1"/>
  <c r="BE318" i="1" s="1"/>
  <c r="BG318" i="1" s="1"/>
  <c r="AY318" i="1"/>
  <c r="AQ318" i="1"/>
  <c r="AP318" i="1"/>
  <c r="AM318" i="1"/>
  <c r="AL318" i="1"/>
  <c r="AK318" i="1"/>
  <c r="AJ318" i="1"/>
  <c r="AF318" i="1"/>
  <c r="AG318" i="1" s="1"/>
  <c r="AI318" i="1" s="1"/>
  <c r="AE318" i="1"/>
  <c r="V318" i="1" s="1"/>
  <c r="AA318" i="1" s="1"/>
  <c r="AD318" i="1"/>
  <c r="W318" i="1"/>
  <c r="U318" i="1"/>
  <c r="T318" i="1"/>
  <c r="R318" i="1"/>
  <c r="BE317" i="1"/>
  <c r="BD317" i="1"/>
  <c r="AY317" i="1"/>
  <c r="AQ317" i="1"/>
  <c r="AP317" i="1"/>
  <c r="AM317" i="1"/>
  <c r="AL317" i="1"/>
  <c r="AK317" i="1"/>
  <c r="AJ317" i="1"/>
  <c r="AF317" i="1"/>
  <c r="AE317" i="1"/>
  <c r="AD317" i="1"/>
  <c r="W317" i="1"/>
  <c r="V317" i="1"/>
  <c r="T317" i="1"/>
  <c r="R317" i="1"/>
  <c r="BG316" i="1"/>
  <c r="BD316" i="1"/>
  <c r="BE316" i="1" s="1"/>
  <c r="BH316" i="1" s="1"/>
  <c r="AY316" i="1"/>
  <c r="AQ316" i="1"/>
  <c r="AP316" i="1"/>
  <c r="AM316" i="1"/>
  <c r="AL316" i="1"/>
  <c r="AK316" i="1"/>
  <c r="AJ316" i="1"/>
  <c r="AG316" i="1"/>
  <c r="AI316" i="1" s="1"/>
  <c r="AF316" i="1"/>
  <c r="AE316" i="1"/>
  <c r="AD316" i="1"/>
  <c r="U316" i="1" s="1"/>
  <c r="W316" i="1"/>
  <c r="V316" i="1"/>
  <c r="T316" i="1"/>
  <c r="R316" i="1"/>
  <c r="BD315" i="1"/>
  <c r="BE315" i="1" s="1"/>
  <c r="AY315" i="1"/>
  <c r="AQ315" i="1"/>
  <c r="AP315" i="1"/>
  <c r="AM315" i="1"/>
  <c r="AL315" i="1"/>
  <c r="AK315" i="1"/>
  <c r="AJ315" i="1"/>
  <c r="AF315" i="1"/>
  <c r="AE315" i="1"/>
  <c r="V315" i="1" s="1"/>
  <c r="AD315" i="1"/>
  <c r="W315" i="1"/>
  <c r="U315" i="1"/>
  <c r="T315" i="1"/>
  <c r="R315" i="1"/>
  <c r="BH314" i="1"/>
  <c r="BD314" i="1"/>
  <c r="BE314" i="1" s="1"/>
  <c r="BG314" i="1" s="1"/>
  <c r="AY314" i="1"/>
  <c r="AQ314" i="1"/>
  <c r="AP314" i="1"/>
  <c r="AM314" i="1"/>
  <c r="AL314" i="1"/>
  <c r="AK314" i="1"/>
  <c r="AJ314" i="1"/>
  <c r="AF314" i="1"/>
  <c r="AG314" i="1" s="1"/>
  <c r="AI314" i="1" s="1"/>
  <c r="AE314" i="1"/>
  <c r="V314" i="1" s="1"/>
  <c r="AA314" i="1" s="1"/>
  <c r="AD314" i="1"/>
  <c r="W314" i="1"/>
  <c r="U314" i="1"/>
  <c r="T314" i="1"/>
  <c r="R314" i="1"/>
  <c r="BE313" i="1"/>
  <c r="BD313" i="1"/>
  <c r="AY313" i="1"/>
  <c r="AQ313" i="1"/>
  <c r="AP313" i="1"/>
  <c r="AM313" i="1"/>
  <c r="AL313" i="1"/>
  <c r="AK313" i="1"/>
  <c r="AJ313" i="1"/>
  <c r="AF313" i="1"/>
  <c r="AE313" i="1"/>
  <c r="AD313" i="1"/>
  <c r="W313" i="1"/>
  <c r="V313" i="1"/>
  <c r="T313" i="1"/>
  <c r="R313" i="1"/>
  <c r="BG312" i="1"/>
  <c r="BD312" i="1"/>
  <c r="BE312" i="1" s="1"/>
  <c r="BH312" i="1" s="1"/>
  <c r="AY312" i="1"/>
  <c r="AQ312" i="1"/>
  <c r="AP312" i="1"/>
  <c r="AM312" i="1"/>
  <c r="AL312" i="1"/>
  <c r="AK312" i="1"/>
  <c r="AJ312" i="1"/>
  <c r="AG312" i="1"/>
  <c r="AI312" i="1" s="1"/>
  <c r="AF312" i="1"/>
  <c r="AE312" i="1"/>
  <c r="AD312" i="1"/>
  <c r="U312" i="1" s="1"/>
  <c r="W312" i="1"/>
  <c r="V312" i="1"/>
  <c r="T312" i="1"/>
  <c r="AA312" i="1" s="1"/>
  <c r="R312" i="1"/>
  <c r="BD311" i="1"/>
  <c r="BE311" i="1" s="1"/>
  <c r="AY311" i="1"/>
  <c r="AQ311" i="1"/>
  <c r="AP311" i="1"/>
  <c r="AM311" i="1"/>
  <c r="AL311" i="1"/>
  <c r="AK311" i="1"/>
  <c r="AJ311" i="1"/>
  <c r="AI311" i="1"/>
  <c r="AF311" i="1"/>
  <c r="AE311" i="1"/>
  <c r="V311" i="1" s="1"/>
  <c r="AD311" i="1"/>
  <c r="AG311" i="1" s="1"/>
  <c r="W311" i="1"/>
  <c r="U311" i="1"/>
  <c r="T311" i="1"/>
  <c r="R311" i="1"/>
  <c r="BH310" i="1"/>
  <c r="BD310" i="1"/>
  <c r="BE310" i="1" s="1"/>
  <c r="BG310" i="1" s="1"/>
  <c r="AY310" i="1"/>
  <c r="AQ310" i="1"/>
  <c r="AP310" i="1"/>
  <c r="AM310" i="1"/>
  <c r="AL310" i="1"/>
  <c r="AK310" i="1"/>
  <c r="AJ310" i="1"/>
  <c r="AF310" i="1"/>
  <c r="AG310" i="1" s="1"/>
  <c r="AI310" i="1" s="1"/>
  <c r="AE310" i="1"/>
  <c r="V310" i="1" s="1"/>
  <c r="AD310" i="1"/>
  <c r="AA310" i="1"/>
  <c r="W310" i="1"/>
  <c r="U310" i="1"/>
  <c r="T310" i="1"/>
  <c r="R310" i="1"/>
  <c r="BE309" i="1"/>
  <c r="BD309" i="1"/>
  <c r="AY309" i="1"/>
  <c r="AQ309" i="1"/>
  <c r="AP309" i="1"/>
  <c r="AM309" i="1"/>
  <c r="AL309" i="1"/>
  <c r="AK309" i="1"/>
  <c r="AJ309" i="1"/>
  <c r="AF309" i="1"/>
  <c r="AE309" i="1"/>
  <c r="AD309" i="1"/>
  <c r="W309" i="1"/>
  <c r="V309" i="1"/>
  <c r="T309" i="1"/>
  <c r="R309" i="1"/>
  <c r="BG308" i="1"/>
  <c r="BD308" i="1"/>
  <c r="BE308" i="1" s="1"/>
  <c r="BH308" i="1" s="1"/>
  <c r="AY308" i="1"/>
  <c r="AQ308" i="1"/>
  <c r="AP308" i="1"/>
  <c r="AM308" i="1"/>
  <c r="AL308" i="1"/>
  <c r="AK308" i="1"/>
  <c r="AJ308" i="1"/>
  <c r="AF308" i="1"/>
  <c r="AE308" i="1"/>
  <c r="V308" i="1" s="1"/>
  <c r="AD308" i="1"/>
  <c r="U308" i="1" s="1"/>
  <c r="W308" i="1"/>
  <c r="T308" i="1"/>
  <c r="R308" i="1"/>
  <c r="BG307" i="1"/>
  <c r="BD307" i="1"/>
  <c r="BE307" i="1" s="1"/>
  <c r="BH307" i="1" s="1"/>
  <c r="AY307" i="1"/>
  <c r="AQ307" i="1"/>
  <c r="AP307" i="1"/>
  <c r="AM307" i="1"/>
  <c r="AL307" i="1"/>
  <c r="AK307" i="1"/>
  <c r="AJ307" i="1"/>
  <c r="AF307" i="1"/>
  <c r="AE307" i="1"/>
  <c r="V307" i="1" s="1"/>
  <c r="AD307" i="1"/>
  <c r="AG307" i="1" s="1"/>
  <c r="AI307" i="1" s="1"/>
  <c r="W307" i="1"/>
  <c r="U307" i="1"/>
  <c r="T307" i="1"/>
  <c r="R307" i="1"/>
  <c r="BD306" i="1"/>
  <c r="BE306" i="1" s="1"/>
  <c r="BG306" i="1" s="1"/>
  <c r="AY306" i="1"/>
  <c r="AQ306" i="1"/>
  <c r="AP306" i="1"/>
  <c r="AM306" i="1"/>
  <c r="AL306" i="1"/>
  <c r="AK306" i="1"/>
  <c r="AJ306" i="1"/>
  <c r="AI306" i="1"/>
  <c r="AF306" i="1"/>
  <c r="AG306" i="1" s="1"/>
  <c r="AE306" i="1"/>
  <c r="AD306" i="1"/>
  <c r="AA306" i="1"/>
  <c r="W306" i="1"/>
  <c r="V306" i="1"/>
  <c r="U306" i="1"/>
  <c r="T306" i="1"/>
  <c r="R306" i="1"/>
  <c r="BE305" i="1"/>
  <c r="BD305" i="1"/>
  <c r="AY305" i="1"/>
  <c r="AQ305" i="1"/>
  <c r="AP305" i="1"/>
  <c r="AM305" i="1"/>
  <c r="AL305" i="1"/>
  <c r="AK305" i="1"/>
  <c r="AJ305" i="1"/>
  <c r="AF305" i="1"/>
  <c r="AE305" i="1"/>
  <c r="AD305" i="1"/>
  <c r="W305" i="1"/>
  <c r="V305" i="1"/>
  <c r="T305" i="1"/>
  <c r="R305" i="1"/>
  <c r="BG304" i="1"/>
  <c r="BD304" i="1"/>
  <c r="BE304" i="1" s="1"/>
  <c r="BH304" i="1" s="1"/>
  <c r="AY304" i="1"/>
  <c r="AQ304" i="1"/>
  <c r="AP304" i="1"/>
  <c r="AM304" i="1"/>
  <c r="AL304" i="1"/>
  <c r="AK304" i="1"/>
  <c r="AJ304" i="1"/>
  <c r="AG304" i="1"/>
  <c r="AI304" i="1" s="1"/>
  <c r="AF304" i="1"/>
  <c r="AE304" i="1"/>
  <c r="V304" i="1" s="1"/>
  <c r="AD304" i="1"/>
  <c r="U304" i="1" s="1"/>
  <c r="W304" i="1"/>
  <c r="T304" i="1"/>
  <c r="R304" i="1"/>
  <c r="BD303" i="1"/>
  <c r="BE303" i="1" s="1"/>
  <c r="BH303" i="1" s="1"/>
  <c r="AY303" i="1"/>
  <c r="AQ303" i="1"/>
  <c r="AP303" i="1"/>
  <c r="AM303" i="1"/>
  <c r="AL303" i="1"/>
  <c r="AK303" i="1"/>
  <c r="AJ303" i="1"/>
  <c r="AF303" i="1"/>
  <c r="AE303" i="1"/>
  <c r="V303" i="1" s="1"/>
  <c r="AD303" i="1"/>
  <c r="W303" i="1"/>
  <c r="U303" i="1"/>
  <c r="T303" i="1"/>
  <c r="R303" i="1"/>
  <c r="BH302" i="1"/>
  <c r="BD302" i="1"/>
  <c r="BE302" i="1" s="1"/>
  <c r="BG302" i="1" s="1"/>
  <c r="AY302" i="1"/>
  <c r="AQ302" i="1"/>
  <c r="AP302" i="1"/>
  <c r="AM302" i="1"/>
  <c r="AL302" i="1"/>
  <c r="AK302" i="1"/>
  <c r="AJ302" i="1"/>
  <c r="AF302" i="1"/>
  <c r="AG302" i="1" s="1"/>
  <c r="AI302" i="1" s="1"/>
  <c r="AE302" i="1"/>
  <c r="AD302" i="1"/>
  <c r="W302" i="1"/>
  <c r="V302" i="1"/>
  <c r="U302" i="1"/>
  <c r="AA302" i="1" s="1"/>
  <c r="T302" i="1"/>
  <c r="R302" i="1"/>
  <c r="BE301" i="1"/>
  <c r="BD301" i="1"/>
  <c r="AY301" i="1"/>
  <c r="AQ301" i="1"/>
  <c r="AP301" i="1"/>
  <c r="AM301" i="1"/>
  <c r="AL301" i="1"/>
  <c r="AK301" i="1"/>
  <c r="AJ301" i="1"/>
  <c r="AF301" i="1"/>
  <c r="AE301" i="1"/>
  <c r="AD301" i="1"/>
  <c r="W301" i="1"/>
  <c r="V301" i="1"/>
  <c r="T301" i="1"/>
  <c r="R301" i="1"/>
  <c r="BG300" i="1"/>
  <c r="BD300" i="1"/>
  <c r="BE300" i="1" s="1"/>
  <c r="BH300" i="1" s="1"/>
  <c r="AY300" i="1"/>
  <c r="AQ300" i="1"/>
  <c r="AP300" i="1"/>
  <c r="AM300" i="1"/>
  <c r="AL300" i="1"/>
  <c r="AK300" i="1"/>
  <c r="AJ300" i="1"/>
  <c r="AF300" i="1"/>
  <c r="AE300" i="1"/>
  <c r="V300" i="1" s="1"/>
  <c r="AD300" i="1"/>
  <c r="U300" i="1" s="1"/>
  <c r="AA300" i="1"/>
  <c r="W300" i="1"/>
  <c r="T300" i="1"/>
  <c r="R300" i="1"/>
  <c r="BE299" i="1"/>
  <c r="BH299" i="1" s="1"/>
  <c r="BD299" i="1"/>
  <c r="AY299" i="1"/>
  <c r="AQ299" i="1"/>
  <c r="AP299" i="1"/>
  <c r="AM299" i="1"/>
  <c r="AL299" i="1"/>
  <c r="AK299" i="1"/>
  <c r="AJ299" i="1"/>
  <c r="AF299" i="1"/>
  <c r="AE299" i="1"/>
  <c r="V299" i="1" s="1"/>
  <c r="AD299" i="1"/>
  <c r="W299" i="1"/>
  <c r="U299" i="1"/>
  <c r="T299" i="1"/>
  <c r="R299" i="1"/>
  <c r="BD298" i="1"/>
  <c r="BE298" i="1" s="1"/>
  <c r="BG298" i="1" s="1"/>
  <c r="AY298" i="1"/>
  <c r="AQ298" i="1"/>
  <c r="AP298" i="1"/>
  <c r="AM298" i="1"/>
  <c r="AL298" i="1"/>
  <c r="AK298" i="1"/>
  <c r="AJ298" i="1"/>
  <c r="AF298" i="1"/>
  <c r="AG298" i="1" s="1"/>
  <c r="AI298" i="1" s="1"/>
  <c r="AE298" i="1"/>
  <c r="AD298" i="1"/>
  <c r="W298" i="1"/>
  <c r="V298" i="1"/>
  <c r="U298" i="1"/>
  <c r="T298" i="1"/>
  <c r="AA298" i="1" s="1"/>
  <c r="R298" i="1"/>
  <c r="BE297" i="1"/>
  <c r="BD297" i="1"/>
  <c r="AY297" i="1"/>
  <c r="AQ297" i="1"/>
  <c r="AP297" i="1"/>
  <c r="AM297" i="1"/>
  <c r="AL297" i="1"/>
  <c r="AK297" i="1"/>
  <c r="AJ297" i="1"/>
  <c r="AF297" i="1"/>
  <c r="AE297" i="1"/>
  <c r="AD297" i="1"/>
  <c r="W297" i="1"/>
  <c r="V297" i="1"/>
  <c r="T297" i="1"/>
  <c r="R297" i="1"/>
  <c r="BD296" i="1"/>
  <c r="BE296" i="1" s="1"/>
  <c r="BH296" i="1" s="1"/>
  <c r="AY296" i="1"/>
  <c r="AQ296" i="1"/>
  <c r="AP296" i="1"/>
  <c r="AM296" i="1"/>
  <c r="AL296" i="1"/>
  <c r="AK296" i="1"/>
  <c r="AJ296" i="1"/>
  <c r="AF296" i="1"/>
  <c r="AE296" i="1"/>
  <c r="V296" i="1" s="1"/>
  <c r="AD296" i="1"/>
  <c r="U296" i="1" s="1"/>
  <c r="AA296" i="1" s="1"/>
  <c r="W296" i="1"/>
  <c r="T296" i="1"/>
  <c r="R296" i="1"/>
  <c r="BD295" i="1"/>
  <c r="BE295" i="1" s="1"/>
  <c r="AY295" i="1"/>
  <c r="AQ295" i="1"/>
  <c r="AP295" i="1"/>
  <c r="AM295" i="1"/>
  <c r="AL295" i="1"/>
  <c r="AK295" i="1"/>
  <c r="AJ295" i="1"/>
  <c r="AI295" i="1"/>
  <c r="AF295" i="1"/>
  <c r="AE295" i="1"/>
  <c r="V295" i="1" s="1"/>
  <c r="AD295" i="1"/>
  <c r="AG295" i="1" s="1"/>
  <c r="W295" i="1"/>
  <c r="U295" i="1"/>
  <c r="T295" i="1"/>
  <c r="R295" i="1"/>
  <c r="BH294" i="1"/>
  <c r="BD294" i="1"/>
  <c r="BE294" i="1" s="1"/>
  <c r="BG294" i="1" s="1"/>
  <c r="AY294" i="1"/>
  <c r="AQ294" i="1"/>
  <c r="AP294" i="1"/>
  <c r="AM294" i="1"/>
  <c r="AL294" i="1"/>
  <c r="AK294" i="1"/>
  <c r="AJ294" i="1"/>
  <c r="AG294" i="1"/>
  <c r="AI294" i="1" s="1"/>
  <c r="AF294" i="1"/>
  <c r="AE294" i="1"/>
  <c r="AD294" i="1"/>
  <c r="W294" i="1"/>
  <c r="V294" i="1"/>
  <c r="U294" i="1"/>
  <c r="T294" i="1"/>
  <c r="AA294" i="1" s="1"/>
  <c r="R294" i="1"/>
  <c r="BE293" i="1"/>
  <c r="BD293" i="1"/>
  <c r="AY293" i="1"/>
  <c r="AQ293" i="1"/>
  <c r="AP293" i="1"/>
  <c r="AM293" i="1"/>
  <c r="AL293" i="1"/>
  <c r="AK293" i="1"/>
  <c r="AJ293" i="1"/>
  <c r="AF293" i="1"/>
  <c r="AE293" i="1"/>
  <c r="AD293" i="1"/>
  <c r="W293" i="1"/>
  <c r="V293" i="1"/>
  <c r="T293" i="1"/>
  <c r="R293" i="1"/>
  <c r="BG292" i="1"/>
  <c r="BD292" i="1"/>
  <c r="BE292" i="1" s="1"/>
  <c r="BH292" i="1" s="1"/>
  <c r="AY292" i="1"/>
  <c r="AQ292" i="1"/>
  <c r="AP292" i="1"/>
  <c r="AM292" i="1"/>
  <c r="AL292" i="1"/>
  <c r="AK292" i="1"/>
  <c r="AJ292" i="1"/>
  <c r="AF292" i="1"/>
  <c r="AE292" i="1"/>
  <c r="V292" i="1" s="1"/>
  <c r="AA292" i="1" s="1"/>
  <c r="AD292" i="1"/>
  <c r="U292" i="1" s="1"/>
  <c r="W292" i="1"/>
  <c r="T292" i="1"/>
  <c r="R292" i="1"/>
  <c r="BD291" i="1"/>
  <c r="BE291" i="1" s="1"/>
  <c r="AY291" i="1"/>
  <c r="AQ291" i="1"/>
  <c r="AP291" i="1"/>
  <c r="AM291" i="1"/>
  <c r="AL291" i="1"/>
  <c r="AK291" i="1"/>
  <c r="AJ291" i="1"/>
  <c r="AF291" i="1"/>
  <c r="AE291" i="1"/>
  <c r="V291" i="1" s="1"/>
  <c r="AD291" i="1"/>
  <c r="W291" i="1"/>
  <c r="U291" i="1"/>
  <c r="T291" i="1"/>
  <c r="R291" i="1"/>
  <c r="BD290" i="1"/>
  <c r="BE290" i="1" s="1"/>
  <c r="BG290" i="1" s="1"/>
  <c r="AY290" i="1"/>
  <c r="AQ290" i="1"/>
  <c r="AP290" i="1"/>
  <c r="AM290" i="1"/>
  <c r="AL290" i="1"/>
  <c r="AK290" i="1"/>
  <c r="AJ290" i="1"/>
  <c r="AI290" i="1"/>
  <c r="AG290" i="1"/>
  <c r="AF290" i="1"/>
  <c r="AE290" i="1"/>
  <c r="AD290" i="1"/>
  <c r="AA290" i="1"/>
  <c r="W290" i="1"/>
  <c r="V290" i="1"/>
  <c r="U290" i="1"/>
  <c r="T290" i="1"/>
  <c r="R290" i="1"/>
  <c r="BE289" i="1"/>
  <c r="BD289" i="1"/>
  <c r="AY289" i="1"/>
  <c r="AQ289" i="1"/>
  <c r="AP289" i="1"/>
  <c r="AM289" i="1"/>
  <c r="AL289" i="1"/>
  <c r="AK289" i="1"/>
  <c r="AJ289" i="1"/>
  <c r="AF289" i="1"/>
  <c r="AE289" i="1"/>
  <c r="V289" i="1" s="1"/>
  <c r="AD289" i="1"/>
  <c r="W289" i="1"/>
  <c r="T289" i="1"/>
  <c r="R289" i="1"/>
  <c r="BD288" i="1"/>
  <c r="BE288" i="1" s="1"/>
  <c r="BH288" i="1" s="1"/>
  <c r="AY288" i="1"/>
  <c r="AQ288" i="1"/>
  <c r="AP288" i="1"/>
  <c r="AM288" i="1"/>
  <c r="AL288" i="1"/>
  <c r="AK288" i="1"/>
  <c r="AJ288" i="1"/>
  <c r="AG288" i="1"/>
  <c r="AI288" i="1" s="1"/>
  <c r="AF288" i="1"/>
  <c r="AE288" i="1"/>
  <c r="V288" i="1" s="1"/>
  <c r="AD288" i="1"/>
  <c r="U288" i="1" s="1"/>
  <c r="W288" i="1"/>
  <c r="T288" i="1"/>
  <c r="AA288" i="1" s="1"/>
  <c r="R288" i="1"/>
  <c r="BE287" i="1"/>
  <c r="BH287" i="1" s="1"/>
  <c r="BD287" i="1"/>
  <c r="AY287" i="1"/>
  <c r="AQ287" i="1"/>
  <c r="AP287" i="1"/>
  <c r="AM287" i="1"/>
  <c r="AL287" i="1"/>
  <c r="AK287" i="1"/>
  <c r="AJ287" i="1"/>
  <c r="AF287" i="1"/>
  <c r="AE287" i="1"/>
  <c r="V287" i="1" s="1"/>
  <c r="AD287" i="1"/>
  <c r="W287" i="1"/>
  <c r="U287" i="1"/>
  <c r="T287" i="1"/>
  <c r="R287" i="1"/>
  <c r="BH286" i="1"/>
  <c r="BD286" i="1"/>
  <c r="BE286" i="1" s="1"/>
  <c r="BG286" i="1" s="1"/>
  <c r="AY286" i="1"/>
  <c r="AQ286" i="1"/>
  <c r="AP286" i="1"/>
  <c r="AM286" i="1"/>
  <c r="AL286" i="1"/>
  <c r="AK286" i="1"/>
  <c r="AJ286" i="1"/>
  <c r="AF286" i="1"/>
  <c r="AG286" i="1" s="1"/>
  <c r="AI286" i="1" s="1"/>
  <c r="AE286" i="1"/>
  <c r="AD286" i="1"/>
  <c r="AA286" i="1"/>
  <c r="W286" i="1"/>
  <c r="V286" i="1"/>
  <c r="U286" i="1"/>
  <c r="T286" i="1"/>
  <c r="R286" i="1"/>
  <c r="BE285" i="1"/>
  <c r="BD285" i="1"/>
  <c r="AY285" i="1"/>
  <c r="AQ285" i="1"/>
  <c r="AP285" i="1"/>
  <c r="AM285" i="1"/>
  <c r="AL285" i="1"/>
  <c r="AK285" i="1"/>
  <c r="AJ285" i="1"/>
  <c r="AF285" i="1"/>
  <c r="AE285" i="1"/>
  <c r="V285" i="1" s="1"/>
  <c r="AD285" i="1"/>
  <c r="W285" i="1"/>
  <c r="T285" i="1"/>
  <c r="R285" i="1"/>
  <c r="BD284" i="1"/>
  <c r="BE284" i="1" s="1"/>
  <c r="BH284" i="1" s="1"/>
  <c r="AY284" i="1"/>
  <c r="AQ284" i="1"/>
  <c r="AP284" i="1"/>
  <c r="AM284" i="1"/>
  <c r="AL284" i="1"/>
  <c r="AK284" i="1"/>
  <c r="AJ284" i="1"/>
  <c r="AG284" i="1"/>
  <c r="AI284" i="1" s="1"/>
  <c r="AF284" i="1"/>
  <c r="AE284" i="1"/>
  <c r="V284" i="1" s="1"/>
  <c r="AD284" i="1"/>
  <c r="U284" i="1" s="1"/>
  <c r="AA284" i="1" s="1"/>
  <c r="W284" i="1"/>
  <c r="T284" i="1"/>
  <c r="R284" i="1"/>
  <c r="BD283" i="1"/>
  <c r="BE283" i="1" s="1"/>
  <c r="AY283" i="1"/>
  <c r="AQ283" i="1"/>
  <c r="AP283" i="1"/>
  <c r="AM283" i="1"/>
  <c r="AL283" i="1"/>
  <c r="AK283" i="1"/>
  <c r="AJ283" i="1"/>
  <c r="AI283" i="1"/>
  <c r="AF283" i="1"/>
  <c r="AE283" i="1"/>
  <c r="AD283" i="1"/>
  <c r="AG283" i="1" s="1"/>
  <c r="W283" i="1"/>
  <c r="V283" i="1"/>
  <c r="U283" i="1"/>
  <c r="AA283" i="1" s="1"/>
  <c r="T283" i="1"/>
  <c r="R283" i="1"/>
  <c r="BH282" i="1"/>
  <c r="BD282" i="1"/>
  <c r="BE282" i="1" s="1"/>
  <c r="BG282" i="1" s="1"/>
  <c r="AY282" i="1"/>
  <c r="AQ282" i="1"/>
  <c r="AP282" i="1"/>
  <c r="AM282" i="1"/>
  <c r="AL282" i="1"/>
  <c r="AK282" i="1"/>
  <c r="AJ282" i="1"/>
  <c r="AG282" i="1"/>
  <c r="AI282" i="1" s="1"/>
  <c r="AF282" i="1"/>
  <c r="AE282" i="1"/>
  <c r="AD282" i="1"/>
  <c r="AA282" i="1"/>
  <c r="W282" i="1"/>
  <c r="V282" i="1"/>
  <c r="U282" i="1"/>
  <c r="T282" i="1"/>
  <c r="R282" i="1"/>
  <c r="BE281" i="1"/>
  <c r="BD281" i="1"/>
  <c r="AY281" i="1"/>
  <c r="AQ281" i="1"/>
  <c r="AP281" i="1"/>
  <c r="AM281" i="1"/>
  <c r="AL281" i="1"/>
  <c r="AK281" i="1"/>
  <c r="AJ281" i="1"/>
  <c r="AF281" i="1"/>
  <c r="AE281" i="1"/>
  <c r="V281" i="1" s="1"/>
  <c r="AD281" i="1"/>
  <c r="W281" i="1"/>
  <c r="T281" i="1"/>
  <c r="R281" i="1"/>
  <c r="BH280" i="1"/>
  <c r="BG280" i="1"/>
  <c r="BD280" i="1"/>
  <c r="BE280" i="1" s="1"/>
  <c r="AY280" i="1"/>
  <c r="AQ280" i="1"/>
  <c r="AP280" i="1"/>
  <c r="AM280" i="1"/>
  <c r="AL280" i="1"/>
  <c r="AK280" i="1"/>
  <c r="AJ280" i="1"/>
  <c r="AG280" i="1"/>
  <c r="AI280" i="1" s="1"/>
  <c r="AF280" i="1"/>
  <c r="AE280" i="1"/>
  <c r="V280" i="1" s="1"/>
  <c r="AD280" i="1"/>
  <c r="U280" i="1" s="1"/>
  <c r="W280" i="1"/>
  <c r="T280" i="1"/>
  <c r="AA280" i="1" s="1"/>
  <c r="R280" i="1"/>
  <c r="BE279" i="1"/>
  <c r="BH279" i="1" s="1"/>
  <c r="BD279" i="1"/>
  <c r="AY279" i="1"/>
  <c r="AQ279" i="1"/>
  <c r="AP279" i="1"/>
  <c r="AM279" i="1"/>
  <c r="AL279" i="1"/>
  <c r="AK279" i="1"/>
  <c r="AJ279" i="1"/>
  <c r="AF279" i="1"/>
  <c r="AE279" i="1"/>
  <c r="AD279" i="1"/>
  <c r="W279" i="1"/>
  <c r="V279" i="1"/>
  <c r="U279" i="1"/>
  <c r="T279" i="1"/>
  <c r="R279" i="1"/>
  <c r="BD278" i="1"/>
  <c r="BE278" i="1" s="1"/>
  <c r="BG278" i="1" s="1"/>
  <c r="AY278" i="1"/>
  <c r="AQ278" i="1"/>
  <c r="AP278" i="1"/>
  <c r="AM278" i="1"/>
  <c r="AL278" i="1"/>
  <c r="AK278" i="1"/>
  <c r="AJ278" i="1"/>
  <c r="AF278" i="1"/>
  <c r="AG278" i="1" s="1"/>
  <c r="AI278" i="1" s="1"/>
  <c r="AE278" i="1"/>
  <c r="AD278" i="1"/>
  <c r="AA278" i="1"/>
  <c r="W278" i="1"/>
  <c r="V278" i="1"/>
  <c r="U278" i="1"/>
  <c r="T278" i="1"/>
  <c r="R278" i="1"/>
  <c r="BE277" i="1"/>
  <c r="BD277" i="1"/>
  <c r="AY277" i="1"/>
  <c r="AQ277" i="1"/>
  <c r="AP277" i="1"/>
  <c r="AM277" i="1"/>
  <c r="AL277" i="1"/>
  <c r="AK277" i="1"/>
  <c r="AJ277" i="1"/>
  <c r="AF277" i="1"/>
  <c r="AE277" i="1"/>
  <c r="V277" i="1" s="1"/>
  <c r="AD277" i="1"/>
  <c r="W277" i="1"/>
  <c r="T277" i="1"/>
  <c r="R277" i="1"/>
  <c r="BH276" i="1"/>
  <c r="BD276" i="1"/>
  <c r="BE276" i="1" s="1"/>
  <c r="BG276" i="1" s="1"/>
  <c r="AY276" i="1"/>
  <c r="AQ276" i="1"/>
  <c r="AP276" i="1"/>
  <c r="AM276" i="1"/>
  <c r="AL276" i="1"/>
  <c r="AK276" i="1"/>
  <c r="AJ276" i="1"/>
  <c r="AG276" i="1"/>
  <c r="AI276" i="1" s="1"/>
  <c r="AF276" i="1"/>
  <c r="AE276" i="1"/>
  <c r="V276" i="1" s="1"/>
  <c r="AD276" i="1"/>
  <c r="U276" i="1" s="1"/>
  <c r="W276" i="1"/>
  <c r="T276" i="1"/>
  <c r="AA276" i="1" s="1"/>
  <c r="R276" i="1"/>
  <c r="BG275" i="1"/>
  <c r="BE275" i="1"/>
  <c r="BH275" i="1" s="1"/>
  <c r="BD275" i="1"/>
  <c r="AY275" i="1"/>
  <c r="AQ275" i="1"/>
  <c r="AP275" i="1"/>
  <c r="AM275" i="1"/>
  <c r="AL275" i="1"/>
  <c r="AK275" i="1"/>
  <c r="AJ275" i="1"/>
  <c r="AF275" i="1"/>
  <c r="AE275" i="1"/>
  <c r="AD275" i="1"/>
  <c r="AG275" i="1" s="1"/>
  <c r="AI275" i="1" s="1"/>
  <c r="W275" i="1"/>
  <c r="V275" i="1"/>
  <c r="T275" i="1"/>
  <c r="R275" i="1"/>
  <c r="BD274" i="1"/>
  <c r="BE274" i="1" s="1"/>
  <c r="BH274" i="1" s="1"/>
  <c r="AY274" i="1"/>
  <c r="AQ274" i="1"/>
  <c r="AP274" i="1"/>
  <c r="AM274" i="1"/>
  <c r="AL274" i="1"/>
  <c r="AK274" i="1"/>
  <c r="AJ274" i="1"/>
  <c r="AG274" i="1"/>
  <c r="AI274" i="1" s="1"/>
  <c r="AF274" i="1"/>
  <c r="AE274" i="1"/>
  <c r="AD274" i="1"/>
  <c r="W274" i="1"/>
  <c r="V274" i="1"/>
  <c r="U274" i="1"/>
  <c r="T274" i="1"/>
  <c r="AA274" i="1" s="1"/>
  <c r="R274" i="1"/>
  <c r="BG273" i="1"/>
  <c r="BE273" i="1"/>
  <c r="BH273" i="1" s="1"/>
  <c r="BD273" i="1"/>
  <c r="AY273" i="1"/>
  <c r="AQ273" i="1"/>
  <c r="AP273" i="1"/>
  <c r="AM273" i="1"/>
  <c r="AL273" i="1"/>
  <c r="AK273" i="1"/>
  <c r="AJ273" i="1"/>
  <c r="AF273" i="1"/>
  <c r="AE273" i="1"/>
  <c r="AD273" i="1"/>
  <c r="AG273" i="1" s="1"/>
  <c r="AI273" i="1" s="1"/>
  <c r="W273" i="1"/>
  <c r="V273" i="1"/>
  <c r="T273" i="1"/>
  <c r="R273" i="1"/>
  <c r="BD272" i="1"/>
  <c r="BE272" i="1" s="1"/>
  <c r="BH272" i="1" s="1"/>
  <c r="AY272" i="1"/>
  <c r="AQ272" i="1"/>
  <c r="AP272" i="1"/>
  <c r="AM272" i="1"/>
  <c r="AL272" i="1"/>
  <c r="AK272" i="1"/>
  <c r="AJ272" i="1"/>
  <c r="AG272" i="1"/>
  <c r="AI272" i="1" s="1"/>
  <c r="AF272" i="1"/>
  <c r="AE272" i="1"/>
  <c r="V272" i="1" s="1"/>
  <c r="AD272" i="1"/>
  <c r="U272" i="1" s="1"/>
  <c r="W272" i="1"/>
  <c r="T272" i="1"/>
  <c r="R272" i="1"/>
  <c r="BE271" i="1"/>
  <c r="BH271" i="1" s="1"/>
  <c r="BD271" i="1"/>
  <c r="AY271" i="1"/>
  <c r="AQ271" i="1"/>
  <c r="AP271" i="1"/>
  <c r="AM271" i="1"/>
  <c r="AL271" i="1"/>
  <c r="AK271" i="1"/>
  <c r="AJ271" i="1"/>
  <c r="AF271" i="1"/>
  <c r="AE271" i="1"/>
  <c r="AD271" i="1"/>
  <c r="W271" i="1"/>
  <c r="V271" i="1"/>
  <c r="U271" i="1"/>
  <c r="T271" i="1"/>
  <c r="R271" i="1"/>
  <c r="BG270" i="1"/>
  <c r="BD270" i="1"/>
  <c r="BE270" i="1" s="1"/>
  <c r="BH270" i="1" s="1"/>
  <c r="AY270" i="1"/>
  <c r="AQ270" i="1"/>
  <c r="AP270" i="1"/>
  <c r="AM270" i="1"/>
  <c r="AL270" i="1"/>
  <c r="AK270" i="1"/>
  <c r="AJ270" i="1"/>
  <c r="AF270" i="1"/>
  <c r="AG270" i="1" s="1"/>
  <c r="AI270" i="1" s="1"/>
  <c r="AE270" i="1"/>
  <c r="AD270" i="1"/>
  <c r="U270" i="1" s="1"/>
  <c r="W270" i="1"/>
  <c r="V270" i="1"/>
  <c r="T270" i="1"/>
  <c r="R270" i="1"/>
  <c r="BE269" i="1"/>
  <c r="BH269" i="1" s="1"/>
  <c r="BD269" i="1"/>
  <c r="AY269" i="1"/>
  <c r="AQ269" i="1"/>
  <c r="AP269" i="1"/>
  <c r="AM269" i="1"/>
  <c r="AL269" i="1"/>
  <c r="AK269" i="1"/>
  <c r="AJ269" i="1"/>
  <c r="AF269" i="1"/>
  <c r="AE269" i="1"/>
  <c r="AD269" i="1"/>
  <c r="W269" i="1"/>
  <c r="V269" i="1"/>
  <c r="U269" i="1"/>
  <c r="T269" i="1"/>
  <c r="R269" i="1"/>
  <c r="BG268" i="1"/>
  <c r="BD268" i="1"/>
  <c r="BE268" i="1" s="1"/>
  <c r="BH268" i="1" s="1"/>
  <c r="AY268" i="1"/>
  <c r="AQ268" i="1"/>
  <c r="AP268" i="1"/>
  <c r="AM268" i="1"/>
  <c r="AL268" i="1"/>
  <c r="AK268" i="1"/>
  <c r="AJ268" i="1"/>
  <c r="AF268" i="1"/>
  <c r="AG268" i="1" s="1"/>
  <c r="AI268" i="1" s="1"/>
  <c r="AE268" i="1"/>
  <c r="V268" i="1" s="1"/>
  <c r="AD268" i="1"/>
  <c r="U268" i="1" s="1"/>
  <c r="AA268" i="1" s="1"/>
  <c r="W268" i="1"/>
  <c r="T268" i="1"/>
  <c r="R268" i="1"/>
  <c r="BD267" i="1"/>
  <c r="BE267" i="1" s="1"/>
  <c r="AY267" i="1"/>
  <c r="AQ267" i="1"/>
  <c r="AP267" i="1"/>
  <c r="AM267" i="1"/>
  <c r="AL267" i="1"/>
  <c r="AK267" i="1"/>
  <c r="AJ267" i="1"/>
  <c r="AF267" i="1"/>
  <c r="AE267" i="1"/>
  <c r="AD267" i="1"/>
  <c r="W267" i="1"/>
  <c r="V267" i="1"/>
  <c r="U267" i="1"/>
  <c r="AA267" i="1" s="1"/>
  <c r="T267" i="1"/>
  <c r="R267" i="1"/>
  <c r="BH266" i="1"/>
  <c r="BD266" i="1"/>
  <c r="BE266" i="1" s="1"/>
  <c r="BG266" i="1" s="1"/>
  <c r="AY266" i="1"/>
  <c r="AQ266" i="1"/>
  <c r="AP266" i="1"/>
  <c r="AM266" i="1"/>
  <c r="AL266" i="1"/>
  <c r="AK266" i="1"/>
  <c r="AJ266" i="1"/>
  <c r="AF266" i="1"/>
  <c r="AE266" i="1"/>
  <c r="AD266" i="1"/>
  <c r="U266" i="1" s="1"/>
  <c r="AA266" i="1" s="1"/>
  <c r="W266" i="1"/>
  <c r="V266" i="1"/>
  <c r="T266" i="1"/>
  <c r="R266" i="1"/>
  <c r="BD265" i="1"/>
  <c r="BE265" i="1" s="1"/>
  <c r="AY265" i="1"/>
  <c r="AQ265" i="1"/>
  <c r="AP265" i="1"/>
  <c r="AM265" i="1"/>
  <c r="AL265" i="1"/>
  <c r="AK265" i="1"/>
  <c r="AJ265" i="1"/>
  <c r="AF265" i="1"/>
  <c r="AE265" i="1"/>
  <c r="AD265" i="1"/>
  <c r="W265" i="1"/>
  <c r="V265" i="1"/>
  <c r="U265" i="1"/>
  <c r="T265" i="1"/>
  <c r="R265" i="1"/>
  <c r="BD264" i="1"/>
  <c r="BE264" i="1" s="1"/>
  <c r="BH264" i="1" s="1"/>
  <c r="AY264" i="1"/>
  <c r="AQ264" i="1"/>
  <c r="AP264" i="1"/>
  <c r="AM264" i="1"/>
  <c r="AL264" i="1"/>
  <c r="AK264" i="1"/>
  <c r="AJ264" i="1"/>
  <c r="AF264" i="1"/>
  <c r="AE264" i="1"/>
  <c r="V264" i="1" s="1"/>
  <c r="AD264" i="1"/>
  <c r="U264" i="1" s="1"/>
  <c r="AA264" i="1" s="1"/>
  <c r="W264" i="1"/>
  <c r="T264" i="1"/>
  <c r="R264" i="1"/>
  <c r="BE263" i="1"/>
  <c r="BH263" i="1" s="1"/>
  <c r="BD263" i="1"/>
  <c r="AY263" i="1"/>
  <c r="AQ263" i="1"/>
  <c r="AP263" i="1"/>
  <c r="AM263" i="1"/>
  <c r="AL263" i="1"/>
  <c r="AK263" i="1"/>
  <c r="AJ263" i="1"/>
  <c r="AF263" i="1"/>
  <c r="AE263" i="1"/>
  <c r="AD263" i="1"/>
  <c r="W263" i="1"/>
  <c r="V263" i="1"/>
  <c r="U263" i="1"/>
  <c r="AA263" i="1" s="1"/>
  <c r="T263" i="1"/>
  <c r="R263" i="1"/>
  <c r="BE262" i="1"/>
  <c r="BH262" i="1" s="1"/>
  <c r="BD262" i="1"/>
  <c r="AY262" i="1"/>
  <c r="AQ262" i="1"/>
  <c r="AP262" i="1"/>
  <c r="AM262" i="1"/>
  <c r="AL262" i="1"/>
  <c r="AK262" i="1"/>
  <c r="AJ262" i="1"/>
  <c r="AF262" i="1"/>
  <c r="AG262" i="1" s="1"/>
  <c r="AI262" i="1" s="1"/>
  <c r="AE262" i="1"/>
  <c r="AD262" i="1"/>
  <c r="U262" i="1" s="1"/>
  <c r="W262" i="1"/>
  <c r="V262" i="1"/>
  <c r="T262" i="1"/>
  <c r="R262" i="1"/>
  <c r="BE261" i="1"/>
  <c r="BH261" i="1" s="1"/>
  <c r="BD261" i="1"/>
  <c r="AY261" i="1"/>
  <c r="AQ261" i="1"/>
  <c r="AP261" i="1"/>
  <c r="AM261" i="1"/>
  <c r="AL261" i="1"/>
  <c r="AK261" i="1"/>
  <c r="AJ261" i="1"/>
  <c r="AF261" i="1"/>
  <c r="AE261" i="1"/>
  <c r="AD261" i="1"/>
  <c r="AG261" i="1" s="1"/>
  <c r="AI261" i="1" s="1"/>
  <c r="W261" i="1"/>
  <c r="V261" i="1"/>
  <c r="T261" i="1"/>
  <c r="R261" i="1"/>
  <c r="BD260" i="1"/>
  <c r="BE260" i="1" s="1"/>
  <c r="BH260" i="1" s="1"/>
  <c r="AY260" i="1"/>
  <c r="AQ260" i="1"/>
  <c r="AP260" i="1"/>
  <c r="AM260" i="1"/>
  <c r="AL260" i="1"/>
  <c r="AK260" i="1"/>
  <c r="AJ260" i="1"/>
  <c r="AG260" i="1"/>
  <c r="AI260" i="1" s="1"/>
  <c r="AF260" i="1"/>
  <c r="AE260" i="1"/>
  <c r="V260" i="1" s="1"/>
  <c r="AD260" i="1"/>
  <c r="U260" i="1" s="1"/>
  <c r="W260" i="1"/>
  <c r="T260" i="1"/>
  <c r="R260" i="1"/>
  <c r="BH259" i="1"/>
  <c r="BG259" i="1"/>
  <c r="BE259" i="1"/>
  <c r="BD259" i="1"/>
  <c r="AY259" i="1"/>
  <c r="AQ259" i="1"/>
  <c r="AP259" i="1"/>
  <c r="AM259" i="1"/>
  <c r="AL259" i="1"/>
  <c r="AK259" i="1"/>
  <c r="AJ259" i="1"/>
  <c r="AF259" i="1"/>
  <c r="AE259" i="1"/>
  <c r="AD259" i="1"/>
  <c r="AG259" i="1" s="1"/>
  <c r="AI259" i="1" s="1"/>
  <c r="W259" i="1"/>
  <c r="V259" i="1"/>
  <c r="T259" i="1"/>
  <c r="R259" i="1"/>
  <c r="BE258" i="1"/>
  <c r="BH258" i="1" s="1"/>
  <c r="BD258" i="1"/>
  <c r="AY258" i="1"/>
  <c r="AQ258" i="1"/>
  <c r="AP258" i="1"/>
  <c r="AM258" i="1"/>
  <c r="AL258" i="1"/>
  <c r="AK258" i="1"/>
  <c r="AJ258" i="1"/>
  <c r="AG258" i="1"/>
  <c r="AI258" i="1" s="1"/>
  <c r="AF258" i="1"/>
  <c r="AE258" i="1"/>
  <c r="AD258" i="1"/>
  <c r="W258" i="1"/>
  <c r="V258" i="1"/>
  <c r="U258" i="1"/>
  <c r="T258" i="1"/>
  <c r="AA258" i="1" s="1"/>
  <c r="R258" i="1"/>
  <c r="BE257" i="1"/>
  <c r="BH257" i="1" s="1"/>
  <c r="BD257" i="1"/>
  <c r="AY257" i="1"/>
  <c r="AQ257" i="1"/>
  <c r="AP257" i="1"/>
  <c r="AM257" i="1"/>
  <c r="AL257" i="1"/>
  <c r="AK257" i="1"/>
  <c r="AJ257" i="1"/>
  <c r="AF257" i="1"/>
  <c r="AG257" i="1" s="1"/>
  <c r="AI257" i="1" s="1"/>
  <c r="AE257" i="1"/>
  <c r="V257" i="1" s="1"/>
  <c r="AD257" i="1"/>
  <c r="U257" i="1" s="1"/>
  <c r="W257" i="1"/>
  <c r="T257" i="1"/>
  <c r="R257" i="1"/>
  <c r="BH256" i="1"/>
  <c r="BD256" i="1"/>
  <c r="BE256" i="1" s="1"/>
  <c r="BG256" i="1" s="1"/>
  <c r="AY256" i="1"/>
  <c r="AQ256" i="1"/>
  <c r="AP256" i="1"/>
  <c r="AM256" i="1"/>
  <c r="AL256" i="1"/>
  <c r="AK256" i="1"/>
  <c r="AJ256" i="1"/>
  <c r="AF256" i="1"/>
  <c r="AE256" i="1"/>
  <c r="AG256" i="1" s="1"/>
  <c r="AI256" i="1" s="1"/>
  <c r="AD256" i="1"/>
  <c r="W256" i="1"/>
  <c r="AA256" i="1" s="1"/>
  <c r="V256" i="1"/>
  <c r="U256" i="1"/>
  <c r="T256" i="1"/>
  <c r="R256" i="1"/>
  <c r="BD255" i="1"/>
  <c r="BE255" i="1" s="1"/>
  <c r="AY255" i="1"/>
  <c r="AQ255" i="1"/>
  <c r="AP255" i="1"/>
  <c r="AM255" i="1"/>
  <c r="AL255" i="1"/>
  <c r="AK255" i="1"/>
  <c r="AJ255" i="1"/>
  <c r="AF255" i="1"/>
  <c r="AG255" i="1" s="1"/>
  <c r="AI255" i="1" s="1"/>
  <c r="AE255" i="1"/>
  <c r="AD255" i="1"/>
  <c r="W255" i="1"/>
  <c r="V255" i="1"/>
  <c r="U255" i="1"/>
  <c r="T255" i="1"/>
  <c r="AA255" i="1" s="1"/>
  <c r="R255" i="1"/>
  <c r="BE254" i="1"/>
  <c r="BH254" i="1" s="1"/>
  <c r="BD254" i="1"/>
  <c r="AY254" i="1"/>
  <c r="AQ254" i="1"/>
  <c r="AP254" i="1"/>
  <c r="AM254" i="1"/>
  <c r="AL254" i="1"/>
  <c r="AK254" i="1"/>
  <c r="AJ254" i="1"/>
  <c r="AG254" i="1"/>
  <c r="AI254" i="1" s="1"/>
  <c r="AF254" i="1"/>
  <c r="AE254" i="1"/>
  <c r="V254" i="1" s="1"/>
  <c r="AD254" i="1"/>
  <c r="U254" i="1" s="1"/>
  <c r="W254" i="1"/>
  <c r="T254" i="1"/>
  <c r="AA254" i="1" s="1"/>
  <c r="R254" i="1"/>
  <c r="BH253" i="1"/>
  <c r="BG253" i="1"/>
  <c r="BE253" i="1"/>
  <c r="BD253" i="1"/>
  <c r="AY253" i="1"/>
  <c r="AQ253" i="1"/>
  <c r="AP253" i="1"/>
  <c r="AM253" i="1"/>
  <c r="AL253" i="1"/>
  <c r="AK253" i="1"/>
  <c r="AJ253" i="1"/>
  <c r="AF253" i="1"/>
  <c r="AE253" i="1"/>
  <c r="V253" i="1" s="1"/>
  <c r="AD253" i="1"/>
  <c r="U253" i="1" s="1"/>
  <c r="W253" i="1"/>
  <c r="T253" i="1"/>
  <c r="R253" i="1"/>
  <c r="BD252" i="1"/>
  <c r="BE252" i="1" s="1"/>
  <c r="AY252" i="1"/>
  <c r="AQ252" i="1"/>
  <c r="AP252" i="1"/>
  <c r="AM252" i="1"/>
  <c r="AL252" i="1"/>
  <c r="AK252" i="1"/>
  <c r="AJ252" i="1"/>
  <c r="AF252" i="1"/>
  <c r="AE252" i="1"/>
  <c r="AG252" i="1" s="1"/>
  <c r="AI252" i="1" s="1"/>
  <c r="AD252" i="1"/>
  <c r="AA252" i="1"/>
  <c r="W252" i="1"/>
  <c r="V252" i="1"/>
  <c r="U252" i="1"/>
  <c r="T252" i="1"/>
  <c r="R252" i="1"/>
  <c r="BE251" i="1"/>
  <c r="BH251" i="1" s="1"/>
  <c r="BD251" i="1"/>
  <c r="AY251" i="1"/>
  <c r="AQ251" i="1"/>
  <c r="AP251" i="1"/>
  <c r="AM251" i="1"/>
  <c r="AL251" i="1"/>
  <c r="AK251" i="1"/>
  <c r="AJ251" i="1"/>
  <c r="AF251" i="1"/>
  <c r="AG251" i="1" s="1"/>
  <c r="AI251" i="1" s="1"/>
  <c r="AE251" i="1"/>
  <c r="AD251" i="1"/>
  <c r="W251" i="1"/>
  <c r="V251" i="1"/>
  <c r="U251" i="1"/>
  <c r="T251" i="1"/>
  <c r="AA251" i="1" s="1"/>
  <c r="R251" i="1"/>
  <c r="BE250" i="1"/>
  <c r="BH250" i="1" s="1"/>
  <c r="BD250" i="1"/>
  <c r="AY250" i="1"/>
  <c r="AQ250" i="1"/>
  <c r="AP250" i="1"/>
  <c r="AM250" i="1"/>
  <c r="AL250" i="1"/>
  <c r="AK250" i="1"/>
  <c r="AJ250" i="1"/>
  <c r="AG250" i="1"/>
  <c r="AI250" i="1" s="1"/>
  <c r="AF250" i="1"/>
  <c r="AE250" i="1"/>
  <c r="V250" i="1" s="1"/>
  <c r="AD250" i="1"/>
  <c r="U250" i="1" s="1"/>
  <c r="W250" i="1"/>
  <c r="T250" i="1"/>
  <c r="AA250" i="1" s="1"/>
  <c r="R250" i="1"/>
  <c r="BH249" i="1"/>
  <c r="BG249" i="1"/>
  <c r="BE249" i="1"/>
  <c r="BD249" i="1"/>
  <c r="AY249" i="1"/>
  <c r="AQ249" i="1"/>
  <c r="AP249" i="1"/>
  <c r="AM249" i="1"/>
  <c r="AL249" i="1"/>
  <c r="AK249" i="1"/>
  <c r="AJ249" i="1"/>
  <c r="AF249" i="1"/>
  <c r="AE249" i="1"/>
  <c r="V249" i="1" s="1"/>
  <c r="AD249" i="1"/>
  <c r="U249" i="1" s="1"/>
  <c r="W249" i="1"/>
  <c r="T249" i="1"/>
  <c r="R249" i="1"/>
  <c r="BD248" i="1"/>
  <c r="BE248" i="1" s="1"/>
  <c r="AY248" i="1"/>
  <c r="AQ248" i="1"/>
  <c r="AP248" i="1"/>
  <c r="AM248" i="1"/>
  <c r="AL248" i="1"/>
  <c r="AK248" i="1"/>
  <c r="AJ248" i="1"/>
  <c r="AF248" i="1"/>
  <c r="AE248" i="1"/>
  <c r="AG248" i="1" s="1"/>
  <c r="AI248" i="1" s="1"/>
  <c r="AD248" i="1"/>
  <c r="AA248" i="1"/>
  <c r="W248" i="1"/>
  <c r="V248" i="1"/>
  <c r="U248" i="1"/>
  <c r="T248" i="1"/>
  <c r="R248" i="1"/>
  <c r="BE247" i="1"/>
  <c r="BH247" i="1" s="1"/>
  <c r="BD247" i="1"/>
  <c r="AY247" i="1"/>
  <c r="AQ247" i="1"/>
  <c r="AP247" i="1"/>
  <c r="AM247" i="1"/>
  <c r="AL247" i="1"/>
  <c r="AK247" i="1"/>
  <c r="AJ247" i="1"/>
  <c r="AF247" i="1"/>
  <c r="AG247" i="1" s="1"/>
  <c r="AI247" i="1" s="1"/>
  <c r="AE247" i="1"/>
  <c r="AD247" i="1"/>
  <c r="W247" i="1"/>
  <c r="V247" i="1"/>
  <c r="U247" i="1"/>
  <c r="T247" i="1"/>
  <c r="AA247" i="1" s="1"/>
  <c r="R247" i="1"/>
  <c r="BE246" i="1"/>
  <c r="BH246" i="1" s="1"/>
  <c r="BD246" i="1"/>
  <c r="AY246" i="1"/>
  <c r="AQ246" i="1"/>
  <c r="AP246" i="1"/>
  <c r="AM246" i="1"/>
  <c r="AL246" i="1"/>
  <c r="AK246" i="1"/>
  <c r="AJ246" i="1"/>
  <c r="AG246" i="1"/>
  <c r="AI246" i="1" s="1"/>
  <c r="AF246" i="1"/>
  <c r="AE246" i="1"/>
  <c r="V246" i="1" s="1"/>
  <c r="AD246" i="1"/>
  <c r="U246" i="1" s="1"/>
  <c r="W246" i="1"/>
  <c r="T246" i="1"/>
  <c r="R246" i="1"/>
  <c r="BH245" i="1"/>
  <c r="BG245" i="1"/>
  <c r="BE245" i="1"/>
  <c r="BD245" i="1"/>
  <c r="AY245" i="1"/>
  <c r="AQ245" i="1"/>
  <c r="AP245" i="1"/>
  <c r="AM245" i="1"/>
  <c r="AL245" i="1"/>
  <c r="AK245" i="1"/>
  <c r="AJ245" i="1"/>
  <c r="AF245" i="1"/>
  <c r="AE245" i="1"/>
  <c r="V245" i="1" s="1"/>
  <c r="AD245" i="1"/>
  <c r="U245" i="1" s="1"/>
  <c r="W245" i="1"/>
  <c r="T245" i="1"/>
  <c r="R245" i="1"/>
  <c r="BD244" i="1"/>
  <c r="BE244" i="1" s="1"/>
  <c r="AY244" i="1"/>
  <c r="AQ244" i="1"/>
  <c r="AP244" i="1"/>
  <c r="AM244" i="1"/>
  <c r="AL244" i="1"/>
  <c r="AK244" i="1"/>
  <c r="AJ244" i="1"/>
  <c r="AF244" i="1"/>
  <c r="AE244" i="1"/>
  <c r="AG244" i="1" s="1"/>
  <c r="AI244" i="1" s="1"/>
  <c r="AD244" i="1"/>
  <c r="AA244" i="1"/>
  <c r="W244" i="1"/>
  <c r="V244" i="1"/>
  <c r="U244" i="1"/>
  <c r="T244" i="1"/>
  <c r="R244" i="1"/>
  <c r="BE243" i="1"/>
  <c r="BH243" i="1" s="1"/>
  <c r="BD243" i="1"/>
  <c r="AY243" i="1"/>
  <c r="AQ243" i="1"/>
  <c r="AP243" i="1"/>
  <c r="AM243" i="1"/>
  <c r="AL243" i="1"/>
  <c r="AK243" i="1"/>
  <c r="AJ243" i="1"/>
  <c r="AF243" i="1"/>
  <c r="AG243" i="1" s="1"/>
  <c r="AI243" i="1" s="1"/>
  <c r="AE243" i="1"/>
  <c r="AD243" i="1"/>
  <c r="W243" i="1"/>
  <c r="V243" i="1"/>
  <c r="U243" i="1"/>
  <c r="T243" i="1"/>
  <c r="AA243" i="1" s="1"/>
  <c r="R243" i="1"/>
  <c r="BE242" i="1"/>
  <c r="BH242" i="1" s="1"/>
  <c r="BD242" i="1"/>
  <c r="AY242" i="1"/>
  <c r="AQ242" i="1"/>
  <c r="AP242" i="1"/>
  <c r="AM242" i="1"/>
  <c r="AL242" i="1"/>
  <c r="AK242" i="1"/>
  <c r="AJ242" i="1"/>
  <c r="AG242" i="1"/>
  <c r="AI242" i="1" s="1"/>
  <c r="AF242" i="1"/>
  <c r="AE242" i="1"/>
  <c r="V242" i="1" s="1"/>
  <c r="AD242" i="1"/>
  <c r="U242" i="1" s="1"/>
  <c r="W242" i="1"/>
  <c r="T242" i="1"/>
  <c r="R242" i="1"/>
  <c r="BH241" i="1"/>
  <c r="BG241" i="1"/>
  <c r="BE241" i="1"/>
  <c r="BD241" i="1"/>
  <c r="AY241" i="1"/>
  <c r="AQ241" i="1"/>
  <c r="AP241" i="1"/>
  <c r="AM241" i="1"/>
  <c r="AL241" i="1"/>
  <c r="AK241" i="1"/>
  <c r="AJ241" i="1"/>
  <c r="AF241" i="1"/>
  <c r="AE241" i="1"/>
  <c r="V241" i="1" s="1"/>
  <c r="AD241" i="1"/>
  <c r="U241" i="1" s="1"/>
  <c r="W241" i="1"/>
  <c r="T241" i="1"/>
  <c r="R241" i="1"/>
  <c r="BD240" i="1"/>
  <c r="BE240" i="1" s="1"/>
  <c r="AY240" i="1"/>
  <c r="AQ240" i="1"/>
  <c r="AP240" i="1"/>
  <c r="AM240" i="1"/>
  <c r="AL240" i="1"/>
  <c r="AK240" i="1"/>
  <c r="AJ240" i="1"/>
  <c r="AF240" i="1"/>
  <c r="AE240" i="1"/>
  <c r="AG240" i="1" s="1"/>
  <c r="AI240" i="1" s="1"/>
  <c r="AD240" i="1"/>
  <c r="AA240" i="1"/>
  <c r="W240" i="1"/>
  <c r="V240" i="1"/>
  <c r="U240" i="1"/>
  <c r="T240" i="1"/>
  <c r="R240" i="1"/>
  <c r="BE239" i="1"/>
  <c r="BH239" i="1" s="1"/>
  <c r="BD239" i="1"/>
  <c r="AY239" i="1"/>
  <c r="AQ239" i="1"/>
  <c r="AP239" i="1"/>
  <c r="AM239" i="1"/>
  <c r="AL239" i="1"/>
  <c r="AK239" i="1"/>
  <c r="AJ239" i="1"/>
  <c r="AF239" i="1"/>
  <c r="AG239" i="1" s="1"/>
  <c r="AI239" i="1" s="1"/>
  <c r="AE239" i="1"/>
  <c r="AD239" i="1"/>
  <c r="W239" i="1"/>
  <c r="V239" i="1"/>
  <c r="U239" i="1"/>
  <c r="T239" i="1"/>
  <c r="AA239" i="1" s="1"/>
  <c r="R239" i="1"/>
  <c r="BE238" i="1"/>
  <c r="BH238" i="1" s="1"/>
  <c r="BD238" i="1"/>
  <c r="AY238" i="1"/>
  <c r="AQ238" i="1"/>
  <c r="AP238" i="1"/>
  <c r="AM238" i="1"/>
  <c r="AL238" i="1"/>
  <c r="AK238" i="1"/>
  <c r="AJ238" i="1"/>
  <c r="AG238" i="1"/>
  <c r="AI238" i="1" s="1"/>
  <c r="AF238" i="1"/>
  <c r="AE238" i="1"/>
  <c r="V238" i="1" s="1"/>
  <c r="AD238" i="1"/>
  <c r="U238" i="1" s="1"/>
  <c r="W238" i="1"/>
  <c r="T238" i="1"/>
  <c r="R238" i="1"/>
  <c r="BH237" i="1"/>
  <c r="BG237" i="1"/>
  <c r="BE237" i="1"/>
  <c r="BD237" i="1"/>
  <c r="AY237" i="1"/>
  <c r="AQ237" i="1"/>
  <c r="AP237" i="1"/>
  <c r="AM237" i="1"/>
  <c r="AL237" i="1"/>
  <c r="AK237" i="1"/>
  <c r="AJ237" i="1"/>
  <c r="AF237" i="1"/>
  <c r="AE237" i="1"/>
  <c r="V237" i="1" s="1"/>
  <c r="AD237" i="1"/>
  <c r="U237" i="1" s="1"/>
  <c r="W237" i="1"/>
  <c r="T237" i="1"/>
  <c r="R237" i="1"/>
  <c r="BD236" i="1"/>
  <c r="BE236" i="1" s="1"/>
  <c r="AY236" i="1"/>
  <c r="AQ236" i="1"/>
  <c r="AP236" i="1"/>
  <c r="AM236" i="1"/>
  <c r="AL236" i="1"/>
  <c r="AK236" i="1"/>
  <c r="AJ236" i="1"/>
  <c r="AF236" i="1"/>
  <c r="AE236" i="1"/>
  <c r="AG236" i="1" s="1"/>
  <c r="AI236" i="1" s="1"/>
  <c r="AD236" i="1"/>
  <c r="AA236" i="1"/>
  <c r="W236" i="1"/>
  <c r="V236" i="1"/>
  <c r="U236" i="1"/>
  <c r="T236" i="1"/>
  <c r="R236" i="1"/>
  <c r="BE235" i="1"/>
  <c r="BH235" i="1" s="1"/>
  <c r="BD235" i="1"/>
  <c r="AY235" i="1"/>
  <c r="AQ235" i="1"/>
  <c r="AP235" i="1"/>
  <c r="AM235" i="1"/>
  <c r="AL235" i="1"/>
  <c r="AK235" i="1"/>
  <c r="AJ235" i="1"/>
  <c r="AF235" i="1"/>
  <c r="AG235" i="1" s="1"/>
  <c r="AI235" i="1" s="1"/>
  <c r="AE235" i="1"/>
  <c r="AD235" i="1"/>
  <c r="W235" i="1"/>
  <c r="V235" i="1"/>
  <c r="U235" i="1"/>
  <c r="T235" i="1"/>
  <c r="AA235" i="1" s="1"/>
  <c r="R235" i="1"/>
  <c r="BE234" i="1"/>
  <c r="BH234" i="1" s="1"/>
  <c r="BD234" i="1"/>
  <c r="AY234" i="1"/>
  <c r="AQ234" i="1"/>
  <c r="AP234" i="1"/>
  <c r="AM234" i="1"/>
  <c r="AL234" i="1"/>
  <c r="AK234" i="1"/>
  <c r="AJ234" i="1"/>
  <c r="AG234" i="1"/>
  <c r="AI234" i="1" s="1"/>
  <c r="AF234" i="1"/>
  <c r="AE234" i="1"/>
  <c r="V234" i="1" s="1"/>
  <c r="AD234" i="1"/>
  <c r="U234" i="1" s="1"/>
  <c r="W234" i="1"/>
  <c r="T234" i="1"/>
  <c r="R234" i="1"/>
  <c r="BH233" i="1"/>
  <c r="BG233" i="1"/>
  <c r="BE233" i="1"/>
  <c r="BD233" i="1"/>
  <c r="AY233" i="1"/>
  <c r="AQ233" i="1"/>
  <c r="AP233" i="1"/>
  <c r="AM233" i="1"/>
  <c r="AL233" i="1"/>
  <c r="AK233" i="1"/>
  <c r="AJ233" i="1"/>
  <c r="AF233" i="1"/>
  <c r="AE233" i="1"/>
  <c r="V233" i="1" s="1"/>
  <c r="AD233" i="1"/>
  <c r="U233" i="1" s="1"/>
  <c r="W233" i="1"/>
  <c r="T233" i="1"/>
  <c r="AA233" i="1" s="1"/>
  <c r="R233" i="1"/>
  <c r="BD232" i="1"/>
  <c r="BE232" i="1" s="1"/>
  <c r="AY232" i="1"/>
  <c r="AQ232" i="1"/>
  <c r="AP232" i="1"/>
  <c r="AM232" i="1"/>
  <c r="AL232" i="1"/>
  <c r="AK232" i="1"/>
  <c r="AJ232" i="1"/>
  <c r="AF232" i="1"/>
  <c r="AE232" i="1"/>
  <c r="AG232" i="1" s="1"/>
  <c r="AI232" i="1" s="1"/>
  <c r="AD232" i="1"/>
  <c r="AA232" i="1"/>
  <c r="W232" i="1"/>
  <c r="V232" i="1"/>
  <c r="U232" i="1"/>
  <c r="T232" i="1"/>
  <c r="R232" i="1"/>
  <c r="BE231" i="1"/>
  <c r="BH231" i="1" s="1"/>
  <c r="BD231" i="1"/>
  <c r="AY231" i="1"/>
  <c r="AQ231" i="1"/>
  <c r="AP231" i="1"/>
  <c r="AM231" i="1"/>
  <c r="AL231" i="1"/>
  <c r="AK231" i="1"/>
  <c r="AJ231" i="1"/>
  <c r="AF231" i="1"/>
  <c r="AG231" i="1" s="1"/>
  <c r="AI231" i="1" s="1"/>
  <c r="AE231" i="1"/>
  <c r="AD231" i="1"/>
  <c r="W231" i="1"/>
  <c r="V231" i="1"/>
  <c r="U231" i="1"/>
  <c r="T231" i="1"/>
  <c r="AA231" i="1" s="1"/>
  <c r="R231" i="1"/>
  <c r="BE230" i="1"/>
  <c r="BH230" i="1" s="1"/>
  <c r="BD230" i="1"/>
  <c r="AY230" i="1"/>
  <c r="AQ230" i="1"/>
  <c r="AP230" i="1"/>
  <c r="AM230" i="1"/>
  <c r="AL230" i="1"/>
  <c r="AK230" i="1"/>
  <c r="AJ230" i="1"/>
  <c r="AG230" i="1"/>
  <c r="AI230" i="1" s="1"/>
  <c r="AF230" i="1"/>
  <c r="AE230" i="1"/>
  <c r="V230" i="1" s="1"/>
  <c r="AD230" i="1"/>
  <c r="U230" i="1" s="1"/>
  <c r="W230" i="1"/>
  <c r="T230" i="1"/>
  <c r="R230" i="1"/>
  <c r="BH229" i="1"/>
  <c r="BG229" i="1"/>
  <c r="BE229" i="1"/>
  <c r="BD229" i="1"/>
  <c r="AY229" i="1"/>
  <c r="AQ229" i="1"/>
  <c r="AP229" i="1"/>
  <c r="AM229" i="1"/>
  <c r="AL229" i="1"/>
  <c r="AK229" i="1"/>
  <c r="AJ229" i="1"/>
  <c r="AF229" i="1"/>
  <c r="AE229" i="1"/>
  <c r="V229" i="1" s="1"/>
  <c r="AD229" i="1"/>
  <c r="U229" i="1" s="1"/>
  <c r="W229" i="1"/>
  <c r="T229" i="1"/>
  <c r="R229" i="1"/>
  <c r="BD228" i="1"/>
  <c r="BE228" i="1" s="1"/>
  <c r="AY228" i="1"/>
  <c r="AQ228" i="1"/>
  <c r="AP228" i="1"/>
  <c r="AM228" i="1"/>
  <c r="AL228" i="1"/>
  <c r="AK228" i="1"/>
  <c r="AJ228" i="1"/>
  <c r="AF228" i="1"/>
  <c r="AE228" i="1"/>
  <c r="AG228" i="1" s="1"/>
  <c r="AI228" i="1" s="1"/>
  <c r="AD228" i="1"/>
  <c r="AA228" i="1"/>
  <c r="W228" i="1"/>
  <c r="V228" i="1"/>
  <c r="U228" i="1"/>
  <c r="T228" i="1"/>
  <c r="R228" i="1"/>
  <c r="BE227" i="1"/>
  <c r="BH227" i="1" s="1"/>
  <c r="BD227" i="1"/>
  <c r="AY227" i="1"/>
  <c r="AQ227" i="1"/>
  <c r="AP227" i="1"/>
  <c r="AM227" i="1"/>
  <c r="AL227" i="1"/>
  <c r="AK227" i="1"/>
  <c r="AJ227" i="1"/>
  <c r="AF227" i="1"/>
  <c r="AG227" i="1" s="1"/>
  <c r="AI227" i="1" s="1"/>
  <c r="AE227" i="1"/>
  <c r="AD227" i="1"/>
  <c r="W227" i="1"/>
  <c r="V227" i="1"/>
  <c r="U227" i="1"/>
  <c r="T227" i="1"/>
  <c r="AA227" i="1" s="1"/>
  <c r="R227" i="1"/>
  <c r="BE226" i="1"/>
  <c r="BH226" i="1" s="1"/>
  <c r="BD226" i="1"/>
  <c r="AY226" i="1"/>
  <c r="AQ226" i="1"/>
  <c r="AP226" i="1"/>
  <c r="AM226" i="1"/>
  <c r="AL226" i="1"/>
  <c r="AK226" i="1"/>
  <c r="AJ226" i="1"/>
  <c r="AG226" i="1"/>
  <c r="AI226" i="1" s="1"/>
  <c r="AF226" i="1"/>
  <c r="AE226" i="1"/>
  <c r="V226" i="1" s="1"/>
  <c r="AD226" i="1"/>
  <c r="U226" i="1" s="1"/>
  <c r="W226" i="1"/>
  <c r="T226" i="1"/>
  <c r="R226" i="1"/>
  <c r="BH225" i="1"/>
  <c r="BG225" i="1"/>
  <c r="BE225" i="1"/>
  <c r="BD225" i="1"/>
  <c r="AY225" i="1"/>
  <c r="AQ225" i="1"/>
  <c r="AP225" i="1"/>
  <c r="AM225" i="1"/>
  <c r="AL225" i="1"/>
  <c r="AK225" i="1"/>
  <c r="AJ225" i="1"/>
  <c r="AF225" i="1"/>
  <c r="AE225" i="1"/>
  <c r="V225" i="1" s="1"/>
  <c r="AD225" i="1"/>
  <c r="U225" i="1" s="1"/>
  <c r="W225" i="1"/>
  <c r="T225" i="1"/>
  <c r="R225" i="1"/>
  <c r="BD224" i="1"/>
  <c r="BE224" i="1" s="1"/>
  <c r="AY224" i="1"/>
  <c r="AQ224" i="1"/>
  <c r="AP224" i="1"/>
  <c r="AM224" i="1"/>
  <c r="AL224" i="1"/>
  <c r="AK224" i="1"/>
  <c r="AJ224" i="1"/>
  <c r="AF224" i="1"/>
  <c r="AE224" i="1"/>
  <c r="AG224" i="1" s="1"/>
  <c r="AI224" i="1" s="1"/>
  <c r="AD224" i="1"/>
  <c r="AA224" i="1"/>
  <c r="W224" i="1"/>
  <c r="V224" i="1"/>
  <c r="U224" i="1"/>
  <c r="T224" i="1"/>
  <c r="R224" i="1"/>
  <c r="BE223" i="1"/>
  <c r="BH223" i="1" s="1"/>
  <c r="BD223" i="1"/>
  <c r="AY223" i="1"/>
  <c r="AQ223" i="1"/>
  <c r="AP223" i="1"/>
  <c r="AM223" i="1"/>
  <c r="AL223" i="1"/>
  <c r="AK223" i="1"/>
  <c r="AJ223" i="1"/>
  <c r="AF223" i="1"/>
  <c r="AG223" i="1" s="1"/>
  <c r="AI223" i="1" s="1"/>
  <c r="AE223" i="1"/>
  <c r="AD223" i="1"/>
  <c r="W223" i="1"/>
  <c r="V223" i="1"/>
  <c r="U223" i="1"/>
  <c r="T223" i="1"/>
  <c r="AA223" i="1" s="1"/>
  <c r="R223" i="1"/>
  <c r="BE222" i="1"/>
  <c r="BH222" i="1" s="1"/>
  <c r="BD222" i="1"/>
  <c r="AY222" i="1"/>
  <c r="AQ222" i="1"/>
  <c r="AP222" i="1"/>
  <c r="AM222" i="1"/>
  <c r="AL222" i="1"/>
  <c r="AK222" i="1"/>
  <c r="AJ222" i="1"/>
  <c r="AG222" i="1"/>
  <c r="AI222" i="1" s="1"/>
  <c r="AF222" i="1"/>
  <c r="AE222" i="1"/>
  <c r="V222" i="1" s="1"/>
  <c r="AD222" i="1"/>
  <c r="U222" i="1" s="1"/>
  <c r="W222" i="1"/>
  <c r="T222" i="1"/>
  <c r="AA222" i="1" s="1"/>
  <c r="R222" i="1"/>
  <c r="BH221" i="1"/>
  <c r="BG221" i="1"/>
  <c r="BE221" i="1"/>
  <c r="BD221" i="1"/>
  <c r="AY221" i="1"/>
  <c r="AQ221" i="1"/>
  <c r="AP221" i="1"/>
  <c r="AM221" i="1"/>
  <c r="AL221" i="1"/>
  <c r="AK221" i="1"/>
  <c r="AJ221" i="1"/>
  <c r="AF221" i="1"/>
  <c r="AE221" i="1"/>
  <c r="V221" i="1" s="1"/>
  <c r="AD221" i="1"/>
  <c r="U221" i="1" s="1"/>
  <c r="W221" i="1"/>
  <c r="T221" i="1"/>
  <c r="R221" i="1"/>
  <c r="BD220" i="1"/>
  <c r="BE220" i="1" s="1"/>
  <c r="AY220" i="1"/>
  <c r="AQ220" i="1"/>
  <c r="AP220" i="1"/>
  <c r="AM220" i="1"/>
  <c r="AL220" i="1"/>
  <c r="AK220" i="1"/>
  <c r="AJ220" i="1"/>
  <c r="AF220" i="1"/>
  <c r="AE220" i="1"/>
  <c r="AG220" i="1" s="1"/>
  <c r="AI220" i="1" s="1"/>
  <c r="AD220" i="1"/>
  <c r="AA220" i="1"/>
  <c r="W220" i="1"/>
  <c r="V220" i="1"/>
  <c r="U220" i="1"/>
  <c r="T220" i="1"/>
  <c r="R220" i="1"/>
  <c r="BE219" i="1"/>
  <c r="BH219" i="1" s="1"/>
  <c r="BD219" i="1"/>
  <c r="AY219" i="1"/>
  <c r="AQ219" i="1"/>
  <c r="AP219" i="1"/>
  <c r="AM219" i="1"/>
  <c r="AL219" i="1"/>
  <c r="AK219" i="1"/>
  <c r="AJ219" i="1"/>
  <c r="AF219" i="1"/>
  <c r="AG219" i="1" s="1"/>
  <c r="AI219" i="1" s="1"/>
  <c r="AE219" i="1"/>
  <c r="AD219" i="1"/>
  <c r="W219" i="1"/>
  <c r="V219" i="1"/>
  <c r="U219" i="1"/>
  <c r="T219" i="1"/>
  <c r="AA219" i="1" s="1"/>
  <c r="R219" i="1"/>
  <c r="BE218" i="1"/>
  <c r="BH218" i="1" s="1"/>
  <c r="BD218" i="1"/>
  <c r="AY218" i="1"/>
  <c r="AQ218" i="1"/>
  <c r="AP218" i="1"/>
  <c r="AM218" i="1"/>
  <c r="AL218" i="1"/>
  <c r="AK218" i="1"/>
  <c r="AJ218" i="1"/>
  <c r="AG218" i="1"/>
  <c r="AI218" i="1" s="1"/>
  <c r="AF218" i="1"/>
  <c r="AE218" i="1"/>
  <c r="AD218" i="1"/>
  <c r="U218" i="1" s="1"/>
  <c r="W218" i="1"/>
  <c r="V218" i="1"/>
  <c r="T218" i="1"/>
  <c r="AA218" i="1" s="1"/>
  <c r="R218" i="1"/>
  <c r="BH217" i="1"/>
  <c r="BG217" i="1"/>
  <c r="BE217" i="1"/>
  <c r="BD217" i="1"/>
  <c r="AY217" i="1"/>
  <c r="AQ217" i="1"/>
  <c r="AP217" i="1"/>
  <c r="AR7" i="2" s="1"/>
  <c r="AM217" i="1"/>
  <c r="AL217" i="1"/>
  <c r="AK217" i="1"/>
  <c r="AJ217" i="1"/>
  <c r="AF217" i="1"/>
  <c r="AE217" i="1"/>
  <c r="AD217" i="1"/>
  <c r="AF7" i="2" s="1"/>
  <c r="W217" i="1"/>
  <c r="Y7" i="2" s="1"/>
  <c r="T217" i="1"/>
  <c r="R217" i="1"/>
  <c r="BG216" i="1"/>
  <c r="BD216" i="1"/>
  <c r="BE216" i="1" s="1"/>
  <c r="BH216" i="1" s="1"/>
  <c r="AY216" i="1"/>
  <c r="AQ216" i="1"/>
  <c r="AP216" i="1"/>
  <c r="AM216" i="1"/>
  <c r="AL216" i="1"/>
  <c r="AK216" i="1"/>
  <c r="AJ216" i="1"/>
  <c r="AF216" i="1"/>
  <c r="AE216" i="1"/>
  <c r="V216" i="1" s="1"/>
  <c r="AA216" i="1" s="1"/>
  <c r="AD216" i="1"/>
  <c r="AG216" i="1" s="1"/>
  <c r="AI216" i="1" s="1"/>
  <c r="W216" i="1"/>
  <c r="U216" i="1"/>
  <c r="T216" i="1"/>
  <c r="R216" i="1"/>
  <c r="BD215" i="1"/>
  <c r="BE215" i="1" s="1"/>
  <c r="AY215" i="1"/>
  <c r="AQ215" i="1"/>
  <c r="AP215" i="1"/>
  <c r="AM215" i="1"/>
  <c r="AL215" i="1"/>
  <c r="AK215" i="1"/>
  <c r="AJ215" i="1"/>
  <c r="AF215" i="1"/>
  <c r="AG215" i="1" s="1"/>
  <c r="AI215" i="1" s="1"/>
  <c r="AE215" i="1"/>
  <c r="AD215" i="1"/>
  <c r="W215" i="1"/>
  <c r="V215" i="1"/>
  <c r="U215" i="1"/>
  <c r="AA215" i="1" s="1"/>
  <c r="T215" i="1"/>
  <c r="R215" i="1"/>
  <c r="BD214" i="1"/>
  <c r="BE214" i="1" s="1"/>
  <c r="AY214" i="1"/>
  <c r="AQ214" i="1"/>
  <c r="AP214" i="1"/>
  <c r="AM214" i="1"/>
  <c r="AL214" i="1"/>
  <c r="AK214" i="1"/>
  <c r="AJ214" i="1"/>
  <c r="AG214" i="1"/>
  <c r="AI214" i="1" s="1"/>
  <c r="AF214" i="1"/>
  <c r="AE214" i="1"/>
  <c r="AD214" i="1"/>
  <c r="U214" i="1" s="1"/>
  <c r="W214" i="1"/>
  <c r="V214" i="1"/>
  <c r="T214" i="1"/>
  <c r="AA214" i="1" s="1"/>
  <c r="R214" i="1"/>
  <c r="BH213" i="1"/>
  <c r="BG213" i="1"/>
  <c r="BE213" i="1"/>
  <c r="BD213" i="1"/>
  <c r="AY213" i="1"/>
  <c r="AQ213" i="1"/>
  <c r="AP213" i="1"/>
  <c r="AM213" i="1"/>
  <c r="AL213" i="1"/>
  <c r="AK213" i="1"/>
  <c r="AJ213" i="1"/>
  <c r="AF213" i="1"/>
  <c r="AE213" i="1"/>
  <c r="V213" i="1" s="1"/>
  <c r="AD213" i="1"/>
  <c r="W213" i="1"/>
  <c r="T213" i="1"/>
  <c r="R213" i="1"/>
  <c r="BH212" i="1"/>
  <c r="BD212" i="1"/>
  <c r="BE212" i="1" s="1"/>
  <c r="BG212" i="1" s="1"/>
  <c r="AY212" i="1"/>
  <c r="AQ212" i="1"/>
  <c r="AP212" i="1"/>
  <c r="AM212" i="1"/>
  <c r="AL212" i="1"/>
  <c r="AK212" i="1"/>
  <c r="AJ212" i="1"/>
  <c r="AF212" i="1"/>
  <c r="AE212" i="1"/>
  <c r="V212" i="1" s="1"/>
  <c r="AD212" i="1"/>
  <c r="AG212" i="1" s="1"/>
  <c r="AI212" i="1" s="1"/>
  <c r="W212" i="1"/>
  <c r="U212" i="1"/>
  <c r="AA212" i="1" s="1"/>
  <c r="T212" i="1"/>
  <c r="R212" i="1"/>
  <c r="BD211" i="1"/>
  <c r="BE211" i="1" s="1"/>
  <c r="AY211" i="1"/>
  <c r="AQ211" i="1"/>
  <c r="AP211" i="1"/>
  <c r="AM211" i="1"/>
  <c r="AL211" i="1"/>
  <c r="AK211" i="1"/>
  <c r="AJ211" i="1"/>
  <c r="AF211" i="1"/>
  <c r="AG211" i="1" s="1"/>
  <c r="AI211" i="1" s="1"/>
  <c r="AE211" i="1"/>
  <c r="AD211" i="1"/>
  <c r="W211" i="1"/>
  <c r="V211" i="1"/>
  <c r="U211" i="1"/>
  <c r="AA211" i="1" s="1"/>
  <c r="T211" i="1"/>
  <c r="R211" i="1"/>
  <c r="BD210" i="1"/>
  <c r="BE210" i="1" s="1"/>
  <c r="AY210" i="1"/>
  <c r="AQ210" i="1"/>
  <c r="AP210" i="1"/>
  <c r="AM210" i="1"/>
  <c r="AL210" i="1"/>
  <c r="AK210" i="1"/>
  <c r="AJ210" i="1"/>
  <c r="AG210" i="1"/>
  <c r="AI210" i="1" s="1"/>
  <c r="AF210" i="1"/>
  <c r="AE210" i="1"/>
  <c r="AD210" i="1"/>
  <c r="U210" i="1" s="1"/>
  <c r="W210" i="1"/>
  <c r="V210" i="1"/>
  <c r="T210" i="1"/>
  <c r="R210" i="1"/>
  <c r="BH209" i="1"/>
  <c r="BG209" i="1"/>
  <c r="BE209" i="1"/>
  <c r="BD209" i="1"/>
  <c r="AY209" i="1"/>
  <c r="AQ209" i="1"/>
  <c r="AP209" i="1"/>
  <c r="AM209" i="1"/>
  <c r="AL209" i="1"/>
  <c r="AK209" i="1"/>
  <c r="AJ209" i="1"/>
  <c r="AF209" i="1"/>
  <c r="AE209" i="1"/>
  <c r="V209" i="1" s="1"/>
  <c r="AD209" i="1"/>
  <c r="W209" i="1"/>
  <c r="T209" i="1"/>
  <c r="R209" i="1"/>
  <c r="BG208" i="1"/>
  <c r="BD208" i="1"/>
  <c r="BE208" i="1" s="1"/>
  <c r="BH208" i="1" s="1"/>
  <c r="AY208" i="1"/>
  <c r="AQ208" i="1"/>
  <c r="AP208" i="1"/>
  <c r="AM208" i="1"/>
  <c r="AL208" i="1"/>
  <c r="AK208" i="1"/>
  <c r="AJ208" i="1"/>
  <c r="AI208" i="1"/>
  <c r="AF208" i="1"/>
  <c r="AE208" i="1"/>
  <c r="V208" i="1" s="1"/>
  <c r="AD208" i="1"/>
  <c r="AG208" i="1" s="1"/>
  <c r="W208" i="1"/>
  <c r="U208" i="1"/>
  <c r="AA208" i="1" s="1"/>
  <c r="T208" i="1"/>
  <c r="R208" i="1"/>
  <c r="BD207" i="1"/>
  <c r="BE207" i="1" s="1"/>
  <c r="AY207" i="1"/>
  <c r="AQ207" i="1"/>
  <c r="AP207" i="1"/>
  <c r="AM207" i="1"/>
  <c r="AL207" i="1"/>
  <c r="AK207" i="1"/>
  <c r="AJ207" i="1"/>
  <c r="AI207" i="1"/>
  <c r="AF207" i="1"/>
  <c r="AG207" i="1" s="1"/>
  <c r="AE207" i="1"/>
  <c r="AD207" i="1"/>
  <c r="W207" i="1"/>
  <c r="V207" i="1"/>
  <c r="U207" i="1"/>
  <c r="T207" i="1"/>
  <c r="R207" i="1"/>
  <c r="BD206" i="1"/>
  <c r="BE206" i="1" s="1"/>
  <c r="AY206" i="1"/>
  <c r="AQ206" i="1"/>
  <c r="AP206" i="1"/>
  <c r="AM206" i="1"/>
  <c r="AL206" i="1"/>
  <c r="AK206" i="1"/>
  <c r="AJ206" i="1"/>
  <c r="AF206" i="1"/>
  <c r="AE206" i="1"/>
  <c r="AD206" i="1"/>
  <c r="U206" i="1" s="1"/>
  <c r="W206" i="1"/>
  <c r="V206" i="1"/>
  <c r="T206" i="1"/>
  <c r="R206" i="1"/>
  <c r="BH205" i="1"/>
  <c r="BG205" i="1"/>
  <c r="BE205" i="1"/>
  <c r="BD205" i="1"/>
  <c r="AY205" i="1"/>
  <c r="AQ205" i="1"/>
  <c r="AP205" i="1"/>
  <c r="AM205" i="1"/>
  <c r="AL205" i="1"/>
  <c r="AK205" i="1"/>
  <c r="AJ205" i="1"/>
  <c r="AF205" i="1"/>
  <c r="AE205" i="1"/>
  <c r="V205" i="1" s="1"/>
  <c r="AD205" i="1"/>
  <c r="W205" i="1"/>
  <c r="T205" i="1"/>
  <c r="R205" i="1"/>
  <c r="BH204" i="1"/>
  <c r="BD204" i="1"/>
  <c r="BE204" i="1" s="1"/>
  <c r="BG204" i="1" s="1"/>
  <c r="AY204" i="1"/>
  <c r="AQ204" i="1"/>
  <c r="AP204" i="1"/>
  <c r="AM204" i="1"/>
  <c r="AL204" i="1"/>
  <c r="AK204" i="1"/>
  <c r="AJ204" i="1"/>
  <c r="AI204" i="1"/>
  <c r="AF204" i="1"/>
  <c r="AE204" i="1"/>
  <c r="V204" i="1" s="1"/>
  <c r="AD204" i="1"/>
  <c r="AG204" i="1" s="1"/>
  <c r="W204" i="1"/>
  <c r="U204" i="1"/>
  <c r="AA204" i="1" s="1"/>
  <c r="T204" i="1"/>
  <c r="R204" i="1"/>
  <c r="BE203" i="1"/>
  <c r="BD203" i="1"/>
  <c r="AY203" i="1"/>
  <c r="AQ203" i="1"/>
  <c r="AP203" i="1"/>
  <c r="AM203" i="1"/>
  <c r="AL203" i="1"/>
  <c r="AK203" i="1"/>
  <c r="AJ203" i="1"/>
  <c r="AI203" i="1"/>
  <c r="AF203" i="1"/>
  <c r="AG203" i="1" s="1"/>
  <c r="AE203" i="1"/>
  <c r="AD203" i="1"/>
  <c r="W203" i="1"/>
  <c r="V203" i="1"/>
  <c r="U203" i="1"/>
  <c r="AA203" i="1" s="1"/>
  <c r="T203" i="1"/>
  <c r="R203" i="1"/>
  <c r="BD202" i="1"/>
  <c r="BE202" i="1" s="1"/>
  <c r="AY202" i="1"/>
  <c r="AQ202" i="1"/>
  <c r="AP202" i="1"/>
  <c r="AM202" i="1"/>
  <c r="AL202" i="1"/>
  <c r="AK202" i="1"/>
  <c r="AJ202" i="1"/>
  <c r="AF202" i="1"/>
  <c r="AE202" i="1"/>
  <c r="AD202" i="1"/>
  <c r="U202" i="1" s="1"/>
  <c r="W202" i="1"/>
  <c r="V202" i="1"/>
  <c r="T202" i="1"/>
  <c r="R202" i="1"/>
  <c r="BH201" i="1"/>
  <c r="BG201" i="1"/>
  <c r="BE201" i="1"/>
  <c r="BD201" i="1"/>
  <c r="AY201" i="1"/>
  <c r="AQ201" i="1"/>
  <c r="AP201" i="1"/>
  <c r="AM201" i="1"/>
  <c r="AL201" i="1"/>
  <c r="AK201" i="1"/>
  <c r="AJ201" i="1"/>
  <c r="AF201" i="1"/>
  <c r="AE201" i="1"/>
  <c r="V201" i="1" s="1"/>
  <c r="AD201" i="1"/>
  <c r="W201" i="1"/>
  <c r="T201" i="1"/>
  <c r="R201" i="1"/>
  <c r="BD200" i="1"/>
  <c r="BE200" i="1" s="1"/>
  <c r="BG200" i="1" s="1"/>
  <c r="AY200" i="1"/>
  <c r="AQ200" i="1"/>
  <c r="AP200" i="1"/>
  <c r="AM200" i="1"/>
  <c r="AL200" i="1"/>
  <c r="AK200" i="1"/>
  <c r="AJ200" i="1"/>
  <c r="AF200" i="1"/>
  <c r="AE200" i="1"/>
  <c r="V200" i="1" s="1"/>
  <c r="AD200" i="1"/>
  <c r="AG200" i="1" s="1"/>
  <c r="AI200" i="1" s="1"/>
  <c r="W200" i="1"/>
  <c r="U200" i="1"/>
  <c r="AA200" i="1" s="1"/>
  <c r="T200" i="1"/>
  <c r="R200" i="1"/>
  <c r="BD199" i="1"/>
  <c r="BE199" i="1" s="1"/>
  <c r="AY199" i="1"/>
  <c r="AQ199" i="1"/>
  <c r="AP199" i="1"/>
  <c r="AM199" i="1"/>
  <c r="AL199" i="1"/>
  <c r="AK199" i="1"/>
  <c r="AJ199" i="1"/>
  <c r="AF199" i="1"/>
  <c r="AG199" i="1" s="1"/>
  <c r="AI199" i="1" s="1"/>
  <c r="AE199" i="1"/>
  <c r="AD199" i="1"/>
  <c r="W199" i="1"/>
  <c r="V199" i="1"/>
  <c r="U199" i="1"/>
  <c r="AA199" i="1" s="1"/>
  <c r="T199" i="1"/>
  <c r="R199" i="1"/>
  <c r="BD198" i="1"/>
  <c r="BE198" i="1" s="1"/>
  <c r="AY198" i="1"/>
  <c r="AQ198" i="1"/>
  <c r="AP198" i="1"/>
  <c r="AM198" i="1"/>
  <c r="AL198" i="1"/>
  <c r="AK198" i="1"/>
  <c r="AJ198" i="1"/>
  <c r="AG198" i="1"/>
  <c r="AI198" i="1" s="1"/>
  <c r="AF198" i="1"/>
  <c r="AE198" i="1"/>
  <c r="AD198" i="1"/>
  <c r="U198" i="1" s="1"/>
  <c r="W198" i="1"/>
  <c r="V198" i="1"/>
  <c r="T198" i="1"/>
  <c r="AA198" i="1" s="1"/>
  <c r="R198" i="1"/>
  <c r="BH197" i="1"/>
  <c r="BG197" i="1"/>
  <c r="BE197" i="1"/>
  <c r="BD197" i="1"/>
  <c r="AY197" i="1"/>
  <c r="AQ197" i="1"/>
  <c r="AP197" i="1"/>
  <c r="AM197" i="1"/>
  <c r="AL197" i="1"/>
  <c r="AK197" i="1"/>
  <c r="AJ197" i="1"/>
  <c r="AF197" i="1"/>
  <c r="AE197" i="1"/>
  <c r="V197" i="1" s="1"/>
  <c r="AD197" i="1"/>
  <c r="W197" i="1"/>
  <c r="T197" i="1"/>
  <c r="R197" i="1"/>
  <c r="BH196" i="1"/>
  <c r="BD196" i="1"/>
  <c r="BE196" i="1" s="1"/>
  <c r="BG196" i="1" s="1"/>
  <c r="AY196" i="1"/>
  <c r="AQ196" i="1"/>
  <c r="AP196" i="1"/>
  <c r="AM196" i="1"/>
  <c r="AL196" i="1"/>
  <c r="AK196" i="1"/>
  <c r="AJ196" i="1"/>
  <c r="AF196" i="1"/>
  <c r="AE196" i="1"/>
  <c r="V196" i="1" s="1"/>
  <c r="AD196" i="1"/>
  <c r="AG196" i="1" s="1"/>
  <c r="AI196" i="1" s="1"/>
  <c r="W196" i="1"/>
  <c r="U196" i="1"/>
  <c r="AA196" i="1" s="1"/>
  <c r="T196" i="1"/>
  <c r="R196" i="1"/>
  <c r="BD195" i="1"/>
  <c r="BE195" i="1" s="1"/>
  <c r="AY195" i="1"/>
  <c r="AQ195" i="1"/>
  <c r="AP195" i="1"/>
  <c r="AM195" i="1"/>
  <c r="AL195" i="1"/>
  <c r="AK195" i="1"/>
  <c r="AJ195" i="1"/>
  <c r="AF195" i="1"/>
  <c r="AG195" i="1" s="1"/>
  <c r="AI195" i="1" s="1"/>
  <c r="AE195" i="1"/>
  <c r="AD195" i="1"/>
  <c r="W195" i="1"/>
  <c r="V195" i="1"/>
  <c r="U195" i="1"/>
  <c r="AA195" i="1" s="1"/>
  <c r="T195" i="1"/>
  <c r="R195" i="1"/>
  <c r="BD194" i="1"/>
  <c r="BE194" i="1" s="1"/>
  <c r="AY194" i="1"/>
  <c r="AQ194" i="1"/>
  <c r="AP194" i="1"/>
  <c r="AM194" i="1"/>
  <c r="AL194" i="1"/>
  <c r="AK194" i="1"/>
  <c r="AJ194" i="1"/>
  <c r="AG194" i="1"/>
  <c r="AI194" i="1" s="1"/>
  <c r="AF194" i="1"/>
  <c r="AE194" i="1"/>
  <c r="AD194" i="1"/>
  <c r="U194" i="1" s="1"/>
  <c r="W194" i="1"/>
  <c r="V194" i="1"/>
  <c r="T194" i="1"/>
  <c r="R194" i="1"/>
  <c r="BH193" i="1"/>
  <c r="BG193" i="1"/>
  <c r="BE193" i="1"/>
  <c r="BD193" i="1"/>
  <c r="AY193" i="1"/>
  <c r="AQ193" i="1"/>
  <c r="AP193" i="1"/>
  <c r="AM193" i="1"/>
  <c r="AL193" i="1"/>
  <c r="AK193" i="1"/>
  <c r="AJ193" i="1"/>
  <c r="AF193" i="1"/>
  <c r="AE193" i="1"/>
  <c r="V193" i="1" s="1"/>
  <c r="AD193" i="1"/>
  <c r="W193" i="1"/>
  <c r="T193" i="1"/>
  <c r="R193" i="1"/>
  <c r="BD192" i="1"/>
  <c r="BE192" i="1" s="1"/>
  <c r="BH192" i="1" s="1"/>
  <c r="AY192" i="1"/>
  <c r="AQ192" i="1"/>
  <c r="AP192" i="1"/>
  <c r="AM192" i="1"/>
  <c r="AL192" i="1"/>
  <c r="AK192" i="1"/>
  <c r="AJ192" i="1"/>
  <c r="AI192" i="1"/>
  <c r="AF192" i="1"/>
  <c r="AE192" i="1"/>
  <c r="V192" i="1" s="1"/>
  <c r="AD192" i="1"/>
  <c r="AG192" i="1" s="1"/>
  <c r="AA192" i="1"/>
  <c r="W192" i="1"/>
  <c r="U192" i="1"/>
  <c r="T192" i="1"/>
  <c r="R192" i="1"/>
  <c r="BD191" i="1"/>
  <c r="BE191" i="1" s="1"/>
  <c r="AY191" i="1"/>
  <c r="AQ191" i="1"/>
  <c r="AP191" i="1"/>
  <c r="AM191" i="1"/>
  <c r="AL191" i="1"/>
  <c r="AK191" i="1"/>
  <c r="AJ191" i="1"/>
  <c r="AI191" i="1"/>
  <c r="AF191" i="1"/>
  <c r="AG191" i="1" s="1"/>
  <c r="AE191" i="1"/>
  <c r="AD191" i="1"/>
  <c r="W191" i="1"/>
  <c r="V191" i="1"/>
  <c r="U191" i="1"/>
  <c r="AA191" i="1" s="1"/>
  <c r="T191" i="1"/>
  <c r="R191" i="1"/>
  <c r="BD190" i="1"/>
  <c r="BE190" i="1" s="1"/>
  <c r="AY190" i="1"/>
  <c r="AQ190" i="1"/>
  <c r="AP190" i="1"/>
  <c r="AM190" i="1"/>
  <c r="AL190" i="1"/>
  <c r="AK190" i="1"/>
  <c r="AJ190" i="1"/>
  <c r="AF190" i="1"/>
  <c r="AE190" i="1"/>
  <c r="AD190" i="1"/>
  <c r="U190" i="1" s="1"/>
  <c r="W190" i="1"/>
  <c r="V190" i="1"/>
  <c r="T190" i="1"/>
  <c r="R190" i="1"/>
  <c r="BH189" i="1"/>
  <c r="BG189" i="1"/>
  <c r="BE189" i="1"/>
  <c r="BD189" i="1"/>
  <c r="AY189" i="1"/>
  <c r="AQ189" i="1"/>
  <c r="AP189" i="1"/>
  <c r="AM189" i="1"/>
  <c r="AL189" i="1"/>
  <c r="AK189" i="1"/>
  <c r="AJ189" i="1"/>
  <c r="AF189" i="1"/>
  <c r="AE189" i="1"/>
  <c r="V189" i="1" s="1"/>
  <c r="AD189" i="1"/>
  <c r="W189" i="1"/>
  <c r="T189" i="1"/>
  <c r="R189" i="1"/>
  <c r="BH188" i="1"/>
  <c r="BD188" i="1"/>
  <c r="BE188" i="1" s="1"/>
  <c r="BG188" i="1" s="1"/>
  <c r="AY188" i="1"/>
  <c r="AQ188" i="1"/>
  <c r="AP188" i="1"/>
  <c r="AM188" i="1"/>
  <c r="AL188" i="1"/>
  <c r="AK188" i="1"/>
  <c r="AJ188" i="1"/>
  <c r="AI188" i="1"/>
  <c r="AF188" i="1"/>
  <c r="AE188" i="1"/>
  <c r="V188" i="1" s="1"/>
  <c r="AD188" i="1"/>
  <c r="AG188" i="1" s="1"/>
  <c r="W188" i="1"/>
  <c r="U188" i="1"/>
  <c r="AA188" i="1" s="1"/>
  <c r="T188" i="1"/>
  <c r="R188" i="1"/>
  <c r="BD187" i="1"/>
  <c r="BE187" i="1" s="1"/>
  <c r="AY187" i="1"/>
  <c r="AQ187" i="1"/>
  <c r="AP187" i="1"/>
  <c r="AM187" i="1"/>
  <c r="AL187" i="1"/>
  <c r="AK187" i="1"/>
  <c r="AJ187" i="1"/>
  <c r="AI187" i="1"/>
  <c r="AF187" i="1"/>
  <c r="AG187" i="1" s="1"/>
  <c r="AE187" i="1"/>
  <c r="AD187" i="1"/>
  <c r="W187" i="1"/>
  <c r="V187" i="1"/>
  <c r="U187" i="1"/>
  <c r="AA187" i="1" s="1"/>
  <c r="T187" i="1"/>
  <c r="R187" i="1"/>
  <c r="BD186" i="1"/>
  <c r="BE186" i="1" s="1"/>
  <c r="AY186" i="1"/>
  <c r="AQ186" i="1"/>
  <c r="AP186" i="1"/>
  <c r="AM186" i="1"/>
  <c r="AL186" i="1"/>
  <c r="AK186" i="1"/>
  <c r="AJ186" i="1"/>
  <c r="AF186" i="1"/>
  <c r="AE186" i="1"/>
  <c r="AD186" i="1"/>
  <c r="U186" i="1" s="1"/>
  <c r="W186" i="1"/>
  <c r="V186" i="1"/>
  <c r="T186" i="1"/>
  <c r="R186" i="1"/>
  <c r="BH185" i="1"/>
  <c r="BG185" i="1"/>
  <c r="BE185" i="1"/>
  <c r="BD185" i="1"/>
  <c r="AY185" i="1"/>
  <c r="AQ185" i="1"/>
  <c r="AP185" i="1"/>
  <c r="AM185" i="1"/>
  <c r="AL185" i="1"/>
  <c r="AK185" i="1"/>
  <c r="AJ185" i="1"/>
  <c r="AF185" i="1"/>
  <c r="AE185" i="1"/>
  <c r="V185" i="1" s="1"/>
  <c r="AD185" i="1"/>
  <c r="W185" i="1"/>
  <c r="T185" i="1"/>
  <c r="R185" i="1"/>
  <c r="BD184" i="1"/>
  <c r="BE184" i="1" s="1"/>
  <c r="BG184" i="1" s="1"/>
  <c r="AY184" i="1"/>
  <c r="AQ184" i="1"/>
  <c r="AP184" i="1"/>
  <c r="AM184" i="1"/>
  <c r="AL184" i="1"/>
  <c r="AK184" i="1"/>
  <c r="AJ184" i="1"/>
  <c r="AI184" i="1"/>
  <c r="AF184" i="1"/>
  <c r="AE184" i="1"/>
  <c r="V184" i="1" s="1"/>
  <c r="AD184" i="1"/>
  <c r="AG184" i="1" s="1"/>
  <c r="W184" i="1"/>
  <c r="U184" i="1"/>
  <c r="AA184" i="1" s="1"/>
  <c r="T184" i="1"/>
  <c r="R184" i="1"/>
  <c r="BD183" i="1"/>
  <c r="BE183" i="1" s="1"/>
  <c r="AY183" i="1"/>
  <c r="AQ183" i="1"/>
  <c r="AP183" i="1"/>
  <c r="AM183" i="1"/>
  <c r="AL183" i="1"/>
  <c r="AK183" i="1"/>
  <c r="AJ183" i="1"/>
  <c r="AF183" i="1"/>
  <c r="AG183" i="1" s="1"/>
  <c r="AI183" i="1" s="1"/>
  <c r="AE183" i="1"/>
  <c r="AD183" i="1"/>
  <c r="W183" i="1"/>
  <c r="V183" i="1"/>
  <c r="U183" i="1"/>
  <c r="AA183" i="1" s="1"/>
  <c r="T183" i="1"/>
  <c r="R183" i="1"/>
  <c r="BD182" i="1"/>
  <c r="BE182" i="1" s="1"/>
  <c r="AY182" i="1"/>
  <c r="AQ182" i="1"/>
  <c r="AP182" i="1"/>
  <c r="AM182" i="1"/>
  <c r="AL182" i="1"/>
  <c r="AK182" i="1"/>
  <c r="AJ182" i="1"/>
  <c r="AG182" i="1"/>
  <c r="AI182" i="1" s="1"/>
  <c r="AF182" i="1"/>
  <c r="AE182" i="1"/>
  <c r="AD182" i="1"/>
  <c r="U182" i="1" s="1"/>
  <c r="W182" i="1"/>
  <c r="V182" i="1"/>
  <c r="T182" i="1"/>
  <c r="R182" i="1"/>
  <c r="BG181" i="1"/>
  <c r="BE181" i="1"/>
  <c r="BH181" i="1" s="1"/>
  <c r="BD181" i="1"/>
  <c r="AY181" i="1"/>
  <c r="AQ181" i="1"/>
  <c r="AP181" i="1"/>
  <c r="AM181" i="1"/>
  <c r="AL181" i="1"/>
  <c r="AK181" i="1"/>
  <c r="AJ181" i="1"/>
  <c r="AF181" i="1"/>
  <c r="AE181" i="1"/>
  <c r="V181" i="1" s="1"/>
  <c r="AD181" i="1"/>
  <c r="W181" i="1"/>
  <c r="T181" i="1"/>
  <c r="R181" i="1"/>
  <c r="BH180" i="1"/>
  <c r="BG180" i="1"/>
  <c r="BD180" i="1"/>
  <c r="BE180" i="1" s="1"/>
  <c r="AY180" i="1"/>
  <c r="AQ180" i="1"/>
  <c r="AP180" i="1"/>
  <c r="AM180" i="1"/>
  <c r="AL180" i="1"/>
  <c r="AK180" i="1"/>
  <c r="AJ180" i="1"/>
  <c r="AF180" i="1"/>
  <c r="AE180" i="1"/>
  <c r="V180" i="1" s="1"/>
  <c r="AD180" i="1"/>
  <c r="AG180" i="1" s="1"/>
  <c r="AI180" i="1" s="1"/>
  <c r="W180" i="1"/>
  <c r="U180" i="1"/>
  <c r="AA180" i="1" s="1"/>
  <c r="T180" i="1"/>
  <c r="R180" i="1"/>
  <c r="BE179" i="1"/>
  <c r="BD179" i="1"/>
  <c r="AY179" i="1"/>
  <c r="AQ179" i="1"/>
  <c r="AP179" i="1"/>
  <c r="AM179" i="1"/>
  <c r="AL179" i="1"/>
  <c r="AK179" i="1"/>
  <c r="AJ179" i="1"/>
  <c r="AF179" i="1"/>
  <c r="AE179" i="1"/>
  <c r="AD179" i="1"/>
  <c r="W179" i="1"/>
  <c r="V179" i="1"/>
  <c r="U179" i="1"/>
  <c r="T179" i="1"/>
  <c r="R179" i="1"/>
  <c r="BD178" i="1"/>
  <c r="BE178" i="1" s="1"/>
  <c r="AY178" i="1"/>
  <c r="AQ178" i="1"/>
  <c r="AP178" i="1"/>
  <c r="AM178" i="1"/>
  <c r="AL178" i="1"/>
  <c r="AK178" i="1"/>
  <c r="AJ178" i="1"/>
  <c r="AF178" i="1"/>
  <c r="AE178" i="1"/>
  <c r="AD178" i="1"/>
  <c r="U178" i="1" s="1"/>
  <c r="W178" i="1"/>
  <c r="V178" i="1"/>
  <c r="T178" i="1"/>
  <c r="R178" i="1"/>
  <c r="BG177" i="1"/>
  <c r="BE177" i="1"/>
  <c r="BH177" i="1" s="1"/>
  <c r="BD177" i="1"/>
  <c r="AY177" i="1"/>
  <c r="AQ177" i="1"/>
  <c r="AP177" i="1"/>
  <c r="AM177" i="1"/>
  <c r="AL177" i="1"/>
  <c r="AK177" i="1"/>
  <c r="AJ177" i="1"/>
  <c r="AF177" i="1"/>
  <c r="AE177" i="1"/>
  <c r="V177" i="1" s="1"/>
  <c r="AD177" i="1"/>
  <c r="W177" i="1"/>
  <c r="T177" i="1"/>
  <c r="R177" i="1"/>
  <c r="BH176" i="1"/>
  <c r="BG176" i="1"/>
  <c r="BD176" i="1"/>
  <c r="BE176" i="1" s="1"/>
  <c r="AY176" i="1"/>
  <c r="AQ176" i="1"/>
  <c r="AP176" i="1"/>
  <c r="AM176" i="1"/>
  <c r="AL176" i="1"/>
  <c r="AK176" i="1"/>
  <c r="AJ176" i="1"/>
  <c r="AI176" i="1"/>
  <c r="AF176" i="1"/>
  <c r="AE176" i="1"/>
  <c r="V176" i="1" s="1"/>
  <c r="AD176" i="1"/>
  <c r="AG176" i="1" s="1"/>
  <c r="W176" i="1"/>
  <c r="U176" i="1"/>
  <c r="AA176" i="1" s="1"/>
  <c r="T176" i="1"/>
  <c r="R176" i="1"/>
  <c r="BE175" i="1"/>
  <c r="BD175" i="1"/>
  <c r="AY175" i="1"/>
  <c r="AQ175" i="1"/>
  <c r="AP175" i="1"/>
  <c r="AM175" i="1"/>
  <c r="AL175" i="1"/>
  <c r="AK175" i="1"/>
  <c r="AJ175" i="1"/>
  <c r="AF175" i="1"/>
  <c r="AE175" i="1"/>
  <c r="AG175" i="1" s="1"/>
  <c r="AI175" i="1" s="1"/>
  <c r="AD175" i="1"/>
  <c r="W175" i="1"/>
  <c r="V175" i="1"/>
  <c r="U175" i="1"/>
  <c r="T175" i="1"/>
  <c r="R175" i="1"/>
  <c r="BD174" i="1"/>
  <c r="BE174" i="1" s="1"/>
  <c r="AY174" i="1"/>
  <c r="AQ174" i="1"/>
  <c r="AP174" i="1"/>
  <c r="AM174" i="1"/>
  <c r="AL174" i="1"/>
  <c r="AK174" i="1"/>
  <c r="AJ174" i="1"/>
  <c r="AF174" i="1"/>
  <c r="AE174" i="1"/>
  <c r="AD174" i="1"/>
  <c r="U174" i="1" s="1"/>
  <c r="W174" i="1"/>
  <c r="V174" i="1"/>
  <c r="T174" i="1"/>
  <c r="R174" i="1"/>
  <c r="BG173" i="1"/>
  <c r="BE173" i="1"/>
  <c r="BH173" i="1" s="1"/>
  <c r="BD173" i="1"/>
  <c r="AY173" i="1"/>
  <c r="AQ173" i="1"/>
  <c r="AP173" i="1"/>
  <c r="AM173" i="1"/>
  <c r="AL173" i="1"/>
  <c r="AK173" i="1"/>
  <c r="AJ173" i="1"/>
  <c r="AF173" i="1"/>
  <c r="AE173" i="1"/>
  <c r="V173" i="1" s="1"/>
  <c r="AD173" i="1"/>
  <c r="W173" i="1"/>
  <c r="T173" i="1"/>
  <c r="R173" i="1"/>
  <c r="BH172" i="1"/>
  <c r="BG172" i="1"/>
  <c r="BD172" i="1"/>
  <c r="BE172" i="1" s="1"/>
  <c r="AY172" i="1"/>
  <c r="AQ172" i="1"/>
  <c r="AP172" i="1"/>
  <c r="AM172" i="1"/>
  <c r="AL172" i="1"/>
  <c r="AK172" i="1"/>
  <c r="AJ172" i="1"/>
  <c r="AF172" i="1"/>
  <c r="AE172" i="1"/>
  <c r="V172" i="1" s="1"/>
  <c r="AD172" i="1"/>
  <c r="AG172" i="1" s="1"/>
  <c r="AI172" i="1" s="1"/>
  <c r="AA172" i="1"/>
  <c r="W172" i="1"/>
  <c r="U172" i="1"/>
  <c r="T172" i="1"/>
  <c r="R172" i="1"/>
  <c r="BE171" i="1"/>
  <c r="BD171" i="1"/>
  <c r="AY171" i="1"/>
  <c r="AQ171" i="1"/>
  <c r="AP171" i="1"/>
  <c r="AM171" i="1"/>
  <c r="AL171" i="1"/>
  <c r="AK171" i="1"/>
  <c r="AJ171" i="1"/>
  <c r="AF171" i="1"/>
  <c r="AE171" i="1"/>
  <c r="AG171" i="1" s="1"/>
  <c r="AI171" i="1" s="1"/>
  <c r="AD171" i="1"/>
  <c r="W171" i="1"/>
  <c r="V171" i="1"/>
  <c r="U171" i="1"/>
  <c r="T171" i="1"/>
  <c r="R171" i="1"/>
  <c r="BD170" i="1"/>
  <c r="BE170" i="1" s="1"/>
  <c r="AY170" i="1"/>
  <c r="AQ170" i="1"/>
  <c r="AP170" i="1"/>
  <c r="AM170" i="1"/>
  <c r="AL170" i="1"/>
  <c r="AK170" i="1"/>
  <c r="AJ170" i="1"/>
  <c r="AF170" i="1"/>
  <c r="AG170" i="1" s="1"/>
  <c r="AI170" i="1" s="1"/>
  <c r="AE170" i="1"/>
  <c r="AD170" i="1"/>
  <c r="U170" i="1" s="1"/>
  <c r="W170" i="1"/>
  <c r="V170" i="1"/>
  <c r="T170" i="1"/>
  <c r="AA170" i="1" s="1"/>
  <c r="R170" i="1"/>
  <c r="BG169" i="1"/>
  <c r="BE169" i="1"/>
  <c r="BH169" i="1" s="1"/>
  <c r="BD169" i="1"/>
  <c r="AY169" i="1"/>
  <c r="AQ169" i="1"/>
  <c r="AP169" i="1"/>
  <c r="AM169" i="1"/>
  <c r="AL169" i="1"/>
  <c r="AK169" i="1"/>
  <c r="AJ169" i="1"/>
  <c r="AF169" i="1"/>
  <c r="AE169" i="1"/>
  <c r="V169" i="1" s="1"/>
  <c r="AD169" i="1"/>
  <c r="W169" i="1"/>
  <c r="T169" i="1"/>
  <c r="R169" i="1"/>
  <c r="BH168" i="1"/>
  <c r="BG168" i="1"/>
  <c r="BD168" i="1"/>
  <c r="BE168" i="1" s="1"/>
  <c r="AY168" i="1"/>
  <c r="AQ168" i="1"/>
  <c r="AP168" i="1"/>
  <c r="AM168" i="1"/>
  <c r="AL168" i="1"/>
  <c r="AK168" i="1"/>
  <c r="AJ168" i="1"/>
  <c r="AI168" i="1"/>
  <c r="AF168" i="1"/>
  <c r="AE168" i="1"/>
  <c r="V168" i="1" s="1"/>
  <c r="AD168" i="1"/>
  <c r="AG168" i="1" s="1"/>
  <c r="AA168" i="1"/>
  <c r="W168" i="1"/>
  <c r="U168" i="1"/>
  <c r="T168" i="1"/>
  <c r="R168" i="1"/>
  <c r="BD167" i="1"/>
  <c r="BE167" i="1" s="1"/>
  <c r="AY167" i="1"/>
  <c r="AQ167" i="1"/>
  <c r="AP167" i="1"/>
  <c r="AM167" i="1"/>
  <c r="AL167" i="1"/>
  <c r="AK167" i="1"/>
  <c r="AJ167" i="1"/>
  <c r="AF167" i="1"/>
  <c r="AE167" i="1"/>
  <c r="AG167" i="1" s="1"/>
  <c r="AI167" i="1" s="1"/>
  <c r="AD167" i="1"/>
  <c r="W167" i="1"/>
  <c r="V167" i="1"/>
  <c r="U167" i="1"/>
  <c r="T167" i="1"/>
  <c r="R167" i="1"/>
  <c r="BD166" i="1"/>
  <c r="BE166" i="1" s="1"/>
  <c r="AY166" i="1"/>
  <c r="AQ166" i="1"/>
  <c r="AP166" i="1"/>
  <c r="AM166" i="1"/>
  <c r="AL166" i="1"/>
  <c r="AK166" i="1"/>
  <c r="AJ166" i="1"/>
  <c r="AF166" i="1"/>
  <c r="AE166" i="1"/>
  <c r="AD166" i="1"/>
  <c r="U166" i="1" s="1"/>
  <c r="W166" i="1"/>
  <c r="V166" i="1"/>
  <c r="T166" i="1"/>
  <c r="R166" i="1"/>
  <c r="BG165" i="1"/>
  <c r="BE165" i="1"/>
  <c r="BH165" i="1" s="1"/>
  <c r="BD165" i="1"/>
  <c r="AY165" i="1"/>
  <c r="AQ165" i="1"/>
  <c r="AP165" i="1"/>
  <c r="AM165" i="1"/>
  <c r="AL165" i="1"/>
  <c r="AK165" i="1"/>
  <c r="AJ165" i="1"/>
  <c r="AF165" i="1"/>
  <c r="AE165" i="1"/>
  <c r="V165" i="1" s="1"/>
  <c r="AD165" i="1"/>
  <c r="W165" i="1"/>
  <c r="T165" i="1"/>
  <c r="R165" i="1"/>
  <c r="BG164" i="1"/>
  <c r="BD164" i="1"/>
  <c r="BE164" i="1" s="1"/>
  <c r="BH164" i="1" s="1"/>
  <c r="AY164" i="1"/>
  <c r="AQ164" i="1"/>
  <c r="AP164" i="1"/>
  <c r="AM164" i="1"/>
  <c r="AL164" i="1"/>
  <c r="AK164" i="1"/>
  <c r="AJ164" i="1"/>
  <c r="AI164" i="1"/>
  <c r="AF164" i="1"/>
  <c r="AE164" i="1"/>
  <c r="V164" i="1" s="1"/>
  <c r="AA164" i="1" s="1"/>
  <c r="AD164" i="1"/>
  <c r="AG164" i="1" s="1"/>
  <c r="W164" i="1"/>
  <c r="U164" i="1"/>
  <c r="T164" i="1"/>
  <c r="R164" i="1"/>
  <c r="BD163" i="1"/>
  <c r="BE163" i="1" s="1"/>
  <c r="AY163" i="1"/>
  <c r="AQ163" i="1"/>
  <c r="AP163" i="1"/>
  <c r="AM163" i="1"/>
  <c r="AL163" i="1"/>
  <c r="AK163" i="1"/>
  <c r="AJ163" i="1"/>
  <c r="AF163" i="1"/>
  <c r="AE163" i="1"/>
  <c r="AD163" i="1"/>
  <c r="W163" i="1"/>
  <c r="V163" i="1"/>
  <c r="U163" i="1"/>
  <c r="T163" i="1"/>
  <c r="R163" i="1"/>
  <c r="BD162" i="1"/>
  <c r="BE162" i="1" s="1"/>
  <c r="AY162" i="1"/>
  <c r="AQ162" i="1"/>
  <c r="AP162" i="1"/>
  <c r="AM162" i="1"/>
  <c r="AL162" i="1"/>
  <c r="AK162" i="1"/>
  <c r="AJ162" i="1"/>
  <c r="AG162" i="1"/>
  <c r="AI162" i="1" s="1"/>
  <c r="AF162" i="1"/>
  <c r="AE162" i="1"/>
  <c r="AD162" i="1"/>
  <c r="U162" i="1" s="1"/>
  <c r="W162" i="1"/>
  <c r="V162" i="1"/>
  <c r="T162" i="1"/>
  <c r="AA162" i="1" s="1"/>
  <c r="R162" i="1"/>
  <c r="BG161" i="1"/>
  <c r="BE161" i="1"/>
  <c r="BH161" i="1" s="1"/>
  <c r="BD161" i="1"/>
  <c r="AY161" i="1"/>
  <c r="AQ161" i="1"/>
  <c r="AP161" i="1"/>
  <c r="AM161" i="1"/>
  <c r="AL161" i="1"/>
  <c r="AK161" i="1"/>
  <c r="AJ161" i="1"/>
  <c r="AF161" i="1"/>
  <c r="AE161" i="1"/>
  <c r="V161" i="1" s="1"/>
  <c r="AD161" i="1"/>
  <c r="W161" i="1"/>
  <c r="T161" i="1"/>
  <c r="R161" i="1"/>
  <c r="BH160" i="1"/>
  <c r="BD160" i="1"/>
  <c r="BE160" i="1" s="1"/>
  <c r="BG160" i="1" s="1"/>
  <c r="AY160" i="1"/>
  <c r="AQ160" i="1"/>
  <c r="AP160" i="1"/>
  <c r="AM160" i="1"/>
  <c r="AL160" i="1"/>
  <c r="AK160" i="1"/>
  <c r="AJ160" i="1"/>
  <c r="AI160" i="1"/>
  <c r="AF160" i="1"/>
  <c r="AE160" i="1"/>
  <c r="V160" i="1" s="1"/>
  <c r="AD160" i="1"/>
  <c r="AG160" i="1" s="1"/>
  <c r="W160" i="1"/>
  <c r="U160" i="1"/>
  <c r="AA160" i="1" s="1"/>
  <c r="T160" i="1"/>
  <c r="R160" i="1"/>
  <c r="BD159" i="1"/>
  <c r="BE159" i="1" s="1"/>
  <c r="AY159" i="1"/>
  <c r="AQ159" i="1"/>
  <c r="AP159" i="1"/>
  <c r="AM159" i="1"/>
  <c r="AL159" i="1"/>
  <c r="AK159" i="1"/>
  <c r="AJ159" i="1"/>
  <c r="AI159" i="1"/>
  <c r="AF159" i="1"/>
  <c r="AE159" i="1"/>
  <c r="AG159" i="1" s="1"/>
  <c r="AD159" i="1"/>
  <c r="W159" i="1"/>
  <c r="V159" i="1"/>
  <c r="U159" i="1"/>
  <c r="AA159" i="1" s="1"/>
  <c r="T159" i="1"/>
  <c r="R159" i="1"/>
  <c r="BD158" i="1"/>
  <c r="BE158" i="1" s="1"/>
  <c r="AY158" i="1"/>
  <c r="AQ158" i="1"/>
  <c r="AP158" i="1"/>
  <c r="AM158" i="1"/>
  <c r="AL158" i="1"/>
  <c r="AK158" i="1"/>
  <c r="AJ158" i="1"/>
  <c r="AF158" i="1"/>
  <c r="AE158" i="1"/>
  <c r="AD158" i="1"/>
  <c r="U158" i="1" s="1"/>
  <c r="W158" i="1"/>
  <c r="V158" i="1"/>
  <c r="T158" i="1"/>
  <c r="R158" i="1"/>
  <c r="BG157" i="1"/>
  <c r="BE157" i="1"/>
  <c r="BH157" i="1" s="1"/>
  <c r="BD157" i="1"/>
  <c r="AY157" i="1"/>
  <c r="AQ157" i="1"/>
  <c r="AP157" i="1"/>
  <c r="AM157" i="1"/>
  <c r="AL157" i="1"/>
  <c r="AK157" i="1"/>
  <c r="AJ157" i="1"/>
  <c r="AF157" i="1"/>
  <c r="AE157" i="1"/>
  <c r="V157" i="1" s="1"/>
  <c r="AD157" i="1"/>
  <c r="W157" i="1"/>
  <c r="T157" i="1"/>
  <c r="R157" i="1"/>
  <c r="BD156" i="1"/>
  <c r="BE156" i="1" s="1"/>
  <c r="BH156" i="1" s="1"/>
  <c r="AY156" i="1"/>
  <c r="AQ156" i="1"/>
  <c r="AP156" i="1"/>
  <c r="AM156" i="1"/>
  <c r="AL156" i="1"/>
  <c r="AK156" i="1"/>
  <c r="AJ156" i="1"/>
  <c r="AI156" i="1"/>
  <c r="AF156" i="1"/>
  <c r="AE156" i="1"/>
  <c r="V156" i="1" s="1"/>
  <c r="AD156" i="1"/>
  <c r="AG156" i="1" s="1"/>
  <c r="W156" i="1"/>
  <c r="T156" i="1"/>
  <c r="R156" i="1"/>
  <c r="BD155" i="1"/>
  <c r="BE155" i="1" s="1"/>
  <c r="AY155" i="1"/>
  <c r="AQ155" i="1"/>
  <c r="AP155" i="1"/>
  <c r="AM155" i="1"/>
  <c r="AL155" i="1"/>
  <c r="AK155" i="1"/>
  <c r="AJ155" i="1"/>
  <c r="AF155" i="1"/>
  <c r="AE155" i="1"/>
  <c r="AG155" i="1" s="1"/>
  <c r="AI155" i="1" s="1"/>
  <c r="AD155" i="1"/>
  <c r="W155" i="1"/>
  <c r="V155" i="1"/>
  <c r="U155" i="1"/>
  <c r="T155" i="1"/>
  <c r="R155" i="1"/>
  <c r="BD154" i="1"/>
  <c r="BE154" i="1" s="1"/>
  <c r="AY154" i="1"/>
  <c r="AQ154" i="1"/>
  <c r="AP154" i="1"/>
  <c r="AM154" i="1"/>
  <c r="AL154" i="1"/>
  <c r="AK154" i="1"/>
  <c r="AJ154" i="1"/>
  <c r="AG154" i="1"/>
  <c r="AI154" i="1" s="1"/>
  <c r="AF154" i="1"/>
  <c r="AE154" i="1"/>
  <c r="AD154" i="1"/>
  <c r="U154" i="1" s="1"/>
  <c r="W154" i="1"/>
  <c r="V154" i="1"/>
  <c r="T154" i="1"/>
  <c r="R154" i="1"/>
  <c r="BG153" i="1"/>
  <c r="BE153" i="1"/>
  <c r="BH153" i="1" s="1"/>
  <c r="BD153" i="1"/>
  <c r="AY153" i="1"/>
  <c r="AQ153" i="1"/>
  <c r="AP153" i="1"/>
  <c r="AM153" i="1"/>
  <c r="AL153" i="1"/>
  <c r="AK153" i="1"/>
  <c r="AJ153" i="1"/>
  <c r="AF153" i="1"/>
  <c r="AE153" i="1"/>
  <c r="V153" i="1" s="1"/>
  <c r="AD153" i="1"/>
  <c r="W153" i="1"/>
  <c r="T153" i="1"/>
  <c r="R153" i="1"/>
  <c r="BD152" i="1"/>
  <c r="BE152" i="1" s="1"/>
  <c r="BH152" i="1" s="1"/>
  <c r="AY152" i="1"/>
  <c r="AQ152" i="1"/>
  <c r="AP152" i="1"/>
  <c r="AM152" i="1"/>
  <c r="AL152" i="1"/>
  <c r="AK152" i="1"/>
  <c r="AJ152" i="1"/>
  <c r="AI152" i="1"/>
  <c r="AF152" i="1"/>
  <c r="AE152" i="1"/>
  <c r="V152" i="1" s="1"/>
  <c r="AD152" i="1"/>
  <c r="AG152" i="1" s="1"/>
  <c r="W152" i="1"/>
  <c r="T152" i="1"/>
  <c r="R152" i="1"/>
  <c r="BD151" i="1"/>
  <c r="BE151" i="1" s="1"/>
  <c r="AY151" i="1"/>
  <c r="AQ151" i="1"/>
  <c r="AP151" i="1"/>
  <c r="AM151" i="1"/>
  <c r="AL151" i="1"/>
  <c r="AK151" i="1"/>
  <c r="AJ151" i="1"/>
  <c r="AF151" i="1"/>
  <c r="AE151" i="1"/>
  <c r="AG151" i="1" s="1"/>
  <c r="AI151" i="1" s="1"/>
  <c r="AD151" i="1"/>
  <c r="W151" i="1"/>
  <c r="V151" i="1"/>
  <c r="U151" i="1"/>
  <c r="T151" i="1"/>
  <c r="R151" i="1"/>
  <c r="BD150" i="1"/>
  <c r="BE150" i="1" s="1"/>
  <c r="AY150" i="1"/>
  <c r="AQ150" i="1"/>
  <c r="AP150" i="1"/>
  <c r="AM150" i="1"/>
  <c r="AL150" i="1"/>
  <c r="AK150" i="1"/>
  <c r="AJ150" i="1"/>
  <c r="AG150" i="1"/>
  <c r="AI150" i="1" s="1"/>
  <c r="AF150" i="1"/>
  <c r="AE150" i="1"/>
  <c r="AD150" i="1"/>
  <c r="U150" i="1" s="1"/>
  <c r="W150" i="1"/>
  <c r="V150" i="1"/>
  <c r="T150" i="1"/>
  <c r="R150" i="1"/>
  <c r="BG149" i="1"/>
  <c r="BE149" i="1"/>
  <c r="BH149" i="1" s="1"/>
  <c r="BD149" i="1"/>
  <c r="AY149" i="1"/>
  <c r="AQ149" i="1"/>
  <c r="AP149" i="1"/>
  <c r="AM149" i="1"/>
  <c r="AL149" i="1"/>
  <c r="AK149" i="1"/>
  <c r="AJ149" i="1"/>
  <c r="AF149" i="1"/>
  <c r="AE149" i="1"/>
  <c r="V149" i="1" s="1"/>
  <c r="AD149" i="1"/>
  <c r="W149" i="1"/>
  <c r="T149" i="1"/>
  <c r="R149" i="1"/>
  <c r="BD148" i="1"/>
  <c r="BE148" i="1" s="1"/>
  <c r="BH148" i="1" s="1"/>
  <c r="AY148" i="1"/>
  <c r="AQ148" i="1"/>
  <c r="AP148" i="1"/>
  <c r="AM148" i="1"/>
  <c r="AL148" i="1"/>
  <c r="AK148" i="1"/>
  <c r="AJ148" i="1"/>
  <c r="AI148" i="1"/>
  <c r="AF148" i="1"/>
  <c r="AE148" i="1"/>
  <c r="V148" i="1" s="1"/>
  <c r="AD148" i="1"/>
  <c r="AG148" i="1" s="1"/>
  <c r="W148" i="1"/>
  <c r="T148" i="1"/>
  <c r="R148" i="1"/>
  <c r="BD147" i="1"/>
  <c r="BE147" i="1" s="1"/>
  <c r="AY147" i="1"/>
  <c r="AQ147" i="1"/>
  <c r="AP147" i="1"/>
  <c r="AM147" i="1"/>
  <c r="AL147" i="1"/>
  <c r="AK147" i="1"/>
  <c r="AJ147" i="1"/>
  <c r="AF147" i="1"/>
  <c r="AE147" i="1"/>
  <c r="AG147" i="1" s="1"/>
  <c r="AI147" i="1" s="1"/>
  <c r="AD147" i="1"/>
  <c r="W147" i="1"/>
  <c r="V147" i="1"/>
  <c r="U147" i="1"/>
  <c r="T147" i="1"/>
  <c r="R147" i="1"/>
  <c r="BD146" i="1"/>
  <c r="BE146" i="1" s="1"/>
  <c r="AY146" i="1"/>
  <c r="AQ146" i="1"/>
  <c r="AP146" i="1"/>
  <c r="AM146" i="1"/>
  <c r="AL146" i="1"/>
  <c r="AK146" i="1"/>
  <c r="AJ146" i="1"/>
  <c r="AG146" i="1"/>
  <c r="AI146" i="1" s="1"/>
  <c r="AF146" i="1"/>
  <c r="AE146" i="1"/>
  <c r="AD146" i="1"/>
  <c r="U146" i="1" s="1"/>
  <c r="W146" i="1"/>
  <c r="V146" i="1"/>
  <c r="T146" i="1"/>
  <c r="R146" i="1"/>
  <c r="BG145" i="1"/>
  <c r="BE145" i="1"/>
  <c r="BH145" i="1" s="1"/>
  <c r="BD145" i="1"/>
  <c r="AY145" i="1"/>
  <c r="AQ145" i="1"/>
  <c r="AP145" i="1"/>
  <c r="AM145" i="1"/>
  <c r="AL145" i="1"/>
  <c r="AK145" i="1"/>
  <c r="AJ145" i="1"/>
  <c r="AF145" i="1"/>
  <c r="AE145" i="1"/>
  <c r="V145" i="1" s="1"/>
  <c r="AD145" i="1"/>
  <c r="W145" i="1"/>
  <c r="T145" i="1"/>
  <c r="R145" i="1"/>
  <c r="BD144" i="1"/>
  <c r="BE144" i="1" s="1"/>
  <c r="BH144" i="1" s="1"/>
  <c r="AY144" i="1"/>
  <c r="AQ144" i="1"/>
  <c r="AP144" i="1"/>
  <c r="AM144" i="1"/>
  <c r="AL144" i="1"/>
  <c r="AK144" i="1"/>
  <c r="AJ144" i="1"/>
  <c r="AI144" i="1"/>
  <c r="AF144" i="1"/>
  <c r="AE144" i="1"/>
  <c r="V144" i="1" s="1"/>
  <c r="AD144" i="1"/>
  <c r="AG144" i="1" s="1"/>
  <c r="W144" i="1"/>
  <c r="T144" i="1"/>
  <c r="R144" i="1"/>
  <c r="BE143" i="1"/>
  <c r="BH143" i="1" s="1"/>
  <c r="BD143" i="1"/>
  <c r="AY143" i="1"/>
  <c r="AQ143" i="1"/>
  <c r="AP143" i="1"/>
  <c r="AM143" i="1"/>
  <c r="AL143" i="1"/>
  <c r="AK143" i="1"/>
  <c r="AJ143" i="1"/>
  <c r="AF143" i="1"/>
  <c r="AE143" i="1"/>
  <c r="AD143" i="1"/>
  <c r="W143" i="1"/>
  <c r="V143" i="1"/>
  <c r="U143" i="1"/>
  <c r="AA143" i="1" s="1"/>
  <c r="T143" i="1"/>
  <c r="R143" i="1"/>
  <c r="BE142" i="1"/>
  <c r="BD142" i="1"/>
  <c r="AY142" i="1"/>
  <c r="AQ142" i="1"/>
  <c r="AP142" i="1"/>
  <c r="AM142" i="1"/>
  <c r="AL142" i="1"/>
  <c r="AK142" i="1"/>
  <c r="AJ142" i="1"/>
  <c r="AF142" i="1"/>
  <c r="AE142" i="1"/>
  <c r="AD142" i="1"/>
  <c r="U142" i="1" s="1"/>
  <c r="W142" i="1"/>
  <c r="V142" i="1"/>
  <c r="T142" i="1"/>
  <c r="R142" i="1"/>
  <c r="BG141" i="1"/>
  <c r="BE141" i="1"/>
  <c r="BH141" i="1" s="1"/>
  <c r="BD141" i="1"/>
  <c r="AY141" i="1"/>
  <c r="AQ141" i="1"/>
  <c r="AP141" i="1"/>
  <c r="AM141" i="1"/>
  <c r="AL141" i="1"/>
  <c r="AK141" i="1"/>
  <c r="AJ141" i="1"/>
  <c r="AF141" i="1"/>
  <c r="AE141" i="1"/>
  <c r="V141" i="1" s="1"/>
  <c r="AD141" i="1"/>
  <c r="U141" i="1" s="1"/>
  <c r="W141" i="1"/>
  <c r="T141" i="1"/>
  <c r="R141" i="1"/>
  <c r="BG140" i="1"/>
  <c r="BD140" i="1"/>
  <c r="BE140" i="1" s="1"/>
  <c r="BH140" i="1" s="1"/>
  <c r="AY140" i="1"/>
  <c r="AQ140" i="1"/>
  <c r="AP140" i="1"/>
  <c r="AM140" i="1"/>
  <c r="AL140" i="1"/>
  <c r="AK140" i="1"/>
  <c r="AJ140" i="1"/>
  <c r="AF140" i="1"/>
  <c r="AE140" i="1"/>
  <c r="V140" i="1" s="1"/>
  <c r="AD140" i="1"/>
  <c r="U140" i="1" s="1"/>
  <c r="AA140" i="1" s="1"/>
  <c r="W140" i="1"/>
  <c r="T140" i="1"/>
  <c r="R140" i="1"/>
  <c r="BD139" i="1"/>
  <c r="BE139" i="1" s="1"/>
  <c r="AY139" i="1"/>
  <c r="AQ139" i="1"/>
  <c r="AP139" i="1"/>
  <c r="AM139" i="1"/>
  <c r="AL139" i="1"/>
  <c r="AK139" i="1"/>
  <c r="AJ139" i="1"/>
  <c r="AF139" i="1"/>
  <c r="AE139" i="1"/>
  <c r="AD139" i="1"/>
  <c r="W139" i="1"/>
  <c r="V139" i="1"/>
  <c r="U139" i="1"/>
  <c r="AA139" i="1" s="1"/>
  <c r="T139" i="1"/>
  <c r="R139" i="1"/>
  <c r="BD138" i="1"/>
  <c r="BE138" i="1" s="1"/>
  <c r="AY138" i="1"/>
  <c r="AQ138" i="1"/>
  <c r="AP138" i="1"/>
  <c r="AM138" i="1"/>
  <c r="AL138" i="1"/>
  <c r="AK138" i="1"/>
  <c r="AJ138" i="1"/>
  <c r="AF138" i="1"/>
  <c r="AE138" i="1"/>
  <c r="AD138" i="1"/>
  <c r="AG138" i="1" s="1"/>
  <c r="AI138" i="1" s="1"/>
  <c r="W138" i="1"/>
  <c r="V138" i="1"/>
  <c r="T138" i="1"/>
  <c r="R138" i="1"/>
  <c r="BG137" i="1"/>
  <c r="BE137" i="1"/>
  <c r="BH137" i="1" s="1"/>
  <c r="BD137" i="1"/>
  <c r="AY137" i="1"/>
  <c r="AQ137" i="1"/>
  <c r="AP137" i="1"/>
  <c r="AM137" i="1"/>
  <c r="AL137" i="1"/>
  <c r="AK137" i="1"/>
  <c r="AJ137" i="1"/>
  <c r="AF137" i="1"/>
  <c r="AE137" i="1"/>
  <c r="V137" i="1" s="1"/>
  <c r="AD137" i="1"/>
  <c r="U137" i="1" s="1"/>
  <c r="W137" i="1"/>
  <c r="T137" i="1"/>
  <c r="R137" i="1"/>
  <c r="BG136" i="1"/>
  <c r="BD136" i="1"/>
  <c r="BE136" i="1" s="1"/>
  <c r="BH136" i="1" s="1"/>
  <c r="AY136" i="1"/>
  <c r="AQ136" i="1"/>
  <c r="AP136" i="1"/>
  <c r="AM136" i="1"/>
  <c r="AL136" i="1"/>
  <c r="AK136" i="1"/>
  <c r="AJ136" i="1"/>
  <c r="AF136" i="1"/>
  <c r="AE136" i="1"/>
  <c r="V136" i="1" s="1"/>
  <c r="AD136" i="1"/>
  <c r="U136" i="1" s="1"/>
  <c r="AA136" i="1" s="1"/>
  <c r="W136" i="1"/>
  <c r="T136" i="1"/>
  <c r="R136" i="1"/>
  <c r="BE135" i="1"/>
  <c r="BG135" i="1" s="1"/>
  <c r="BD135" i="1"/>
  <c r="AY135" i="1"/>
  <c r="AQ135" i="1"/>
  <c r="AP135" i="1"/>
  <c r="AM135" i="1"/>
  <c r="AL135" i="1"/>
  <c r="AK135" i="1"/>
  <c r="AJ135" i="1"/>
  <c r="AF135" i="1"/>
  <c r="AE135" i="1"/>
  <c r="AG135" i="1" s="1"/>
  <c r="AI135" i="1" s="1"/>
  <c r="AD135" i="1"/>
  <c r="W135" i="1"/>
  <c r="U135" i="1"/>
  <c r="T135" i="1"/>
  <c r="R135" i="1"/>
  <c r="BH134" i="1"/>
  <c r="BE134" i="1"/>
  <c r="BG134" i="1" s="1"/>
  <c r="BD134" i="1"/>
  <c r="AY134" i="1"/>
  <c r="AQ134" i="1"/>
  <c r="AP134" i="1"/>
  <c r="AM134" i="1"/>
  <c r="AL134" i="1"/>
  <c r="AK134" i="1"/>
  <c r="AJ134" i="1"/>
  <c r="AF134" i="1"/>
  <c r="AE134" i="1"/>
  <c r="V134" i="1" s="1"/>
  <c r="AD134" i="1"/>
  <c r="U134" i="1" s="1"/>
  <c r="W134" i="1"/>
  <c r="T134" i="1"/>
  <c r="R134" i="1"/>
  <c r="BH133" i="1"/>
  <c r="BG133" i="1"/>
  <c r="BE133" i="1"/>
  <c r="BD133" i="1"/>
  <c r="AY133" i="1"/>
  <c r="AQ133" i="1"/>
  <c r="AP133" i="1"/>
  <c r="AM133" i="1"/>
  <c r="AL133" i="1"/>
  <c r="AK133" i="1"/>
  <c r="AJ133" i="1"/>
  <c r="AF133" i="1"/>
  <c r="AG133" i="1" s="1"/>
  <c r="AI133" i="1" s="1"/>
  <c r="AE133" i="1"/>
  <c r="AD133" i="1"/>
  <c r="U133" i="1" s="1"/>
  <c r="W133" i="1"/>
  <c r="V133" i="1"/>
  <c r="T133" i="1"/>
  <c r="AA133" i="1" s="1"/>
  <c r="R133" i="1"/>
  <c r="BH132" i="1"/>
  <c r="BE132" i="1"/>
  <c r="BG132" i="1" s="1"/>
  <c r="BD132" i="1"/>
  <c r="AY132" i="1"/>
  <c r="AQ132" i="1"/>
  <c r="AP132" i="1"/>
  <c r="AM132" i="1"/>
  <c r="AL132" i="1"/>
  <c r="AK132" i="1"/>
  <c r="AJ132" i="1"/>
  <c r="AG132" i="1"/>
  <c r="AI132" i="1" s="1"/>
  <c r="AF132" i="1"/>
  <c r="AE132" i="1"/>
  <c r="AD132" i="1"/>
  <c r="U132" i="1" s="1"/>
  <c r="W132" i="1"/>
  <c r="V132" i="1"/>
  <c r="T132" i="1"/>
  <c r="AA132" i="1" s="1"/>
  <c r="R132" i="1"/>
  <c r="BE131" i="1"/>
  <c r="BH131" i="1" s="1"/>
  <c r="BD131" i="1"/>
  <c r="AY131" i="1"/>
  <c r="AQ131" i="1"/>
  <c r="AP131" i="1"/>
  <c r="AM131" i="1"/>
  <c r="AL131" i="1"/>
  <c r="AK131" i="1"/>
  <c r="AJ131" i="1"/>
  <c r="AF131" i="1"/>
  <c r="AE131" i="1"/>
  <c r="V131" i="1" s="1"/>
  <c r="AD131" i="1"/>
  <c r="W131" i="1"/>
  <c r="U131" i="1"/>
  <c r="T131" i="1"/>
  <c r="R131" i="1"/>
  <c r="BH130" i="1"/>
  <c r="BE130" i="1"/>
  <c r="BG130" i="1" s="1"/>
  <c r="BD130" i="1"/>
  <c r="AY130" i="1"/>
  <c r="AQ130" i="1"/>
  <c r="AP130" i="1"/>
  <c r="AM130" i="1"/>
  <c r="AL130" i="1"/>
  <c r="AK130" i="1"/>
  <c r="AJ130" i="1"/>
  <c r="AF130" i="1"/>
  <c r="AG130" i="1" s="1"/>
  <c r="AI130" i="1" s="1"/>
  <c r="AE130" i="1"/>
  <c r="AD130" i="1"/>
  <c r="U130" i="1" s="1"/>
  <c r="W130" i="1"/>
  <c r="V130" i="1"/>
  <c r="T130" i="1"/>
  <c r="R130" i="1"/>
  <c r="BG129" i="1"/>
  <c r="BE129" i="1"/>
  <c r="BH129" i="1" s="1"/>
  <c r="BD129" i="1"/>
  <c r="AY129" i="1"/>
  <c r="AQ129" i="1"/>
  <c r="AP129" i="1"/>
  <c r="AM129" i="1"/>
  <c r="AL129" i="1"/>
  <c r="AK129" i="1"/>
  <c r="AJ129" i="1"/>
  <c r="AG129" i="1"/>
  <c r="AI129" i="1" s="1"/>
  <c r="AF129" i="1"/>
  <c r="AE129" i="1"/>
  <c r="AD129" i="1"/>
  <c r="U129" i="1" s="1"/>
  <c r="AA129" i="1"/>
  <c r="W129" i="1"/>
  <c r="V129" i="1"/>
  <c r="T129" i="1"/>
  <c r="R129" i="1"/>
  <c r="BD128" i="1"/>
  <c r="BE128" i="1" s="1"/>
  <c r="AY128" i="1"/>
  <c r="AQ128" i="1"/>
  <c r="AP128" i="1"/>
  <c r="AM128" i="1"/>
  <c r="AL128" i="1"/>
  <c r="AK128" i="1"/>
  <c r="AJ128" i="1"/>
  <c r="AF128" i="1"/>
  <c r="AE128" i="1"/>
  <c r="AD128" i="1"/>
  <c r="U128" i="1" s="1"/>
  <c r="AA128" i="1" s="1"/>
  <c r="W128" i="1"/>
  <c r="V128" i="1"/>
  <c r="T128" i="1"/>
  <c r="R128" i="1"/>
  <c r="BG127" i="1"/>
  <c r="BE127" i="1"/>
  <c r="BH127" i="1" s="1"/>
  <c r="BD127" i="1"/>
  <c r="AY127" i="1"/>
  <c r="AQ127" i="1"/>
  <c r="AP127" i="1"/>
  <c r="AM127" i="1"/>
  <c r="AL127" i="1"/>
  <c r="AK127" i="1"/>
  <c r="AJ127" i="1"/>
  <c r="AF127" i="1"/>
  <c r="AG127" i="1" s="1"/>
  <c r="AI127" i="1" s="1"/>
  <c r="AE127" i="1"/>
  <c r="AD127" i="1"/>
  <c r="W127" i="1"/>
  <c r="V127" i="1"/>
  <c r="U127" i="1"/>
  <c r="T127" i="1"/>
  <c r="AA127" i="1" s="1"/>
  <c r="R127" i="1"/>
  <c r="BE126" i="1"/>
  <c r="BG126" i="1" s="1"/>
  <c r="BD126" i="1"/>
  <c r="AY126" i="1"/>
  <c r="AQ126" i="1"/>
  <c r="AS6" i="2" s="1"/>
  <c r="AP126" i="1"/>
  <c r="AR6" i="2" s="1"/>
  <c r="AM126" i="1"/>
  <c r="AL126" i="1"/>
  <c r="AK126" i="1"/>
  <c r="AJ126" i="1"/>
  <c r="AF126" i="1"/>
  <c r="AH6" i="2" s="1"/>
  <c r="AE126" i="1"/>
  <c r="AG6" i="2" s="1"/>
  <c r="AD126" i="1"/>
  <c r="AF6" i="2" s="1"/>
  <c r="W126" i="1"/>
  <c r="T126" i="1"/>
  <c r="V6" i="2" s="1"/>
  <c r="R126" i="1"/>
  <c r="T6" i="2" s="1"/>
  <c r="BH125" i="1"/>
  <c r="BG125" i="1"/>
  <c r="BE125" i="1"/>
  <c r="BD125" i="1"/>
  <c r="AY125" i="1"/>
  <c r="AQ125" i="1"/>
  <c r="AP125" i="1"/>
  <c r="AM125" i="1"/>
  <c r="AL125" i="1"/>
  <c r="AK125" i="1"/>
  <c r="AJ125" i="1"/>
  <c r="AF125" i="1"/>
  <c r="AE125" i="1"/>
  <c r="V125" i="1" s="1"/>
  <c r="AD125" i="1"/>
  <c r="W125" i="1"/>
  <c r="T125" i="1"/>
  <c r="R125" i="1"/>
  <c r="BG124" i="1"/>
  <c r="BE124" i="1"/>
  <c r="BH124" i="1" s="1"/>
  <c r="BD124" i="1"/>
  <c r="AY124" i="1"/>
  <c r="AQ124" i="1"/>
  <c r="AP124" i="1"/>
  <c r="AM124" i="1"/>
  <c r="AL124" i="1"/>
  <c r="AK124" i="1"/>
  <c r="AJ124" i="1"/>
  <c r="AI124" i="1"/>
  <c r="AG124" i="1"/>
  <c r="AF124" i="1"/>
  <c r="AE124" i="1"/>
  <c r="AD124" i="1"/>
  <c r="W124" i="1"/>
  <c r="V124" i="1"/>
  <c r="U124" i="1"/>
  <c r="AA124" i="1" s="1"/>
  <c r="T124" i="1"/>
  <c r="R124" i="1"/>
  <c r="BD123" i="1"/>
  <c r="BE123" i="1" s="1"/>
  <c r="AY123" i="1"/>
  <c r="AQ123" i="1"/>
  <c r="AP123" i="1"/>
  <c r="AM123" i="1"/>
  <c r="AL123" i="1"/>
  <c r="AK123" i="1"/>
  <c r="AJ123" i="1"/>
  <c r="AI123" i="1"/>
  <c r="AG123" i="1"/>
  <c r="AF123" i="1"/>
  <c r="AE123" i="1"/>
  <c r="AD123" i="1"/>
  <c r="W123" i="1"/>
  <c r="V123" i="1"/>
  <c r="U123" i="1"/>
  <c r="T123" i="1"/>
  <c r="R123" i="1"/>
  <c r="BH122" i="1"/>
  <c r="BE122" i="1"/>
  <c r="BG122" i="1" s="1"/>
  <c r="BD122" i="1"/>
  <c r="AY122" i="1"/>
  <c r="AQ122" i="1"/>
  <c r="AP122" i="1"/>
  <c r="AM122" i="1"/>
  <c r="AL122" i="1"/>
  <c r="AK122" i="1"/>
  <c r="AJ122" i="1"/>
  <c r="AF122" i="1"/>
  <c r="AE122" i="1"/>
  <c r="V122" i="1" s="1"/>
  <c r="AD122" i="1"/>
  <c r="U122" i="1" s="1"/>
  <c r="W122" i="1"/>
  <c r="T122" i="1"/>
  <c r="R122" i="1"/>
  <c r="BH121" i="1"/>
  <c r="BG121" i="1"/>
  <c r="BE121" i="1"/>
  <c r="BD121" i="1"/>
  <c r="AY121" i="1"/>
  <c r="AQ121" i="1"/>
  <c r="AP121" i="1"/>
  <c r="AM121" i="1"/>
  <c r="AL121" i="1"/>
  <c r="AK121" i="1"/>
  <c r="AJ121" i="1"/>
  <c r="AF121" i="1"/>
  <c r="AE121" i="1"/>
  <c r="V121" i="1" s="1"/>
  <c r="AD121" i="1"/>
  <c r="W121" i="1"/>
  <c r="T121" i="1"/>
  <c r="R121" i="1"/>
  <c r="BG120" i="1"/>
  <c r="BE120" i="1"/>
  <c r="BH120" i="1" s="1"/>
  <c r="BD120" i="1"/>
  <c r="AY120" i="1"/>
  <c r="AQ120" i="1"/>
  <c r="AP120" i="1"/>
  <c r="AM120" i="1"/>
  <c r="AL120" i="1"/>
  <c r="AK120" i="1"/>
  <c r="AJ120" i="1"/>
  <c r="AI120" i="1"/>
  <c r="AG120" i="1"/>
  <c r="AF120" i="1"/>
  <c r="AE120" i="1"/>
  <c r="AD120" i="1"/>
  <c r="W120" i="1"/>
  <c r="V120" i="1"/>
  <c r="U120" i="1"/>
  <c r="T120" i="1"/>
  <c r="R120" i="1"/>
  <c r="BD119" i="1"/>
  <c r="BE119" i="1" s="1"/>
  <c r="AY119" i="1"/>
  <c r="AQ119" i="1"/>
  <c r="AP119" i="1"/>
  <c r="AM119" i="1"/>
  <c r="AL119" i="1"/>
  <c r="AK119" i="1"/>
  <c r="AJ119" i="1"/>
  <c r="AI119" i="1"/>
  <c r="AG119" i="1"/>
  <c r="AF119" i="1"/>
  <c r="AE119" i="1"/>
  <c r="AD119" i="1"/>
  <c r="W119" i="1"/>
  <c r="V119" i="1"/>
  <c r="U119" i="1"/>
  <c r="T119" i="1"/>
  <c r="AA119" i="1" s="1"/>
  <c r="R119" i="1"/>
  <c r="BH118" i="1"/>
  <c r="BE118" i="1"/>
  <c r="BG118" i="1" s="1"/>
  <c r="BD118" i="1"/>
  <c r="AY118" i="1"/>
  <c r="AQ118" i="1"/>
  <c r="AP118" i="1"/>
  <c r="AM118" i="1"/>
  <c r="AL118" i="1"/>
  <c r="AK118" i="1"/>
  <c r="AJ118" i="1"/>
  <c r="AF118" i="1"/>
  <c r="AE118" i="1"/>
  <c r="V118" i="1" s="1"/>
  <c r="AD118" i="1"/>
  <c r="U118" i="1" s="1"/>
  <c r="W118" i="1"/>
  <c r="T118" i="1"/>
  <c r="AA118" i="1" s="1"/>
  <c r="R118" i="1"/>
  <c r="BH117" i="1"/>
  <c r="BG117" i="1"/>
  <c r="BE117" i="1"/>
  <c r="BD117" i="1"/>
  <c r="AY117" i="1"/>
  <c r="AQ117" i="1"/>
  <c r="AP117" i="1"/>
  <c r="AM117" i="1"/>
  <c r="AL117" i="1"/>
  <c r="AK117" i="1"/>
  <c r="AJ117" i="1"/>
  <c r="AF117" i="1"/>
  <c r="AE117" i="1"/>
  <c r="V117" i="1" s="1"/>
  <c r="AD117" i="1"/>
  <c r="W117" i="1"/>
  <c r="T117" i="1"/>
  <c r="R117" i="1"/>
  <c r="BG116" i="1"/>
  <c r="BE116" i="1"/>
  <c r="BH116" i="1" s="1"/>
  <c r="BD116" i="1"/>
  <c r="AY116" i="1"/>
  <c r="AQ116" i="1"/>
  <c r="AP116" i="1"/>
  <c r="AM116" i="1"/>
  <c r="AL116" i="1"/>
  <c r="AK116" i="1"/>
  <c r="AJ116" i="1"/>
  <c r="AI116" i="1"/>
  <c r="AG116" i="1"/>
  <c r="AF116" i="1"/>
  <c r="AE116" i="1"/>
  <c r="AD116" i="1"/>
  <c r="W116" i="1"/>
  <c r="V116" i="1"/>
  <c r="U116" i="1"/>
  <c r="AA116" i="1" s="1"/>
  <c r="T116" i="1"/>
  <c r="R116" i="1"/>
  <c r="BD115" i="1"/>
  <c r="BE115" i="1" s="1"/>
  <c r="AY115" i="1"/>
  <c r="AQ115" i="1"/>
  <c r="AP115" i="1"/>
  <c r="AM115" i="1"/>
  <c r="AL115" i="1"/>
  <c r="AK115" i="1"/>
  <c r="AJ115" i="1"/>
  <c r="AI115" i="1"/>
  <c r="AG115" i="1"/>
  <c r="AF115" i="1"/>
  <c r="AE115" i="1"/>
  <c r="AD115" i="1"/>
  <c r="W115" i="1"/>
  <c r="V115" i="1"/>
  <c r="U115" i="1"/>
  <c r="T115" i="1"/>
  <c r="R115" i="1"/>
  <c r="BH114" i="1"/>
  <c r="BE114" i="1"/>
  <c r="BG114" i="1" s="1"/>
  <c r="BD114" i="1"/>
  <c r="AY114" i="1"/>
  <c r="AQ114" i="1"/>
  <c r="AP114" i="1"/>
  <c r="AM114" i="1"/>
  <c r="AL114" i="1"/>
  <c r="AK114" i="1"/>
  <c r="AJ114" i="1"/>
  <c r="AF114" i="1"/>
  <c r="AE114" i="1"/>
  <c r="V114" i="1" s="1"/>
  <c r="AD114" i="1"/>
  <c r="U114" i="1" s="1"/>
  <c r="W114" i="1"/>
  <c r="T114" i="1"/>
  <c r="R114" i="1"/>
  <c r="BH113" i="1"/>
  <c r="BG113" i="1"/>
  <c r="BE113" i="1"/>
  <c r="BD113" i="1"/>
  <c r="AY113" i="1"/>
  <c r="AQ113" i="1"/>
  <c r="AP113" i="1"/>
  <c r="AM113" i="1"/>
  <c r="AL113" i="1"/>
  <c r="AK113" i="1"/>
  <c r="AJ113" i="1"/>
  <c r="AF113" i="1"/>
  <c r="AE113" i="1"/>
  <c r="V113" i="1" s="1"/>
  <c r="AD113" i="1"/>
  <c r="W113" i="1"/>
  <c r="T113" i="1"/>
  <c r="R113" i="1"/>
  <c r="BG112" i="1"/>
  <c r="BE112" i="1"/>
  <c r="BH112" i="1" s="1"/>
  <c r="BD112" i="1"/>
  <c r="AY112" i="1"/>
  <c r="AQ112" i="1"/>
  <c r="AP112" i="1"/>
  <c r="AM112" i="1"/>
  <c r="AL112" i="1"/>
  <c r="AK112" i="1"/>
  <c r="AJ112" i="1"/>
  <c r="AI112" i="1"/>
  <c r="AG112" i="1"/>
  <c r="AF112" i="1"/>
  <c r="AE112" i="1"/>
  <c r="AD112" i="1"/>
  <c r="W112" i="1"/>
  <c r="V112" i="1"/>
  <c r="U112" i="1"/>
  <c r="T112" i="1"/>
  <c r="R112" i="1"/>
  <c r="BD111" i="1"/>
  <c r="BE111" i="1" s="1"/>
  <c r="AY111" i="1"/>
  <c r="AQ111" i="1"/>
  <c r="AP111" i="1"/>
  <c r="AM111" i="1"/>
  <c r="AL111" i="1"/>
  <c r="AK111" i="1"/>
  <c r="AJ111" i="1"/>
  <c r="AI111" i="1"/>
  <c r="AG111" i="1"/>
  <c r="AF111" i="1"/>
  <c r="AE111" i="1"/>
  <c r="AD111" i="1"/>
  <c r="W111" i="1"/>
  <c r="V111" i="1"/>
  <c r="U111" i="1"/>
  <c r="T111" i="1"/>
  <c r="AA111" i="1" s="1"/>
  <c r="R111" i="1"/>
  <c r="BH110" i="1"/>
  <c r="BE110" i="1"/>
  <c r="BG110" i="1" s="1"/>
  <c r="BD110" i="1"/>
  <c r="AY110" i="1"/>
  <c r="AQ110" i="1"/>
  <c r="AP110" i="1"/>
  <c r="AM110" i="1"/>
  <c r="AL110" i="1"/>
  <c r="AK110" i="1"/>
  <c r="AJ110" i="1"/>
  <c r="AF110" i="1"/>
  <c r="AE110" i="1"/>
  <c r="V110" i="1" s="1"/>
  <c r="AD110" i="1"/>
  <c r="U110" i="1" s="1"/>
  <c r="W110" i="1"/>
  <c r="T110" i="1"/>
  <c r="AA110" i="1" s="1"/>
  <c r="R110" i="1"/>
  <c r="BH109" i="1"/>
  <c r="BG109" i="1"/>
  <c r="BE109" i="1"/>
  <c r="BD109" i="1"/>
  <c r="AY109" i="1"/>
  <c r="AQ109" i="1"/>
  <c r="AP109" i="1"/>
  <c r="AM109" i="1"/>
  <c r="AL109" i="1"/>
  <c r="AK109" i="1"/>
  <c r="AJ109" i="1"/>
  <c r="AF109" i="1"/>
  <c r="AE109" i="1"/>
  <c r="V109" i="1" s="1"/>
  <c r="AD109" i="1"/>
  <c r="W109" i="1"/>
  <c r="T109" i="1"/>
  <c r="R109" i="1"/>
  <c r="BE108" i="1"/>
  <c r="BH108" i="1" s="1"/>
  <c r="BD108" i="1"/>
  <c r="AY108" i="1"/>
  <c r="AQ108" i="1"/>
  <c r="AP108" i="1"/>
  <c r="AM108" i="1"/>
  <c r="AL108" i="1"/>
  <c r="AK108" i="1"/>
  <c r="AJ108" i="1"/>
  <c r="AI108" i="1"/>
  <c r="AG108" i="1"/>
  <c r="AF108" i="1"/>
  <c r="AE108" i="1"/>
  <c r="AD108" i="1"/>
  <c r="W108" i="1"/>
  <c r="V108" i="1"/>
  <c r="U108" i="1"/>
  <c r="AA108" i="1" s="1"/>
  <c r="T108" i="1"/>
  <c r="R108" i="1"/>
  <c r="BD107" i="1"/>
  <c r="BE107" i="1" s="1"/>
  <c r="AY107" i="1"/>
  <c r="AQ107" i="1"/>
  <c r="AP107" i="1"/>
  <c r="AM107" i="1"/>
  <c r="AL107" i="1"/>
  <c r="AK107" i="1"/>
  <c r="AJ107" i="1"/>
  <c r="AI107" i="1"/>
  <c r="AG107" i="1"/>
  <c r="AF107" i="1"/>
  <c r="AE107" i="1"/>
  <c r="AD107" i="1"/>
  <c r="W107" i="1"/>
  <c r="V107" i="1"/>
  <c r="U107" i="1"/>
  <c r="T107" i="1"/>
  <c r="AA107" i="1" s="1"/>
  <c r="R107" i="1"/>
  <c r="BH106" i="1"/>
  <c r="BE106" i="1"/>
  <c r="BG106" i="1" s="1"/>
  <c r="BD106" i="1"/>
  <c r="AY106" i="1"/>
  <c r="AQ106" i="1"/>
  <c r="AP106" i="1"/>
  <c r="AM106" i="1"/>
  <c r="AL106" i="1"/>
  <c r="AK106" i="1"/>
  <c r="AJ106" i="1"/>
  <c r="AF106" i="1"/>
  <c r="AE106" i="1"/>
  <c r="V106" i="1" s="1"/>
  <c r="AD106" i="1"/>
  <c r="U106" i="1" s="1"/>
  <c r="W106" i="1"/>
  <c r="T106" i="1"/>
  <c r="AA106" i="1" s="1"/>
  <c r="R106" i="1"/>
  <c r="BH105" i="1"/>
  <c r="BG105" i="1"/>
  <c r="BE105" i="1"/>
  <c r="BD105" i="1"/>
  <c r="AY105" i="1"/>
  <c r="AQ105" i="1"/>
  <c r="AP105" i="1"/>
  <c r="AM105" i="1"/>
  <c r="AL105" i="1"/>
  <c r="AK105" i="1"/>
  <c r="AJ105" i="1"/>
  <c r="AF105" i="1"/>
  <c r="AE105" i="1"/>
  <c r="V105" i="1" s="1"/>
  <c r="AD105" i="1"/>
  <c r="W105" i="1"/>
  <c r="T105" i="1"/>
  <c r="R105" i="1"/>
  <c r="BE104" i="1"/>
  <c r="BH104" i="1" s="1"/>
  <c r="BD104" i="1"/>
  <c r="AY104" i="1"/>
  <c r="AQ104" i="1"/>
  <c r="AP104" i="1"/>
  <c r="AM104" i="1"/>
  <c r="AL104" i="1"/>
  <c r="AK104" i="1"/>
  <c r="AJ104" i="1"/>
  <c r="AI104" i="1"/>
  <c r="AG104" i="1"/>
  <c r="AF104" i="1"/>
  <c r="AE104" i="1"/>
  <c r="AD104" i="1"/>
  <c r="W104" i="1"/>
  <c r="V104" i="1"/>
  <c r="U104" i="1"/>
  <c r="AA104" i="1" s="1"/>
  <c r="T104" i="1"/>
  <c r="R104" i="1"/>
  <c r="BD103" i="1"/>
  <c r="BE103" i="1" s="1"/>
  <c r="AY103" i="1"/>
  <c r="AQ103" i="1"/>
  <c r="AP103" i="1"/>
  <c r="AM103" i="1"/>
  <c r="AL103" i="1"/>
  <c r="AK103" i="1"/>
  <c r="AJ103" i="1"/>
  <c r="AI103" i="1"/>
  <c r="AG103" i="1"/>
  <c r="AF103" i="1"/>
  <c r="AE103" i="1"/>
  <c r="AD103" i="1"/>
  <c r="W103" i="1"/>
  <c r="V103" i="1"/>
  <c r="U103" i="1"/>
  <c r="T103" i="1"/>
  <c r="AA103" i="1" s="1"/>
  <c r="R103" i="1"/>
  <c r="BH102" i="1"/>
  <c r="BE102" i="1"/>
  <c r="BG102" i="1" s="1"/>
  <c r="BD102" i="1"/>
  <c r="AY102" i="1"/>
  <c r="AQ102" i="1"/>
  <c r="AP102" i="1"/>
  <c r="AM102" i="1"/>
  <c r="AL102" i="1"/>
  <c r="AK102" i="1"/>
  <c r="AJ102" i="1"/>
  <c r="AF102" i="1"/>
  <c r="AE102" i="1"/>
  <c r="V102" i="1" s="1"/>
  <c r="AD102" i="1"/>
  <c r="U102" i="1" s="1"/>
  <c r="W102" i="1"/>
  <c r="T102" i="1"/>
  <c r="AA102" i="1" s="1"/>
  <c r="R102" i="1"/>
  <c r="BH101" i="1"/>
  <c r="BG101" i="1"/>
  <c r="BE101" i="1"/>
  <c r="BD101" i="1"/>
  <c r="AY101" i="1"/>
  <c r="AQ101" i="1"/>
  <c r="AP101" i="1"/>
  <c r="AM101" i="1"/>
  <c r="AL101" i="1"/>
  <c r="AK101" i="1"/>
  <c r="AJ101" i="1"/>
  <c r="AF101" i="1"/>
  <c r="AE101" i="1"/>
  <c r="V101" i="1" s="1"/>
  <c r="AD101" i="1"/>
  <c r="W101" i="1"/>
  <c r="T101" i="1"/>
  <c r="R101" i="1"/>
  <c r="BE100" i="1"/>
  <c r="BH100" i="1" s="1"/>
  <c r="BD100" i="1"/>
  <c r="AY100" i="1"/>
  <c r="AQ100" i="1"/>
  <c r="AP100" i="1"/>
  <c r="AM100" i="1"/>
  <c r="AL100" i="1"/>
  <c r="AK100" i="1"/>
  <c r="AJ100" i="1"/>
  <c r="AI100" i="1"/>
  <c r="AG100" i="1"/>
  <c r="AF100" i="1"/>
  <c r="AE100" i="1"/>
  <c r="AD100" i="1"/>
  <c r="W100" i="1"/>
  <c r="V100" i="1"/>
  <c r="U100" i="1"/>
  <c r="AA100" i="1" s="1"/>
  <c r="T100" i="1"/>
  <c r="R100" i="1"/>
  <c r="BD99" i="1"/>
  <c r="BE99" i="1" s="1"/>
  <c r="AY99" i="1"/>
  <c r="AQ99" i="1"/>
  <c r="AP99" i="1"/>
  <c r="AM99" i="1"/>
  <c r="AL99" i="1"/>
  <c r="AK99" i="1"/>
  <c r="AJ99" i="1"/>
  <c r="AI99" i="1"/>
  <c r="AG99" i="1"/>
  <c r="AF99" i="1"/>
  <c r="AE99" i="1"/>
  <c r="AD99" i="1"/>
  <c r="W99" i="1"/>
  <c r="V99" i="1"/>
  <c r="U99" i="1"/>
  <c r="T99" i="1"/>
  <c r="AA99" i="1" s="1"/>
  <c r="R99" i="1"/>
  <c r="BH98" i="1"/>
  <c r="BE98" i="1"/>
  <c r="BG98" i="1" s="1"/>
  <c r="BD98" i="1"/>
  <c r="AY98" i="1"/>
  <c r="AQ98" i="1"/>
  <c r="AP98" i="1"/>
  <c r="AM98" i="1"/>
  <c r="AL98" i="1"/>
  <c r="AK98" i="1"/>
  <c r="AJ98" i="1"/>
  <c r="AF98" i="1"/>
  <c r="AE98" i="1"/>
  <c r="V98" i="1" s="1"/>
  <c r="AD98" i="1"/>
  <c r="U98" i="1" s="1"/>
  <c r="W98" i="1"/>
  <c r="T98" i="1"/>
  <c r="AA98" i="1" s="1"/>
  <c r="R98" i="1"/>
  <c r="BH97" i="1"/>
  <c r="BG97" i="1"/>
  <c r="BE97" i="1"/>
  <c r="BD97" i="1"/>
  <c r="AY97" i="1"/>
  <c r="AQ97" i="1"/>
  <c r="AP97" i="1"/>
  <c r="AM97" i="1"/>
  <c r="AL97" i="1"/>
  <c r="AK97" i="1"/>
  <c r="AJ97" i="1"/>
  <c r="AF97" i="1"/>
  <c r="AE97" i="1"/>
  <c r="V97" i="1" s="1"/>
  <c r="AD97" i="1"/>
  <c r="W97" i="1"/>
  <c r="T97" i="1"/>
  <c r="R97" i="1"/>
  <c r="BE96" i="1"/>
  <c r="BH96" i="1" s="1"/>
  <c r="BD96" i="1"/>
  <c r="AY96" i="1"/>
  <c r="AQ96" i="1"/>
  <c r="AP96" i="1"/>
  <c r="AM96" i="1"/>
  <c r="AL96" i="1"/>
  <c r="AK96" i="1"/>
  <c r="AJ96" i="1"/>
  <c r="AI96" i="1"/>
  <c r="AG96" i="1"/>
  <c r="AF96" i="1"/>
  <c r="AE96" i="1"/>
  <c r="AD96" i="1"/>
  <c r="W96" i="1"/>
  <c r="V96" i="1"/>
  <c r="U96" i="1"/>
  <c r="AA96" i="1" s="1"/>
  <c r="T96" i="1"/>
  <c r="R96" i="1"/>
  <c r="BD95" i="1"/>
  <c r="BE95" i="1" s="1"/>
  <c r="AY95" i="1"/>
  <c r="AQ95" i="1"/>
  <c r="AP95" i="1"/>
  <c r="AM95" i="1"/>
  <c r="AL95" i="1"/>
  <c r="AK95" i="1"/>
  <c r="AJ95" i="1"/>
  <c r="AI95" i="1"/>
  <c r="AG95" i="1"/>
  <c r="AF95" i="1"/>
  <c r="AE95" i="1"/>
  <c r="AD95" i="1"/>
  <c r="W95" i="1"/>
  <c r="V95" i="1"/>
  <c r="U95" i="1"/>
  <c r="T95" i="1"/>
  <c r="AA95" i="1" s="1"/>
  <c r="R95" i="1"/>
  <c r="BH94" i="1"/>
  <c r="BE94" i="1"/>
  <c r="BG94" i="1" s="1"/>
  <c r="BD94" i="1"/>
  <c r="AY94" i="1"/>
  <c r="AQ94" i="1"/>
  <c r="AP94" i="1"/>
  <c r="AM94" i="1"/>
  <c r="AL94" i="1"/>
  <c r="AK94" i="1"/>
  <c r="AJ94" i="1"/>
  <c r="AF94" i="1"/>
  <c r="AE94" i="1"/>
  <c r="V94" i="1" s="1"/>
  <c r="AD94" i="1"/>
  <c r="U94" i="1" s="1"/>
  <c r="W94" i="1"/>
  <c r="T94" i="1"/>
  <c r="AA94" i="1" s="1"/>
  <c r="R94" i="1"/>
  <c r="BH93" i="1"/>
  <c r="BG93" i="1"/>
  <c r="BE93" i="1"/>
  <c r="BD93" i="1"/>
  <c r="AY93" i="1"/>
  <c r="AQ93" i="1"/>
  <c r="AP93" i="1"/>
  <c r="AM93" i="1"/>
  <c r="AL93" i="1"/>
  <c r="AK93" i="1"/>
  <c r="AJ93" i="1"/>
  <c r="AF93" i="1"/>
  <c r="AE93" i="1"/>
  <c r="V93" i="1" s="1"/>
  <c r="AD93" i="1"/>
  <c r="W93" i="1"/>
  <c r="T93" i="1"/>
  <c r="R93" i="1"/>
  <c r="BE92" i="1"/>
  <c r="BH92" i="1" s="1"/>
  <c r="BD92" i="1"/>
  <c r="AY92" i="1"/>
  <c r="AQ92" i="1"/>
  <c r="AP92" i="1"/>
  <c r="AM92" i="1"/>
  <c r="AL92" i="1"/>
  <c r="AK92" i="1"/>
  <c r="AJ92" i="1"/>
  <c r="AI92" i="1"/>
  <c r="AG92" i="1"/>
  <c r="AF92" i="1"/>
  <c r="AE92" i="1"/>
  <c r="AD92" i="1"/>
  <c r="W92" i="1"/>
  <c r="V92" i="1"/>
  <c r="U92" i="1"/>
  <c r="AA92" i="1" s="1"/>
  <c r="T92" i="1"/>
  <c r="R92" i="1"/>
  <c r="BD91" i="1"/>
  <c r="BE91" i="1" s="1"/>
  <c r="AY91" i="1"/>
  <c r="AQ91" i="1"/>
  <c r="AP91" i="1"/>
  <c r="AM91" i="1"/>
  <c r="AL91" i="1"/>
  <c r="AK91" i="1"/>
  <c r="AJ91" i="1"/>
  <c r="AI91" i="1"/>
  <c r="AG91" i="1"/>
  <c r="AF91" i="1"/>
  <c r="AE91" i="1"/>
  <c r="AD91" i="1"/>
  <c r="W91" i="1"/>
  <c r="V91" i="1"/>
  <c r="U91" i="1"/>
  <c r="T91" i="1"/>
  <c r="AA91" i="1" s="1"/>
  <c r="R91" i="1"/>
  <c r="BH90" i="1"/>
  <c r="BE90" i="1"/>
  <c r="BG90" i="1" s="1"/>
  <c r="BD90" i="1"/>
  <c r="AY90" i="1"/>
  <c r="AQ90" i="1"/>
  <c r="AP90" i="1"/>
  <c r="AM90" i="1"/>
  <c r="AL90" i="1"/>
  <c r="AK90" i="1"/>
  <c r="AJ90" i="1"/>
  <c r="AF90" i="1"/>
  <c r="AE90" i="1"/>
  <c r="V90" i="1" s="1"/>
  <c r="AD90" i="1"/>
  <c r="U90" i="1" s="1"/>
  <c r="W90" i="1"/>
  <c r="T90" i="1"/>
  <c r="AA90" i="1" s="1"/>
  <c r="R90" i="1"/>
  <c r="BH89" i="1"/>
  <c r="BG89" i="1"/>
  <c r="BE89" i="1"/>
  <c r="BD89" i="1"/>
  <c r="AY89" i="1"/>
  <c r="AQ89" i="1"/>
  <c r="AP89" i="1"/>
  <c r="AM89" i="1"/>
  <c r="AL89" i="1"/>
  <c r="AK89" i="1"/>
  <c r="AJ89" i="1"/>
  <c r="AF89" i="1"/>
  <c r="AE89" i="1"/>
  <c r="V89" i="1" s="1"/>
  <c r="AD89" i="1"/>
  <c r="W89" i="1"/>
  <c r="T89" i="1"/>
  <c r="R89" i="1"/>
  <c r="BE88" i="1"/>
  <c r="BH88" i="1" s="1"/>
  <c r="BD88" i="1"/>
  <c r="AY88" i="1"/>
  <c r="AQ88" i="1"/>
  <c r="AP88" i="1"/>
  <c r="AM88" i="1"/>
  <c r="AL88" i="1"/>
  <c r="AK88" i="1"/>
  <c r="AJ88" i="1"/>
  <c r="AI88" i="1"/>
  <c r="AG88" i="1"/>
  <c r="AF88" i="1"/>
  <c r="AE88" i="1"/>
  <c r="AD88" i="1"/>
  <c r="W88" i="1"/>
  <c r="V88" i="1"/>
  <c r="U88" i="1"/>
  <c r="AA88" i="1" s="1"/>
  <c r="T88" i="1"/>
  <c r="R88" i="1"/>
  <c r="BD87" i="1"/>
  <c r="BE87" i="1" s="1"/>
  <c r="AY87" i="1"/>
  <c r="AQ87" i="1"/>
  <c r="AP87" i="1"/>
  <c r="AM87" i="1"/>
  <c r="AL87" i="1"/>
  <c r="AK87" i="1"/>
  <c r="AJ87" i="1"/>
  <c r="AI87" i="1"/>
  <c r="AG87" i="1"/>
  <c r="AF87" i="1"/>
  <c r="AE87" i="1"/>
  <c r="AD87" i="1"/>
  <c r="W87" i="1"/>
  <c r="V87" i="1"/>
  <c r="U87" i="1"/>
  <c r="T87" i="1"/>
  <c r="AA87" i="1" s="1"/>
  <c r="R87" i="1"/>
  <c r="BH86" i="1"/>
  <c r="BE86" i="1"/>
  <c r="BG86" i="1" s="1"/>
  <c r="BD86" i="1"/>
  <c r="AY86" i="1"/>
  <c r="AQ86" i="1"/>
  <c r="AP86" i="1"/>
  <c r="AM86" i="1"/>
  <c r="AL86" i="1"/>
  <c r="AK86" i="1"/>
  <c r="AJ86" i="1"/>
  <c r="AF86" i="1"/>
  <c r="AE86" i="1"/>
  <c r="V86" i="1" s="1"/>
  <c r="AD86" i="1"/>
  <c r="U86" i="1" s="1"/>
  <c r="W86" i="1"/>
  <c r="T86" i="1"/>
  <c r="AA86" i="1" s="1"/>
  <c r="R86" i="1"/>
  <c r="BH85" i="1"/>
  <c r="BG85" i="1"/>
  <c r="BE85" i="1"/>
  <c r="BD85" i="1"/>
  <c r="AY85" i="1"/>
  <c r="AQ85" i="1"/>
  <c r="AP85" i="1"/>
  <c r="AM85" i="1"/>
  <c r="AL85" i="1"/>
  <c r="AK85" i="1"/>
  <c r="AJ85" i="1"/>
  <c r="AF85" i="1"/>
  <c r="AE85" i="1"/>
  <c r="V85" i="1" s="1"/>
  <c r="AD85" i="1"/>
  <c r="W85" i="1"/>
  <c r="T85" i="1"/>
  <c r="R85" i="1"/>
  <c r="BE84" i="1"/>
  <c r="BH84" i="1" s="1"/>
  <c r="BD84" i="1"/>
  <c r="AY84" i="1"/>
  <c r="AQ84" i="1"/>
  <c r="AP84" i="1"/>
  <c r="AM84" i="1"/>
  <c r="AL84" i="1"/>
  <c r="AK84" i="1"/>
  <c r="AJ84" i="1"/>
  <c r="AI84" i="1"/>
  <c r="AG84" i="1"/>
  <c r="AF84" i="1"/>
  <c r="AE84" i="1"/>
  <c r="AD84" i="1"/>
  <c r="W84" i="1"/>
  <c r="V84" i="1"/>
  <c r="U84" i="1"/>
  <c r="AA84" i="1" s="1"/>
  <c r="T84" i="1"/>
  <c r="R84" i="1"/>
  <c r="BD83" i="1"/>
  <c r="BE83" i="1" s="1"/>
  <c r="AY83" i="1"/>
  <c r="AQ83" i="1"/>
  <c r="AP83" i="1"/>
  <c r="AM83" i="1"/>
  <c r="AL83" i="1"/>
  <c r="AK83" i="1"/>
  <c r="AJ83" i="1"/>
  <c r="AI83" i="1"/>
  <c r="AG83" i="1"/>
  <c r="AF83" i="1"/>
  <c r="AE83" i="1"/>
  <c r="AD83" i="1"/>
  <c r="W83" i="1"/>
  <c r="V83" i="1"/>
  <c r="U83" i="1"/>
  <c r="T83" i="1"/>
  <c r="AA83" i="1" s="1"/>
  <c r="R83" i="1"/>
  <c r="BH82" i="1"/>
  <c r="BE82" i="1"/>
  <c r="BG82" i="1" s="1"/>
  <c r="BD82" i="1"/>
  <c r="AY82" i="1"/>
  <c r="AQ82" i="1"/>
  <c r="AP82" i="1"/>
  <c r="AM82" i="1"/>
  <c r="AL82" i="1"/>
  <c r="AK82" i="1"/>
  <c r="AJ82" i="1"/>
  <c r="AF82" i="1"/>
  <c r="AE82" i="1"/>
  <c r="V82" i="1" s="1"/>
  <c r="AD82" i="1"/>
  <c r="U82" i="1" s="1"/>
  <c r="W82" i="1"/>
  <c r="T82" i="1"/>
  <c r="AA82" i="1" s="1"/>
  <c r="R82" i="1"/>
  <c r="BH81" i="1"/>
  <c r="BG81" i="1"/>
  <c r="BE81" i="1"/>
  <c r="BD81" i="1"/>
  <c r="AY81" i="1"/>
  <c r="AQ81" i="1"/>
  <c r="AP81" i="1"/>
  <c r="AM81" i="1"/>
  <c r="AL81" i="1"/>
  <c r="AK81" i="1"/>
  <c r="AJ81" i="1"/>
  <c r="AF81" i="1"/>
  <c r="AE81" i="1"/>
  <c r="V81" i="1" s="1"/>
  <c r="AD81" i="1"/>
  <c r="W81" i="1"/>
  <c r="T81" i="1"/>
  <c r="R81" i="1"/>
  <c r="BE80" i="1"/>
  <c r="BH80" i="1" s="1"/>
  <c r="BD80" i="1"/>
  <c r="AY80" i="1"/>
  <c r="AQ80" i="1"/>
  <c r="AP80" i="1"/>
  <c r="AM80" i="1"/>
  <c r="AL80" i="1"/>
  <c r="AK80" i="1"/>
  <c r="AJ80" i="1"/>
  <c r="AI80" i="1"/>
  <c r="AG80" i="1"/>
  <c r="AF80" i="1"/>
  <c r="AE80" i="1"/>
  <c r="AD80" i="1"/>
  <c r="W80" i="1"/>
  <c r="V80" i="1"/>
  <c r="U80" i="1"/>
  <c r="AA80" i="1" s="1"/>
  <c r="T80" i="1"/>
  <c r="R80" i="1"/>
  <c r="BD79" i="1"/>
  <c r="BE79" i="1" s="1"/>
  <c r="AY79" i="1"/>
  <c r="AQ79" i="1"/>
  <c r="AP79" i="1"/>
  <c r="AM79" i="1"/>
  <c r="AL79" i="1"/>
  <c r="AK79" i="1"/>
  <c r="AJ79" i="1"/>
  <c r="AI79" i="1"/>
  <c r="AG79" i="1"/>
  <c r="AF79" i="1"/>
  <c r="AE79" i="1"/>
  <c r="AD79" i="1"/>
  <c r="W79" i="1"/>
  <c r="V79" i="1"/>
  <c r="U79" i="1"/>
  <c r="T79" i="1"/>
  <c r="AA79" i="1" s="1"/>
  <c r="R79" i="1"/>
  <c r="BH78" i="1"/>
  <c r="BE78" i="1"/>
  <c r="BG78" i="1" s="1"/>
  <c r="BD78" i="1"/>
  <c r="AY78" i="1"/>
  <c r="AQ78" i="1"/>
  <c r="AP78" i="1"/>
  <c r="AM78" i="1"/>
  <c r="AL78" i="1"/>
  <c r="AK78" i="1"/>
  <c r="AJ78" i="1"/>
  <c r="AF78" i="1"/>
  <c r="AE78" i="1"/>
  <c r="V78" i="1" s="1"/>
  <c r="AD78" i="1"/>
  <c r="U78" i="1" s="1"/>
  <c r="W78" i="1"/>
  <c r="T78" i="1"/>
  <c r="AA78" i="1" s="1"/>
  <c r="R78" i="1"/>
  <c r="BH77" i="1"/>
  <c r="BG77" i="1"/>
  <c r="BE77" i="1"/>
  <c r="BD77" i="1"/>
  <c r="AY77" i="1"/>
  <c r="AQ77" i="1"/>
  <c r="AP77" i="1"/>
  <c r="AM77" i="1"/>
  <c r="AL77" i="1"/>
  <c r="AK77" i="1"/>
  <c r="AJ77" i="1"/>
  <c r="AF77" i="1"/>
  <c r="AE77" i="1"/>
  <c r="V77" i="1" s="1"/>
  <c r="AD77" i="1"/>
  <c r="W77" i="1"/>
  <c r="T77" i="1"/>
  <c r="R77" i="1"/>
  <c r="BE76" i="1"/>
  <c r="BH76" i="1" s="1"/>
  <c r="BD76" i="1"/>
  <c r="AY76" i="1"/>
  <c r="AQ76" i="1"/>
  <c r="AP76" i="1"/>
  <c r="AM76" i="1"/>
  <c r="AL76" i="1"/>
  <c r="AK76" i="1"/>
  <c r="AJ76" i="1"/>
  <c r="AI76" i="1"/>
  <c r="AG76" i="1"/>
  <c r="AF76" i="1"/>
  <c r="AE76" i="1"/>
  <c r="AD76" i="1"/>
  <c r="W76" i="1"/>
  <c r="V76" i="1"/>
  <c r="U76" i="1"/>
  <c r="AA76" i="1" s="1"/>
  <c r="T76" i="1"/>
  <c r="R76" i="1"/>
  <c r="BD75" i="1"/>
  <c r="BE75" i="1" s="1"/>
  <c r="AY75" i="1"/>
  <c r="AQ75" i="1"/>
  <c r="AP75" i="1"/>
  <c r="AM75" i="1"/>
  <c r="AL75" i="1"/>
  <c r="AK75" i="1"/>
  <c r="AJ75" i="1"/>
  <c r="AI75" i="1"/>
  <c r="AG75" i="1"/>
  <c r="AF75" i="1"/>
  <c r="AE75" i="1"/>
  <c r="AD75" i="1"/>
  <c r="W75" i="1"/>
  <c r="V75" i="1"/>
  <c r="U75" i="1"/>
  <c r="T75" i="1"/>
  <c r="AA75" i="1" s="1"/>
  <c r="R75" i="1"/>
  <c r="BH74" i="1"/>
  <c r="BE74" i="1"/>
  <c r="BG74" i="1" s="1"/>
  <c r="BD74" i="1"/>
  <c r="AY74" i="1"/>
  <c r="AQ74" i="1"/>
  <c r="AP74" i="1"/>
  <c r="AM74" i="1"/>
  <c r="AL74" i="1"/>
  <c r="AK74" i="1"/>
  <c r="AJ74" i="1"/>
  <c r="AF74" i="1"/>
  <c r="AE74" i="1"/>
  <c r="V74" i="1" s="1"/>
  <c r="AD74" i="1"/>
  <c r="U74" i="1" s="1"/>
  <c r="W74" i="1"/>
  <c r="T74" i="1"/>
  <c r="AA74" i="1" s="1"/>
  <c r="R74" i="1"/>
  <c r="BH73" i="1"/>
  <c r="BG73" i="1"/>
  <c r="BE73" i="1"/>
  <c r="BD73" i="1"/>
  <c r="AY73" i="1"/>
  <c r="AQ73" i="1"/>
  <c r="AP73" i="1"/>
  <c r="AM73" i="1"/>
  <c r="AL73" i="1"/>
  <c r="AK73" i="1"/>
  <c r="AJ73" i="1"/>
  <c r="AF73" i="1"/>
  <c r="AE73" i="1"/>
  <c r="V73" i="1" s="1"/>
  <c r="AD73" i="1"/>
  <c r="W73" i="1"/>
  <c r="T73" i="1"/>
  <c r="R73" i="1"/>
  <c r="BE72" i="1"/>
  <c r="BH72" i="1" s="1"/>
  <c r="BD72" i="1"/>
  <c r="AY72" i="1"/>
  <c r="AQ72" i="1"/>
  <c r="AP72" i="1"/>
  <c r="AM72" i="1"/>
  <c r="AL72" i="1"/>
  <c r="AK72" i="1"/>
  <c r="AJ72" i="1"/>
  <c r="AI72" i="1"/>
  <c r="AG72" i="1"/>
  <c r="AF72" i="1"/>
  <c r="AE72" i="1"/>
  <c r="AD72" i="1"/>
  <c r="W72" i="1"/>
  <c r="V72" i="1"/>
  <c r="U72" i="1"/>
  <c r="AA72" i="1" s="1"/>
  <c r="T72" i="1"/>
  <c r="R72" i="1"/>
  <c r="BD71" i="1"/>
  <c r="BE71" i="1" s="1"/>
  <c r="AY71" i="1"/>
  <c r="AQ71" i="1"/>
  <c r="AP71" i="1"/>
  <c r="AM71" i="1"/>
  <c r="AL71" i="1"/>
  <c r="AK71" i="1"/>
  <c r="AJ71" i="1"/>
  <c r="AI71" i="1"/>
  <c r="AG71" i="1"/>
  <c r="AF71" i="1"/>
  <c r="AE71" i="1"/>
  <c r="AD71" i="1"/>
  <c r="W71" i="1"/>
  <c r="V71" i="1"/>
  <c r="U71" i="1"/>
  <c r="T71" i="1"/>
  <c r="AA71" i="1" s="1"/>
  <c r="R71" i="1"/>
  <c r="BH70" i="1"/>
  <c r="BE70" i="1"/>
  <c r="BG70" i="1" s="1"/>
  <c r="BD70" i="1"/>
  <c r="AY70" i="1"/>
  <c r="AQ70" i="1"/>
  <c r="AP70" i="1"/>
  <c r="AM70" i="1"/>
  <c r="AL70" i="1"/>
  <c r="AK70" i="1"/>
  <c r="AJ70" i="1"/>
  <c r="AF70" i="1"/>
  <c r="AE70" i="1"/>
  <c r="V70" i="1" s="1"/>
  <c r="AD70" i="1"/>
  <c r="U70" i="1" s="1"/>
  <c r="W70" i="1"/>
  <c r="T70" i="1"/>
  <c r="AA70" i="1" s="1"/>
  <c r="R70" i="1"/>
  <c r="BH69" i="1"/>
  <c r="BG69" i="1"/>
  <c r="BE69" i="1"/>
  <c r="BD69" i="1"/>
  <c r="AY69" i="1"/>
  <c r="AQ69" i="1"/>
  <c r="AP69" i="1"/>
  <c r="AM69" i="1"/>
  <c r="AL69" i="1"/>
  <c r="AK69" i="1"/>
  <c r="AJ69" i="1"/>
  <c r="AF69" i="1"/>
  <c r="AE69" i="1"/>
  <c r="V69" i="1" s="1"/>
  <c r="AD69" i="1"/>
  <c r="W69" i="1"/>
  <c r="T69" i="1"/>
  <c r="R69" i="1"/>
  <c r="BE68" i="1"/>
  <c r="BH68" i="1" s="1"/>
  <c r="BD68" i="1"/>
  <c r="AY68" i="1"/>
  <c r="AQ68" i="1"/>
  <c r="AP68" i="1"/>
  <c r="AM68" i="1"/>
  <c r="AL68" i="1"/>
  <c r="AK68" i="1"/>
  <c r="AJ68" i="1"/>
  <c r="AI68" i="1"/>
  <c r="AG68" i="1"/>
  <c r="AF68" i="1"/>
  <c r="AE68" i="1"/>
  <c r="AD68" i="1"/>
  <c r="W68" i="1"/>
  <c r="V68" i="1"/>
  <c r="U68" i="1"/>
  <c r="AA68" i="1" s="1"/>
  <c r="T68" i="1"/>
  <c r="R68" i="1"/>
  <c r="BD67" i="1"/>
  <c r="BE67" i="1" s="1"/>
  <c r="AY67" i="1"/>
  <c r="AQ67" i="1"/>
  <c r="AP67" i="1"/>
  <c r="AM67" i="1"/>
  <c r="AL67" i="1"/>
  <c r="AK67" i="1"/>
  <c r="AJ67" i="1"/>
  <c r="AI67" i="1"/>
  <c r="AG67" i="1"/>
  <c r="AF67" i="1"/>
  <c r="AE67" i="1"/>
  <c r="AD67" i="1"/>
  <c r="W67" i="1"/>
  <c r="V67" i="1"/>
  <c r="U67" i="1"/>
  <c r="T67" i="1"/>
  <c r="AA67" i="1" s="1"/>
  <c r="R67" i="1"/>
  <c r="BH66" i="1"/>
  <c r="BE66" i="1"/>
  <c r="BG66" i="1" s="1"/>
  <c r="BD66" i="1"/>
  <c r="AY66" i="1"/>
  <c r="AQ66" i="1"/>
  <c r="AP66" i="1"/>
  <c r="AM66" i="1"/>
  <c r="AL66" i="1"/>
  <c r="AK66" i="1"/>
  <c r="AJ66" i="1"/>
  <c r="AF66" i="1"/>
  <c r="AE66" i="1"/>
  <c r="V66" i="1" s="1"/>
  <c r="AD66" i="1"/>
  <c r="W66" i="1"/>
  <c r="T66" i="1"/>
  <c r="R66" i="1"/>
  <c r="BH65" i="1"/>
  <c r="BG65" i="1"/>
  <c r="BE65" i="1"/>
  <c r="BD65" i="1"/>
  <c r="AY65" i="1"/>
  <c r="AQ65" i="1"/>
  <c r="AP65" i="1"/>
  <c r="AM65" i="1"/>
  <c r="AL65" i="1"/>
  <c r="AK65" i="1"/>
  <c r="AJ65" i="1"/>
  <c r="AF65" i="1"/>
  <c r="AE65" i="1"/>
  <c r="V65" i="1" s="1"/>
  <c r="AD65" i="1"/>
  <c r="W65" i="1"/>
  <c r="T65" i="1"/>
  <c r="R65" i="1"/>
  <c r="BE64" i="1"/>
  <c r="BH64" i="1" s="1"/>
  <c r="BD64" i="1"/>
  <c r="AY64" i="1"/>
  <c r="AQ64" i="1"/>
  <c r="AP64" i="1"/>
  <c r="AM64" i="1"/>
  <c r="AL64" i="1"/>
  <c r="AK64" i="1"/>
  <c r="AJ64" i="1"/>
  <c r="AI64" i="1"/>
  <c r="AG64" i="1"/>
  <c r="AF64" i="1"/>
  <c r="AE64" i="1"/>
  <c r="AD64" i="1"/>
  <c r="W64" i="1"/>
  <c r="V64" i="1"/>
  <c r="U64" i="1"/>
  <c r="AA64" i="1" s="1"/>
  <c r="T64" i="1"/>
  <c r="R64" i="1"/>
  <c r="BD63" i="1"/>
  <c r="BE63" i="1" s="1"/>
  <c r="AY63" i="1"/>
  <c r="AQ63" i="1"/>
  <c r="AP63" i="1"/>
  <c r="AM63" i="1"/>
  <c r="AL63" i="1"/>
  <c r="AK63" i="1"/>
  <c r="AJ63" i="1"/>
  <c r="AI63" i="1"/>
  <c r="AG63" i="1"/>
  <c r="AF63" i="1"/>
  <c r="AE63" i="1"/>
  <c r="AD63" i="1"/>
  <c r="W63" i="1"/>
  <c r="V63" i="1"/>
  <c r="U63" i="1"/>
  <c r="T63" i="1"/>
  <c r="AA63" i="1" s="1"/>
  <c r="R63" i="1"/>
  <c r="BH62" i="1"/>
  <c r="BE62" i="1"/>
  <c r="BG62" i="1" s="1"/>
  <c r="BD62" i="1"/>
  <c r="AY62" i="1"/>
  <c r="AQ62" i="1"/>
  <c r="AP62" i="1"/>
  <c r="AM62" i="1"/>
  <c r="AL62" i="1"/>
  <c r="AK62" i="1"/>
  <c r="AJ62" i="1"/>
  <c r="AF62" i="1"/>
  <c r="AE62" i="1"/>
  <c r="V62" i="1" s="1"/>
  <c r="AD62" i="1"/>
  <c r="W62" i="1"/>
  <c r="T62" i="1"/>
  <c r="R62" i="1"/>
  <c r="BH61" i="1"/>
  <c r="BG61" i="1"/>
  <c r="BE61" i="1"/>
  <c r="BD61" i="1"/>
  <c r="AY61" i="1"/>
  <c r="AQ61" i="1"/>
  <c r="AP61" i="1"/>
  <c r="AM61" i="1"/>
  <c r="AL61" i="1"/>
  <c r="AK61" i="1"/>
  <c r="AJ61" i="1"/>
  <c r="AF61" i="1"/>
  <c r="AE61" i="1"/>
  <c r="V61" i="1" s="1"/>
  <c r="AD61" i="1"/>
  <c r="W61" i="1"/>
  <c r="T61" i="1"/>
  <c r="R61" i="1"/>
  <c r="BE60" i="1"/>
  <c r="BH60" i="1" s="1"/>
  <c r="BD60" i="1"/>
  <c r="AY60" i="1"/>
  <c r="AQ60" i="1"/>
  <c r="AP60" i="1"/>
  <c r="AM60" i="1"/>
  <c r="AL60" i="1"/>
  <c r="AK60" i="1"/>
  <c r="AJ60" i="1"/>
  <c r="AI60" i="1"/>
  <c r="AG60" i="1"/>
  <c r="AF60" i="1"/>
  <c r="AE60" i="1"/>
  <c r="AD60" i="1"/>
  <c r="W60" i="1"/>
  <c r="V60" i="1"/>
  <c r="U60" i="1"/>
  <c r="AA60" i="1" s="1"/>
  <c r="T60" i="1"/>
  <c r="R60" i="1"/>
  <c r="BD59" i="1"/>
  <c r="BE59" i="1" s="1"/>
  <c r="AY59" i="1"/>
  <c r="AQ59" i="1"/>
  <c r="AP59" i="1"/>
  <c r="AM59" i="1"/>
  <c r="AL59" i="1"/>
  <c r="AK59" i="1"/>
  <c r="AJ59" i="1"/>
  <c r="AI59" i="1"/>
  <c r="AG59" i="1"/>
  <c r="AF59" i="1"/>
  <c r="AE59" i="1"/>
  <c r="AD59" i="1"/>
  <c r="W59" i="1"/>
  <c r="V59" i="1"/>
  <c r="U59" i="1"/>
  <c r="T59" i="1"/>
  <c r="AA59" i="1" s="1"/>
  <c r="R59" i="1"/>
  <c r="BH58" i="1"/>
  <c r="BE58" i="1"/>
  <c r="BG58" i="1" s="1"/>
  <c r="BD58" i="1"/>
  <c r="AY58" i="1"/>
  <c r="AQ58" i="1"/>
  <c r="AP58" i="1"/>
  <c r="AM58" i="1"/>
  <c r="AL58" i="1"/>
  <c r="AK58" i="1"/>
  <c r="AJ58" i="1"/>
  <c r="AF58" i="1"/>
  <c r="AE58" i="1"/>
  <c r="V58" i="1" s="1"/>
  <c r="AD58" i="1"/>
  <c r="W58" i="1"/>
  <c r="T58" i="1"/>
  <c r="R58" i="1"/>
  <c r="BH57" i="1"/>
  <c r="BG57" i="1"/>
  <c r="BE57" i="1"/>
  <c r="BD57" i="1"/>
  <c r="AY57" i="1"/>
  <c r="AQ57" i="1"/>
  <c r="AP57" i="1"/>
  <c r="AM57" i="1"/>
  <c r="AL57" i="1"/>
  <c r="AK57" i="1"/>
  <c r="AJ57" i="1"/>
  <c r="AF57" i="1"/>
  <c r="AE57" i="1"/>
  <c r="V57" i="1" s="1"/>
  <c r="AD57" i="1"/>
  <c r="W57" i="1"/>
  <c r="T57" i="1"/>
  <c r="R57" i="1"/>
  <c r="BE56" i="1"/>
  <c r="BH56" i="1" s="1"/>
  <c r="BD56" i="1"/>
  <c r="AY56" i="1"/>
  <c r="AQ56" i="1"/>
  <c r="AP56" i="1"/>
  <c r="AM56" i="1"/>
  <c r="AL56" i="1"/>
  <c r="AK56" i="1"/>
  <c r="AJ56" i="1"/>
  <c r="AI56" i="1"/>
  <c r="AG56" i="1"/>
  <c r="AF56" i="1"/>
  <c r="AE56" i="1"/>
  <c r="AD56" i="1"/>
  <c r="W56" i="1"/>
  <c r="V56" i="1"/>
  <c r="U56" i="1"/>
  <c r="AA56" i="1" s="1"/>
  <c r="T56" i="1"/>
  <c r="R56" i="1"/>
  <c r="BD55" i="1"/>
  <c r="BE55" i="1" s="1"/>
  <c r="AY55" i="1"/>
  <c r="AQ55" i="1"/>
  <c r="AP55" i="1"/>
  <c r="AM55" i="1"/>
  <c r="AL55" i="1"/>
  <c r="AK55" i="1"/>
  <c r="AJ55" i="1"/>
  <c r="AI55" i="1"/>
  <c r="AG55" i="1"/>
  <c r="AF55" i="1"/>
  <c r="AE55" i="1"/>
  <c r="AD55" i="1"/>
  <c r="W55" i="1"/>
  <c r="V55" i="1"/>
  <c r="U55" i="1"/>
  <c r="T55" i="1"/>
  <c r="AA55" i="1" s="1"/>
  <c r="R55" i="1"/>
  <c r="BH54" i="1"/>
  <c r="BE54" i="1"/>
  <c r="BG54" i="1" s="1"/>
  <c r="BD54" i="1"/>
  <c r="AY54" i="1"/>
  <c r="AQ54" i="1"/>
  <c r="AP54" i="1"/>
  <c r="AM54" i="1"/>
  <c r="AL54" i="1"/>
  <c r="AK54" i="1"/>
  <c r="AJ54" i="1"/>
  <c r="AF54" i="1"/>
  <c r="AE54" i="1"/>
  <c r="V54" i="1" s="1"/>
  <c r="AD54" i="1"/>
  <c r="W54" i="1"/>
  <c r="T54" i="1"/>
  <c r="R54" i="1"/>
  <c r="BH53" i="1"/>
  <c r="BG53" i="1"/>
  <c r="BE53" i="1"/>
  <c r="BD53" i="1"/>
  <c r="AY53" i="1"/>
  <c r="AQ53" i="1"/>
  <c r="AP53" i="1"/>
  <c r="AM53" i="1"/>
  <c r="AL53" i="1"/>
  <c r="AK53" i="1"/>
  <c r="AJ53" i="1"/>
  <c r="AF53" i="1"/>
  <c r="AE53" i="1"/>
  <c r="V53" i="1" s="1"/>
  <c r="AD53" i="1"/>
  <c r="W53" i="1"/>
  <c r="T53" i="1"/>
  <c r="R53" i="1"/>
  <c r="BE52" i="1"/>
  <c r="BH52" i="1" s="1"/>
  <c r="BD52" i="1"/>
  <c r="AY52" i="1"/>
  <c r="AQ52" i="1"/>
  <c r="AP52" i="1"/>
  <c r="AM52" i="1"/>
  <c r="AL52" i="1"/>
  <c r="AK52" i="1"/>
  <c r="AJ52" i="1"/>
  <c r="AI52" i="1"/>
  <c r="AG52" i="1"/>
  <c r="AF52" i="1"/>
  <c r="AE52" i="1"/>
  <c r="AD52" i="1"/>
  <c r="W52" i="1"/>
  <c r="V52" i="1"/>
  <c r="U52" i="1"/>
  <c r="AA52" i="1" s="1"/>
  <c r="T52" i="1"/>
  <c r="R52" i="1"/>
  <c r="BD51" i="1"/>
  <c r="BE51" i="1" s="1"/>
  <c r="AY51" i="1"/>
  <c r="AQ51" i="1"/>
  <c r="AP51" i="1"/>
  <c r="AM51" i="1"/>
  <c r="AL51" i="1"/>
  <c r="AK51" i="1"/>
  <c r="AJ51" i="1"/>
  <c r="AI51" i="1"/>
  <c r="AG51" i="1"/>
  <c r="AF51" i="1"/>
  <c r="AE51" i="1"/>
  <c r="AD51" i="1"/>
  <c r="W51" i="1"/>
  <c r="V51" i="1"/>
  <c r="U51" i="1"/>
  <c r="T51" i="1"/>
  <c r="AA51" i="1" s="1"/>
  <c r="R51" i="1"/>
  <c r="BH50" i="1"/>
  <c r="BE50" i="1"/>
  <c r="BG50" i="1" s="1"/>
  <c r="BD50" i="1"/>
  <c r="AY50" i="1"/>
  <c r="AQ50" i="1"/>
  <c r="AP50" i="1"/>
  <c r="AM50" i="1"/>
  <c r="AL50" i="1"/>
  <c r="AK50" i="1"/>
  <c r="AJ50" i="1"/>
  <c r="AF50" i="1"/>
  <c r="AE50" i="1"/>
  <c r="V50" i="1" s="1"/>
  <c r="AD50" i="1"/>
  <c r="W50" i="1"/>
  <c r="T50" i="1"/>
  <c r="R50" i="1"/>
  <c r="BH49" i="1"/>
  <c r="BG49" i="1"/>
  <c r="BE49" i="1"/>
  <c r="BD49" i="1"/>
  <c r="AY49" i="1"/>
  <c r="AQ49" i="1"/>
  <c r="AP49" i="1"/>
  <c r="AM49" i="1"/>
  <c r="AL49" i="1"/>
  <c r="AK49" i="1"/>
  <c r="AJ49" i="1"/>
  <c r="AF49" i="1"/>
  <c r="AE49" i="1"/>
  <c r="V49" i="1" s="1"/>
  <c r="AD49" i="1"/>
  <c r="W49" i="1"/>
  <c r="T49" i="1"/>
  <c r="R49" i="1"/>
  <c r="BE48" i="1"/>
  <c r="BH48" i="1" s="1"/>
  <c r="BD48" i="1"/>
  <c r="AY48" i="1"/>
  <c r="AM48" i="1"/>
  <c r="AL48" i="1"/>
  <c r="AK48" i="1"/>
  <c r="AJ48" i="1"/>
  <c r="BH47" i="1"/>
  <c r="BG47" i="1"/>
  <c r="BE47" i="1"/>
  <c r="BD47" i="1"/>
  <c r="AY47" i="1"/>
  <c r="AM47" i="1"/>
  <c r="AL47" i="1"/>
  <c r="AK47" i="1"/>
  <c r="AJ47" i="1"/>
  <c r="BH46" i="1"/>
  <c r="BG46" i="1"/>
  <c r="BE46" i="1"/>
  <c r="BD46" i="1"/>
  <c r="AY46" i="1"/>
  <c r="AQ46" i="1"/>
  <c r="AP46" i="1"/>
  <c r="AM46" i="1"/>
  <c r="AL46" i="1"/>
  <c r="AK46" i="1"/>
  <c r="AJ46" i="1"/>
  <c r="AF46" i="1"/>
  <c r="AE46" i="1"/>
  <c r="V46" i="1" s="1"/>
  <c r="AD46" i="1"/>
  <c r="W46" i="1"/>
  <c r="T46" i="1"/>
  <c r="R46" i="1"/>
  <c r="BE45" i="1"/>
  <c r="BH45" i="1" s="1"/>
  <c r="BD45" i="1"/>
  <c r="AY45" i="1"/>
  <c r="AQ45" i="1"/>
  <c r="AP45" i="1"/>
  <c r="AM45" i="1"/>
  <c r="AL45" i="1"/>
  <c r="AK45" i="1"/>
  <c r="AJ45" i="1"/>
  <c r="AI45" i="1"/>
  <c r="AG45" i="1"/>
  <c r="AF45" i="1"/>
  <c r="AE45" i="1"/>
  <c r="AD45" i="1"/>
  <c r="W45" i="1"/>
  <c r="V45" i="1"/>
  <c r="U45" i="1"/>
  <c r="AA45" i="1" s="1"/>
  <c r="T45" i="1"/>
  <c r="R45" i="1"/>
  <c r="BD44" i="1"/>
  <c r="BE44" i="1" s="1"/>
  <c r="AY44" i="1"/>
  <c r="AQ44" i="1"/>
  <c r="AP44" i="1"/>
  <c r="AM44" i="1"/>
  <c r="AL44" i="1"/>
  <c r="AK44" i="1"/>
  <c r="AJ44" i="1"/>
  <c r="AF44" i="1"/>
  <c r="AG44" i="1" s="1"/>
  <c r="AI44" i="1" s="1"/>
  <c r="AE44" i="1"/>
  <c r="AD44" i="1"/>
  <c r="W44" i="1"/>
  <c r="V44" i="1"/>
  <c r="U44" i="1"/>
  <c r="T44" i="1"/>
  <c r="AA44" i="1" s="1"/>
  <c r="R44" i="1"/>
  <c r="BH43" i="1"/>
  <c r="BE43" i="1"/>
  <c r="BG43" i="1" s="1"/>
  <c r="BD43" i="1"/>
  <c r="AY43" i="1"/>
  <c r="AQ43" i="1"/>
  <c r="AP43" i="1"/>
  <c r="AM43" i="1"/>
  <c r="AL43" i="1"/>
  <c r="AK43" i="1"/>
  <c r="AJ43" i="1"/>
  <c r="AF43" i="1"/>
  <c r="AE43" i="1"/>
  <c r="V43" i="1" s="1"/>
  <c r="AD43" i="1"/>
  <c r="W43" i="1"/>
  <c r="T43" i="1"/>
  <c r="R43" i="1"/>
  <c r="BH42" i="1"/>
  <c r="BG42" i="1"/>
  <c r="BE42" i="1"/>
  <c r="BD42" i="1"/>
  <c r="AY42" i="1"/>
  <c r="AQ42" i="1"/>
  <c r="AP42" i="1"/>
  <c r="AM42" i="1"/>
  <c r="AL42" i="1"/>
  <c r="AK42" i="1"/>
  <c r="AJ42" i="1"/>
  <c r="AF42" i="1"/>
  <c r="AE42" i="1"/>
  <c r="V42" i="1" s="1"/>
  <c r="AD42" i="1"/>
  <c r="W42" i="1"/>
  <c r="T42" i="1"/>
  <c r="R42" i="1"/>
  <c r="BE41" i="1"/>
  <c r="BH41" i="1" s="1"/>
  <c r="BD41" i="1"/>
  <c r="AY41" i="1"/>
  <c r="AQ41" i="1"/>
  <c r="AP41" i="1"/>
  <c r="AM41" i="1"/>
  <c r="AL41" i="1"/>
  <c r="AK41" i="1"/>
  <c r="AJ41" i="1"/>
  <c r="AI41" i="1"/>
  <c r="AG41" i="1"/>
  <c r="AF41" i="1"/>
  <c r="AE41" i="1"/>
  <c r="AD41" i="1"/>
  <c r="W41" i="1"/>
  <c r="V41" i="1"/>
  <c r="U41" i="1"/>
  <c r="AA41" i="1" s="1"/>
  <c r="T41" i="1"/>
  <c r="R41" i="1"/>
  <c r="BD40" i="1"/>
  <c r="BE40" i="1" s="1"/>
  <c r="AY40" i="1"/>
  <c r="AQ40" i="1"/>
  <c r="AP40" i="1"/>
  <c r="AM40" i="1"/>
  <c r="AL40" i="1"/>
  <c r="AK40" i="1"/>
  <c r="AJ40" i="1"/>
  <c r="AF40" i="1"/>
  <c r="AG40" i="1" s="1"/>
  <c r="AI40" i="1" s="1"/>
  <c r="AE40" i="1"/>
  <c r="AD40" i="1"/>
  <c r="W40" i="1"/>
  <c r="V40" i="1"/>
  <c r="U40" i="1"/>
  <c r="T40" i="1"/>
  <c r="AA40" i="1" s="1"/>
  <c r="R40" i="1"/>
  <c r="BH39" i="1"/>
  <c r="BE39" i="1"/>
  <c r="BG39" i="1" s="1"/>
  <c r="BD39" i="1"/>
  <c r="AY39" i="1"/>
  <c r="AQ39" i="1"/>
  <c r="AP39" i="1"/>
  <c r="AM39" i="1"/>
  <c r="AL39" i="1"/>
  <c r="AK39" i="1"/>
  <c r="AJ39" i="1"/>
  <c r="AF39" i="1"/>
  <c r="AE39" i="1"/>
  <c r="V39" i="1" s="1"/>
  <c r="AD39" i="1"/>
  <c r="W39" i="1"/>
  <c r="T39" i="1"/>
  <c r="R39" i="1"/>
  <c r="BH38" i="1"/>
  <c r="BG38" i="1"/>
  <c r="BE38" i="1"/>
  <c r="BD38" i="1"/>
  <c r="AY38" i="1"/>
  <c r="AQ38" i="1"/>
  <c r="AP38" i="1"/>
  <c r="AM38" i="1"/>
  <c r="AL38" i="1"/>
  <c r="AK38" i="1"/>
  <c r="AJ38" i="1"/>
  <c r="AF38" i="1"/>
  <c r="AE38" i="1"/>
  <c r="V38" i="1" s="1"/>
  <c r="AD38" i="1"/>
  <c r="W38" i="1"/>
  <c r="T38" i="1"/>
  <c r="R38" i="1"/>
  <c r="BE37" i="1"/>
  <c r="BH37" i="1" s="1"/>
  <c r="BD37" i="1"/>
  <c r="AY37" i="1"/>
  <c r="AQ37" i="1"/>
  <c r="AP37" i="1"/>
  <c r="AM37" i="1"/>
  <c r="AL37" i="1"/>
  <c r="AK37" i="1"/>
  <c r="AJ37" i="1"/>
  <c r="AI37" i="1"/>
  <c r="AG37" i="1"/>
  <c r="AF37" i="1"/>
  <c r="AE37" i="1"/>
  <c r="AD37" i="1"/>
  <c r="W37" i="1"/>
  <c r="V37" i="1"/>
  <c r="U37" i="1"/>
  <c r="AA37" i="1" s="1"/>
  <c r="T37" i="1"/>
  <c r="R37" i="1"/>
  <c r="BD36" i="1"/>
  <c r="BE36" i="1" s="1"/>
  <c r="AY36" i="1"/>
  <c r="AQ36" i="1"/>
  <c r="AS5" i="2" s="1"/>
  <c r="AP36" i="1"/>
  <c r="AM36" i="1"/>
  <c r="AL36" i="1"/>
  <c r="AK36" i="1"/>
  <c r="AJ36" i="1"/>
  <c r="AF36" i="1"/>
  <c r="AH5" i="2" s="1"/>
  <c r="AE36" i="1"/>
  <c r="AD36" i="1"/>
  <c r="W36" i="1"/>
  <c r="V36" i="1"/>
  <c r="U36" i="1"/>
  <c r="T36" i="1"/>
  <c r="R36" i="1"/>
  <c r="T5" i="2" s="1"/>
  <c r="BH35" i="1"/>
  <c r="BE35" i="1"/>
  <c r="BG35" i="1" s="1"/>
  <c r="BD35" i="1"/>
  <c r="AY35" i="1"/>
  <c r="AQ35" i="1"/>
  <c r="AP35" i="1"/>
  <c r="AM35" i="1"/>
  <c r="AL35" i="1"/>
  <c r="AK35" i="1"/>
  <c r="AJ35" i="1"/>
  <c r="AF35" i="1"/>
  <c r="AE35" i="1"/>
  <c r="V35" i="1" s="1"/>
  <c r="AD35" i="1"/>
  <c r="W35" i="1"/>
  <c r="T35" i="1"/>
  <c r="R35" i="1"/>
  <c r="BH34" i="1"/>
  <c r="BG34" i="1"/>
  <c r="BE34" i="1"/>
  <c r="BD34" i="1"/>
  <c r="AY34" i="1"/>
  <c r="AQ34" i="1"/>
  <c r="AP34" i="1"/>
  <c r="AM34" i="1"/>
  <c r="AL34" i="1"/>
  <c r="AK34" i="1"/>
  <c r="AJ34" i="1"/>
  <c r="AF34" i="1"/>
  <c r="AE34" i="1"/>
  <c r="V34" i="1" s="1"/>
  <c r="AD34" i="1"/>
  <c r="W34" i="1"/>
  <c r="T34" i="1"/>
  <c r="R34" i="1"/>
  <c r="BE33" i="1"/>
  <c r="BH33" i="1" s="1"/>
  <c r="BD33" i="1"/>
  <c r="AY33" i="1"/>
  <c r="AQ33" i="1"/>
  <c r="AP33" i="1"/>
  <c r="AM33" i="1"/>
  <c r="AL33" i="1"/>
  <c r="AK33" i="1"/>
  <c r="AJ33" i="1"/>
  <c r="AI33" i="1"/>
  <c r="AG33" i="1"/>
  <c r="AF33" i="1"/>
  <c r="AE33" i="1"/>
  <c r="AD33" i="1"/>
  <c r="W33" i="1"/>
  <c r="V33" i="1"/>
  <c r="U33" i="1"/>
  <c r="AA33" i="1" s="1"/>
  <c r="T33" i="1"/>
  <c r="R33" i="1"/>
  <c r="BD32" i="1"/>
  <c r="BE32" i="1" s="1"/>
  <c r="AY32" i="1"/>
  <c r="AQ32" i="1"/>
  <c r="AP32" i="1"/>
  <c r="AM32" i="1"/>
  <c r="AL32" i="1"/>
  <c r="AK32" i="1"/>
  <c r="AJ32" i="1"/>
  <c r="AF32" i="1"/>
  <c r="AG32" i="1" s="1"/>
  <c r="AI32" i="1" s="1"/>
  <c r="AE32" i="1"/>
  <c r="AD32" i="1"/>
  <c r="W32" i="1"/>
  <c r="V32" i="1"/>
  <c r="U32" i="1"/>
  <c r="T32" i="1"/>
  <c r="R32" i="1"/>
  <c r="BH31" i="1"/>
  <c r="BE31" i="1"/>
  <c r="BG31" i="1" s="1"/>
  <c r="BD31" i="1"/>
  <c r="AY31" i="1"/>
  <c r="AQ31" i="1"/>
  <c r="AP31" i="1"/>
  <c r="AM31" i="1"/>
  <c r="AL31" i="1"/>
  <c r="AK31" i="1"/>
  <c r="AJ31" i="1"/>
  <c r="AF31" i="1"/>
  <c r="AE31" i="1"/>
  <c r="V31" i="1" s="1"/>
  <c r="AD31" i="1"/>
  <c r="W31" i="1"/>
  <c r="T31" i="1"/>
  <c r="R31" i="1"/>
  <c r="BH30" i="1"/>
  <c r="BG30" i="1"/>
  <c r="BE30" i="1"/>
  <c r="BD30" i="1"/>
  <c r="AY30" i="1"/>
  <c r="AQ30" i="1"/>
  <c r="AP30" i="1"/>
  <c r="AM30" i="1"/>
  <c r="AL30" i="1"/>
  <c r="AK30" i="1"/>
  <c r="AJ30" i="1"/>
  <c r="AF30" i="1"/>
  <c r="AE30" i="1"/>
  <c r="V30" i="1" s="1"/>
  <c r="AD30" i="1"/>
  <c r="W30" i="1"/>
  <c r="T30" i="1"/>
  <c r="R30" i="1"/>
  <c r="BE29" i="1"/>
  <c r="BH29" i="1" s="1"/>
  <c r="BD29" i="1"/>
  <c r="AY29" i="1"/>
  <c r="AQ29" i="1"/>
  <c r="AP29" i="1"/>
  <c r="AM29" i="1"/>
  <c r="AL29" i="1"/>
  <c r="AK29" i="1"/>
  <c r="AJ29" i="1"/>
  <c r="AI29" i="1"/>
  <c r="AG29" i="1"/>
  <c r="AF29" i="1"/>
  <c r="AE29" i="1"/>
  <c r="AD29" i="1"/>
  <c r="W29" i="1"/>
  <c r="V29" i="1"/>
  <c r="U29" i="1"/>
  <c r="AA29" i="1" s="1"/>
  <c r="T29" i="1"/>
  <c r="R29" i="1"/>
  <c r="BD28" i="1"/>
  <c r="BE28" i="1" s="1"/>
  <c r="AY28" i="1"/>
  <c r="AQ28" i="1"/>
  <c r="AP28" i="1"/>
  <c r="AM28" i="1"/>
  <c r="AL28" i="1"/>
  <c r="AK28" i="1"/>
  <c r="AJ28" i="1"/>
  <c r="AF28" i="1"/>
  <c r="AG28" i="1" s="1"/>
  <c r="AI28" i="1" s="1"/>
  <c r="AE28" i="1"/>
  <c r="AD28" i="1"/>
  <c r="W28" i="1"/>
  <c r="V28" i="1"/>
  <c r="U28" i="1"/>
  <c r="T28" i="1"/>
  <c r="R28" i="1"/>
  <c r="BH27" i="1"/>
  <c r="BE27" i="1"/>
  <c r="BG27" i="1" s="1"/>
  <c r="BD27" i="1"/>
  <c r="AY27" i="1"/>
  <c r="AQ27" i="1"/>
  <c r="AP27" i="1"/>
  <c r="AR4" i="2" s="1"/>
  <c r="AM27" i="1"/>
  <c r="AL27" i="1"/>
  <c r="AK27" i="1"/>
  <c r="AJ27" i="1"/>
  <c r="AF27" i="1"/>
  <c r="AE27" i="1"/>
  <c r="AD27" i="1"/>
  <c r="W27" i="1"/>
  <c r="T27" i="1"/>
  <c r="R27" i="1"/>
  <c r="T4" i="2" s="1"/>
  <c r="BH26" i="1"/>
  <c r="BG26" i="1"/>
  <c r="BE26" i="1"/>
  <c r="BD26" i="1"/>
  <c r="AY26" i="1"/>
  <c r="AM26" i="1"/>
  <c r="AL26" i="1"/>
  <c r="AK26" i="1"/>
  <c r="AJ26" i="1"/>
  <c r="BD25" i="1"/>
  <c r="BE25" i="1" s="1"/>
  <c r="BG25" i="1" s="1"/>
  <c r="AY25" i="1"/>
  <c r="AM25" i="1"/>
  <c r="AL25" i="1"/>
  <c r="AK25" i="1"/>
  <c r="AJ25" i="1"/>
  <c r="BH24" i="1"/>
  <c r="BE24" i="1"/>
  <c r="BG24" i="1" s="1"/>
  <c r="BD24" i="1"/>
  <c r="AY24" i="1"/>
  <c r="AM24" i="1"/>
  <c r="AL24" i="1"/>
  <c r="AK24" i="1"/>
  <c r="AJ24" i="1"/>
  <c r="BD23" i="1"/>
  <c r="BE23" i="1" s="1"/>
  <c r="AY23" i="1"/>
  <c r="AM23" i="1"/>
  <c r="AL23" i="1"/>
  <c r="AK23" i="1"/>
  <c r="AJ23" i="1"/>
  <c r="BD22" i="1"/>
  <c r="BE22" i="1" s="1"/>
  <c r="AY22" i="1"/>
  <c r="AM22" i="1"/>
  <c r="AL22" i="1"/>
  <c r="AK22" i="1"/>
  <c r="AJ22" i="1"/>
  <c r="BD21" i="1"/>
  <c r="BE21" i="1" s="1"/>
  <c r="AY21" i="1"/>
  <c r="AM21" i="1"/>
  <c r="AL21" i="1"/>
  <c r="AK21" i="1"/>
  <c r="AJ21" i="1"/>
  <c r="BD20" i="1"/>
  <c r="BE20" i="1" s="1"/>
  <c r="AY20" i="1"/>
  <c r="AM20" i="1"/>
  <c r="AL20" i="1"/>
  <c r="AK20" i="1"/>
  <c r="AJ20" i="1"/>
  <c r="BE19" i="1"/>
  <c r="BG19" i="1" s="1"/>
  <c r="BD19" i="1"/>
  <c r="AY19" i="1"/>
  <c r="AM19" i="1"/>
  <c r="AL19" i="1"/>
  <c r="AK19" i="1"/>
  <c r="AJ19" i="1"/>
  <c r="BH18" i="1"/>
  <c r="BG18" i="1"/>
  <c r="BE18" i="1"/>
  <c r="BD18" i="1"/>
  <c r="AY18" i="1"/>
  <c r="AM18" i="1"/>
  <c r="AL18" i="1"/>
  <c r="AK18" i="1"/>
  <c r="AJ18" i="1"/>
  <c r="BH17" i="1"/>
  <c r="BD17" i="1"/>
  <c r="BE17" i="1" s="1"/>
  <c r="BG17" i="1" s="1"/>
  <c r="AY17" i="1"/>
  <c r="AM17" i="1"/>
  <c r="AL17" i="1"/>
  <c r="AK17" i="1"/>
  <c r="AJ17" i="1"/>
  <c r="BH16" i="1"/>
  <c r="BE16" i="1"/>
  <c r="BG16" i="1" s="1"/>
  <c r="BD16" i="1"/>
  <c r="AY16" i="1"/>
  <c r="AM16" i="1"/>
  <c r="AL16" i="1"/>
  <c r="AK16" i="1"/>
  <c r="AJ16" i="1"/>
  <c r="BD15" i="1"/>
  <c r="BE15" i="1" s="1"/>
  <c r="AY15" i="1"/>
  <c r="AM15" i="1"/>
  <c r="AL15" i="1"/>
  <c r="AK15" i="1"/>
  <c r="AJ15" i="1"/>
  <c r="BE14" i="1"/>
  <c r="BD14" i="1"/>
  <c r="AY14" i="1"/>
  <c r="AM14" i="1"/>
  <c r="AL14" i="1"/>
  <c r="AK14" i="1"/>
  <c r="AJ14" i="1"/>
  <c r="BE13" i="1"/>
  <c r="BH13" i="1" s="1"/>
  <c r="BD13" i="1"/>
  <c r="AY13" i="1"/>
  <c r="AM13" i="1"/>
  <c r="AL13" i="1"/>
  <c r="AK13" i="1"/>
  <c r="AJ13" i="1"/>
  <c r="BD12" i="1"/>
  <c r="BE12" i="1" s="1"/>
  <c r="AY12" i="1"/>
  <c r="AM12" i="1"/>
  <c r="AL12" i="1"/>
  <c r="AK12" i="1"/>
  <c r="AJ12" i="1"/>
  <c r="BE11" i="1"/>
  <c r="BH11" i="1" s="1"/>
  <c r="BD11" i="1"/>
  <c r="AY11" i="1"/>
  <c r="AM11" i="1"/>
  <c r="AL11" i="1"/>
  <c r="AK11" i="1"/>
  <c r="AJ11" i="1"/>
  <c r="BH10" i="1"/>
  <c r="BG10" i="1"/>
  <c r="BE10" i="1"/>
  <c r="BD10" i="1"/>
  <c r="AY10" i="1"/>
  <c r="AM10" i="1"/>
  <c r="AL10" i="1"/>
  <c r="AK10" i="1"/>
  <c r="AJ10" i="1"/>
  <c r="BD9" i="1"/>
  <c r="BE9" i="1" s="1"/>
  <c r="BG9" i="1" s="1"/>
  <c r="AY9" i="1"/>
  <c r="AM9" i="1"/>
  <c r="AL9" i="1"/>
  <c r="AK9" i="1"/>
  <c r="AJ9" i="1"/>
  <c r="BH8" i="1"/>
  <c r="BE8" i="1"/>
  <c r="BG8" i="1" s="1"/>
  <c r="BD8" i="1"/>
  <c r="AY8" i="1"/>
  <c r="AM8" i="1"/>
  <c r="AL8" i="1"/>
  <c r="AK8" i="1"/>
  <c r="AJ8" i="1"/>
  <c r="BD7" i="1"/>
  <c r="BE7" i="1" s="1"/>
  <c r="AY7" i="1"/>
  <c r="AM7" i="1"/>
  <c r="AL7" i="1"/>
  <c r="AK7" i="1"/>
  <c r="AJ7" i="1"/>
  <c r="BD6" i="1"/>
  <c r="BE6" i="1" s="1"/>
  <c r="AY6" i="1"/>
  <c r="AM6" i="1"/>
  <c r="AL6" i="1"/>
  <c r="AK6" i="1"/>
  <c r="AJ6" i="1"/>
  <c r="BD5" i="1"/>
  <c r="BE5" i="1" s="1"/>
  <c r="AY5" i="1"/>
  <c r="AM5" i="1"/>
  <c r="AL5" i="1"/>
  <c r="AK5" i="1"/>
  <c r="AJ5" i="1"/>
  <c r="BE4" i="1"/>
  <c r="BG4" i="1" s="1"/>
  <c r="BD4" i="1"/>
  <c r="AY4" i="1"/>
  <c r="AM4" i="1"/>
  <c r="AL4" i="1"/>
  <c r="AK4" i="1"/>
  <c r="AJ4" i="1"/>
  <c r="BG6" i="1" l="1"/>
  <c r="BH6" i="1"/>
  <c r="BH21" i="1"/>
  <c r="BG21" i="1"/>
  <c r="BH5" i="1"/>
  <c r="BG5" i="1"/>
  <c r="BG12" i="1"/>
  <c r="BH12" i="1"/>
  <c r="BH20" i="1"/>
  <c r="BG20" i="1"/>
  <c r="BG22" i="1"/>
  <c r="BH22" i="1"/>
  <c r="BH9" i="1"/>
  <c r="AA66" i="1"/>
  <c r="BH25" i="1"/>
  <c r="U50" i="1"/>
  <c r="AG50" i="1"/>
  <c r="AI50" i="1" s="1"/>
  <c r="U54" i="1"/>
  <c r="AG54" i="1"/>
  <c r="AI54" i="1" s="1"/>
  <c r="U58" i="1"/>
  <c r="AG58" i="1"/>
  <c r="AI58" i="1" s="1"/>
  <c r="U62" i="1"/>
  <c r="AA62" i="1" s="1"/>
  <c r="AG62" i="1"/>
  <c r="AI62" i="1" s="1"/>
  <c r="U66" i="1"/>
  <c r="AG66" i="1"/>
  <c r="AI66" i="1" s="1"/>
  <c r="BH128" i="1"/>
  <c r="BG128" i="1"/>
  <c r="BH195" i="1"/>
  <c r="BG195" i="1"/>
  <c r="AA112" i="1"/>
  <c r="BH199" i="1"/>
  <c r="BG199" i="1"/>
  <c r="AG36" i="1"/>
  <c r="BG48" i="1"/>
  <c r="BG52" i="1"/>
  <c r="BG56" i="1"/>
  <c r="BG60" i="1"/>
  <c r="BG64" i="1"/>
  <c r="BG68" i="1"/>
  <c r="BG72" i="1"/>
  <c r="BG76" i="1"/>
  <c r="BG80" i="1"/>
  <c r="BG84" i="1"/>
  <c r="BG88" i="1"/>
  <c r="BG92" i="1"/>
  <c r="BG96" i="1"/>
  <c r="BG100" i="1"/>
  <c r="BG104" i="1"/>
  <c r="BG108" i="1"/>
  <c r="AA134" i="1"/>
  <c r="BH159" i="1"/>
  <c r="BG159" i="1"/>
  <c r="BH7" i="1"/>
  <c r="BG7" i="1"/>
  <c r="BG11" i="1"/>
  <c r="BH19" i="1"/>
  <c r="AA28" i="1"/>
  <c r="BG28" i="1"/>
  <c r="BH28" i="1"/>
  <c r="AA31" i="1"/>
  <c r="AA32" i="1"/>
  <c r="BG32" i="1"/>
  <c r="BH32" i="1"/>
  <c r="V5" i="2"/>
  <c r="AA36" i="1"/>
  <c r="BG36" i="1"/>
  <c r="BH36" i="1"/>
  <c r="BG40" i="1"/>
  <c r="BH40" i="1"/>
  <c r="BG44" i="1"/>
  <c r="BH44" i="1"/>
  <c r="AA122" i="1"/>
  <c r="AA123" i="1"/>
  <c r="BG123" i="1"/>
  <c r="BH123" i="1"/>
  <c r="U125" i="1"/>
  <c r="AA125" i="1" s="1"/>
  <c r="AG125" i="1"/>
  <c r="AI125" i="1" s="1"/>
  <c r="BH155" i="1"/>
  <c r="BG155" i="1"/>
  <c r="BH163" i="1"/>
  <c r="BG163" i="1"/>
  <c r="BH167" i="1"/>
  <c r="BG167" i="1"/>
  <c r="BH183" i="1"/>
  <c r="BG183" i="1"/>
  <c r="U30" i="1"/>
  <c r="AA30" i="1" s="1"/>
  <c r="AG30" i="1"/>
  <c r="AI30" i="1" s="1"/>
  <c r="U34" i="1"/>
  <c r="AA34" i="1" s="1"/>
  <c r="AG34" i="1"/>
  <c r="AI34" i="1" s="1"/>
  <c r="U38" i="1"/>
  <c r="AA38" i="1" s="1"/>
  <c r="AG38" i="1"/>
  <c r="AI38" i="1" s="1"/>
  <c r="U42" i="1"/>
  <c r="AA42" i="1" s="1"/>
  <c r="AG42" i="1"/>
  <c r="AI42" i="1" s="1"/>
  <c r="U46" i="1"/>
  <c r="AA46" i="1" s="1"/>
  <c r="AG46" i="1"/>
  <c r="AI46" i="1" s="1"/>
  <c r="BG119" i="1"/>
  <c r="BH119" i="1"/>
  <c r="U121" i="1"/>
  <c r="AA121" i="1" s="1"/>
  <c r="AG121" i="1"/>
  <c r="AI121" i="1" s="1"/>
  <c r="BH151" i="1"/>
  <c r="BG151" i="1"/>
  <c r="BH187" i="1"/>
  <c r="BG187" i="1"/>
  <c r="BH207" i="1"/>
  <c r="BG207" i="1"/>
  <c r="BH23" i="1"/>
  <c r="BG23" i="1"/>
  <c r="BH15" i="1"/>
  <c r="BG15" i="1"/>
  <c r="BG13" i="1"/>
  <c r="AF4" i="2"/>
  <c r="U27" i="1"/>
  <c r="W4" i="2" s="1"/>
  <c r="AG27" i="1"/>
  <c r="AS4" i="2"/>
  <c r="U31" i="1"/>
  <c r="AG31" i="1"/>
  <c r="AI31" i="1" s="1"/>
  <c r="U35" i="1"/>
  <c r="AA35" i="1" s="1"/>
  <c r="AG35" i="1"/>
  <c r="AI35" i="1" s="1"/>
  <c r="U39" i="1"/>
  <c r="AA39" i="1" s="1"/>
  <c r="AG39" i="1"/>
  <c r="AI39" i="1" s="1"/>
  <c r="U43" i="1"/>
  <c r="AA43" i="1" s="1"/>
  <c r="AG43" i="1"/>
  <c r="AI43" i="1" s="1"/>
  <c r="AA114" i="1"/>
  <c r="AA115" i="1"/>
  <c r="BG115" i="1"/>
  <c r="BH115" i="1"/>
  <c r="U117" i="1"/>
  <c r="AA117" i="1" s="1"/>
  <c r="AG117" i="1"/>
  <c r="AI117" i="1" s="1"/>
  <c r="AA130" i="1"/>
  <c r="BH147" i="1"/>
  <c r="BG147" i="1"/>
  <c r="BH4" i="1"/>
  <c r="AA50" i="1"/>
  <c r="BG51" i="1"/>
  <c r="BH51" i="1"/>
  <c r="AA58" i="1"/>
  <c r="BG59" i="1"/>
  <c r="BH59" i="1"/>
  <c r="BG63" i="1"/>
  <c r="BH63" i="1"/>
  <c r="BG67" i="1"/>
  <c r="BH67" i="1"/>
  <c r="BG71" i="1"/>
  <c r="BH71" i="1"/>
  <c r="BG75" i="1"/>
  <c r="BH75" i="1"/>
  <c r="BG79" i="1"/>
  <c r="BH79" i="1"/>
  <c r="BG83" i="1"/>
  <c r="BH83" i="1"/>
  <c r="BG87" i="1"/>
  <c r="BH87" i="1"/>
  <c r="BG91" i="1"/>
  <c r="BH91" i="1"/>
  <c r="BG95" i="1"/>
  <c r="BH95" i="1"/>
  <c r="BG99" i="1"/>
  <c r="BH99" i="1"/>
  <c r="BG103" i="1"/>
  <c r="BH103" i="1"/>
  <c r="BG107" i="1"/>
  <c r="BH107" i="1"/>
  <c r="BG111" i="1"/>
  <c r="BH111" i="1"/>
  <c r="U113" i="1"/>
  <c r="AA113" i="1" s="1"/>
  <c r="AG113" i="1"/>
  <c r="AI113" i="1" s="1"/>
  <c r="AA131" i="1"/>
  <c r="BH138" i="1"/>
  <c r="BG138" i="1"/>
  <c r="BH139" i="1"/>
  <c r="BG139" i="1"/>
  <c r="BH191" i="1"/>
  <c r="BG191" i="1"/>
  <c r="BH211" i="1"/>
  <c r="BG211" i="1"/>
  <c r="BG14" i="1"/>
  <c r="BH14" i="1"/>
  <c r="AG4" i="2"/>
  <c r="V27" i="1"/>
  <c r="X4" i="2" s="1"/>
  <c r="AA54" i="1"/>
  <c r="BG55" i="1"/>
  <c r="BH55" i="1"/>
  <c r="AH4" i="2"/>
  <c r="BG29" i="1"/>
  <c r="BG33" i="1"/>
  <c r="BG37" i="1"/>
  <c r="BG41" i="1"/>
  <c r="BG45" i="1"/>
  <c r="U49" i="1"/>
  <c r="AA49" i="1" s="1"/>
  <c r="AG49" i="1"/>
  <c r="AI49" i="1" s="1"/>
  <c r="U53" i="1"/>
  <c r="AA53" i="1" s="1"/>
  <c r="AG53" i="1"/>
  <c r="AI53" i="1" s="1"/>
  <c r="U57" i="1"/>
  <c r="AA57" i="1" s="1"/>
  <c r="AG57" i="1"/>
  <c r="AI57" i="1" s="1"/>
  <c r="U61" i="1"/>
  <c r="AA61" i="1" s="1"/>
  <c r="AG61" i="1"/>
  <c r="AI61" i="1" s="1"/>
  <c r="U65" i="1"/>
  <c r="AA65" i="1" s="1"/>
  <c r="AG65" i="1"/>
  <c r="AI65" i="1" s="1"/>
  <c r="U69" i="1"/>
  <c r="AA69" i="1" s="1"/>
  <c r="AG69" i="1"/>
  <c r="AI69" i="1" s="1"/>
  <c r="U73" i="1"/>
  <c r="AA73" i="1" s="1"/>
  <c r="AG73" i="1"/>
  <c r="AI73" i="1" s="1"/>
  <c r="U77" i="1"/>
  <c r="AA77" i="1" s="1"/>
  <c r="AG77" i="1"/>
  <c r="AI77" i="1" s="1"/>
  <c r="U81" i="1"/>
  <c r="AA81" i="1" s="1"/>
  <c r="AG81" i="1"/>
  <c r="AI81" i="1" s="1"/>
  <c r="U85" i="1"/>
  <c r="AA85" i="1" s="1"/>
  <c r="AG85" i="1"/>
  <c r="AI85" i="1" s="1"/>
  <c r="U89" i="1"/>
  <c r="AA89" i="1" s="1"/>
  <c r="AG89" i="1"/>
  <c r="AI89" i="1" s="1"/>
  <c r="U93" i="1"/>
  <c r="AA93" i="1" s="1"/>
  <c r="AG93" i="1"/>
  <c r="AI93" i="1" s="1"/>
  <c r="U97" i="1"/>
  <c r="AA97" i="1" s="1"/>
  <c r="AG97" i="1"/>
  <c r="AI97" i="1" s="1"/>
  <c r="U101" i="1"/>
  <c r="AA101" i="1" s="1"/>
  <c r="AG101" i="1"/>
  <c r="AI101" i="1" s="1"/>
  <c r="U105" i="1"/>
  <c r="AA105" i="1" s="1"/>
  <c r="AG105" i="1"/>
  <c r="AI105" i="1" s="1"/>
  <c r="U109" i="1"/>
  <c r="AA109" i="1" s="1"/>
  <c r="AG109" i="1"/>
  <c r="AI109" i="1" s="1"/>
  <c r="AA120" i="1"/>
  <c r="BH215" i="1"/>
  <c r="BG215" i="1"/>
  <c r="V126" i="1"/>
  <c r="AG131" i="1"/>
  <c r="AI131" i="1" s="1"/>
  <c r="AG134" i="1"/>
  <c r="AI134" i="1" s="1"/>
  <c r="BH135" i="1"/>
  <c r="AA138" i="1"/>
  <c r="AG141" i="1"/>
  <c r="AI141" i="1" s="1"/>
  <c r="U169" i="1"/>
  <c r="AG169" i="1"/>
  <c r="AI169" i="1" s="1"/>
  <c r="AA178" i="1"/>
  <c r="BH179" i="1"/>
  <c r="BG179" i="1"/>
  <c r="BH184" i="1"/>
  <c r="U193" i="1"/>
  <c r="AG193" i="1"/>
  <c r="AI193" i="1" s="1"/>
  <c r="BH200" i="1"/>
  <c r="AA205" i="1"/>
  <c r="U209" i="1"/>
  <c r="AA209" i="1" s="1"/>
  <c r="AG209" i="1"/>
  <c r="AI209" i="1" s="1"/>
  <c r="AA225" i="1"/>
  <c r="AA246" i="1"/>
  <c r="BH248" i="1"/>
  <c r="BG248" i="1"/>
  <c r="AA270" i="1"/>
  <c r="X5" i="2"/>
  <c r="AG74" i="1"/>
  <c r="AI74" i="1" s="1"/>
  <c r="Y4" i="2"/>
  <c r="AF5" i="2"/>
  <c r="BH126" i="1"/>
  <c r="AG128" i="1"/>
  <c r="AI128" i="1" s="1"/>
  <c r="AG136" i="1"/>
  <c r="AI136" i="1" s="1"/>
  <c r="U138" i="1"/>
  <c r="AG139" i="1"/>
  <c r="AI139" i="1" s="1"/>
  <c r="BG143" i="1"/>
  <c r="U145" i="1"/>
  <c r="AA145" i="1" s="1"/>
  <c r="AG145" i="1"/>
  <c r="AI145" i="1" s="1"/>
  <c r="U149" i="1"/>
  <c r="AG149" i="1"/>
  <c r="AI149" i="1" s="1"/>
  <c r="U153" i="1"/>
  <c r="AA153" i="1" s="1"/>
  <c r="AG153" i="1"/>
  <c r="AI153" i="1" s="1"/>
  <c r="U157" i="1"/>
  <c r="AG157" i="1"/>
  <c r="AI157" i="1" s="1"/>
  <c r="AG163" i="1"/>
  <c r="AI163" i="1" s="1"/>
  <c r="AA166" i="1"/>
  <c r="AG174" i="1"/>
  <c r="AI174" i="1" s="1"/>
  <c r="BH174" i="1"/>
  <c r="BG174" i="1"/>
  <c r="AA179" i="1"/>
  <c r="AG186" i="1"/>
  <c r="AI186" i="1" s="1"/>
  <c r="BH186" i="1"/>
  <c r="BG186" i="1"/>
  <c r="AA190" i="1"/>
  <c r="AG202" i="1"/>
  <c r="AI202" i="1" s="1"/>
  <c r="BH202" i="1"/>
  <c r="BG202" i="1"/>
  <c r="AA206" i="1"/>
  <c r="AA226" i="1"/>
  <c r="BH228" i="1"/>
  <c r="BG228" i="1"/>
  <c r="AA237" i="1"/>
  <c r="AA262" i="1"/>
  <c r="AA272" i="1"/>
  <c r="AG5" i="2"/>
  <c r="AR5" i="2"/>
  <c r="AA147" i="1"/>
  <c r="AA151" i="1"/>
  <c r="AA155" i="1"/>
  <c r="BH162" i="1"/>
  <c r="BG162" i="1"/>
  <c r="AA167" i="1"/>
  <c r="U177" i="1"/>
  <c r="AA177" i="1" s="1"/>
  <c r="AG177" i="1"/>
  <c r="AI177" i="1" s="1"/>
  <c r="U189" i="1"/>
  <c r="AA189" i="1" s="1"/>
  <c r="AG189" i="1"/>
  <c r="AI189" i="1" s="1"/>
  <c r="U205" i="1"/>
  <c r="AG205" i="1"/>
  <c r="AI205" i="1" s="1"/>
  <c r="AA207" i="1"/>
  <c r="AA238" i="1"/>
  <c r="BH240" i="1"/>
  <c r="BG240" i="1"/>
  <c r="AA249" i="1"/>
  <c r="AA260" i="1"/>
  <c r="BG131" i="1"/>
  <c r="AA141" i="1"/>
  <c r="AG142" i="1"/>
  <c r="AI142" i="1" s="1"/>
  <c r="U165" i="1"/>
  <c r="AA165" i="1" s="1"/>
  <c r="AG165" i="1"/>
  <c r="AI165" i="1" s="1"/>
  <c r="AA174" i="1"/>
  <c r="BH175" i="1"/>
  <c r="BG175" i="1"/>
  <c r="BH182" i="1"/>
  <c r="BG182" i="1"/>
  <c r="AA186" i="1"/>
  <c r="BG192" i="1"/>
  <c r="BH198" i="1"/>
  <c r="BG198" i="1"/>
  <c r="AA202" i="1"/>
  <c r="BH203" i="1"/>
  <c r="BG203" i="1"/>
  <c r="BH214" i="1"/>
  <c r="BG214" i="1"/>
  <c r="BH220" i="1"/>
  <c r="BG220" i="1"/>
  <c r="AA229" i="1"/>
  <c r="BH252" i="1"/>
  <c r="BG252" i="1"/>
  <c r="AG137" i="1"/>
  <c r="AI137" i="1" s="1"/>
  <c r="AG140" i="1"/>
  <c r="AI140" i="1" s="1"/>
  <c r="AA142" i="1"/>
  <c r="BG144" i="1"/>
  <c r="BG148" i="1"/>
  <c r="BG152" i="1"/>
  <c r="BG156" i="1"/>
  <c r="BH170" i="1"/>
  <c r="BG170" i="1"/>
  <c r="AA175" i="1"/>
  <c r="U185" i="1"/>
  <c r="AA185" i="1" s="1"/>
  <c r="AG185" i="1"/>
  <c r="AI185" i="1" s="1"/>
  <c r="U201" i="1"/>
  <c r="AA201" i="1" s="1"/>
  <c r="AG201" i="1"/>
  <c r="AI201" i="1" s="1"/>
  <c r="AA213" i="1"/>
  <c r="AG7" i="2"/>
  <c r="V217" i="1"/>
  <c r="X7" i="2" s="1"/>
  <c r="AA230" i="1"/>
  <c r="BH232" i="1"/>
  <c r="BG232" i="1"/>
  <c r="AA241" i="1"/>
  <c r="BH255" i="1"/>
  <c r="BG255" i="1"/>
  <c r="BH142" i="1"/>
  <c r="BG142" i="1"/>
  <c r="AG143" i="1"/>
  <c r="AI143" i="1" s="1"/>
  <c r="U144" i="1"/>
  <c r="AA144" i="1" s="1"/>
  <c r="U148" i="1"/>
  <c r="AA148" i="1" s="1"/>
  <c r="U152" i="1"/>
  <c r="AA152" i="1" s="1"/>
  <c r="U156" i="1"/>
  <c r="AA156" i="1" s="1"/>
  <c r="AG158" i="1"/>
  <c r="AI158" i="1" s="1"/>
  <c r="BH158" i="1"/>
  <c r="BG158" i="1"/>
  <c r="AA163" i="1"/>
  <c r="U173" i="1"/>
  <c r="AA173" i="1" s="1"/>
  <c r="AG173" i="1"/>
  <c r="AI173" i="1" s="1"/>
  <c r="AG179" i="1"/>
  <c r="AI179" i="1" s="1"/>
  <c r="AA182" i="1"/>
  <c r="BH194" i="1"/>
  <c r="BG194" i="1"/>
  <c r="BH210" i="1"/>
  <c r="BG210" i="1"/>
  <c r="AA221" i="1"/>
  <c r="AA242" i="1"/>
  <c r="BH244" i="1"/>
  <c r="BG244" i="1"/>
  <c r="AA253" i="1"/>
  <c r="AG70" i="1"/>
  <c r="AI70" i="1" s="1"/>
  <c r="AG78" i="1"/>
  <c r="AI78" i="1" s="1"/>
  <c r="AG82" i="1"/>
  <c r="AI82" i="1" s="1"/>
  <c r="AG86" i="1"/>
  <c r="AI86" i="1" s="1"/>
  <c r="AG90" i="1"/>
  <c r="AI90" i="1" s="1"/>
  <c r="AG94" i="1"/>
  <c r="AI94" i="1" s="1"/>
  <c r="AG98" i="1"/>
  <c r="AI98" i="1" s="1"/>
  <c r="AG102" i="1"/>
  <c r="AI102" i="1" s="1"/>
  <c r="AG106" i="1"/>
  <c r="AI106" i="1" s="1"/>
  <c r="AG110" i="1"/>
  <c r="AI110" i="1" s="1"/>
  <c r="AG114" i="1"/>
  <c r="AI114" i="1" s="1"/>
  <c r="AG118" i="1"/>
  <c r="AI118" i="1" s="1"/>
  <c r="AG122" i="1"/>
  <c r="AI122" i="1" s="1"/>
  <c r="AG126" i="1"/>
  <c r="AA137" i="1"/>
  <c r="U161" i="1"/>
  <c r="AA161" i="1" s="1"/>
  <c r="AG161" i="1"/>
  <c r="AI161" i="1" s="1"/>
  <c r="AA169" i="1"/>
  <c r="BH171" i="1"/>
  <c r="BG171" i="1"/>
  <c r="AG178" i="1"/>
  <c r="AI178" i="1" s="1"/>
  <c r="BH178" i="1"/>
  <c r="BG178" i="1"/>
  <c r="AA193" i="1"/>
  <c r="U197" i="1"/>
  <c r="AA197" i="1" s="1"/>
  <c r="AG197" i="1"/>
  <c r="AI197" i="1" s="1"/>
  <c r="U213" i="1"/>
  <c r="AG213" i="1"/>
  <c r="AI213" i="1" s="1"/>
  <c r="BH224" i="1"/>
  <c r="BG224" i="1"/>
  <c r="BH265" i="1"/>
  <c r="BG265" i="1"/>
  <c r="BH267" i="1"/>
  <c r="BG267" i="1"/>
  <c r="BH283" i="1"/>
  <c r="BG283" i="1"/>
  <c r="BH291" i="1"/>
  <c r="BG291" i="1"/>
  <c r="V4" i="2"/>
  <c r="Y5" i="2"/>
  <c r="U126" i="1"/>
  <c r="V135" i="1"/>
  <c r="AA135" i="1" s="1"/>
  <c r="AA146" i="1"/>
  <c r="BH146" i="1"/>
  <c r="BG146" i="1"/>
  <c r="AA149" i="1"/>
  <c r="AA150" i="1"/>
  <c r="BH150" i="1"/>
  <c r="BG150" i="1"/>
  <c r="AA154" i="1"/>
  <c r="BH154" i="1"/>
  <c r="BG154" i="1"/>
  <c r="AA157" i="1"/>
  <c r="AA158" i="1"/>
  <c r="AG166" i="1"/>
  <c r="AI166" i="1" s="1"/>
  <c r="BH166" i="1"/>
  <c r="BG166" i="1"/>
  <c r="AA171" i="1"/>
  <c r="U181" i="1"/>
  <c r="AA181" i="1" s="1"/>
  <c r="AG181" i="1"/>
  <c r="AI181" i="1" s="1"/>
  <c r="AG190" i="1"/>
  <c r="AI190" i="1" s="1"/>
  <c r="BH190" i="1"/>
  <c r="BG190" i="1"/>
  <c r="AA194" i="1"/>
  <c r="AG206" i="1"/>
  <c r="AI206" i="1" s="1"/>
  <c r="BH206" i="1"/>
  <c r="BG206" i="1"/>
  <c r="AA210" i="1"/>
  <c r="AA234" i="1"/>
  <c r="BH236" i="1"/>
  <c r="BG236" i="1"/>
  <c r="AA245" i="1"/>
  <c r="BH295" i="1"/>
  <c r="BG295" i="1"/>
  <c r="U261" i="1"/>
  <c r="AA269" i="1"/>
  <c r="U273" i="1"/>
  <c r="U275" i="1"/>
  <c r="AA275" i="1" s="1"/>
  <c r="U281" i="1"/>
  <c r="AA281" i="1" s="1"/>
  <c r="AG281" i="1"/>
  <c r="AI281" i="1" s="1"/>
  <c r="AA293" i="1"/>
  <c r="U305" i="1"/>
  <c r="AA305" i="1" s="1"/>
  <c r="AG305" i="1"/>
  <c r="AI305" i="1" s="1"/>
  <c r="T8" i="2"/>
  <c r="BH311" i="1"/>
  <c r="BG311" i="1"/>
  <c r="U317" i="1"/>
  <c r="AA317" i="1" s="1"/>
  <c r="AG317" i="1"/>
  <c r="AI317" i="1" s="1"/>
  <c r="V323" i="1"/>
  <c r="AG323" i="1"/>
  <c r="AI323" i="1" s="1"/>
  <c r="AA325" i="1"/>
  <c r="V331" i="1"/>
  <c r="AA331" i="1" s="1"/>
  <c r="AG331" i="1"/>
  <c r="AI331" i="1" s="1"/>
  <c r="AA333" i="1"/>
  <c r="V339" i="1"/>
  <c r="AG339" i="1"/>
  <c r="AI339" i="1" s="1"/>
  <c r="AA341" i="1"/>
  <c r="V347" i="1"/>
  <c r="X8" i="2" s="1"/>
  <c r="AG347" i="1"/>
  <c r="AI347" i="1" s="1"/>
  <c r="AA368" i="1"/>
  <c r="V375" i="1"/>
  <c r="AG375" i="1"/>
  <c r="AI375" i="1" s="1"/>
  <c r="BG379" i="1"/>
  <c r="BH379" i="1"/>
  <c r="V391" i="1"/>
  <c r="AG391" i="1"/>
  <c r="AI391" i="1" s="1"/>
  <c r="BG395" i="1"/>
  <c r="BH395" i="1"/>
  <c r="BG426" i="1"/>
  <c r="BH426" i="1"/>
  <c r="BH438" i="1"/>
  <c r="BG438" i="1"/>
  <c r="BG261" i="1"/>
  <c r="AA265" i="1"/>
  <c r="BG269" i="1"/>
  <c r="AA271" i="1"/>
  <c r="BG271" i="1"/>
  <c r="AA279" i="1"/>
  <c r="BG279" i="1"/>
  <c r="U285" i="1"/>
  <c r="AG285" i="1"/>
  <c r="AI285" i="1" s="1"/>
  <c r="BH290" i="1"/>
  <c r="AG299" i="1"/>
  <c r="AI299" i="1" s="1"/>
  <c r="AA301" i="1"/>
  <c r="AA307" i="1"/>
  <c r="AA308" i="1"/>
  <c r="BH313" i="1"/>
  <c r="BG313" i="1"/>
  <c r="AG319" i="1"/>
  <c r="AI319" i="1" s="1"/>
  <c r="BH326" i="1"/>
  <c r="BG326" i="1"/>
  <c r="AG327" i="1"/>
  <c r="AI327" i="1" s="1"/>
  <c r="BH334" i="1"/>
  <c r="BG334" i="1"/>
  <c r="AG335" i="1"/>
  <c r="AI335" i="1" s="1"/>
  <c r="BH342" i="1"/>
  <c r="BG342" i="1"/>
  <c r="AG343" i="1"/>
  <c r="AI343" i="1" s="1"/>
  <c r="AG348" i="1"/>
  <c r="AI348" i="1" s="1"/>
  <c r="AA350" i="1"/>
  <c r="BH351" i="1"/>
  <c r="BG351" i="1"/>
  <c r="BH356" i="1"/>
  <c r="BG356" i="1"/>
  <c r="AA363" i="1"/>
  <c r="U370" i="1"/>
  <c r="AA370" i="1" s="1"/>
  <c r="AG370" i="1"/>
  <c r="AI370" i="1" s="1"/>
  <c r="BH380" i="1"/>
  <c r="BG380" i="1"/>
  <c r="U386" i="1"/>
  <c r="AG386" i="1"/>
  <c r="AI386" i="1" s="1"/>
  <c r="BH396" i="1"/>
  <c r="BG396" i="1"/>
  <c r="AA399" i="1"/>
  <c r="BH402" i="1"/>
  <c r="BG402" i="1"/>
  <c r="BH414" i="1"/>
  <c r="BG414" i="1"/>
  <c r="BH417" i="1"/>
  <c r="BG417" i="1"/>
  <c r="BG442" i="1"/>
  <c r="BH442" i="1"/>
  <c r="BH454" i="1"/>
  <c r="BG454" i="1"/>
  <c r="BH469" i="1"/>
  <c r="BG469" i="1"/>
  <c r="BH277" i="1"/>
  <c r="BG277" i="1"/>
  <c r="U289" i="1"/>
  <c r="AG289" i="1"/>
  <c r="AI289" i="1" s="1"/>
  <c r="AA311" i="1"/>
  <c r="BH315" i="1"/>
  <c r="BG315" i="1"/>
  <c r="BH322" i="1"/>
  <c r="BG322" i="1"/>
  <c r="BH330" i="1"/>
  <c r="BG330" i="1"/>
  <c r="BH338" i="1"/>
  <c r="BG338" i="1"/>
  <c r="BH405" i="1"/>
  <c r="BG405" i="1"/>
  <c r="BH408" i="1"/>
  <c r="BG408" i="1"/>
  <c r="U424" i="1"/>
  <c r="AA424" i="1" s="1"/>
  <c r="AG424" i="1"/>
  <c r="AI424" i="1" s="1"/>
  <c r="BH501" i="1"/>
  <c r="BG501" i="1"/>
  <c r="BH531" i="1"/>
  <c r="BG531" i="1"/>
  <c r="BG258" i="1"/>
  <c r="BG263" i="1"/>
  <c r="BH281" i="1"/>
  <c r="BG281" i="1"/>
  <c r="BG284" i="1"/>
  <c r="AA287" i="1"/>
  <c r="BG287" i="1"/>
  <c r="U293" i="1"/>
  <c r="AG293" i="1"/>
  <c r="AI293" i="1" s="1"/>
  <c r="BH298" i="1"/>
  <c r="BG303" i="1"/>
  <c r="BH305" i="1"/>
  <c r="BG305" i="1"/>
  <c r="BH317" i="1"/>
  <c r="BG317" i="1"/>
  <c r="BH327" i="1"/>
  <c r="BG327" i="1"/>
  <c r="BH335" i="1"/>
  <c r="BG335" i="1"/>
  <c r="BH343" i="1"/>
  <c r="BG343" i="1"/>
  <c r="BH348" i="1"/>
  <c r="BG348" i="1"/>
  <c r="U362" i="1"/>
  <c r="AA362" i="1" s="1"/>
  <c r="AG362" i="1"/>
  <c r="AI362" i="1" s="1"/>
  <c r="BH366" i="1"/>
  <c r="BG366" i="1"/>
  <c r="AA378" i="1"/>
  <c r="U382" i="1"/>
  <c r="AA382" i="1" s="1"/>
  <c r="AG382" i="1"/>
  <c r="AI382" i="1" s="1"/>
  <c r="U398" i="1"/>
  <c r="AA398" i="1" s="1"/>
  <c r="AG398" i="1"/>
  <c r="AI398" i="1" s="1"/>
  <c r="AA423" i="1"/>
  <c r="U440" i="1"/>
  <c r="AA440" i="1" s="1"/>
  <c r="AG440" i="1"/>
  <c r="AI440" i="1" s="1"/>
  <c r="T7" i="2"/>
  <c r="AH7" i="2"/>
  <c r="AS7" i="2"/>
  <c r="BG219" i="1"/>
  <c r="BG223" i="1"/>
  <c r="BG227" i="1"/>
  <c r="BG231" i="1"/>
  <c r="BG235" i="1"/>
  <c r="BG239" i="1"/>
  <c r="BG243" i="1"/>
  <c r="BG247" i="1"/>
  <c r="BG251" i="1"/>
  <c r="AA257" i="1"/>
  <c r="BG260" i="1"/>
  <c r="AG264" i="1"/>
  <c r="AI264" i="1" s="1"/>
  <c r="AG266" i="1"/>
  <c r="AI266" i="1" s="1"/>
  <c r="AG269" i="1"/>
  <c r="AI269" i="1" s="1"/>
  <c r="AG271" i="1"/>
  <c r="AI271" i="1" s="1"/>
  <c r="BG272" i="1"/>
  <c r="BG274" i="1"/>
  <c r="AG279" i="1"/>
  <c r="AI279" i="1" s="1"/>
  <c r="BH285" i="1"/>
  <c r="BG285" i="1"/>
  <c r="BG288" i="1"/>
  <c r="AA291" i="1"/>
  <c r="AG292" i="1"/>
  <c r="AI292" i="1" s="1"/>
  <c r="U297" i="1"/>
  <c r="AA297" i="1" s="1"/>
  <c r="AG297" i="1"/>
  <c r="AI297" i="1" s="1"/>
  <c r="U301" i="1"/>
  <c r="AG301" i="1"/>
  <c r="AI301" i="1" s="1"/>
  <c r="AF8" i="2"/>
  <c r="U309" i="1"/>
  <c r="AG309" i="1"/>
  <c r="AA315" i="1"/>
  <c r="AA316" i="1"/>
  <c r="BH318" i="1"/>
  <c r="BH319" i="1"/>
  <c r="BG319" i="1"/>
  <c r="AA352" i="1"/>
  <c r="AA357" i="1"/>
  <c r="V363" i="1"/>
  <c r="AG363" i="1"/>
  <c r="AI363" i="1" s="1"/>
  <c r="BG371" i="1"/>
  <c r="BH371" i="1"/>
  <c r="V383" i="1"/>
  <c r="AA383" i="1" s="1"/>
  <c r="AG383" i="1"/>
  <c r="AI383" i="1" s="1"/>
  <c r="BG387" i="1"/>
  <c r="BH387" i="1"/>
  <c r="V399" i="1"/>
  <c r="AG399" i="1"/>
  <c r="AI399" i="1" s="1"/>
  <c r="AA403" i="1"/>
  <c r="AG416" i="1"/>
  <c r="AI416" i="1" s="1"/>
  <c r="U416" i="1"/>
  <c r="AA416" i="1" s="1"/>
  <c r="BH429" i="1"/>
  <c r="BG429" i="1"/>
  <c r="BH431" i="1"/>
  <c r="BG431" i="1"/>
  <c r="BH489" i="1"/>
  <c r="BG489" i="1"/>
  <c r="V7" i="2"/>
  <c r="AG217" i="1"/>
  <c r="AG221" i="1"/>
  <c r="AI221" i="1" s="1"/>
  <c r="AG225" i="1"/>
  <c r="AI225" i="1" s="1"/>
  <c r="AG229" i="1"/>
  <c r="AI229" i="1" s="1"/>
  <c r="AG233" i="1"/>
  <c r="AI233" i="1" s="1"/>
  <c r="AG237" i="1"/>
  <c r="AI237" i="1" s="1"/>
  <c r="AG241" i="1"/>
  <c r="AI241" i="1" s="1"/>
  <c r="AG245" i="1"/>
  <c r="AI245" i="1" s="1"/>
  <c r="AG249" i="1"/>
  <c r="AI249" i="1" s="1"/>
  <c r="AG253" i="1"/>
  <c r="AI253" i="1" s="1"/>
  <c r="AG265" i="1"/>
  <c r="AI265" i="1" s="1"/>
  <c r="AG267" i="1"/>
  <c r="AI267" i="1" s="1"/>
  <c r="BH289" i="1"/>
  <c r="BG289" i="1"/>
  <c r="AA295" i="1"/>
  <c r="AG296" i="1"/>
  <c r="AI296" i="1" s="1"/>
  <c r="AA303" i="1"/>
  <c r="AA304" i="1"/>
  <c r="AA323" i="1"/>
  <c r="AA339" i="1"/>
  <c r="U354" i="1"/>
  <c r="AA354" i="1" s="1"/>
  <c r="AG354" i="1"/>
  <c r="AI354" i="1" s="1"/>
  <c r="BH358" i="1"/>
  <c r="BG358" i="1"/>
  <c r="AG364" i="1"/>
  <c r="AI364" i="1" s="1"/>
  <c r="AA366" i="1"/>
  <c r="BH367" i="1"/>
  <c r="BG367" i="1"/>
  <c r="BH372" i="1"/>
  <c r="BG372" i="1"/>
  <c r="AA375" i="1"/>
  <c r="U378" i="1"/>
  <c r="AG378" i="1"/>
  <c r="AI378" i="1" s="1"/>
  <c r="BH388" i="1"/>
  <c r="BG388" i="1"/>
  <c r="AA391" i="1"/>
  <c r="U394" i="1"/>
  <c r="AA394" i="1" s="1"/>
  <c r="AG394" i="1"/>
  <c r="AI394" i="1" s="1"/>
  <c r="V413" i="1"/>
  <c r="AA413" i="1" s="1"/>
  <c r="AG413" i="1"/>
  <c r="AI413" i="1" s="1"/>
  <c r="BH445" i="1"/>
  <c r="BG445" i="1"/>
  <c r="BH447" i="1"/>
  <c r="BG447" i="1"/>
  <c r="Y6" i="2"/>
  <c r="U217" i="1"/>
  <c r="BG218" i="1"/>
  <c r="BG222" i="1"/>
  <c r="BG226" i="1"/>
  <c r="BG230" i="1"/>
  <c r="BG234" i="1"/>
  <c r="BG238" i="1"/>
  <c r="BG242" i="1"/>
  <c r="BG246" i="1"/>
  <c r="BG250" i="1"/>
  <c r="BG254" i="1"/>
  <c r="BG257" i="1"/>
  <c r="BG262" i="1"/>
  <c r="AG263" i="1"/>
  <c r="AI263" i="1" s="1"/>
  <c r="BG264" i="1"/>
  <c r="BH278" i="1"/>
  <c r="AA285" i="1"/>
  <c r="AG287" i="1"/>
  <c r="AI287" i="1" s="1"/>
  <c r="BH293" i="1"/>
  <c r="BG293" i="1"/>
  <c r="BG296" i="1"/>
  <c r="AA299" i="1"/>
  <c r="BG299" i="1"/>
  <c r="AG300" i="1"/>
  <c r="AI300" i="1" s="1"/>
  <c r="BH306" i="1"/>
  <c r="AG308" i="1"/>
  <c r="AI308" i="1" s="1"/>
  <c r="U313" i="1"/>
  <c r="AA313" i="1" s="1"/>
  <c r="AG313" i="1"/>
  <c r="AI313" i="1" s="1"/>
  <c r="AA319" i="1"/>
  <c r="AA320" i="1"/>
  <c r="AG325" i="1"/>
  <c r="AI325" i="1" s="1"/>
  <c r="AG326" i="1"/>
  <c r="AI326" i="1" s="1"/>
  <c r="AA328" i="1"/>
  <c r="AG333" i="1"/>
  <c r="AI333" i="1" s="1"/>
  <c r="AG334" i="1"/>
  <c r="AI334" i="1" s="1"/>
  <c r="AA336" i="1"/>
  <c r="AG341" i="1"/>
  <c r="AI341" i="1" s="1"/>
  <c r="AG342" i="1"/>
  <c r="AI342" i="1" s="1"/>
  <c r="AA344" i="1"/>
  <c r="AA349" i="1"/>
  <c r="V355" i="1"/>
  <c r="AA355" i="1" s="1"/>
  <c r="AG355" i="1"/>
  <c r="AI355" i="1" s="1"/>
  <c r="AG379" i="1"/>
  <c r="AI379" i="1" s="1"/>
  <c r="AG395" i="1"/>
  <c r="AI395" i="1" s="1"/>
  <c r="U403" i="1"/>
  <c r="AG403" i="1"/>
  <c r="AI403" i="1" s="1"/>
  <c r="BH412" i="1"/>
  <c r="BG412" i="1"/>
  <c r="BH415" i="1"/>
  <c r="U418" i="1"/>
  <c r="AA418" i="1" s="1"/>
  <c r="AG418" i="1"/>
  <c r="AI418" i="1" s="1"/>
  <c r="BH484" i="1"/>
  <c r="BG484" i="1"/>
  <c r="BH486" i="1"/>
  <c r="BG486" i="1"/>
  <c r="U259" i="1"/>
  <c r="AA259" i="1" s="1"/>
  <c r="AA261" i="1"/>
  <c r="AA273" i="1"/>
  <c r="U277" i="1"/>
  <c r="AA277" i="1" s="1"/>
  <c r="AG277" i="1"/>
  <c r="AI277" i="1" s="1"/>
  <c r="AA289" i="1"/>
  <c r="AG291" i="1"/>
  <c r="AI291" i="1" s="1"/>
  <c r="BH297" i="1"/>
  <c r="BG297" i="1"/>
  <c r="BH301" i="1"/>
  <c r="BG301" i="1"/>
  <c r="AG303" i="1"/>
  <c r="AI303" i="1" s="1"/>
  <c r="BH309" i="1"/>
  <c r="BG309" i="1"/>
  <c r="AG315" i="1"/>
  <c r="AI315" i="1" s="1"/>
  <c r="U322" i="1"/>
  <c r="AA322" i="1" s="1"/>
  <c r="AG322" i="1"/>
  <c r="AI322" i="1" s="1"/>
  <c r="U330" i="1"/>
  <c r="AA330" i="1" s="1"/>
  <c r="AG330" i="1"/>
  <c r="AI330" i="1" s="1"/>
  <c r="U338" i="1"/>
  <c r="AA338" i="1" s="1"/>
  <c r="AG338" i="1"/>
  <c r="AI338" i="1" s="1"/>
  <c r="U346" i="1"/>
  <c r="AA346" i="1" s="1"/>
  <c r="AG346" i="1"/>
  <c r="AI346" i="1" s="1"/>
  <c r="BH350" i="1"/>
  <c r="BG350" i="1"/>
  <c r="AG356" i="1"/>
  <c r="AI356" i="1" s="1"/>
  <c r="AA358" i="1"/>
  <c r="BH359" i="1"/>
  <c r="BG359" i="1"/>
  <c r="BH364" i="1"/>
  <c r="BG364" i="1"/>
  <c r="U374" i="1"/>
  <c r="AA374" i="1" s="1"/>
  <c r="AG374" i="1"/>
  <c r="AI374" i="1" s="1"/>
  <c r="AA386" i="1"/>
  <c r="U390" i="1"/>
  <c r="AA390" i="1" s="1"/>
  <c r="AG390" i="1"/>
  <c r="AI390" i="1" s="1"/>
  <c r="BH400" i="1"/>
  <c r="BG400" i="1"/>
  <c r="BH422" i="1"/>
  <c r="BG422" i="1"/>
  <c r="BH461" i="1"/>
  <c r="BG461" i="1"/>
  <c r="BH463" i="1"/>
  <c r="BG463" i="1"/>
  <c r="Y8" i="2"/>
  <c r="BG346" i="1"/>
  <c r="BG354" i="1"/>
  <c r="BG362" i="1"/>
  <c r="AG372" i="1"/>
  <c r="AI372" i="1" s="1"/>
  <c r="BG374" i="1"/>
  <c r="AG376" i="1"/>
  <c r="AI376" i="1" s="1"/>
  <c r="AG380" i="1"/>
  <c r="AI380" i="1" s="1"/>
  <c r="BG382" i="1"/>
  <c r="AG384" i="1"/>
  <c r="AI384" i="1" s="1"/>
  <c r="AG388" i="1"/>
  <c r="AI388" i="1" s="1"/>
  <c r="BG390" i="1"/>
  <c r="AG392" i="1"/>
  <c r="AI392" i="1" s="1"/>
  <c r="AG396" i="1"/>
  <c r="AI396" i="1" s="1"/>
  <c r="BG398" i="1"/>
  <c r="AG400" i="1"/>
  <c r="AI400" i="1" s="1"/>
  <c r="T9" i="2"/>
  <c r="U402" i="1"/>
  <c r="AA402" i="1" s="1"/>
  <c r="AG402" i="1"/>
  <c r="AI402" i="1" s="1"/>
  <c r="AG404" i="1"/>
  <c r="AI404" i="1" s="1"/>
  <c r="AA406" i="1"/>
  <c r="BG407" i="1"/>
  <c r="U426" i="1"/>
  <c r="AA426" i="1" s="1"/>
  <c r="AG426" i="1"/>
  <c r="AI426" i="1" s="1"/>
  <c r="AA428" i="1"/>
  <c r="BG430" i="1"/>
  <c r="U442" i="1"/>
  <c r="AA442" i="1" s="1"/>
  <c r="AG442" i="1"/>
  <c r="AI442" i="1" s="1"/>
  <c r="AA444" i="1"/>
  <c r="BG446" i="1"/>
  <c r="AA459" i="1"/>
  <c r="BH492" i="1"/>
  <c r="BG492" i="1"/>
  <c r="BG526" i="1"/>
  <c r="BH526" i="1"/>
  <c r="BH527" i="1"/>
  <c r="BG527" i="1"/>
  <c r="AA372" i="1"/>
  <c r="AA380" i="1"/>
  <c r="AA388" i="1"/>
  <c r="AA396" i="1"/>
  <c r="BH404" i="1"/>
  <c r="BG404" i="1"/>
  <c r="U410" i="1"/>
  <c r="AA410" i="1" s="1"/>
  <c r="AG410" i="1"/>
  <c r="AI410" i="1" s="1"/>
  <c r="AG412" i="1"/>
  <c r="AI412" i="1" s="1"/>
  <c r="AA414" i="1"/>
  <c r="U433" i="1"/>
  <c r="AA433" i="1" s="1"/>
  <c r="AG433" i="1"/>
  <c r="AI433" i="1" s="1"/>
  <c r="U449" i="1"/>
  <c r="AA449" i="1" s="1"/>
  <c r="AG449" i="1"/>
  <c r="AI449" i="1" s="1"/>
  <c r="AA454" i="1"/>
  <c r="U457" i="1"/>
  <c r="AA457" i="1" s="1"/>
  <c r="AG457" i="1"/>
  <c r="AI457" i="1" s="1"/>
  <c r="BG466" i="1"/>
  <c r="BH466" i="1"/>
  <c r="BH509" i="1"/>
  <c r="BG509" i="1"/>
  <c r="BH523" i="1"/>
  <c r="BG523" i="1"/>
  <c r="BH589" i="1"/>
  <c r="BG589" i="1"/>
  <c r="AG8" i="2"/>
  <c r="AR8" i="2"/>
  <c r="Y9" i="2"/>
  <c r="AG405" i="1"/>
  <c r="AI405" i="1" s="1"/>
  <c r="AA412" i="1"/>
  <c r="BH420" i="1"/>
  <c r="BG420" i="1"/>
  <c r="AG427" i="1"/>
  <c r="AI427" i="1" s="1"/>
  <c r="BH436" i="1"/>
  <c r="BG436" i="1"/>
  <c r="AG443" i="1"/>
  <c r="AI443" i="1" s="1"/>
  <c r="BH452" i="1"/>
  <c r="BG452" i="1"/>
  <c r="U458" i="1"/>
  <c r="AA458" i="1" s="1"/>
  <c r="AG458" i="1"/>
  <c r="AI458" i="1" s="1"/>
  <c r="AA476" i="1"/>
  <c r="BH476" i="1"/>
  <c r="BG476" i="1"/>
  <c r="AA478" i="1"/>
  <c r="AA486" i="1"/>
  <c r="AA489" i="1"/>
  <c r="BH493" i="1"/>
  <c r="BG493" i="1"/>
  <c r="AA496" i="1"/>
  <c r="BH515" i="1"/>
  <c r="BG515" i="1"/>
  <c r="AA526" i="1"/>
  <c r="BH564" i="1"/>
  <c r="BG564" i="1"/>
  <c r="AH8" i="2"/>
  <c r="AS8" i="2"/>
  <c r="N8" i="2"/>
  <c r="O8" i="2" s="1"/>
  <c r="AR9" i="2"/>
  <c r="AA405" i="1"/>
  <c r="AA420" i="1"/>
  <c r="U434" i="1"/>
  <c r="AA434" i="1" s="1"/>
  <c r="AG434" i="1"/>
  <c r="AI434" i="1" s="1"/>
  <c r="U450" i="1"/>
  <c r="AA450" i="1" s="1"/>
  <c r="AG450" i="1"/>
  <c r="AI450" i="1" s="1"/>
  <c r="AA452" i="1"/>
  <c r="AA467" i="1"/>
  <c r="BH468" i="1"/>
  <c r="BG468" i="1"/>
  <c r="BH533" i="1"/>
  <c r="BG533" i="1"/>
  <c r="BH547" i="1"/>
  <c r="BG547" i="1"/>
  <c r="BH548" i="1"/>
  <c r="BG548" i="1"/>
  <c r="BH556" i="1"/>
  <c r="BG556" i="1"/>
  <c r="BG598" i="1"/>
  <c r="BH598" i="1"/>
  <c r="V8" i="2"/>
  <c r="AF9" i="2"/>
  <c r="U401" i="1"/>
  <c r="AG401" i="1"/>
  <c r="U408" i="1"/>
  <c r="AA408" i="1" s="1"/>
  <c r="BG418" i="1"/>
  <c r="U425" i="1"/>
  <c r="AA425" i="1" s="1"/>
  <c r="AG425" i="1"/>
  <c r="AI425" i="1" s="1"/>
  <c r="U441" i="1"/>
  <c r="AA441" i="1" s="1"/>
  <c r="AG441" i="1"/>
  <c r="AI441" i="1" s="1"/>
  <c r="BG458" i="1"/>
  <c r="BH458" i="1"/>
  <c r="AA462" i="1"/>
  <c r="U465" i="1"/>
  <c r="AA465" i="1" s="1"/>
  <c r="AG465" i="1"/>
  <c r="AI465" i="1" s="1"/>
  <c r="BG470" i="1"/>
  <c r="AA473" i="1"/>
  <c r="BG473" i="1"/>
  <c r="AA480" i="1"/>
  <c r="V483" i="1"/>
  <c r="AG483" i="1"/>
  <c r="AI483" i="1" s="1"/>
  <c r="AA485" i="1"/>
  <c r="V488" i="1"/>
  <c r="AA488" i="1" s="1"/>
  <c r="AG488" i="1"/>
  <c r="AI488" i="1" s="1"/>
  <c r="BH516" i="1"/>
  <c r="BG516" i="1"/>
  <c r="AA520" i="1"/>
  <c r="AA537" i="1"/>
  <c r="AG9" i="2"/>
  <c r="U409" i="1"/>
  <c r="AA409" i="1" s="1"/>
  <c r="AG409" i="1"/>
  <c r="AI409" i="1" s="1"/>
  <c r="BH413" i="1"/>
  <c r="BG413" i="1"/>
  <c r="AA421" i="1"/>
  <c r="AA427" i="1"/>
  <c r="AG428" i="1"/>
  <c r="AI428" i="1" s="1"/>
  <c r="AA430" i="1"/>
  <c r="U432" i="1"/>
  <c r="AA432" i="1" s="1"/>
  <c r="AG432" i="1"/>
  <c r="AI432" i="1" s="1"/>
  <c r="AA437" i="1"/>
  <c r="AA443" i="1"/>
  <c r="AG444" i="1"/>
  <c r="AI444" i="1" s="1"/>
  <c r="AA446" i="1"/>
  <c r="U448" i="1"/>
  <c r="AA448" i="1" s="1"/>
  <c r="AG448" i="1"/>
  <c r="AI448" i="1" s="1"/>
  <c r="AA453" i="1"/>
  <c r="BH453" i="1"/>
  <c r="BG453" i="1"/>
  <c r="AA455" i="1"/>
  <c r="BH462" i="1"/>
  <c r="BG462" i="1"/>
  <c r="AA472" i="1"/>
  <c r="AA477" i="1"/>
  <c r="BH485" i="1"/>
  <c r="BG485" i="1"/>
  <c r="BH508" i="1"/>
  <c r="BG508" i="1"/>
  <c r="BH517" i="1"/>
  <c r="BG517" i="1"/>
  <c r="AA529" i="1"/>
  <c r="BH534" i="1"/>
  <c r="BG534" i="1"/>
  <c r="N9" i="2"/>
  <c r="O9" i="2" s="1"/>
  <c r="AH9" i="2"/>
  <c r="U417" i="1"/>
  <c r="AA417" i="1" s="1"/>
  <c r="AG417" i="1"/>
  <c r="AI417" i="1" s="1"/>
  <c r="BH421" i="1"/>
  <c r="BG421" i="1"/>
  <c r="BH428" i="1"/>
  <c r="BG428" i="1"/>
  <c r="BH437" i="1"/>
  <c r="BG437" i="1"/>
  <c r="BH444" i="1"/>
  <c r="BG444" i="1"/>
  <c r="BH460" i="1"/>
  <c r="BG460" i="1"/>
  <c r="U466" i="1"/>
  <c r="AA466" i="1" s="1"/>
  <c r="AG466" i="1"/>
  <c r="AI466" i="1" s="1"/>
  <c r="BH477" i="1"/>
  <c r="BG477" i="1"/>
  <c r="BH500" i="1"/>
  <c r="BG500" i="1"/>
  <c r="AA533" i="1"/>
  <c r="BH535" i="1"/>
  <c r="BG535" i="1"/>
  <c r="BH540" i="1"/>
  <c r="BG540" i="1"/>
  <c r="BH574" i="1"/>
  <c r="BG574" i="1"/>
  <c r="U518" i="1"/>
  <c r="AA518" i="1" s="1"/>
  <c r="AA524" i="1"/>
  <c r="AG527" i="1"/>
  <c r="AI527" i="1" s="1"/>
  <c r="V532" i="1"/>
  <c r="U544" i="1"/>
  <c r="AA544" i="1" s="1"/>
  <c r="AG544" i="1"/>
  <c r="AI544" i="1" s="1"/>
  <c r="AA563" i="1"/>
  <c r="BH563" i="1"/>
  <c r="BG563" i="1"/>
  <c r="AA569" i="1"/>
  <c r="AA571" i="1"/>
  <c r="BH571" i="1"/>
  <c r="BG571" i="1"/>
  <c r="U576" i="1"/>
  <c r="AA576" i="1" s="1"/>
  <c r="AG576" i="1"/>
  <c r="AI576" i="1" s="1"/>
  <c r="V11" i="2"/>
  <c r="AA582" i="1"/>
  <c r="BG606" i="1"/>
  <c r="BH606" i="1"/>
  <c r="BH607" i="1"/>
  <c r="BG607" i="1"/>
  <c r="AG630" i="1"/>
  <c r="AI630" i="1" s="1"/>
  <c r="V630" i="1"/>
  <c r="AA630" i="1" s="1"/>
  <c r="AG661" i="1"/>
  <c r="AI661" i="1" s="1"/>
  <c r="U661" i="1"/>
  <c r="AA661" i="1" s="1"/>
  <c r="BH539" i="1"/>
  <c r="BG539" i="1"/>
  <c r="BH555" i="1"/>
  <c r="BG555" i="1"/>
  <c r="BH560" i="1"/>
  <c r="BG560" i="1"/>
  <c r="AG578" i="1"/>
  <c r="AI578" i="1" s="1"/>
  <c r="U578" i="1"/>
  <c r="AA578" i="1" s="1"/>
  <c r="BH586" i="1"/>
  <c r="BG586" i="1"/>
  <c r="AA589" i="1"/>
  <c r="BG593" i="1"/>
  <c r="BH593" i="1"/>
  <c r="AA595" i="1"/>
  <c r="U596" i="1"/>
  <c r="AA596" i="1" s="1"/>
  <c r="AG596" i="1"/>
  <c r="AI596" i="1" s="1"/>
  <c r="AG601" i="1"/>
  <c r="AI601" i="1" s="1"/>
  <c r="U601" i="1"/>
  <c r="AA601" i="1" s="1"/>
  <c r="BH617" i="1"/>
  <c r="BG617" i="1"/>
  <c r="AG642" i="1"/>
  <c r="AI642" i="1" s="1"/>
  <c r="V642" i="1"/>
  <c r="AA642" i="1" s="1"/>
  <c r="BG494" i="1"/>
  <c r="BG497" i="1"/>
  <c r="BG502" i="1"/>
  <c r="BG505" i="1"/>
  <c r="BG510" i="1"/>
  <c r="BG513" i="1"/>
  <c r="BG518" i="1"/>
  <c r="BG521" i="1"/>
  <c r="AG523" i="1"/>
  <c r="AI523" i="1" s="1"/>
  <c r="BG524" i="1"/>
  <c r="BG537" i="1"/>
  <c r="BG541" i="1"/>
  <c r="BG549" i="1"/>
  <c r="BH551" i="1"/>
  <c r="BH552" i="1"/>
  <c r="BG552" i="1"/>
  <c r="AG553" i="1"/>
  <c r="AI553" i="1" s="1"/>
  <c r="U568" i="1"/>
  <c r="AA568" i="1" s="1"/>
  <c r="AG568" i="1"/>
  <c r="AI568" i="1" s="1"/>
  <c r="U577" i="1"/>
  <c r="AA577" i="1" s="1"/>
  <c r="AG577" i="1"/>
  <c r="AI577" i="1" s="1"/>
  <c r="AA591" i="1"/>
  <c r="BG614" i="1"/>
  <c r="BH614" i="1"/>
  <c r="BH626" i="1"/>
  <c r="BG626" i="1"/>
  <c r="BH629" i="1"/>
  <c r="BG629" i="1"/>
  <c r="BG630" i="1"/>
  <c r="BH630" i="1"/>
  <c r="AA650" i="1"/>
  <c r="AG459" i="1"/>
  <c r="AI459" i="1" s="1"/>
  <c r="AG467" i="1"/>
  <c r="AI467" i="1" s="1"/>
  <c r="AG472" i="1"/>
  <c r="AI472" i="1" s="1"/>
  <c r="AG475" i="1"/>
  <c r="AI475" i="1" s="1"/>
  <c r="AG480" i="1"/>
  <c r="AI480" i="1" s="1"/>
  <c r="AG491" i="1"/>
  <c r="AG496" i="1"/>
  <c r="AI496" i="1" s="1"/>
  <c r="AG499" i="1"/>
  <c r="AI499" i="1" s="1"/>
  <c r="AG504" i="1"/>
  <c r="AI504" i="1" s="1"/>
  <c r="AG507" i="1"/>
  <c r="AI507" i="1" s="1"/>
  <c r="AG512" i="1"/>
  <c r="AI512" i="1" s="1"/>
  <c r="AG515" i="1"/>
  <c r="AI515" i="1" s="1"/>
  <c r="AG520" i="1"/>
  <c r="AI520" i="1" s="1"/>
  <c r="AA523" i="1"/>
  <c r="AG529" i="1"/>
  <c r="AI529" i="1" s="1"/>
  <c r="AG533" i="1"/>
  <c r="AI533" i="1" s="1"/>
  <c r="U536" i="1"/>
  <c r="AA536" i="1" s="1"/>
  <c r="AG536" i="1"/>
  <c r="AI536" i="1" s="1"/>
  <c r="BH543" i="1"/>
  <c r="BH544" i="1"/>
  <c r="BG544" i="1"/>
  <c r="AG545" i="1"/>
  <c r="AI545" i="1" s="1"/>
  <c r="BG553" i="1"/>
  <c r="AG562" i="1"/>
  <c r="AI562" i="1" s="1"/>
  <c r="AA564" i="1"/>
  <c r="U567" i="1"/>
  <c r="AA567" i="1" s="1"/>
  <c r="AG567" i="1"/>
  <c r="AI567" i="1" s="1"/>
  <c r="BG576" i="1"/>
  <c r="BH578" i="1"/>
  <c r="BG578" i="1"/>
  <c r="U580" i="1"/>
  <c r="AA580" i="1" s="1"/>
  <c r="AG580" i="1"/>
  <c r="AI580" i="1" s="1"/>
  <c r="U588" i="1"/>
  <c r="AA588" i="1" s="1"/>
  <c r="AG588" i="1"/>
  <c r="AI588" i="1" s="1"/>
  <c r="BG601" i="1"/>
  <c r="BH601" i="1"/>
  <c r="U604" i="1"/>
  <c r="AA604" i="1" s="1"/>
  <c r="AG604" i="1"/>
  <c r="AI604" i="1" s="1"/>
  <c r="BH641" i="1"/>
  <c r="BG641" i="1"/>
  <c r="BH642" i="1"/>
  <c r="BG642" i="1"/>
  <c r="AG658" i="1"/>
  <c r="AI658" i="1" s="1"/>
  <c r="V658" i="1"/>
  <c r="AS9" i="2"/>
  <c r="AU9" i="2" s="1"/>
  <c r="AA475" i="1"/>
  <c r="AA483" i="1"/>
  <c r="V10" i="2"/>
  <c r="AA491" i="1"/>
  <c r="AA499" i="1"/>
  <c r="AA507" i="1"/>
  <c r="AA515" i="1"/>
  <c r="AG526" i="1"/>
  <c r="AI526" i="1" s="1"/>
  <c r="BG529" i="1"/>
  <c r="AG538" i="1"/>
  <c r="AI538" i="1" s="1"/>
  <c r="BG545" i="1"/>
  <c r="AG554" i="1"/>
  <c r="AI554" i="1" s="1"/>
  <c r="AG558" i="1"/>
  <c r="AI558" i="1" s="1"/>
  <c r="AA561" i="1"/>
  <c r="BG566" i="1"/>
  <c r="AG569" i="1"/>
  <c r="AI569" i="1" s="1"/>
  <c r="BH569" i="1"/>
  <c r="BG569" i="1"/>
  <c r="AG570" i="1"/>
  <c r="AI570" i="1" s="1"/>
  <c r="AA587" i="1"/>
  <c r="BG587" i="1"/>
  <c r="BG591" i="1"/>
  <c r="AA594" i="1"/>
  <c r="AA608" i="1"/>
  <c r="AA609" i="1"/>
  <c r="AA611" i="1"/>
  <c r="V9" i="2"/>
  <c r="U491" i="1"/>
  <c r="BG520" i="1"/>
  <c r="AG522" i="1"/>
  <c r="AI522" i="1" s="1"/>
  <c r="U528" i="1"/>
  <c r="AA528" i="1" s="1"/>
  <c r="AG528" i="1"/>
  <c r="AI528" i="1" s="1"/>
  <c r="AG546" i="1"/>
  <c r="AI546" i="1" s="1"/>
  <c r="AA548" i="1"/>
  <c r="AG550" i="1"/>
  <c r="AI550" i="1" s="1"/>
  <c r="AA553" i="1"/>
  <c r="BG558" i="1"/>
  <c r="BH562" i="1"/>
  <c r="V564" i="1"/>
  <c r="BH570" i="1"/>
  <c r="BG570" i="1"/>
  <c r="AA574" i="1"/>
  <c r="BH577" i="1"/>
  <c r="BG579" i="1"/>
  <c r="AG581" i="1"/>
  <c r="AI581" i="1" s="1"/>
  <c r="BG581" i="1"/>
  <c r="BH581" i="1"/>
  <c r="V590" i="1"/>
  <c r="X11" i="2" s="1"/>
  <c r="AG590" i="1"/>
  <c r="AI590" i="1" s="1"/>
  <c r="AG621" i="1"/>
  <c r="AI621" i="1" s="1"/>
  <c r="U621" i="1"/>
  <c r="AA621" i="1" s="1"/>
  <c r="AA622" i="1"/>
  <c r="AA646" i="1"/>
  <c r="AG456" i="1"/>
  <c r="AI456" i="1" s="1"/>
  <c r="AG464" i="1"/>
  <c r="AI464" i="1" s="1"/>
  <c r="BG467" i="1"/>
  <c r="AG474" i="1"/>
  <c r="AI474" i="1" s="1"/>
  <c r="BG475" i="1"/>
  <c r="AG482" i="1"/>
  <c r="AI482" i="1" s="1"/>
  <c r="BG483" i="1"/>
  <c r="AG490" i="1"/>
  <c r="AI490" i="1" s="1"/>
  <c r="V491" i="1"/>
  <c r="BG491" i="1"/>
  <c r="AG498" i="1"/>
  <c r="AI498" i="1" s="1"/>
  <c r="BG499" i="1"/>
  <c r="AG506" i="1"/>
  <c r="AI506" i="1" s="1"/>
  <c r="BG507" i="1"/>
  <c r="AG514" i="1"/>
  <c r="AI514" i="1" s="1"/>
  <c r="AA532" i="1"/>
  <c r="AG535" i="1"/>
  <c r="AI535" i="1" s="1"/>
  <c r="BH538" i="1"/>
  <c r="V540" i="1"/>
  <c r="AA540" i="1" s="1"/>
  <c r="AG542" i="1"/>
  <c r="AI542" i="1" s="1"/>
  <c r="AA545" i="1"/>
  <c r="BG550" i="1"/>
  <c r="AG551" i="1"/>
  <c r="AI551" i="1" s="1"/>
  <c r="BH554" i="1"/>
  <c r="V556" i="1"/>
  <c r="AA556" i="1" s="1"/>
  <c r="U560" i="1"/>
  <c r="AA560" i="1" s="1"/>
  <c r="AG560" i="1"/>
  <c r="AI560" i="1" s="1"/>
  <c r="BH567" i="1"/>
  <c r="AA579" i="1"/>
  <c r="U584" i="1"/>
  <c r="AA584" i="1" s="1"/>
  <c r="AG584" i="1"/>
  <c r="AI584" i="1" s="1"/>
  <c r="U585" i="1"/>
  <c r="AA585" i="1" s="1"/>
  <c r="AG585" i="1"/>
  <c r="AI585" i="1" s="1"/>
  <c r="AA586" i="1"/>
  <c r="AG599" i="1"/>
  <c r="AI599" i="1" s="1"/>
  <c r="AA602" i="1"/>
  <c r="U633" i="1"/>
  <c r="AG646" i="1"/>
  <c r="AI646" i="1" s="1"/>
  <c r="V646" i="1"/>
  <c r="U471" i="1"/>
  <c r="AA471" i="1" s="1"/>
  <c r="U479" i="1"/>
  <c r="AA479" i="1" s="1"/>
  <c r="U487" i="1"/>
  <c r="AA487" i="1" s="1"/>
  <c r="Y10" i="2"/>
  <c r="U495" i="1"/>
  <c r="AA495" i="1" s="1"/>
  <c r="U503" i="1"/>
  <c r="AA503" i="1" s="1"/>
  <c r="U511" i="1"/>
  <c r="AA511" i="1" s="1"/>
  <c r="U519" i="1"/>
  <c r="AA519" i="1" s="1"/>
  <c r="AG543" i="1"/>
  <c r="AI543" i="1" s="1"/>
  <c r="V548" i="1"/>
  <c r="U552" i="1"/>
  <c r="AA552" i="1" s="1"/>
  <c r="AG552" i="1"/>
  <c r="AI552" i="1" s="1"/>
  <c r="AA570" i="1"/>
  <c r="U573" i="1"/>
  <c r="AA573" i="1" s="1"/>
  <c r="AG573" i="1"/>
  <c r="AI573" i="1" s="1"/>
  <c r="AG593" i="1"/>
  <c r="AI593" i="1" s="1"/>
  <c r="U593" i="1"/>
  <c r="AA593" i="1" s="1"/>
  <c r="AG618" i="1"/>
  <c r="AI618" i="1" s="1"/>
  <c r="V618" i="1"/>
  <c r="BG654" i="1"/>
  <c r="BH654" i="1"/>
  <c r="BH653" i="1"/>
  <c r="BG653" i="1"/>
  <c r="O4" i="2"/>
  <c r="AM4" i="2"/>
  <c r="AU5" i="2"/>
  <c r="AU4" i="2"/>
  <c r="Y11" i="2"/>
  <c r="U594" i="1"/>
  <c r="AG594" i="1"/>
  <c r="AI594" i="1" s="1"/>
  <c r="AA598" i="1"/>
  <c r="U602" i="1"/>
  <c r="AG602" i="1"/>
  <c r="AI602" i="1" s="1"/>
  <c r="AA606" i="1"/>
  <c r="BH618" i="1"/>
  <c r="BG618" i="1"/>
  <c r="AA627" i="1"/>
  <c r="BH645" i="1"/>
  <c r="BG645" i="1"/>
  <c r="V650" i="1"/>
  <c r="BH657" i="1"/>
  <c r="BG657" i="1"/>
  <c r="AG659" i="1"/>
  <c r="AI659" i="1" s="1"/>
  <c r="AA662" i="1"/>
  <c r="AU7" i="2"/>
  <c r="AU10" i="2"/>
  <c r="AF11" i="2"/>
  <c r="AA599" i="1"/>
  <c r="BG599" i="1"/>
  <c r="AA607" i="1"/>
  <c r="BH621" i="1"/>
  <c r="BG621" i="1"/>
  <c r="V626" i="1"/>
  <c r="AA626" i="1" s="1"/>
  <c r="BH633" i="1"/>
  <c r="BG633" i="1"/>
  <c r="AG635" i="1"/>
  <c r="AI635" i="1" s="1"/>
  <c r="AA638" i="1"/>
  <c r="AA639" i="1"/>
  <c r="AA641" i="1"/>
  <c r="BG643" i="1"/>
  <c r="BG646" i="1"/>
  <c r="BH646" i="1"/>
  <c r="BG647" i="1"/>
  <c r="V654" i="1"/>
  <c r="BH658" i="1"/>
  <c r="BG658" i="1"/>
  <c r="AG11" i="2"/>
  <c r="AR11" i="2"/>
  <c r="AA590" i="1"/>
  <c r="BG590" i="1"/>
  <c r="BH590" i="1"/>
  <c r="BH609" i="1"/>
  <c r="BG609" i="1"/>
  <c r="AG611" i="1"/>
  <c r="AI611" i="1" s="1"/>
  <c r="AA615" i="1"/>
  <c r="AA618" i="1"/>
  <c r="BG622" i="1"/>
  <c r="BH622" i="1"/>
  <c r="BH634" i="1"/>
  <c r="BG634" i="1"/>
  <c r="AA643" i="1"/>
  <c r="U645" i="1"/>
  <c r="AA645" i="1" s="1"/>
  <c r="BH661" i="1"/>
  <c r="BG661" i="1"/>
  <c r="BG568" i="1"/>
  <c r="BH573" i="1"/>
  <c r="N11" i="2"/>
  <c r="O11" i="2" s="1"/>
  <c r="AH11" i="2"/>
  <c r="AS11" i="2"/>
  <c r="AU11" i="2" s="1"/>
  <c r="AG595" i="1"/>
  <c r="AI595" i="1" s="1"/>
  <c r="AG598" i="1"/>
  <c r="AI598" i="1" s="1"/>
  <c r="AG603" i="1"/>
  <c r="AI603" i="1" s="1"/>
  <c r="AG606" i="1"/>
  <c r="AI606" i="1" s="1"/>
  <c r="BH610" i="1"/>
  <c r="BG610" i="1"/>
  <c r="U617" i="1"/>
  <c r="AA617" i="1" s="1"/>
  <c r="AA619" i="1"/>
  <c r="BH637" i="1"/>
  <c r="BG637" i="1"/>
  <c r="BH649" i="1"/>
  <c r="BG649" i="1"/>
  <c r="AG651" i="1"/>
  <c r="AI651" i="1" s="1"/>
  <c r="AA654" i="1"/>
  <c r="AA655" i="1"/>
  <c r="AA657" i="1"/>
  <c r="AA658" i="1"/>
  <c r="BG659" i="1"/>
  <c r="BG662" i="1"/>
  <c r="BH662" i="1"/>
  <c r="AU6" i="2"/>
  <c r="AU8" i="2"/>
  <c r="T11" i="2"/>
  <c r="AG582" i="1"/>
  <c r="AG586" i="1"/>
  <c r="AI586" i="1" s="1"/>
  <c r="BH597" i="1"/>
  <c r="BG597" i="1"/>
  <c r="BH605" i="1"/>
  <c r="BG605" i="1"/>
  <c r="BH613" i="1"/>
  <c r="BG613" i="1"/>
  <c r="BH625" i="1"/>
  <c r="BG625" i="1"/>
  <c r="AG627" i="1"/>
  <c r="AI627" i="1" s="1"/>
  <c r="AA631" i="1"/>
  <c r="AA633" i="1"/>
  <c r="AA634" i="1"/>
  <c r="BG638" i="1"/>
  <c r="BH638" i="1"/>
  <c r="BH650" i="1"/>
  <c r="BG650" i="1"/>
  <c r="U657" i="1"/>
  <c r="AA659" i="1"/>
  <c r="O6" i="2"/>
  <c r="O10" i="2"/>
  <c r="AG615" i="1"/>
  <c r="AI615" i="1" s="1"/>
  <c r="AG623" i="1"/>
  <c r="AI623" i="1" s="1"/>
  <c r="AG631" i="1"/>
  <c r="AI631" i="1" s="1"/>
  <c r="AG639" i="1"/>
  <c r="AI639" i="1" s="1"/>
  <c r="AG647" i="1"/>
  <c r="AI647" i="1" s="1"/>
  <c r="AG655" i="1"/>
  <c r="AI655" i="1" s="1"/>
  <c r="AM8" i="2"/>
  <c r="AM11" i="2"/>
  <c r="AI7" i="2" l="1"/>
  <c r="AK7" i="2" s="1"/>
  <c r="AI217" i="1"/>
  <c r="X10" i="2"/>
  <c r="AI10" i="2"/>
  <c r="AK10" i="2" s="1"/>
  <c r="AI491" i="1"/>
  <c r="AA347" i="1"/>
  <c r="X9" i="2"/>
  <c r="AI6" i="2"/>
  <c r="AK6" i="2" s="1"/>
  <c r="AI126" i="1"/>
  <c r="X6" i="2"/>
  <c r="AI4" i="2"/>
  <c r="AK4" i="2" s="1"/>
  <c r="AI27" i="1"/>
  <c r="W5" i="2"/>
  <c r="AC11" i="2"/>
  <c r="AI11" i="2"/>
  <c r="AK11" i="2" s="1"/>
  <c r="AI582" i="1"/>
  <c r="W10" i="2"/>
  <c r="AI8" i="2"/>
  <c r="AK8" i="2" s="1"/>
  <c r="AI309" i="1"/>
  <c r="AC5" i="2"/>
  <c r="W11" i="2"/>
  <c r="AI9" i="2"/>
  <c r="AK9" i="2" s="1"/>
  <c r="AI401" i="1"/>
  <c r="W8" i="2"/>
  <c r="AA309" i="1"/>
  <c r="AC8" i="2" s="1"/>
  <c r="W6" i="2"/>
  <c r="AC10" i="2"/>
  <c r="W9" i="2"/>
  <c r="AA401" i="1"/>
  <c r="AC9" i="2" s="1"/>
  <c r="AA126" i="1"/>
  <c r="AC6" i="2" s="1"/>
  <c r="AA27" i="1"/>
  <c r="AC4" i="2" s="1"/>
  <c r="W7" i="2"/>
  <c r="AA217" i="1"/>
  <c r="AC7" i="2" s="1"/>
  <c r="AI5" i="2"/>
  <c r="AK5" i="2" s="1"/>
  <c r="AI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Sources</author>
  </authors>
  <commentList>
    <comment ref="B3" authorId="0" shapeId="0" xr:uid="{00000000-0006-0000-0000-000001000000}">
      <text>
        <r>
          <rPr>
            <sz val="11"/>
            <color theme="1"/>
            <rFont val="Calibri"/>
            <family val="2"/>
            <scheme val="minor"/>
          </rPr>
          <t>SOURCE: ASXN cloudfront/total_volume summed across every coin (SINGLE-SIDED notional), MINUS the dex-prefixed (HIP-3) coins inside that same feed, so both sides of the subtraction sit on one basis. Cumulative $4.815T, of which $543.0B is HIP-3. Cross-checked against ASXN's own cloudfront/hip3_percentage endpoint, which publishes the total it pairs with HIP-3: the per-coin sum reproduces it exactly (ratio 1.0000). Note ASXN only began tagging dex: coins inside total_volume on 2025-11-27, so the subtraction is zero before then, which is correct - HIP-3 was not in the total feed yet either.</t>
        </r>
      </text>
    </comment>
    <comment ref="C3" authorId="0" shapeId="0" xr:uid="{00000000-0006-0000-0000-000002000000}">
      <text>
        <r>
          <rPr>
            <sz val="11"/>
            <color theme="1"/>
            <rFont val="Calibri"/>
            <family val="2"/>
            <scheme val="minor"/>
          </rPr>
          <t>SOURCE: ASXN meta/hip3/daily-volume-chart?timeframe=all -&gt; total_volume, covering all 10 deployer DEXs. DATE-REALIGNED: ASXN dates this feed one day early through 2025-11-26 (its 2025-10-12 value is really 2025-10-13's), so those 45 days are shifted +1 to their true dates and the orphaned 2025-11-26 tail is dropped. Verified against HL per-symbol candles (api.hyperliquid.xyz, explicit UTC-midnight timestamps): Oct-2025 matches 100% shifted vs 0% unshifted. The HIP-3 FEES feed is not shifted, so this alignment is also what keeps volume and fees on the same day in the take-rate.</t>
        </r>
      </text>
    </comment>
    <comment ref="D3" authorId="0" shapeId="0" xr:uid="{00000000-0006-0000-0000-000003000000}">
      <text>
        <r>
          <rPr>
            <sz val="11"/>
            <color theme="1"/>
            <rFont val="Calibri"/>
            <family val="2"/>
            <scheme val="minor"/>
          </rPr>
          <t>SOURCE: ASXN spot-ecosystem/hl-spot-ecosystem -&gt; marketData, SHIFTED BACK ONE DAY (v9 fix: that feed is dated one day late - see the Spot Volume note on the Sources sheet), summing 'Daily Volume' across ALL listed tokens each day (307 listings = the named coins plus the Others bucket). Matches ASXN's own Spot Volume chart on every monthly bar and ties token-by-token to its tooltip. That feed starts 2025-07-16 and skips days inside its own range, so every remaining day is filled from DefiLlama /summary/dexs/hyperliquid-spot-orderbook dailyVolume - AMBER shading with green text marks those. 293 of 632 days are DefiLlama: all of 2024-11-30..2025-07-15 plus ASXN's internal gaps, worst in Oct-2025 (ASXN had 1 day of 31) and Nov-2025 (8 of 30). Months containing filled days therefore do not tie to the ASXN chart; fully-covered months do.</t>
        </r>
      </text>
    </comment>
    <comment ref="E3" authorId="0" shapeId="0" xr:uid="{00000000-0006-0000-0000-000004000000}">
      <text>
        <r>
          <rPr>
            <sz val="11"/>
            <color theme="1"/>
            <rFont val="Calibri"/>
            <family val="2"/>
            <scheme val="minor"/>
          </rPr>
          <t>SOURCE: ASXN outcome-coins/analytics/daily -&gt; total_volume_usdc. v9 change: this endpoint now serves HISTORY (it returned the current day only when v6-v8 were built), so HIP-4 moves onto the same primary source as every other column. It is capped at 30 rows per call and is paged in 30-day windows back to the series start 2026-05-03. FLAGGED, NOT RECONCILED: on the 114-day overlap with the Loris series it replaces, ASXN volume is $671.9M vs Loris $293.6M (+128.9%) while ASXN fees are $9,359 vs Loris $11,479 (-18.5%). Neither publishes a notional methodology for outcome tokens, so the definitional difference could not be settled against primary data. Revenue impact is nil (cumulative HIP-4 fees ~$40K against $1.12bn of protocol revenue).</t>
        </r>
      </text>
    </comment>
    <comment ref="F3" authorId="0" shapeId="0" xr:uid="{00000000-0006-0000-0000-000005000000}">
      <text>
        <r>
          <rPr>
            <sz val="11"/>
            <color theme="1"/>
            <rFont val="Calibri"/>
            <family val="2"/>
            <scheme val="minor"/>
          </rPr>
          <t>SOURCE: ASXN categories/hip3-categories/historical -&gt; commodities, taken as given (no pro-rating). ASXN's feed starts 2025-11-27; the 45 days from 2025-10-13 to 2025-11-26 are BACKFILLED (amber) from ASXN's OWN per-symbol category map applied to HL per-symbol volumes. Loris cannot fill this gap - it has no category dimension at all, only a by-DEX split. Backfill validated on the 271-day overlap: every category within 0.15pp of ASXN's published mix.</t>
        </r>
      </text>
    </comment>
    <comment ref="G3" authorId="0" shapeId="0" xr:uid="{00000000-0006-0000-0000-000006000000}">
      <text>
        <r>
          <rPr>
            <sz val="11"/>
            <color theme="1"/>
            <rFont val="Calibri"/>
            <family val="2"/>
            <scheme val="minor"/>
          </rPr>
          <t>SOURCE: ASXN categories/hip3-categories/historical -&gt; crypto.</t>
        </r>
      </text>
    </comment>
    <comment ref="H3" authorId="0" shapeId="0" xr:uid="{00000000-0006-0000-0000-000007000000}">
      <text>
        <r>
          <rPr>
            <sz val="11"/>
            <color theme="1"/>
            <rFont val="Calibri"/>
            <family val="2"/>
            <scheme val="minor"/>
          </rPr>
          <t>SOURCE: ASXN categories/hip3-categories/historical -&gt; fx.</t>
        </r>
      </text>
    </comment>
    <comment ref="I3" authorId="0" shapeId="0" xr:uid="{00000000-0006-0000-0000-000008000000}">
      <text>
        <r>
          <rPr>
            <sz val="11"/>
            <color theme="1"/>
            <rFont val="Calibri"/>
            <family val="2"/>
            <scheme val="minor"/>
          </rPr>
          <t>SOURCE: ASXN categories/hip3-categories/historical -&gt; indices. Includes index and thematic-ETF perps.</t>
        </r>
      </text>
    </comment>
    <comment ref="J3" authorId="0" shapeId="0" xr:uid="{00000000-0006-0000-0000-000009000000}">
      <text>
        <r>
          <rPr>
            <sz val="11"/>
            <color theme="1"/>
            <rFont val="Calibri"/>
            <family val="2"/>
            <scheme val="minor"/>
          </rPr>
          <t>SOURCE: ASXN categories/hip3-categories/historical -&gt; preipo.</t>
        </r>
      </text>
    </comment>
    <comment ref="K3" authorId="0" shapeId="0" xr:uid="{00000000-0006-0000-0000-00000A000000}">
      <text>
        <r>
          <rPr>
            <sz val="11"/>
            <color theme="1"/>
            <rFont val="Calibri"/>
            <family val="2"/>
            <scheme val="minor"/>
          </rPr>
          <t>SOURCE: ASXN categories/hip3-categories/historical -&gt; stocks, PLUS the ASXN-unclassified symbols judged to be single-name listed equities (index/ETF products go to Indices, private companies to Pre-IPO instead). ASXN's own feed silently drops uncategorised listings - $9.79B (1.86%) over the feed window - which is what made the category sum run ~2.1% below the HIP-3 volume feed; folding them into Equities cuts that residual to about -0.3%. The amounts are overwhelmingly single-name listed equities: SKHY (SK Hynix) $7.54B, CXMT $1.10B, UNITREE $348M, MRNA $274M, GIGADEV, SNDK, CAR and a para: tail, all listed Jun-Aug 2026. CAVEAT FLAGGED: ~$364M of it (3.7%) is leveraged/thematic ETFs (SOXL, KORU, MAGS) that arguably belong in Indices rather than single-name Equities.</t>
        </r>
      </text>
    </comment>
    <comment ref="L3" authorId="0" shapeId="0" xr:uid="{00000000-0006-0000-0000-00000B000000}">
      <text>
        <r>
          <rPr>
            <sz val="11"/>
            <color theme="1"/>
            <rFont val="Calibri"/>
            <family val="2"/>
            <scheme val="minor"/>
          </rPr>
          <t>SOURCE: = sum of the six ASXN categories. NOT forced to equal HIP-3 Perp Vol: ASXN serves categories and HIP-3 volume from separate endpoints with different start dates and they do not reconcile (category sum runs ~2.1% below the volume feed over the 270-day overlap). The gap is exposed in the next column instead of being pro-rated away.</t>
        </r>
      </text>
    </comment>
    <comment ref="M3" authorId="0" shapeId="0" xr:uid="{00000000-0006-0000-0000-00000C000000}">
      <text>
        <r>
          <rPr>
            <sz val="11"/>
            <color theme="1"/>
            <rFont val="Calibri"/>
            <family val="2"/>
            <scheme val="minor"/>
          </rPr>
          <t>SOURCE: = HIP-3 Perp Vol / (raw category sum). The six categories are scaled by this factor each day so they sum EXACTLY to HIP-3 Perp Vol. Shown rather than hidden so the size of the adjustment stays auditable: it sits near 1.00, and the further it strays the more the two ASXN feeds disagreed that day. Two gaps are closed before pro-rating - ASXN-unclassified symbols are routed to a category by judgement, and pre-2025-11-27 days are backfilled from ASXN's own per-symbol map - so the pro-rate is only cleaning up the residual difference between HL per-symbol candle volume and ASXN's HIP-3 volume feed, not papering over a missing category. BEHAVIOUR: across the 270 days where ASXN's own category feed exists the factor is tight - median 1.0024, min 0.918, max 1.365, only 1 day outside 0.80-1.25. It swings hard (0.17 to 8.19) almost only in the 45-day pre-2025-11-27 BACKFILL window, where per-symbol candle coverage is thin and daily volume was $6-450M; 24 of the 25 extreme days sit there. So the early daily category MIX is materially less reliable than the rest, though that window is just $4.3B of $542.8B (0.8%) of HIP-3 volume and barely moves any cumulative figure.</t>
        </r>
      </text>
    </comment>
    <comment ref="N3" authorId="0" shapeId="0" xr:uid="{00000000-0006-0000-0000-00000D000000}">
      <text>
        <r>
          <rPr>
            <sz val="11"/>
            <color theme="1"/>
            <rFont val="Calibri"/>
            <family val="2"/>
            <scheme val="minor"/>
          </rPr>
          <t>SOURCE: = Core Crypto Perp Revenue / (1 - HLP). Residual segment (HyperCore - spot - HIP-3 - HIP-4).</t>
        </r>
      </text>
    </comment>
    <comment ref="O3" authorId="0" shapeId="0" xr:uid="{00000000-0006-0000-0000-00000E000000}">
      <text>
        <r>
          <rPr>
            <sz val="11"/>
            <color theme="1"/>
            <rFont val="Calibri"/>
            <family val="2"/>
            <scheme val="minor"/>
          </rPr>
          <t>SOURCE: DERIVED = HIP-3 Revenue x (1 + HLP Rate) + HIP-3 Deployer Fees. ASXN publishes no gross HIP-3 fee line - only the protocol-bound net (fees_hip3) and the deployer cut - so gross is reconstructed in the one form that makes the bridge below land exactly back on ASXN's own fees_hip3.</t>
        </r>
      </text>
    </comment>
    <comment ref="P3" authorId="0" shapeId="0" xr:uid="{00000000-0006-0000-0000-00000F000000}">
      <text>
        <r>
          <rPr>
            <sz val="11"/>
            <color theme="1"/>
            <rFont val="Calibri"/>
            <family val="2"/>
            <scheme val="minor"/>
          </rPr>
          <t>SOURCE: ASXN-DERIVED gross spot fees = income-statement fees_spot/(1-HLP) + fees_spot_unit. ASXN publishes spot REVENUE (fees_spot, protocol-bound) and the Unit cut, but no gross line, so gross is reconstructed this way specifically so the bridge below reproduces ASXN's fees_spot exactly. AMBER = DefiLlama dailyFees fill for 2024-12-23..2025-08-16, before ASXN's fee reconstruction starts (fees_start_date 2025-08-17). NOTE ASXN runs 15-27% ABOVE DefiLlama on spot revenue in recent months, and the gap is widening, so the join at 2025-08-17 is a genuine step - not smoothed.</t>
        </r>
      </text>
    </comment>
    <comment ref="Q3" authorId="0" shapeId="0" xr:uid="{00000000-0006-0000-0000-000010000000}">
      <text>
        <r>
          <rPr>
            <sz val="11"/>
            <color theme="1"/>
            <rFont val="Calibri"/>
            <family val="2"/>
            <scheme val="minor"/>
          </rPr>
          <t>SOURCE: ASXN outcome-coins/analytics/daily -&gt; total_fee_usdc. Charged only on CLOSE / SETTLE (7bps taker, 4bps maker); opening a position is free, which is why the realised take-rate sits far below the nominal schedule. Near-zero at launch, first material day 2026-06-26, then a STEP CHANGE from 2026-08-29 when permissionless third-party deployment went live: $270-350/day before, $850-2,900/day after. Cumulative $40.3K on $771.5M of volume - a 0.52bp blended take-rate, still immaterial against $1.12bn of protocol revenue.</t>
        </r>
      </text>
    </comment>
    <comment ref="R3" authorId="0" shapeId="0" xr:uid="{00000000-0006-0000-0000-000011000000}">
      <text>
        <r>
          <rPr>
            <sz val="11"/>
            <color theme="1"/>
            <rFont val="Calibri"/>
            <family val="2"/>
            <scheme val="minor"/>
          </rPr>
          <t>SOURCE: = Core + HIP-3 + Spot + HIP-4 gross fees.</t>
        </r>
      </text>
    </comment>
    <comment ref="S3" authorId="0" shapeId="0" xr:uid="{00000000-0006-0000-0000-000012000000}">
      <text>
        <r>
          <rPr>
            <sz val="11"/>
            <color theme="1"/>
            <rFont val="Calibri"/>
            <family val="2"/>
            <scheme val="minor"/>
          </rPr>
          <t>SOURCE: 1% from 2025-08-30, else 3%. DefiLlama methodology.</t>
        </r>
      </text>
    </comment>
    <comment ref="T3" authorId="0" shapeId="0" xr:uid="{00000000-0006-0000-0000-000013000000}">
      <text>
        <r>
          <rPr>
            <sz val="11"/>
            <color theme="1"/>
            <rFont val="Calibri"/>
            <family val="2"/>
            <scheme val="minor"/>
          </rPr>
          <t>SOURCE: = Core Fees x HLP. To HLP vault.</t>
        </r>
      </text>
    </comment>
    <comment ref="U3" authorId="0" shapeId="0" xr:uid="{00000000-0006-0000-0000-000014000000}">
      <text>
        <r>
          <rPr>
            <sz val="11"/>
            <color theme="1"/>
            <rFont val="Calibri"/>
            <family val="2"/>
            <scheme val="minor"/>
          </rPr>
          <t>SOURCE: = (HIP-3 Gross - HIP-3 Deployer) x HLP Rate. Applied to the PROTOCOL share only, not the deployer share - same shape as HLP-on-Spot, which nets off Unit first. IMPORTANT: ASXN publishes NO HLP line anywhere in its income statement, so this cannot be validated against them; their fees_hip3 is already net of it. The gross-up above is calibrated so this deduction cancels exactly and HIP-3 Revenue lands on ASXN fees_hip3.</t>
        </r>
      </text>
    </comment>
    <comment ref="V3" authorId="0" shapeId="0" xr:uid="{00000000-0006-0000-0000-000015000000}">
      <text>
        <r>
          <rPr>
            <sz val="11"/>
            <color theme="1"/>
            <rFont val="Calibri"/>
            <family val="2"/>
            <scheme val="minor"/>
          </rPr>
          <t>SOURCE: = (Spot Fees - Unit) x HLP. To HLP vault.</t>
        </r>
      </text>
    </comment>
    <comment ref="W3" authorId="0" shapeId="0" xr:uid="{00000000-0006-0000-0000-000016000000}">
      <text>
        <r>
          <rPr>
            <sz val="11"/>
            <color theme="1"/>
            <rFont val="Calibri"/>
            <family val="2"/>
            <scheme val="minor"/>
          </rPr>
          <t>SOURCE: = HIP-4 Fees x HLP. ASSUMPTION: HIP-4 is assumed to carry the same HLP share as the other segments; Hyperliquid has not published an HIP-4-specific HLP split. Immaterial (&lt;$100 cumulative).</t>
        </r>
      </text>
    </comment>
    <comment ref="X3" authorId="0" shapeId="0" xr:uid="{00000000-0006-0000-0000-000017000000}">
      <text>
        <r>
          <rPr>
            <sz val="11"/>
            <color theme="1"/>
            <rFont val="Calibri"/>
            <family val="2"/>
            <scheme val="minor"/>
          </rPr>
          <t>SOURCE: ASXN income-statement fees_spot_unit (Hyperunit deployer cut). AMBER = DefiLlama /summary/fees/unit fill before 2025-08-17.</t>
        </r>
      </text>
    </comment>
    <comment ref="Y3" authorId="0" shapeId="0" xr:uid="{00000000-0006-0000-0000-000018000000}">
      <text>
        <r>
          <rPr>
            <sz val="11"/>
            <color theme="1"/>
            <rFont val="Calibri"/>
            <family val="2"/>
            <scheme val="minor"/>
          </rPr>
          <t>SOURCE: ASXN income-statement fees_hip3_deployer: the share of HIP-3 fees accruing to the third-party DEX deployer, never to the Assistance Fund, so it can never fund a buyback. ASXN derives it per-day from each dex's deployerShare (deployerFeeScale), a primitive you can verify directly at source via a POST to api.hyperliquid.xyz/info with type=meta and dex=xyz. Runs at 47.5-50.0% of gross, consistent with HIP-3's published 50% deployer cap. This field exists only in the JSON - ASXN does not surface it in its UI.</t>
        </r>
      </text>
    </comment>
    <comment ref="Z3" authorId="0" shapeId="0" xr:uid="{00000000-0006-0000-0000-000019000000}">
      <text>
        <r>
          <rPr>
            <sz val="11"/>
            <color theme="1"/>
            <rFont val="Calibri"/>
            <family val="2"/>
            <scheme val="minor"/>
          </rPr>
          <t>SOURCE: ZERO for the whole period. Every live mainnet HIP-4 market is Hyperliquid-canonical; permissionless HIP-4 deployment reached TESTNET 2026-08-01 and is not live on mainnet as of 2026-08-19. When it lands, deployers stake 500k HYPE and take up to 50% of their market's fees (the same 50% cap as HIP-3).</t>
        </r>
      </text>
    </comment>
    <comment ref="AA3" authorId="0" shapeId="0" xr:uid="{00000000-0006-0000-0000-00001A000000}">
      <text>
        <r>
          <rPr>
            <sz val="11"/>
            <color theme="1"/>
            <rFont val="Calibri"/>
            <family val="2"/>
            <scheme val="minor"/>
          </rPr>
          <t>SOURCE: = sum of the seven (-) lines above. Gross Fees - Deductions = HyperCore Revenue.</t>
        </r>
      </text>
    </comment>
    <comment ref="AB3" authorId="0" shapeId="0" xr:uid="{00000000-0006-0000-0000-00001B000000}">
      <text>
        <r>
          <rPr>
            <sz val="11"/>
            <color theme="1"/>
            <rFont val="Calibri"/>
            <family val="2"/>
            <scheme val="minor"/>
          </rPr>
          <t>SOURCE: hyperscreener node/builders. ON-TOP pass-through paid by users to front-ends; NOT part of the bridge. NOTE: ASXN revises this series — the 2026-05-21..06-04 overlap came back ~10-25% lower on the 2026-08-19 pull than on the 2026-06-04 pull; the newer values are used.</t>
        </r>
      </text>
    </comment>
    <comment ref="AC3" authorId="0" shapeId="0" xr:uid="{00000000-0006-0000-0000-00001C000000}">
      <text>
        <r>
          <rPr>
            <sz val="11"/>
            <color theme="1"/>
            <rFont val="Calibri"/>
            <family val="2"/>
            <scheme val="minor"/>
          </rPr>
          <t>SOURCE: = Core Fees - HLP on Core. Residual = HyperCore - Spot - HIP-3 - HIP-4.</t>
        </r>
      </text>
    </comment>
    <comment ref="AD3" authorId="0" shapeId="0" xr:uid="{00000000-0006-0000-0000-00001D000000}">
      <text>
        <r>
          <rPr>
            <sz val="11"/>
            <color theme="1"/>
            <rFont val="Calibri"/>
            <family val="2"/>
            <scheme val="minor"/>
          </rPr>
          <t>SOURCE: = HIP-3 Gross - HIP-3 Deployer - HLP. Reproduces ASXN's own income-statement fees_hip3 EXACTLY ($0.00 cumulative difference over 315 days), by the same construction used for Spot. Deployer fees are excluded because they accrue to the third-party DEX operator and never reach the Assistance Fund.</t>
        </r>
      </text>
    </comment>
    <comment ref="AE3" authorId="0" shapeId="0" xr:uid="{00000000-0006-0000-0000-00001E000000}">
      <text>
        <r>
          <rPr>
            <sz val="11"/>
            <color theme="1"/>
            <rFont val="Calibri"/>
            <family val="2"/>
            <scheme val="minor"/>
          </rPr>
          <t>SOURCE: = Spot Fees - HLP on Spot - Unit.</t>
        </r>
      </text>
    </comment>
    <comment ref="AF3" authorId="0" shapeId="0" xr:uid="{00000000-0006-0000-0000-00001F000000}">
      <text>
        <r>
          <rPr>
            <sz val="11"/>
            <color theme="1"/>
            <rFont val="Calibri"/>
            <family val="2"/>
            <scheme val="minor"/>
          </rPr>
          <t>SOURCE: = HIP-4 Fees - HLP on HIP-4 - HIP-4 Deployer.</t>
        </r>
      </text>
    </comment>
    <comment ref="AG3" authorId="0" shapeId="0" xr:uid="{00000000-0006-0000-0000-000020000000}">
      <text>
        <r>
          <rPr>
            <sz val="11"/>
            <color theme="1"/>
            <rFont val="Calibri"/>
            <family val="2"/>
            <scheme val="minor"/>
          </rPr>
          <t>SOURCE: = Core + HIP-3 + Spot + HIP-4 revenue.</t>
        </r>
      </text>
    </comment>
    <comment ref="AH3" authorId="0" shapeId="0" xr:uid="{00000000-0006-0000-0000-000021000000}">
      <text>
        <r>
          <rPr>
            <sz val="11"/>
            <color theme="1"/>
            <rFont val="Calibri"/>
            <family val="2"/>
            <scheme val="minor"/>
          </rPr>
          <t>SOURCE: NORTH STAR. hyperscreener buyback/revenues "HyperCore Buybacks" (actual AF buyback USD) from 2025-03-20 onward; before that the AMBER cells use DefiLlama perp+spot holders-revenue (from 2024-12-23) - corroborated to the AF on-chain HYPE accumulation within 1.3%.</t>
        </r>
      </text>
    </comment>
    <comment ref="AI3" authorId="0" shapeId="0" xr:uid="{00000000-0006-0000-0000-000022000000}">
      <text>
        <r>
          <rPr>
            <sz val="11"/>
            <color theme="1"/>
            <rFont val="Calibri"/>
            <family val="2"/>
            <scheme val="minor"/>
          </rPr>
          <t>SOURCE: = the accrual segment sum MINUS the buyback (cash) north star. This is NOT a zero-check. Both figures are ASXN's own and they measure different things: the segment lines are fees ACCRUED, while HyperCore Revenue is USD actually spent buying HYPE for the Assistance Fund. The gap is persistent and widening - about +$9.8M in Jun-2026 and +$96.7M (11.9%) cumulatively since 2025-08-17, growing from ~6% in Nov-2025 to ~12% now. Because it grows monotonically it is structural, not a timing lag. Its cause is NOT established: ASXN's unpriced_spot_fee_token_amount is zero throughout, so it is not unconverted token fees. Note ASXN's own JSON revenue and holders_revenue fields both equal the CASH basis, not the accrual sum, even though its income-statement UI displays the accrual one.</t>
        </r>
      </text>
    </comment>
    <comment ref="AJ3" authorId="0" shapeId="0" xr:uid="{00000000-0006-0000-0000-000023000000}">
      <text>
        <r>
          <rPr>
            <sz val="11"/>
            <color theme="1"/>
            <rFont val="Calibri"/>
            <family val="2"/>
            <scheme val="minor"/>
          </rPr>
          <t>SOURCE: = Core Fees / Core Vol x 10000.</t>
        </r>
      </text>
    </comment>
    <comment ref="AK3" authorId="0" shapeId="0" xr:uid="{00000000-0006-0000-0000-000024000000}">
      <text>
        <r>
          <rPr>
            <sz val="11"/>
            <color theme="1"/>
            <rFont val="Calibri"/>
            <family val="2"/>
            <scheme val="minor"/>
          </rPr>
          <t>SOURCE: = HIP-3 Gross Fees / HIP-3 Vol x 10000.</t>
        </r>
      </text>
    </comment>
    <comment ref="AL3" authorId="0" shapeId="0" xr:uid="{00000000-0006-0000-0000-000025000000}">
      <text>
        <r>
          <rPr>
            <sz val="11"/>
            <color theme="1"/>
            <rFont val="Calibri"/>
            <family val="2"/>
            <scheme val="minor"/>
          </rPr>
          <t>SOURCE: = Spot Fees / Spot Vol x 10000.</t>
        </r>
      </text>
    </comment>
    <comment ref="AM3" authorId="0" shapeId="0" xr:uid="{00000000-0006-0000-0000-000026000000}">
      <text>
        <r>
          <rPr>
            <sz val="11"/>
            <color theme="1"/>
            <rFont val="Calibri"/>
            <family val="2"/>
            <scheme val="minor"/>
          </rPr>
          <t>SOURCE: = HIP-4 Fees / HIP-4 Vol x 10000. 0.33bps blended over the full life ($9,690 on $293.0M) — far below the 7bps taker / 4bps maker spot schedule HIP-4 nominally follows, because fees apply only on close/settle and canonical markets ran effectively fee-free until 2026-06-26.</t>
        </r>
      </text>
    </comment>
    <comment ref="AN3" authorId="0" shapeId="0" xr:uid="{00000000-0006-0000-0000-000027000000}">
      <text>
        <r>
          <rPr>
            <sz val="11"/>
            <color theme="1"/>
            <rFont val="Calibri"/>
            <family val="2"/>
            <scheme val="minor"/>
          </rPr>
          <t>SOURCE: hyperscreener buyback/revenues "HyperEVM Burn".</t>
        </r>
      </text>
    </comment>
    <comment ref="AO3" authorId="0" shapeId="0" xr:uid="{00000000-0006-0000-0000-000028000000}">
      <text>
        <r>
          <rPr>
            <sz val="11"/>
            <color theme="1"/>
            <rFont val="Calibri"/>
            <family val="2"/>
            <scheme val="minor"/>
          </rPr>
          <t>SOURCE: hyperscreener buyback/revenues "Auction Burn".</t>
        </r>
      </text>
    </comment>
    <comment ref="AP3" authorId="0" shapeId="0" xr:uid="{00000000-0006-0000-0000-000029000000}">
      <text>
        <r>
          <rPr>
            <sz val="11"/>
            <color theme="1"/>
            <rFont val="Calibri"/>
            <family val="2"/>
            <scheme val="minor"/>
          </rPr>
          <t>SOURCE: = HyperCore Revenue + HyperEVM Burn + Auction Burn.</t>
        </r>
      </text>
    </comment>
    <comment ref="AQ3" authorId="0" shapeId="0" xr:uid="{00000000-0006-0000-0000-00002A000000}">
      <text>
        <r>
          <rPr>
            <sz val="11"/>
            <color theme="1"/>
            <rFont val="Calibri"/>
            <family val="2"/>
            <scheme val="minor"/>
          </rPr>
          <t>SOURCE: = HyperCore Revenue (100% funds AF buybacks).</t>
        </r>
      </text>
    </comment>
    <comment ref="AR3" authorId="0" shapeId="0" xr:uid="{00000000-0006-0000-0000-00002B000000}">
      <text>
        <r>
          <rPr>
            <sz val="11"/>
            <color theme="1"/>
            <rFont val="Calibri"/>
            <family val="2"/>
            <scheme val="minor"/>
          </rPr>
          <t>SOURCE: hyperscreener buyback/hl-buybacks sz.</t>
        </r>
      </text>
    </comment>
    <comment ref="AS3" authorId="0" shapeId="0" xr:uid="{00000000-0006-0000-0000-00002C000000}">
      <text>
        <r>
          <rPr>
            <sz val="11"/>
            <color theme="1"/>
            <rFont val="Calibri"/>
            <family val="2"/>
            <scheme val="minor"/>
          </rPr>
          <t>SOURCE: hyperscreener buyback/hl-buybacks average_price (quarterly = volume-weighted).</t>
        </r>
      </text>
    </comment>
    <comment ref="AT3" authorId="0" shapeId="0" xr:uid="{00000000-0006-0000-0000-00002D000000}">
      <text>
        <r>
          <rPr>
            <sz val="11"/>
            <color theme="1"/>
            <rFont val="Calibri"/>
            <family val="2"/>
            <scheme val="minor"/>
          </rPr>
          <t>SOURCE: hyperscreener buyback/assistance-fund-holdings balance.</t>
        </r>
      </text>
    </comment>
    <comment ref="AU3" authorId="0" shapeId="0" xr:uid="{00000000-0006-0000-0000-00002E000000}">
      <text>
        <r>
          <rPr>
            <sz val="11"/>
            <color theme="1"/>
            <rFont val="Calibri"/>
            <family val="2"/>
            <scheme val="minor"/>
          </rPr>
          <t>SOURCE: hyperscreener validators/daily-emissions dailyEmission.</t>
        </r>
      </text>
    </comment>
    <comment ref="AV3" authorId="0" shapeId="0" xr:uid="{00000000-0006-0000-0000-00002F000000}">
      <text>
        <r>
          <rPr>
            <sz val="11"/>
            <color theme="1"/>
            <rFont val="Calibri"/>
            <family val="2"/>
            <scheme val="minor"/>
          </rPr>
          <t>SOURCE: hyperscreener buyback/daily-burn dailyBurn.</t>
        </r>
      </text>
    </comment>
    <comment ref="AW3" authorId="0" shapeId="0" xr:uid="{00000000-0006-0000-0000-000030000000}">
      <text>
        <r>
          <rPr>
            <sz val="11"/>
            <color theme="1"/>
            <rFont val="Calibri"/>
            <family val="2"/>
            <scheme val="minor"/>
          </rPr>
          <t>SOURCE: Core-contributor claims read DIRECTLY ON-CHAIN from the vesting address 0x43e9abea1910387c4292bca4b94de81462f8a251, via the Hyperliquid L1 API (api.hyperliquid.xyz/info, type=userNonFundingLedgerUpdates), summing outgoing HYPE spotTransfers per day. This is a primary source, not a tracker. Verified against tokenomist and Hypurrscan on 2026-08-06: 433,024 vs 433,029, a 5 HYPE display-rounding difference. May-Aug 2026 totals 1,840,655 HYPE across 5 payout dates - note the June distribution split over the 6th and 7th. Amounts are TOTAL outgoing and include a small community portion (about 2,000 HYPE of the August payout). Pre-May-2026 figures remain from the public unlock trackers. SERIES ENDS 2026-04-06 — the tracker was not re-pulled in the 2026-08-19 refresh, and the unlocks are NOT derivable from ASXN data. Cells after 2026-04-06 are deliberately BLANK, not zero.</t>
        </r>
      </text>
    </comment>
    <comment ref="AX3" authorId="0" shapeId="0" xr:uid="{00000000-0006-0000-0000-000031000000}">
      <text>
        <r>
          <rPr>
            <sz val="11"/>
            <color theme="1"/>
            <rFont val="Calibri"/>
            <family val="2"/>
            <scheme val="minor"/>
          </rPr>
          <t>SOURCE: hyperscreener validators/hype-staking/metrics totalStake.</t>
        </r>
      </text>
    </comment>
    <comment ref="AY3" authorId="0" shapeId="0" xr:uid="{00000000-0006-0000-0000-000032000000}">
      <text>
        <r>
          <rPr>
            <sz val="11"/>
            <color theme="1"/>
            <rFont val="Calibri"/>
            <family val="2"/>
            <scheme val="minor"/>
          </rPr>
          <t>SOURCE: COMPUTED = Staking Emissions x 365 / (HYPE Staked x 1e6). Annualized network yield from this sheet's own emission &amp; stake columns (NOT ASXN's reported APR). Quarterly = average of daily values.</t>
        </r>
      </text>
    </comment>
    <comment ref="AZ3" authorId="0" shapeId="0" xr:uid="{00000000-0006-0000-0000-000033000000}">
      <text>
        <r>
          <rPr>
            <sz val="11"/>
            <color theme="1"/>
            <rFont val="Calibri"/>
            <family val="2"/>
            <scheme val="minor"/>
          </rPr>
          <t>SOURCE: hyperscreener validators/daily-emissions currentDayFutureEmission.</t>
        </r>
      </text>
    </comment>
    <comment ref="BA3" authorId="0" shapeId="0" xr:uid="{00000000-0006-0000-0000-000034000000}">
      <text>
        <r>
          <rPr>
            <sz val="11"/>
            <color theme="1"/>
            <rFont val="Calibri"/>
            <family val="2"/>
            <scheme val="minor"/>
          </rPr>
          <t>SOURCE: 60,429,540 - fixed constant from hypestrat.xyz/hype-tokenomics. NOT an ASXN figure.</t>
        </r>
      </text>
    </comment>
    <comment ref="BB3" authorId="0" shapeId="0" xr:uid="{00000000-0006-0000-0000-000035000000}">
      <text>
        <r>
          <rPr>
            <sz val="11"/>
            <color theme="1"/>
            <rFont val="Calibri"/>
            <family val="2"/>
            <scheme val="minor"/>
          </rPr>
          <t>SOURCE: hyperscreener AF balance (permanently removed per HL Strategies).</t>
        </r>
      </text>
    </comment>
    <comment ref="BC3" authorId="0" shapeId="0" xr:uid="{00000000-0006-0000-0000-000036000000}">
      <text>
        <r>
          <rPr>
            <sz val="11"/>
            <color theme="1"/>
            <rFont val="Calibri"/>
            <family val="2"/>
            <scheme val="minor"/>
          </rPr>
          <t>SOURCE: 2,966,562 - fixed constant from hypestrat.xyz/hype-tokenomics. NOT an ASXN figure.</t>
        </r>
      </text>
    </comment>
    <comment ref="BD3" authorId="0" shapeId="0" xr:uid="{00000000-0006-0000-0000-000037000000}">
      <text>
        <r>
          <rPr>
            <sz val="11"/>
            <color theme="1"/>
            <rFont val="Calibri"/>
            <family val="2"/>
            <scheme val="minor"/>
          </rPr>
          <t>SOURCE: = (1,000,000,000 - ASXN total supply, which counts HyperCore burns ONLY) PLUS cumulative HyperEVM burn converted to HYPE at each day's own ASXN close price. ASXN's buyback/daily-burn feed is internally consistent (totalBurnedToDate = the daily sum = 1bn - currentDaySupply = 1,000,600 HYPE) but tracks HyperCore only, whereas hypestrat.xyz / hypeburn.fun count HyperCore AND HyperEVM (1,350,746 HYPE). Adding the HyperEVM leg (288,667 HYPE) closes ~82% of that gap and is what makes this line basis-comparable. ASSUMPTION FLAGGED: the USD-&gt;HYPE conversion uses daily closes, so this leg is an ASXN-derived estimate, not an on-chain HYPE count.</t>
        </r>
      </text>
    </comment>
    <comment ref="BE3" authorId="0" shapeId="0" xr:uid="{00000000-0006-0000-0000-000038000000}">
      <text>
        <r>
          <rPr>
            <sz val="11"/>
            <color theme="1"/>
            <rFont val="Calibri"/>
            <family val="2"/>
            <scheme val="minor"/>
          </rPr>
          <t>SOURCE: = 1B - FutureEmissions - HyperFoundation - AF - CommunityGrants - FeeBurns. RECONCILIATION (v9, 2026-09-21): at 2026-09-19 this gives 476,381,072 vs hypestrat.xyz 476,355,965 read live on 2026-09-21 - a +25,107 HYPE (+0.0053%) residual, left visible and NOT forced (it was +36,975 / +0.008% in v8). Hyper Foundation and Community Grants were re-read from hypestrat in this refresh (60,480,066 and 2,971,324, up from 60,429,540 and 2,966,562); leaving them stale would have overstated OTS by a further 55,288. The remaining residual is fee burns -60,479 (hypeburn.fun counts slightly more than the ASXN HyperCore feed plus the HyperEVM conversion) net of AF -24,816, which is simply the two days of AF accrual between the model's 09-19 cut-off and hypestrat's live 09-21 read (AF grows 15-33K HYPE/day).</t>
        </r>
      </text>
    </comment>
    <comment ref="BF3" authorId="0" shapeId="0" xr:uid="{00000000-0006-0000-0000-000039000000}">
      <text>
        <r>
          <rPr>
            <sz val="11"/>
            <color theme="1"/>
            <rFont val="Calibri"/>
            <family val="2"/>
            <scheme val="minor"/>
          </rPr>
          <t>SOURCE: = (238.0M - cumulative on-chain distributions)/1e6. The 238.0M is the DOCUMENTED genesis core-contributor allocation (23.8% of 1bn, per Hyper Foundation's HYPE Genesis post), subject to a 1-year lock from the Nov-2024 genesis event. NOTE hypestrat.xyz reports Core Contributors at 241.396M, which back-solves to a 246.75M genesis figure - 8.75M above the documented 23.8%. That disagreement is unresolved: it may reflect later allocations to contributors out of the future-emissions pool, or a different definition. Flagged rather than reconciled. HELD FLAT from 2026-04-06 (amber) because the unlock tracker was not re-pulled — see Team Tokens Unlocked.</t>
        </r>
      </text>
    </comment>
    <comment ref="BG3" authorId="0" shapeId="0" xr:uid="{00000000-0006-0000-0000-00003A000000}">
      <text>
        <r>
          <rPr>
            <sz val="11"/>
            <color theme="1"/>
            <rFont val="Calibri"/>
            <family val="2"/>
            <scheme val="minor"/>
          </rPr>
          <t>SOURCE: = OTS/1e6 - Core Contributors Locked. Inherits the 2026-04-06 team-unlock cut-off (amber after that date).</t>
        </r>
      </text>
    </comment>
    <comment ref="BH3" authorId="0" shapeId="0" xr:uid="{00000000-0006-0000-0000-00003B000000}">
      <text>
        <r>
          <rPr>
            <sz val="11"/>
            <color theme="1"/>
            <rFont val="Calibri"/>
            <family val="2"/>
            <scheme val="minor"/>
          </rPr>
          <t>SOURCE: = OTS x HYPE price.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Sources</author>
  </authors>
  <commentList>
    <comment ref="D3" authorId="0" shapeId="0" xr:uid="{00000000-0006-0000-0100-000001000000}">
      <text>
        <r>
          <rPr>
            <sz val="11"/>
            <color theme="1"/>
            <rFont val="Calibri"/>
            <family val="2"/>
            <scheme val="minor"/>
          </rPr>
          <t>SOURCE: ASXN cloudfront/total_volume summed across every coin (SINGLE-SIDED notional), MINUS the dex-prefixed (HIP-3) coins inside that same feed, so both sides of the subtraction sit on one basis. Cumulative $4.815T, of which $543.0B is HIP-3. Cross-checked against ASXN's own cloudfront/hip3_percentage endpoint, which publishes the total it pairs with HIP-3: the per-coin sum reproduces it exactly (ratio 1.0000). Note ASXN only began tagging dex: coins inside total_volume on 2025-11-27, so the subtraction is zero before then, which is correct - HIP-3 was not in the total feed yet either.</t>
        </r>
      </text>
    </comment>
    <comment ref="E3" authorId="0" shapeId="0" xr:uid="{00000000-0006-0000-0100-000002000000}">
      <text>
        <r>
          <rPr>
            <sz val="11"/>
            <color theme="1"/>
            <rFont val="Calibri"/>
            <family val="2"/>
            <scheme val="minor"/>
          </rPr>
          <t>SOURCE: ASXN meta/hip3/daily-volume-chart?timeframe=all -&gt; total_volume, covering all 10 deployer DEXs. DATE-REALIGNED: ASXN dates this feed one day early through 2025-11-26 (its 2025-10-12 value is really 2025-10-13's), so those 45 days are shifted +1 to their true dates and the orphaned 2025-11-26 tail is dropped. Verified against HL per-symbol candles (api.hyperliquid.xyz, explicit UTC-midnight timestamps): Oct-2025 matches 100% shifted vs 0% unshifted. The HIP-3 FEES feed is not shifted, so this alignment is also what keeps volume and fees on the same day in the take-rate.</t>
        </r>
      </text>
    </comment>
    <comment ref="F3" authorId="0" shapeId="0" xr:uid="{00000000-0006-0000-0100-000003000000}">
      <text>
        <r>
          <rPr>
            <sz val="11"/>
            <color theme="1"/>
            <rFont val="Calibri"/>
            <family val="2"/>
            <scheme val="minor"/>
          </rPr>
          <t>SOURCE: ASXN spot-ecosystem/hl-spot-ecosystem -&gt; marketData, SHIFTED BACK ONE DAY (v9 fix: that feed is dated one day late - see the Spot Volume note on the Sources sheet), summing 'Daily Volume' across ALL listed tokens each day (307 listings = the named coins plus the Others bucket). Matches ASXN's own Spot Volume chart on every monthly bar and ties token-by-token to its tooltip. That feed starts 2025-07-16 and skips days inside its own range, so every remaining day is filled from DefiLlama /summary/dexs/hyperliquid-spot-orderbook dailyVolume - AMBER shading with green text marks those. 293 of 632 days are DefiLlama: all of 2024-11-30..2025-07-15 plus ASXN's internal gaps, worst in Oct-2025 (ASXN had 1 day of 31) and Nov-2025 (8 of 30). Months containing filled days therefore do not tie to the ASXN chart; fully-covered months do.</t>
        </r>
      </text>
    </comment>
    <comment ref="G3" authorId="0" shapeId="0" xr:uid="{00000000-0006-0000-0100-000004000000}">
      <text>
        <r>
          <rPr>
            <sz val="11"/>
            <color theme="1"/>
            <rFont val="Calibri"/>
            <family val="2"/>
            <scheme val="minor"/>
          </rPr>
          <t>SOURCE: ASXN outcome-coins/analytics/daily -&gt; total_volume_usdc. v9 change: this endpoint now serves HISTORY (it returned the current day only when v6-v8 were built), so HIP-4 moves onto the same primary source as every other column. It is capped at 30 rows per call and is paged in 30-day windows back to the series start 2026-05-03. FLAGGED, NOT RECONCILED: on the 114-day overlap with the Loris series it replaces, ASXN volume is $671.9M vs Loris $293.6M (+128.9%) while ASXN fees are $9,359 vs Loris $11,479 (-18.5%). Neither publishes a notional methodology for outcome tokens, so the definitional difference could not be settled against primary data. Revenue impact is nil (cumulative HIP-4 fees ~$40K against $1.12bn of protocol revenue).</t>
        </r>
      </text>
    </comment>
    <comment ref="H3" authorId="0" shapeId="0" xr:uid="{00000000-0006-0000-0100-000005000000}">
      <text>
        <r>
          <rPr>
            <sz val="11"/>
            <color theme="1"/>
            <rFont val="Calibri"/>
            <family val="2"/>
            <scheme val="minor"/>
          </rPr>
          <t>SOURCE: ASXN categories/hip3-categories/historical -&gt; commodities, taken as given (no pro-rating). ASXN's feed starts 2025-11-27; the 45 days from 2025-10-13 to 2025-11-26 are BACKFILLED (amber) from ASXN's OWN per-symbol category map applied to HL per-symbol volumes. Loris cannot fill this gap - it has no category dimension at all, only a by-DEX split. Backfill validated on the 271-day overlap: every category within 0.15pp of ASXN's published mix.</t>
        </r>
      </text>
    </comment>
    <comment ref="I3" authorId="0" shapeId="0" xr:uid="{00000000-0006-0000-0100-000006000000}">
      <text>
        <r>
          <rPr>
            <sz val="11"/>
            <color theme="1"/>
            <rFont val="Calibri"/>
            <family val="2"/>
            <scheme val="minor"/>
          </rPr>
          <t>SOURCE: ASXN categories/hip3-categories/historical -&gt; crypto.</t>
        </r>
      </text>
    </comment>
    <comment ref="J3" authorId="0" shapeId="0" xr:uid="{00000000-0006-0000-0100-000007000000}">
      <text>
        <r>
          <rPr>
            <sz val="11"/>
            <color theme="1"/>
            <rFont val="Calibri"/>
            <family val="2"/>
            <scheme val="minor"/>
          </rPr>
          <t>SOURCE: ASXN categories/hip3-categories/historical -&gt; fx.</t>
        </r>
      </text>
    </comment>
    <comment ref="K3" authorId="0" shapeId="0" xr:uid="{00000000-0006-0000-0100-000008000000}">
      <text>
        <r>
          <rPr>
            <sz val="11"/>
            <color theme="1"/>
            <rFont val="Calibri"/>
            <family val="2"/>
            <scheme val="minor"/>
          </rPr>
          <t>SOURCE: ASXN categories/hip3-categories/historical -&gt; indices. Includes index and thematic-ETF perps.</t>
        </r>
      </text>
    </comment>
    <comment ref="L3" authorId="0" shapeId="0" xr:uid="{00000000-0006-0000-0100-000009000000}">
      <text>
        <r>
          <rPr>
            <sz val="11"/>
            <color theme="1"/>
            <rFont val="Calibri"/>
            <family val="2"/>
            <scheme val="minor"/>
          </rPr>
          <t>SOURCE: ASXN categories/hip3-categories/historical -&gt; preipo.</t>
        </r>
      </text>
    </comment>
    <comment ref="M3" authorId="0" shapeId="0" xr:uid="{00000000-0006-0000-0100-00000A000000}">
      <text>
        <r>
          <rPr>
            <sz val="11"/>
            <color theme="1"/>
            <rFont val="Calibri"/>
            <family val="2"/>
            <scheme val="minor"/>
          </rPr>
          <t>SOURCE: ASXN categories/hip3-categories/historical -&gt; stocks, PLUS the ASXN-unclassified symbols judged to be single-name listed equities (index/ETF products go to Indices, private companies to Pre-IPO instead). ASXN's own feed silently drops uncategorised listings - $9.79B (1.86%) over the feed window - which is what made the category sum run ~2.1% below the HIP-3 volume feed; folding them into Equities cuts that residual to about -0.3%. The amounts are overwhelmingly single-name listed equities: SKHY (SK Hynix) $7.54B, CXMT $1.10B, UNITREE $348M, MRNA $274M, GIGADEV, SNDK, CAR and a para: tail, all listed Jun-Aug 2026. CAVEAT FLAGGED: ~$364M of it (3.7%) is leveraged/thematic ETFs (SOXL, KORU, MAGS) that arguably belong in Indices rather than single-name Equities.</t>
        </r>
      </text>
    </comment>
    <comment ref="N3" authorId="0" shapeId="0" xr:uid="{00000000-0006-0000-0100-00000B000000}">
      <text>
        <r>
          <rPr>
            <sz val="11"/>
            <color theme="1"/>
            <rFont val="Calibri"/>
            <family val="2"/>
            <scheme val="minor"/>
          </rPr>
          <t>SOURCE: = sum of the six ASXN categories. NOT forced to equal HIP-3 Perp Vol: ASXN serves categories and HIP-3 volume from separate endpoints with different start dates and they do not reconcile (category sum runs ~2.1% below the volume feed over the 270-day overlap). The gap is exposed in the next column instead of being pro-rated away.</t>
        </r>
      </text>
    </comment>
    <comment ref="O3" authorId="0" shapeId="0" xr:uid="{00000000-0006-0000-0100-00000C000000}">
      <text>
        <r>
          <rPr>
            <sz val="11"/>
            <color theme="1"/>
            <rFont val="Calibri"/>
            <family val="2"/>
            <scheme val="minor"/>
          </rPr>
          <t>SOURCE: = HIP-3 Perp Vol / (raw category sum). The six categories are scaled by this factor each day so they sum EXACTLY to HIP-3 Perp Vol. Shown rather than hidden so the size of the adjustment stays auditable: it sits near 1.00, and the further it strays the more the two ASXN feeds disagreed that day. Two gaps are closed before pro-rating - ASXN-unclassified symbols are routed to a category by judgement, and pre-2025-11-27 days are backfilled from ASXN's own per-symbol map - so the pro-rate is only cleaning up the residual difference between HL per-symbol candle volume and ASXN's HIP-3 volume feed, not papering over a missing category. BEHAVIOUR: across the 270 days where ASXN's own category feed exists the factor is tight - median 1.0024, min 0.918, max 1.365, only 1 day outside 0.80-1.25. It swings hard (0.17 to 8.19) almost only in the 45-day pre-2025-11-27 BACKFILL window, where per-symbol candle coverage is thin and daily volume was $6-450M; 24 of the 25 extreme days sit there. So the early daily category MIX is materially less reliable than the rest, though that window is just $4.3B of $542.8B (0.8%) of HIP-3 volume and barely moves any cumulative figure.</t>
        </r>
      </text>
    </comment>
    <comment ref="P3" authorId="0" shapeId="0" xr:uid="{00000000-0006-0000-0100-00000D000000}">
      <text>
        <r>
          <rPr>
            <sz val="11"/>
            <color theme="1"/>
            <rFont val="Calibri"/>
            <family val="2"/>
            <scheme val="minor"/>
          </rPr>
          <t>SOURCE: = Core Crypto Perp Revenue / (1 - HLP). Residual segment (HyperCore - spot - HIP-3 - HIP-4).</t>
        </r>
      </text>
    </comment>
    <comment ref="Q3" authorId="0" shapeId="0" xr:uid="{00000000-0006-0000-0100-00000E000000}">
      <text>
        <r>
          <rPr>
            <sz val="11"/>
            <color theme="1"/>
            <rFont val="Calibri"/>
            <family val="2"/>
            <scheme val="minor"/>
          </rPr>
          <t>SOURCE: DERIVED = HIP-3 Revenue x (1 + HLP Rate) + HIP-3 Deployer Fees. ASXN publishes no gross HIP-3 fee line - only the protocol-bound net (fees_hip3) and the deployer cut - so gross is reconstructed in the one form that makes the bridge below land exactly back on ASXN's own fees_hip3.</t>
        </r>
      </text>
    </comment>
    <comment ref="R3" authorId="0" shapeId="0" xr:uid="{00000000-0006-0000-0100-00000F000000}">
      <text>
        <r>
          <rPr>
            <sz val="11"/>
            <color theme="1"/>
            <rFont val="Calibri"/>
            <family val="2"/>
            <scheme val="minor"/>
          </rPr>
          <t>SOURCE: ASXN-DERIVED gross spot fees = income-statement fees_spot/(1-HLP) + fees_spot_unit. ASXN publishes spot REVENUE (fees_spot, protocol-bound) and the Unit cut, but no gross line, so gross is reconstructed this way specifically so the bridge below reproduces ASXN's fees_spot exactly. AMBER = DefiLlama dailyFees fill for 2024-12-23..2025-08-16, before ASXN's fee reconstruction starts (fees_start_date 2025-08-17). NOTE ASXN runs 15-27% ABOVE DefiLlama on spot revenue in recent months, and the gap is widening, so the join at 2025-08-17 is a genuine step - not smoothed.</t>
        </r>
      </text>
    </comment>
    <comment ref="S3" authorId="0" shapeId="0" xr:uid="{00000000-0006-0000-0100-000010000000}">
      <text>
        <r>
          <rPr>
            <sz val="11"/>
            <color theme="1"/>
            <rFont val="Calibri"/>
            <family val="2"/>
            <scheme val="minor"/>
          </rPr>
          <t>SOURCE: ASXN outcome-coins/analytics/daily -&gt; total_fee_usdc. Charged only on CLOSE / SETTLE (7bps taker, 4bps maker); opening a position is free, which is why the realised take-rate sits far below the nominal schedule. Near-zero at launch, first material day 2026-06-26, then a STEP CHANGE from 2026-08-29 when permissionless third-party deployment went live: $270-350/day before, $850-2,900/day after. Cumulative $40.3K on $771.5M of volume - a 0.52bp blended take-rate, still immaterial against $1.12bn of protocol revenue.</t>
        </r>
      </text>
    </comment>
    <comment ref="T3" authorId="0" shapeId="0" xr:uid="{00000000-0006-0000-0100-000011000000}">
      <text>
        <r>
          <rPr>
            <sz val="11"/>
            <color theme="1"/>
            <rFont val="Calibri"/>
            <family val="2"/>
            <scheme val="minor"/>
          </rPr>
          <t>SOURCE: = Core + HIP-3 + Spot + HIP-4 gross fees.</t>
        </r>
      </text>
    </comment>
    <comment ref="U3" authorId="0" shapeId="0" xr:uid="{00000000-0006-0000-0100-000012000000}">
      <text>
        <r>
          <rPr>
            <sz val="11"/>
            <color theme="1"/>
            <rFont val="Calibri"/>
            <family val="2"/>
            <scheme val="minor"/>
          </rPr>
          <t>SOURCE: 1% from 2025-08-30, else 3%. DefiLlama methodology.</t>
        </r>
      </text>
    </comment>
    <comment ref="V3" authorId="0" shapeId="0" xr:uid="{00000000-0006-0000-0100-000013000000}">
      <text>
        <r>
          <rPr>
            <sz val="11"/>
            <color theme="1"/>
            <rFont val="Calibri"/>
            <family val="2"/>
            <scheme val="minor"/>
          </rPr>
          <t>SOURCE: = Core Fees x HLP. To HLP vault.</t>
        </r>
      </text>
    </comment>
    <comment ref="W3" authorId="0" shapeId="0" xr:uid="{00000000-0006-0000-0100-000014000000}">
      <text>
        <r>
          <rPr>
            <sz val="11"/>
            <color theme="1"/>
            <rFont val="Calibri"/>
            <family val="2"/>
            <scheme val="minor"/>
          </rPr>
          <t>SOURCE: = (HIP-3 Gross - HIP-3 Deployer) x HLP Rate. Applied to the PROTOCOL share only, not the deployer share - same shape as HLP-on-Spot, which nets off Unit first. IMPORTANT: ASXN publishes NO HLP line anywhere in its income statement, so this cannot be validated against them; their fees_hip3 is already net of it. The gross-up above is calibrated so this deduction cancels exactly and HIP-3 Revenue lands on ASXN fees_hip3.</t>
        </r>
      </text>
    </comment>
    <comment ref="X3" authorId="0" shapeId="0" xr:uid="{00000000-0006-0000-0100-000015000000}">
      <text>
        <r>
          <rPr>
            <sz val="11"/>
            <color theme="1"/>
            <rFont val="Calibri"/>
            <family val="2"/>
            <scheme val="minor"/>
          </rPr>
          <t>SOURCE: = (Spot Fees - Unit) x HLP. To HLP vault.</t>
        </r>
      </text>
    </comment>
    <comment ref="Y3" authorId="0" shapeId="0" xr:uid="{00000000-0006-0000-0100-000016000000}">
      <text>
        <r>
          <rPr>
            <sz val="11"/>
            <color theme="1"/>
            <rFont val="Calibri"/>
            <family val="2"/>
            <scheme val="minor"/>
          </rPr>
          <t>SOURCE: = HIP-4 Fees x HLP. ASSUMPTION: HIP-4 is assumed to carry the same HLP share as the other segments; Hyperliquid has not published an HIP-4-specific HLP split. Immaterial (&lt;$100 cumulative).</t>
        </r>
      </text>
    </comment>
    <comment ref="Z3" authorId="0" shapeId="0" xr:uid="{00000000-0006-0000-0100-000017000000}">
      <text>
        <r>
          <rPr>
            <sz val="11"/>
            <color theme="1"/>
            <rFont val="Calibri"/>
            <family val="2"/>
            <scheme val="minor"/>
          </rPr>
          <t>SOURCE: ASXN income-statement fees_spot_unit (Hyperunit deployer cut). AMBER = DefiLlama /summary/fees/unit fill before 2025-08-17.</t>
        </r>
      </text>
    </comment>
    <comment ref="AA3" authorId="0" shapeId="0" xr:uid="{00000000-0006-0000-0100-000018000000}">
      <text>
        <r>
          <rPr>
            <sz val="11"/>
            <color theme="1"/>
            <rFont val="Calibri"/>
            <family val="2"/>
            <scheme val="minor"/>
          </rPr>
          <t>SOURCE: ASXN income-statement fees_hip3_deployer: the share of HIP-3 fees accruing to the third-party DEX deployer, never to the Assistance Fund, so it can never fund a buyback. ASXN derives it per-day from each dex's deployerShare (deployerFeeScale), a primitive you can verify directly at source via a POST to api.hyperliquid.xyz/info with type=meta and dex=xyz. Runs at 47.5-50.0% of gross, consistent with HIP-3's published 50% deployer cap. This field exists only in the JSON - ASXN does not surface it in its UI.</t>
        </r>
      </text>
    </comment>
    <comment ref="AB3" authorId="0" shapeId="0" xr:uid="{00000000-0006-0000-0100-000019000000}">
      <text>
        <r>
          <rPr>
            <sz val="11"/>
            <color theme="1"/>
            <rFont val="Calibri"/>
            <family val="2"/>
            <scheme val="minor"/>
          </rPr>
          <t>SOURCE: ZERO for the whole period. Every live mainnet HIP-4 market is Hyperliquid-canonical; permissionless HIP-4 deployment reached TESTNET 2026-08-01 and is not live on mainnet as of 2026-08-19. When it lands, deployers stake 500k HYPE and take up to 50% of their market's fees (the same 50% cap as HIP-3).</t>
        </r>
      </text>
    </comment>
    <comment ref="AC3" authorId="0" shapeId="0" xr:uid="{00000000-0006-0000-0100-00001A000000}">
      <text>
        <r>
          <rPr>
            <sz val="11"/>
            <color theme="1"/>
            <rFont val="Calibri"/>
            <family val="2"/>
            <scheme val="minor"/>
          </rPr>
          <t>SOURCE: = sum of the seven (-) lines above. Gross Fees - Deductions = HyperCore Revenue.</t>
        </r>
      </text>
    </comment>
    <comment ref="AD3" authorId="0" shapeId="0" xr:uid="{00000000-0006-0000-0100-00001B000000}">
      <text>
        <r>
          <rPr>
            <sz val="11"/>
            <color theme="1"/>
            <rFont val="Calibri"/>
            <family val="2"/>
            <scheme val="minor"/>
          </rPr>
          <t>SOURCE: hyperscreener node/builders. ON-TOP pass-through paid by users to front-ends; NOT part of the bridge. NOTE: ASXN revises this series — the 2026-05-21..06-04 overlap came back ~10-25% lower on the 2026-08-19 pull than on the 2026-06-04 pull; the newer values are used.</t>
        </r>
      </text>
    </comment>
    <comment ref="AE3" authorId="0" shapeId="0" xr:uid="{00000000-0006-0000-0100-00001C000000}">
      <text>
        <r>
          <rPr>
            <sz val="11"/>
            <color theme="1"/>
            <rFont val="Calibri"/>
            <family val="2"/>
            <scheme val="minor"/>
          </rPr>
          <t>SOURCE: = Core Fees - HLP on Core. Residual = HyperCore - Spot - HIP-3 - HIP-4.</t>
        </r>
      </text>
    </comment>
    <comment ref="AF3" authorId="0" shapeId="0" xr:uid="{00000000-0006-0000-0100-00001D000000}">
      <text>
        <r>
          <rPr>
            <sz val="11"/>
            <color theme="1"/>
            <rFont val="Calibri"/>
            <family val="2"/>
            <scheme val="minor"/>
          </rPr>
          <t>SOURCE: = HIP-3 Gross - HIP-3 Deployer - HLP. Reproduces ASXN's own income-statement fees_hip3 EXACTLY ($0.00 cumulative difference over 315 days), by the same construction used for Spot. Deployer fees are excluded because they accrue to the third-party DEX operator and never reach the Assistance Fund.</t>
        </r>
      </text>
    </comment>
    <comment ref="AG3" authorId="0" shapeId="0" xr:uid="{00000000-0006-0000-0100-00001E000000}">
      <text>
        <r>
          <rPr>
            <sz val="11"/>
            <color theme="1"/>
            <rFont val="Calibri"/>
            <family val="2"/>
            <scheme val="minor"/>
          </rPr>
          <t>SOURCE: = Spot Fees - HLP on Spot - Unit.</t>
        </r>
      </text>
    </comment>
    <comment ref="AH3" authorId="0" shapeId="0" xr:uid="{00000000-0006-0000-0100-00001F000000}">
      <text>
        <r>
          <rPr>
            <sz val="11"/>
            <color theme="1"/>
            <rFont val="Calibri"/>
            <family val="2"/>
            <scheme val="minor"/>
          </rPr>
          <t>SOURCE: = HIP-4 Fees - HLP on HIP-4 - HIP-4 Deployer.</t>
        </r>
      </text>
    </comment>
    <comment ref="AI3" authorId="0" shapeId="0" xr:uid="{00000000-0006-0000-0100-000020000000}">
      <text>
        <r>
          <rPr>
            <sz val="11"/>
            <color theme="1"/>
            <rFont val="Calibri"/>
            <family val="2"/>
            <scheme val="minor"/>
          </rPr>
          <t>SOURCE: = Core + HIP-3 + Spot + HIP-4 revenue.</t>
        </r>
      </text>
    </comment>
    <comment ref="AJ3" authorId="0" shapeId="0" xr:uid="{00000000-0006-0000-0100-000021000000}">
      <text>
        <r>
          <rPr>
            <sz val="11"/>
            <color theme="1"/>
            <rFont val="Calibri"/>
            <family val="2"/>
            <scheme val="minor"/>
          </rPr>
          <t>SOURCE: NORTH STAR. hyperscreener buyback/revenues "HyperCore Buybacks" (actual AF buyback USD) from 2025-03-20 onward; before that the AMBER cells use DefiLlama perp+spot holders-revenue (from 2024-12-23) - corroborated to the AF on-chain HYPE accumulation within 1.3%.</t>
        </r>
      </text>
    </comment>
    <comment ref="AK3" authorId="0" shapeId="0" xr:uid="{00000000-0006-0000-0100-000022000000}">
      <text>
        <r>
          <rPr>
            <sz val="11"/>
            <color theme="1"/>
            <rFont val="Calibri"/>
            <family val="2"/>
            <scheme val="minor"/>
          </rPr>
          <t>SOURCE: = the accrual segment sum MINUS the buyback (cash) north star. This is NOT a zero-check. Both figures are ASXN's own and they measure different things: the segment lines are fees ACCRUED, while HyperCore Revenue is USD actually spent buying HYPE for the Assistance Fund. The gap is persistent and widening - about +$9.8M in Jun-2026 and +$96.7M (11.9%) cumulatively since 2025-08-17, growing from ~6% in Nov-2025 to ~12% now. Because it grows monotonically it is structural, not a timing lag. Its cause is NOT established: ASXN's unpriced_spot_fee_token_amount is zero throughout, so it is not unconverted token fees. Note ASXN's own JSON revenue and holders_revenue fields both equal the CASH basis, not the accrual sum, even though its income-statement UI displays the accrual one.</t>
        </r>
      </text>
    </comment>
    <comment ref="AL3" authorId="0" shapeId="0" xr:uid="{00000000-0006-0000-0100-000023000000}">
      <text>
        <r>
          <rPr>
            <sz val="11"/>
            <color theme="1"/>
            <rFont val="Calibri"/>
            <family val="2"/>
            <scheme val="minor"/>
          </rPr>
          <t>SOURCE: = Core Fees / Core Vol x 10000.</t>
        </r>
      </text>
    </comment>
    <comment ref="AM3" authorId="0" shapeId="0" xr:uid="{00000000-0006-0000-0100-000024000000}">
      <text>
        <r>
          <rPr>
            <sz val="11"/>
            <color theme="1"/>
            <rFont val="Calibri"/>
            <family val="2"/>
            <scheme val="minor"/>
          </rPr>
          <t>SOURCE: = HIP-3 Gross Fees / HIP-3 Vol x 10000.</t>
        </r>
      </text>
    </comment>
    <comment ref="AN3" authorId="0" shapeId="0" xr:uid="{00000000-0006-0000-0100-000025000000}">
      <text>
        <r>
          <rPr>
            <sz val="11"/>
            <color theme="1"/>
            <rFont val="Calibri"/>
            <family val="2"/>
            <scheme val="minor"/>
          </rPr>
          <t>SOURCE: = Spot Fees / Spot Vol x 10000.</t>
        </r>
      </text>
    </comment>
    <comment ref="AO3" authorId="0" shapeId="0" xr:uid="{00000000-0006-0000-0100-000026000000}">
      <text>
        <r>
          <rPr>
            <sz val="11"/>
            <color theme="1"/>
            <rFont val="Calibri"/>
            <family val="2"/>
            <scheme val="minor"/>
          </rPr>
          <t>SOURCE: = HIP-4 Fees / HIP-4 Vol x 10000. 0.33bps blended over the full life ($9,690 on $293.0M) — far below the 7bps taker / 4bps maker spot schedule HIP-4 nominally follows, because fees apply only on close/settle and canonical markets ran effectively fee-free until 2026-06-26.</t>
        </r>
      </text>
    </comment>
    <comment ref="AP3" authorId="0" shapeId="0" xr:uid="{00000000-0006-0000-0100-000027000000}">
      <text>
        <r>
          <rPr>
            <sz val="11"/>
            <color theme="1"/>
            <rFont val="Calibri"/>
            <family val="2"/>
            <scheme val="minor"/>
          </rPr>
          <t>SOURCE: hyperscreener buyback/revenues "HyperEVM Burn".</t>
        </r>
      </text>
    </comment>
    <comment ref="AQ3" authorId="0" shapeId="0" xr:uid="{00000000-0006-0000-0100-000028000000}">
      <text>
        <r>
          <rPr>
            <sz val="11"/>
            <color theme="1"/>
            <rFont val="Calibri"/>
            <family val="2"/>
            <scheme val="minor"/>
          </rPr>
          <t>SOURCE: hyperscreener buyback/revenues "Auction Burn".</t>
        </r>
      </text>
    </comment>
    <comment ref="AR3" authorId="0" shapeId="0" xr:uid="{00000000-0006-0000-0100-000029000000}">
      <text>
        <r>
          <rPr>
            <sz val="11"/>
            <color theme="1"/>
            <rFont val="Calibri"/>
            <family val="2"/>
            <scheme val="minor"/>
          </rPr>
          <t>SOURCE: = HyperCore Revenue + HyperEVM Burn + Auction Burn.</t>
        </r>
      </text>
    </comment>
    <comment ref="AS3" authorId="0" shapeId="0" xr:uid="{00000000-0006-0000-0100-00002A000000}">
      <text>
        <r>
          <rPr>
            <sz val="11"/>
            <color theme="1"/>
            <rFont val="Calibri"/>
            <family val="2"/>
            <scheme val="minor"/>
          </rPr>
          <t>SOURCE: = HyperCore Revenue (100% funds AF buybacks).</t>
        </r>
      </text>
    </comment>
    <comment ref="AT3" authorId="0" shapeId="0" xr:uid="{00000000-0006-0000-0100-00002B000000}">
      <text>
        <r>
          <rPr>
            <sz val="11"/>
            <color theme="1"/>
            <rFont val="Calibri"/>
            <family val="2"/>
            <scheme val="minor"/>
          </rPr>
          <t>SOURCE: hyperscreener buyback/hl-buybacks sz.</t>
        </r>
      </text>
    </comment>
    <comment ref="AU3" authorId="0" shapeId="0" xr:uid="{00000000-0006-0000-0100-00002C000000}">
      <text>
        <r>
          <rPr>
            <sz val="11"/>
            <color theme="1"/>
            <rFont val="Calibri"/>
            <family val="2"/>
            <scheme val="minor"/>
          </rPr>
          <t>SOURCE: hyperscreener buyback/hl-buybacks average_price (quarterly = volume-weighted).</t>
        </r>
      </text>
    </comment>
    <comment ref="AV3" authorId="0" shapeId="0" xr:uid="{00000000-0006-0000-0100-00002D000000}">
      <text>
        <r>
          <rPr>
            <sz val="11"/>
            <color theme="1"/>
            <rFont val="Calibri"/>
            <family val="2"/>
            <scheme val="minor"/>
          </rPr>
          <t>SOURCE: hyperscreener buyback/assistance-fund-holdings balance.</t>
        </r>
      </text>
    </comment>
    <comment ref="AW3" authorId="0" shapeId="0" xr:uid="{00000000-0006-0000-0100-00002E000000}">
      <text>
        <r>
          <rPr>
            <sz val="11"/>
            <color theme="1"/>
            <rFont val="Calibri"/>
            <family val="2"/>
            <scheme val="minor"/>
          </rPr>
          <t>SOURCE: hyperscreener validators/daily-emissions dailyEmission.</t>
        </r>
      </text>
    </comment>
    <comment ref="AX3" authorId="0" shapeId="0" xr:uid="{00000000-0006-0000-0100-00002F000000}">
      <text>
        <r>
          <rPr>
            <sz val="11"/>
            <color theme="1"/>
            <rFont val="Calibri"/>
            <family val="2"/>
            <scheme val="minor"/>
          </rPr>
          <t>SOURCE: hyperscreener buyback/daily-burn dailyBurn.</t>
        </r>
      </text>
    </comment>
    <comment ref="AY3" authorId="0" shapeId="0" xr:uid="{00000000-0006-0000-0100-000030000000}">
      <text>
        <r>
          <rPr>
            <sz val="11"/>
            <color theme="1"/>
            <rFont val="Calibri"/>
            <family val="2"/>
            <scheme val="minor"/>
          </rPr>
          <t>SOURCE: Core-contributor claims read DIRECTLY ON-CHAIN from the vesting address 0x43e9abea1910387c4292bca4b94de81462f8a251, via the Hyperliquid L1 API (api.hyperliquid.xyz/info, type=userNonFundingLedgerUpdates), summing outgoing HYPE spotTransfers per day. This is a primary source, not a tracker. Verified against tokenomist and Hypurrscan on 2026-08-06: 433,024 vs 433,029, a 5 HYPE display-rounding difference. May-Aug 2026 totals 1,840,655 HYPE across 5 payout dates - note the June distribution split over the 6th and 7th. Amounts are TOTAL outgoing and include a small community portion (about 2,000 HYPE of the August payout). Pre-May-2026 figures remain from the public unlock trackers. SERIES ENDS 2026-04-06 — the tracker was not re-pulled in the 2026-08-19 refresh, and the unlocks are NOT derivable from ASXN data. Cells after 2026-04-06 are deliberately BLANK, not zero.</t>
        </r>
      </text>
    </comment>
    <comment ref="AZ3" authorId="0" shapeId="0" xr:uid="{00000000-0006-0000-0100-000031000000}">
      <text>
        <r>
          <rPr>
            <sz val="11"/>
            <color theme="1"/>
            <rFont val="Calibri"/>
            <family val="2"/>
            <scheme val="minor"/>
          </rPr>
          <t>SOURCE: hyperscreener validators/hype-staking/metrics totalStake.</t>
        </r>
      </text>
    </comment>
    <comment ref="BA3" authorId="0" shapeId="0" xr:uid="{00000000-0006-0000-0100-000032000000}">
      <text>
        <r>
          <rPr>
            <sz val="11"/>
            <color theme="1"/>
            <rFont val="Calibri"/>
            <family val="2"/>
            <scheme val="minor"/>
          </rPr>
          <t>SOURCE: COMPUTED = Staking Emissions x 365 / (HYPE Staked x 1e6). Annualized network yield from this sheet's own emission &amp; stake columns (NOT ASXN's reported APR). Quarterly = average of daily values.</t>
        </r>
      </text>
    </comment>
    <comment ref="BB3" authorId="0" shapeId="0" xr:uid="{00000000-0006-0000-0100-000033000000}">
      <text>
        <r>
          <rPr>
            <sz val="11"/>
            <color theme="1"/>
            <rFont val="Calibri"/>
            <family val="2"/>
            <scheme val="minor"/>
          </rPr>
          <t>SOURCE: hyperscreener validators/daily-emissions currentDayFutureEmission.</t>
        </r>
      </text>
    </comment>
    <comment ref="BC3" authorId="0" shapeId="0" xr:uid="{00000000-0006-0000-0100-000034000000}">
      <text>
        <r>
          <rPr>
            <sz val="11"/>
            <color theme="1"/>
            <rFont val="Calibri"/>
            <family val="2"/>
            <scheme val="minor"/>
          </rPr>
          <t>SOURCE: 60,429,540 - fixed constant from hypestrat.xyz/hype-tokenomics. NOT an ASXN figure.</t>
        </r>
      </text>
    </comment>
    <comment ref="BD3" authorId="0" shapeId="0" xr:uid="{00000000-0006-0000-0100-000035000000}">
      <text>
        <r>
          <rPr>
            <sz val="11"/>
            <color theme="1"/>
            <rFont val="Calibri"/>
            <family val="2"/>
            <scheme val="minor"/>
          </rPr>
          <t>SOURCE: hyperscreener AF balance (permanently removed per HL Strategies).</t>
        </r>
      </text>
    </comment>
    <comment ref="BE3" authorId="0" shapeId="0" xr:uid="{00000000-0006-0000-0100-000036000000}">
      <text>
        <r>
          <rPr>
            <sz val="11"/>
            <color theme="1"/>
            <rFont val="Calibri"/>
            <family val="2"/>
            <scheme val="minor"/>
          </rPr>
          <t>SOURCE: 2,966,562 - fixed constant from hypestrat.xyz/hype-tokenomics. NOT an ASXN figure.</t>
        </r>
      </text>
    </comment>
    <comment ref="BF3" authorId="0" shapeId="0" xr:uid="{00000000-0006-0000-0100-000037000000}">
      <text>
        <r>
          <rPr>
            <sz val="11"/>
            <color theme="1"/>
            <rFont val="Calibri"/>
            <family val="2"/>
            <scheme val="minor"/>
          </rPr>
          <t>SOURCE: = (1,000,000,000 - ASXN total supply, which counts HyperCore burns ONLY) PLUS cumulative HyperEVM burn converted to HYPE at each day's own ASXN close price. ASXN's buyback/daily-burn feed is internally consistent (totalBurnedToDate = the daily sum = 1bn - currentDaySupply = 1,000,600 HYPE) but tracks HyperCore only, whereas hypestrat.xyz / hypeburn.fun count HyperCore AND HyperEVM (1,350,746 HYPE). Adding the HyperEVM leg (288,667 HYPE) closes ~82% of that gap and is what makes this line basis-comparable. ASSUMPTION FLAGGED: the USD-&gt;HYPE conversion uses daily closes, so this leg is an ASXN-derived estimate, not an on-chain HYPE count.</t>
        </r>
      </text>
    </comment>
    <comment ref="BG3" authorId="0" shapeId="0" xr:uid="{00000000-0006-0000-0100-000038000000}">
      <text>
        <r>
          <rPr>
            <sz val="11"/>
            <color theme="1"/>
            <rFont val="Calibri"/>
            <family val="2"/>
            <scheme val="minor"/>
          </rPr>
          <t>SOURCE: = 1B - FutureEmissions - HyperFoundation - AF - CommunityGrants - FeeBurns. RECONCILIATION (v9, 2026-09-21): at 2026-09-19 this gives 476,381,072 vs hypestrat.xyz 476,355,965 read live on 2026-09-21 - a +25,107 HYPE (+0.0053%) residual, left visible and NOT forced (it was +36,975 / +0.008% in v8). Hyper Foundation and Community Grants were re-read from hypestrat in this refresh (60,480,066 and 2,971,324, up from 60,429,540 and 2,966,562); leaving them stale would have overstated OTS by a further 55,288. The remaining residual is fee burns -60,479 (hypeburn.fun counts slightly more than the ASXN HyperCore feed plus the HyperEVM conversion) net of AF -24,816, which is simply the two days of AF accrual between the model's 09-19 cut-off and hypestrat's live 09-21 read (AF grows 15-33K HYPE/day).</t>
        </r>
      </text>
    </comment>
    <comment ref="BH3" authorId="0" shapeId="0" xr:uid="{00000000-0006-0000-0100-000039000000}">
      <text>
        <r>
          <rPr>
            <sz val="11"/>
            <color theme="1"/>
            <rFont val="Calibri"/>
            <family val="2"/>
            <scheme val="minor"/>
          </rPr>
          <t>SOURCE: = (238.0M - cumulative on-chain distributions)/1e6. The 238.0M is the DOCUMENTED genesis core-contributor allocation (23.8% of 1bn, per Hyper Foundation's HYPE Genesis post), subject to a 1-year lock from the Nov-2024 genesis event. NOTE hypestrat.xyz reports Core Contributors at 241.396M, which back-solves to a 246.75M genesis figure - 8.75M above the documented 23.8%. That disagreement is unresolved: it may reflect later allocations to contributors out of the future-emissions pool, or a different definition. Flagged rather than reconciled. HELD FLAT from 2026-04-06 (amber) because the unlock tracker was not re-pulled — see Team Tokens Unlocked.</t>
        </r>
      </text>
    </comment>
    <comment ref="BI3" authorId="0" shapeId="0" xr:uid="{00000000-0006-0000-0100-00003A000000}">
      <text>
        <r>
          <rPr>
            <sz val="11"/>
            <color theme="1"/>
            <rFont val="Calibri"/>
            <family val="2"/>
            <scheme val="minor"/>
          </rPr>
          <t>SOURCE: = OTS/1e6 - Core Contributors Locked. Inherits the 2026-04-06 team-unlock cut-off (amber after that date).</t>
        </r>
      </text>
    </comment>
    <comment ref="BJ3" authorId="0" shapeId="0" xr:uid="{00000000-0006-0000-0100-00003B000000}">
      <text>
        <r>
          <rPr>
            <sz val="11"/>
            <color theme="1"/>
            <rFont val="Calibri"/>
            <family val="2"/>
            <scheme val="minor"/>
          </rPr>
          <t>SOURCE: = OTS x HYPE price.</t>
        </r>
      </text>
    </comment>
  </commentList>
</comments>
</file>

<file path=xl/sharedStrings.xml><?xml version="1.0" encoding="utf-8"?>
<sst xmlns="http://schemas.openxmlformats.org/spreadsheetml/2006/main" count="461" uniqueCount="306">
  <si>
    <t>VOLUME ($)</t>
  </si>
  <si>
    <t>HIP-3 VOLUME BY CATEGORY ($)</t>
  </si>
  <si>
    <t>GROSS FEES ($)  [user-paid]</t>
  </si>
  <si>
    <t>FEE → REVENUE BRIDGE  [deductions, $]</t>
  </si>
  <si>
    <t>REVENUE TO HYPERCORE ($)</t>
  </si>
  <si>
    <t>IMPLIED TAKE-RATE (bps)</t>
  </si>
  <si>
    <t>OTHER REVENUE ($)</t>
  </si>
  <si>
    <t>ASSISTANCE FUND &amp; SUPPLY</t>
  </si>
  <si>
    <t>OTS (Hyperliquid Strategies basis)</t>
  </si>
  <si>
    <t>Date</t>
  </si>
  <si>
    <t>Core Crypto Perp Vol ($)</t>
  </si>
  <si>
    <t>HIP-3 Perp Vol ($)</t>
  </si>
  <si>
    <t>Spot Vol ($)</t>
  </si>
  <si>
    <t>HIP-4 Vol ($)</t>
  </si>
  <si>
    <t>HIP-3 Commodities ($)</t>
  </si>
  <si>
    <t>HIP-3 Crypto ($)</t>
  </si>
  <si>
    <t>HIP-3 FX ($)</t>
  </si>
  <si>
    <t>HIP-3 Indices ($)</t>
  </si>
  <si>
    <t>HIP-3 Pre-IPO ($)</t>
  </si>
  <si>
    <t>HIP-3 Equities ($)</t>
  </si>
  <si>
    <t>HIP-3 Cat Total ($)</t>
  </si>
  <si>
    <t>Pro-rate Factor Applied</t>
  </si>
  <si>
    <t>Core Crypto Perp Fees ($)</t>
  </si>
  <si>
    <t>HIP-3 Gross Fees ($)</t>
  </si>
  <si>
    <t>Spot Fees incl Unit ($)</t>
  </si>
  <si>
    <t>HIP-4 Fees ($)</t>
  </si>
  <si>
    <t>Total Gross Fees ($)</t>
  </si>
  <si>
    <t>HLP Rate</t>
  </si>
  <si>
    <t>(-) HLP on Core Perp ($)</t>
  </si>
  <si>
    <t>(-) HLP on HIP-3 ($)</t>
  </si>
  <si>
    <t>(-) HLP on Spot ($)</t>
  </si>
  <si>
    <t>(-) HLP on HIP-4 ($)</t>
  </si>
  <si>
    <t>(-) Unit Protocol Fees ($)</t>
  </si>
  <si>
    <t>(-) HIP-3 Deployer Fees ($)</t>
  </si>
  <si>
    <t>(-) HIP-4 Deployer Fees ($)</t>
  </si>
  <si>
    <t>Total Deductions ($)</t>
  </si>
  <si>
    <t>Builder Code Fees [on-top, not deducted] ($)</t>
  </si>
  <si>
    <t>Core Crypto Perp Revenue ($)</t>
  </si>
  <si>
    <t>HIP-3 Revenue ($)</t>
  </si>
  <si>
    <t>Spot Revenue ($)</t>
  </si>
  <si>
    <t>HIP-4 Revenue ($)</t>
  </si>
  <si>
    <t>= HyperCore Revenue (model) ($)</t>
  </si>
  <si>
    <t>HyperCore Revenue ($)</t>
  </si>
  <si>
    <t>Accrual less Buyback ($)</t>
  </si>
  <si>
    <t>Core Perp Take-Rate (bps)</t>
  </si>
  <si>
    <t>HIP-3 Take-Rate (bps)</t>
  </si>
  <si>
    <t>Spot Take-Rate (bps)</t>
  </si>
  <si>
    <t>HIP-4 Take-Rate (bps)</t>
  </si>
  <si>
    <t>HyperEVM Burn ($)</t>
  </si>
  <si>
    <t>Auction Burn ($)</t>
  </si>
  <si>
    <t>Total Revenue ($)</t>
  </si>
  <si>
    <t>Revenue -&gt; AF ($)</t>
  </si>
  <si>
    <t>Buyback HYPE</t>
  </si>
  <si>
    <t>Buyback Avg Price ($)</t>
  </si>
  <si>
    <t>AF HYPE Balance</t>
  </si>
  <si>
    <t>Staking Emissions (HYPE)</t>
  </si>
  <si>
    <t>Fee Burn (HYPE)</t>
  </si>
  <si>
    <t>Team Tokens Unlocked (HYPE)</t>
  </si>
  <si>
    <t>HYPE Staked (M)</t>
  </si>
  <si>
    <t>Implied Staking Yield</t>
  </si>
  <si>
    <t>(-) Future Emissions &amp; CR (HYPE)</t>
  </si>
  <si>
    <t>(-) Hyper Foundation (HYPE)</t>
  </si>
  <si>
    <t>(-) Assistance Fund (HYPE)</t>
  </si>
  <si>
    <t>(-) Community Grants (HYPE)</t>
  </si>
  <si>
    <t>(-) HC&amp;EVM Fee Burns (HYPE)</t>
  </si>
  <si>
    <t>= OTS (HYPE)</t>
  </si>
  <si>
    <t>Core Contributors Locked (M)</t>
  </si>
  <si>
    <t>Circulating Token Supply (M)</t>
  </si>
  <si>
    <t>OTS Value ($)</t>
  </si>
  <si>
    <t>Quarter</t>
  </si>
  <si>
    <t>Start</t>
  </si>
  <si>
    <t>End</t>
  </si>
  <si>
    <t>Q4 2024 (Nov-Dec)</t>
  </si>
  <si>
    <t>Q1 2025</t>
  </si>
  <si>
    <t>Q2 2025</t>
  </si>
  <si>
    <t>Q3 2025</t>
  </si>
  <si>
    <t>Q4 2025</t>
  </si>
  <si>
    <t>Q1 2026</t>
  </si>
  <si>
    <t>Q2 2026</t>
  </si>
  <si>
    <t>Q3 2026 (to 09-19)</t>
  </si>
  <si>
    <t>SOURCES &amp; METHODOLOGY  —  refreshed 2026-09-21, data through 2026-09-19</t>
  </si>
  <si>
    <t>•  WHAT CHANGED IN v9 (refresh 2026-09-21, data through 2026-09-19). (1) All feeds re-pulled; the sheet extends from 2026-08-23 to 2026-09-19 - it stops at 09-19 because ASXN's fee pipeline had only a partial 09-20 at pull time ($43,522 of perp fees vs $1.67-3.30M on preceding days) even though buybacks, volume, supply and staking were complete for 09-20. (2) SPOT VOLUME DATE FIX: ASXN's spot feed is dated one day late and is now shifted back one day - this moves every spot volume cell in the series, see the Spot Volume note. (3) HIP-4 moved from Loris to ASXN outcome-coins/analytics/daily, which began serving history; the two disagree on volume by +128.9% and that is flagged, not reconciled. (4) HIP-4 permissionless third-party deployment went live on mainnet 2026-08-29 - three deployer venues now live, market count 26 -&gt; 743, daily fees 3-8x. (5) Team unlocks extended on-chain through the 2026-09-06 claim (433,419 HYPE). (6) The HIP-3 per-symbol file behind the unclassified-symbol routing still ends 2026-08-24, so from 2026-08-25 that routing is absent; the pro-rate factor absorbs it into the category mix exactly as before (factor 1.06-1.11 both sides of the join, so no step).</t>
  </si>
  <si>
    <t>•  SPOT VOLUME: ASXN'S FEED IS DATED ONE DAY LATE AND IS SHIFTED BACK ONE DAY IN v9. The value ASXN labels 2026-09-19 is really 2026-09-18's. Proven three ways: (1) PRIMARY - Hyperliquid's own spot candles (candleSnapshot, coin @107 HYPE/USDC, explicit UTC-midnight timestamps) correlate 0.905 on a -1 shift vs 0.565 unshifted over 2026-08-21..09-21, and HL's peak day 2026-08-21 shows up in ASXN as 2026-08-22; (2) INDEPENDENT - vs DefiLlama the -1 shift wins in EVERY month from 2025-12 to 2026-09 (0.945-0.993 shifted vs 0.199-0.850 unshifted), while DefiLlama itself sits at lag 0 against the HL candles; (3) ASXN-INTERNAL - ASXN's own income-statement fees_spot lines up with DefiLlama at lag 0 but with this volume feed only on a -1 shift, so ASXN's two pipelines disagree and the fee one is correctly dated. Left unfixed (the v6-v8 behaviour) Spot Vol sat one day away from Spot Fees, so every daily spot take-rate was computed across two different days. Same class of defect as the HIP-3 volume offset fixed in v8, opposite direction. CONSEQUENCE: spot volume now differs from the ASXN dashboard by one day everywhere. AND, SEPARATELY, THE FORMATTING TELLS YOU THE SOURCE. Primary source is ASXN spot-ecosystem/hl-spot-ecosystem, summed across ALL listed tokens each day (307 listings = the 8 named coins PLUS the Others bucket) - this reproduces ASXN's own Spot Volume chart exactly, month by month and token by token. But that feed only begins 2025-07-16 and skips days inside its own range, so every remaining day is filled from DefiLlama /summary/dexs/hyperliquid-spot-orderbook dailyVolume to leave NO holes in the series. HOW TO READ IT: plain BLUE text = ASXN; AMBER-shaded cell with GREEN text = DefiLlama fill. 291 of 632 days are DefiLlama - all of 2024-11-30..2025-07-15 (pre-ASXN) plus ASXN's internal gaps, the worst being Oct-2025 (ASXN had 1 day of 31) and Nov-2025 (8 of 30). TRADE-OFF, DELIBERATE: because those months are now complete rather than partial, they NO LONGER match the ASXN dashboard - Oct-2025 and Nov-2025 move the most. Months where ASXN is day-complete (Dec-2025 onward) still tie to the chart exactly. NOTE the two providers also differ in level on days where both exist, so the join is not seamless; no scaling or smoothing has been applied to hide that.</t>
  </si>
  <si>
    <t>•  SPOT FEES ARE ASXN-PRIMARY, DEFILLAMA ONLY AS GAP-FILL. The ASXN income statement gives fees_spot (protocol-bound spot revenue, net) and fees_spot_unit (the Hyperunit deployer cut). It publishes no gross spot-fee line, so gross is derived as fees_spot/(1-HLP) + fees_spot_unit, the one form that makes the bridge (gross - Unit - HLP) reproduce ASXN's own fees_spot exactly. ASXN's fee reconstruction starts 2025-08-17; everything before that is DefiLlama hyperliquid-spot-orderbook dailyFees and is shaded amber. (This supersedes the v6/v7 note that said spot fees were DefiLlama throughout - they have not been since v8.)</t>
  </si>
  <si>
    <t>•  ASXN CHART DATES ARE SHIFTED ONE DAY FORWARD vs its API. Every monthly bar on the hyperscreener dashboard buckets from the 2nd of the month to the 1st of the next - its 'July' bar is 2 Jul to 1 Aug, not 1-31 Jul. Proven on HIP-3: the API gives $114.79B for calendar July while the chart tooltip reads $111.75B, and the shifted window reproduces the tooltip on all five deployer DEXs to the cent (xyz $111.49B, mkts $167.39M, hyna $60.38M, para $30.17M, cash $778.35K). The same offset applies to the category chart ($108.22B calendar vs $105.19B displayed). This workbook uses the API's raw date strings, i.e. TRUE CALENDAR MONTHS, so any month cross-checked against an ASXN chart will differ by one boundary day at each end. Their income-statement TABLE uses calendar months and does tie directly. Separately, ASXN charts also let the user toggle deployer DEXs on and off, so a chart total may exclude DEXs this workbook includes.</t>
  </si>
  <si>
    <t>•  BRIDGE (per segment): Gross Fees − HLP − (Unit on spot) − (deployer on HIP-3 / HIP-4) = Revenue to HyperCore. Builder code fees are ON-TOP (paid by users to front-ends) and are NOT deducted. Sum of segment revenues = HyperCore Revenue = hyperscreener "HyperCore Buybacks" (north star). + HyperEVM + Auction burn = Total Revenue.</t>
  </si>
  <si>
    <t>•  Core crypto perp is the residual segment: Core Revenue = HyperCore − Spot − HIP-3 − HIP-4; Core Fees = Core Revenue / (1 − HLP). This makes the bridge tie exactly to the north star (Check column ≈ 0).</t>
  </si>
  <si>
    <t>•  HLP share: 1% of perp+spot fees from 2025-08-30 (3% before); on spot it applies to (fees − Unit). ASSUMPTION: HIP-4 is modelled on the same HLP share — Hyperliquid has not published an HIP-4-specific HLP split. The amounts are immaterial (&lt;$100 cumulative), and any accrual-vs-buyback timing difference is absorbed by the core-perp residual.</t>
  </si>
  <si>
    <t>•  HIP-4 (outcome / prediction markets) IS MONETISED, AND THIRD-PARTY DEPLOYMENT IS NOW LIVE ON MAINNET. Launch 2026-05-02 was effectively zero-fee. Fees follow HyperCore's spot schedule (7bps taker / 4bps maker) but are charged ONLY on CLOSE / SETTLE - opening or minting an outcome position is free - so the realised take-rate sits far below the nominal schedule. PERMISSIONLESS THIRD-PARTY DEPLOYMENT SHIPPED TO MAINNET ON 2026-08-29 (network upgrade ~08:39 UTC); a deployer must stake 500,000 HYPE for at least six months and activate via activateOutcomeDeployer. THE DATA SHOWS THE STEP CHANGE: live markets went 26 -&gt; 90 on 2026-08-29 and reached 743 by 2026-09-18, and daily fees stepped from $270-350 to $850-2,900. Market types broadened from BTC price buckets alone to football (UEFA Champions League, La Liga), company-IPO and policy-rate templates. Cumulative fees $40.3K on $771.5M of volume (0.52bp blended) - immaterial against $1.12bn of protocol revenue, but no longer flat. Volume &amp; fees now come from ASXN outcome-coins/analytics/daily, which began serving history; see the HIP-4 column notes for the unreconciled difference vs the Loris series it replaces.</t>
  </si>
  <si>
    <t>•  HIP-4 DEPLOYER REVENUE SHARE IS STILL MODELLED AT $0 - NOW AN ASSUMPTION, NOT AN OBSERVATION. FLAGGED. Three third-party venues are live, each with its own deployer address, per Hyperliquid's own API (POST api.hyperliquid.xyz/info type=outcomeMeta -&gt; deployers): venue 'out' = 0x0c46eb73fae2816f219fcf11f50d6d3c59b5819e (Outcome, the first permissionless HIP-4 builder), 'skew' = 0x08e9c89f46dccee91bdb85c6532eb93a4c335efe, 'txyz' = 0x7aca09667816a4817b8bc697fb239ad42ff9f553. Of 201 live outcomes, 99 sit on out, 52 on skew, 42 on txyz and 8 on the original Hyperliquid-canonical series. outcomeMeta also carries deployerFeeScale 1.0 (global feeScale 1.0) on 151 of the 201. WHAT IS NOT ESTABLISHED: Hyperliquid's fee docs grant the explicit up-to-50% deployer share to SPOT and HIP-3 PERP deployers and do NOT extend that sentence to outcome markets, and ASXN publishes NO HIP-4 line in its income statement (no fees_hip4, no fees_hip4_deployer), so there is no published split to read. The column is therefore held at zero and marked an assumption. Worst case it is wrong by 50% of $40.3K cumulative fees (~$20K), which moves no total in this model.</t>
  </si>
  <si>
    <t>•  HIP-3 VOLUME AND FEES NOW BOTH COME FROM ASXN . Volume: /api/meta/hip3/daily-volume-chart. Fees: /api/income-statement fees_hip3 (protocol) + fees_hip3_deployer (deployer), which ASXN reconstructs from HL node_fills (S3) using each dex's per-day deployerShare. VOLUME BARELY MOVED (+0.12% cumulative vs Loris over the 310-day overlap) - the swap is about the FEES.</t>
  </si>
  <si>
    <t>•  HIP-3 FEES ARE SPLIT AT SOURCE. ASXN gives fees_hip3 (protocol / Assistance-Fund-bound) and fees_hip3_deployer (the third-party DEX deployer cut) as separate fields, derived per-day from each dex's deployerShare (deployerFeeScale). Gross is reconstructed as fees_hip3 x (1+HLP Rate) + deployer, the one form that makes the bridge land back on ASXN's own fees_hip3 exactly ($0.00 over 315 days). Note Loris's timeseries.total_fees is NOT gross - it tracks the protocol portion (median daily ratio 0.982 against ASXN fees_hip3, 0.496 against ASXN gross), which is why this model does not use it.</t>
  </si>
  <si>
    <t>•  HIP-3 DEPLOYER SHARE IS ~50%, VISIBLE IN THE DATA. On ASXN's split the deployer take is exactly 50.0% of gross for 2025-10..2025-12 and 47.5-49.9% since, consistent with HIP-3's published 50% cap with some DEXs electing a lower share. Deployer fees never reach the Assistance Fund, so they can never fund a buyback and are excluded from revenue throughout.</t>
  </si>
  <si>
    <t>•  HIP-3 CATEGORY SPLIT: EXACT per-symbol HIP-3 volume (HL perpDexs candles, 262 listings across 10 deployer DEXs), each symbol mapped to an asset category and then pro-rated by (ASXN HIP-3 volume total / sum of categories) so the 7 categories sum exactly to HIP-3 volume on every day. The mapping uses ASXN's OWN published per-symbol category map first, with a local map for the 67 listings ASXN has not yet categorised; zero symbols are unmapped. Validated against ASXN's category feed over the 266-day overlap: every category within ~1.2pp of ASXN's mix (indices −1.2pp, commodities +0.5pp, stocks +0.5pp, the rest &lt;0.1pp).</t>
  </si>
  <si>
    <t>•  CXMT (ChangXin Memory) and UNITREE (Unitree Robotics) are classified as STOCKS, not pre-IPO. Both are absent from ASXN's per-symbol map so the call was made empirically: as pre-IPO they push the pre-IPO share +0.21pp above ASXN's own feed, as stocks pre-IPO lands at −0.02pp. Flagged because it is a judgement call on ~$1.2B of volume.</t>
  </si>
  <si>
    <t>•  BONDS: US Treasury bond perps — km:USBOND (from 2026-01-21) and para:10Y (from 2026-08-12, priced as the 10-year yield ~4.7). Together ~0.01% of HIP-3 volume. Shown as their own column and excluded from the 6-category ASXN comparison above (hyperscreener does not surface a bonds category).</t>
  </si>
  <si>
    <t>•  PRE-2025-03-20 REVENUE: hyperscreener's HyperCore buyback/revenue feed only begins 2025-03-20. Before that, the AMBER-shaded HyperCore Revenue (and the segment bridge it drives) is built from DefiLlama perp+spot holders-revenue, available from 2024-12-23. Cumulative pre-program revenue ($131.7M) reconciles to the AF's actual on-chain HYPE accumulation ($133.5M / 6.31M HYPE) within 1.3%. Pre-program Buyback HYPE = daily AF-balance increase; price = HYPE market price. HyperEVM/Auction burn set to 0 pre-program (HyperEVM mainnet 2025-02-18; immaterial). All values from 2025-03-20 onward are unchanged hyperscreener data.</t>
  </si>
  <si>
    <t>•  TEAM UNLOCKS — GAP NOW CLOSED THROUGH 2026-09-06. "Team Tokens Unlocked" is read straight off-chain from the core-contributor address 0x43e9abea1910387c4292bca4b94de81462f8a251 (POST api.hyperliquid.xyz/info, type=userNonFundingLedgerUpdates, summing outgoing HYPE spotTransfers) for every claim from 2026-05-06 onward, refreshed 2026-09-21 and now including the 2026-09-06 claim of 433,419 HYPE. Claims from 2025-11-06 to 2026-04-06 still come from the public trackers (insights.unlocks.app / tokenomist) and are NOT re-sourced; on the overlap the chain disagrees with them in two places (2026-03-06 vs an on-chain 2026-03-07, and 330,000 vs an on-chain 333,335 on 2026-04-06, +3,335 HYPE). Those tracker values are left as-is pending instruction. After the last sourced claim "Core Contributors Locked" is HELD FLAT and "Circulating Token Supply" inherits that - both amber from 2026-09-07 onward. OTS is unaffected (team vesting moves tokens Core-&gt;Circulating without changing OTS).</t>
  </si>
  <si>
    <t>•  IMPLIED STAKING YIELD is computed from this sheet's own columns: Staking Emissions x 365 / (HYPE Staked x 1e6). It is the naive annualized network yield, NOT ASXN's published APR (which is a smoothed, reward-curve figure on a different stake basis). Quarterly value = average of the daily values in the quarter.</t>
  </si>
  <si>
    <t>•  OTS (Hyperliquid Strategies basis) = 1,000M − Future Emissions&amp;CR − Hyper Foundation − Assistance Fund − Community Grants − HyperCore&amp;HyperEVM fee burns. Validated to HL Strategies 29-Apr-2026 (477.0M vs 476.7M). Split into Core Contributors (locked) + Circulating.</t>
  </si>
  <si>
    <t>•  BUILDER CODE FEES are informational only (on-top, never deducted in the bridge). ASXN revises this series: the 2026-05-21..06-04 window came back 10-25% LOWER on the 2026-08-19 pull than on the 2026-06-04 pull. The newer values are used for the overlap; pre-2026-05-21 days are carried from the earlier pull because the endpoint only serves a trailing ~90-day window.</t>
  </si>
  <si>
    <t>FIELD MAP — what each model line reads, and exactly where it comes from</t>
  </si>
  <si>
    <t>Model line</t>
  </si>
  <si>
    <t>Endpoint</t>
  </si>
  <si>
    <t>Field</t>
  </si>
  <si>
    <t>Basis / note</t>
  </si>
  <si>
    <t>HyperCore Revenue</t>
  </si>
  <si>
    <t>api/buyback/revenues</t>
  </si>
  <si>
    <t>data[].'HyperCore Buybacks'</t>
  </si>
  <si>
    <t>Source value, taken as given. The north star. 522 days from 2025-03-20.</t>
  </si>
  <si>
    <t>HyperEVM Burn</t>
  </si>
  <si>
    <t>data[].'HyperEVM Burn'</t>
  </si>
  <si>
    <t>Source value.</t>
  </si>
  <si>
    <t>Auction Burn</t>
  </si>
  <si>
    <t>data[].'Auction Burn'</t>
  </si>
  <si>
    <t>Core Crypto Perp Revenue</t>
  </si>
  <si>
    <t>— (no endpoint)</t>
  </si>
  <si>
    <t>—</t>
  </si>
  <si>
    <t>RESIDUAL PLUG = HyperCore Revenue - Spot - HIP-3 - HIP-4. Every error elsewhere lands here.</t>
  </si>
  <si>
    <t>Spot Revenue</t>
  </si>
  <si>
    <t>api/income-statement</t>
  </si>
  <si>
    <t>fees_spot</t>
  </si>
  <si>
    <t>ASXN labels it "Spot Markets". Already net of Unit and HLP. Bridge reproduces it to $0.00 over 372 days.</t>
  </si>
  <si>
    <t>HIP-3 Revenue</t>
  </si>
  <si>
    <t>fees_hip3</t>
  </si>
  <si>
    <t>ASXN labels it "HIP-3" under Perp Revenue. Already net of deployer and HLP. Bridge reproduces it to $0.00 over 315 days.</t>
  </si>
  <si>
    <t>(-) Unit Protocol Fees</t>
  </si>
  <si>
    <t>fees_spot_unit</t>
  </si>
  <si>
    <t>Hyperunit deployer cut. DefiLlama /summary/fees/unit before 2025-08-17 (amber).</t>
  </si>
  <si>
    <t>(-) HIP-3 Deployer Fees</t>
  </si>
  <si>
    <t>fees_hip3_deployer</t>
  </si>
  <si>
    <t>Third-party DEX operator cut; never reaches the AF. JSON only - not shown in ASXN UI.</t>
  </si>
  <si>
    <t>(-) HLP (all segments)</t>
  </si>
  <si>
    <t>ASXN UI only — NOT in the JSON</t>
  </si>
  <si>
    <t>Revenue tab &gt; Costs &gt; HLP</t>
  </si>
  <si>
    <t>COMPUTED CLIENT-SIDE by ASXN as exactly 1% of NET revenue. Model uses rate/(1+rate) on the grossed-up base and matches their row to the cent across 9 months.</t>
  </si>
  <si>
    <t>Spot Fees incl Unit</t>
  </si>
  <si>
    <t>DERIVED</t>
  </si>
  <si>
    <t>ASXN publishes no gross spot-fee line. DefiLlama dailyFees before 2025-08-17 (amber).</t>
  </si>
  <si>
    <t>HIP-3 Gross Fees</t>
  </si>
  <si>
    <t>ASXN publishes no gross HIP-3 fee line.</t>
  </si>
  <si>
    <t>Core Crypto Perp Vol</t>
  </si>
  <si>
    <t>api/cloudfront/total_volume</t>
  </si>
  <si>
    <t>sum of all coins less dex: coins</t>
  </si>
  <si>
    <t>Single-sided notional. Ties to api/cloudfront/hip3_percentage total at ratio 1.0000.</t>
  </si>
  <si>
    <t>HIP-3 Perp Vol</t>
  </si>
  <si>
    <t>api/meta/hip3/daily-volume-chart</t>
  </si>
  <si>
    <t>total_volume</t>
  </si>
  <si>
    <t>Date-realigned +1 day through 2025-11-26; see the column comment.</t>
  </si>
  <si>
    <t>Spot Vol</t>
  </si>
  <si>
    <t>api/spot-ecosystem/hl-spot-ecosystem</t>
  </si>
  <si>
    <t>marketData[date][].'Daily Volume'</t>
  </si>
  <si>
    <t>Summed across all 307 listings. DefiLlama fill on 293 of 632 days (amber).</t>
  </si>
  <si>
    <t>HIP-4 Vol / Fees</t>
  </si>
  <si>
    <t>ASXN hyperscreener</t>
  </si>
  <si>
    <t>outcome-coins/analytics/daily -&gt; total_volume_usdc, total_fee_usdc</t>
  </si>
  <si>
    <t>ASXN (v9); paged in 30-day windows. Replaces Loris - see column note for the unreconciled volume difference.</t>
  </si>
  <si>
    <t>HIP-3 categories</t>
  </si>
  <si>
    <t>api/categories/hip3-categories/historical</t>
  </si>
  <si>
    <t>commodities, crypto, fx, indices, preipo, stocks</t>
  </si>
  <si>
    <t>Pre-2025-11-27 backfilled from ASXN per-symbol map (amber).</t>
  </si>
  <si>
    <t>Buyback HYPE / price</t>
  </si>
  <si>
    <t>api/buyback/hl-buybacks</t>
  </si>
  <si>
    <t>sz, average_price</t>
  </si>
  <si>
    <t>Source values.</t>
  </si>
  <si>
    <t>api/buyback/assistance-fund-holdings</t>
  </si>
  <si>
    <t>balance</t>
  </si>
  <si>
    <t>Month/period-end.</t>
  </si>
  <si>
    <t>Supply &amp; fee burns</t>
  </si>
  <si>
    <t>api/buyback/daily-burn</t>
  </si>
  <si>
    <t>dailyBurn, currentDaySupply</t>
  </si>
  <si>
    <t>HyperCore burns only; HyperEVM leg added separately.</t>
  </si>
  <si>
    <t>Emissions / circulating</t>
  </si>
  <si>
    <t>api/validators/daily-emissions</t>
  </si>
  <si>
    <t>dailyEmission, currentDayFutureEmission, currentDaySupply</t>
  </si>
  <si>
    <t>HYPE Staked</t>
  </si>
  <si>
    <t>api/validators/hype-staking/metrics</t>
  </si>
  <si>
    <t>stakeSupplyTimeseries[].totalStake</t>
  </si>
  <si>
    <t>Period-end.</t>
  </si>
  <si>
    <t>HYPE Price</t>
  </si>
  <si>
    <t>api/buyback/hype-price</t>
  </si>
  <si>
    <t>close</t>
  </si>
  <si>
    <t>Daily OHLCV.</t>
  </si>
  <si>
    <t>Hyper Foundation / Community Grants</t>
  </si>
  <si>
    <t>hypestrat.xyz/hype-tokenomics</t>
  </si>
  <si>
    <t>60,429,540 / 2,966,562</t>
  </si>
  <si>
    <t>Fixed constants, NOT ASXN.</t>
  </si>
  <si>
    <t>Data</t>
  </si>
  <si>
    <t>Source</t>
  </si>
  <si>
    <t>Endpoint / URL</t>
  </si>
  <si>
    <t>Notes</t>
  </si>
  <si>
    <t>FIELD MAP — every model line traced to its exact endpoint and field</t>
  </si>
  <si>
    <t>Field / formula</t>
  </si>
  <si>
    <t>Type</t>
  </si>
  <si>
    <t>/api/buyback/revenues</t>
  </si>
  <si>
    <t>SOURCE (north star)</t>
  </si>
  <si>
    <t>SOURCE</t>
  </si>
  <si>
    <t>FORMULA (cash basis)</t>
  </si>
  <si>
    <t>/api/income-statement?time_range=all&amp;granularity=daily</t>
  </si>
  <si>
    <t>fees_perp</t>
  </si>
  <si>
    <t>/api/income-statement</t>
  </si>
  <si>
    <t>FORMULA -&gt; ties to ASXN</t>
  </si>
  <si>
    <t>ASXN outcome-coins/analytics/daily</t>
  </si>
  <si>
    <t>FORMULA</t>
  </si>
  <si>
    <t>FORMULA (accrual basis)</t>
  </si>
  <si>
    <t>Check: model - hyperscreener</t>
  </si>
  <si>
    <t>FORMULA (diagnostic)</t>
  </si>
  <si>
    <t>(-) HLP on each segment</t>
  </si>
  <si>
    <t>UI-only (Revenue tab &gt; Costs &gt; HLP)</t>
  </si>
  <si>
    <t>DERIVED, validated vs UI</t>
  </si>
  <si>
    <t>DefiLlama methodology</t>
  </si>
  <si>
    <t>1% from 2025-08-30, 3% before</t>
  </si>
  <si>
    <t>ASSUMPTION</t>
  </si>
  <si>
    <t>/api/cloudfront/total_volume</t>
  </si>
  <si>
    <t>sum(all coins) - sum(dex: coins)</t>
  </si>
  <si>
    <t>/api/meta/hip3/daily-volume-chart?timeframe=all</t>
  </si>
  <si>
    <t>total_volume (date-realigned pre-2025-11-27)</t>
  </si>
  <si>
    <t>/api/spot-ecosystem/hl-spot-ecosystem</t>
  </si>
  <si>
    <t>sum of all tokens' 'Daily Volume'</t>
  </si>
  <si>
    <t>SOURCE (DefiLlama fills gaps)</t>
  </si>
  <si>
    <t>HIP-4 Vol / Fees ($)</t>
  </si>
  <si>
    <t>total_volume_usdc, total_fee_usdc</t>
  </si>
  <si>
    <t>hardcoded 0 (permissionless is testnet-only)</t>
  </si>
  <si>
    <t>/api/categories/hip3-categories/historical</t>
  </si>
  <si>
    <t>6 categories, pro-rated to HIP-3 volume</t>
  </si>
  <si>
    <t>SOURCE + pro-rate</t>
  </si>
  <si>
    <t>Buyback HYPE / Price</t>
  </si>
  <si>
    <t>/api/buyback/hl-buybacks</t>
  </si>
  <si>
    <t>/api/buyback/assistance-fund-holdings</t>
  </si>
  <si>
    <t>Staking Emissions / Supply</t>
  </si>
  <si>
    <t>/api/validators/daily-emissions</t>
  </si>
  <si>
    <t>dailyEmission, currentDayFutureEmission</t>
  </si>
  <si>
    <t>Fee Burn / Total Supply</t>
  </si>
  <si>
    <t>/api/buyback/daily-burn</t>
  </si>
  <si>
    <t>/api/validators/hype-staking/metrics</t>
  </si>
  <si>
    <t>/api/buyback/hype-price</t>
  </si>
  <si>
    <t>Builder Code Fees ($)</t>
  </si>
  <si>
    <t>/api/node/builders/stacked-fees-chart?days=90</t>
  </si>
  <si>
    <t>sum of builders[].fees</t>
  </si>
  <si>
    <t>Hyper Foundation / Grants</t>
  </si>
  <si>
    <t>EXTERNAL CONSTANT</t>
  </si>
  <si>
    <t>Team Tokens Unlocked</t>
  </si>
  <si>
    <t>HL L1 API (on-chain) from May-2026; trackers before</t>
  </si>
  <si>
    <t>complete through 2026-09-06; held flat after</t>
  </si>
  <si>
    <t>Core / total perp volume</t>
  </si>
  <si>
    <t>hyperscreener (ASXN)</t>
  </si>
  <si>
    <t>https://api-hyperliquid.asxn.xyz/api/cloudfront/total_volume</t>
  </si>
  <si>
    <t>Daily $ by coin, summed. Core = total − HIP-3.</t>
  </si>
  <si>
    <t>HIP-3 volume</t>
  </si>
  <si>
    <t>https://api-hyperliquid.asxn.xyz/api/meta/hip3/daily-volume-chart?timeframe=all</t>
  </si>
  <si>
    <t>total_volume across all 10 deployer DEXs, from 2025-10-12. Date-realigned +1 day through 2025-11-26 (see the column comment).</t>
  </si>
  <si>
    <t>HIP-3 gross &amp; deployer fees</t>
  </si>
  <si>
    <t>https://api-hyperliquid.asxn.xyz/api/income-statement?time_range=all&amp;granularity=daily</t>
  </si>
  <si>
    <t>fees_hip3 (protocol/AF-bound) + fees_hip3_deployer (deployer cut). Gross = the two summed. Reconstructed by ASXN from HL node_fills (S3) using each dex's per-day deployerShare. Note Loris total_fees is the PROTOCOL portion, not gross, which is why it is not used here.</t>
  </si>
  <si>
    <t>HIP-4 volume &amp; fees</t>
  </si>
  <si>
    <t>https://api-hyperliquid.asxn.xyz/api/outcome-coins/analytics/daily?start_date=YYYYMMDD&amp;end_date=YYYYMMDD</t>
  </si>
  <si>
    <t>total_volume_usdc + total_fee_usdc, 2026-05-03..2026-09-19. Endpoint caps at 30 rows per call, so it is paged in 30-day windows. v9 change from Loris; on the 114-day overlap ASXN volume is +128.9% and ASXN fees -18.5% vs Loris, unreconciled (neither publishes an outcome-token notional methodology).</t>
  </si>
  <si>
    <t>HIP-3 per-symbol volume (category split)</t>
  </si>
  <si>
    <t>Hyperliquid L1 API</t>
  </si>
  <si>
    <t>https://api.hyperliquid.xyz/info  type=perpDexs / meta / candleSnapshot</t>
  </si>
  <si>
    <t>262 listings x daily 1d candles, vol_usd = base volume x close. 23,388 rows.</t>
  </si>
  <si>
    <t>HIP-3 per-symbol category map</t>
  </si>
  <si>
    <t>https://api-hyperliquid.asxn.xyz/api/categories/hip3-categories</t>
  </si>
  <si>
    <t>209 dex-qualified symbol→category records (ASXN's own mapping). Primary source for the split.</t>
  </si>
  <si>
    <t>HIP-3 category cross-check</t>
  </si>
  <si>
    <t>https://api-hyperliquid.asxn.xyz/api/categories/hip3-categories/historical</t>
  </si>
  <si>
    <t>Daily category totals; used ONLY to validate the per-symbol mapping, not as an input.</t>
  </si>
  <si>
    <t>Spot volume / fees / revenue</t>
  </si>
  <si>
    <t>DefiLlama</t>
  </si>
  <si>
    <t>https://api.llama.fi/summary/fees/hyperliquid-spot-orderbook · /dexs/hyperliquid-spot-orderbook</t>
  </si>
  <si>
    <t>dailyVolume, dailyFees (incl Unit), dailyHoldersRevenue.</t>
  </si>
  <si>
    <t>Unit protocol fees</t>
  </si>
  <si>
    <t>https://api.llama.fi/summary/fees/unit</t>
  </si>
  <si>
    <t>Hyperunit deployer cut on spot tokens it deploys.</t>
  </si>
  <si>
    <t>HyperCore revenue / buyback / AF</t>
  </si>
  <si>
    <t>https://api-hyperliquid.asxn.xyz/api/buyback/revenues · /hl-buybacks · /assistance-fund-holdings</t>
  </si>
  <si>
    <t>HyperCore Buybacks (north star), HyperEVM &amp; auction burn, buyback HYPE/price, AF balance. 517 days from 2025-03-20.</t>
  </si>
  <si>
    <t>Emissions / supply / fee burns</t>
  </si>
  <si>
    <t>https://api-hyperliquid.asxn.xyz/api/validators/daily-emissions · buyback/daily-burn</t>
  </si>
  <si>
    <t>dailyEmission, future-emission, total supply, dailyBurn.</t>
  </si>
  <si>
    <t>HYPE staked + implied yield</t>
  </si>
  <si>
    <t>https://api-hyperliquid.asxn.xyz/api/validators/hype-staking/metrics</t>
  </si>
  <si>
    <t>totalStake is source. Implied yield is COMPUTED = Emissions x 365 / (Staked x 1e6), not ASXN's reported APR.</t>
  </si>
  <si>
    <t>Builder code fees (on-top)</t>
  </si>
  <si>
    <t>https://api-hyperliquid.asxn.xyz/api/node/builders/stacked-fees-chart?days=90</t>
  </si>
  <si>
    <t>Pass-through to front-ends; not in the bridge. Trailing ~90-day window only — older days carried from the 2026-06-04 pull.</t>
  </si>
  <si>
    <t>HLP share (1%/3%)</t>
  </si>
  <si>
    <t>hyperliquid-perps &amp; -spot-orderbook breakdownMethodology</t>
  </si>
  <si>
    <t>1% from 2025-08-30, 3% before.</t>
  </si>
  <si>
    <t>HIP-4 fee schedule &amp; deployer terms</t>
  </si>
  <si>
    <t>Hyperliquid docs + press</t>
  </si>
  <si>
    <t>hyperliquid.gitbook.io HIP-4 · The Block 2026-07-20 · OAK Research</t>
  </si>
  <si>
    <t>Spot schedule 7bps taker / 4bps maker, charged on close/settle only. Deployers: 500k HYPE stake (6mo, slashable), up to 50% fee share. Permissionless = testnet 2026-08-01, not yet mainnet.</t>
  </si>
  <si>
    <t>OTS definition + 29-Apr-2026 anchor</t>
  </si>
  <si>
    <t>Hyperliquid Strategies</t>
  </si>
  <si>
    <t>Summary of Token Supply statement</t>
  </si>
  <si>
    <t>OTS buckets; Core Contributors / Circulating split.</t>
  </si>
  <si>
    <t>Team / core-contributor unlocks</t>
  </si>
  <si>
    <t>Hyperliquid L1 API (on-chain) · trackers for pre-May-2026</t>
  </si>
  <si>
    <t>POST api.hyperliquid.xyz/info type=userNonFundingLedgerUpdates, user 0x43e9abea1910387c4292bca4b94de81462f8a251</t>
  </si>
  <si>
    <t>May-2026 onward read straight off-chain (outgoing HYPE spotTransfers from the core-contributor address), refreshed 2026-09-21 and now complete through the 2026-09-06 claim of 433,419 HYPE. Nov-2025..Apr-2026 still come from the public trackers and are NOT re-sourced - see the Team Unlocks note above.</t>
  </si>
  <si>
    <t>Perp revenue (cross-check only)</t>
  </si>
  <si>
    <t>https://api.llama.fi/summary/fees/hyperliquid-perps</t>
  </si>
  <si>
    <t>Accrual basis; runs above the hyperscreener buyback cumulatively (timing).</t>
  </si>
  <si>
    <t>HYPERLIQUID (HYPE) — QUARTERLY.  Same columns as Daily.  Flows summed (SUMIFS); stocks/rates at period-end; OTS at quarter-end.</t>
  </si>
  <si>
    <t>HYPERLIQUID (HYPE) — DAILY .  Volumes -&gt; Gross Fees -&gt; Fee→Revenue bridge (−HLP, −Unit, −HIP-3/HIP-4 deployer; builder is on-top) -&gt; Revenue per segment (sum = HyperCore = hyperscreener) -&gt; + HyperEVM + Auction = Total Revenue.  Then AF/supply &amp; OTS.  Daily 2024-11-30 → 2026-09-19.  Hover headers for source.  blue=ASXN/primary source · black=formula · green=derived, cross-check or SECONDARY-SOURCE fill · amber shading=NOT ASXN (spot volume: DefiLlama fill; revenue: DefiLlama pre-2025-03-20; categories: pre-2025-11-27 backfill) (revenue: DefiLlama pre-2025-03-20; team unlocks &amp; the two supply-split columns: held flat after 2026-09-06).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</si>
</sst>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quot;-&quot;"/>
    <numFmt numFmtId="166" formatCode="0.00;\(0.00\);&quot;-&quot;"/>
    <numFmt numFmtId="167" formatCode="#,##0;\(#,##0\);&quot;-&quot;"/>
    <numFmt numFmtId="168" formatCode="#,##0.0"/>
    <numFmt numFmtId="169" formatCode="\$#,##0.00"/>
    <numFmt numFmtId="170" formatCode="0.0000"/>
  </numFmts>
  <fonts count="10" x14ac:knownFonts="1">
    <font>
      <sz val="11"/>
      <color theme="1"/>
      <name val="Calibri"/>
      <family val="2"/>
      <scheme val="minor"/>
    </font>
    <font>
      <b/>
      <sz val="10"/>
      <color rgb="FFFFFFFF"/>
      <name val="Arial"/>
      <family val="2"/>
    </font>
    <font>
      <b/>
      <sz val="9"/>
      <color rgb="FFFFFFFF"/>
      <name val="Arial"/>
      <family val="2"/>
    </font>
    <font>
      <sz val="9"/>
      <color rgb="FF000000"/>
      <name val="Arial"/>
      <family val="2"/>
    </font>
    <font>
      <sz val="9"/>
      <color rgb="FF0000FF"/>
      <name val="Arial"/>
      <family val="2"/>
    </font>
    <font>
      <sz val="9"/>
      <color rgb="FF0B6E4F"/>
      <name val="Arial"/>
      <family val="2"/>
    </font>
    <font>
      <b/>
      <sz val="9"/>
      <color rgb="FF000000"/>
      <name val="Arial"/>
      <family val="2"/>
    </font>
    <font>
      <b/>
      <sz val="11"/>
      <color rgb="FFFFFFFF"/>
      <name val="Arial"/>
      <family val="2"/>
    </font>
    <font>
      <i/>
      <sz val="9"/>
      <color rgb="FF555555"/>
      <name val="Arial"/>
      <family val="2"/>
    </font>
    <font>
      <sz val="9"/>
      <color rgb="FF1A1A1A"/>
      <name val="Arial"/>
      <family val="2"/>
    </font>
  </fonts>
  <fills count="12">
    <fill>
      <patternFill patternType="none"/>
    </fill>
    <fill>
      <patternFill patternType="gray125"/>
    </fill>
    <fill>
      <patternFill patternType="solid">
        <fgColor rgb="FF1F2937"/>
      </patternFill>
    </fill>
    <fill>
      <patternFill patternType="solid">
        <fgColor rgb="FF374151"/>
      </patternFill>
    </fill>
    <fill>
      <patternFill patternType="solid">
        <fgColor rgb="FF0B6E4F"/>
      </patternFill>
    </fill>
    <fill>
      <patternFill patternType="solid">
        <fgColor rgb="FF1D4E89"/>
      </patternFill>
    </fill>
    <fill>
      <patternFill patternType="solid">
        <fgColor rgb="FF7A4FB8"/>
      </patternFill>
    </fill>
    <fill>
      <patternFill patternType="solid">
        <fgColor rgb="FFB8460B"/>
      </patternFill>
    </fill>
    <fill>
      <patternFill patternType="solid">
        <fgColor rgb="FF1A1A1A"/>
      </patternFill>
    </fill>
    <fill>
      <patternFill patternType="solid">
        <fgColor rgb="FF444444"/>
      </patternFill>
    </fill>
    <fill>
      <patternFill patternType="solid">
        <fgColor rgb="FFFDE9D9"/>
      </patternFill>
    </fill>
    <fill>
      <patternFill patternType="solid">
        <fgColor rgb="FFFFF4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164" fontId="3" fillId="0" borderId="1" xfId="0" applyNumberFormat="1" applyFont="1" applyBorder="1"/>
    <xf numFmtId="165" fontId="4" fillId="0" borderId="1" xfId="0" applyNumberFormat="1" applyFont="1" applyBorder="1"/>
    <xf numFmtId="165" fontId="5" fillId="10" borderId="1" xfId="0" applyNumberFormat="1" applyFont="1" applyFill="1" applyBorder="1"/>
    <xf numFmtId="10" fontId="3" fillId="0" borderId="1" xfId="0" applyNumberFormat="1" applyFont="1" applyBorder="1"/>
    <xf numFmtId="166" fontId="3" fillId="0" borderId="1" xfId="0" applyNumberFormat="1" applyFont="1" applyBorder="1"/>
    <xf numFmtId="167" fontId="4" fillId="0" borderId="1" xfId="0" applyNumberFormat="1" applyFont="1" applyBorder="1"/>
    <xf numFmtId="168" fontId="4" fillId="0" borderId="1" xfId="0" applyNumberFormat="1" applyFont="1" applyBorder="1"/>
    <xf numFmtId="167" fontId="3" fillId="0" borderId="1" xfId="0" applyNumberFormat="1" applyFont="1" applyBorder="1"/>
    <xf numFmtId="167" fontId="5" fillId="0" borderId="1" xfId="0" applyNumberFormat="1" applyFont="1" applyBorder="1"/>
    <xf numFmtId="167" fontId="6" fillId="0" borderId="1" xfId="0" applyNumberFormat="1" applyFont="1" applyBorder="1"/>
    <xf numFmtId="168" fontId="3" fillId="0" borderId="1" xfId="0" applyNumberFormat="1" applyFont="1" applyBorder="1"/>
    <xf numFmtId="165" fontId="3" fillId="0" borderId="1" xfId="0" applyNumberFormat="1" applyFont="1" applyBorder="1"/>
    <xf numFmtId="165" fontId="6" fillId="0" borderId="1" xfId="0" applyNumberFormat="1" applyFont="1" applyBorder="1"/>
    <xf numFmtId="165" fontId="4" fillId="10" borderId="1" xfId="0" applyNumberFormat="1" applyFont="1" applyFill="1" applyBorder="1"/>
    <xf numFmtId="165" fontId="5" fillId="0" borderId="1" xfId="0" applyNumberFormat="1" applyFont="1" applyBorder="1"/>
    <xf numFmtId="167" fontId="5" fillId="10" borderId="1" xfId="0" applyNumberFormat="1" applyFont="1" applyFill="1" applyBorder="1"/>
    <xf numFmtId="169" fontId="5" fillId="10" borderId="1" xfId="0" applyNumberFormat="1" applyFont="1" applyFill="1" applyBorder="1"/>
    <xf numFmtId="169" fontId="4" fillId="0" borderId="1" xfId="0" applyNumberFormat="1" applyFont="1" applyBorder="1"/>
    <xf numFmtId="170" fontId="5" fillId="0" borderId="1" xfId="0" applyNumberFormat="1" applyFont="1" applyBorder="1"/>
    <xf numFmtId="167" fontId="6" fillId="10" borderId="1" xfId="0" applyNumberFormat="1" applyFont="1" applyFill="1" applyBorder="1"/>
    <xf numFmtId="168" fontId="3" fillId="10" borderId="1" xfId="0" applyNumberFormat="1" applyFont="1" applyFill="1" applyBorder="1"/>
    <xf numFmtId="165" fontId="3" fillId="10" borderId="1" xfId="0" applyNumberFormat="1" applyFont="1" applyFill="1" applyBorder="1"/>
    <xf numFmtId="0" fontId="6" fillId="0" borderId="1" xfId="0" applyFont="1" applyBorder="1"/>
    <xf numFmtId="164" fontId="0" fillId="0" borderId="1" xfId="0" applyNumberFormat="1" applyBorder="1"/>
    <xf numFmtId="169" fontId="3" fillId="0" borderId="1" xfId="0" applyNumberFormat="1" applyFont="1" applyBorder="1"/>
    <xf numFmtId="0" fontId="2" fillId="3" borderId="1" xfId="0" applyFont="1" applyFill="1" applyBorder="1"/>
    <xf numFmtId="0" fontId="9" fillId="0" borderId="1" xfId="0" applyFont="1" applyBorder="1" applyAlignment="1">
      <alignment vertical="top" wrapText="1"/>
    </xf>
    <xf numFmtId="0" fontId="2" fillId="4" borderId="0" xfId="0" applyFont="1" applyFill="1" applyAlignment="1">
      <alignment horizontal="center"/>
    </xf>
    <xf numFmtId="0" fontId="0" fillId="0" borderId="0" xfId="0"/>
    <xf numFmtId="0" fontId="2" fillId="5" borderId="0" xfId="0" applyFont="1" applyFill="1" applyAlignment="1">
      <alignment horizontal="center"/>
    </xf>
    <xf numFmtId="0" fontId="2" fillId="7" borderId="0" xfId="0" applyFont="1" applyFill="1" applyAlignment="1">
      <alignment horizontal="center"/>
    </xf>
    <xf numFmtId="0" fontId="2" fillId="9" borderId="0" xfId="0" applyFont="1" applyFill="1" applyAlignment="1">
      <alignment horizontal="center"/>
    </xf>
    <xf numFmtId="0" fontId="1" fillId="2" borderId="0" xfId="0" applyFont="1" applyFill="1" applyAlignment="1">
      <alignment vertical="center" wrapText="1"/>
    </xf>
    <xf numFmtId="0" fontId="2" fillId="6" borderId="0" xfId="0" applyFont="1" applyFill="1" applyAlignment="1">
      <alignment horizontal="center"/>
    </xf>
    <xf numFmtId="0" fontId="2" fillId="8" borderId="0" xfId="0" applyFont="1" applyFill="1" applyAlignment="1">
      <alignment horizontal="center"/>
    </xf>
    <xf numFmtId="0" fontId="8" fillId="11" borderId="0" xfId="0" applyFont="1" applyFill="1" applyAlignment="1">
      <alignment vertical="top" wrapText="1"/>
    </xf>
    <xf numFmtId="0" fontId="1" fillId="2" borderId="0" xfId="0" applyFont="1" applyFill="1"/>
    <xf numFmtId="0" fontId="7"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662"/>
  <sheetViews>
    <sheetView showGridLines="0" tabSelected="1" workbookViewId="0">
      <pane xSplit="1" ySplit="3" topLeftCell="AB4" activePane="bottomRight" state="frozen"/>
      <selection pane="topRight"/>
      <selection pane="bottomLeft"/>
      <selection pane="bottomRight" activeCell="AG3" sqref="AG3"/>
    </sheetView>
  </sheetViews>
  <sheetFormatPr defaultRowHeight="15" x14ac:dyDescent="0.25"/>
  <cols>
    <col min="1" max="1" width="11" customWidth="1"/>
    <col min="2" max="60" width="15" customWidth="1"/>
  </cols>
  <sheetData>
    <row r="1" spans="1:60" ht="51.95" customHeight="1" x14ac:dyDescent="0.25">
      <c r="A1" s="35" t="s">
        <v>305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row>
    <row r="2" spans="1:60" ht="14.1" customHeight="1" x14ac:dyDescent="0.25">
      <c r="B2" s="30" t="s">
        <v>0</v>
      </c>
      <c r="C2" s="31"/>
      <c r="D2" s="31"/>
      <c r="E2" s="31"/>
      <c r="F2" s="32" t="s">
        <v>1</v>
      </c>
      <c r="G2" s="31"/>
      <c r="H2" s="31"/>
      <c r="I2" s="31"/>
      <c r="J2" s="31"/>
      <c r="K2" s="31"/>
      <c r="L2" s="31"/>
      <c r="M2" s="31"/>
      <c r="N2" s="36" t="s">
        <v>2</v>
      </c>
      <c r="O2" s="31"/>
      <c r="P2" s="31"/>
      <c r="Q2" s="31"/>
      <c r="R2" s="31"/>
      <c r="S2" s="33" t="s">
        <v>3</v>
      </c>
      <c r="T2" s="31"/>
      <c r="U2" s="31"/>
      <c r="V2" s="31"/>
      <c r="W2" s="31"/>
      <c r="X2" s="31"/>
      <c r="Y2" s="31"/>
      <c r="Z2" s="31"/>
      <c r="AA2" s="31"/>
      <c r="AB2" s="31"/>
      <c r="AC2" s="37" t="s">
        <v>4</v>
      </c>
      <c r="AD2" s="31"/>
      <c r="AE2" s="31"/>
      <c r="AF2" s="31"/>
      <c r="AG2" s="31"/>
      <c r="AH2" s="31"/>
      <c r="AI2" s="31"/>
      <c r="AJ2" s="33" t="s">
        <v>5</v>
      </c>
      <c r="AK2" s="31"/>
      <c r="AL2" s="31"/>
      <c r="AM2" s="31"/>
      <c r="AN2" s="34" t="s">
        <v>6</v>
      </c>
      <c r="AO2" s="31"/>
      <c r="AP2" s="31"/>
      <c r="AQ2" s="30" t="s">
        <v>7</v>
      </c>
      <c r="AR2" s="31"/>
      <c r="AS2" s="31"/>
      <c r="AT2" s="31"/>
      <c r="AU2" s="31"/>
      <c r="AV2" s="31"/>
      <c r="AW2" s="31"/>
      <c r="AX2" s="31"/>
      <c r="AY2" s="31"/>
      <c r="AZ2" s="32" t="s">
        <v>8</v>
      </c>
      <c r="BA2" s="31"/>
      <c r="BB2" s="31"/>
      <c r="BC2" s="31"/>
      <c r="BD2" s="31"/>
      <c r="BE2" s="31"/>
      <c r="BF2" s="31"/>
      <c r="BG2" s="31"/>
      <c r="BH2" s="31"/>
    </row>
    <row r="3" spans="1:60" ht="62.1" customHeight="1" x14ac:dyDescent="0.25">
      <c r="A3" s="1" t="s">
        <v>9</v>
      </c>
      <c r="B3" s="2" t="s">
        <v>10</v>
      </c>
      <c r="C3" s="2" t="s">
        <v>11</v>
      </c>
      <c r="D3" s="2" t="s">
        <v>12</v>
      </c>
      <c r="E3" s="2" t="s">
        <v>13</v>
      </c>
      <c r="F3" s="2" t="s">
        <v>14</v>
      </c>
      <c r="G3" s="2" t="s">
        <v>15</v>
      </c>
      <c r="H3" s="2" t="s">
        <v>16</v>
      </c>
      <c r="I3" s="2" t="s">
        <v>17</v>
      </c>
      <c r="J3" s="2" t="s">
        <v>18</v>
      </c>
      <c r="K3" s="2" t="s">
        <v>19</v>
      </c>
      <c r="L3" s="2" t="s">
        <v>20</v>
      </c>
      <c r="M3" s="2" t="s">
        <v>21</v>
      </c>
      <c r="N3" s="2" t="s">
        <v>22</v>
      </c>
      <c r="O3" s="2" t="s">
        <v>23</v>
      </c>
      <c r="P3" s="2" t="s">
        <v>24</v>
      </c>
      <c r="Q3" s="2" t="s">
        <v>25</v>
      </c>
      <c r="R3" s="2" t="s">
        <v>26</v>
      </c>
      <c r="S3" s="2" t="s">
        <v>27</v>
      </c>
      <c r="T3" s="2" t="s">
        <v>28</v>
      </c>
      <c r="U3" s="2" t="s">
        <v>29</v>
      </c>
      <c r="V3" s="2" t="s">
        <v>30</v>
      </c>
      <c r="W3" s="2" t="s">
        <v>31</v>
      </c>
      <c r="X3" s="2" t="s">
        <v>32</v>
      </c>
      <c r="Y3" s="2" t="s">
        <v>33</v>
      </c>
      <c r="Z3" s="2" t="s">
        <v>34</v>
      </c>
      <c r="AA3" s="2" t="s">
        <v>35</v>
      </c>
      <c r="AB3" s="2" t="s">
        <v>36</v>
      </c>
      <c r="AC3" s="2" t="s">
        <v>37</v>
      </c>
      <c r="AD3" s="2" t="s">
        <v>38</v>
      </c>
      <c r="AE3" s="2" t="s">
        <v>39</v>
      </c>
      <c r="AF3" s="2" t="s">
        <v>40</v>
      </c>
      <c r="AG3" s="2" t="s">
        <v>41</v>
      </c>
      <c r="AH3" s="2" t="s">
        <v>42</v>
      </c>
      <c r="AI3" s="2" t="s">
        <v>43</v>
      </c>
      <c r="AJ3" s="2" t="s">
        <v>44</v>
      </c>
      <c r="AK3" s="2" t="s">
        <v>45</v>
      </c>
      <c r="AL3" s="2" t="s">
        <v>46</v>
      </c>
      <c r="AM3" s="2" t="s">
        <v>47</v>
      </c>
      <c r="AN3" s="2" t="s">
        <v>48</v>
      </c>
      <c r="AO3" s="2" t="s">
        <v>49</v>
      </c>
      <c r="AP3" s="2" t="s">
        <v>50</v>
      </c>
      <c r="AQ3" s="2" t="s">
        <v>51</v>
      </c>
      <c r="AR3" s="2" t="s">
        <v>52</v>
      </c>
      <c r="AS3" s="2" t="s">
        <v>53</v>
      </c>
      <c r="AT3" s="2" t="s">
        <v>54</v>
      </c>
      <c r="AU3" s="2" t="s">
        <v>55</v>
      </c>
      <c r="AV3" s="2" t="s">
        <v>56</v>
      </c>
      <c r="AW3" s="2" t="s">
        <v>57</v>
      </c>
      <c r="AX3" s="2" t="s">
        <v>58</v>
      </c>
      <c r="AY3" s="2" t="s">
        <v>59</v>
      </c>
      <c r="AZ3" s="2" t="s">
        <v>60</v>
      </c>
      <c r="BA3" s="2" t="s">
        <v>61</v>
      </c>
      <c r="BB3" s="2" t="s">
        <v>62</v>
      </c>
      <c r="BC3" s="2" t="s">
        <v>63</v>
      </c>
      <c r="BD3" s="2" t="s">
        <v>64</v>
      </c>
      <c r="BE3" s="2" t="s">
        <v>65</v>
      </c>
      <c r="BF3" s="2" t="s">
        <v>66</v>
      </c>
      <c r="BG3" s="2" t="s">
        <v>67</v>
      </c>
      <c r="BH3" s="2" t="s">
        <v>68</v>
      </c>
    </row>
    <row r="4" spans="1:60" x14ac:dyDescent="0.25">
      <c r="A4" s="3">
        <v>45626</v>
      </c>
      <c r="B4" s="4">
        <v>1927839627</v>
      </c>
      <c r="C4" s="4"/>
      <c r="D4" s="5">
        <v>460835741</v>
      </c>
      <c r="E4" s="4"/>
      <c r="O4" s="4"/>
      <c r="P4" s="4"/>
      <c r="Q4" s="4"/>
      <c r="S4" s="6">
        <v>0.03</v>
      </c>
      <c r="X4" s="4"/>
      <c r="Y4" s="4"/>
      <c r="Z4" s="4"/>
      <c r="AB4" s="4"/>
      <c r="AH4" s="4"/>
      <c r="AJ4" s="7" t="str">
        <f t="shared" ref="AJ4:AJ67" si="0">IF(OR(B4="",B4=0,N4=""),"",N4/B4*10000)</f>
        <v/>
      </c>
      <c r="AK4" s="7" t="str">
        <f t="shared" ref="AK4:AK67" si="1">IF(OR(C4="",C4=0),"",O4/C4*10000)</f>
        <v/>
      </c>
      <c r="AL4" s="7">
        <f t="shared" ref="AL4:AL67" si="2">IF(OR(D4="",D4=0),"",P4/D4*10000)</f>
        <v>0</v>
      </c>
      <c r="AM4" s="7" t="str">
        <f t="shared" ref="AM4:AM67" si="3">IF(OR(E4="",E4=0),"",Q4/E4*10000)</f>
        <v/>
      </c>
      <c r="AN4" s="4"/>
      <c r="AO4" s="4"/>
      <c r="AT4" s="8">
        <v>8714980.2400000002</v>
      </c>
      <c r="AU4" s="8">
        <v>0</v>
      </c>
      <c r="AV4" s="8">
        <v>32364.464</v>
      </c>
      <c r="AW4" s="8"/>
      <c r="AX4" s="9"/>
      <c r="AY4" s="6" t="str">
        <f t="shared" ref="AY4:AY67" si="4">IF(OR(AX4="",AX4=0,AU4=""),"",AU4*365/(AX4*1000000))</f>
        <v/>
      </c>
      <c r="AZ4" s="8">
        <v>0</v>
      </c>
      <c r="BA4" s="10">
        <v>60480066</v>
      </c>
      <c r="BB4" s="11">
        <v>8714980.2400000002</v>
      </c>
      <c r="BC4" s="10">
        <v>2971324</v>
      </c>
      <c r="BD4" s="10">
        <f>1000000000-999967635.536+0</f>
        <v>32364.463999986649</v>
      </c>
      <c r="BE4" s="12">
        <f t="shared" ref="BE4:BE67" si="5">1000000000-AZ4-BA4-BB4-BC4-BD4</f>
        <v>927801265.296</v>
      </c>
      <c r="BF4" s="13">
        <v>238</v>
      </c>
      <c r="BG4" s="13">
        <f t="shared" ref="BG4:BG67" si="6">BE4/1000000-BF4</f>
        <v>689.801265296</v>
      </c>
      <c r="BH4" s="14">
        <f>BE4*8.64</f>
        <v>8016202932.1574402</v>
      </c>
    </row>
    <row r="5" spans="1:60" x14ac:dyDescent="0.25">
      <c r="A5" s="3">
        <v>45627</v>
      </c>
      <c r="B5" s="4">
        <v>2230952304</v>
      </c>
      <c r="C5" s="4"/>
      <c r="D5" s="5">
        <v>382137710</v>
      </c>
      <c r="E5" s="4"/>
      <c r="O5" s="4"/>
      <c r="P5" s="4"/>
      <c r="Q5" s="4"/>
      <c r="S5" s="6">
        <v>0.03</v>
      </c>
      <c r="X5" s="4"/>
      <c r="Y5" s="4"/>
      <c r="Z5" s="4"/>
      <c r="AB5" s="4"/>
      <c r="AH5" s="4"/>
      <c r="AJ5" s="7" t="str">
        <f t="shared" si="0"/>
        <v/>
      </c>
      <c r="AK5" s="7" t="str">
        <f t="shared" si="1"/>
        <v/>
      </c>
      <c r="AL5" s="7">
        <f t="shared" si="2"/>
        <v>0</v>
      </c>
      <c r="AM5" s="7" t="str">
        <f t="shared" si="3"/>
        <v/>
      </c>
      <c r="AN5" s="4"/>
      <c r="AO5" s="4"/>
      <c r="AT5" s="8">
        <v>9336088.4299999997</v>
      </c>
      <c r="AU5" s="8">
        <v>0</v>
      </c>
      <c r="AV5" s="8">
        <v>10604.896000000001</v>
      </c>
      <c r="AW5" s="8"/>
      <c r="AX5" s="9"/>
      <c r="AY5" s="6" t="str">
        <f t="shared" si="4"/>
        <v/>
      </c>
      <c r="AZ5" s="8">
        <v>0</v>
      </c>
      <c r="BA5" s="10">
        <v>60480066</v>
      </c>
      <c r="BB5" s="11">
        <v>9336088.4299999997</v>
      </c>
      <c r="BC5" s="10">
        <v>2971324</v>
      </c>
      <c r="BD5" s="10">
        <f>1000000000-999957030.64+0</f>
        <v>42969.360000014305</v>
      </c>
      <c r="BE5" s="12">
        <f t="shared" si="5"/>
        <v>927169552.21000004</v>
      </c>
      <c r="BF5" s="13">
        <v>238</v>
      </c>
      <c r="BG5" s="13">
        <f t="shared" si="6"/>
        <v>689.16955221000001</v>
      </c>
      <c r="BH5" s="14">
        <f>BE5*8.9</f>
        <v>8251809014.6690006</v>
      </c>
    </row>
    <row r="6" spans="1:60" x14ac:dyDescent="0.25">
      <c r="A6" s="3">
        <v>45628</v>
      </c>
      <c r="B6" s="4">
        <v>5333125841</v>
      </c>
      <c r="C6" s="4"/>
      <c r="D6" s="5">
        <v>320571512</v>
      </c>
      <c r="E6" s="4"/>
      <c r="O6" s="4"/>
      <c r="P6" s="4"/>
      <c r="Q6" s="4"/>
      <c r="S6" s="6">
        <v>0.03</v>
      </c>
      <c r="X6" s="4"/>
      <c r="Y6" s="4"/>
      <c r="Z6" s="4"/>
      <c r="AB6" s="4"/>
      <c r="AH6" s="4"/>
      <c r="AJ6" s="7" t="str">
        <f t="shared" si="0"/>
        <v/>
      </c>
      <c r="AK6" s="7" t="str">
        <f t="shared" si="1"/>
        <v/>
      </c>
      <c r="AL6" s="7">
        <f t="shared" si="2"/>
        <v>0</v>
      </c>
      <c r="AM6" s="7" t="str">
        <f t="shared" si="3"/>
        <v/>
      </c>
      <c r="AN6" s="4"/>
      <c r="AO6" s="4"/>
      <c r="AT6" s="8">
        <v>9336088.4299999997</v>
      </c>
      <c r="AU6" s="8">
        <v>0</v>
      </c>
      <c r="AV6" s="8">
        <v>2916.6523000000002</v>
      </c>
      <c r="AW6" s="8"/>
      <c r="AX6" s="9"/>
      <c r="AY6" s="6" t="str">
        <f t="shared" si="4"/>
        <v/>
      </c>
      <c r="AZ6" s="8">
        <v>0</v>
      </c>
      <c r="BA6" s="10">
        <v>60480066</v>
      </c>
      <c r="BB6" s="11">
        <v>9336088.4299999997</v>
      </c>
      <c r="BC6" s="10">
        <v>2971324</v>
      </c>
      <c r="BD6" s="10">
        <f>1000000000-999954113.9877+0</f>
        <v>45886.012300014496</v>
      </c>
      <c r="BE6" s="12">
        <f t="shared" si="5"/>
        <v>927166635.55770004</v>
      </c>
      <c r="BF6" s="13">
        <v>238</v>
      </c>
      <c r="BG6" s="13">
        <f t="shared" si="6"/>
        <v>689.16663555770003</v>
      </c>
      <c r="BH6" s="14">
        <f>BE6*8.66</f>
        <v>8029263063.9296827</v>
      </c>
    </row>
    <row r="7" spans="1:60" x14ac:dyDescent="0.25">
      <c r="A7" s="3">
        <v>45629</v>
      </c>
      <c r="B7" s="4">
        <v>4881981857</v>
      </c>
      <c r="C7" s="4"/>
      <c r="D7" s="5">
        <v>302890343</v>
      </c>
      <c r="E7" s="4"/>
      <c r="O7" s="4"/>
      <c r="P7" s="4"/>
      <c r="Q7" s="4"/>
      <c r="S7" s="6">
        <v>0.03</v>
      </c>
      <c r="X7" s="4"/>
      <c r="Y7" s="4"/>
      <c r="Z7" s="4"/>
      <c r="AB7" s="4"/>
      <c r="AH7" s="4"/>
      <c r="AJ7" s="7" t="str">
        <f t="shared" si="0"/>
        <v/>
      </c>
      <c r="AK7" s="7" t="str">
        <f t="shared" si="1"/>
        <v/>
      </c>
      <c r="AL7" s="7">
        <f t="shared" si="2"/>
        <v>0</v>
      </c>
      <c r="AM7" s="7" t="str">
        <f t="shared" si="3"/>
        <v/>
      </c>
      <c r="AN7" s="4"/>
      <c r="AO7" s="4"/>
      <c r="AT7" s="8">
        <v>9933598.0700000003</v>
      </c>
      <c r="AU7" s="8">
        <v>0</v>
      </c>
      <c r="AV7" s="8">
        <v>3632.1997999999999</v>
      </c>
      <c r="AW7" s="8"/>
      <c r="AX7" s="9"/>
      <c r="AY7" s="6" t="str">
        <f t="shared" si="4"/>
        <v/>
      </c>
      <c r="AZ7" s="8">
        <v>0</v>
      </c>
      <c r="BA7" s="10">
        <v>60480066</v>
      </c>
      <c r="BB7" s="11">
        <v>9933598.0700000003</v>
      </c>
      <c r="BC7" s="10">
        <v>2971324</v>
      </c>
      <c r="BD7" s="10">
        <f>1000000000-999950481.7879+0</f>
        <v>49518.212100028992</v>
      </c>
      <c r="BE7" s="12">
        <f t="shared" si="5"/>
        <v>926565493.71789992</v>
      </c>
      <c r="BF7" s="13">
        <v>238</v>
      </c>
      <c r="BG7" s="13">
        <f t="shared" si="6"/>
        <v>688.56549371789993</v>
      </c>
      <c r="BH7" s="14">
        <f>BE7*8.96</f>
        <v>8302026823.7123842</v>
      </c>
    </row>
    <row r="8" spans="1:60" x14ac:dyDescent="0.25">
      <c r="A8" s="3">
        <v>45630</v>
      </c>
      <c r="B8" s="4">
        <v>6225918535</v>
      </c>
      <c r="C8" s="4"/>
      <c r="D8" s="5">
        <v>318696984</v>
      </c>
      <c r="E8" s="4"/>
      <c r="O8" s="4"/>
      <c r="P8" s="4"/>
      <c r="Q8" s="4"/>
      <c r="S8" s="6">
        <v>0.03</v>
      </c>
      <c r="X8" s="4"/>
      <c r="Y8" s="4"/>
      <c r="Z8" s="4"/>
      <c r="AB8" s="4"/>
      <c r="AH8" s="4"/>
      <c r="AJ8" s="7" t="str">
        <f t="shared" si="0"/>
        <v/>
      </c>
      <c r="AK8" s="7" t="str">
        <f t="shared" si="1"/>
        <v/>
      </c>
      <c r="AL8" s="7">
        <f t="shared" si="2"/>
        <v>0</v>
      </c>
      <c r="AM8" s="7" t="str">
        <f t="shared" si="3"/>
        <v/>
      </c>
      <c r="AN8" s="4"/>
      <c r="AO8" s="4"/>
      <c r="AT8" s="8">
        <v>10009959.560000001</v>
      </c>
      <c r="AU8" s="8">
        <v>0</v>
      </c>
      <c r="AV8" s="8">
        <v>3743.7999</v>
      </c>
      <c r="AW8" s="8"/>
      <c r="AX8" s="9"/>
      <c r="AY8" s="6" t="str">
        <f t="shared" si="4"/>
        <v/>
      </c>
      <c r="AZ8" s="8">
        <v>0</v>
      </c>
      <c r="BA8" s="10">
        <v>60480066</v>
      </c>
      <c r="BB8" s="11">
        <v>10009959.560000001</v>
      </c>
      <c r="BC8" s="10">
        <v>2971324</v>
      </c>
      <c r="BD8" s="10">
        <f>1000000000-999946737.988+0</f>
        <v>53262.011999964714</v>
      </c>
      <c r="BE8" s="12">
        <f t="shared" si="5"/>
        <v>926485388.42800009</v>
      </c>
      <c r="BF8" s="13">
        <v>238</v>
      </c>
      <c r="BG8" s="13">
        <f t="shared" si="6"/>
        <v>688.48538842800008</v>
      </c>
      <c r="BH8" s="14">
        <f>BE8*11.08</f>
        <v>10265458103.782242</v>
      </c>
    </row>
    <row r="9" spans="1:60" x14ac:dyDescent="0.25">
      <c r="A9" s="3">
        <v>45631</v>
      </c>
      <c r="B9" s="4">
        <v>9789562819</v>
      </c>
      <c r="C9" s="4"/>
      <c r="D9" s="5">
        <v>323114172</v>
      </c>
      <c r="E9" s="4"/>
      <c r="O9" s="4"/>
      <c r="P9" s="4"/>
      <c r="Q9" s="4"/>
      <c r="S9" s="6">
        <v>0.03</v>
      </c>
      <c r="X9" s="4"/>
      <c r="Y9" s="4"/>
      <c r="Z9" s="4"/>
      <c r="AB9" s="4"/>
      <c r="AH9" s="4"/>
      <c r="AJ9" s="7" t="str">
        <f t="shared" si="0"/>
        <v/>
      </c>
      <c r="AK9" s="7" t="str">
        <f t="shared" si="1"/>
        <v/>
      </c>
      <c r="AL9" s="7">
        <f t="shared" si="2"/>
        <v>0</v>
      </c>
      <c r="AM9" s="7" t="str">
        <f t="shared" si="3"/>
        <v/>
      </c>
      <c r="AN9" s="4"/>
      <c r="AO9" s="4"/>
      <c r="AT9" s="8">
        <v>10009959.560000001</v>
      </c>
      <c r="AU9" s="8">
        <v>0</v>
      </c>
      <c r="AV9" s="8">
        <v>4041.2964000000002</v>
      </c>
      <c r="AW9" s="8"/>
      <c r="AX9" s="9"/>
      <c r="AY9" s="6" t="str">
        <f t="shared" si="4"/>
        <v/>
      </c>
      <c r="AZ9" s="8">
        <v>0</v>
      </c>
      <c r="BA9" s="10">
        <v>60480066</v>
      </c>
      <c r="BB9" s="11">
        <v>10009959.560000001</v>
      </c>
      <c r="BC9" s="10">
        <v>2971324</v>
      </c>
      <c r="BD9" s="10">
        <f>1000000000-999942696.6916+0</f>
        <v>57303.308400034904</v>
      </c>
      <c r="BE9" s="12">
        <f t="shared" si="5"/>
        <v>926481347.13160002</v>
      </c>
      <c r="BF9" s="13">
        <v>238</v>
      </c>
      <c r="BG9" s="13">
        <f t="shared" si="6"/>
        <v>688.48134713160005</v>
      </c>
      <c r="BH9" s="14">
        <f>BE9*11.4</f>
        <v>10561887357.300241</v>
      </c>
    </row>
    <row r="10" spans="1:60" x14ac:dyDescent="0.25">
      <c r="A10" s="3">
        <v>45632</v>
      </c>
      <c r="B10" s="4">
        <v>7811474440</v>
      </c>
      <c r="C10" s="4"/>
      <c r="D10" s="5">
        <v>218646771</v>
      </c>
      <c r="E10" s="4"/>
      <c r="O10" s="4"/>
      <c r="P10" s="4"/>
      <c r="Q10" s="4"/>
      <c r="S10" s="6">
        <v>0.03</v>
      </c>
      <c r="X10" s="4"/>
      <c r="Y10" s="4"/>
      <c r="Z10" s="4"/>
      <c r="AB10" s="4"/>
      <c r="AH10" s="4"/>
      <c r="AJ10" s="7" t="str">
        <f t="shared" si="0"/>
        <v/>
      </c>
      <c r="AK10" s="7" t="str">
        <f t="shared" si="1"/>
        <v/>
      </c>
      <c r="AL10" s="7">
        <f t="shared" si="2"/>
        <v>0</v>
      </c>
      <c r="AM10" s="7" t="str">
        <f t="shared" si="3"/>
        <v/>
      </c>
      <c r="AN10" s="4"/>
      <c r="AO10" s="4"/>
      <c r="AT10" s="8">
        <v>10428490.65</v>
      </c>
      <c r="AU10" s="8">
        <v>0</v>
      </c>
      <c r="AV10" s="8">
        <v>3472.5047</v>
      </c>
      <c r="AW10" s="8"/>
      <c r="AX10" s="9"/>
      <c r="AY10" s="6" t="str">
        <f t="shared" si="4"/>
        <v/>
      </c>
      <c r="AZ10" s="8">
        <v>0</v>
      </c>
      <c r="BA10" s="10">
        <v>60480066</v>
      </c>
      <c r="BB10" s="11">
        <v>10428490.65</v>
      </c>
      <c r="BC10" s="10">
        <v>2971324</v>
      </c>
      <c r="BD10" s="10">
        <f>1000000000-999939224.1869+0</f>
        <v>60775.813099980354</v>
      </c>
      <c r="BE10" s="12">
        <f t="shared" si="5"/>
        <v>926059343.53690004</v>
      </c>
      <c r="BF10" s="13">
        <v>238</v>
      </c>
      <c r="BG10" s="13">
        <f t="shared" si="6"/>
        <v>688.05934353690009</v>
      </c>
      <c r="BH10" s="14">
        <f>BE10*12.69</f>
        <v>11751693069.483261</v>
      </c>
    </row>
    <row r="11" spans="1:60" x14ac:dyDescent="0.25">
      <c r="A11" s="3">
        <v>45633</v>
      </c>
      <c r="B11" s="4">
        <v>2862437941</v>
      </c>
      <c r="C11" s="4"/>
      <c r="D11" s="5">
        <v>182104753</v>
      </c>
      <c r="E11" s="4"/>
      <c r="O11" s="4"/>
      <c r="P11" s="4"/>
      <c r="Q11" s="4"/>
      <c r="S11" s="6">
        <v>0.03</v>
      </c>
      <c r="X11" s="4"/>
      <c r="Y11" s="4"/>
      <c r="Z11" s="4"/>
      <c r="AB11" s="4"/>
      <c r="AH11" s="4"/>
      <c r="AJ11" s="7" t="str">
        <f t="shared" si="0"/>
        <v/>
      </c>
      <c r="AK11" s="7" t="str">
        <f t="shared" si="1"/>
        <v/>
      </c>
      <c r="AL11" s="7">
        <f t="shared" si="2"/>
        <v>0</v>
      </c>
      <c r="AM11" s="7" t="str">
        <f t="shared" si="3"/>
        <v/>
      </c>
      <c r="AN11" s="4"/>
      <c r="AO11" s="4"/>
      <c r="AT11" s="8">
        <v>10428490.65</v>
      </c>
      <c r="AU11" s="8">
        <v>0</v>
      </c>
      <c r="AV11" s="8">
        <v>2255.2253999999998</v>
      </c>
      <c r="AW11" s="8"/>
      <c r="AX11" s="9"/>
      <c r="AY11" s="6" t="str">
        <f t="shared" si="4"/>
        <v/>
      </c>
      <c r="AZ11" s="8">
        <v>0</v>
      </c>
      <c r="BA11" s="10">
        <v>60480066</v>
      </c>
      <c r="BB11" s="11">
        <v>10428490.65</v>
      </c>
      <c r="BC11" s="10">
        <v>2971324</v>
      </c>
      <c r="BD11" s="10">
        <f>1000000000-999936968.9615+0</f>
        <v>63031.038499951363</v>
      </c>
      <c r="BE11" s="12">
        <f t="shared" si="5"/>
        <v>926057088.31150007</v>
      </c>
      <c r="BF11" s="13">
        <v>238</v>
      </c>
      <c r="BG11" s="13">
        <f t="shared" si="6"/>
        <v>688.05708831150002</v>
      </c>
      <c r="BH11" s="14">
        <f>BE11*13.83</f>
        <v>12807369531.348045</v>
      </c>
    </row>
    <row r="12" spans="1:60" x14ac:dyDescent="0.25">
      <c r="A12" s="3">
        <v>45634</v>
      </c>
      <c r="B12" s="4">
        <v>3252798818</v>
      </c>
      <c r="C12" s="4"/>
      <c r="D12" s="5">
        <v>136064768</v>
      </c>
      <c r="E12" s="4"/>
      <c r="O12" s="4"/>
      <c r="P12" s="4"/>
      <c r="Q12" s="4"/>
      <c r="S12" s="6">
        <v>0.03</v>
      </c>
      <c r="X12" s="4"/>
      <c r="Y12" s="4"/>
      <c r="Z12" s="4"/>
      <c r="AB12" s="4"/>
      <c r="AH12" s="4"/>
      <c r="AJ12" s="7" t="str">
        <f t="shared" si="0"/>
        <v/>
      </c>
      <c r="AK12" s="7" t="str">
        <f t="shared" si="1"/>
        <v/>
      </c>
      <c r="AL12" s="7">
        <f t="shared" si="2"/>
        <v>0</v>
      </c>
      <c r="AM12" s="7" t="str">
        <f t="shared" si="3"/>
        <v/>
      </c>
      <c r="AN12" s="4"/>
      <c r="AO12" s="4"/>
      <c r="AT12" s="8">
        <v>10428490.65</v>
      </c>
      <c r="AU12" s="8">
        <v>0</v>
      </c>
      <c r="AV12" s="8">
        <v>1897.8347000000001</v>
      </c>
      <c r="AW12" s="8"/>
      <c r="AX12" s="9"/>
      <c r="AY12" s="6" t="str">
        <f t="shared" si="4"/>
        <v/>
      </c>
      <c r="AZ12" s="8">
        <v>0</v>
      </c>
      <c r="BA12" s="10">
        <v>60480066</v>
      </c>
      <c r="BB12" s="11">
        <v>10428490.65</v>
      </c>
      <c r="BC12" s="10">
        <v>2971324</v>
      </c>
      <c r="BD12" s="10">
        <f>1000000000-999935071.1268+0</f>
        <v>64928.873200058937</v>
      </c>
      <c r="BE12" s="12">
        <f t="shared" si="5"/>
        <v>926055190.47679996</v>
      </c>
      <c r="BF12" s="13">
        <v>238</v>
      </c>
      <c r="BG12" s="13">
        <f t="shared" si="6"/>
        <v>688.05519047680002</v>
      </c>
      <c r="BH12" s="14">
        <f>BE12*14.12</f>
        <v>13075899289.532415</v>
      </c>
    </row>
    <row r="13" spans="1:60" x14ac:dyDescent="0.25">
      <c r="A13" s="3">
        <v>45635</v>
      </c>
      <c r="B13" s="4">
        <v>5306358932</v>
      </c>
      <c r="C13" s="4"/>
      <c r="D13" s="5">
        <v>270676721</v>
      </c>
      <c r="E13" s="4"/>
      <c r="O13" s="4"/>
      <c r="P13" s="4"/>
      <c r="Q13" s="4"/>
      <c r="S13" s="6">
        <v>0.03</v>
      </c>
      <c r="X13" s="4"/>
      <c r="Y13" s="4"/>
      <c r="Z13" s="4"/>
      <c r="AB13" s="4"/>
      <c r="AH13" s="4"/>
      <c r="AJ13" s="7" t="str">
        <f t="shared" si="0"/>
        <v/>
      </c>
      <c r="AK13" s="7" t="str">
        <f t="shared" si="1"/>
        <v/>
      </c>
      <c r="AL13" s="7">
        <f t="shared" si="2"/>
        <v>0</v>
      </c>
      <c r="AM13" s="7" t="str">
        <f t="shared" si="3"/>
        <v/>
      </c>
      <c r="AN13" s="4"/>
      <c r="AO13" s="4"/>
      <c r="AT13" s="8">
        <v>10654299.17</v>
      </c>
      <c r="AU13" s="8">
        <v>0</v>
      </c>
      <c r="AV13" s="8">
        <v>1284.1908000000001</v>
      </c>
      <c r="AW13" s="8"/>
      <c r="AX13" s="9"/>
      <c r="AY13" s="6" t="str">
        <f t="shared" si="4"/>
        <v/>
      </c>
      <c r="AZ13" s="8">
        <v>0</v>
      </c>
      <c r="BA13" s="10">
        <v>60480066</v>
      </c>
      <c r="BB13" s="11">
        <v>10654299.17</v>
      </c>
      <c r="BC13" s="10">
        <v>2971324</v>
      </c>
      <c r="BD13" s="10">
        <f>1000000000-999933786.9361+0</f>
        <v>66213.063899993896</v>
      </c>
      <c r="BE13" s="12">
        <f t="shared" si="5"/>
        <v>925828097.76610005</v>
      </c>
      <c r="BF13" s="13">
        <v>238</v>
      </c>
      <c r="BG13" s="13">
        <f t="shared" si="6"/>
        <v>687.82809776610009</v>
      </c>
      <c r="BH13" s="14">
        <f>BE13*14.02</f>
        <v>12980109930.680723</v>
      </c>
    </row>
    <row r="14" spans="1:60" x14ac:dyDescent="0.25">
      <c r="A14" s="3">
        <v>45636</v>
      </c>
      <c r="B14" s="4">
        <v>10009953607</v>
      </c>
      <c r="C14" s="4"/>
      <c r="D14" s="5">
        <v>208129108</v>
      </c>
      <c r="E14" s="4"/>
      <c r="O14" s="4"/>
      <c r="P14" s="4"/>
      <c r="Q14" s="4"/>
      <c r="S14" s="6">
        <v>0.03</v>
      </c>
      <c r="X14" s="4"/>
      <c r="Y14" s="4"/>
      <c r="Z14" s="4"/>
      <c r="AB14" s="4"/>
      <c r="AH14" s="4"/>
      <c r="AJ14" s="7" t="str">
        <f t="shared" si="0"/>
        <v/>
      </c>
      <c r="AK14" s="7" t="str">
        <f t="shared" si="1"/>
        <v/>
      </c>
      <c r="AL14" s="7">
        <f t="shared" si="2"/>
        <v>0</v>
      </c>
      <c r="AM14" s="7" t="str">
        <f t="shared" si="3"/>
        <v/>
      </c>
      <c r="AN14" s="4"/>
      <c r="AO14" s="4"/>
      <c r="AT14" s="8">
        <v>10654299.17</v>
      </c>
      <c r="AU14" s="8">
        <v>0</v>
      </c>
      <c r="AV14" s="8">
        <v>2527.2103999999999</v>
      </c>
      <c r="AW14" s="8"/>
      <c r="AX14" s="9"/>
      <c r="AY14" s="6" t="str">
        <f t="shared" si="4"/>
        <v/>
      </c>
      <c r="AZ14" s="8">
        <v>0</v>
      </c>
      <c r="BA14" s="10">
        <v>60480066</v>
      </c>
      <c r="BB14" s="11">
        <v>10654299.17</v>
      </c>
      <c r="BC14" s="10">
        <v>2971324</v>
      </c>
      <c r="BD14" s="10">
        <f>1000000000-999931259.7256+0</f>
        <v>68740.274399995804</v>
      </c>
      <c r="BE14" s="12">
        <f t="shared" si="5"/>
        <v>925825570.55560005</v>
      </c>
      <c r="BF14" s="13">
        <v>238</v>
      </c>
      <c r="BG14" s="13">
        <f t="shared" si="6"/>
        <v>687.82557055560005</v>
      </c>
      <c r="BH14" s="14">
        <f>BE14*13.54</f>
        <v>12535678225.322824</v>
      </c>
    </row>
    <row r="15" spans="1:60" x14ac:dyDescent="0.25">
      <c r="A15" s="3">
        <v>45637</v>
      </c>
      <c r="B15" s="4">
        <v>3979399218</v>
      </c>
      <c r="C15" s="4"/>
      <c r="D15" s="5">
        <v>211797447</v>
      </c>
      <c r="E15" s="4"/>
      <c r="O15" s="4"/>
      <c r="P15" s="4"/>
      <c r="Q15" s="4"/>
      <c r="S15" s="6">
        <v>0.03</v>
      </c>
      <c r="X15" s="4"/>
      <c r="Y15" s="4"/>
      <c r="Z15" s="4"/>
      <c r="AB15" s="4"/>
      <c r="AH15" s="4"/>
      <c r="AJ15" s="7" t="str">
        <f t="shared" si="0"/>
        <v/>
      </c>
      <c r="AK15" s="7" t="str">
        <f t="shared" si="1"/>
        <v/>
      </c>
      <c r="AL15" s="7">
        <f t="shared" si="2"/>
        <v>0</v>
      </c>
      <c r="AM15" s="7" t="str">
        <f t="shared" si="3"/>
        <v/>
      </c>
      <c r="AN15" s="4"/>
      <c r="AO15" s="4"/>
      <c r="AT15" s="8">
        <v>10654299.17</v>
      </c>
      <c r="AU15" s="8">
        <v>0</v>
      </c>
      <c r="AV15" s="8">
        <v>2003.998</v>
      </c>
      <c r="AW15" s="8"/>
      <c r="AX15" s="9"/>
      <c r="AY15" s="6" t="str">
        <f t="shared" si="4"/>
        <v/>
      </c>
      <c r="AZ15" s="8">
        <v>0</v>
      </c>
      <c r="BA15" s="10">
        <v>60480066</v>
      </c>
      <c r="BB15" s="11">
        <v>10654299.17</v>
      </c>
      <c r="BC15" s="10">
        <v>2971324</v>
      </c>
      <c r="BD15" s="10">
        <f>1000000000-999929255.7277+0</f>
        <v>70744.272300004959</v>
      </c>
      <c r="BE15" s="12">
        <f t="shared" si="5"/>
        <v>925823566.55770004</v>
      </c>
      <c r="BF15" s="13">
        <v>238</v>
      </c>
      <c r="BG15" s="13">
        <f t="shared" si="6"/>
        <v>687.82356655770002</v>
      </c>
      <c r="BH15" s="14">
        <f>BE15*13.56</f>
        <v>12554167562.522413</v>
      </c>
    </row>
    <row r="16" spans="1:60" x14ac:dyDescent="0.25">
      <c r="A16" s="3">
        <v>45638</v>
      </c>
      <c r="B16" s="4">
        <v>4839045908</v>
      </c>
      <c r="C16" s="4"/>
      <c r="D16" s="5">
        <v>324908474</v>
      </c>
      <c r="E16" s="4"/>
      <c r="O16" s="4"/>
      <c r="P16" s="4"/>
      <c r="Q16" s="4"/>
      <c r="S16" s="6">
        <v>0.03</v>
      </c>
      <c r="X16" s="4"/>
      <c r="Y16" s="4"/>
      <c r="Z16" s="4"/>
      <c r="AB16" s="4"/>
      <c r="AH16" s="4"/>
      <c r="AJ16" s="7" t="str">
        <f t="shared" si="0"/>
        <v/>
      </c>
      <c r="AK16" s="7" t="str">
        <f t="shared" si="1"/>
        <v/>
      </c>
      <c r="AL16" s="7">
        <f t="shared" si="2"/>
        <v>0</v>
      </c>
      <c r="AM16" s="7" t="str">
        <f t="shared" si="3"/>
        <v/>
      </c>
      <c r="AN16" s="4"/>
      <c r="AO16" s="4"/>
      <c r="AT16" s="8">
        <v>10654299.17</v>
      </c>
      <c r="AU16" s="8">
        <v>0</v>
      </c>
      <c r="AV16" s="8">
        <v>1932.7073</v>
      </c>
      <c r="AW16" s="8"/>
      <c r="AX16" s="9"/>
      <c r="AY16" s="6" t="str">
        <f t="shared" si="4"/>
        <v/>
      </c>
      <c r="AZ16" s="8">
        <v>0</v>
      </c>
      <c r="BA16" s="10">
        <v>60480066</v>
      </c>
      <c r="BB16" s="11">
        <v>10654299.17</v>
      </c>
      <c r="BC16" s="10">
        <v>2971324</v>
      </c>
      <c r="BD16" s="10">
        <f>1000000000-999927323.0204+0</f>
        <v>72676.979599952698</v>
      </c>
      <c r="BE16" s="12">
        <f t="shared" si="5"/>
        <v>925821633.85040009</v>
      </c>
      <c r="BF16" s="13">
        <v>238</v>
      </c>
      <c r="BG16" s="13">
        <f t="shared" si="6"/>
        <v>687.82163385040008</v>
      </c>
      <c r="BH16" s="14">
        <f>BE16*16.11</f>
        <v>14914986521.329945</v>
      </c>
    </row>
    <row r="17" spans="1:60" x14ac:dyDescent="0.25">
      <c r="A17" s="3">
        <v>45639</v>
      </c>
      <c r="B17" s="4">
        <v>4253319332</v>
      </c>
      <c r="C17" s="4"/>
      <c r="D17" s="5">
        <v>334237923</v>
      </c>
      <c r="E17" s="4"/>
      <c r="O17" s="4"/>
      <c r="P17" s="4"/>
      <c r="Q17" s="4"/>
      <c r="S17" s="6">
        <v>0.03</v>
      </c>
      <c r="X17" s="4"/>
      <c r="Y17" s="4"/>
      <c r="Z17" s="4"/>
      <c r="AB17" s="4"/>
      <c r="AH17" s="4"/>
      <c r="AJ17" s="7" t="str">
        <f t="shared" si="0"/>
        <v/>
      </c>
      <c r="AK17" s="7" t="str">
        <f t="shared" si="1"/>
        <v/>
      </c>
      <c r="AL17" s="7">
        <f t="shared" si="2"/>
        <v>0</v>
      </c>
      <c r="AM17" s="7" t="str">
        <f t="shared" si="3"/>
        <v/>
      </c>
      <c r="AN17" s="4"/>
      <c r="AO17" s="4"/>
      <c r="AT17" s="8">
        <v>10662921.630000001</v>
      </c>
      <c r="AU17" s="8">
        <v>0</v>
      </c>
      <c r="AV17" s="8">
        <v>2435.2698999999998</v>
      </c>
      <c r="AW17" s="8"/>
      <c r="AX17" s="9"/>
      <c r="AY17" s="6" t="str">
        <f t="shared" si="4"/>
        <v/>
      </c>
      <c r="AZ17" s="8">
        <v>0</v>
      </c>
      <c r="BA17" s="10">
        <v>60480066</v>
      </c>
      <c r="BB17" s="11">
        <v>10662921.630000001</v>
      </c>
      <c r="BC17" s="10">
        <v>2971324</v>
      </c>
      <c r="BD17" s="10">
        <f>1000000000-999924887.7505+0</f>
        <v>75112.24950003624</v>
      </c>
      <c r="BE17" s="12">
        <f t="shared" si="5"/>
        <v>925810576.12049997</v>
      </c>
      <c r="BF17" s="13">
        <v>238</v>
      </c>
      <c r="BG17" s="13">
        <f t="shared" si="6"/>
        <v>687.81057612049995</v>
      </c>
      <c r="BH17" s="14">
        <f>BE17*18.04</f>
        <v>16701622793.21382</v>
      </c>
    </row>
    <row r="18" spans="1:60" x14ac:dyDescent="0.25">
      <c r="A18" s="3">
        <v>45640</v>
      </c>
      <c r="B18" s="4">
        <v>3170522123</v>
      </c>
      <c r="C18" s="4"/>
      <c r="D18" s="5">
        <v>546075604</v>
      </c>
      <c r="E18" s="4"/>
      <c r="O18" s="4"/>
      <c r="P18" s="4"/>
      <c r="Q18" s="4"/>
      <c r="S18" s="6">
        <v>0.03</v>
      </c>
      <c r="X18" s="4"/>
      <c r="Y18" s="4"/>
      <c r="Z18" s="4"/>
      <c r="AB18" s="4"/>
      <c r="AH18" s="4"/>
      <c r="AJ18" s="7" t="str">
        <f t="shared" si="0"/>
        <v/>
      </c>
      <c r="AK18" s="7" t="str">
        <f t="shared" si="1"/>
        <v/>
      </c>
      <c r="AL18" s="7">
        <f t="shared" si="2"/>
        <v>0</v>
      </c>
      <c r="AM18" s="7" t="str">
        <f t="shared" si="3"/>
        <v/>
      </c>
      <c r="AN18" s="4"/>
      <c r="AO18" s="4"/>
      <c r="AT18" s="8">
        <v>10761181.279999999</v>
      </c>
      <c r="AU18" s="8">
        <v>0</v>
      </c>
      <c r="AV18" s="8">
        <v>1602.2514000000001</v>
      </c>
      <c r="AW18" s="8"/>
      <c r="AX18" s="9"/>
      <c r="AY18" s="6" t="str">
        <f t="shared" si="4"/>
        <v/>
      </c>
      <c r="AZ18" s="8">
        <v>0</v>
      </c>
      <c r="BA18" s="10">
        <v>60480066</v>
      </c>
      <c r="BB18" s="11">
        <v>10761181.279999999</v>
      </c>
      <c r="BC18" s="10">
        <v>2971324</v>
      </c>
      <c r="BD18" s="10">
        <f>1000000000-999923285.4991+0</f>
        <v>76714.500900030136</v>
      </c>
      <c r="BE18" s="12">
        <f t="shared" si="5"/>
        <v>925710714.2191</v>
      </c>
      <c r="BF18" s="13">
        <v>238</v>
      </c>
      <c r="BG18" s="13">
        <f t="shared" si="6"/>
        <v>687.71071421910005</v>
      </c>
      <c r="BH18" s="14">
        <f>BE18*19.49</f>
        <v>18042101820.130257</v>
      </c>
    </row>
    <row r="19" spans="1:60" x14ac:dyDescent="0.25">
      <c r="A19" s="3">
        <v>45641</v>
      </c>
      <c r="B19" s="4">
        <v>3786628959</v>
      </c>
      <c r="C19" s="4"/>
      <c r="D19" s="5">
        <v>517821521</v>
      </c>
      <c r="E19" s="4"/>
      <c r="O19" s="4"/>
      <c r="P19" s="4"/>
      <c r="Q19" s="4"/>
      <c r="S19" s="6">
        <v>0.03</v>
      </c>
      <c r="X19" s="4"/>
      <c r="Y19" s="4"/>
      <c r="Z19" s="4"/>
      <c r="AB19" s="4"/>
      <c r="AH19" s="4"/>
      <c r="AJ19" s="7" t="str">
        <f t="shared" si="0"/>
        <v/>
      </c>
      <c r="AK19" s="7" t="str">
        <f t="shared" si="1"/>
        <v/>
      </c>
      <c r="AL19" s="7">
        <f t="shared" si="2"/>
        <v>0</v>
      </c>
      <c r="AM19" s="7" t="str">
        <f t="shared" si="3"/>
        <v/>
      </c>
      <c r="AN19" s="4"/>
      <c r="AO19" s="4"/>
      <c r="AT19" s="8">
        <v>10761181.279999999</v>
      </c>
      <c r="AU19" s="8">
        <v>0</v>
      </c>
      <c r="AV19" s="8">
        <v>2857.8820000000001</v>
      </c>
      <c r="AW19" s="8"/>
      <c r="AX19" s="9"/>
      <c r="AY19" s="6" t="str">
        <f t="shared" si="4"/>
        <v/>
      </c>
      <c r="AZ19" s="8">
        <v>0</v>
      </c>
      <c r="BA19" s="10">
        <v>60480066</v>
      </c>
      <c r="BB19" s="11">
        <v>10761181.279999999</v>
      </c>
      <c r="BC19" s="10">
        <v>2971324</v>
      </c>
      <c r="BD19" s="10">
        <f>1000000000-999920427.6171+0</f>
        <v>79572.382899999619</v>
      </c>
      <c r="BE19" s="12">
        <f t="shared" si="5"/>
        <v>925707856.33710003</v>
      </c>
      <c r="BF19" s="13">
        <v>238</v>
      </c>
      <c r="BG19" s="13">
        <f t="shared" si="6"/>
        <v>687.7078563371</v>
      </c>
      <c r="BH19" s="14">
        <f>BE19*24.15</f>
        <v>22355844730.540966</v>
      </c>
    </row>
    <row r="20" spans="1:60" x14ac:dyDescent="0.25">
      <c r="A20" s="3">
        <v>45642</v>
      </c>
      <c r="B20" s="4">
        <v>6267294833</v>
      </c>
      <c r="C20" s="4"/>
      <c r="D20" s="5">
        <v>552491542</v>
      </c>
      <c r="E20" s="4"/>
      <c r="O20" s="4"/>
      <c r="P20" s="4"/>
      <c r="Q20" s="4"/>
      <c r="S20" s="6">
        <v>0.03</v>
      </c>
      <c r="X20" s="4"/>
      <c r="Y20" s="4"/>
      <c r="Z20" s="4"/>
      <c r="AB20" s="4"/>
      <c r="AH20" s="4"/>
      <c r="AJ20" s="7" t="str">
        <f t="shared" si="0"/>
        <v/>
      </c>
      <c r="AK20" s="7" t="str">
        <f t="shared" si="1"/>
        <v/>
      </c>
      <c r="AL20" s="7">
        <f t="shared" si="2"/>
        <v>0</v>
      </c>
      <c r="AM20" s="7" t="str">
        <f t="shared" si="3"/>
        <v/>
      </c>
      <c r="AN20" s="4"/>
      <c r="AO20" s="4"/>
      <c r="AT20" s="8">
        <v>10761181.279999999</v>
      </c>
      <c r="AU20" s="8">
        <v>0</v>
      </c>
      <c r="AV20" s="8">
        <v>2419.5934999999999</v>
      </c>
      <c r="AW20" s="8"/>
      <c r="AX20" s="9"/>
      <c r="AY20" s="6" t="str">
        <f t="shared" si="4"/>
        <v/>
      </c>
      <c r="AZ20" s="8">
        <v>0</v>
      </c>
      <c r="BA20" s="10">
        <v>60480066</v>
      </c>
      <c r="BB20" s="11">
        <v>10761181.279999999</v>
      </c>
      <c r="BC20" s="10">
        <v>2971324</v>
      </c>
      <c r="BD20" s="10">
        <f>1000000000-999918008.0235+0</f>
        <v>81991.976500034332</v>
      </c>
      <c r="BE20" s="12">
        <f t="shared" si="5"/>
        <v>925705436.74349999</v>
      </c>
      <c r="BF20" s="13">
        <v>238</v>
      </c>
      <c r="BG20" s="13">
        <f t="shared" si="6"/>
        <v>687.70543674349994</v>
      </c>
      <c r="BH20" s="14">
        <f>BE20*23.88</f>
        <v>22105845829.43478</v>
      </c>
    </row>
    <row r="21" spans="1:60" x14ac:dyDescent="0.25">
      <c r="A21" s="3">
        <v>45643</v>
      </c>
      <c r="B21" s="4">
        <v>5593864857</v>
      </c>
      <c r="C21" s="4"/>
      <c r="D21" s="5">
        <v>533018011</v>
      </c>
      <c r="E21" s="4"/>
      <c r="O21" s="4"/>
      <c r="P21" s="4"/>
      <c r="Q21" s="4"/>
      <c r="S21" s="6">
        <v>0.03</v>
      </c>
      <c r="X21" s="4"/>
      <c r="Y21" s="4"/>
      <c r="Z21" s="4"/>
      <c r="AB21" s="4"/>
      <c r="AH21" s="4"/>
      <c r="AJ21" s="7" t="str">
        <f t="shared" si="0"/>
        <v/>
      </c>
      <c r="AK21" s="7" t="str">
        <f t="shared" si="1"/>
        <v/>
      </c>
      <c r="AL21" s="7">
        <f t="shared" si="2"/>
        <v>0</v>
      </c>
      <c r="AM21" s="7" t="str">
        <f t="shared" si="3"/>
        <v/>
      </c>
      <c r="AN21" s="4"/>
      <c r="AO21" s="4"/>
      <c r="AT21" s="8">
        <v>10789059.15</v>
      </c>
      <c r="AU21" s="8">
        <v>0</v>
      </c>
      <c r="AV21" s="8">
        <v>2278.9176000000002</v>
      </c>
      <c r="AW21" s="8"/>
      <c r="AX21" s="9"/>
      <c r="AY21" s="6" t="str">
        <f t="shared" si="4"/>
        <v/>
      </c>
      <c r="AZ21" s="8">
        <v>0</v>
      </c>
      <c r="BA21" s="10">
        <v>60480066</v>
      </c>
      <c r="BB21" s="11">
        <v>10789059.15</v>
      </c>
      <c r="BC21" s="10">
        <v>2971324</v>
      </c>
      <c r="BD21" s="10">
        <f>1000000000-999915729.1059+0</f>
        <v>84270.89409995079</v>
      </c>
      <c r="BE21" s="12">
        <f t="shared" si="5"/>
        <v>925675279.95590007</v>
      </c>
      <c r="BF21" s="13">
        <v>238</v>
      </c>
      <c r="BG21" s="13">
        <f t="shared" si="6"/>
        <v>687.67527995590012</v>
      </c>
      <c r="BH21" s="14">
        <f>BE21*27.24</f>
        <v>25215394625.998718</v>
      </c>
    </row>
    <row r="22" spans="1:60" x14ac:dyDescent="0.25">
      <c r="A22" s="3">
        <v>45644</v>
      </c>
      <c r="B22" s="4">
        <v>8540539048</v>
      </c>
      <c r="C22" s="4"/>
      <c r="D22" s="5">
        <v>472394527</v>
      </c>
      <c r="E22" s="4"/>
      <c r="O22" s="4"/>
      <c r="P22" s="4"/>
      <c r="Q22" s="4"/>
      <c r="S22" s="6">
        <v>0.03</v>
      </c>
      <c r="X22" s="4"/>
      <c r="Y22" s="4"/>
      <c r="Z22" s="4"/>
      <c r="AB22" s="4"/>
      <c r="AH22" s="4"/>
      <c r="AJ22" s="7" t="str">
        <f t="shared" si="0"/>
        <v/>
      </c>
      <c r="AK22" s="7" t="str">
        <f t="shared" si="1"/>
        <v/>
      </c>
      <c r="AL22" s="7">
        <f t="shared" si="2"/>
        <v>0</v>
      </c>
      <c r="AM22" s="7" t="str">
        <f t="shared" si="3"/>
        <v/>
      </c>
      <c r="AN22" s="4"/>
      <c r="AO22" s="4"/>
      <c r="AT22" s="8">
        <v>10927484.59</v>
      </c>
      <c r="AU22" s="8">
        <v>0</v>
      </c>
      <c r="AV22" s="8">
        <v>2263.4292999999998</v>
      </c>
      <c r="AW22" s="8"/>
      <c r="AX22" s="9"/>
      <c r="AY22" s="6" t="str">
        <f t="shared" si="4"/>
        <v/>
      </c>
      <c r="AZ22" s="8">
        <v>0</v>
      </c>
      <c r="BA22" s="10">
        <v>60480066</v>
      </c>
      <c r="BB22" s="11">
        <v>10927484.59</v>
      </c>
      <c r="BC22" s="10">
        <v>2971324</v>
      </c>
      <c r="BD22" s="10">
        <f>1000000000-999913465.6766+0</f>
        <v>86534.323400020599</v>
      </c>
      <c r="BE22" s="12">
        <f t="shared" si="5"/>
        <v>925534591.08659995</v>
      </c>
      <c r="BF22" s="13">
        <v>238</v>
      </c>
      <c r="BG22" s="13">
        <f t="shared" si="6"/>
        <v>687.5345910865999</v>
      </c>
      <c r="BH22" s="14">
        <f>BE22*25.57</f>
        <v>23665919494.084362</v>
      </c>
    </row>
    <row r="23" spans="1:60" x14ac:dyDescent="0.25">
      <c r="A23" s="3">
        <v>45645</v>
      </c>
      <c r="B23" s="4">
        <v>11512982470</v>
      </c>
      <c r="C23" s="4"/>
      <c r="D23" s="5">
        <v>564194362</v>
      </c>
      <c r="E23" s="4"/>
      <c r="O23" s="4"/>
      <c r="P23" s="4"/>
      <c r="Q23" s="4"/>
      <c r="S23" s="6">
        <v>0.03</v>
      </c>
      <c r="X23" s="4"/>
      <c r="Y23" s="4"/>
      <c r="Z23" s="4"/>
      <c r="AB23" s="4"/>
      <c r="AH23" s="4"/>
      <c r="AJ23" s="7" t="str">
        <f t="shared" si="0"/>
        <v/>
      </c>
      <c r="AK23" s="7" t="str">
        <f t="shared" si="1"/>
        <v/>
      </c>
      <c r="AL23" s="7">
        <f t="shared" si="2"/>
        <v>0</v>
      </c>
      <c r="AM23" s="7" t="str">
        <f t="shared" si="3"/>
        <v/>
      </c>
      <c r="AN23" s="4"/>
      <c r="AO23" s="4"/>
      <c r="AT23" s="8">
        <v>11039805.539999999</v>
      </c>
      <c r="AU23" s="8">
        <v>0</v>
      </c>
      <c r="AV23" s="8">
        <v>2427.0823</v>
      </c>
      <c r="AW23" s="8"/>
      <c r="AX23" s="9"/>
      <c r="AY23" s="6" t="str">
        <f t="shared" si="4"/>
        <v/>
      </c>
      <c r="AZ23" s="8">
        <v>0</v>
      </c>
      <c r="BA23" s="10">
        <v>60480066</v>
      </c>
      <c r="BB23" s="11">
        <v>11039805.539999999</v>
      </c>
      <c r="BC23" s="10">
        <v>2971324</v>
      </c>
      <c r="BD23" s="10">
        <f>1000000000-999911038.5943+0</f>
        <v>88961.405699968338</v>
      </c>
      <c r="BE23" s="12">
        <f t="shared" si="5"/>
        <v>925419843.05430007</v>
      </c>
      <c r="BF23" s="13">
        <v>238</v>
      </c>
      <c r="BG23" s="13">
        <f t="shared" si="6"/>
        <v>687.41984305430003</v>
      </c>
      <c r="BH23" s="14">
        <f>BE23*23.22</f>
        <v>21488248755.720848</v>
      </c>
    </row>
    <row r="24" spans="1:60" x14ac:dyDescent="0.25">
      <c r="A24" s="3">
        <v>45646</v>
      </c>
      <c r="B24" s="4">
        <v>9878521131</v>
      </c>
      <c r="C24" s="4"/>
      <c r="D24" s="5">
        <v>703781781</v>
      </c>
      <c r="E24" s="4"/>
      <c r="O24" s="4"/>
      <c r="P24" s="4"/>
      <c r="Q24" s="4"/>
      <c r="S24" s="6">
        <v>0.03</v>
      </c>
      <c r="X24" s="4"/>
      <c r="Y24" s="4"/>
      <c r="Z24" s="4"/>
      <c r="AB24" s="4"/>
      <c r="AH24" s="4"/>
      <c r="AJ24" s="7" t="str">
        <f t="shared" si="0"/>
        <v/>
      </c>
      <c r="AK24" s="7" t="str">
        <f t="shared" si="1"/>
        <v/>
      </c>
      <c r="AL24" s="7">
        <f t="shared" si="2"/>
        <v>0</v>
      </c>
      <c r="AM24" s="7" t="str">
        <f t="shared" si="3"/>
        <v/>
      </c>
      <c r="AN24" s="4"/>
      <c r="AO24" s="4"/>
      <c r="AT24" s="8">
        <v>11180483.869999999</v>
      </c>
      <c r="AU24" s="8">
        <v>0</v>
      </c>
      <c r="AV24" s="8">
        <v>2863.6835999999998</v>
      </c>
      <c r="AW24" s="8"/>
      <c r="AX24" s="9"/>
      <c r="AY24" s="6" t="str">
        <f t="shared" si="4"/>
        <v/>
      </c>
      <c r="AZ24" s="8">
        <v>0</v>
      </c>
      <c r="BA24" s="10">
        <v>60480066</v>
      </c>
      <c r="BB24" s="11">
        <v>11180483.869999999</v>
      </c>
      <c r="BC24" s="10">
        <v>2971324</v>
      </c>
      <c r="BD24" s="10">
        <f>1000000000-999908174.9107+0</f>
        <v>91825.08930003643</v>
      </c>
      <c r="BE24" s="12">
        <f t="shared" si="5"/>
        <v>925276301.04069996</v>
      </c>
      <c r="BF24" s="13">
        <v>238</v>
      </c>
      <c r="BG24" s="13">
        <f t="shared" si="6"/>
        <v>687.27630104069999</v>
      </c>
      <c r="BH24" s="14">
        <f>BE24*24.92</f>
        <v>23057885421.934246</v>
      </c>
    </row>
    <row r="25" spans="1:60" x14ac:dyDescent="0.25">
      <c r="A25" s="3">
        <v>45647</v>
      </c>
      <c r="B25" s="4">
        <v>5203028237</v>
      </c>
      <c r="C25" s="4"/>
      <c r="D25" s="5">
        <v>527191283</v>
      </c>
      <c r="E25" s="4"/>
      <c r="O25" s="4"/>
      <c r="P25" s="4"/>
      <c r="Q25" s="4"/>
      <c r="S25" s="6">
        <v>0.03</v>
      </c>
      <c r="X25" s="4"/>
      <c r="Y25" s="4"/>
      <c r="Z25" s="4"/>
      <c r="AB25" s="4"/>
      <c r="AH25" s="4"/>
      <c r="AJ25" s="7" t="str">
        <f t="shared" si="0"/>
        <v/>
      </c>
      <c r="AK25" s="7" t="str">
        <f t="shared" si="1"/>
        <v/>
      </c>
      <c r="AL25" s="7">
        <f t="shared" si="2"/>
        <v>0</v>
      </c>
      <c r="AM25" s="7" t="str">
        <f t="shared" si="3"/>
        <v/>
      </c>
      <c r="AN25" s="4"/>
      <c r="AO25" s="4"/>
      <c r="AT25" s="8">
        <v>11244814.050000001</v>
      </c>
      <c r="AU25" s="8">
        <v>0</v>
      </c>
      <c r="AV25" s="8">
        <v>3033.9607999999998</v>
      </c>
      <c r="AW25" s="8"/>
      <c r="AX25" s="9"/>
      <c r="AY25" s="6" t="str">
        <f t="shared" si="4"/>
        <v/>
      </c>
      <c r="AZ25" s="8">
        <v>0</v>
      </c>
      <c r="BA25" s="10">
        <v>60480066</v>
      </c>
      <c r="BB25" s="11">
        <v>11244814.050000001</v>
      </c>
      <c r="BC25" s="10">
        <v>2971324</v>
      </c>
      <c r="BD25" s="10">
        <f>1000000000-999905140.9499+0</f>
        <v>94859.05009996891</v>
      </c>
      <c r="BE25" s="12">
        <f t="shared" si="5"/>
        <v>925208936.89990008</v>
      </c>
      <c r="BF25" s="13">
        <v>238</v>
      </c>
      <c r="BG25" s="13">
        <f t="shared" si="6"/>
        <v>687.2089368999001</v>
      </c>
      <c r="BH25" s="14">
        <f>BE25*29.74</f>
        <v>27515713783.403027</v>
      </c>
    </row>
    <row r="26" spans="1:60" x14ac:dyDescent="0.25">
      <c r="A26" s="3">
        <v>45648</v>
      </c>
      <c r="B26" s="4">
        <v>4686731738</v>
      </c>
      <c r="C26" s="4"/>
      <c r="D26" s="5">
        <v>471634786</v>
      </c>
      <c r="E26" s="4"/>
      <c r="O26" s="4"/>
      <c r="P26" s="4"/>
      <c r="Q26" s="4"/>
      <c r="S26" s="6">
        <v>0.03</v>
      </c>
      <c r="X26" s="4"/>
      <c r="Y26" s="4"/>
      <c r="Z26" s="4"/>
      <c r="AB26" s="4"/>
      <c r="AH26" s="4"/>
      <c r="AJ26" s="7" t="str">
        <f t="shared" si="0"/>
        <v/>
      </c>
      <c r="AK26" s="7" t="str">
        <f t="shared" si="1"/>
        <v/>
      </c>
      <c r="AL26" s="7">
        <f t="shared" si="2"/>
        <v>0</v>
      </c>
      <c r="AM26" s="7" t="str">
        <f t="shared" si="3"/>
        <v/>
      </c>
      <c r="AN26" s="4"/>
      <c r="AO26" s="4"/>
      <c r="AT26" s="8">
        <v>11290999.18</v>
      </c>
      <c r="AU26" s="8">
        <v>0</v>
      </c>
      <c r="AV26" s="8">
        <v>2044.5790999999999</v>
      </c>
      <c r="AW26" s="8"/>
      <c r="AX26" s="9"/>
      <c r="AY26" s="6" t="str">
        <f t="shared" si="4"/>
        <v/>
      </c>
      <c r="AZ26" s="8">
        <v>0</v>
      </c>
      <c r="BA26" s="10">
        <v>60480066</v>
      </c>
      <c r="BB26" s="11">
        <v>11290999.18</v>
      </c>
      <c r="BC26" s="10">
        <v>2971324</v>
      </c>
      <c r="BD26" s="10">
        <f>1000000000-999903096.3708+0</f>
        <v>96903.629199981689</v>
      </c>
      <c r="BE26" s="12">
        <f t="shared" si="5"/>
        <v>925160707.19080007</v>
      </c>
      <c r="BF26" s="13">
        <v>238</v>
      </c>
      <c r="BG26" s="13">
        <f t="shared" si="6"/>
        <v>687.16070719080005</v>
      </c>
      <c r="BH26" s="14">
        <f>BE26*32.02</f>
        <v>29623645844.24942</v>
      </c>
    </row>
    <row r="27" spans="1:60" x14ac:dyDescent="0.25">
      <c r="A27" s="3">
        <v>45649</v>
      </c>
      <c r="B27" s="4">
        <v>6168463522</v>
      </c>
      <c r="C27" s="4"/>
      <c r="D27" s="5">
        <v>375034673</v>
      </c>
      <c r="E27" s="4"/>
      <c r="N27" s="4"/>
      <c r="O27" s="4"/>
      <c r="P27" s="5">
        <v>96254</v>
      </c>
      <c r="Q27" s="4"/>
      <c r="R27" s="14">
        <f t="shared" ref="R27:R46" si="7">N27+O27+P27+N(Q27)</f>
        <v>96254</v>
      </c>
      <c r="S27" s="6">
        <v>0.03</v>
      </c>
      <c r="T27" s="14">
        <f t="shared" ref="T27:T46" si="8">N(AC27)*S27</f>
        <v>0</v>
      </c>
      <c r="U27" s="14">
        <f t="shared" ref="U27:U46" si="9">N(AD27)*S27</f>
        <v>0</v>
      </c>
      <c r="V27" s="14">
        <f t="shared" ref="V27:V46" si="10">N(AE27)*S27</f>
        <v>2887.62</v>
      </c>
      <c r="W27" s="14" t="str">
        <f t="shared" ref="W27:W46" si="11">IF(Q27="","",N(AF27)*S27)</f>
        <v/>
      </c>
      <c r="X27" s="5">
        <v>0</v>
      </c>
      <c r="Y27" s="4"/>
      <c r="Z27" s="4"/>
      <c r="AA27" s="14">
        <f t="shared" ref="AA27:AA46" si="12">T27+U27+V27+N(W27)+X27+Y27+N(Z27)</f>
        <v>2887.62</v>
      </c>
      <c r="AB27" s="4"/>
      <c r="AC27" s="4"/>
      <c r="AD27" s="14">
        <f t="shared" ref="AD27:AD46" si="13">O27-Y27</f>
        <v>0</v>
      </c>
      <c r="AE27" s="14">
        <f t="shared" ref="AE27:AE46" si="14">P27-X27</f>
        <v>96254</v>
      </c>
      <c r="AF27" s="14" t="str">
        <f t="shared" ref="AF27:AF46" si="15">IF(Q27="","",Q27-Z27)</f>
        <v/>
      </c>
      <c r="AG27" s="15">
        <f t="shared" ref="AG27:AG46" si="16">AC27+AD27+AE27+N(AF27)</f>
        <v>96254</v>
      </c>
      <c r="AH27" s="16">
        <v>1424462</v>
      </c>
      <c r="AI27" s="17">
        <f t="shared" ref="AI27:AI46" si="17">AG27-AH27</f>
        <v>-1328208</v>
      </c>
      <c r="AJ27" s="7" t="str">
        <f t="shared" si="0"/>
        <v/>
      </c>
      <c r="AK27" s="7" t="str">
        <f t="shared" si="1"/>
        <v/>
      </c>
      <c r="AL27" s="7">
        <f t="shared" si="2"/>
        <v>2.5665360279901375</v>
      </c>
      <c r="AM27" s="7" t="str">
        <f t="shared" si="3"/>
        <v/>
      </c>
      <c r="AN27" s="4">
        <v>0</v>
      </c>
      <c r="AO27" s="4">
        <v>0</v>
      </c>
      <c r="AP27" s="14">
        <f t="shared" ref="AP27:AP46" si="18">AH27+AN27+AO27</f>
        <v>1424462</v>
      </c>
      <c r="AQ27" s="14">
        <f t="shared" ref="AQ27:AQ46" si="19">AH27</f>
        <v>1424462</v>
      </c>
      <c r="AR27" s="18">
        <v>55522.13000000082</v>
      </c>
      <c r="AS27" s="19">
        <v>28.47</v>
      </c>
      <c r="AT27" s="8">
        <v>11346521.310000001</v>
      </c>
      <c r="AU27" s="8">
        <v>0</v>
      </c>
      <c r="AV27" s="8">
        <v>2041.5641000000001</v>
      </c>
      <c r="AW27" s="8"/>
      <c r="AX27" s="9"/>
      <c r="AY27" s="6" t="str">
        <f t="shared" si="4"/>
        <v/>
      </c>
      <c r="AZ27" s="8">
        <v>0</v>
      </c>
      <c r="BA27" s="10">
        <v>60480066</v>
      </c>
      <c r="BB27" s="11">
        <v>11346521.310000001</v>
      </c>
      <c r="BC27" s="10">
        <v>2971324</v>
      </c>
      <c r="BD27" s="10">
        <f>1000000000-999901054.8066+0</f>
        <v>98945.193400025368</v>
      </c>
      <c r="BE27" s="12">
        <f t="shared" si="5"/>
        <v>925103143.49660003</v>
      </c>
      <c r="BF27" s="13">
        <v>238</v>
      </c>
      <c r="BG27" s="13">
        <f t="shared" si="6"/>
        <v>687.10314349660007</v>
      </c>
      <c r="BH27" s="14">
        <f>BE27*28.47</f>
        <v>26337686495.348202</v>
      </c>
    </row>
    <row r="28" spans="1:60" x14ac:dyDescent="0.25">
      <c r="A28" s="3">
        <v>45650</v>
      </c>
      <c r="B28" s="4">
        <v>4401565233</v>
      </c>
      <c r="C28" s="4"/>
      <c r="D28" s="5">
        <v>319403848</v>
      </c>
      <c r="E28" s="4"/>
      <c r="N28" s="4"/>
      <c r="O28" s="4"/>
      <c r="P28" s="5">
        <v>47315</v>
      </c>
      <c r="Q28" s="4"/>
      <c r="R28" s="14">
        <f t="shared" si="7"/>
        <v>47315</v>
      </c>
      <c r="S28" s="6">
        <v>0.03</v>
      </c>
      <c r="T28" s="14">
        <f t="shared" si="8"/>
        <v>0</v>
      </c>
      <c r="U28" s="14">
        <f t="shared" si="9"/>
        <v>0</v>
      </c>
      <c r="V28" s="14">
        <f t="shared" si="10"/>
        <v>1419.45</v>
      </c>
      <c r="W28" s="14" t="str">
        <f t="shared" si="11"/>
        <v/>
      </c>
      <c r="X28" s="5">
        <v>0</v>
      </c>
      <c r="Y28" s="4"/>
      <c r="Z28" s="4"/>
      <c r="AA28" s="14">
        <f t="shared" si="12"/>
        <v>1419.45</v>
      </c>
      <c r="AB28" s="4"/>
      <c r="AC28" s="4"/>
      <c r="AD28" s="14">
        <f t="shared" si="13"/>
        <v>0</v>
      </c>
      <c r="AE28" s="14">
        <f t="shared" si="14"/>
        <v>47315</v>
      </c>
      <c r="AF28" s="14" t="str">
        <f t="shared" si="15"/>
        <v/>
      </c>
      <c r="AG28" s="15">
        <f t="shared" si="16"/>
        <v>47315</v>
      </c>
      <c r="AH28" s="16">
        <v>1303665</v>
      </c>
      <c r="AI28" s="17">
        <f t="shared" si="17"/>
        <v>-1256350</v>
      </c>
      <c r="AJ28" s="7" t="str">
        <f t="shared" si="0"/>
        <v/>
      </c>
      <c r="AK28" s="7" t="str">
        <f t="shared" si="1"/>
        <v/>
      </c>
      <c r="AL28" s="7">
        <f t="shared" si="2"/>
        <v>1.4813534744891363</v>
      </c>
      <c r="AM28" s="7" t="str">
        <f t="shared" si="3"/>
        <v/>
      </c>
      <c r="AN28" s="4">
        <v>0</v>
      </c>
      <c r="AO28" s="4">
        <v>0</v>
      </c>
      <c r="AP28" s="14">
        <f t="shared" si="18"/>
        <v>1303665</v>
      </c>
      <c r="AQ28" s="14">
        <f t="shared" si="19"/>
        <v>1303665</v>
      </c>
      <c r="AR28" s="18">
        <v>49941.639999998733</v>
      </c>
      <c r="AS28" s="19">
        <v>28.6</v>
      </c>
      <c r="AT28" s="8">
        <v>11396462.949999999</v>
      </c>
      <c r="AU28" s="8">
        <v>0</v>
      </c>
      <c r="AV28" s="8">
        <v>3190.5124999999998</v>
      </c>
      <c r="AW28" s="8"/>
      <c r="AX28" s="9"/>
      <c r="AY28" s="6" t="str">
        <f t="shared" si="4"/>
        <v/>
      </c>
      <c r="AZ28" s="8">
        <v>0</v>
      </c>
      <c r="BA28" s="10">
        <v>60480066</v>
      </c>
      <c r="BB28" s="11">
        <v>11396462.949999999</v>
      </c>
      <c r="BC28" s="10">
        <v>2971324</v>
      </c>
      <c r="BD28" s="10">
        <f>1000000000-999897864.2941+0</f>
        <v>102135.70589995384</v>
      </c>
      <c r="BE28" s="12">
        <f t="shared" si="5"/>
        <v>925050011.3441</v>
      </c>
      <c r="BF28" s="13">
        <v>238</v>
      </c>
      <c r="BG28" s="13">
        <f t="shared" si="6"/>
        <v>687.05001134409997</v>
      </c>
      <c r="BH28" s="14">
        <f>BE28*28.6</f>
        <v>26456430324.441261</v>
      </c>
    </row>
    <row r="29" spans="1:60" x14ac:dyDescent="0.25">
      <c r="A29" s="3">
        <v>45651</v>
      </c>
      <c r="B29" s="4">
        <v>3090026720</v>
      </c>
      <c r="C29" s="4"/>
      <c r="D29" s="5">
        <v>310480616</v>
      </c>
      <c r="E29" s="4"/>
      <c r="N29" s="4"/>
      <c r="O29" s="4"/>
      <c r="P29" s="5">
        <v>43561</v>
      </c>
      <c r="Q29" s="4"/>
      <c r="R29" s="14">
        <f t="shared" si="7"/>
        <v>43561</v>
      </c>
      <c r="S29" s="6">
        <v>0.03</v>
      </c>
      <c r="T29" s="14">
        <f t="shared" si="8"/>
        <v>0</v>
      </c>
      <c r="U29" s="14">
        <f t="shared" si="9"/>
        <v>0</v>
      </c>
      <c r="V29" s="14">
        <f t="shared" si="10"/>
        <v>1306.83</v>
      </c>
      <c r="W29" s="14" t="str">
        <f t="shared" si="11"/>
        <v/>
      </c>
      <c r="X29" s="5">
        <v>0</v>
      </c>
      <c r="Y29" s="4"/>
      <c r="Z29" s="4"/>
      <c r="AA29" s="14">
        <f t="shared" si="12"/>
        <v>1306.83</v>
      </c>
      <c r="AB29" s="4"/>
      <c r="AC29" s="4"/>
      <c r="AD29" s="14">
        <f t="shared" si="13"/>
        <v>0</v>
      </c>
      <c r="AE29" s="14">
        <f t="shared" si="14"/>
        <v>43561</v>
      </c>
      <c r="AF29" s="14" t="str">
        <f t="shared" si="15"/>
        <v/>
      </c>
      <c r="AG29" s="15">
        <f t="shared" si="16"/>
        <v>43561</v>
      </c>
      <c r="AH29" s="16">
        <v>1014518</v>
      </c>
      <c r="AI29" s="17">
        <f t="shared" si="17"/>
        <v>-970957</v>
      </c>
      <c r="AJ29" s="7" t="str">
        <f t="shared" si="0"/>
        <v/>
      </c>
      <c r="AK29" s="7" t="str">
        <f t="shared" si="1"/>
        <v/>
      </c>
      <c r="AL29" s="7">
        <f t="shared" si="2"/>
        <v>1.4030183449520082</v>
      </c>
      <c r="AM29" s="7" t="str">
        <f t="shared" si="3"/>
        <v/>
      </c>
      <c r="AN29" s="4">
        <v>0</v>
      </c>
      <c r="AO29" s="4">
        <v>0</v>
      </c>
      <c r="AP29" s="14">
        <f t="shared" si="18"/>
        <v>1014518</v>
      </c>
      <c r="AQ29" s="14">
        <f t="shared" si="19"/>
        <v>1014518</v>
      </c>
      <c r="AR29" s="18">
        <v>42906.810000000522</v>
      </c>
      <c r="AS29" s="19">
        <v>29.78</v>
      </c>
      <c r="AT29" s="8">
        <v>11439369.76</v>
      </c>
      <c r="AU29" s="8">
        <v>0</v>
      </c>
      <c r="AV29" s="8">
        <v>1832.8323</v>
      </c>
      <c r="AW29" s="8"/>
      <c r="AX29" s="9"/>
      <c r="AY29" s="6" t="str">
        <f t="shared" si="4"/>
        <v/>
      </c>
      <c r="AZ29" s="8">
        <v>0</v>
      </c>
      <c r="BA29" s="10">
        <v>60480066</v>
      </c>
      <c r="BB29" s="11">
        <v>11439369.76</v>
      </c>
      <c r="BC29" s="10">
        <v>2971324</v>
      </c>
      <c r="BD29" s="10">
        <f>1000000000-999896031.4618+0</f>
        <v>103968.53820002079</v>
      </c>
      <c r="BE29" s="12">
        <f t="shared" si="5"/>
        <v>925005271.70179999</v>
      </c>
      <c r="BF29" s="13">
        <v>238</v>
      </c>
      <c r="BG29" s="13">
        <f t="shared" si="6"/>
        <v>687.00527170179998</v>
      </c>
      <c r="BH29" s="14">
        <f>BE29*29.78</f>
        <v>27546656991.279606</v>
      </c>
    </row>
    <row r="30" spans="1:60" x14ac:dyDescent="0.25">
      <c r="A30" s="3">
        <v>45652</v>
      </c>
      <c r="B30" s="4">
        <v>3897465234</v>
      </c>
      <c r="C30" s="4"/>
      <c r="D30" s="5">
        <v>214091088</v>
      </c>
      <c r="E30" s="4"/>
      <c r="N30" s="4"/>
      <c r="O30" s="4"/>
      <c r="P30" s="5">
        <v>44254</v>
      </c>
      <c r="Q30" s="4"/>
      <c r="R30" s="14">
        <f t="shared" si="7"/>
        <v>44254</v>
      </c>
      <c r="S30" s="6">
        <v>0.03</v>
      </c>
      <c r="T30" s="14">
        <f t="shared" si="8"/>
        <v>0</v>
      </c>
      <c r="U30" s="14">
        <f t="shared" si="9"/>
        <v>0</v>
      </c>
      <c r="V30" s="14">
        <f t="shared" si="10"/>
        <v>1327.62</v>
      </c>
      <c r="W30" s="14" t="str">
        <f t="shared" si="11"/>
        <v/>
      </c>
      <c r="X30" s="5">
        <v>0</v>
      </c>
      <c r="Y30" s="4"/>
      <c r="Z30" s="4"/>
      <c r="AA30" s="14">
        <f t="shared" si="12"/>
        <v>1327.62</v>
      </c>
      <c r="AB30" s="4"/>
      <c r="AC30" s="4"/>
      <c r="AD30" s="14">
        <f t="shared" si="13"/>
        <v>0</v>
      </c>
      <c r="AE30" s="14">
        <f t="shared" si="14"/>
        <v>44254</v>
      </c>
      <c r="AF30" s="14" t="str">
        <f t="shared" si="15"/>
        <v/>
      </c>
      <c r="AG30" s="15">
        <f t="shared" si="16"/>
        <v>44254</v>
      </c>
      <c r="AH30" s="16">
        <v>1273897</v>
      </c>
      <c r="AI30" s="17">
        <f t="shared" si="17"/>
        <v>-1229643</v>
      </c>
      <c r="AJ30" s="7" t="str">
        <f t="shared" si="0"/>
        <v/>
      </c>
      <c r="AK30" s="7" t="str">
        <f t="shared" si="1"/>
        <v/>
      </c>
      <c r="AL30" s="7">
        <f t="shared" si="2"/>
        <v>2.0670640900288197</v>
      </c>
      <c r="AM30" s="7" t="str">
        <f t="shared" si="3"/>
        <v/>
      </c>
      <c r="AN30" s="4">
        <v>0</v>
      </c>
      <c r="AO30" s="4">
        <v>0</v>
      </c>
      <c r="AP30" s="14">
        <f t="shared" si="18"/>
        <v>1273897</v>
      </c>
      <c r="AQ30" s="14">
        <f t="shared" si="19"/>
        <v>1273897</v>
      </c>
      <c r="AR30" s="18">
        <v>28772.870000001039</v>
      </c>
      <c r="AS30" s="19">
        <v>26.55</v>
      </c>
      <c r="AT30" s="8">
        <v>11468142.630000001</v>
      </c>
      <c r="AU30" s="8">
        <v>0</v>
      </c>
      <c r="AV30" s="8">
        <v>1373.0965000000001</v>
      </c>
      <c r="AW30" s="8"/>
      <c r="AX30" s="9"/>
      <c r="AY30" s="6" t="str">
        <f t="shared" si="4"/>
        <v/>
      </c>
      <c r="AZ30" s="8">
        <v>0</v>
      </c>
      <c r="BA30" s="10">
        <v>60480066</v>
      </c>
      <c r="BB30" s="11">
        <v>11468142.630000001</v>
      </c>
      <c r="BC30" s="10">
        <v>2971324</v>
      </c>
      <c r="BD30" s="10">
        <f>1000000000-999894658.3653+0</f>
        <v>105341.63469994068</v>
      </c>
      <c r="BE30" s="12">
        <f t="shared" si="5"/>
        <v>924975125.73530006</v>
      </c>
      <c r="BF30" s="13">
        <v>238</v>
      </c>
      <c r="BG30" s="13">
        <f t="shared" si="6"/>
        <v>686.97512573530003</v>
      </c>
      <c r="BH30" s="14">
        <f>BE30*26.55</f>
        <v>24558089588.272217</v>
      </c>
    </row>
    <row r="31" spans="1:60" x14ac:dyDescent="0.25">
      <c r="A31" s="3">
        <v>45653</v>
      </c>
      <c r="B31" s="4">
        <v>3889473141</v>
      </c>
      <c r="C31" s="4"/>
      <c r="D31" s="5">
        <v>216391282</v>
      </c>
      <c r="E31" s="4"/>
      <c r="N31" s="4"/>
      <c r="O31" s="4"/>
      <c r="P31" s="5">
        <v>28523</v>
      </c>
      <c r="Q31" s="4"/>
      <c r="R31" s="14">
        <f t="shared" si="7"/>
        <v>28523</v>
      </c>
      <c r="S31" s="6">
        <v>0.03</v>
      </c>
      <c r="T31" s="14">
        <f t="shared" si="8"/>
        <v>0</v>
      </c>
      <c r="U31" s="14">
        <f t="shared" si="9"/>
        <v>0</v>
      </c>
      <c r="V31" s="14">
        <f t="shared" si="10"/>
        <v>855.68999999999994</v>
      </c>
      <c r="W31" s="14" t="str">
        <f t="shared" si="11"/>
        <v/>
      </c>
      <c r="X31" s="5">
        <v>0</v>
      </c>
      <c r="Y31" s="4"/>
      <c r="Z31" s="4"/>
      <c r="AA31" s="14">
        <f t="shared" si="12"/>
        <v>855.68999999999994</v>
      </c>
      <c r="AB31" s="4"/>
      <c r="AC31" s="4"/>
      <c r="AD31" s="14">
        <f t="shared" si="13"/>
        <v>0</v>
      </c>
      <c r="AE31" s="14">
        <f t="shared" si="14"/>
        <v>28523</v>
      </c>
      <c r="AF31" s="14" t="str">
        <f t="shared" si="15"/>
        <v/>
      </c>
      <c r="AG31" s="15">
        <f t="shared" si="16"/>
        <v>28523</v>
      </c>
      <c r="AH31" s="16">
        <v>1258520</v>
      </c>
      <c r="AI31" s="17">
        <f t="shared" si="17"/>
        <v>-1229997</v>
      </c>
      <c r="AJ31" s="7" t="str">
        <f t="shared" si="0"/>
        <v/>
      </c>
      <c r="AK31" s="7" t="str">
        <f t="shared" si="1"/>
        <v/>
      </c>
      <c r="AL31" s="7">
        <f t="shared" si="2"/>
        <v>1.3181214943770239</v>
      </c>
      <c r="AM31" s="7" t="str">
        <f t="shared" si="3"/>
        <v/>
      </c>
      <c r="AN31" s="4">
        <v>0</v>
      </c>
      <c r="AO31" s="4">
        <v>0</v>
      </c>
      <c r="AP31" s="14">
        <f t="shared" si="18"/>
        <v>1258520</v>
      </c>
      <c r="AQ31" s="14">
        <f t="shared" si="19"/>
        <v>1258520</v>
      </c>
      <c r="AR31" s="18">
        <v>45393.949999999248</v>
      </c>
      <c r="AS31" s="19">
        <v>27.22</v>
      </c>
      <c r="AT31" s="8">
        <v>11513536.58</v>
      </c>
      <c r="AU31" s="8">
        <v>0</v>
      </c>
      <c r="AV31" s="8">
        <v>1476.4802</v>
      </c>
      <c r="AW31" s="8"/>
      <c r="AX31" s="9"/>
      <c r="AY31" s="6" t="str">
        <f t="shared" si="4"/>
        <v/>
      </c>
      <c r="AZ31" s="8">
        <v>0</v>
      </c>
      <c r="BA31" s="10">
        <v>60480066</v>
      </c>
      <c r="BB31" s="11">
        <v>11513536.58</v>
      </c>
      <c r="BC31" s="10">
        <v>2971324</v>
      </c>
      <c r="BD31" s="10">
        <f>1000000000-999893181.8852+0</f>
        <v>106818.11479997635</v>
      </c>
      <c r="BE31" s="12">
        <f t="shared" si="5"/>
        <v>924928255.30519998</v>
      </c>
      <c r="BF31" s="13">
        <v>238</v>
      </c>
      <c r="BG31" s="13">
        <f t="shared" si="6"/>
        <v>686.92825530519997</v>
      </c>
      <c r="BH31" s="14">
        <f>BE31*27.22</f>
        <v>25176547109.407543</v>
      </c>
    </row>
    <row r="32" spans="1:60" x14ac:dyDescent="0.25">
      <c r="A32" s="3">
        <v>45654</v>
      </c>
      <c r="B32" s="4">
        <v>2077191362</v>
      </c>
      <c r="C32" s="4"/>
      <c r="D32" s="5">
        <v>212391739</v>
      </c>
      <c r="E32" s="4"/>
      <c r="N32" s="4"/>
      <c r="O32" s="4"/>
      <c r="P32" s="5">
        <v>28430</v>
      </c>
      <c r="Q32" s="4"/>
      <c r="R32" s="14">
        <f t="shared" si="7"/>
        <v>28430</v>
      </c>
      <c r="S32" s="6">
        <v>0.03</v>
      </c>
      <c r="T32" s="14">
        <f t="shared" si="8"/>
        <v>0</v>
      </c>
      <c r="U32" s="14">
        <f t="shared" si="9"/>
        <v>0</v>
      </c>
      <c r="V32" s="14">
        <f t="shared" si="10"/>
        <v>852.9</v>
      </c>
      <c r="W32" s="14" t="str">
        <f t="shared" si="11"/>
        <v/>
      </c>
      <c r="X32" s="5">
        <v>0</v>
      </c>
      <c r="Y32" s="4"/>
      <c r="Z32" s="4"/>
      <c r="AA32" s="14">
        <f t="shared" si="12"/>
        <v>852.9</v>
      </c>
      <c r="AB32" s="4"/>
      <c r="AC32" s="4"/>
      <c r="AD32" s="14">
        <f t="shared" si="13"/>
        <v>0</v>
      </c>
      <c r="AE32" s="14">
        <f t="shared" si="14"/>
        <v>28430</v>
      </c>
      <c r="AF32" s="14" t="str">
        <f t="shared" si="15"/>
        <v/>
      </c>
      <c r="AG32" s="15">
        <f t="shared" si="16"/>
        <v>28430</v>
      </c>
      <c r="AH32" s="16">
        <v>949315</v>
      </c>
      <c r="AI32" s="17">
        <f t="shared" si="17"/>
        <v>-920885</v>
      </c>
      <c r="AJ32" s="7" t="str">
        <f t="shared" si="0"/>
        <v/>
      </c>
      <c r="AK32" s="7" t="str">
        <f t="shared" si="1"/>
        <v/>
      </c>
      <c r="AL32" s="7">
        <f t="shared" si="2"/>
        <v>1.3385643026351415</v>
      </c>
      <c r="AM32" s="7" t="str">
        <f t="shared" si="3"/>
        <v/>
      </c>
      <c r="AN32" s="4">
        <v>0</v>
      </c>
      <c r="AO32" s="4">
        <v>0</v>
      </c>
      <c r="AP32" s="14">
        <f t="shared" si="18"/>
        <v>949315</v>
      </c>
      <c r="AQ32" s="14">
        <f t="shared" si="19"/>
        <v>949315</v>
      </c>
      <c r="AR32" s="18">
        <v>46697.63000000082</v>
      </c>
      <c r="AS32" s="19">
        <v>27.11</v>
      </c>
      <c r="AT32" s="8">
        <v>11560234.210000001</v>
      </c>
      <c r="AU32" s="8">
        <v>0</v>
      </c>
      <c r="AV32" s="8">
        <v>1019.7076</v>
      </c>
      <c r="AW32" s="8"/>
      <c r="AX32" s="9">
        <v>301.00121825344871</v>
      </c>
      <c r="AY32" s="6">
        <f t="shared" si="4"/>
        <v>0</v>
      </c>
      <c r="AZ32" s="8">
        <v>0</v>
      </c>
      <c r="BA32" s="10">
        <v>60480066</v>
      </c>
      <c r="BB32" s="11">
        <v>11560234.210000001</v>
      </c>
      <c r="BC32" s="10">
        <v>2971324</v>
      </c>
      <c r="BD32" s="10">
        <f>1000000000-999892162.1776+0</f>
        <v>107837.82239997387</v>
      </c>
      <c r="BE32" s="12">
        <f t="shared" si="5"/>
        <v>924880537.96759999</v>
      </c>
      <c r="BF32" s="13">
        <v>238</v>
      </c>
      <c r="BG32" s="13">
        <f t="shared" si="6"/>
        <v>686.88053796759993</v>
      </c>
      <c r="BH32" s="14">
        <f>BE32*27.11</f>
        <v>25073511384.301636</v>
      </c>
    </row>
    <row r="33" spans="1:60" x14ac:dyDescent="0.25">
      <c r="A33" s="3">
        <v>45655</v>
      </c>
      <c r="B33" s="4">
        <v>1965931600</v>
      </c>
      <c r="C33" s="4"/>
      <c r="D33" s="5">
        <v>342862746</v>
      </c>
      <c r="E33" s="4"/>
      <c r="N33" s="4"/>
      <c r="O33" s="4"/>
      <c r="P33" s="5">
        <v>31496</v>
      </c>
      <c r="Q33" s="4"/>
      <c r="R33" s="14">
        <f t="shared" si="7"/>
        <v>31496</v>
      </c>
      <c r="S33" s="6">
        <v>0.03</v>
      </c>
      <c r="T33" s="14">
        <f t="shared" si="8"/>
        <v>0</v>
      </c>
      <c r="U33" s="14">
        <f t="shared" si="9"/>
        <v>0</v>
      </c>
      <c r="V33" s="14">
        <f t="shared" si="10"/>
        <v>944.88</v>
      </c>
      <c r="W33" s="14" t="str">
        <f t="shared" si="11"/>
        <v/>
      </c>
      <c r="X33" s="5">
        <v>0</v>
      </c>
      <c r="Y33" s="4"/>
      <c r="Z33" s="4"/>
      <c r="AA33" s="14">
        <f t="shared" si="12"/>
        <v>944.88</v>
      </c>
      <c r="AB33" s="4"/>
      <c r="AC33" s="4"/>
      <c r="AD33" s="14">
        <f t="shared" si="13"/>
        <v>0</v>
      </c>
      <c r="AE33" s="14">
        <f t="shared" si="14"/>
        <v>31496</v>
      </c>
      <c r="AF33" s="14" t="str">
        <f t="shared" si="15"/>
        <v/>
      </c>
      <c r="AG33" s="15">
        <f t="shared" si="16"/>
        <v>31496</v>
      </c>
      <c r="AH33" s="16">
        <v>471167</v>
      </c>
      <c r="AI33" s="17">
        <f t="shared" si="17"/>
        <v>-439671</v>
      </c>
      <c r="AJ33" s="7" t="str">
        <f t="shared" si="0"/>
        <v/>
      </c>
      <c r="AK33" s="7" t="str">
        <f t="shared" si="1"/>
        <v/>
      </c>
      <c r="AL33" s="7">
        <f t="shared" si="2"/>
        <v>0.91861832081342543</v>
      </c>
      <c r="AM33" s="7" t="str">
        <f t="shared" si="3"/>
        <v/>
      </c>
      <c r="AN33" s="4">
        <v>0</v>
      </c>
      <c r="AO33" s="4">
        <v>0</v>
      </c>
      <c r="AP33" s="14">
        <f t="shared" si="18"/>
        <v>471167</v>
      </c>
      <c r="AQ33" s="14">
        <f t="shared" si="19"/>
        <v>471167</v>
      </c>
      <c r="AR33" s="18">
        <v>33952.539999999113</v>
      </c>
      <c r="AS33" s="19">
        <v>29.26</v>
      </c>
      <c r="AT33" s="8">
        <v>11594186.75</v>
      </c>
      <c r="AU33" s="8">
        <v>0</v>
      </c>
      <c r="AV33" s="8">
        <v>774.48569999999995</v>
      </c>
      <c r="AW33" s="8"/>
      <c r="AX33" s="9">
        <v>301.02439380100691</v>
      </c>
      <c r="AY33" s="6">
        <f t="shared" si="4"/>
        <v>0</v>
      </c>
      <c r="AZ33" s="8">
        <v>428050035.74239999</v>
      </c>
      <c r="BA33" s="10">
        <v>60480066</v>
      </c>
      <c r="BB33" s="11">
        <v>11594186.75</v>
      </c>
      <c r="BC33" s="10">
        <v>2971324</v>
      </c>
      <c r="BD33" s="10">
        <f>1000000000-999891387.692+0</f>
        <v>108612.30799996853</v>
      </c>
      <c r="BE33" s="12">
        <f t="shared" si="5"/>
        <v>496795775.1996001</v>
      </c>
      <c r="BF33" s="13">
        <v>238</v>
      </c>
      <c r="BG33" s="13">
        <f t="shared" si="6"/>
        <v>258.79577519960009</v>
      </c>
      <c r="BH33" s="14">
        <f>BE33*29.26</f>
        <v>14536244382.3403</v>
      </c>
    </row>
    <row r="34" spans="1:60" x14ac:dyDescent="0.25">
      <c r="A34" s="3">
        <v>45656</v>
      </c>
      <c r="B34" s="4">
        <v>4697171102</v>
      </c>
      <c r="C34" s="4"/>
      <c r="D34" s="5">
        <v>267028183</v>
      </c>
      <c r="E34" s="4"/>
      <c r="N34" s="4"/>
      <c r="O34" s="4"/>
      <c r="P34" s="5">
        <v>49113</v>
      </c>
      <c r="Q34" s="4"/>
      <c r="R34" s="14">
        <f t="shared" si="7"/>
        <v>49113</v>
      </c>
      <c r="S34" s="6">
        <v>0.03</v>
      </c>
      <c r="T34" s="14">
        <f t="shared" si="8"/>
        <v>0</v>
      </c>
      <c r="U34" s="14">
        <f t="shared" si="9"/>
        <v>0</v>
      </c>
      <c r="V34" s="14">
        <f t="shared" si="10"/>
        <v>1473.3899999999999</v>
      </c>
      <c r="W34" s="14" t="str">
        <f t="shared" si="11"/>
        <v/>
      </c>
      <c r="X34" s="5">
        <v>0</v>
      </c>
      <c r="Y34" s="4"/>
      <c r="Z34" s="4"/>
      <c r="AA34" s="14">
        <f t="shared" si="12"/>
        <v>1473.3899999999999</v>
      </c>
      <c r="AB34" s="4"/>
      <c r="AC34" s="4"/>
      <c r="AD34" s="14">
        <f t="shared" si="13"/>
        <v>0</v>
      </c>
      <c r="AE34" s="14">
        <f t="shared" si="14"/>
        <v>49113</v>
      </c>
      <c r="AF34" s="14" t="str">
        <f t="shared" si="15"/>
        <v/>
      </c>
      <c r="AG34" s="15">
        <f t="shared" si="16"/>
        <v>49113</v>
      </c>
      <c r="AH34" s="16">
        <v>1486794</v>
      </c>
      <c r="AI34" s="17">
        <f t="shared" si="17"/>
        <v>-1437681</v>
      </c>
      <c r="AJ34" s="7" t="str">
        <f t="shared" si="0"/>
        <v/>
      </c>
      <c r="AK34" s="7" t="str">
        <f t="shared" si="1"/>
        <v/>
      </c>
      <c r="AL34" s="7">
        <f t="shared" si="2"/>
        <v>1.8392440621145971</v>
      </c>
      <c r="AM34" s="7" t="str">
        <f t="shared" si="3"/>
        <v/>
      </c>
      <c r="AN34" s="4">
        <v>0</v>
      </c>
      <c r="AO34" s="4">
        <v>0</v>
      </c>
      <c r="AP34" s="14">
        <f t="shared" si="18"/>
        <v>1486794</v>
      </c>
      <c r="AQ34" s="14">
        <f t="shared" si="19"/>
        <v>1486794</v>
      </c>
      <c r="AR34" s="18">
        <v>32031.980000000451</v>
      </c>
      <c r="AS34" s="19">
        <v>27.44</v>
      </c>
      <c r="AT34" s="8">
        <v>11626218.73</v>
      </c>
      <c r="AU34" s="8">
        <v>22225.362300000001</v>
      </c>
      <c r="AV34" s="8">
        <v>611.88049999999998</v>
      </c>
      <c r="AW34" s="8"/>
      <c r="AX34" s="9">
        <v>301.10727862326559</v>
      </c>
      <c r="AY34" s="6">
        <f t="shared" si="4"/>
        <v>2.6941418608647318E-2</v>
      </c>
      <c r="AZ34" s="8">
        <v>428027810.38010001</v>
      </c>
      <c r="BA34" s="10">
        <v>60480066</v>
      </c>
      <c r="BB34" s="11">
        <v>11626218.73</v>
      </c>
      <c r="BC34" s="10">
        <v>2971324</v>
      </c>
      <c r="BD34" s="10">
        <f>1000000000-999890775.8115+0</f>
        <v>109224.18850004673</v>
      </c>
      <c r="BE34" s="12">
        <f t="shared" si="5"/>
        <v>496785356.70139992</v>
      </c>
      <c r="BF34" s="13">
        <v>238</v>
      </c>
      <c r="BG34" s="13">
        <f t="shared" si="6"/>
        <v>258.78535670139991</v>
      </c>
      <c r="BH34" s="14">
        <f>BE34*27.44</f>
        <v>13631790187.886414</v>
      </c>
    </row>
    <row r="35" spans="1:60" x14ac:dyDescent="0.25">
      <c r="A35" s="3">
        <v>45657</v>
      </c>
      <c r="B35" s="4">
        <v>3450514508</v>
      </c>
      <c r="C35" s="4"/>
      <c r="D35" s="5">
        <v>225503235</v>
      </c>
      <c r="E35" s="4"/>
      <c r="N35" s="4"/>
      <c r="O35" s="4"/>
      <c r="P35" s="5">
        <v>42962</v>
      </c>
      <c r="Q35" s="4"/>
      <c r="R35" s="14">
        <f t="shared" si="7"/>
        <v>42962</v>
      </c>
      <c r="S35" s="6">
        <v>0.03</v>
      </c>
      <c r="T35" s="14">
        <f t="shared" si="8"/>
        <v>0</v>
      </c>
      <c r="U35" s="14">
        <f t="shared" si="9"/>
        <v>0</v>
      </c>
      <c r="V35" s="14">
        <f t="shared" si="10"/>
        <v>1288.8599999999999</v>
      </c>
      <c r="W35" s="14" t="str">
        <f t="shared" si="11"/>
        <v/>
      </c>
      <c r="X35" s="5">
        <v>0</v>
      </c>
      <c r="Y35" s="4"/>
      <c r="Z35" s="4"/>
      <c r="AA35" s="14">
        <f t="shared" si="12"/>
        <v>1288.8599999999999</v>
      </c>
      <c r="AB35" s="4"/>
      <c r="AC35" s="4"/>
      <c r="AD35" s="14">
        <f t="shared" si="13"/>
        <v>0</v>
      </c>
      <c r="AE35" s="14">
        <f t="shared" si="14"/>
        <v>42962</v>
      </c>
      <c r="AF35" s="14" t="str">
        <f t="shared" si="15"/>
        <v/>
      </c>
      <c r="AG35" s="15">
        <f t="shared" si="16"/>
        <v>42962</v>
      </c>
      <c r="AH35" s="16">
        <v>1327977</v>
      </c>
      <c r="AI35" s="17">
        <f t="shared" si="17"/>
        <v>-1285015</v>
      </c>
      <c r="AJ35" s="7" t="str">
        <f t="shared" si="0"/>
        <v/>
      </c>
      <c r="AK35" s="7" t="str">
        <f t="shared" si="1"/>
        <v/>
      </c>
      <c r="AL35" s="7">
        <f t="shared" si="2"/>
        <v>1.9051611388191394</v>
      </c>
      <c r="AM35" s="7" t="str">
        <f t="shared" si="3"/>
        <v/>
      </c>
      <c r="AN35" s="4">
        <v>0</v>
      </c>
      <c r="AO35" s="4">
        <v>0</v>
      </c>
      <c r="AP35" s="14">
        <f t="shared" si="18"/>
        <v>1327977</v>
      </c>
      <c r="AQ35" s="14">
        <f t="shared" si="19"/>
        <v>1327977</v>
      </c>
      <c r="AR35" s="18">
        <v>44578.730000000447</v>
      </c>
      <c r="AS35" s="19">
        <v>26.95</v>
      </c>
      <c r="AT35" s="8">
        <v>11670797.460000001</v>
      </c>
      <c r="AU35" s="8">
        <v>23028.588299999999</v>
      </c>
      <c r="AV35" s="8">
        <v>870.4787</v>
      </c>
      <c r="AW35" s="8"/>
      <c r="AX35" s="9">
        <v>352.79856083760882</v>
      </c>
      <c r="AY35" s="6">
        <f t="shared" si="4"/>
        <v>2.3825025560036153E-2</v>
      </c>
      <c r="AZ35" s="8">
        <v>428004781.79189998</v>
      </c>
      <c r="BA35" s="10">
        <v>60480066</v>
      </c>
      <c r="BB35" s="11">
        <v>11670797.460000001</v>
      </c>
      <c r="BC35" s="10">
        <v>2971324</v>
      </c>
      <c r="BD35" s="10">
        <f>1000000000-999889905.3328+0</f>
        <v>110094.66719996929</v>
      </c>
      <c r="BE35" s="12">
        <f t="shared" si="5"/>
        <v>496762936.08090013</v>
      </c>
      <c r="BF35" s="13">
        <v>238</v>
      </c>
      <c r="BG35" s="13">
        <f t="shared" si="6"/>
        <v>258.76293608090015</v>
      </c>
      <c r="BH35" s="14">
        <f>BE35*26.95</f>
        <v>13387761127.380259</v>
      </c>
    </row>
    <row r="36" spans="1:60" x14ac:dyDescent="0.25">
      <c r="A36" s="3">
        <v>45658</v>
      </c>
      <c r="B36" s="4">
        <v>2157256818</v>
      </c>
      <c r="C36" s="4"/>
      <c r="D36" s="5">
        <v>256438336</v>
      </c>
      <c r="E36" s="4"/>
      <c r="N36" s="4"/>
      <c r="O36" s="4"/>
      <c r="P36" s="5">
        <v>30141</v>
      </c>
      <c r="Q36" s="4"/>
      <c r="R36" s="14">
        <f t="shared" si="7"/>
        <v>30141</v>
      </c>
      <c r="S36" s="6">
        <v>0.03</v>
      </c>
      <c r="T36" s="14">
        <f t="shared" si="8"/>
        <v>0</v>
      </c>
      <c r="U36" s="14">
        <f t="shared" si="9"/>
        <v>0</v>
      </c>
      <c r="V36" s="14">
        <f t="shared" si="10"/>
        <v>904.23</v>
      </c>
      <c r="W36" s="14" t="str">
        <f t="shared" si="11"/>
        <v/>
      </c>
      <c r="X36" s="5">
        <v>0</v>
      </c>
      <c r="Y36" s="4"/>
      <c r="Z36" s="4"/>
      <c r="AA36" s="14">
        <f t="shared" si="12"/>
        <v>904.23</v>
      </c>
      <c r="AB36" s="4"/>
      <c r="AC36" s="4"/>
      <c r="AD36" s="14">
        <f t="shared" si="13"/>
        <v>0</v>
      </c>
      <c r="AE36" s="14">
        <f t="shared" si="14"/>
        <v>30141</v>
      </c>
      <c r="AF36" s="14" t="str">
        <f t="shared" si="15"/>
        <v/>
      </c>
      <c r="AG36" s="15">
        <f t="shared" si="16"/>
        <v>30141</v>
      </c>
      <c r="AH36" s="16">
        <v>498037</v>
      </c>
      <c r="AI36" s="17">
        <f t="shared" si="17"/>
        <v>-467896</v>
      </c>
      <c r="AJ36" s="7" t="str">
        <f t="shared" si="0"/>
        <v/>
      </c>
      <c r="AK36" s="7" t="str">
        <f t="shared" si="1"/>
        <v/>
      </c>
      <c r="AL36" s="7">
        <f t="shared" si="2"/>
        <v>1.1753702847299712</v>
      </c>
      <c r="AM36" s="7" t="str">
        <f t="shared" si="3"/>
        <v/>
      </c>
      <c r="AN36" s="4">
        <v>0</v>
      </c>
      <c r="AO36" s="4">
        <v>0</v>
      </c>
      <c r="AP36" s="14">
        <f t="shared" si="18"/>
        <v>498037</v>
      </c>
      <c r="AQ36" s="14">
        <f t="shared" si="19"/>
        <v>498037</v>
      </c>
      <c r="AR36" s="18">
        <v>48753.469999998808</v>
      </c>
      <c r="AS36" s="19">
        <v>24</v>
      </c>
      <c r="AT36" s="8">
        <v>11719550.93</v>
      </c>
      <c r="AU36" s="8">
        <v>24499.3537</v>
      </c>
      <c r="AV36" s="8">
        <v>941.10220000000004</v>
      </c>
      <c r="AW36" s="8"/>
      <c r="AX36" s="9">
        <v>372.9855327802365</v>
      </c>
      <c r="AY36" s="6">
        <f t="shared" si="4"/>
        <v>2.3974828283135564E-2</v>
      </c>
      <c r="AZ36" s="8">
        <v>427980282.43809998</v>
      </c>
      <c r="BA36" s="10">
        <v>60480066</v>
      </c>
      <c r="BB36" s="11">
        <v>11719550.93</v>
      </c>
      <c r="BC36" s="10">
        <v>2971324</v>
      </c>
      <c r="BD36" s="10">
        <f>1000000000-999888964.2307+0</f>
        <v>111035.76929998398</v>
      </c>
      <c r="BE36" s="12">
        <f t="shared" si="5"/>
        <v>496737740.86260003</v>
      </c>
      <c r="BF36" s="13">
        <v>238</v>
      </c>
      <c r="BG36" s="13">
        <f t="shared" si="6"/>
        <v>258.73774086260005</v>
      </c>
      <c r="BH36" s="14">
        <f>BE36*24</f>
        <v>11921705780.7024</v>
      </c>
    </row>
    <row r="37" spans="1:60" x14ac:dyDescent="0.25">
      <c r="A37" s="3">
        <v>45659</v>
      </c>
      <c r="B37" s="4">
        <v>3645816159</v>
      </c>
      <c r="C37" s="4"/>
      <c r="D37" s="5">
        <v>267239456</v>
      </c>
      <c r="E37" s="4"/>
      <c r="N37" s="4"/>
      <c r="O37" s="4"/>
      <c r="P37" s="5">
        <v>41666</v>
      </c>
      <c r="Q37" s="4"/>
      <c r="R37" s="14">
        <f t="shared" si="7"/>
        <v>41666</v>
      </c>
      <c r="S37" s="6">
        <v>0.03</v>
      </c>
      <c r="T37" s="14">
        <f t="shared" si="8"/>
        <v>0</v>
      </c>
      <c r="U37" s="14">
        <f t="shared" si="9"/>
        <v>0</v>
      </c>
      <c r="V37" s="14">
        <f t="shared" si="10"/>
        <v>1249.98</v>
      </c>
      <c r="W37" s="14" t="str">
        <f t="shared" si="11"/>
        <v/>
      </c>
      <c r="X37" s="5">
        <v>0</v>
      </c>
      <c r="Y37" s="4"/>
      <c r="Z37" s="4"/>
      <c r="AA37" s="14">
        <f t="shared" si="12"/>
        <v>1249.98</v>
      </c>
      <c r="AB37" s="4"/>
      <c r="AC37" s="4"/>
      <c r="AD37" s="14">
        <f t="shared" si="13"/>
        <v>0</v>
      </c>
      <c r="AE37" s="14">
        <f t="shared" si="14"/>
        <v>41666</v>
      </c>
      <c r="AF37" s="14" t="str">
        <f t="shared" si="15"/>
        <v/>
      </c>
      <c r="AG37" s="15">
        <f t="shared" si="16"/>
        <v>41666</v>
      </c>
      <c r="AH37" s="16">
        <v>1270220</v>
      </c>
      <c r="AI37" s="17">
        <f t="shared" si="17"/>
        <v>-1228554</v>
      </c>
      <c r="AJ37" s="7" t="str">
        <f t="shared" si="0"/>
        <v/>
      </c>
      <c r="AK37" s="7" t="str">
        <f t="shared" si="1"/>
        <v/>
      </c>
      <c r="AL37" s="7">
        <f t="shared" si="2"/>
        <v>1.5591260595890453</v>
      </c>
      <c r="AM37" s="7" t="str">
        <f t="shared" si="3"/>
        <v/>
      </c>
      <c r="AN37" s="4">
        <v>0</v>
      </c>
      <c r="AO37" s="4">
        <v>0</v>
      </c>
      <c r="AP37" s="14">
        <f t="shared" si="18"/>
        <v>1270220</v>
      </c>
      <c r="AQ37" s="14">
        <f t="shared" si="19"/>
        <v>1270220</v>
      </c>
      <c r="AR37" s="18">
        <v>37230.030000001192</v>
      </c>
      <c r="AS37" s="19">
        <v>26.31</v>
      </c>
      <c r="AT37" s="8">
        <v>11756780.960000001</v>
      </c>
      <c r="AU37" s="8">
        <v>24851.901999999998</v>
      </c>
      <c r="AV37" s="8">
        <v>920.90160000000003</v>
      </c>
      <c r="AW37" s="8"/>
      <c r="AX37" s="9">
        <v>380.75278480932297</v>
      </c>
      <c r="AY37" s="6">
        <f t="shared" si="4"/>
        <v>2.3823710795818954E-2</v>
      </c>
      <c r="AZ37" s="8">
        <v>427955430.53609997</v>
      </c>
      <c r="BA37" s="10">
        <v>60480066</v>
      </c>
      <c r="BB37" s="11">
        <v>11756780.960000001</v>
      </c>
      <c r="BC37" s="10">
        <v>2971324</v>
      </c>
      <c r="BD37" s="10">
        <f>1000000000-999888043.3291+0</f>
        <v>111956.67089998722</v>
      </c>
      <c r="BE37" s="12">
        <f t="shared" si="5"/>
        <v>496724441.83300012</v>
      </c>
      <c r="BF37" s="13">
        <v>238</v>
      </c>
      <c r="BG37" s="13">
        <f t="shared" si="6"/>
        <v>258.72444183300013</v>
      </c>
      <c r="BH37" s="14">
        <f>BE37*26.31</f>
        <v>13068820064.626232</v>
      </c>
    </row>
    <row r="38" spans="1:60" x14ac:dyDescent="0.25">
      <c r="A38" s="3">
        <v>45660</v>
      </c>
      <c r="B38" s="4">
        <v>3573160271</v>
      </c>
      <c r="C38" s="4"/>
      <c r="D38" s="5">
        <v>176550030</v>
      </c>
      <c r="E38" s="4"/>
      <c r="N38" s="4"/>
      <c r="O38" s="4"/>
      <c r="P38" s="5">
        <v>37005</v>
      </c>
      <c r="Q38" s="4"/>
      <c r="R38" s="14">
        <f t="shared" si="7"/>
        <v>37005</v>
      </c>
      <c r="S38" s="6">
        <v>0.03</v>
      </c>
      <c r="T38" s="14">
        <f t="shared" si="8"/>
        <v>0</v>
      </c>
      <c r="U38" s="14">
        <f t="shared" si="9"/>
        <v>0</v>
      </c>
      <c r="V38" s="14">
        <f t="shared" si="10"/>
        <v>1110.1499999999999</v>
      </c>
      <c r="W38" s="14" t="str">
        <f t="shared" si="11"/>
        <v/>
      </c>
      <c r="X38" s="5">
        <v>0</v>
      </c>
      <c r="Y38" s="4"/>
      <c r="Z38" s="4"/>
      <c r="AA38" s="14">
        <f t="shared" si="12"/>
        <v>1110.1499999999999</v>
      </c>
      <c r="AB38" s="4"/>
      <c r="AC38" s="4"/>
      <c r="AD38" s="14">
        <f t="shared" si="13"/>
        <v>0</v>
      </c>
      <c r="AE38" s="14">
        <f t="shared" si="14"/>
        <v>37005</v>
      </c>
      <c r="AF38" s="14" t="str">
        <f t="shared" si="15"/>
        <v/>
      </c>
      <c r="AG38" s="15">
        <f t="shared" si="16"/>
        <v>37005</v>
      </c>
      <c r="AH38" s="16">
        <v>1369500</v>
      </c>
      <c r="AI38" s="17">
        <f t="shared" si="17"/>
        <v>-1332495</v>
      </c>
      <c r="AJ38" s="7" t="str">
        <f t="shared" si="0"/>
        <v/>
      </c>
      <c r="AK38" s="7" t="str">
        <f t="shared" si="1"/>
        <v/>
      </c>
      <c r="AL38" s="7">
        <f t="shared" si="2"/>
        <v>2.0960064407805539</v>
      </c>
      <c r="AM38" s="7" t="str">
        <f t="shared" si="3"/>
        <v/>
      </c>
      <c r="AN38" s="4">
        <v>0</v>
      </c>
      <c r="AO38" s="4">
        <v>0</v>
      </c>
      <c r="AP38" s="14">
        <f t="shared" si="18"/>
        <v>1369500</v>
      </c>
      <c r="AQ38" s="14">
        <f t="shared" si="19"/>
        <v>1369500</v>
      </c>
      <c r="AR38" s="18">
        <v>55732.009999999776</v>
      </c>
      <c r="AS38" s="19">
        <v>23.15</v>
      </c>
      <c r="AT38" s="8">
        <v>11812512.970000001</v>
      </c>
      <c r="AU38" s="8">
        <v>25219.867999999999</v>
      </c>
      <c r="AV38" s="8">
        <v>905.53160000000003</v>
      </c>
      <c r="AW38" s="8"/>
      <c r="AX38" s="9">
        <v>390.38936365593088</v>
      </c>
      <c r="AY38" s="6">
        <f t="shared" si="4"/>
        <v>2.3579668600072403E-2</v>
      </c>
      <c r="AZ38" s="8">
        <v>427930210.6681</v>
      </c>
      <c r="BA38" s="10">
        <v>60480066</v>
      </c>
      <c r="BB38" s="11">
        <v>11812512.970000001</v>
      </c>
      <c r="BC38" s="10">
        <v>2971324</v>
      </c>
      <c r="BD38" s="10">
        <f>1000000000-999887137.7975+0</f>
        <v>112862.20249998569</v>
      </c>
      <c r="BE38" s="12">
        <f t="shared" si="5"/>
        <v>496693024.15939999</v>
      </c>
      <c r="BF38" s="13">
        <v>238</v>
      </c>
      <c r="BG38" s="13">
        <f t="shared" si="6"/>
        <v>258.69302415940001</v>
      </c>
      <c r="BH38" s="14">
        <f>BE38*23.15</f>
        <v>11498443509.29011</v>
      </c>
    </row>
    <row r="39" spans="1:60" x14ac:dyDescent="0.25">
      <c r="A39" s="3">
        <v>45661</v>
      </c>
      <c r="B39" s="4">
        <v>2506267603</v>
      </c>
      <c r="C39" s="4"/>
      <c r="D39" s="5">
        <v>119410641</v>
      </c>
      <c r="E39" s="4"/>
      <c r="N39" s="4"/>
      <c r="O39" s="4"/>
      <c r="P39" s="5">
        <v>25377</v>
      </c>
      <c r="Q39" s="4"/>
      <c r="R39" s="14">
        <f t="shared" si="7"/>
        <v>25377</v>
      </c>
      <c r="S39" s="6">
        <v>0.03</v>
      </c>
      <c r="T39" s="14">
        <f t="shared" si="8"/>
        <v>0</v>
      </c>
      <c r="U39" s="14">
        <f t="shared" si="9"/>
        <v>0</v>
      </c>
      <c r="V39" s="14">
        <f t="shared" si="10"/>
        <v>761.31</v>
      </c>
      <c r="W39" s="14" t="str">
        <f t="shared" si="11"/>
        <v/>
      </c>
      <c r="X39" s="5">
        <v>0</v>
      </c>
      <c r="Y39" s="4"/>
      <c r="Z39" s="4"/>
      <c r="AA39" s="14">
        <f t="shared" si="12"/>
        <v>761.31</v>
      </c>
      <c r="AB39" s="4"/>
      <c r="AC39" s="4"/>
      <c r="AD39" s="14">
        <f t="shared" si="13"/>
        <v>0</v>
      </c>
      <c r="AE39" s="14">
        <f t="shared" si="14"/>
        <v>25377</v>
      </c>
      <c r="AF39" s="14" t="str">
        <f t="shared" si="15"/>
        <v/>
      </c>
      <c r="AG39" s="15">
        <f t="shared" si="16"/>
        <v>25377</v>
      </c>
      <c r="AH39" s="16">
        <v>1042972</v>
      </c>
      <c r="AI39" s="17">
        <f t="shared" si="17"/>
        <v>-1017595</v>
      </c>
      <c r="AJ39" s="7" t="str">
        <f t="shared" si="0"/>
        <v/>
      </c>
      <c r="AK39" s="7" t="str">
        <f t="shared" si="1"/>
        <v/>
      </c>
      <c r="AL39" s="7">
        <f t="shared" si="2"/>
        <v>2.1251874864317997</v>
      </c>
      <c r="AM39" s="7" t="str">
        <f t="shared" si="3"/>
        <v/>
      </c>
      <c r="AN39" s="4">
        <v>0</v>
      </c>
      <c r="AO39" s="4">
        <v>0</v>
      </c>
      <c r="AP39" s="14">
        <f t="shared" si="18"/>
        <v>1042972</v>
      </c>
      <c r="AQ39" s="14">
        <f t="shared" si="19"/>
        <v>1042972</v>
      </c>
      <c r="AR39" s="18">
        <v>34281.410000000149</v>
      </c>
      <c r="AS39" s="19">
        <v>24.43</v>
      </c>
      <c r="AT39" s="8">
        <v>11846794.380000001</v>
      </c>
      <c r="AU39" s="8">
        <v>25452.777699999999</v>
      </c>
      <c r="AV39" s="8">
        <v>1232.8801000000001</v>
      </c>
      <c r="AW39" s="8"/>
      <c r="AX39" s="9">
        <v>395.40415571375752</v>
      </c>
      <c r="AY39" s="6">
        <f t="shared" si="4"/>
        <v>2.34956151225316E-2</v>
      </c>
      <c r="AZ39" s="8">
        <v>427904757.89039999</v>
      </c>
      <c r="BA39" s="10">
        <v>60480066</v>
      </c>
      <c r="BB39" s="11">
        <v>11846794.380000001</v>
      </c>
      <c r="BC39" s="10">
        <v>2971324</v>
      </c>
      <c r="BD39" s="10">
        <f>1000000000-999885904.9174+0</f>
        <v>114095.08259999752</v>
      </c>
      <c r="BE39" s="12">
        <f t="shared" si="5"/>
        <v>496682962.64700007</v>
      </c>
      <c r="BF39" s="13">
        <v>238</v>
      </c>
      <c r="BG39" s="13">
        <f t="shared" si="6"/>
        <v>258.68296264700007</v>
      </c>
      <c r="BH39" s="14">
        <f>BE39*24.43</f>
        <v>12133964777.466211</v>
      </c>
    </row>
    <row r="40" spans="1:60" x14ac:dyDescent="0.25">
      <c r="A40" s="3">
        <v>45662</v>
      </c>
      <c r="B40" s="4">
        <v>2149149006</v>
      </c>
      <c r="C40" s="4"/>
      <c r="D40" s="5">
        <v>174388254</v>
      </c>
      <c r="E40" s="4"/>
      <c r="N40" s="4"/>
      <c r="O40" s="4"/>
      <c r="P40" s="5">
        <v>19262</v>
      </c>
      <c r="Q40" s="4"/>
      <c r="R40" s="14">
        <f t="shared" si="7"/>
        <v>19262</v>
      </c>
      <c r="S40" s="6">
        <v>0.03</v>
      </c>
      <c r="T40" s="14">
        <f t="shared" si="8"/>
        <v>0</v>
      </c>
      <c r="U40" s="14">
        <f t="shared" si="9"/>
        <v>0</v>
      </c>
      <c r="V40" s="14">
        <f t="shared" si="10"/>
        <v>577.86</v>
      </c>
      <c r="W40" s="14" t="str">
        <f t="shared" si="11"/>
        <v/>
      </c>
      <c r="X40" s="5">
        <v>0</v>
      </c>
      <c r="Y40" s="4"/>
      <c r="Z40" s="4"/>
      <c r="AA40" s="14">
        <f t="shared" si="12"/>
        <v>577.86</v>
      </c>
      <c r="AB40" s="4"/>
      <c r="AC40" s="4"/>
      <c r="AD40" s="14">
        <f t="shared" si="13"/>
        <v>0</v>
      </c>
      <c r="AE40" s="14">
        <f t="shared" si="14"/>
        <v>19262</v>
      </c>
      <c r="AF40" s="14" t="str">
        <f t="shared" si="15"/>
        <v/>
      </c>
      <c r="AG40" s="15">
        <f t="shared" si="16"/>
        <v>19262</v>
      </c>
      <c r="AH40" s="16">
        <v>985187</v>
      </c>
      <c r="AI40" s="17">
        <f t="shared" si="17"/>
        <v>-965925</v>
      </c>
      <c r="AJ40" s="7" t="str">
        <f t="shared" si="0"/>
        <v/>
      </c>
      <c r="AK40" s="7" t="str">
        <f t="shared" si="1"/>
        <v/>
      </c>
      <c r="AL40" s="7">
        <f t="shared" si="2"/>
        <v>1.104546869309214</v>
      </c>
      <c r="AM40" s="7" t="str">
        <f t="shared" si="3"/>
        <v/>
      </c>
      <c r="AN40" s="4">
        <v>0</v>
      </c>
      <c r="AO40" s="4">
        <v>0</v>
      </c>
      <c r="AP40" s="14">
        <f t="shared" si="18"/>
        <v>985187</v>
      </c>
      <c r="AQ40" s="14">
        <f t="shared" si="19"/>
        <v>985187</v>
      </c>
      <c r="AR40" s="18">
        <v>42553.469999998808</v>
      </c>
      <c r="AS40" s="19">
        <v>25.02</v>
      </c>
      <c r="AT40" s="8">
        <v>11889347.85</v>
      </c>
      <c r="AU40" s="8">
        <v>25665.111499999999</v>
      </c>
      <c r="AV40" s="8">
        <v>617.31449999999995</v>
      </c>
      <c r="AW40" s="8"/>
      <c r="AX40" s="9">
        <v>401.89251238593698</v>
      </c>
      <c r="AY40" s="6">
        <f t="shared" si="4"/>
        <v>2.3309132190310985E-2</v>
      </c>
      <c r="AZ40" s="8">
        <v>427879092.77890003</v>
      </c>
      <c r="BA40" s="10">
        <v>60480066</v>
      </c>
      <c r="BB40" s="11">
        <v>11889347.85</v>
      </c>
      <c r="BC40" s="10">
        <v>2971324</v>
      </c>
      <c r="BD40" s="10">
        <f>1000000000-999885287.603+0</f>
        <v>114712.39699995518</v>
      </c>
      <c r="BE40" s="12">
        <f t="shared" si="5"/>
        <v>496665456.97409999</v>
      </c>
      <c r="BF40" s="13">
        <v>238</v>
      </c>
      <c r="BG40" s="13">
        <f t="shared" si="6"/>
        <v>258.66545697409998</v>
      </c>
      <c r="BH40" s="14">
        <f>BE40*25.02</f>
        <v>12426569733.491982</v>
      </c>
    </row>
    <row r="41" spans="1:60" x14ac:dyDescent="0.25">
      <c r="A41" s="3">
        <v>45663</v>
      </c>
      <c r="B41" s="4">
        <v>4404918704</v>
      </c>
      <c r="C41" s="4"/>
      <c r="D41" s="5">
        <v>194364069</v>
      </c>
      <c r="E41" s="4"/>
      <c r="N41" s="4"/>
      <c r="O41" s="4"/>
      <c r="P41" s="5">
        <v>23453</v>
      </c>
      <c r="Q41" s="4"/>
      <c r="R41" s="14">
        <f t="shared" si="7"/>
        <v>23453</v>
      </c>
      <c r="S41" s="6">
        <v>0.03</v>
      </c>
      <c r="T41" s="14">
        <f t="shared" si="8"/>
        <v>0</v>
      </c>
      <c r="U41" s="14">
        <f t="shared" si="9"/>
        <v>0</v>
      </c>
      <c r="V41" s="14">
        <f t="shared" si="10"/>
        <v>703.58999999999992</v>
      </c>
      <c r="W41" s="14" t="str">
        <f t="shared" si="11"/>
        <v/>
      </c>
      <c r="X41" s="5">
        <v>0</v>
      </c>
      <c r="Y41" s="4"/>
      <c r="Z41" s="4"/>
      <c r="AA41" s="14">
        <f t="shared" si="12"/>
        <v>703.58999999999992</v>
      </c>
      <c r="AB41" s="4"/>
      <c r="AC41" s="4"/>
      <c r="AD41" s="14">
        <f t="shared" si="13"/>
        <v>0</v>
      </c>
      <c r="AE41" s="14">
        <f t="shared" si="14"/>
        <v>23453</v>
      </c>
      <c r="AF41" s="14" t="str">
        <f t="shared" si="15"/>
        <v/>
      </c>
      <c r="AG41" s="15">
        <f t="shared" si="16"/>
        <v>23453</v>
      </c>
      <c r="AH41" s="16">
        <v>1036760</v>
      </c>
      <c r="AI41" s="17">
        <f t="shared" si="17"/>
        <v>-1013307</v>
      </c>
      <c r="AJ41" s="7" t="str">
        <f t="shared" si="0"/>
        <v/>
      </c>
      <c r="AK41" s="7" t="str">
        <f t="shared" si="1"/>
        <v/>
      </c>
      <c r="AL41" s="7">
        <f t="shared" si="2"/>
        <v>1.2066530671366011</v>
      </c>
      <c r="AM41" s="7" t="str">
        <f t="shared" si="3"/>
        <v/>
      </c>
      <c r="AN41" s="4">
        <v>0</v>
      </c>
      <c r="AO41" s="4">
        <v>0</v>
      </c>
      <c r="AP41" s="14">
        <f t="shared" si="18"/>
        <v>1036760</v>
      </c>
      <c r="AQ41" s="14">
        <f t="shared" si="19"/>
        <v>1036760</v>
      </c>
      <c r="AR41" s="18">
        <v>43787.339999999851</v>
      </c>
      <c r="AS41" s="19">
        <v>24.4</v>
      </c>
      <c r="AT41" s="8">
        <v>11933135.189999999</v>
      </c>
      <c r="AU41" s="8">
        <v>25789.885399999999</v>
      </c>
      <c r="AV41" s="8">
        <v>447.58550000000002</v>
      </c>
      <c r="AW41" s="8"/>
      <c r="AX41" s="9">
        <v>404.49525075681089</v>
      </c>
      <c r="AY41" s="6">
        <f t="shared" si="4"/>
        <v>2.327173966415599E-2</v>
      </c>
      <c r="AZ41" s="8">
        <v>427853302.89349997</v>
      </c>
      <c r="BA41" s="10">
        <v>60480066</v>
      </c>
      <c r="BB41" s="11">
        <v>11933135.189999999</v>
      </c>
      <c r="BC41" s="10">
        <v>2971324</v>
      </c>
      <c r="BD41" s="10">
        <f>1000000000-999884840.0175+0</f>
        <v>115159.98249995708</v>
      </c>
      <c r="BE41" s="12">
        <f t="shared" si="5"/>
        <v>496647011.93400007</v>
      </c>
      <c r="BF41" s="13">
        <v>238</v>
      </c>
      <c r="BG41" s="13">
        <f t="shared" si="6"/>
        <v>258.64701193400009</v>
      </c>
      <c r="BH41" s="14">
        <f>BE41*24.4</f>
        <v>12118187091.189602</v>
      </c>
    </row>
    <row r="42" spans="1:60" x14ac:dyDescent="0.25">
      <c r="A42" s="3">
        <v>45664</v>
      </c>
      <c r="B42" s="4">
        <v>7004545547</v>
      </c>
      <c r="C42" s="4"/>
      <c r="D42" s="5">
        <v>298520602</v>
      </c>
      <c r="E42" s="4"/>
      <c r="N42" s="4"/>
      <c r="O42" s="4"/>
      <c r="P42" s="5">
        <v>30214</v>
      </c>
      <c r="Q42" s="4"/>
      <c r="R42" s="14">
        <f t="shared" si="7"/>
        <v>30214</v>
      </c>
      <c r="S42" s="6">
        <v>0.03</v>
      </c>
      <c r="T42" s="14">
        <f t="shared" si="8"/>
        <v>0</v>
      </c>
      <c r="U42" s="14">
        <f t="shared" si="9"/>
        <v>0</v>
      </c>
      <c r="V42" s="14">
        <f t="shared" si="10"/>
        <v>906.42</v>
      </c>
      <c r="W42" s="14" t="str">
        <f t="shared" si="11"/>
        <v/>
      </c>
      <c r="X42" s="5">
        <v>0</v>
      </c>
      <c r="Y42" s="4"/>
      <c r="Z42" s="4"/>
      <c r="AA42" s="14">
        <f t="shared" si="12"/>
        <v>906.42</v>
      </c>
      <c r="AB42" s="4"/>
      <c r="AC42" s="4"/>
      <c r="AD42" s="14">
        <f t="shared" si="13"/>
        <v>0</v>
      </c>
      <c r="AE42" s="14">
        <f t="shared" si="14"/>
        <v>30214</v>
      </c>
      <c r="AF42" s="14" t="str">
        <f t="shared" si="15"/>
        <v/>
      </c>
      <c r="AG42" s="15">
        <f t="shared" si="16"/>
        <v>30214</v>
      </c>
      <c r="AH42" s="16">
        <v>2114140</v>
      </c>
      <c r="AI42" s="17">
        <f t="shared" si="17"/>
        <v>-2083926</v>
      </c>
      <c r="AJ42" s="7" t="str">
        <f t="shared" si="0"/>
        <v/>
      </c>
      <c r="AK42" s="7" t="str">
        <f t="shared" si="1"/>
        <v/>
      </c>
      <c r="AL42" s="7">
        <f t="shared" si="2"/>
        <v>1.0121244496217383</v>
      </c>
      <c r="AM42" s="7" t="str">
        <f t="shared" si="3"/>
        <v/>
      </c>
      <c r="AN42" s="4">
        <v>0</v>
      </c>
      <c r="AO42" s="4">
        <v>0</v>
      </c>
      <c r="AP42" s="14">
        <f t="shared" si="18"/>
        <v>2114140</v>
      </c>
      <c r="AQ42" s="14">
        <f t="shared" si="19"/>
        <v>2114140</v>
      </c>
      <c r="AR42" s="18">
        <v>58651.700000001118</v>
      </c>
      <c r="AS42" s="19">
        <v>25.23</v>
      </c>
      <c r="AT42" s="8">
        <v>11991786.890000001</v>
      </c>
      <c r="AU42" s="8">
        <v>25854.611099999998</v>
      </c>
      <c r="AV42" s="8">
        <v>718.72950000000003</v>
      </c>
      <c r="AW42" s="8"/>
      <c r="AX42" s="9">
        <v>407.40014871761042</v>
      </c>
      <c r="AY42" s="6">
        <f t="shared" si="4"/>
        <v>2.3163793830721487E-2</v>
      </c>
      <c r="AZ42" s="8">
        <v>427827448.2823</v>
      </c>
      <c r="BA42" s="10">
        <v>60480066</v>
      </c>
      <c r="BB42" s="11">
        <v>11991786.890000001</v>
      </c>
      <c r="BC42" s="10">
        <v>2971324</v>
      </c>
      <c r="BD42" s="10">
        <f>1000000000-999884121.288+0</f>
        <v>115878.7120000124</v>
      </c>
      <c r="BE42" s="12">
        <f t="shared" si="5"/>
        <v>496613496.11570001</v>
      </c>
      <c r="BF42" s="13">
        <v>238</v>
      </c>
      <c r="BG42" s="13">
        <f t="shared" si="6"/>
        <v>258.6134961157</v>
      </c>
      <c r="BH42" s="14">
        <f>BE42*25.23</f>
        <v>12529558506.999111</v>
      </c>
    </row>
    <row r="43" spans="1:60" x14ac:dyDescent="0.25">
      <c r="A43" s="3">
        <v>45665</v>
      </c>
      <c r="B43" s="4">
        <v>6019784667</v>
      </c>
      <c r="C43" s="4"/>
      <c r="D43" s="5">
        <v>325463853</v>
      </c>
      <c r="E43" s="4"/>
      <c r="N43" s="4"/>
      <c r="O43" s="4"/>
      <c r="P43" s="5">
        <v>45273</v>
      </c>
      <c r="Q43" s="4"/>
      <c r="R43" s="14">
        <f t="shared" si="7"/>
        <v>45273</v>
      </c>
      <c r="S43" s="6">
        <v>0.03</v>
      </c>
      <c r="T43" s="14">
        <f t="shared" si="8"/>
        <v>0</v>
      </c>
      <c r="U43" s="14">
        <f t="shared" si="9"/>
        <v>0</v>
      </c>
      <c r="V43" s="14">
        <f t="shared" si="10"/>
        <v>1358.19</v>
      </c>
      <c r="W43" s="14" t="str">
        <f t="shared" si="11"/>
        <v/>
      </c>
      <c r="X43" s="5">
        <v>0</v>
      </c>
      <c r="Y43" s="4"/>
      <c r="Z43" s="4"/>
      <c r="AA43" s="14">
        <f t="shared" si="12"/>
        <v>1358.19</v>
      </c>
      <c r="AB43" s="4"/>
      <c r="AC43" s="4"/>
      <c r="AD43" s="14">
        <f t="shared" si="13"/>
        <v>0</v>
      </c>
      <c r="AE43" s="14">
        <f t="shared" si="14"/>
        <v>45273</v>
      </c>
      <c r="AF43" s="14" t="str">
        <f t="shared" si="15"/>
        <v/>
      </c>
      <c r="AG43" s="15">
        <f t="shared" si="16"/>
        <v>45273</v>
      </c>
      <c r="AH43" s="16">
        <v>1758819</v>
      </c>
      <c r="AI43" s="17">
        <f t="shared" si="17"/>
        <v>-1713546</v>
      </c>
      <c r="AJ43" s="7" t="str">
        <f t="shared" si="0"/>
        <v/>
      </c>
      <c r="AK43" s="7" t="str">
        <f t="shared" si="1"/>
        <v/>
      </c>
      <c r="AL43" s="7">
        <f t="shared" si="2"/>
        <v>1.3910300508855586</v>
      </c>
      <c r="AM43" s="7" t="str">
        <f t="shared" si="3"/>
        <v/>
      </c>
      <c r="AN43" s="4">
        <v>0</v>
      </c>
      <c r="AO43" s="4">
        <v>0</v>
      </c>
      <c r="AP43" s="14">
        <f t="shared" si="18"/>
        <v>1758819</v>
      </c>
      <c r="AQ43" s="14">
        <f t="shared" si="19"/>
        <v>1758819</v>
      </c>
      <c r="AR43" s="18">
        <v>84543.469999998808</v>
      </c>
      <c r="AS43" s="19">
        <v>23.5</v>
      </c>
      <c r="AT43" s="8">
        <v>12076330.359999999</v>
      </c>
      <c r="AU43" s="8">
        <v>25924.4198</v>
      </c>
      <c r="AV43" s="8">
        <v>744.90650000000005</v>
      </c>
      <c r="AW43" s="8"/>
      <c r="AX43" s="9">
        <v>409.06592663446338</v>
      </c>
      <c r="AY43" s="6">
        <f t="shared" si="4"/>
        <v>2.3131756059104634E-2</v>
      </c>
      <c r="AZ43" s="8">
        <v>427801523.86260003</v>
      </c>
      <c r="BA43" s="10">
        <v>60480066</v>
      </c>
      <c r="BB43" s="11">
        <v>12076330.359999999</v>
      </c>
      <c r="BC43" s="10">
        <v>2971324</v>
      </c>
      <c r="BD43" s="10">
        <f>1000000000-999883376.3815+0</f>
        <v>116623.61849999428</v>
      </c>
      <c r="BE43" s="12">
        <f t="shared" si="5"/>
        <v>496554132.1588999</v>
      </c>
      <c r="BF43" s="13">
        <v>238</v>
      </c>
      <c r="BG43" s="13">
        <f t="shared" si="6"/>
        <v>258.5541321588999</v>
      </c>
      <c r="BH43" s="14">
        <f>BE43*23.5</f>
        <v>11669022105.734148</v>
      </c>
    </row>
    <row r="44" spans="1:60" x14ac:dyDescent="0.25">
      <c r="A44" s="3">
        <v>45666</v>
      </c>
      <c r="B44" s="4">
        <v>7123327274</v>
      </c>
      <c r="C44" s="4"/>
      <c r="D44" s="5">
        <v>194078337</v>
      </c>
      <c r="E44" s="4"/>
      <c r="N44" s="4"/>
      <c r="O44" s="4"/>
      <c r="P44" s="5">
        <v>47391</v>
      </c>
      <c r="Q44" s="4"/>
      <c r="R44" s="14">
        <f t="shared" si="7"/>
        <v>47391</v>
      </c>
      <c r="S44" s="6">
        <v>0.03</v>
      </c>
      <c r="T44" s="14">
        <f t="shared" si="8"/>
        <v>0</v>
      </c>
      <c r="U44" s="14">
        <f t="shared" si="9"/>
        <v>0</v>
      </c>
      <c r="V44" s="14">
        <f t="shared" si="10"/>
        <v>1421.73</v>
      </c>
      <c r="W44" s="14" t="str">
        <f t="shared" si="11"/>
        <v/>
      </c>
      <c r="X44" s="5">
        <v>0</v>
      </c>
      <c r="Y44" s="4"/>
      <c r="Z44" s="4"/>
      <c r="AA44" s="14">
        <f t="shared" si="12"/>
        <v>1421.73</v>
      </c>
      <c r="AB44" s="4"/>
      <c r="AC44" s="4"/>
      <c r="AD44" s="14">
        <f t="shared" si="13"/>
        <v>0</v>
      </c>
      <c r="AE44" s="14">
        <f t="shared" si="14"/>
        <v>47391</v>
      </c>
      <c r="AF44" s="14" t="str">
        <f t="shared" si="15"/>
        <v/>
      </c>
      <c r="AG44" s="15">
        <f t="shared" si="16"/>
        <v>47391</v>
      </c>
      <c r="AH44" s="16">
        <v>1921239</v>
      </c>
      <c r="AI44" s="17">
        <f t="shared" si="17"/>
        <v>-1873848</v>
      </c>
      <c r="AJ44" s="7" t="str">
        <f t="shared" si="0"/>
        <v/>
      </c>
      <c r="AK44" s="7" t="str">
        <f t="shared" si="1"/>
        <v/>
      </c>
      <c r="AL44" s="7">
        <f t="shared" si="2"/>
        <v>2.441849035423258</v>
      </c>
      <c r="AM44" s="7" t="str">
        <f t="shared" si="3"/>
        <v/>
      </c>
      <c r="AN44" s="4">
        <v>0</v>
      </c>
      <c r="AO44" s="4">
        <v>0</v>
      </c>
      <c r="AP44" s="14">
        <f t="shared" si="18"/>
        <v>1921239</v>
      </c>
      <c r="AQ44" s="14">
        <f t="shared" si="19"/>
        <v>1921239</v>
      </c>
      <c r="AR44" s="18">
        <v>80644.520000001416</v>
      </c>
      <c r="AS44" s="19">
        <v>22.51</v>
      </c>
      <c r="AT44" s="8">
        <v>12156974.880000001</v>
      </c>
      <c r="AU44" s="8">
        <v>25984.345099999999</v>
      </c>
      <c r="AV44" s="8">
        <v>1579.5355999999999</v>
      </c>
      <c r="AW44" s="8"/>
      <c r="AX44" s="9">
        <v>410.24629884779978</v>
      </c>
      <c r="AY44" s="6">
        <f t="shared" si="4"/>
        <v>2.3118516823033286E-2</v>
      </c>
      <c r="AZ44" s="8">
        <v>427775539.51749998</v>
      </c>
      <c r="BA44" s="10">
        <v>60480066</v>
      </c>
      <c r="BB44" s="11">
        <v>12156974.880000001</v>
      </c>
      <c r="BC44" s="10">
        <v>2971324</v>
      </c>
      <c r="BD44" s="10">
        <f>1000000000-999881796.8459+0</f>
        <v>118203.15409994125</v>
      </c>
      <c r="BE44" s="12">
        <f t="shared" si="5"/>
        <v>496497892.44840014</v>
      </c>
      <c r="BF44" s="13">
        <v>238</v>
      </c>
      <c r="BG44" s="13">
        <f t="shared" si="6"/>
        <v>258.49789244840014</v>
      </c>
      <c r="BH44" s="14">
        <f>BE44*22.51</f>
        <v>11176167559.013489</v>
      </c>
    </row>
    <row r="45" spans="1:60" x14ac:dyDescent="0.25">
      <c r="A45" s="3">
        <v>45667</v>
      </c>
      <c r="B45" s="4">
        <v>5110006120</v>
      </c>
      <c r="C45" s="4"/>
      <c r="D45" s="5">
        <v>104484914</v>
      </c>
      <c r="E45" s="4"/>
      <c r="N45" s="4"/>
      <c r="O45" s="4"/>
      <c r="P45" s="5">
        <v>27771</v>
      </c>
      <c r="Q45" s="4"/>
      <c r="R45" s="14">
        <f t="shared" si="7"/>
        <v>27771</v>
      </c>
      <c r="S45" s="6">
        <v>0.03</v>
      </c>
      <c r="T45" s="14">
        <f t="shared" si="8"/>
        <v>0</v>
      </c>
      <c r="U45" s="14">
        <f t="shared" si="9"/>
        <v>0</v>
      </c>
      <c r="V45" s="14">
        <f t="shared" si="10"/>
        <v>833.13</v>
      </c>
      <c r="W45" s="14" t="str">
        <f t="shared" si="11"/>
        <v/>
      </c>
      <c r="X45" s="5">
        <v>0</v>
      </c>
      <c r="Y45" s="4"/>
      <c r="Z45" s="4"/>
      <c r="AA45" s="14">
        <f t="shared" si="12"/>
        <v>833.13</v>
      </c>
      <c r="AB45" s="4"/>
      <c r="AC45" s="4"/>
      <c r="AD45" s="14">
        <f t="shared" si="13"/>
        <v>0</v>
      </c>
      <c r="AE45" s="14">
        <f t="shared" si="14"/>
        <v>27771</v>
      </c>
      <c r="AF45" s="14" t="str">
        <f t="shared" si="15"/>
        <v/>
      </c>
      <c r="AG45" s="15">
        <f t="shared" si="16"/>
        <v>27771</v>
      </c>
      <c r="AH45" s="16">
        <v>1475032</v>
      </c>
      <c r="AI45" s="17">
        <f t="shared" si="17"/>
        <v>-1447261</v>
      </c>
      <c r="AJ45" s="7" t="str">
        <f t="shared" si="0"/>
        <v/>
      </c>
      <c r="AK45" s="7" t="str">
        <f t="shared" si="1"/>
        <v/>
      </c>
      <c r="AL45" s="7">
        <f t="shared" si="2"/>
        <v>2.6578956652057926</v>
      </c>
      <c r="AM45" s="7" t="str">
        <f t="shared" si="3"/>
        <v/>
      </c>
      <c r="AN45" s="4">
        <v>0</v>
      </c>
      <c r="AO45" s="4">
        <v>0</v>
      </c>
      <c r="AP45" s="14">
        <f t="shared" si="18"/>
        <v>1475032</v>
      </c>
      <c r="AQ45" s="14">
        <f t="shared" si="19"/>
        <v>1475032</v>
      </c>
      <c r="AR45" s="18">
        <v>84058.359999999404</v>
      </c>
      <c r="AS45" s="19">
        <v>20.28</v>
      </c>
      <c r="AT45" s="8">
        <v>12241033.24</v>
      </c>
      <c r="AU45" s="8">
        <v>26008.902900000001</v>
      </c>
      <c r="AV45" s="8">
        <v>1664.9046000000001</v>
      </c>
      <c r="AW45" s="8"/>
      <c r="AX45" s="9">
        <v>410.55517386491368</v>
      </c>
      <c r="AY45" s="6">
        <f t="shared" si="4"/>
        <v>2.3122956822421135E-2</v>
      </c>
      <c r="AZ45" s="8">
        <v>427749530.6146</v>
      </c>
      <c r="BA45" s="10">
        <v>60480066</v>
      </c>
      <c r="BB45" s="11">
        <v>12241033.24</v>
      </c>
      <c r="BC45" s="10">
        <v>2971324</v>
      </c>
      <c r="BD45" s="10">
        <f>1000000000-999880131.9413+0</f>
        <v>119868.05869996548</v>
      </c>
      <c r="BE45" s="12">
        <f t="shared" si="5"/>
        <v>496438178.08670008</v>
      </c>
      <c r="BF45" s="13">
        <v>238</v>
      </c>
      <c r="BG45" s="13">
        <f t="shared" si="6"/>
        <v>258.43817808670008</v>
      </c>
      <c r="BH45" s="14">
        <f>BE45*20.28</f>
        <v>10067766251.598278</v>
      </c>
    </row>
    <row r="46" spans="1:60" x14ac:dyDescent="0.25">
      <c r="A46" s="3">
        <v>45668</v>
      </c>
      <c r="B46" s="4">
        <v>1975220111</v>
      </c>
      <c r="C46" s="4"/>
      <c r="D46" s="5">
        <v>104729289</v>
      </c>
      <c r="E46" s="4"/>
      <c r="N46" s="4"/>
      <c r="O46" s="4"/>
      <c r="P46" s="5">
        <v>14961</v>
      </c>
      <c r="Q46" s="4"/>
      <c r="R46" s="14">
        <f t="shared" si="7"/>
        <v>14961</v>
      </c>
      <c r="S46" s="6">
        <v>0.03</v>
      </c>
      <c r="T46" s="14">
        <f t="shared" si="8"/>
        <v>0</v>
      </c>
      <c r="U46" s="14">
        <f t="shared" si="9"/>
        <v>0</v>
      </c>
      <c r="V46" s="14">
        <f t="shared" si="10"/>
        <v>448.83</v>
      </c>
      <c r="W46" s="14" t="str">
        <f t="shared" si="11"/>
        <v/>
      </c>
      <c r="X46" s="5">
        <v>0</v>
      </c>
      <c r="Y46" s="4"/>
      <c r="Z46" s="4"/>
      <c r="AA46" s="14">
        <f t="shared" si="12"/>
        <v>448.83</v>
      </c>
      <c r="AB46" s="4"/>
      <c r="AC46" s="4"/>
      <c r="AD46" s="14">
        <f t="shared" si="13"/>
        <v>0</v>
      </c>
      <c r="AE46" s="14">
        <f t="shared" si="14"/>
        <v>14961</v>
      </c>
      <c r="AF46" s="14" t="str">
        <f t="shared" si="15"/>
        <v/>
      </c>
      <c r="AG46" s="15">
        <f t="shared" si="16"/>
        <v>14961</v>
      </c>
      <c r="AH46" s="16">
        <v>458402</v>
      </c>
      <c r="AI46" s="17">
        <f t="shared" si="17"/>
        <v>-443441</v>
      </c>
      <c r="AJ46" s="7" t="str">
        <f t="shared" si="0"/>
        <v/>
      </c>
      <c r="AK46" s="7" t="str">
        <f t="shared" si="1"/>
        <v/>
      </c>
      <c r="AL46" s="7">
        <f t="shared" si="2"/>
        <v>1.4285402052142262</v>
      </c>
      <c r="AM46" s="7" t="str">
        <f t="shared" si="3"/>
        <v/>
      </c>
      <c r="AN46" s="4">
        <v>0</v>
      </c>
      <c r="AO46" s="4">
        <v>0</v>
      </c>
      <c r="AP46" s="14">
        <f t="shared" si="18"/>
        <v>458402</v>
      </c>
      <c r="AQ46" s="14">
        <f t="shared" si="19"/>
        <v>458402</v>
      </c>
      <c r="AR46" s="18">
        <v>64375.699999999248</v>
      </c>
      <c r="AS46" s="19">
        <v>20.65</v>
      </c>
      <c r="AT46" s="8">
        <v>12305408.939999999</v>
      </c>
      <c r="AU46" s="8">
        <v>26032.718799999999</v>
      </c>
      <c r="AV46" s="8">
        <v>984.8383</v>
      </c>
      <c r="AW46" s="8"/>
      <c r="AX46" s="9">
        <v>411.89326732911081</v>
      </c>
      <c r="AY46" s="6">
        <f t="shared" si="4"/>
        <v>2.3068943135717151E-2</v>
      </c>
      <c r="AZ46" s="8">
        <v>427723497.89579999</v>
      </c>
      <c r="BA46" s="10">
        <v>60480066</v>
      </c>
      <c r="BB46" s="11">
        <v>12305408.939999999</v>
      </c>
      <c r="BC46" s="10">
        <v>2971324</v>
      </c>
      <c r="BD46" s="10">
        <f>1000000000-999879147.103+0</f>
        <v>120852.89699995518</v>
      </c>
      <c r="BE46" s="12">
        <f t="shared" si="5"/>
        <v>496398850.26720005</v>
      </c>
      <c r="BF46" s="13">
        <v>238</v>
      </c>
      <c r="BG46" s="13">
        <f t="shared" si="6"/>
        <v>258.39885026720003</v>
      </c>
      <c r="BH46" s="14">
        <f>BE46*20.65</f>
        <v>10250636258.017681</v>
      </c>
    </row>
    <row r="47" spans="1:60" x14ac:dyDescent="0.25">
      <c r="A47" s="3">
        <v>45669</v>
      </c>
      <c r="B47" s="4">
        <v>1868823314</v>
      </c>
      <c r="C47" s="4"/>
      <c r="D47" s="5">
        <v>230154418</v>
      </c>
      <c r="E47" s="4"/>
      <c r="O47" s="4"/>
      <c r="P47" s="4"/>
      <c r="Q47" s="4"/>
      <c r="S47" s="6">
        <v>0.03</v>
      </c>
      <c r="X47" s="4"/>
      <c r="Y47" s="4"/>
      <c r="Z47" s="4"/>
      <c r="AB47" s="4"/>
      <c r="AH47" s="4"/>
      <c r="AJ47" s="7" t="str">
        <f t="shared" si="0"/>
        <v/>
      </c>
      <c r="AK47" s="7" t="str">
        <f t="shared" si="1"/>
        <v/>
      </c>
      <c r="AL47" s="7">
        <f t="shared" si="2"/>
        <v>0</v>
      </c>
      <c r="AM47" s="7" t="str">
        <f t="shared" si="3"/>
        <v/>
      </c>
      <c r="AN47" s="4"/>
      <c r="AO47" s="4"/>
      <c r="AT47" s="8">
        <v>12323093.09</v>
      </c>
      <c r="AU47" s="8">
        <v>26062.989000000001</v>
      </c>
      <c r="AV47" s="8">
        <v>555.3528</v>
      </c>
      <c r="AW47" s="8"/>
      <c r="AX47" s="9">
        <v>412.63035670073617</v>
      </c>
      <c r="AY47" s="6">
        <f t="shared" si="4"/>
        <v>2.305451072738059E-2</v>
      </c>
      <c r="AZ47" s="8">
        <v>427697434.90670002</v>
      </c>
      <c r="BA47" s="10">
        <v>60480066</v>
      </c>
      <c r="BB47" s="11">
        <v>12323093.09</v>
      </c>
      <c r="BC47" s="10">
        <v>2971324</v>
      </c>
      <c r="BD47" s="10">
        <f>1000000000-999878591.7502+0</f>
        <v>121408.24979996681</v>
      </c>
      <c r="BE47" s="12">
        <f t="shared" si="5"/>
        <v>496406673.75350004</v>
      </c>
      <c r="BF47" s="13">
        <v>238</v>
      </c>
      <c r="BG47" s="13">
        <f t="shared" si="6"/>
        <v>258.40667375350006</v>
      </c>
      <c r="BH47" s="14">
        <f>BE47*20.88</f>
        <v>10364971347.97308</v>
      </c>
    </row>
    <row r="48" spans="1:60" x14ac:dyDescent="0.25">
      <c r="A48" s="3">
        <v>45670</v>
      </c>
      <c r="B48" s="4">
        <v>7614889368</v>
      </c>
      <c r="C48" s="4"/>
      <c r="D48" s="5">
        <v>195123318</v>
      </c>
      <c r="E48" s="4"/>
      <c r="O48" s="4"/>
      <c r="P48" s="4"/>
      <c r="Q48" s="4"/>
      <c r="S48" s="6">
        <v>0.03</v>
      </c>
      <c r="X48" s="4"/>
      <c r="Y48" s="4"/>
      <c r="Z48" s="4"/>
      <c r="AB48" s="4"/>
      <c r="AH48" s="4"/>
      <c r="AJ48" s="7" t="str">
        <f t="shared" si="0"/>
        <v/>
      </c>
      <c r="AK48" s="7" t="str">
        <f t="shared" si="1"/>
        <v/>
      </c>
      <c r="AL48" s="7">
        <f t="shared" si="2"/>
        <v>0</v>
      </c>
      <c r="AM48" s="7" t="str">
        <f t="shared" si="3"/>
        <v/>
      </c>
      <c r="AN48" s="4"/>
      <c r="AO48" s="4"/>
      <c r="AT48" s="8">
        <v>12366458.050000001</v>
      </c>
      <c r="AU48" s="8">
        <v>26085.585299999999</v>
      </c>
      <c r="AV48" s="8">
        <v>490.82740000000001</v>
      </c>
      <c r="AW48" s="8"/>
      <c r="AX48" s="9">
        <v>414.40352835677697</v>
      </c>
      <c r="AY48" s="6">
        <f t="shared" si="4"/>
        <v>2.2975766331561672E-2</v>
      </c>
      <c r="AZ48" s="8">
        <v>427671349.32139999</v>
      </c>
      <c r="BA48" s="10">
        <v>60480066</v>
      </c>
      <c r="BB48" s="11">
        <v>12366458.050000001</v>
      </c>
      <c r="BC48" s="10">
        <v>2971324</v>
      </c>
      <c r="BD48" s="10">
        <f>1000000000-999878100.9228+0</f>
        <v>121899.07720005512</v>
      </c>
      <c r="BE48" s="12">
        <f t="shared" si="5"/>
        <v>496388903.55140001</v>
      </c>
      <c r="BF48" s="13">
        <v>238</v>
      </c>
      <c r="BG48" s="13">
        <f t="shared" si="6"/>
        <v>258.38890355140001</v>
      </c>
      <c r="BH48" s="14">
        <f>BE48*21.12</f>
        <v>10483733643.005569</v>
      </c>
    </row>
    <row r="49" spans="1:60" x14ac:dyDescent="0.25">
      <c r="A49" s="3">
        <v>45671</v>
      </c>
      <c r="B49" s="4">
        <v>4164534612</v>
      </c>
      <c r="C49" s="4"/>
      <c r="D49" s="5">
        <v>186174573</v>
      </c>
      <c r="E49" s="4"/>
      <c r="N49" s="4"/>
      <c r="O49" s="4"/>
      <c r="P49" s="5">
        <v>24324</v>
      </c>
      <c r="Q49" s="4"/>
      <c r="R49" s="14">
        <f t="shared" ref="R49:R112" si="20">N49+O49+P49+N(Q49)</f>
        <v>24324</v>
      </c>
      <c r="S49" s="6">
        <v>0.03</v>
      </c>
      <c r="T49" s="14">
        <f t="shared" ref="T49:T112" si="21">N(AC49)*S49</f>
        <v>0</v>
      </c>
      <c r="U49" s="14">
        <f t="shared" ref="U49:U112" si="22">N(AD49)*S49</f>
        <v>0</v>
      </c>
      <c r="V49" s="14">
        <f t="shared" ref="V49:V112" si="23">N(AE49)*S49</f>
        <v>729.72</v>
      </c>
      <c r="W49" s="14" t="str">
        <f t="shared" ref="W49:W112" si="24">IF(Q49="","",N(AF49)*S49)</f>
        <v/>
      </c>
      <c r="X49" s="5">
        <v>0</v>
      </c>
      <c r="Y49" s="4"/>
      <c r="Z49" s="4"/>
      <c r="AA49" s="14">
        <f t="shared" ref="AA49:AA112" si="25">T49+U49+V49+N(W49)+X49+Y49+N(Z49)</f>
        <v>729.72</v>
      </c>
      <c r="AB49" s="4"/>
      <c r="AC49" s="4"/>
      <c r="AD49" s="14">
        <f t="shared" ref="AD49:AD112" si="26">O49-Y49</f>
        <v>0</v>
      </c>
      <c r="AE49" s="14">
        <f t="shared" ref="AE49:AE112" si="27">P49-X49</f>
        <v>24324</v>
      </c>
      <c r="AF49" s="14" t="str">
        <f t="shared" ref="AF49:AF112" si="28">IF(Q49="","",Q49-Z49)</f>
        <v/>
      </c>
      <c r="AG49" s="15">
        <f t="shared" ref="AG49:AG112" si="29">AC49+AD49+AE49+N(AF49)</f>
        <v>24324</v>
      </c>
      <c r="AH49" s="16">
        <v>1230157</v>
      </c>
      <c r="AI49" s="17">
        <f t="shared" ref="AI49:AI112" si="30">AG49-AH49</f>
        <v>-1205833</v>
      </c>
      <c r="AJ49" s="7" t="str">
        <f t="shared" si="0"/>
        <v/>
      </c>
      <c r="AK49" s="7" t="str">
        <f t="shared" si="1"/>
        <v/>
      </c>
      <c r="AL49" s="7">
        <f t="shared" si="2"/>
        <v>1.3065156862210179</v>
      </c>
      <c r="AM49" s="7" t="str">
        <f t="shared" si="3"/>
        <v/>
      </c>
      <c r="AN49" s="4">
        <v>0</v>
      </c>
      <c r="AO49" s="4">
        <v>0</v>
      </c>
      <c r="AP49" s="14">
        <f t="shared" ref="AP49:AP112" si="31">AH49+AN49+AO49</f>
        <v>1230157</v>
      </c>
      <c r="AQ49" s="14">
        <f t="shared" ref="AQ49:AQ112" si="32">AH49</f>
        <v>1230157</v>
      </c>
      <c r="AR49" s="18">
        <v>101362.91000000011</v>
      </c>
      <c r="AS49" s="19">
        <v>21.63</v>
      </c>
      <c r="AT49" s="8">
        <v>12467820.960000001</v>
      </c>
      <c r="AU49" s="8">
        <v>26275.62</v>
      </c>
      <c r="AV49" s="8">
        <v>1292.8946000000001</v>
      </c>
      <c r="AW49" s="8"/>
      <c r="AX49" s="9">
        <v>422.3981909318112</v>
      </c>
      <c r="AY49" s="6">
        <f t="shared" si="4"/>
        <v>2.2705119259254197E-2</v>
      </c>
      <c r="AZ49" s="8">
        <v>427645073.70139998</v>
      </c>
      <c r="BA49" s="10">
        <v>60480066</v>
      </c>
      <c r="BB49" s="11">
        <v>12467820.960000001</v>
      </c>
      <c r="BC49" s="10">
        <v>2971324</v>
      </c>
      <c r="BD49" s="10">
        <f>1000000000-999876808.0282+0</f>
        <v>123191.97179996967</v>
      </c>
      <c r="BE49" s="12">
        <f t="shared" si="5"/>
        <v>496312523.36680001</v>
      </c>
      <c r="BF49" s="13">
        <v>238</v>
      </c>
      <c r="BG49" s="13">
        <f t="shared" si="6"/>
        <v>258.31252336680001</v>
      </c>
      <c r="BH49" s="14">
        <f>BE49*21.63</f>
        <v>10735239880.423883</v>
      </c>
    </row>
    <row r="50" spans="1:60" x14ac:dyDescent="0.25">
      <c r="A50" s="3">
        <v>45672</v>
      </c>
      <c r="B50" s="4">
        <v>5315407561</v>
      </c>
      <c r="C50" s="4"/>
      <c r="D50" s="5">
        <v>125668891</v>
      </c>
      <c r="E50" s="4"/>
      <c r="N50" s="4"/>
      <c r="O50" s="4"/>
      <c r="P50" s="5">
        <v>23915</v>
      </c>
      <c r="Q50" s="4"/>
      <c r="R50" s="14">
        <f t="shared" si="20"/>
        <v>23915</v>
      </c>
      <c r="S50" s="6">
        <v>0.03</v>
      </c>
      <c r="T50" s="14">
        <f t="shared" si="21"/>
        <v>0</v>
      </c>
      <c r="U50" s="14">
        <f t="shared" si="22"/>
        <v>0</v>
      </c>
      <c r="V50" s="14">
        <f t="shared" si="23"/>
        <v>717.44999999999993</v>
      </c>
      <c r="W50" s="14" t="str">
        <f t="shared" si="24"/>
        <v/>
      </c>
      <c r="X50" s="5">
        <v>0</v>
      </c>
      <c r="Y50" s="4"/>
      <c r="Z50" s="4"/>
      <c r="AA50" s="14">
        <f t="shared" si="25"/>
        <v>717.44999999999993</v>
      </c>
      <c r="AB50" s="4"/>
      <c r="AC50" s="4"/>
      <c r="AD50" s="14">
        <f t="shared" si="26"/>
        <v>0</v>
      </c>
      <c r="AE50" s="14">
        <f t="shared" si="27"/>
        <v>23915</v>
      </c>
      <c r="AF50" s="14" t="str">
        <f t="shared" si="28"/>
        <v/>
      </c>
      <c r="AG50" s="15">
        <f t="shared" si="29"/>
        <v>23915</v>
      </c>
      <c r="AH50" s="16">
        <v>1231497</v>
      </c>
      <c r="AI50" s="17">
        <f t="shared" si="30"/>
        <v>-1207582</v>
      </c>
      <c r="AJ50" s="7" t="str">
        <f t="shared" si="0"/>
        <v/>
      </c>
      <c r="AK50" s="7" t="str">
        <f t="shared" si="1"/>
        <v/>
      </c>
      <c r="AL50" s="7">
        <f t="shared" si="2"/>
        <v>1.9030167139773679</v>
      </c>
      <c r="AM50" s="7" t="str">
        <f t="shared" si="3"/>
        <v/>
      </c>
      <c r="AN50" s="4">
        <v>0</v>
      </c>
      <c r="AO50" s="4">
        <v>0</v>
      </c>
      <c r="AP50" s="14">
        <f t="shared" si="31"/>
        <v>1231497</v>
      </c>
      <c r="AQ50" s="14">
        <f t="shared" si="32"/>
        <v>1231497</v>
      </c>
      <c r="AR50" s="18">
        <v>54953.159999998286</v>
      </c>
      <c r="AS50" s="19">
        <v>23</v>
      </c>
      <c r="AT50" s="8">
        <v>12522774.119999999</v>
      </c>
      <c r="AU50" s="8">
        <v>26404.185799999999</v>
      </c>
      <c r="AV50" s="8">
        <v>1035.8598999999999</v>
      </c>
      <c r="AW50" s="8"/>
      <c r="AX50" s="9">
        <v>425.11786515786878</v>
      </c>
      <c r="AY50" s="6">
        <f t="shared" si="4"/>
        <v>2.2670248904785677E-2</v>
      </c>
      <c r="AZ50" s="8">
        <v>427618669.51560003</v>
      </c>
      <c r="BA50" s="10">
        <v>60480066</v>
      </c>
      <c r="BB50" s="11">
        <v>12522774.119999999</v>
      </c>
      <c r="BC50" s="10">
        <v>2971324</v>
      </c>
      <c r="BD50" s="10">
        <f>1000000000-999875772.1684+0</f>
        <v>124227.83159995079</v>
      </c>
      <c r="BE50" s="12">
        <f t="shared" si="5"/>
        <v>496282938.53280008</v>
      </c>
      <c r="BF50" s="13">
        <v>238</v>
      </c>
      <c r="BG50" s="13">
        <f t="shared" si="6"/>
        <v>258.28293853280007</v>
      </c>
      <c r="BH50" s="14">
        <f>BE50*23</f>
        <v>11414507586.254402</v>
      </c>
    </row>
    <row r="51" spans="1:60" x14ac:dyDescent="0.25">
      <c r="A51" s="3">
        <v>45673</v>
      </c>
      <c r="B51" s="4">
        <v>5713611240</v>
      </c>
      <c r="C51" s="4"/>
      <c r="D51" s="5">
        <v>148144621</v>
      </c>
      <c r="E51" s="4"/>
      <c r="N51" s="4"/>
      <c r="O51" s="4"/>
      <c r="P51" s="5">
        <v>18602</v>
      </c>
      <c r="Q51" s="4"/>
      <c r="R51" s="14">
        <f t="shared" si="20"/>
        <v>18602</v>
      </c>
      <c r="S51" s="6">
        <v>0.03</v>
      </c>
      <c r="T51" s="14">
        <f t="shared" si="21"/>
        <v>0</v>
      </c>
      <c r="U51" s="14">
        <f t="shared" si="22"/>
        <v>0</v>
      </c>
      <c r="V51" s="14">
        <f t="shared" si="23"/>
        <v>558.05999999999995</v>
      </c>
      <c r="W51" s="14" t="str">
        <f t="shared" si="24"/>
        <v/>
      </c>
      <c r="X51" s="5">
        <v>0</v>
      </c>
      <c r="Y51" s="4"/>
      <c r="Z51" s="4"/>
      <c r="AA51" s="14">
        <f t="shared" si="25"/>
        <v>558.05999999999995</v>
      </c>
      <c r="AB51" s="4"/>
      <c r="AC51" s="4"/>
      <c r="AD51" s="14">
        <f t="shared" si="26"/>
        <v>0</v>
      </c>
      <c r="AE51" s="14">
        <f t="shared" si="27"/>
        <v>18602</v>
      </c>
      <c r="AF51" s="14" t="str">
        <f t="shared" si="28"/>
        <v/>
      </c>
      <c r="AG51" s="15">
        <f t="shared" si="29"/>
        <v>18602</v>
      </c>
      <c r="AH51" s="16">
        <v>1644992</v>
      </c>
      <c r="AI51" s="17">
        <f t="shared" si="30"/>
        <v>-1626390</v>
      </c>
      <c r="AJ51" s="7" t="str">
        <f t="shared" si="0"/>
        <v/>
      </c>
      <c r="AK51" s="7" t="str">
        <f t="shared" si="1"/>
        <v/>
      </c>
      <c r="AL51" s="7">
        <f t="shared" si="2"/>
        <v>1.2556648951837408</v>
      </c>
      <c r="AM51" s="7" t="str">
        <f t="shared" si="3"/>
        <v/>
      </c>
      <c r="AN51" s="4">
        <v>0</v>
      </c>
      <c r="AO51" s="4">
        <v>0</v>
      </c>
      <c r="AP51" s="14">
        <f t="shared" si="31"/>
        <v>1644992</v>
      </c>
      <c r="AQ51" s="14">
        <f t="shared" si="32"/>
        <v>1644992</v>
      </c>
      <c r="AR51" s="18">
        <v>69142.860000001267</v>
      </c>
      <c r="AS51" s="19">
        <v>24.38</v>
      </c>
      <c r="AT51" s="8">
        <v>12591916.98</v>
      </c>
      <c r="AU51" s="8">
        <v>26508.232</v>
      </c>
      <c r="AV51" s="8">
        <v>883.40290000000005</v>
      </c>
      <c r="AW51" s="8"/>
      <c r="AX51" s="9">
        <v>427.001468740961</v>
      </c>
      <c r="AY51" s="6">
        <f t="shared" si="4"/>
        <v>2.2659183605454086E-2</v>
      </c>
      <c r="AZ51" s="8">
        <v>427592161.28359997</v>
      </c>
      <c r="BA51" s="10">
        <v>60480066</v>
      </c>
      <c r="BB51" s="11">
        <v>12591916.98</v>
      </c>
      <c r="BC51" s="10">
        <v>2971324</v>
      </c>
      <c r="BD51" s="10">
        <f>1000000000-999874888.7655+0</f>
        <v>125111.23450005054</v>
      </c>
      <c r="BE51" s="12">
        <f t="shared" si="5"/>
        <v>496239420.50189996</v>
      </c>
      <c r="BF51" s="13">
        <v>238</v>
      </c>
      <c r="BG51" s="13">
        <f t="shared" si="6"/>
        <v>258.23942050189999</v>
      </c>
      <c r="BH51" s="14">
        <f>BE51*24.38</f>
        <v>12098317071.836321</v>
      </c>
    </row>
    <row r="52" spans="1:60" x14ac:dyDescent="0.25">
      <c r="A52" s="3">
        <v>45674</v>
      </c>
      <c r="B52" s="4">
        <v>5461277249</v>
      </c>
      <c r="C52" s="4"/>
      <c r="D52" s="5">
        <v>342126938</v>
      </c>
      <c r="E52" s="4"/>
      <c r="N52" s="4"/>
      <c r="O52" s="4"/>
      <c r="P52" s="5">
        <v>20485</v>
      </c>
      <c r="Q52" s="4"/>
      <c r="R52" s="14">
        <f t="shared" si="20"/>
        <v>20485</v>
      </c>
      <c r="S52" s="6">
        <v>0.03</v>
      </c>
      <c r="T52" s="14">
        <f t="shared" si="21"/>
        <v>0</v>
      </c>
      <c r="U52" s="14">
        <f t="shared" si="22"/>
        <v>0</v>
      </c>
      <c r="V52" s="14">
        <f t="shared" si="23"/>
        <v>614.54999999999995</v>
      </c>
      <c r="W52" s="14" t="str">
        <f t="shared" si="24"/>
        <v/>
      </c>
      <c r="X52" s="5">
        <v>0</v>
      </c>
      <c r="Y52" s="4"/>
      <c r="Z52" s="4"/>
      <c r="AA52" s="14">
        <f t="shared" si="25"/>
        <v>614.54999999999995</v>
      </c>
      <c r="AB52" s="4"/>
      <c r="AC52" s="4"/>
      <c r="AD52" s="14">
        <f t="shared" si="26"/>
        <v>0</v>
      </c>
      <c r="AE52" s="14">
        <f t="shared" si="27"/>
        <v>20485</v>
      </c>
      <c r="AF52" s="14" t="str">
        <f t="shared" si="28"/>
        <v/>
      </c>
      <c r="AG52" s="15">
        <f t="shared" si="29"/>
        <v>20485</v>
      </c>
      <c r="AH52" s="16">
        <v>1647338</v>
      </c>
      <c r="AI52" s="17">
        <f t="shared" si="30"/>
        <v>-1626853</v>
      </c>
      <c r="AJ52" s="7" t="str">
        <f t="shared" si="0"/>
        <v/>
      </c>
      <c r="AK52" s="7" t="str">
        <f t="shared" si="1"/>
        <v/>
      </c>
      <c r="AL52" s="7">
        <f t="shared" si="2"/>
        <v>0.59875437227336947</v>
      </c>
      <c r="AM52" s="7" t="str">
        <f t="shared" si="3"/>
        <v/>
      </c>
      <c r="AN52" s="4">
        <v>0</v>
      </c>
      <c r="AO52" s="4">
        <v>0</v>
      </c>
      <c r="AP52" s="14">
        <f t="shared" si="31"/>
        <v>1647338</v>
      </c>
      <c r="AQ52" s="14">
        <f t="shared" si="32"/>
        <v>1647338</v>
      </c>
      <c r="AR52" s="18">
        <v>65564.570000000298</v>
      </c>
      <c r="AS52" s="19">
        <v>23.47</v>
      </c>
      <c r="AT52" s="8">
        <v>12657481.550000001</v>
      </c>
      <c r="AU52" s="8">
        <v>26562.754000000001</v>
      </c>
      <c r="AV52" s="8">
        <v>560.12559999999996</v>
      </c>
      <c r="AW52" s="8"/>
      <c r="AX52" s="9">
        <v>429.33507117779322</v>
      </c>
      <c r="AY52" s="6">
        <f t="shared" si="4"/>
        <v>2.2582374142887125E-2</v>
      </c>
      <c r="AZ52" s="8">
        <v>427565598.52960002</v>
      </c>
      <c r="BA52" s="10">
        <v>60480066</v>
      </c>
      <c r="BB52" s="11">
        <v>12657481.550000001</v>
      </c>
      <c r="BC52" s="10">
        <v>2971324</v>
      </c>
      <c r="BD52" s="10">
        <f>1000000000-999874328.6399+0</f>
        <v>125671.3601000309</v>
      </c>
      <c r="BE52" s="12">
        <f t="shared" si="5"/>
        <v>496199858.56029993</v>
      </c>
      <c r="BF52" s="13">
        <v>238</v>
      </c>
      <c r="BG52" s="13">
        <f t="shared" si="6"/>
        <v>258.19985856029996</v>
      </c>
      <c r="BH52" s="14">
        <f>BE52*23.47</f>
        <v>11645810680.410238</v>
      </c>
    </row>
    <row r="53" spans="1:60" x14ac:dyDescent="0.25">
      <c r="A53" s="3">
        <v>45675</v>
      </c>
      <c r="B53" s="4">
        <v>9678960135</v>
      </c>
      <c r="C53" s="4"/>
      <c r="D53" s="5">
        <v>452915269</v>
      </c>
      <c r="E53" s="4"/>
      <c r="N53" s="4"/>
      <c r="O53" s="4"/>
      <c r="P53" s="5">
        <v>52413</v>
      </c>
      <c r="Q53" s="4"/>
      <c r="R53" s="14">
        <f t="shared" si="20"/>
        <v>52413</v>
      </c>
      <c r="S53" s="6">
        <v>0.03</v>
      </c>
      <c r="T53" s="14">
        <f t="shared" si="21"/>
        <v>0</v>
      </c>
      <c r="U53" s="14">
        <f t="shared" si="22"/>
        <v>0</v>
      </c>
      <c r="V53" s="14">
        <f t="shared" si="23"/>
        <v>1572.3899999999999</v>
      </c>
      <c r="W53" s="14" t="str">
        <f t="shared" si="24"/>
        <v/>
      </c>
      <c r="X53" s="5">
        <v>0</v>
      </c>
      <c r="Y53" s="4"/>
      <c r="Z53" s="4"/>
      <c r="AA53" s="14">
        <f t="shared" si="25"/>
        <v>1572.3899999999999</v>
      </c>
      <c r="AB53" s="4"/>
      <c r="AC53" s="4"/>
      <c r="AD53" s="14">
        <f t="shared" si="26"/>
        <v>0</v>
      </c>
      <c r="AE53" s="14">
        <f t="shared" si="27"/>
        <v>52413</v>
      </c>
      <c r="AF53" s="14" t="str">
        <f t="shared" si="28"/>
        <v/>
      </c>
      <c r="AG53" s="15">
        <f t="shared" si="29"/>
        <v>52413</v>
      </c>
      <c r="AH53" s="16">
        <v>2754660</v>
      </c>
      <c r="AI53" s="17">
        <f t="shared" si="30"/>
        <v>-2702247</v>
      </c>
      <c r="AJ53" s="7" t="str">
        <f t="shared" si="0"/>
        <v/>
      </c>
      <c r="AK53" s="7" t="str">
        <f t="shared" si="1"/>
        <v/>
      </c>
      <c r="AL53" s="7">
        <f t="shared" si="2"/>
        <v>1.1572363218339632</v>
      </c>
      <c r="AM53" s="7" t="str">
        <f t="shared" si="3"/>
        <v/>
      </c>
      <c r="AN53" s="4">
        <v>0</v>
      </c>
      <c r="AO53" s="4">
        <v>0</v>
      </c>
      <c r="AP53" s="14">
        <f t="shared" si="31"/>
        <v>2754660</v>
      </c>
      <c r="AQ53" s="14">
        <f t="shared" si="32"/>
        <v>2754660</v>
      </c>
      <c r="AR53" s="18">
        <v>88780.819999998435</v>
      </c>
      <c r="AS53" s="19">
        <v>23.09</v>
      </c>
      <c r="AT53" s="8">
        <v>12746262.369999999</v>
      </c>
      <c r="AU53" s="8">
        <v>26584.012500000001</v>
      </c>
      <c r="AV53" s="8">
        <v>614.07910000000004</v>
      </c>
      <c r="AW53" s="8"/>
      <c r="AX53" s="9">
        <v>430.01936611242547</v>
      </c>
      <c r="AY53" s="6">
        <f t="shared" si="4"/>
        <v>2.2564482735326803E-2</v>
      </c>
      <c r="AZ53" s="8">
        <v>427539014.51709998</v>
      </c>
      <c r="BA53" s="10">
        <v>60480066</v>
      </c>
      <c r="BB53" s="11">
        <v>12746262.369999999</v>
      </c>
      <c r="BC53" s="10">
        <v>2971324</v>
      </c>
      <c r="BD53" s="10">
        <f>1000000000-999873714.5608+0</f>
        <v>126285.43920004368</v>
      </c>
      <c r="BE53" s="12">
        <f t="shared" si="5"/>
        <v>496137047.67369998</v>
      </c>
      <c r="BF53" s="13">
        <v>238</v>
      </c>
      <c r="BG53" s="13">
        <f t="shared" si="6"/>
        <v>258.13704767369995</v>
      </c>
      <c r="BH53" s="14">
        <f>BE53*23.09</f>
        <v>11455804430.785732</v>
      </c>
    </row>
    <row r="54" spans="1:60" x14ac:dyDescent="0.25">
      <c r="A54" s="3">
        <v>45676</v>
      </c>
      <c r="B54" s="4">
        <v>17750219553</v>
      </c>
      <c r="C54" s="4"/>
      <c r="D54" s="5">
        <v>234451715</v>
      </c>
      <c r="E54" s="4"/>
      <c r="N54" s="4"/>
      <c r="O54" s="4"/>
      <c r="P54" s="5">
        <v>61521</v>
      </c>
      <c r="Q54" s="4"/>
      <c r="R54" s="14">
        <f t="shared" si="20"/>
        <v>61521</v>
      </c>
      <c r="S54" s="6">
        <v>0.03</v>
      </c>
      <c r="T54" s="14">
        <f t="shared" si="21"/>
        <v>0</v>
      </c>
      <c r="U54" s="14">
        <f t="shared" si="22"/>
        <v>0</v>
      </c>
      <c r="V54" s="14">
        <f t="shared" si="23"/>
        <v>1845.6299999999999</v>
      </c>
      <c r="W54" s="14" t="str">
        <f t="shared" si="24"/>
        <v/>
      </c>
      <c r="X54" s="5">
        <v>0</v>
      </c>
      <c r="Y54" s="4"/>
      <c r="Z54" s="4"/>
      <c r="AA54" s="14">
        <f t="shared" si="25"/>
        <v>1845.6299999999999</v>
      </c>
      <c r="AB54" s="4"/>
      <c r="AC54" s="4"/>
      <c r="AD54" s="14">
        <f t="shared" si="26"/>
        <v>0</v>
      </c>
      <c r="AE54" s="14">
        <f t="shared" si="27"/>
        <v>61521</v>
      </c>
      <c r="AF54" s="14" t="str">
        <f t="shared" si="28"/>
        <v/>
      </c>
      <c r="AG54" s="15">
        <f t="shared" si="29"/>
        <v>61521</v>
      </c>
      <c r="AH54" s="16">
        <v>4182537</v>
      </c>
      <c r="AI54" s="17">
        <f t="shared" si="30"/>
        <v>-4121016</v>
      </c>
      <c r="AJ54" s="7" t="str">
        <f t="shared" si="0"/>
        <v/>
      </c>
      <c r="AK54" s="7" t="str">
        <f t="shared" si="1"/>
        <v/>
      </c>
      <c r="AL54" s="7">
        <f t="shared" si="2"/>
        <v>2.624037107171513</v>
      </c>
      <c r="AM54" s="7" t="str">
        <f t="shared" si="3"/>
        <v/>
      </c>
      <c r="AN54" s="4">
        <v>0</v>
      </c>
      <c r="AO54" s="4">
        <v>0</v>
      </c>
      <c r="AP54" s="14">
        <f t="shared" si="31"/>
        <v>4182537</v>
      </c>
      <c r="AQ54" s="14">
        <f t="shared" si="32"/>
        <v>4182537</v>
      </c>
      <c r="AR54" s="18">
        <v>143340.27000000139</v>
      </c>
      <c r="AS54" s="19">
        <v>21.94</v>
      </c>
      <c r="AT54" s="8">
        <v>12889602.640000001</v>
      </c>
      <c r="AU54" s="8">
        <v>26576.453000000001</v>
      </c>
      <c r="AV54" s="8">
        <v>1549.2138</v>
      </c>
      <c r="AW54" s="8"/>
      <c r="AX54" s="9">
        <v>428.2557134000312</v>
      </c>
      <c r="AY54" s="6">
        <f t="shared" si="4"/>
        <v>2.2650965396318969E-2</v>
      </c>
      <c r="AZ54" s="8">
        <v>427512438.06410003</v>
      </c>
      <c r="BA54" s="10">
        <v>60480066</v>
      </c>
      <c r="BB54" s="11">
        <v>12889602.640000001</v>
      </c>
      <c r="BC54" s="10">
        <v>2971324</v>
      </c>
      <c r="BD54" s="10">
        <f>1000000000-999872165.347+0</f>
        <v>127834.65299999714</v>
      </c>
      <c r="BE54" s="12">
        <f t="shared" si="5"/>
        <v>496018734.64289999</v>
      </c>
      <c r="BF54" s="13">
        <v>238</v>
      </c>
      <c r="BG54" s="13">
        <f t="shared" si="6"/>
        <v>258.01873464289997</v>
      </c>
      <c r="BH54" s="14">
        <f>BE54*21.94</f>
        <v>10882651038.065226</v>
      </c>
    </row>
    <row r="55" spans="1:60" x14ac:dyDescent="0.25">
      <c r="A55" s="3">
        <v>45677</v>
      </c>
      <c r="B55" s="4">
        <v>16339004972</v>
      </c>
      <c r="C55" s="4"/>
      <c r="D55" s="5">
        <v>255573062</v>
      </c>
      <c r="E55" s="4"/>
      <c r="N55" s="4"/>
      <c r="O55" s="4"/>
      <c r="P55" s="5">
        <v>34279</v>
      </c>
      <c r="Q55" s="4"/>
      <c r="R55" s="14">
        <f t="shared" si="20"/>
        <v>34279</v>
      </c>
      <c r="S55" s="6">
        <v>0.03</v>
      </c>
      <c r="T55" s="14">
        <f t="shared" si="21"/>
        <v>0</v>
      </c>
      <c r="U55" s="14">
        <f t="shared" si="22"/>
        <v>0</v>
      </c>
      <c r="V55" s="14">
        <f t="shared" si="23"/>
        <v>1028.3699999999999</v>
      </c>
      <c r="W55" s="14" t="str">
        <f t="shared" si="24"/>
        <v/>
      </c>
      <c r="X55" s="5">
        <v>0</v>
      </c>
      <c r="Y55" s="4"/>
      <c r="Z55" s="4"/>
      <c r="AA55" s="14">
        <f t="shared" si="25"/>
        <v>1028.3699999999999</v>
      </c>
      <c r="AB55" s="4"/>
      <c r="AC55" s="4"/>
      <c r="AD55" s="14">
        <f t="shared" si="26"/>
        <v>0</v>
      </c>
      <c r="AE55" s="14">
        <f t="shared" si="27"/>
        <v>34279</v>
      </c>
      <c r="AF55" s="14" t="str">
        <f t="shared" si="28"/>
        <v/>
      </c>
      <c r="AG55" s="15">
        <f t="shared" si="29"/>
        <v>34279</v>
      </c>
      <c r="AH55" s="16">
        <v>3956440</v>
      </c>
      <c r="AI55" s="17">
        <f t="shared" si="30"/>
        <v>-3922161</v>
      </c>
      <c r="AJ55" s="7" t="str">
        <f t="shared" si="0"/>
        <v/>
      </c>
      <c r="AK55" s="7" t="str">
        <f t="shared" si="1"/>
        <v/>
      </c>
      <c r="AL55" s="7">
        <f t="shared" si="2"/>
        <v>1.3412602929177255</v>
      </c>
      <c r="AM55" s="7" t="str">
        <f t="shared" si="3"/>
        <v/>
      </c>
      <c r="AN55" s="4">
        <v>0</v>
      </c>
      <c r="AO55" s="4">
        <v>0</v>
      </c>
      <c r="AP55" s="14">
        <f t="shared" si="31"/>
        <v>3956440</v>
      </c>
      <c r="AQ55" s="14">
        <f t="shared" si="32"/>
        <v>3956440</v>
      </c>
      <c r="AR55" s="18">
        <v>228527.25</v>
      </c>
      <c r="AS55" s="19">
        <v>20.190000000000001</v>
      </c>
      <c r="AT55" s="8">
        <v>13118129.890000001</v>
      </c>
      <c r="AU55" s="8">
        <v>26541.2726</v>
      </c>
      <c r="AV55" s="8">
        <v>2127.3128999999999</v>
      </c>
      <c r="AW55" s="8"/>
      <c r="AX55" s="9">
        <v>426.49033604743528</v>
      </c>
      <c r="AY55" s="6">
        <f t="shared" si="4"/>
        <v>2.2714616675212369E-2</v>
      </c>
      <c r="AZ55" s="8">
        <v>427485896.79149997</v>
      </c>
      <c r="BA55" s="10">
        <v>60480066</v>
      </c>
      <c r="BB55" s="11">
        <v>13118129.890000001</v>
      </c>
      <c r="BC55" s="10">
        <v>2971324</v>
      </c>
      <c r="BD55" s="10">
        <f>1000000000-999870038.0341+0</f>
        <v>129961.96589994431</v>
      </c>
      <c r="BE55" s="12">
        <f t="shared" si="5"/>
        <v>495814621.3526001</v>
      </c>
      <c r="BF55" s="13">
        <v>238</v>
      </c>
      <c r="BG55" s="13">
        <f t="shared" si="6"/>
        <v>257.81462135260011</v>
      </c>
      <c r="BH55" s="14">
        <f>BE55*20.19</f>
        <v>10010497205.108997</v>
      </c>
    </row>
    <row r="56" spans="1:60" x14ac:dyDescent="0.25">
      <c r="A56" s="3">
        <v>45678</v>
      </c>
      <c r="B56" s="4">
        <v>8341944948</v>
      </c>
      <c r="C56" s="4"/>
      <c r="D56" s="5">
        <v>217426990</v>
      </c>
      <c r="E56" s="4"/>
      <c r="N56" s="4"/>
      <c r="O56" s="4"/>
      <c r="P56" s="5">
        <v>34069</v>
      </c>
      <c r="Q56" s="4"/>
      <c r="R56" s="14">
        <f t="shared" si="20"/>
        <v>34069</v>
      </c>
      <c r="S56" s="6">
        <v>0.03</v>
      </c>
      <c r="T56" s="14">
        <f t="shared" si="21"/>
        <v>0</v>
      </c>
      <c r="U56" s="14">
        <f t="shared" si="22"/>
        <v>0</v>
      </c>
      <c r="V56" s="14">
        <f t="shared" si="23"/>
        <v>1022.0699999999999</v>
      </c>
      <c r="W56" s="14" t="str">
        <f t="shared" si="24"/>
        <v/>
      </c>
      <c r="X56" s="5">
        <v>0</v>
      </c>
      <c r="Y56" s="4"/>
      <c r="Z56" s="4"/>
      <c r="AA56" s="14">
        <f t="shared" si="25"/>
        <v>1022.0699999999999</v>
      </c>
      <c r="AB56" s="4"/>
      <c r="AC56" s="4"/>
      <c r="AD56" s="14">
        <f t="shared" si="26"/>
        <v>0</v>
      </c>
      <c r="AE56" s="14">
        <f t="shared" si="27"/>
        <v>34069</v>
      </c>
      <c r="AF56" s="14" t="str">
        <f t="shared" si="28"/>
        <v/>
      </c>
      <c r="AG56" s="15">
        <f t="shared" si="29"/>
        <v>34069</v>
      </c>
      <c r="AH56" s="16">
        <v>2003967</v>
      </c>
      <c r="AI56" s="17">
        <f t="shared" si="30"/>
        <v>-1969898</v>
      </c>
      <c r="AJ56" s="7" t="str">
        <f t="shared" si="0"/>
        <v/>
      </c>
      <c r="AK56" s="7" t="str">
        <f t="shared" si="1"/>
        <v/>
      </c>
      <c r="AL56" s="7">
        <f t="shared" si="2"/>
        <v>1.5669167843421832</v>
      </c>
      <c r="AM56" s="7" t="str">
        <f t="shared" si="3"/>
        <v/>
      </c>
      <c r="AN56" s="4">
        <v>0</v>
      </c>
      <c r="AO56" s="4">
        <v>0</v>
      </c>
      <c r="AP56" s="14">
        <f t="shared" si="31"/>
        <v>2003967</v>
      </c>
      <c r="AQ56" s="14">
        <f t="shared" si="32"/>
        <v>2003967</v>
      </c>
      <c r="AR56" s="18">
        <v>133128.8899999987</v>
      </c>
      <c r="AS56" s="19">
        <v>20.55</v>
      </c>
      <c r="AT56" s="8">
        <v>13251258.779999999</v>
      </c>
      <c r="AU56" s="8">
        <v>26530.7477</v>
      </c>
      <c r="AV56" s="8">
        <v>1392.5278000000001</v>
      </c>
      <c r="AW56" s="8"/>
      <c r="AX56" s="9">
        <v>428.32820056147881</v>
      </c>
      <c r="AY56" s="6">
        <f t="shared" si="4"/>
        <v>2.2608184326425352E-2</v>
      </c>
      <c r="AZ56" s="8">
        <v>427459366.0438</v>
      </c>
      <c r="BA56" s="10">
        <v>60480066</v>
      </c>
      <c r="BB56" s="11">
        <v>13251258.779999999</v>
      </c>
      <c r="BC56" s="10">
        <v>2971324</v>
      </c>
      <c r="BD56" s="10">
        <f>1000000000-999868645.5063+0</f>
        <v>131354.49370002747</v>
      </c>
      <c r="BE56" s="12">
        <f t="shared" si="5"/>
        <v>495706630.6825</v>
      </c>
      <c r="BF56" s="13">
        <v>238</v>
      </c>
      <c r="BG56" s="13">
        <f t="shared" si="6"/>
        <v>257.70663068250002</v>
      </c>
      <c r="BH56" s="14">
        <f>BE56*20.55</f>
        <v>10186771260.525375</v>
      </c>
    </row>
    <row r="57" spans="1:60" x14ac:dyDescent="0.25">
      <c r="A57" s="3">
        <v>45679</v>
      </c>
      <c r="B57" s="4">
        <v>5281551151</v>
      </c>
      <c r="C57" s="4"/>
      <c r="D57" s="5">
        <v>268190024</v>
      </c>
      <c r="E57" s="4"/>
      <c r="N57" s="4"/>
      <c r="O57" s="4"/>
      <c r="P57" s="5">
        <v>30418</v>
      </c>
      <c r="Q57" s="4"/>
      <c r="R57" s="14">
        <f t="shared" si="20"/>
        <v>30418</v>
      </c>
      <c r="S57" s="6">
        <v>0.03</v>
      </c>
      <c r="T57" s="14">
        <f t="shared" si="21"/>
        <v>0</v>
      </c>
      <c r="U57" s="14">
        <f t="shared" si="22"/>
        <v>0</v>
      </c>
      <c r="V57" s="14">
        <f t="shared" si="23"/>
        <v>912.54</v>
      </c>
      <c r="W57" s="14" t="str">
        <f t="shared" si="24"/>
        <v/>
      </c>
      <c r="X57" s="5">
        <v>0</v>
      </c>
      <c r="Y57" s="4"/>
      <c r="Z57" s="4"/>
      <c r="AA57" s="14">
        <f t="shared" si="25"/>
        <v>912.54</v>
      </c>
      <c r="AB57" s="4"/>
      <c r="AC57" s="4"/>
      <c r="AD57" s="14">
        <f t="shared" si="26"/>
        <v>0</v>
      </c>
      <c r="AE57" s="14">
        <f t="shared" si="27"/>
        <v>30418</v>
      </c>
      <c r="AF57" s="14" t="str">
        <f t="shared" si="28"/>
        <v/>
      </c>
      <c r="AG57" s="15">
        <f t="shared" si="29"/>
        <v>30418</v>
      </c>
      <c r="AH57" s="16">
        <v>1392360</v>
      </c>
      <c r="AI57" s="17">
        <f t="shared" si="30"/>
        <v>-1361942</v>
      </c>
      <c r="AJ57" s="7" t="str">
        <f t="shared" si="0"/>
        <v/>
      </c>
      <c r="AK57" s="7" t="str">
        <f t="shared" si="1"/>
        <v/>
      </c>
      <c r="AL57" s="7">
        <f t="shared" si="2"/>
        <v>1.1341958043898008</v>
      </c>
      <c r="AM57" s="7" t="str">
        <f t="shared" si="3"/>
        <v/>
      </c>
      <c r="AN57" s="4">
        <v>0</v>
      </c>
      <c r="AO57" s="4">
        <v>0</v>
      </c>
      <c r="AP57" s="14">
        <f t="shared" si="31"/>
        <v>1392360</v>
      </c>
      <c r="AQ57" s="14">
        <f t="shared" si="32"/>
        <v>1392360</v>
      </c>
      <c r="AR57" s="18">
        <v>71129.960000000894</v>
      </c>
      <c r="AS57" s="19">
        <v>23.18</v>
      </c>
      <c r="AT57" s="8">
        <v>13322388.74</v>
      </c>
      <c r="AU57" s="8">
        <v>26567.346399999999</v>
      </c>
      <c r="AV57" s="8">
        <v>1404.8497</v>
      </c>
      <c r="AW57" s="8"/>
      <c r="AX57" s="9">
        <v>428.4815455730789</v>
      </c>
      <c r="AY57" s="6">
        <f t="shared" si="4"/>
        <v>2.2631269738888043E-2</v>
      </c>
      <c r="AZ57" s="8">
        <v>427432798.69739997</v>
      </c>
      <c r="BA57" s="10">
        <v>60480066</v>
      </c>
      <c r="BB57" s="11">
        <v>13322388.74</v>
      </c>
      <c r="BC57" s="10">
        <v>2971324</v>
      </c>
      <c r="BD57" s="10">
        <f>1000000000-999867240.6567+0</f>
        <v>132759.34329998493</v>
      </c>
      <c r="BE57" s="12">
        <f t="shared" si="5"/>
        <v>495660663.21930003</v>
      </c>
      <c r="BF57" s="13">
        <v>238</v>
      </c>
      <c r="BG57" s="13">
        <f t="shared" si="6"/>
        <v>257.66066321930003</v>
      </c>
      <c r="BH57" s="14">
        <f>BE57*23.18</f>
        <v>11489414173.423374</v>
      </c>
    </row>
    <row r="58" spans="1:60" x14ac:dyDescent="0.25">
      <c r="A58" s="3">
        <v>45680</v>
      </c>
      <c r="B58" s="4">
        <v>11321580803</v>
      </c>
      <c r="C58" s="4"/>
      <c r="D58" s="5">
        <v>178140305</v>
      </c>
      <c r="E58" s="4"/>
      <c r="N58" s="4"/>
      <c r="O58" s="4"/>
      <c r="P58" s="5">
        <v>38159</v>
      </c>
      <c r="Q58" s="4"/>
      <c r="R58" s="14">
        <f t="shared" si="20"/>
        <v>38159</v>
      </c>
      <c r="S58" s="6">
        <v>0.03</v>
      </c>
      <c r="T58" s="14">
        <f t="shared" si="21"/>
        <v>0</v>
      </c>
      <c r="U58" s="14">
        <f t="shared" si="22"/>
        <v>0</v>
      </c>
      <c r="V58" s="14">
        <f t="shared" si="23"/>
        <v>1144.77</v>
      </c>
      <c r="W58" s="14" t="str">
        <f t="shared" si="24"/>
        <v/>
      </c>
      <c r="X58" s="5">
        <v>0</v>
      </c>
      <c r="Y58" s="4"/>
      <c r="Z58" s="4"/>
      <c r="AA58" s="14">
        <f t="shared" si="25"/>
        <v>1144.77</v>
      </c>
      <c r="AB58" s="4"/>
      <c r="AC58" s="4"/>
      <c r="AD58" s="14">
        <f t="shared" si="26"/>
        <v>0</v>
      </c>
      <c r="AE58" s="14">
        <f t="shared" si="27"/>
        <v>38159</v>
      </c>
      <c r="AF58" s="14" t="str">
        <f t="shared" si="28"/>
        <v/>
      </c>
      <c r="AG58" s="15">
        <f t="shared" si="29"/>
        <v>38159</v>
      </c>
      <c r="AH58" s="16">
        <v>2736794</v>
      </c>
      <c r="AI58" s="17">
        <f t="shared" si="30"/>
        <v>-2698635</v>
      </c>
      <c r="AJ58" s="7" t="str">
        <f t="shared" si="0"/>
        <v/>
      </c>
      <c r="AK58" s="7" t="str">
        <f t="shared" si="1"/>
        <v/>
      </c>
      <c r="AL58" s="7">
        <f t="shared" si="2"/>
        <v>2.1420755959747568</v>
      </c>
      <c r="AM58" s="7" t="str">
        <f t="shared" si="3"/>
        <v/>
      </c>
      <c r="AN58" s="4">
        <v>0</v>
      </c>
      <c r="AO58" s="4">
        <v>0</v>
      </c>
      <c r="AP58" s="14">
        <f t="shared" si="31"/>
        <v>2736794</v>
      </c>
      <c r="AQ58" s="14">
        <f t="shared" si="32"/>
        <v>2736794</v>
      </c>
      <c r="AR58" s="18">
        <v>62060.419999999933</v>
      </c>
      <c r="AS58" s="19">
        <v>24.31</v>
      </c>
      <c r="AT58" s="8">
        <v>13384449.16</v>
      </c>
      <c r="AU58" s="8">
        <v>26581.532999999999</v>
      </c>
      <c r="AV58" s="8">
        <v>923.59590000000003</v>
      </c>
      <c r="AW58" s="8"/>
      <c r="AX58" s="9">
        <v>428.62571710872032</v>
      </c>
      <c r="AY58" s="6">
        <f t="shared" si="4"/>
        <v>2.2635738262384839E-2</v>
      </c>
      <c r="AZ58" s="8">
        <v>427406217.16439998</v>
      </c>
      <c r="BA58" s="10">
        <v>60480066</v>
      </c>
      <c r="BB58" s="11">
        <v>13384449.16</v>
      </c>
      <c r="BC58" s="10">
        <v>2971324</v>
      </c>
      <c r="BD58" s="10">
        <f>1000000000-999866317.0608+0</f>
        <v>133682.93920004368</v>
      </c>
      <c r="BE58" s="12">
        <f t="shared" si="5"/>
        <v>495624260.73639995</v>
      </c>
      <c r="BF58" s="13">
        <v>238</v>
      </c>
      <c r="BG58" s="13">
        <f t="shared" si="6"/>
        <v>257.62426073639995</v>
      </c>
      <c r="BH58" s="14">
        <f>BE58*24.31</f>
        <v>12048625778.501883</v>
      </c>
    </row>
    <row r="59" spans="1:60" x14ac:dyDescent="0.25">
      <c r="A59" s="3">
        <v>45681</v>
      </c>
      <c r="B59" s="4">
        <v>5784731819</v>
      </c>
      <c r="C59" s="4"/>
      <c r="D59" s="5">
        <v>93192677</v>
      </c>
      <c r="E59" s="4"/>
      <c r="N59" s="4"/>
      <c r="O59" s="4"/>
      <c r="P59" s="5">
        <v>23999</v>
      </c>
      <c r="Q59" s="4"/>
      <c r="R59" s="14">
        <f t="shared" si="20"/>
        <v>23999</v>
      </c>
      <c r="S59" s="6">
        <v>0.03</v>
      </c>
      <c r="T59" s="14">
        <f t="shared" si="21"/>
        <v>0</v>
      </c>
      <c r="U59" s="14">
        <f t="shared" si="22"/>
        <v>0</v>
      </c>
      <c r="V59" s="14">
        <f t="shared" si="23"/>
        <v>719.97</v>
      </c>
      <c r="W59" s="14" t="str">
        <f t="shared" si="24"/>
        <v/>
      </c>
      <c r="X59" s="5">
        <v>0</v>
      </c>
      <c r="Y59" s="4"/>
      <c r="Z59" s="4"/>
      <c r="AA59" s="14">
        <f t="shared" si="25"/>
        <v>719.97</v>
      </c>
      <c r="AB59" s="4"/>
      <c r="AC59" s="4"/>
      <c r="AD59" s="14">
        <f t="shared" si="26"/>
        <v>0</v>
      </c>
      <c r="AE59" s="14">
        <f t="shared" si="27"/>
        <v>23999</v>
      </c>
      <c r="AF59" s="14" t="str">
        <f t="shared" si="28"/>
        <v/>
      </c>
      <c r="AG59" s="15">
        <f t="shared" si="29"/>
        <v>23999</v>
      </c>
      <c r="AH59" s="16">
        <v>1268918</v>
      </c>
      <c r="AI59" s="17">
        <f t="shared" si="30"/>
        <v>-1244919</v>
      </c>
      <c r="AJ59" s="7" t="str">
        <f t="shared" si="0"/>
        <v/>
      </c>
      <c r="AK59" s="7" t="str">
        <f t="shared" si="1"/>
        <v/>
      </c>
      <c r="AL59" s="7">
        <f t="shared" si="2"/>
        <v>2.5752023412740894</v>
      </c>
      <c r="AM59" s="7" t="str">
        <f t="shared" si="3"/>
        <v/>
      </c>
      <c r="AN59" s="4">
        <v>0</v>
      </c>
      <c r="AO59" s="4">
        <v>0</v>
      </c>
      <c r="AP59" s="14">
        <f t="shared" si="31"/>
        <v>1268918</v>
      </c>
      <c r="AQ59" s="14">
        <f t="shared" si="32"/>
        <v>1268918</v>
      </c>
      <c r="AR59" s="18">
        <v>115997.0700000003</v>
      </c>
      <c r="AS59" s="19">
        <v>21.97</v>
      </c>
      <c r="AT59" s="8">
        <v>13500446.23</v>
      </c>
      <c r="AU59" s="8">
        <v>26552.401699999999</v>
      </c>
      <c r="AV59" s="8">
        <v>1425.0715</v>
      </c>
      <c r="AW59" s="8"/>
      <c r="AX59" s="9">
        <v>427.50930515347568</v>
      </c>
      <c r="AY59" s="6">
        <f t="shared" si="4"/>
        <v>2.2669978182160759E-2</v>
      </c>
      <c r="AZ59" s="8">
        <v>427379664.76270002</v>
      </c>
      <c r="BA59" s="10">
        <v>60480066</v>
      </c>
      <c r="BB59" s="11">
        <v>13500446.23</v>
      </c>
      <c r="BC59" s="10">
        <v>2971324</v>
      </c>
      <c r="BD59" s="10">
        <f>1000000000-999864891.9893+0</f>
        <v>135108.01069998741</v>
      </c>
      <c r="BE59" s="12">
        <f t="shared" si="5"/>
        <v>495533390.99659991</v>
      </c>
      <c r="BF59" s="13">
        <v>238</v>
      </c>
      <c r="BG59" s="13">
        <f t="shared" si="6"/>
        <v>257.53339099659991</v>
      </c>
      <c r="BH59" s="14">
        <f>BE59*21.97</f>
        <v>10886868600.195299</v>
      </c>
    </row>
    <row r="60" spans="1:60" x14ac:dyDescent="0.25">
      <c r="A60" s="3">
        <v>45682</v>
      </c>
      <c r="B60" s="4">
        <v>3516728432</v>
      </c>
      <c r="C60" s="4"/>
      <c r="D60" s="5">
        <v>138875526</v>
      </c>
      <c r="E60" s="4"/>
      <c r="N60" s="4"/>
      <c r="O60" s="4"/>
      <c r="P60" s="5">
        <v>14317</v>
      </c>
      <c r="Q60" s="4"/>
      <c r="R60" s="14">
        <f t="shared" si="20"/>
        <v>14317</v>
      </c>
      <c r="S60" s="6">
        <v>0.03</v>
      </c>
      <c r="T60" s="14">
        <f t="shared" si="21"/>
        <v>0</v>
      </c>
      <c r="U60" s="14">
        <f t="shared" si="22"/>
        <v>0</v>
      </c>
      <c r="V60" s="14">
        <f t="shared" si="23"/>
        <v>429.51</v>
      </c>
      <c r="W60" s="14" t="str">
        <f t="shared" si="24"/>
        <v/>
      </c>
      <c r="X60" s="5">
        <v>0</v>
      </c>
      <c r="Y60" s="4"/>
      <c r="Z60" s="4"/>
      <c r="AA60" s="14">
        <f t="shared" si="25"/>
        <v>429.51</v>
      </c>
      <c r="AB60" s="4"/>
      <c r="AC60" s="4"/>
      <c r="AD60" s="14">
        <f t="shared" si="26"/>
        <v>0</v>
      </c>
      <c r="AE60" s="14">
        <f t="shared" si="27"/>
        <v>14317</v>
      </c>
      <c r="AF60" s="14" t="str">
        <f t="shared" si="28"/>
        <v/>
      </c>
      <c r="AG60" s="15">
        <f t="shared" si="29"/>
        <v>14317</v>
      </c>
      <c r="AH60" s="16">
        <v>1043099</v>
      </c>
      <c r="AI60" s="17">
        <f t="shared" si="30"/>
        <v>-1028782</v>
      </c>
      <c r="AJ60" s="7" t="str">
        <f t="shared" si="0"/>
        <v/>
      </c>
      <c r="AK60" s="7" t="str">
        <f t="shared" si="1"/>
        <v/>
      </c>
      <c r="AL60" s="7">
        <f t="shared" si="2"/>
        <v>1.0309231880065031</v>
      </c>
      <c r="AM60" s="7" t="str">
        <f t="shared" si="3"/>
        <v/>
      </c>
      <c r="AN60" s="4">
        <v>0</v>
      </c>
      <c r="AO60" s="4">
        <v>0</v>
      </c>
      <c r="AP60" s="14">
        <f t="shared" si="31"/>
        <v>1043099</v>
      </c>
      <c r="AQ60" s="14">
        <f t="shared" si="32"/>
        <v>1043099</v>
      </c>
      <c r="AR60" s="18">
        <v>59234.429999999702</v>
      </c>
      <c r="AS60" s="19">
        <v>23.06</v>
      </c>
      <c r="AT60" s="8">
        <v>13559680.66</v>
      </c>
      <c r="AU60" s="8">
        <v>26530.811300000001</v>
      </c>
      <c r="AV60" s="8">
        <v>909.61069999999995</v>
      </c>
      <c r="AW60" s="8"/>
      <c r="AX60" s="9">
        <v>427.32621843293748</v>
      </c>
      <c r="AY60" s="6">
        <f t="shared" si="4"/>
        <v>2.2661249665446682E-2</v>
      </c>
      <c r="AZ60" s="8">
        <v>427353133.95139998</v>
      </c>
      <c r="BA60" s="10">
        <v>60480066</v>
      </c>
      <c r="BB60" s="11">
        <v>13559680.66</v>
      </c>
      <c r="BC60" s="10">
        <v>2971324</v>
      </c>
      <c r="BD60" s="10">
        <f>1000000000-999863982.3786+0</f>
        <v>136017.62139999866</v>
      </c>
      <c r="BE60" s="12">
        <f t="shared" si="5"/>
        <v>495499777.76719993</v>
      </c>
      <c r="BF60" s="13">
        <v>238</v>
      </c>
      <c r="BG60" s="13">
        <f t="shared" si="6"/>
        <v>257.49977776719993</v>
      </c>
      <c r="BH60" s="14">
        <f>BE60*23.06</f>
        <v>11426224875.31163</v>
      </c>
    </row>
    <row r="61" spans="1:60" x14ac:dyDescent="0.25">
      <c r="A61" s="3">
        <v>45683</v>
      </c>
      <c r="B61" s="4">
        <v>3597386933</v>
      </c>
      <c r="C61" s="4"/>
      <c r="D61" s="5">
        <v>229716868</v>
      </c>
      <c r="E61" s="4"/>
      <c r="N61" s="4"/>
      <c r="O61" s="4"/>
      <c r="P61" s="5">
        <v>16865</v>
      </c>
      <c r="Q61" s="4"/>
      <c r="R61" s="14">
        <f t="shared" si="20"/>
        <v>16865</v>
      </c>
      <c r="S61" s="6">
        <v>0.03</v>
      </c>
      <c r="T61" s="14">
        <f t="shared" si="21"/>
        <v>0</v>
      </c>
      <c r="U61" s="14">
        <f t="shared" si="22"/>
        <v>0</v>
      </c>
      <c r="V61" s="14">
        <f t="shared" si="23"/>
        <v>505.95</v>
      </c>
      <c r="W61" s="14" t="str">
        <f t="shared" si="24"/>
        <v/>
      </c>
      <c r="X61" s="5">
        <v>0</v>
      </c>
      <c r="Y61" s="4"/>
      <c r="Z61" s="4"/>
      <c r="AA61" s="14">
        <f t="shared" si="25"/>
        <v>505.95</v>
      </c>
      <c r="AB61" s="4"/>
      <c r="AC61" s="4"/>
      <c r="AD61" s="14">
        <f t="shared" si="26"/>
        <v>0</v>
      </c>
      <c r="AE61" s="14">
        <f t="shared" si="27"/>
        <v>16865</v>
      </c>
      <c r="AF61" s="14" t="str">
        <f t="shared" si="28"/>
        <v/>
      </c>
      <c r="AG61" s="15">
        <f t="shared" si="29"/>
        <v>16865</v>
      </c>
      <c r="AH61" s="16">
        <v>1050474</v>
      </c>
      <c r="AI61" s="17">
        <f t="shared" si="30"/>
        <v>-1033609</v>
      </c>
      <c r="AJ61" s="7" t="str">
        <f t="shared" si="0"/>
        <v/>
      </c>
      <c r="AK61" s="7" t="str">
        <f t="shared" si="1"/>
        <v/>
      </c>
      <c r="AL61" s="7">
        <f t="shared" si="2"/>
        <v>0.73416463261200304</v>
      </c>
      <c r="AM61" s="7" t="str">
        <f t="shared" si="3"/>
        <v/>
      </c>
      <c r="AN61" s="4">
        <v>0</v>
      </c>
      <c r="AO61" s="4">
        <v>0</v>
      </c>
      <c r="AP61" s="14">
        <f t="shared" si="31"/>
        <v>1050474</v>
      </c>
      <c r="AQ61" s="14">
        <f t="shared" si="32"/>
        <v>1050474</v>
      </c>
      <c r="AR61" s="18">
        <v>29767.310000000522</v>
      </c>
      <c r="AS61" s="19">
        <v>23.15</v>
      </c>
      <c r="AT61" s="8">
        <v>13589447.970000001</v>
      </c>
      <c r="AU61" s="8">
        <v>26541.0291</v>
      </c>
      <c r="AV61" s="8">
        <v>462.25889999999998</v>
      </c>
      <c r="AW61" s="8"/>
      <c r="AX61" s="9">
        <v>427.627261770367</v>
      </c>
      <c r="AY61" s="6">
        <f t="shared" si="4"/>
        <v>2.2654017850485195E-2</v>
      </c>
      <c r="AZ61" s="8">
        <v>427326592.92220002</v>
      </c>
      <c r="BA61" s="10">
        <v>60480066</v>
      </c>
      <c r="BB61" s="11">
        <v>13589447.970000001</v>
      </c>
      <c r="BC61" s="10">
        <v>2971324</v>
      </c>
      <c r="BD61" s="10">
        <f>1000000000-999863520.1197+0</f>
        <v>136479.88030004501</v>
      </c>
      <c r="BE61" s="12">
        <f t="shared" si="5"/>
        <v>495496089.22749996</v>
      </c>
      <c r="BF61" s="13">
        <v>238</v>
      </c>
      <c r="BG61" s="13">
        <f t="shared" si="6"/>
        <v>257.49608922749997</v>
      </c>
      <c r="BH61" s="14">
        <f>BE61*23.15</f>
        <v>11470734465.616623</v>
      </c>
    </row>
    <row r="62" spans="1:60" x14ac:dyDescent="0.25">
      <c r="A62" s="3">
        <v>45684</v>
      </c>
      <c r="B62" s="4">
        <v>10972896197</v>
      </c>
      <c r="C62" s="4"/>
      <c r="D62" s="5">
        <v>185620600</v>
      </c>
      <c r="E62" s="4"/>
      <c r="N62" s="4"/>
      <c r="O62" s="4"/>
      <c r="P62" s="5">
        <v>37573</v>
      </c>
      <c r="Q62" s="4"/>
      <c r="R62" s="14">
        <f t="shared" si="20"/>
        <v>37573</v>
      </c>
      <c r="S62" s="6">
        <v>0.03</v>
      </c>
      <c r="T62" s="14">
        <f t="shared" si="21"/>
        <v>0</v>
      </c>
      <c r="U62" s="14">
        <f t="shared" si="22"/>
        <v>0</v>
      </c>
      <c r="V62" s="14">
        <f t="shared" si="23"/>
        <v>1127.19</v>
      </c>
      <c r="W62" s="14" t="str">
        <f t="shared" si="24"/>
        <v/>
      </c>
      <c r="X62" s="5">
        <v>0</v>
      </c>
      <c r="Y62" s="4"/>
      <c r="Z62" s="4"/>
      <c r="AA62" s="14">
        <f t="shared" si="25"/>
        <v>1127.19</v>
      </c>
      <c r="AB62" s="4"/>
      <c r="AC62" s="4"/>
      <c r="AD62" s="14">
        <f t="shared" si="26"/>
        <v>0</v>
      </c>
      <c r="AE62" s="14">
        <f t="shared" si="27"/>
        <v>37573</v>
      </c>
      <c r="AF62" s="14" t="str">
        <f t="shared" si="28"/>
        <v/>
      </c>
      <c r="AG62" s="15">
        <f t="shared" si="29"/>
        <v>37573</v>
      </c>
      <c r="AH62" s="16">
        <v>2618211</v>
      </c>
      <c r="AI62" s="17">
        <f t="shared" si="30"/>
        <v>-2580638</v>
      </c>
      <c r="AJ62" s="7" t="str">
        <f t="shared" si="0"/>
        <v/>
      </c>
      <c r="AK62" s="7" t="str">
        <f t="shared" si="1"/>
        <v/>
      </c>
      <c r="AL62" s="7">
        <f t="shared" si="2"/>
        <v>2.024182660760713</v>
      </c>
      <c r="AM62" s="7" t="str">
        <f t="shared" si="3"/>
        <v/>
      </c>
      <c r="AN62" s="4">
        <v>0</v>
      </c>
      <c r="AO62" s="4">
        <v>0</v>
      </c>
      <c r="AP62" s="14">
        <f t="shared" si="31"/>
        <v>2618211</v>
      </c>
      <c r="AQ62" s="14">
        <f t="shared" si="32"/>
        <v>2618211</v>
      </c>
      <c r="AR62" s="18">
        <v>76325.709999999031</v>
      </c>
      <c r="AS62" s="19">
        <v>22.08</v>
      </c>
      <c r="AT62" s="8">
        <v>13665773.68</v>
      </c>
      <c r="AU62" s="8">
        <v>26557.3341</v>
      </c>
      <c r="AV62" s="8">
        <v>515.18380000000002</v>
      </c>
      <c r="AW62" s="8"/>
      <c r="AX62" s="9">
        <v>428.24227813849939</v>
      </c>
      <c r="AY62" s="6">
        <f t="shared" si="4"/>
        <v>2.263538058090802E-2</v>
      </c>
      <c r="AZ62" s="8">
        <v>427300035.58819997</v>
      </c>
      <c r="BA62" s="10">
        <v>60480066</v>
      </c>
      <c r="BB62" s="11">
        <v>13665773.68</v>
      </c>
      <c r="BC62" s="10">
        <v>2971324</v>
      </c>
      <c r="BD62" s="10">
        <f>1000000000-999863004.9359+0</f>
        <v>136995.06410002708</v>
      </c>
      <c r="BE62" s="12">
        <f t="shared" si="5"/>
        <v>495445805.66769999</v>
      </c>
      <c r="BF62" s="13">
        <v>238</v>
      </c>
      <c r="BG62" s="13">
        <f t="shared" si="6"/>
        <v>257.44580566769997</v>
      </c>
      <c r="BH62" s="14">
        <f>BE62*22.08</f>
        <v>10939443389.142815</v>
      </c>
    </row>
    <row r="63" spans="1:60" x14ac:dyDescent="0.25">
      <c r="A63" s="3">
        <v>45685</v>
      </c>
      <c r="B63" s="4">
        <v>6689142363</v>
      </c>
      <c r="C63" s="4"/>
      <c r="D63" s="5">
        <v>170638730</v>
      </c>
      <c r="E63" s="4"/>
      <c r="N63" s="4"/>
      <c r="O63" s="4"/>
      <c r="P63" s="5">
        <v>26779</v>
      </c>
      <c r="Q63" s="4"/>
      <c r="R63" s="14">
        <f t="shared" si="20"/>
        <v>26779</v>
      </c>
      <c r="S63" s="6">
        <v>0.03</v>
      </c>
      <c r="T63" s="14">
        <f t="shared" si="21"/>
        <v>0</v>
      </c>
      <c r="U63" s="14">
        <f t="shared" si="22"/>
        <v>0</v>
      </c>
      <c r="V63" s="14">
        <f t="shared" si="23"/>
        <v>803.37</v>
      </c>
      <c r="W63" s="14" t="str">
        <f t="shared" si="24"/>
        <v/>
      </c>
      <c r="X63" s="5">
        <v>0</v>
      </c>
      <c r="Y63" s="4"/>
      <c r="Z63" s="4"/>
      <c r="AA63" s="14">
        <f t="shared" si="25"/>
        <v>803.37</v>
      </c>
      <c r="AB63" s="4"/>
      <c r="AC63" s="4"/>
      <c r="AD63" s="14">
        <f t="shared" si="26"/>
        <v>0</v>
      </c>
      <c r="AE63" s="14">
        <f t="shared" si="27"/>
        <v>26779</v>
      </c>
      <c r="AF63" s="14" t="str">
        <f t="shared" si="28"/>
        <v/>
      </c>
      <c r="AG63" s="15">
        <f t="shared" si="29"/>
        <v>26779</v>
      </c>
      <c r="AH63" s="16">
        <v>1482994</v>
      </c>
      <c r="AI63" s="17">
        <f t="shared" si="30"/>
        <v>-1456215</v>
      </c>
      <c r="AJ63" s="7" t="str">
        <f t="shared" si="0"/>
        <v/>
      </c>
      <c r="AK63" s="7" t="str">
        <f t="shared" si="1"/>
        <v/>
      </c>
      <c r="AL63" s="7">
        <f t="shared" si="2"/>
        <v>1.5693389185444595</v>
      </c>
      <c r="AM63" s="7" t="str">
        <f t="shared" si="3"/>
        <v/>
      </c>
      <c r="AN63" s="4">
        <v>0</v>
      </c>
      <c r="AO63" s="4">
        <v>0</v>
      </c>
      <c r="AP63" s="14">
        <f t="shared" si="31"/>
        <v>1482994</v>
      </c>
      <c r="AQ63" s="14">
        <f t="shared" si="32"/>
        <v>1482994</v>
      </c>
      <c r="AR63" s="18">
        <v>98548.050000000745</v>
      </c>
      <c r="AS63" s="19">
        <v>23.38</v>
      </c>
      <c r="AT63" s="8">
        <v>13764321.73</v>
      </c>
      <c r="AU63" s="8">
        <v>26537.8436</v>
      </c>
      <c r="AV63" s="8">
        <v>1494.8576</v>
      </c>
      <c r="AW63" s="8"/>
      <c r="AX63" s="9">
        <v>427.08438306016092</v>
      </c>
      <c r="AY63" s="6">
        <f t="shared" si="4"/>
        <v>2.2680091565501111E-2</v>
      </c>
      <c r="AZ63" s="8">
        <v>427273497.74449998</v>
      </c>
      <c r="BA63" s="10">
        <v>60480066</v>
      </c>
      <c r="BB63" s="11">
        <v>13764321.73</v>
      </c>
      <c r="BC63" s="10">
        <v>2971324</v>
      </c>
      <c r="BD63" s="10">
        <f>1000000000-999861510.0783+0</f>
        <v>138489.92170000076</v>
      </c>
      <c r="BE63" s="12">
        <f t="shared" si="5"/>
        <v>495372300.60380006</v>
      </c>
      <c r="BF63" s="13">
        <v>238</v>
      </c>
      <c r="BG63" s="13">
        <f t="shared" si="6"/>
        <v>257.37230060380006</v>
      </c>
      <c r="BH63" s="14">
        <f>BE63*23.38</f>
        <v>11581804388.116844</v>
      </c>
    </row>
    <row r="64" spans="1:60" x14ac:dyDescent="0.25">
      <c r="A64" s="3">
        <v>45686</v>
      </c>
      <c r="B64" s="4">
        <v>7487288905</v>
      </c>
      <c r="C64" s="4"/>
      <c r="D64" s="5">
        <v>283645800</v>
      </c>
      <c r="E64" s="4"/>
      <c r="N64" s="4"/>
      <c r="O64" s="4"/>
      <c r="P64" s="5">
        <v>20016</v>
      </c>
      <c r="Q64" s="4"/>
      <c r="R64" s="14">
        <f t="shared" si="20"/>
        <v>20016</v>
      </c>
      <c r="S64" s="6">
        <v>0.03</v>
      </c>
      <c r="T64" s="14">
        <f t="shared" si="21"/>
        <v>0</v>
      </c>
      <c r="U64" s="14">
        <f t="shared" si="22"/>
        <v>0</v>
      </c>
      <c r="V64" s="14">
        <f t="shared" si="23"/>
        <v>600.48</v>
      </c>
      <c r="W64" s="14" t="str">
        <f t="shared" si="24"/>
        <v/>
      </c>
      <c r="X64" s="5">
        <v>0</v>
      </c>
      <c r="Y64" s="4"/>
      <c r="Z64" s="4"/>
      <c r="AA64" s="14">
        <f t="shared" si="25"/>
        <v>600.48</v>
      </c>
      <c r="AB64" s="4"/>
      <c r="AC64" s="4"/>
      <c r="AD64" s="14">
        <f t="shared" si="26"/>
        <v>0</v>
      </c>
      <c r="AE64" s="14">
        <f t="shared" si="27"/>
        <v>20016</v>
      </c>
      <c r="AF64" s="14" t="str">
        <f t="shared" si="28"/>
        <v/>
      </c>
      <c r="AG64" s="15">
        <f t="shared" si="29"/>
        <v>20016</v>
      </c>
      <c r="AH64" s="16">
        <v>1822611</v>
      </c>
      <c r="AI64" s="17">
        <f t="shared" si="30"/>
        <v>-1802595</v>
      </c>
      <c r="AJ64" s="7" t="str">
        <f t="shared" si="0"/>
        <v/>
      </c>
      <c r="AK64" s="7" t="str">
        <f t="shared" si="1"/>
        <v/>
      </c>
      <c r="AL64" s="7">
        <f t="shared" si="2"/>
        <v>0.70566883063313479</v>
      </c>
      <c r="AM64" s="7" t="str">
        <f t="shared" si="3"/>
        <v/>
      </c>
      <c r="AN64" s="4">
        <v>0</v>
      </c>
      <c r="AO64" s="4">
        <v>0</v>
      </c>
      <c r="AP64" s="14">
        <f t="shared" si="31"/>
        <v>1822611</v>
      </c>
      <c r="AQ64" s="14">
        <f t="shared" si="32"/>
        <v>1822611</v>
      </c>
      <c r="AR64" s="18">
        <v>65908.879999998957</v>
      </c>
      <c r="AS64" s="19">
        <v>22.28</v>
      </c>
      <c r="AT64" s="8">
        <v>13830230.609999999</v>
      </c>
      <c r="AU64" s="8">
        <v>26534.290799999999</v>
      </c>
      <c r="AV64" s="8">
        <v>925.28880000000004</v>
      </c>
      <c r="AW64" s="8"/>
      <c r="AX64" s="9">
        <v>427.49320530126982</v>
      </c>
      <c r="AY64" s="6">
        <f t="shared" si="4"/>
        <v>2.2655368604454475E-2</v>
      </c>
      <c r="AZ64" s="8">
        <v>427246963.45370001</v>
      </c>
      <c r="BA64" s="10">
        <v>60480066</v>
      </c>
      <c r="BB64" s="11">
        <v>13830230.609999999</v>
      </c>
      <c r="BC64" s="10">
        <v>2971324</v>
      </c>
      <c r="BD64" s="10">
        <f>1000000000-999860584.7895+0</f>
        <v>139415.21050000191</v>
      </c>
      <c r="BE64" s="12">
        <f t="shared" si="5"/>
        <v>495332000.72579992</v>
      </c>
      <c r="BF64" s="13">
        <v>238</v>
      </c>
      <c r="BG64" s="13">
        <f t="shared" si="6"/>
        <v>257.3320007257999</v>
      </c>
      <c r="BH64" s="14">
        <f>BE64*22.28</f>
        <v>11035996976.170822</v>
      </c>
    </row>
    <row r="65" spans="1:60" x14ac:dyDescent="0.25">
      <c r="A65" s="3">
        <v>45687</v>
      </c>
      <c r="B65" s="4">
        <v>5319626691</v>
      </c>
      <c r="C65" s="4"/>
      <c r="D65" s="5">
        <v>212136745</v>
      </c>
      <c r="E65" s="4"/>
      <c r="N65" s="4"/>
      <c r="O65" s="4"/>
      <c r="P65" s="5">
        <v>38508</v>
      </c>
      <c r="Q65" s="4"/>
      <c r="R65" s="14">
        <f t="shared" si="20"/>
        <v>38508</v>
      </c>
      <c r="S65" s="6">
        <v>0.03</v>
      </c>
      <c r="T65" s="14">
        <f t="shared" si="21"/>
        <v>0</v>
      </c>
      <c r="U65" s="14">
        <f t="shared" si="22"/>
        <v>0</v>
      </c>
      <c r="V65" s="14">
        <f t="shared" si="23"/>
        <v>1155.24</v>
      </c>
      <c r="W65" s="14" t="str">
        <f t="shared" si="24"/>
        <v/>
      </c>
      <c r="X65" s="5">
        <v>0</v>
      </c>
      <c r="Y65" s="4"/>
      <c r="Z65" s="4"/>
      <c r="AA65" s="14">
        <f t="shared" si="25"/>
        <v>1155.24</v>
      </c>
      <c r="AB65" s="4"/>
      <c r="AC65" s="4"/>
      <c r="AD65" s="14">
        <f t="shared" si="26"/>
        <v>0</v>
      </c>
      <c r="AE65" s="14">
        <f t="shared" si="27"/>
        <v>38508</v>
      </c>
      <c r="AF65" s="14" t="str">
        <f t="shared" si="28"/>
        <v/>
      </c>
      <c r="AG65" s="15">
        <f t="shared" si="29"/>
        <v>38508</v>
      </c>
      <c r="AH65" s="16">
        <v>1405939</v>
      </c>
      <c r="AI65" s="17">
        <f t="shared" si="30"/>
        <v>-1367431</v>
      </c>
      <c r="AJ65" s="7" t="str">
        <f t="shared" si="0"/>
        <v/>
      </c>
      <c r="AK65" s="7" t="str">
        <f t="shared" si="1"/>
        <v/>
      </c>
      <c r="AL65" s="7">
        <f t="shared" si="2"/>
        <v>1.8152442190060001</v>
      </c>
      <c r="AM65" s="7" t="str">
        <f t="shared" si="3"/>
        <v/>
      </c>
      <c r="AN65" s="4">
        <v>0</v>
      </c>
      <c r="AO65" s="4">
        <v>0</v>
      </c>
      <c r="AP65" s="14">
        <f t="shared" si="31"/>
        <v>1405939</v>
      </c>
      <c r="AQ65" s="14">
        <f t="shared" si="32"/>
        <v>1405939</v>
      </c>
      <c r="AR65" s="18">
        <v>86710.35000000149</v>
      </c>
      <c r="AS65" s="19">
        <v>23.75</v>
      </c>
      <c r="AT65" s="8">
        <v>13916940.960000001</v>
      </c>
      <c r="AU65" s="8">
        <v>26544.878700000001</v>
      </c>
      <c r="AV65" s="8">
        <v>730.3546</v>
      </c>
      <c r="AW65" s="8"/>
      <c r="AX65" s="9">
        <v>427.68580647200139</v>
      </c>
      <c r="AY65" s="6">
        <f t="shared" si="4"/>
        <v>2.2654202171037648E-2</v>
      </c>
      <c r="AZ65" s="8">
        <v>427220418.5751</v>
      </c>
      <c r="BA65" s="10">
        <v>60480066</v>
      </c>
      <c r="BB65" s="11">
        <v>13916940.960000001</v>
      </c>
      <c r="BC65" s="10">
        <v>2971324</v>
      </c>
      <c r="BD65" s="10">
        <f>1000000000-999859854.4349+0</f>
        <v>140145.56509995461</v>
      </c>
      <c r="BE65" s="12">
        <f t="shared" si="5"/>
        <v>495271104.89980012</v>
      </c>
      <c r="BF65" s="13">
        <v>238</v>
      </c>
      <c r="BG65" s="13">
        <f t="shared" si="6"/>
        <v>257.27110489980015</v>
      </c>
      <c r="BH65" s="14">
        <f>BE65*23.75</f>
        <v>11762688741.370253</v>
      </c>
    </row>
    <row r="66" spans="1:60" x14ac:dyDescent="0.25">
      <c r="A66" s="3">
        <v>45688</v>
      </c>
      <c r="B66" s="4">
        <v>7089116487</v>
      </c>
      <c r="C66" s="4"/>
      <c r="D66" s="5">
        <v>263781612</v>
      </c>
      <c r="E66" s="4"/>
      <c r="N66" s="4"/>
      <c r="O66" s="4"/>
      <c r="P66" s="5">
        <v>30778</v>
      </c>
      <c r="Q66" s="4"/>
      <c r="R66" s="14">
        <f t="shared" si="20"/>
        <v>30778</v>
      </c>
      <c r="S66" s="6">
        <v>0.03</v>
      </c>
      <c r="T66" s="14">
        <f t="shared" si="21"/>
        <v>0</v>
      </c>
      <c r="U66" s="14">
        <f t="shared" si="22"/>
        <v>0</v>
      </c>
      <c r="V66" s="14">
        <f t="shared" si="23"/>
        <v>923.33999999999992</v>
      </c>
      <c r="W66" s="14" t="str">
        <f t="shared" si="24"/>
        <v/>
      </c>
      <c r="X66" s="5">
        <v>0</v>
      </c>
      <c r="Y66" s="4"/>
      <c r="Z66" s="4"/>
      <c r="AA66" s="14">
        <f t="shared" si="25"/>
        <v>923.33999999999992</v>
      </c>
      <c r="AB66" s="4"/>
      <c r="AC66" s="4"/>
      <c r="AD66" s="14">
        <f t="shared" si="26"/>
        <v>0</v>
      </c>
      <c r="AE66" s="14">
        <f t="shared" si="27"/>
        <v>30778</v>
      </c>
      <c r="AF66" s="14" t="str">
        <f t="shared" si="28"/>
        <v/>
      </c>
      <c r="AG66" s="15">
        <f t="shared" si="29"/>
        <v>30778</v>
      </c>
      <c r="AH66" s="16">
        <v>1723246</v>
      </c>
      <c r="AI66" s="17">
        <f t="shared" si="30"/>
        <v>-1692468</v>
      </c>
      <c r="AJ66" s="7" t="str">
        <f t="shared" si="0"/>
        <v/>
      </c>
      <c r="AK66" s="7" t="str">
        <f t="shared" si="1"/>
        <v/>
      </c>
      <c r="AL66" s="7">
        <f t="shared" si="2"/>
        <v>1.1667985409081509</v>
      </c>
      <c r="AM66" s="7" t="str">
        <f t="shared" si="3"/>
        <v/>
      </c>
      <c r="AN66" s="4">
        <v>0</v>
      </c>
      <c r="AO66" s="4">
        <v>0</v>
      </c>
      <c r="AP66" s="14">
        <f t="shared" si="31"/>
        <v>1723246</v>
      </c>
      <c r="AQ66" s="14">
        <f t="shared" si="32"/>
        <v>1723246</v>
      </c>
      <c r="AR66" s="18">
        <v>39113.89999999851</v>
      </c>
      <c r="AS66" s="19">
        <v>26.19</v>
      </c>
      <c r="AT66" s="8">
        <v>13956054.859999999</v>
      </c>
      <c r="AU66" s="8">
        <v>32252.715100000001</v>
      </c>
      <c r="AV66" s="8">
        <v>1669.5925</v>
      </c>
      <c r="AW66" s="8"/>
      <c r="AX66" s="9">
        <v>427.82029234392542</v>
      </c>
      <c r="AY66" s="6">
        <f t="shared" si="4"/>
        <v>2.7516789694576427E-2</v>
      </c>
      <c r="AZ66" s="8">
        <v>427188165.86000001</v>
      </c>
      <c r="BA66" s="10">
        <v>60480066</v>
      </c>
      <c r="BB66" s="11">
        <v>13956054.859999999</v>
      </c>
      <c r="BC66" s="10">
        <v>2971324</v>
      </c>
      <c r="BD66" s="10">
        <f>1000000000-999858184.8425+0</f>
        <v>141815.15750002861</v>
      </c>
      <c r="BE66" s="12">
        <f t="shared" si="5"/>
        <v>495262574.12249994</v>
      </c>
      <c r="BF66" s="13">
        <v>238</v>
      </c>
      <c r="BG66" s="13">
        <f t="shared" si="6"/>
        <v>257.26257412249993</v>
      </c>
      <c r="BH66" s="14">
        <f>BE66*26.19</f>
        <v>12970926816.268274</v>
      </c>
    </row>
    <row r="67" spans="1:60" x14ac:dyDescent="0.25">
      <c r="A67" s="3">
        <v>45689</v>
      </c>
      <c r="B67" s="4">
        <v>5335486363</v>
      </c>
      <c r="C67" s="4"/>
      <c r="D67" s="5">
        <v>305083845</v>
      </c>
      <c r="E67" s="4"/>
      <c r="N67" s="4"/>
      <c r="O67" s="4"/>
      <c r="P67" s="5">
        <v>40422</v>
      </c>
      <c r="Q67" s="4"/>
      <c r="R67" s="14">
        <f t="shared" si="20"/>
        <v>40422</v>
      </c>
      <c r="S67" s="6">
        <v>0.03</v>
      </c>
      <c r="T67" s="14">
        <f t="shared" si="21"/>
        <v>0</v>
      </c>
      <c r="U67" s="14">
        <f t="shared" si="22"/>
        <v>0</v>
      </c>
      <c r="V67" s="14">
        <f t="shared" si="23"/>
        <v>1212.6599999999999</v>
      </c>
      <c r="W67" s="14" t="str">
        <f t="shared" si="24"/>
        <v/>
      </c>
      <c r="X67" s="5">
        <v>0</v>
      </c>
      <c r="Y67" s="4"/>
      <c r="Z67" s="4"/>
      <c r="AA67" s="14">
        <f t="shared" si="25"/>
        <v>1212.6599999999999</v>
      </c>
      <c r="AB67" s="4"/>
      <c r="AC67" s="4"/>
      <c r="AD67" s="14">
        <f t="shared" si="26"/>
        <v>0</v>
      </c>
      <c r="AE67" s="14">
        <f t="shared" si="27"/>
        <v>40422</v>
      </c>
      <c r="AF67" s="14" t="str">
        <f t="shared" si="28"/>
        <v/>
      </c>
      <c r="AG67" s="15">
        <f t="shared" si="29"/>
        <v>40422</v>
      </c>
      <c r="AH67" s="16">
        <v>1390845</v>
      </c>
      <c r="AI67" s="17">
        <f t="shared" si="30"/>
        <v>-1350423</v>
      </c>
      <c r="AJ67" s="7" t="str">
        <f t="shared" si="0"/>
        <v/>
      </c>
      <c r="AK67" s="7" t="str">
        <f t="shared" si="1"/>
        <v/>
      </c>
      <c r="AL67" s="7">
        <f t="shared" si="2"/>
        <v>1.324947245240075</v>
      </c>
      <c r="AM67" s="7" t="str">
        <f t="shared" si="3"/>
        <v/>
      </c>
      <c r="AN67" s="4">
        <v>0</v>
      </c>
      <c r="AO67" s="4">
        <v>0</v>
      </c>
      <c r="AP67" s="14">
        <f t="shared" si="31"/>
        <v>1390845</v>
      </c>
      <c r="AQ67" s="14">
        <f t="shared" si="32"/>
        <v>1390845</v>
      </c>
      <c r="AR67" s="18">
        <v>68264.310000000522</v>
      </c>
      <c r="AS67" s="19">
        <v>26.92</v>
      </c>
      <c r="AT67" s="8">
        <v>14024319.17</v>
      </c>
      <c r="AU67" s="8">
        <v>20850.625400000001</v>
      </c>
      <c r="AV67" s="8">
        <v>797.43579999999997</v>
      </c>
      <c r="AW67" s="8"/>
      <c r="AX67" s="9">
        <v>427.55556298947431</v>
      </c>
      <c r="AY67" s="6">
        <f t="shared" si="4"/>
        <v>1.7799974856571702E-2</v>
      </c>
      <c r="AZ67" s="8">
        <v>427167315.23460001</v>
      </c>
      <c r="BA67" s="10">
        <v>60480066</v>
      </c>
      <c r="BB67" s="11">
        <v>14024319.17</v>
      </c>
      <c r="BC67" s="10">
        <v>2971324</v>
      </c>
      <c r="BD67" s="10">
        <f>1000000000-999857387.4067+0</f>
        <v>142612.59329998493</v>
      </c>
      <c r="BE67" s="12">
        <f t="shared" si="5"/>
        <v>495214363.00209993</v>
      </c>
      <c r="BF67" s="13">
        <v>238</v>
      </c>
      <c r="BG67" s="13">
        <f t="shared" si="6"/>
        <v>257.21436300209996</v>
      </c>
      <c r="BH67" s="14">
        <f>BE67*26.92</f>
        <v>13331170652.016531</v>
      </c>
    </row>
    <row r="68" spans="1:60" x14ac:dyDescent="0.25">
      <c r="A68" s="3">
        <v>45690</v>
      </c>
      <c r="B68" s="4">
        <v>9044821754</v>
      </c>
      <c r="C68" s="4"/>
      <c r="D68" s="5">
        <v>443687078</v>
      </c>
      <c r="E68" s="4"/>
      <c r="N68" s="4"/>
      <c r="O68" s="4"/>
      <c r="P68" s="5">
        <v>44496</v>
      </c>
      <c r="Q68" s="4"/>
      <c r="R68" s="14">
        <f t="shared" si="20"/>
        <v>44496</v>
      </c>
      <c r="S68" s="6">
        <v>0.03</v>
      </c>
      <c r="T68" s="14">
        <f t="shared" si="21"/>
        <v>0</v>
      </c>
      <c r="U68" s="14">
        <f t="shared" si="22"/>
        <v>0</v>
      </c>
      <c r="V68" s="14">
        <f t="shared" si="23"/>
        <v>1334.8799999999999</v>
      </c>
      <c r="W68" s="14" t="str">
        <f t="shared" si="24"/>
        <v/>
      </c>
      <c r="X68" s="5">
        <v>0</v>
      </c>
      <c r="Y68" s="4"/>
      <c r="Z68" s="4"/>
      <c r="AA68" s="14">
        <f t="shared" si="25"/>
        <v>1334.8799999999999</v>
      </c>
      <c r="AB68" s="4"/>
      <c r="AC68" s="4"/>
      <c r="AD68" s="14">
        <f t="shared" si="26"/>
        <v>0</v>
      </c>
      <c r="AE68" s="14">
        <f t="shared" si="27"/>
        <v>44496</v>
      </c>
      <c r="AF68" s="14" t="str">
        <f t="shared" si="28"/>
        <v/>
      </c>
      <c r="AG68" s="15">
        <f t="shared" si="29"/>
        <v>44496</v>
      </c>
      <c r="AH68" s="16">
        <v>2002237</v>
      </c>
      <c r="AI68" s="17">
        <f t="shared" si="30"/>
        <v>-1957741</v>
      </c>
      <c r="AJ68" s="7" t="str">
        <f t="shared" ref="AJ68:AJ131" si="33">IF(OR(B68="",B68=0,N68=""),"",N68/B68*10000)</f>
        <v/>
      </c>
      <c r="AK68" s="7" t="str">
        <f t="shared" ref="AK68:AK131" si="34">IF(OR(C68="",C68=0),"",O68/C68*10000)</f>
        <v/>
      </c>
      <c r="AL68" s="7">
        <f t="shared" ref="AL68:AL131" si="35">IF(OR(D68="",D68=0),"",P68/D68*10000)</f>
        <v>1.0028689634274182</v>
      </c>
      <c r="AM68" s="7" t="str">
        <f t="shared" ref="AM68:AM131" si="36">IF(OR(E68="",E68=0),"",Q68/E68*10000)</f>
        <v/>
      </c>
      <c r="AN68" s="4">
        <v>0</v>
      </c>
      <c r="AO68" s="4">
        <v>0</v>
      </c>
      <c r="AP68" s="14">
        <f t="shared" si="31"/>
        <v>2002237</v>
      </c>
      <c r="AQ68" s="14">
        <f t="shared" si="32"/>
        <v>2002237</v>
      </c>
      <c r="AR68" s="18">
        <v>65528.550000000752</v>
      </c>
      <c r="AS68" s="19">
        <v>23.17</v>
      </c>
      <c r="AT68" s="8">
        <v>14089847.720000001</v>
      </c>
      <c r="AU68" s="8">
        <v>26556.909199999998</v>
      </c>
      <c r="AV68" s="8">
        <v>1144.1561999999999</v>
      </c>
      <c r="AW68" s="8"/>
      <c r="AX68" s="9">
        <v>428.02669023029961</v>
      </c>
      <c r="AY68" s="6">
        <f t="shared" ref="AY68:AY131" si="37">IF(OR(AX68="",AX68=0,AU68=""),"",AU68*365/(AX68*1000000))</f>
        <v>2.2646419205270909E-2</v>
      </c>
      <c r="AZ68" s="8">
        <v>427140758.32539999</v>
      </c>
      <c r="BA68" s="10">
        <v>60480066</v>
      </c>
      <c r="BB68" s="11">
        <v>14089847.720000001</v>
      </c>
      <c r="BC68" s="10">
        <v>2971324</v>
      </c>
      <c r="BD68" s="10">
        <f>1000000000-999856243.2505+0</f>
        <v>143756.74950003624</v>
      </c>
      <c r="BE68" s="12">
        <f t="shared" ref="BE68:BE131" si="38">1000000000-AZ68-BA68-BB68-BC68-BD68</f>
        <v>495174247.20509994</v>
      </c>
      <c r="BF68" s="13">
        <v>238</v>
      </c>
      <c r="BG68" s="13">
        <f t="shared" ref="BG68:BG131" si="39">BE68/1000000-BF68</f>
        <v>257.17424720509996</v>
      </c>
      <c r="BH68" s="14">
        <f>BE68*23.17</f>
        <v>11473187307.742167</v>
      </c>
    </row>
    <row r="69" spans="1:60" x14ac:dyDescent="0.25">
      <c r="A69" s="3">
        <v>45691</v>
      </c>
      <c r="B69" s="4">
        <v>18072547242</v>
      </c>
      <c r="C69" s="4"/>
      <c r="D69" s="5">
        <v>263016289</v>
      </c>
      <c r="E69" s="4"/>
      <c r="N69" s="4"/>
      <c r="O69" s="4"/>
      <c r="P69" s="5">
        <v>63480</v>
      </c>
      <c r="Q69" s="4"/>
      <c r="R69" s="14">
        <f t="shared" si="20"/>
        <v>63480</v>
      </c>
      <c r="S69" s="6">
        <v>0.03</v>
      </c>
      <c r="T69" s="14">
        <f t="shared" si="21"/>
        <v>0</v>
      </c>
      <c r="U69" s="14">
        <f t="shared" si="22"/>
        <v>0</v>
      </c>
      <c r="V69" s="14">
        <f t="shared" si="23"/>
        <v>1904.3999999999999</v>
      </c>
      <c r="W69" s="14" t="str">
        <f t="shared" si="24"/>
        <v/>
      </c>
      <c r="X69" s="5">
        <v>0</v>
      </c>
      <c r="Y69" s="4"/>
      <c r="Z69" s="4"/>
      <c r="AA69" s="14">
        <f t="shared" si="25"/>
        <v>1904.3999999999999</v>
      </c>
      <c r="AB69" s="4"/>
      <c r="AC69" s="4"/>
      <c r="AD69" s="14">
        <f t="shared" si="26"/>
        <v>0</v>
      </c>
      <c r="AE69" s="14">
        <f t="shared" si="27"/>
        <v>63480</v>
      </c>
      <c r="AF69" s="14" t="str">
        <f t="shared" si="28"/>
        <v/>
      </c>
      <c r="AG69" s="15">
        <f t="shared" si="29"/>
        <v>63480</v>
      </c>
      <c r="AH69" s="16">
        <v>4133623</v>
      </c>
      <c r="AI69" s="17">
        <f t="shared" si="30"/>
        <v>-4070143</v>
      </c>
      <c r="AJ69" s="7" t="str">
        <f t="shared" si="33"/>
        <v/>
      </c>
      <c r="AK69" s="7" t="str">
        <f t="shared" si="34"/>
        <v/>
      </c>
      <c r="AL69" s="7">
        <f t="shared" si="35"/>
        <v>2.4135387295347326</v>
      </c>
      <c r="AM69" s="7" t="str">
        <f t="shared" si="36"/>
        <v/>
      </c>
      <c r="AN69" s="4">
        <v>0</v>
      </c>
      <c r="AO69" s="4">
        <v>0</v>
      </c>
      <c r="AP69" s="14">
        <f t="shared" si="31"/>
        <v>4133623</v>
      </c>
      <c r="AQ69" s="14">
        <f t="shared" si="32"/>
        <v>4133623</v>
      </c>
      <c r="AR69" s="18">
        <v>170472.459999999</v>
      </c>
      <c r="AS69" s="19">
        <v>22.32</v>
      </c>
      <c r="AT69" s="8">
        <v>14260320.18</v>
      </c>
      <c r="AU69" s="8">
        <v>26546.418699999998</v>
      </c>
      <c r="AV69" s="8">
        <v>1529.404</v>
      </c>
      <c r="AW69" s="8"/>
      <c r="AX69" s="9">
        <v>427.38821981269928</v>
      </c>
      <c r="AY69" s="6">
        <f t="shared" si="37"/>
        <v>2.2671291290495443E-2</v>
      </c>
      <c r="AZ69" s="8">
        <v>427114211.90670002</v>
      </c>
      <c r="BA69" s="10">
        <v>60480066</v>
      </c>
      <c r="BB69" s="11">
        <v>14260320.18</v>
      </c>
      <c r="BC69" s="10">
        <v>2971324</v>
      </c>
      <c r="BD69" s="10">
        <f>1000000000-999854713.8465+0</f>
        <v>145286.1534999609</v>
      </c>
      <c r="BE69" s="12">
        <f t="shared" si="38"/>
        <v>495028791.75980002</v>
      </c>
      <c r="BF69" s="13">
        <v>238</v>
      </c>
      <c r="BG69" s="13">
        <f t="shared" si="39"/>
        <v>257.02879175980001</v>
      </c>
      <c r="BH69" s="14">
        <f>BE69*22.32</f>
        <v>11049042632.078737</v>
      </c>
    </row>
    <row r="70" spans="1:60" x14ac:dyDescent="0.25">
      <c r="A70" s="3">
        <v>45692</v>
      </c>
      <c r="B70" s="4">
        <v>10231406266</v>
      </c>
      <c r="C70" s="4"/>
      <c r="D70" s="5">
        <v>208560749</v>
      </c>
      <c r="E70" s="4"/>
      <c r="N70" s="4"/>
      <c r="O70" s="4"/>
      <c r="P70" s="5">
        <v>37612</v>
      </c>
      <c r="Q70" s="4"/>
      <c r="R70" s="14">
        <f t="shared" si="20"/>
        <v>37612</v>
      </c>
      <c r="S70" s="6">
        <v>0.03</v>
      </c>
      <c r="T70" s="14">
        <f t="shared" si="21"/>
        <v>0</v>
      </c>
      <c r="U70" s="14">
        <f t="shared" si="22"/>
        <v>0</v>
      </c>
      <c r="V70" s="14">
        <f t="shared" si="23"/>
        <v>1128.3599999999999</v>
      </c>
      <c r="W70" s="14" t="str">
        <f t="shared" si="24"/>
        <v/>
      </c>
      <c r="X70" s="5">
        <v>0</v>
      </c>
      <c r="Y70" s="4"/>
      <c r="Z70" s="4"/>
      <c r="AA70" s="14">
        <f t="shared" si="25"/>
        <v>1128.3599999999999</v>
      </c>
      <c r="AB70" s="4"/>
      <c r="AC70" s="4"/>
      <c r="AD70" s="14">
        <f t="shared" si="26"/>
        <v>0</v>
      </c>
      <c r="AE70" s="14">
        <f t="shared" si="27"/>
        <v>37612</v>
      </c>
      <c r="AF70" s="14" t="str">
        <f t="shared" si="28"/>
        <v/>
      </c>
      <c r="AG70" s="15">
        <f t="shared" si="29"/>
        <v>37612</v>
      </c>
      <c r="AH70" s="16">
        <v>2436561</v>
      </c>
      <c r="AI70" s="17">
        <f t="shared" si="30"/>
        <v>-2398949</v>
      </c>
      <c r="AJ70" s="7" t="str">
        <f t="shared" si="33"/>
        <v/>
      </c>
      <c r="AK70" s="7" t="str">
        <f t="shared" si="34"/>
        <v/>
      </c>
      <c r="AL70" s="7">
        <f t="shared" si="35"/>
        <v>1.8034074091285508</v>
      </c>
      <c r="AM70" s="7" t="str">
        <f t="shared" si="36"/>
        <v/>
      </c>
      <c r="AN70" s="4">
        <v>0</v>
      </c>
      <c r="AO70" s="4">
        <v>0</v>
      </c>
      <c r="AP70" s="14">
        <f t="shared" si="31"/>
        <v>2436561</v>
      </c>
      <c r="AQ70" s="14">
        <f t="shared" si="32"/>
        <v>2436561</v>
      </c>
      <c r="AR70" s="18">
        <v>107026.56000000051</v>
      </c>
      <c r="AS70" s="19">
        <v>25.19</v>
      </c>
      <c r="AT70" s="8">
        <v>14367346.74</v>
      </c>
      <c r="AU70" s="8">
        <v>26535.168399999999</v>
      </c>
      <c r="AV70" s="8">
        <v>2737.9562000000001</v>
      </c>
      <c r="AW70" s="8"/>
      <c r="AX70" s="9">
        <v>427.17773557644739</v>
      </c>
      <c r="AY70" s="6">
        <f t="shared" si="37"/>
        <v>2.2672849400566946E-2</v>
      </c>
      <c r="AZ70" s="8">
        <v>427087676.73830003</v>
      </c>
      <c r="BA70" s="10">
        <v>60480066</v>
      </c>
      <c r="BB70" s="11">
        <v>14367346.74</v>
      </c>
      <c r="BC70" s="10">
        <v>2971324</v>
      </c>
      <c r="BD70" s="10">
        <f>1000000000-999851975.8903+0</f>
        <v>148024.10969996452</v>
      </c>
      <c r="BE70" s="12">
        <f t="shared" si="38"/>
        <v>494945562.41199994</v>
      </c>
      <c r="BF70" s="13">
        <v>238</v>
      </c>
      <c r="BG70" s="13">
        <f t="shared" si="39"/>
        <v>256.94556241199996</v>
      </c>
      <c r="BH70" s="14">
        <f>BE70*25.19</f>
        <v>12467678717.158279</v>
      </c>
    </row>
    <row r="71" spans="1:60" x14ac:dyDescent="0.25">
      <c r="A71" s="3">
        <v>45693</v>
      </c>
      <c r="B71" s="4">
        <v>5694608356</v>
      </c>
      <c r="C71" s="4"/>
      <c r="D71" s="5">
        <v>168626713</v>
      </c>
      <c r="E71" s="4"/>
      <c r="N71" s="4"/>
      <c r="O71" s="4"/>
      <c r="P71" s="5">
        <v>28216</v>
      </c>
      <c r="Q71" s="4"/>
      <c r="R71" s="14">
        <f t="shared" si="20"/>
        <v>28216</v>
      </c>
      <c r="S71" s="6">
        <v>0.03</v>
      </c>
      <c r="T71" s="14">
        <f t="shared" si="21"/>
        <v>0</v>
      </c>
      <c r="U71" s="14">
        <f t="shared" si="22"/>
        <v>0</v>
      </c>
      <c r="V71" s="14">
        <f t="shared" si="23"/>
        <v>846.48</v>
      </c>
      <c r="W71" s="14" t="str">
        <f t="shared" si="24"/>
        <v/>
      </c>
      <c r="X71" s="5">
        <v>0</v>
      </c>
      <c r="Y71" s="4"/>
      <c r="Z71" s="4"/>
      <c r="AA71" s="14">
        <f t="shared" si="25"/>
        <v>846.48</v>
      </c>
      <c r="AB71" s="4"/>
      <c r="AC71" s="4"/>
      <c r="AD71" s="14">
        <f t="shared" si="26"/>
        <v>0</v>
      </c>
      <c r="AE71" s="14">
        <f t="shared" si="27"/>
        <v>28216</v>
      </c>
      <c r="AF71" s="14" t="str">
        <f t="shared" si="28"/>
        <v/>
      </c>
      <c r="AG71" s="15">
        <f t="shared" si="29"/>
        <v>28216</v>
      </c>
      <c r="AH71" s="16">
        <v>1400074</v>
      </c>
      <c r="AI71" s="17">
        <f t="shared" si="30"/>
        <v>-1371858</v>
      </c>
      <c r="AJ71" s="7" t="str">
        <f t="shared" si="33"/>
        <v/>
      </c>
      <c r="AK71" s="7" t="str">
        <f t="shared" si="34"/>
        <v/>
      </c>
      <c r="AL71" s="7">
        <f t="shared" si="35"/>
        <v>1.6732817415470822</v>
      </c>
      <c r="AM71" s="7" t="str">
        <f t="shared" si="36"/>
        <v/>
      </c>
      <c r="AN71" s="4">
        <v>0</v>
      </c>
      <c r="AO71" s="4">
        <v>0</v>
      </c>
      <c r="AP71" s="14">
        <f t="shared" si="31"/>
        <v>1400074</v>
      </c>
      <c r="AQ71" s="14">
        <f t="shared" si="32"/>
        <v>1400074</v>
      </c>
      <c r="AR71" s="18">
        <v>79638.150000000373</v>
      </c>
      <c r="AS71" s="19">
        <v>25.14</v>
      </c>
      <c r="AT71" s="8">
        <v>14446984.890000001</v>
      </c>
      <c r="AU71" s="8">
        <v>26543.473099999999</v>
      </c>
      <c r="AV71" s="8">
        <v>1264.3163</v>
      </c>
      <c r="AW71" s="8"/>
      <c r="AX71" s="9">
        <v>427.62767443413099</v>
      </c>
      <c r="AY71" s="6">
        <f t="shared" si="37"/>
        <v>2.2656082056242907E-2</v>
      </c>
      <c r="AZ71" s="8">
        <v>427061133.26520002</v>
      </c>
      <c r="BA71" s="10">
        <v>60480066</v>
      </c>
      <c r="BB71" s="11">
        <v>14446984.890000001</v>
      </c>
      <c r="BC71" s="10">
        <v>2971324</v>
      </c>
      <c r="BD71" s="10">
        <f>1000000000-999850711.5739+0</f>
        <v>149288.42610001564</v>
      </c>
      <c r="BE71" s="12">
        <f t="shared" si="38"/>
        <v>494891203.41869998</v>
      </c>
      <c r="BF71" s="13">
        <v>238</v>
      </c>
      <c r="BG71" s="13">
        <f t="shared" si="39"/>
        <v>256.8912034187</v>
      </c>
      <c r="BH71" s="14">
        <f>BE71*25.14</f>
        <v>12441564853.946117</v>
      </c>
    </row>
    <row r="72" spans="1:60" x14ac:dyDescent="0.25">
      <c r="A72" s="3">
        <v>45694</v>
      </c>
      <c r="B72" s="4">
        <v>5904659695</v>
      </c>
      <c r="C72" s="4"/>
      <c r="D72" s="5">
        <v>178176120</v>
      </c>
      <c r="E72" s="4"/>
      <c r="N72" s="4"/>
      <c r="O72" s="4"/>
      <c r="P72" s="5">
        <v>24592</v>
      </c>
      <c r="Q72" s="4"/>
      <c r="R72" s="14">
        <f t="shared" si="20"/>
        <v>24592</v>
      </c>
      <c r="S72" s="6">
        <v>0.03</v>
      </c>
      <c r="T72" s="14">
        <f t="shared" si="21"/>
        <v>0</v>
      </c>
      <c r="U72" s="14">
        <f t="shared" si="22"/>
        <v>0</v>
      </c>
      <c r="V72" s="14">
        <f t="shared" si="23"/>
        <v>737.76</v>
      </c>
      <c r="W72" s="14" t="str">
        <f t="shared" si="24"/>
        <v/>
      </c>
      <c r="X72" s="5">
        <v>0</v>
      </c>
      <c r="Y72" s="4"/>
      <c r="Z72" s="4"/>
      <c r="AA72" s="14">
        <f t="shared" si="25"/>
        <v>737.76</v>
      </c>
      <c r="AB72" s="4"/>
      <c r="AC72" s="4"/>
      <c r="AD72" s="14">
        <f t="shared" si="26"/>
        <v>0</v>
      </c>
      <c r="AE72" s="14">
        <f t="shared" si="27"/>
        <v>24592</v>
      </c>
      <c r="AF72" s="14" t="str">
        <f t="shared" si="28"/>
        <v/>
      </c>
      <c r="AG72" s="15">
        <f t="shared" si="29"/>
        <v>24592</v>
      </c>
      <c r="AH72" s="16">
        <v>1300731</v>
      </c>
      <c r="AI72" s="17">
        <f t="shared" si="30"/>
        <v>-1276139</v>
      </c>
      <c r="AJ72" s="7" t="str">
        <f t="shared" si="33"/>
        <v/>
      </c>
      <c r="AK72" s="7" t="str">
        <f t="shared" si="34"/>
        <v/>
      </c>
      <c r="AL72" s="7">
        <f t="shared" si="35"/>
        <v>1.3802074037755452</v>
      </c>
      <c r="AM72" s="7" t="str">
        <f t="shared" si="36"/>
        <v/>
      </c>
      <c r="AN72" s="4">
        <v>0</v>
      </c>
      <c r="AO72" s="4">
        <v>0</v>
      </c>
      <c r="AP72" s="14">
        <f t="shared" si="31"/>
        <v>1300731</v>
      </c>
      <c r="AQ72" s="14">
        <f t="shared" si="32"/>
        <v>1300731</v>
      </c>
      <c r="AR72" s="18">
        <v>49755.990000000224</v>
      </c>
      <c r="AS72" s="19">
        <v>24.75</v>
      </c>
      <c r="AT72" s="8">
        <v>14496740.880000001</v>
      </c>
      <c r="AU72" s="8">
        <v>26548.785</v>
      </c>
      <c r="AV72" s="8">
        <v>989.82330000000002</v>
      </c>
      <c r="AW72" s="8"/>
      <c r="AX72" s="9">
        <v>427.57185334955972</v>
      </c>
      <c r="AY72" s="6">
        <f t="shared" si="37"/>
        <v>2.2663574435704794E-2</v>
      </c>
      <c r="AZ72" s="8">
        <v>427034584.48009998</v>
      </c>
      <c r="BA72" s="10">
        <v>60480066</v>
      </c>
      <c r="BB72" s="11">
        <v>14496740.880000001</v>
      </c>
      <c r="BC72" s="10">
        <v>2971324</v>
      </c>
      <c r="BD72" s="10">
        <f>1000000000-999849721.7506+0</f>
        <v>150278.24940001965</v>
      </c>
      <c r="BE72" s="12">
        <f t="shared" si="38"/>
        <v>494867006.39050007</v>
      </c>
      <c r="BF72" s="13">
        <v>238</v>
      </c>
      <c r="BG72" s="13">
        <f t="shared" si="39"/>
        <v>256.86700639050008</v>
      </c>
      <c r="BH72" s="14">
        <f>BE72*24.75</f>
        <v>12247958408.164877</v>
      </c>
    </row>
    <row r="73" spans="1:60" x14ac:dyDescent="0.25">
      <c r="A73" s="3">
        <v>45695</v>
      </c>
      <c r="B73" s="4">
        <v>6189394337</v>
      </c>
      <c r="C73" s="4"/>
      <c r="D73" s="5">
        <v>86858735</v>
      </c>
      <c r="E73" s="4"/>
      <c r="N73" s="4"/>
      <c r="O73" s="4"/>
      <c r="P73" s="5">
        <v>26352</v>
      </c>
      <c r="Q73" s="4"/>
      <c r="R73" s="14">
        <f t="shared" si="20"/>
        <v>26352</v>
      </c>
      <c r="S73" s="6">
        <v>0.03</v>
      </c>
      <c r="T73" s="14">
        <f t="shared" si="21"/>
        <v>0</v>
      </c>
      <c r="U73" s="14">
        <f t="shared" si="22"/>
        <v>0</v>
      </c>
      <c r="V73" s="14">
        <f t="shared" si="23"/>
        <v>790.56</v>
      </c>
      <c r="W73" s="14" t="str">
        <f t="shared" si="24"/>
        <v/>
      </c>
      <c r="X73" s="5">
        <v>0</v>
      </c>
      <c r="Y73" s="4"/>
      <c r="Z73" s="4"/>
      <c r="AA73" s="14">
        <f t="shared" si="25"/>
        <v>790.56</v>
      </c>
      <c r="AB73" s="4"/>
      <c r="AC73" s="4"/>
      <c r="AD73" s="14">
        <f t="shared" si="26"/>
        <v>0</v>
      </c>
      <c r="AE73" s="14">
        <f t="shared" si="27"/>
        <v>26352</v>
      </c>
      <c r="AF73" s="14" t="str">
        <f t="shared" si="28"/>
        <v/>
      </c>
      <c r="AG73" s="15">
        <f t="shared" si="29"/>
        <v>26352</v>
      </c>
      <c r="AH73" s="16">
        <v>1510714</v>
      </c>
      <c r="AI73" s="17">
        <f t="shared" si="30"/>
        <v>-1484362</v>
      </c>
      <c r="AJ73" s="7" t="str">
        <f t="shared" si="33"/>
        <v/>
      </c>
      <c r="AK73" s="7" t="str">
        <f t="shared" si="34"/>
        <v/>
      </c>
      <c r="AL73" s="7">
        <f t="shared" si="35"/>
        <v>3.0338917553887934</v>
      </c>
      <c r="AM73" s="7" t="str">
        <f t="shared" si="36"/>
        <v/>
      </c>
      <c r="AN73" s="4">
        <v>0</v>
      </c>
      <c r="AO73" s="4">
        <v>0</v>
      </c>
      <c r="AP73" s="14">
        <f t="shared" si="31"/>
        <v>1510714</v>
      </c>
      <c r="AQ73" s="14">
        <f t="shared" si="32"/>
        <v>1510714</v>
      </c>
      <c r="AR73" s="18">
        <v>60283.509999999776</v>
      </c>
      <c r="AS73" s="19">
        <v>23.83</v>
      </c>
      <c r="AT73" s="8">
        <v>14557024.390000001</v>
      </c>
      <c r="AU73" s="8">
        <v>26612.271499999999</v>
      </c>
      <c r="AV73" s="8">
        <v>827.20759999999996</v>
      </c>
      <c r="AW73" s="8"/>
      <c r="AX73" s="9">
        <v>429.46034407052821</v>
      </c>
      <c r="AY73" s="6">
        <f t="shared" si="37"/>
        <v>2.2617872014522492E-2</v>
      </c>
      <c r="AZ73" s="8">
        <v>427007972.2087</v>
      </c>
      <c r="BA73" s="10">
        <v>60480066</v>
      </c>
      <c r="BB73" s="11">
        <v>14557024.390000001</v>
      </c>
      <c r="BC73" s="10">
        <v>2971324</v>
      </c>
      <c r="BD73" s="10">
        <f>1000000000-999848894.5431+0</f>
        <v>151105.45690000057</v>
      </c>
      <c r="BE73" s="12">
        <f t="shared" si="38"/>
        <v>494832507.94440007</v>
      </c>
      <c r="BF73" s="13">
        <v>238</v>
      </c>
      <c r="BG73" s="13">
        <f t="shared" si="39"/>
        <v>256.83250794440005</v>
      </c>
      <c r="BH73" s="14">
        <f>BE73*23.83</f>
        <v>11791858664.315052</v>
      </c>
    </row>
    <row r="74" spans="1:60" x14ac:dyDescent="0.25">
      <c r="A74" s="3">
        <v>45696</v>
      </c>
      <c r="B74" s="4">
        <v>3006719559</v>
      </c>
      <c r="C74" s="4"/>
      <c r="D74" s="5">
        <v>75118825</v>
      </c>
      <c r="E74" s="4"/>
      <c r="N74" s="4"/>
      <c r="O74" s="4"/>
      <c r="P74" s="5">
        <v>12064</v>
      </c>
      <c r="Q74" s="4"/>
      <c r="R74" s="14">
        <f t="shared" si="20"/>
        <v>12064</v>
      </c>
      <c r="S74" s="6">
        <v>0.03</v>
      </c>
      <c r="T74" s="14">
        <f t="shared" si="21"/>
        <v>0</v>
      </c>
      <c r="U74" s="14">
        <f t="shared" si="22"/>
        <v>0</v>
      </c>
      <c r="V74" s="14">
        <f t="shared" si="23"/>
        <v>361.91999999999996</v>
      </c>
      <c r="W74" s="14" t="str">
        <f t="shared" si="24"/>
        <v/>
      </c>
      <c r="X74" s="5">
        <v>0</v>
      </c>
      <c r="Y74" s="4"/>
      <c r="Z74" s="4"/>
      <c r="AA74" s="14">
        <f t="shared" si="25"/>
        <v>361.91999999999996</v>
      </c>
      <c r="AB74" s="4"/>
      <c r="AC74" s="4"/>
      <c r="AD74" s="14">
        <f t="shared" si="26"/>
        <v>0</v>
      </c>
      <c r="AE74" s="14">
        <f t="shared" si="27"/>
        <v>12064</v>
      </c>
      <c r="AF74" s="14" t="str">
        <f t="shared" si="28"/>
        <v/>
      </c>
      <c r="AG74" s="15">
        <f t="shared" si="29"/>
        <v>12064</v>
      </c>
      <c r="AH74" s="16">
        <v>770646</v>
      </c>
      <c r="AI74" s="17">
        <f t="shared" si="30"/>
        <v>-758582</v>
      </c>
      <c r="AJ74" s="7" t="str">
        <f t="shared" si="33"/>
        <v/>
      </c>
      <c r="AK74" s="7" t="str">
        <f t="shared" si="34"/>
        <v/>
      </c>
      <c r="AL74" s="7">
        <f t="shared" si="35"/>
        <v>1.6059889115677728</v>
      </c>
      <c r="AM74" s="7" t="str">
        <f t="shared" si="36"/>
        <v/>
      </c>
      <c r="AN74" s="4">
        <v>0</v>
      </c>
      <c r="AO74" s="4">
        <v>0</v>
      </c>
      <c r="AP74" s="14">
        <f t="shared" si="31"/>
        <v>770646</v>
      </c>
      <c r="AQ74" s="14">
        <f t="shared" si="32"/>
        <v>770646</v>
      </c>
      <c r="AR74" s="18">
        <v>56388.990000000224</v>
      </c>
      <c r="AS74" s="19">
        <v>22.83</v>
      </c>
      <c r="AT74" s="8">
        <v>14613413.380000001</v>
      </c>
      <c r="AU74" s="8">
        <v>26577.921699999999</v>
      </c>
      <c r="AV74" s="8">
        <v>996.1893</v>
      </c>
      <c r="AW74" s="8"/>
      <c r="AX74" s="9">
        <v>428.28436086779482</v>
      </c>
      <c r="AY74" s="6">
        <f t="shared" si="37"/>
        <v>2.2650701979506881E-2</v>
      </c>
      <c r="AZ74" s="8">
        <v>426981394.28689998</v>
      </c>
      <c r="BA74" s="10">
        <v>60480066</v>
      </c>
      <c r="BB74" s="11">
        <v>14613413.380000001</v>
      </c>
      <c r="BC74" s="10">
        <v>2971324</v>
      </c>
      <c r="BD74" s="10">
        <f>1000000000-999847898.3538+0</f>
        <v>152101.64619994164</v>
      </c>
      <c r="BE74" s="12">
        <f t="shared" si="38"/>
        <v>494801700.68690002</v>
      </c>
      <c r="BF74" s="13">
        <v>238</v>
      </c>
      <c r="BG74" s="13">
        <f t="shared" si="39"/>
        <v>256.80170068690001</v>
      </c>
      <c r="BH74" s="14">
        <f>BE74*22.83</f>
        <v>11296322826.681927</v>
      </c>
    </row>
    <row r="75" spans="1:60" x14ac:dyDescent="0.25">
      <c r="A75" s="3">
        <v>45697</v>
      </c>
      <c r="B75" s="4">
        <v>3754601891</v>
      </c>
      <c r="C75" s="4"/>
      <c r="D75" s="5">
        <v>91079022</v>
      </c>
      <c r="E75" s="4"/>
      <c r="N75" s="4"/>
      <c r="O75" s="4"/>
      <c r="P75" s="5">
        <v>10683</v>
      </c>
      <c r="Q75" s="4"/>
      <c r="R75" s="14">
        <f t="shared" si="20"/>
        <v>10683</v>
      </c>
      <c r="S75" s="6">
        <v>0.03</v>
      </c>
      <c r="T75" s="14">
        <f t="shared" si="21"/>
        <v>0</v>
      </c>
      <c r="U75" s="14">
        <f t="shared" si="22"/>
        <v>0</v>
      </c>
      <c r="V75" s="14">
        <f t="shared" si="23"/>
        <v>320.49</v>
      </c>
      <c r="W75" s="14" t="str">
        <f t="shared" si="24"/>
        <v/>
      </c>
      <c r="X75" s="5">
        <v>0</v>
      </c>
      <c r="Y75" s="4"/>
      <c r="Z75" s="4"/>
      <c r="AA75" s="14">
        <f t="shared" si="25"/>
        <v>320.49</v>
      </c>
      <c r="AB75" s="4"/>
      <c r="AC75" s="4"/>
      <c r="AD75" s="14">
        <f t="shared" si="26"/>
        <v>0</v>
      </c>
      <c r="AE75" s="14">
        <f t="shared" si="27"/>
        <v>10683</v>
      </c>
      <c r="AF75" s="14" t="str">
        <f t="shared" si="28"/>
        <v/>
      </c>
      <c r="AG75" s="15">
        <f t="shared" si="29"/>
        <v>10683</v>
      </c>
      <c r="AH75" s="16">
        <v>964647</v>
      </c>
      <c r="AI75" s="17">
        <f t="shared" si="30"/>
        <v>-953964</v>
      </c>
      <c r="AJ75" s="7" t="str">
        <f t="shared" si="33"/>
        <v/>
      </c>
      <c r="AK75" s="7" t="str">
        <f t="shared" si="34"/>
        <v/>
      </c>
      <c r="AL75" s="7">
        <f t="shared" si="35"/>
        <v>1.1729374959691596</v>
      </c>
      <c r="AM75" s="7" t="str">
        <f t="shared" si="36"/>
        <v/>
      </c>
      <c r="AN75" s="4">
        <v>0</v>
      </c>
      <c r="AO75" s="4">
        <v>0</v>
      </c>
      <c r="AP75" s="14">
        <f t="shared" si="31"/>
        <v>964647</v>
      </c>
      <c r="AQ75" s="14">
        <f t="shared" si="32"/>
        <v>964647</v>
      </c>
      <c r="AR75" s="18">
        <v>30535.929999999698</v>
      </c>
      <c r="AS75" s="19">
        <v>23.4</v>
      </c>
      <c r="AT75" s="8">
        <v>14643949.310000001</v>
      </c>
      <c r="AU75" s="8">
        <v>26528.153399999999</v>
      </c>
      <c r="AV75" s="8">
        <v>470.77890000000002</v>
      </c>
      <c r="AW75" s="8"/>
      <c r="AX75" s="9">
        <v>426.85498290635638</v>
      </c>
      <c r="AY75" s="6">
        <f t="shared" si="37"/>
        <v>2.2683994280849735E-2</v>
      </c>
      <c r="AZ75" s="8">
        <v>426954866.1336</v>
      </c>
      <c r="BA75" s="10">
        <v>60480066</v>
      </c>
      <c r="BB75" s="11">
        <v>14643949.310000001</v>
      </c>
      <c r="BC75" s="10">
        <v>2971324</v>
      </c>
      <c r="BD75" s="10">
        <f>1000000000-999847427.5749+0</f>
        <v>152572.42509996891</v>
      </c>
      <c r="BE75" s="12">
        <f t="shared" si="38"/>
        <v>494797222.13130003</v>
      </c>
      <c r="BF75" s="13">
        <v>238</v>
      </c>
      <c r="BG75" s="13">
        <f t="shared" si="39"/>
        <v>256.79722213130003</v>
      </c>
      <c r="BH75" s="14">
        <f>BE75*23.4</f>
        <v>11578254997.872419</v>
      </c>
    </row>
    <row r="76" spans="1:60" x14ac:dyDescent="0.25">
      <c r="A76" s="3">
        <v>45698</v>
      </c>
      <c r="B76" s="4">
        <v>5178632081</v>
      </c>
      <c r="C76" s="4"/>
      <c r="D76" s="5">
        <v>107918816</v>
      </c>
      <c r="E76" s="4"/>
      <c r="N76" s="4"/>
      <c r="O76" s="4"/>
      <c r="P76" s="5">
        <v>11999</v>
      </c>
      <c r="Q76" s="4"/>
      <c r="R76" s="14">
        <f t="shared" si="20"/>
        <v>11999</v>
      </c>
      <c r="S76" s="6">
        <v>0.03</v>
      </c>
      <c r="T76" s="14">
        <f t="shared" si="21"/>
        <v>0</v>
      </c>
      <c r="U76" s="14">
        <f t="shared" si="22"/>
        <v>0</v>
      </c>
      <c r="V76" s="14">
        <f t="shared" si="23"/>
        <v>359.96999999999997</v>
      </c>
      <c r="W76" s="14" t="str">
        <f t="shared" si="24"/>
        <v/>
      </c>
      <c r="X76" s="5">
        <v>0</v>
      </c>
      <c r="Y76" s="4"/>
      <c r="Z76" s="4"/>
      <c r="AA76" s="14">
        <f t="shared" si="25"/>
        <v>359.96999999999997</v>
      </c>
      <c r="AB76" s="4"/>
      <c r="AC76" s="4"/>
      <c r="AD76" s="14">
        <f t="shared" si="26"/>
        <v>0</v>
      </c>
      <c r="AE76" s="14">
        <f t="shared" si="27"/>
        <v>11999</v>
      </c>
      <c r="AF76" s="14" t="str">
        <f t="shared" si="28"/>
        <v/>
      </c>
      <c r="AG76" s="15">
        <f t="shared" si="29"/>
        <v>11999</v>
      </c>
      <c r="AH76" s="16">
        <v>1101082</v>
      </c>
      <c r="AI76" s="17">
        <f t="shared" si="30"/>
        <v>-1089083</v>
      </c>
      <c r="AJ76" s="7" t="str">
        <f t="shared" si="33"/>
        <v/>
      </c>
      <c r="AK76" s="7" t="str">
        <f t="shared" si="34"/>
        <v/>
      </c>
      <c r="AL76" s="7">
        <f t="shared" si="35"/>
        <v>1.1118543035164508</v>
      </c>
      <c r="AM76" s="7" t="str">
        <f t="shared" si="36"/>
        <v/>
      </c>
      <c r="AN76" s="4">
        <v>0</v>
      </c>
      <c r="AO76" s="4">
        <v>0</v>
      </c>
      <c r="AP76" s="14">
        <f t="shared" si="31"/>
        <v>1101082</v>
      </c>
      <c r="AQ76" s="14">
        <f t="shared" si="32"/>
        <v>1101082</v>
      </c>
      <c r="AR76" s="18">
        <v>55150.029999999329</v>
      </c>
      <c r="AS76" s="19">
        <v>22.98</v>
      </c>
      <c r="AT76" s="8">
        <v>14699099.34</v>
      </c>
      <c r="AU76" s="8">
        <v>26525.198799999998</v>
      </c>
      <c r="AV76" s="8">
        <v>358.15929999999997</v>
      </c>
      <c r="AW76" s="8"/>
      <c r="AX76" s="9">
        <v>426.91150508268839</v>
      </c>
      <c r="AY76" s="6">
        <f t="shared" si="37"/>
        <v>2.2678464849816483E-2</v>
      </c>
      <c r="AZ76" s="8">
        <v>426928340.93470001</v>
      </c>
      <c r="BA76" s="10">
        <v>60480066</v>
      </c>
      <c r="BB76" s="11">
        <v>14699099.34</v>
      </c>
      <c r="BC76" s="10">
        <v>2971324</v>
      </c>
      <c r="BD76" s="10">
        <f>1000000000-999847069.4156+0</f>
        <v>152930.58440005779</v>
      </c>
      <c r="BE76" s="12">
        <f t="shared" si="38"/>
        <v>494768239.14089996</v>
      </c>
      <c r="BF76" s="13">
        <v>238</v>
      </c>
      <c r="BG76" s="13">
        <f t="shared" si="39"/>
        <v>256.76823914089994</v>
      </c>
      <c r="BH76" s="14">
        <f>BE76*22.98</f>
        <v>11369774135.457882</v>
      </c>
    </row>
    <row r="77" spans="1:60" x14ac:dyDescent="0.25">
      <c r="A77" s="3">
        <v>45699</v>
      </c>
      <c r="B77" s="4">
        <v>6593863803</v>
      </c>
      <c r="C77" s="4"/>
      <c r="D77" s="5">
        <v>142810624</v>
      </c>
      <c r="E77" s="4"/>
      <c r="N77" s="4"/>
      <c r="O77" s="4"/>
      <c r="P77" s="5">
        <v>15656</v>
      </c>
      <c r="Q77" s="4"/>
      <c r="R77" s="14">
        <f t="shared" si="20"/>
        <v>15656</v>
      </c>
      <c r="S77" s="6">
        <v>0.03</v>
      </c>
      <c r="T77" s="14">
        <f t="shared" si="21"/>
        <v>0</v>
      </c>
      <c r="U77" s="14">
        <f t="shared" si="22"/>
        <v>0</v>
      </c>
      <c r="V77" s="14">
        <f t="shared" si="23"/>
        <v>469.68</v>
      </c>
      <c r="W77" s="14" t="str">
        <f t="shared" si="24"/>
        <v/>
      </c>
      <c r="X77" s="5">
        <v>0</v>
      </c>
      <c r="Y77" s="4"/>
      <c r="Z77" s="4"/>
      <c r="AA77" s="14">
        <f t="shared" si="25"/>
        <v>469.68</v>
      </c>
      <c r="AB77" s="4"/>
      <c r="AC77" s="4"/>
      <c r="AD77" s="14">
        <f t="shared" si="26"/>
        <v>0</v>
      </c>
      <c r="AE77" s="14">
        <f t="shared" si="27"/>
        <v>15656</v>
      </c>
      <c r="AF77" s="14" t="str">
        <f t="shared" si="28"/>
        <v/>
      </c>
      <c r="AG77" s="15">
        <f t="shared" si="29"/>
        <v>15656</v>
      </c>
      <c r="AH77" s="16">
        <v>1507923</v>
      </c>
      <c r="AI77" s="17">
        <f t="shared" si="30"/>
        <v>-1492267</v>
      </c>
      <c r="AJ77" s="7" t="str">
        <f t="shared" si="33"/>
        <v/>
      </c>
      <c r="AK77" s="7" t="str">
        <f t="shared" si="34"/>
        <v/>
      </c>
      <c r="AL77" s="7">
        <f t="shared" si="35"/>
        <v>1.0962769828664847</v>
      </c>
      <c r="AM77" s="7" t="str">
        <f t="shared" si="36"/>
        <v/>
      </c>
      <c r="AN77" s="4">
        <v>0</v>
      </c>
      <c r="AO77" s="4">
        <v>0</v>
      </c>
      <c r="AP77" s="14">
        <f t="shared" si="31"/>
        <v>1507923</v>
      </c>
      <c r="AQ77" s="14">
        <f t="shared" si="32"/>
        <v>1507923</v>
      </c>
      <c r="AR77" s="18">
        <v>43822.300000000752</v>
      </c>
      <c r="AS77" s="19">
        <v>23.32</v>
      </c>
      <c r="AT77" s="8">
        <v>14742921.640000001</v>
      </c>
      <c r="AU77" s="8">
        <v>26523.3197</v>
      </c>
      <c r="AV77" s="8">
        <v>521.89239999999995</v>
      </c>
      <c r="AW77" s="8"/>
      <c r="AX77" s="9">
        <v>426.80891856675629</v>
      </c>
      <c r="AY77" s="6">
        <f t="shared" si="37"/>
        <v>2.268230880228388E-2</v>
      </c>
      <c r="AZ77" s="8">
        <v>426901817.61510003</v>
      </c>
      <c r="BA77" s="10">
        <v>60480066</v>
      </c>
      <c r="BB77" s="11">
        <v>14742921.640000001</v>
      </c>
      <c r="BC77" s="10">
        <v>2971324</v>
      </c>
      <c r="BD77" s="10">
        <f>1000000000-999846547.5232+0</f>
        <v>153452.4767999649</v>
      </c>
      <c r="BE77" s="12">
        <f t="shared" si="38"/>
        <v>494750418.26810002</v>
      </c>
      <c r="BF77" s="13">
        <v>238</v>
      </c>
      <c r="BG77" s="13">
        <f t="shared" si="39"/>
        <v>256.75041826810002</v>
      </c>
      <c r="BH77" s="14">
        <f>BE77*23.32</f>
        <v>11537579754.012093</v>
      </c>
    </row>
    <row r="78" spans="1:60" x14ac:dyDescent="0.25">
      <c r="A78" s="3">
        <v>45700</v>
      </c>
      <c r="B78" s="4">
        <v>7575580366</v>
      </c>
      <c r="C78" s="4"/>
      <c r="D78" s="5">
        <v>122695803</v>
      </c>
      <c r="E78" s="4"/>
      <c r="N78" s="4"/>
      <c r="O78" s="4"/>
      <c r="P78" s="5">
        <v>18209</v>
      </c>
      <c r="Q78" s="4"/>
      <c r="R78" s="14">
        <f t="shared" si="20"/>
        <v>18209</v>
      </c>
      <c r="S78" s="6">
        <v>0.03</v>
      </c>
      <c r="T78" s="14">
        <f t="shared" si="21"/>
        <v>0</v>
      </c>
      <c r="U78" s="14">
        <f t="shared" si="22"/>
        <v>0</v>
      </c>
      <c r="V78" s="14">
        <f t="shared" si="23"/>
        <v>546.27</v>
      </c>
      <c r="W78" s="14" t="str">
        <f t="shared" si="24"/>
        <v/>
      </c>
      <c r="X78" s="5">
        <v>0</v>
      </c>
      <c r="Y78" s="4"/>
      <c r="Z78" s="4"/>
      <c r="AA78" s="14">
        <f t="shared" si="25"/>
        <v>546.27</v>
      </c>
      <c r="AB78" s="4"/>
      <c r="AC78" s="4"/>
      <c r="AD78" s="14">
        <f t="shared" si="26"/>
        <v>0</v>
      </c>
      <c r="AE78" s="14">
        <f t="shared" si="27"/>
        <v>18209</v>
      </c>
      <c r="AF78" s="14" t="str">
        <f t="shared" si="28"/>
        <v/>
      </c>
      <c r="AG78" s="15">
        <f t="shared" si="29"/>
        <v>18209</v>
      </c>
      <c r="AH78" s="16">
        <v>1755146</v>
      </c>
      <c r="AI78" s="17">
        <f t="shared" si="30"/>
        <v>-1736937</v>
      </c>
      <c r="AJ78" s="7" t="str">
        <f t="shared" si="33"/>
        <v/>
      </c>
      <c r="AK78" s="7" t="str">
        <f t="shared" si="34"/>
        <v/>
      </c>
      <c r="AL78" s="7">
        <f t="shared" si="35"/>
        <v>1.4840768432804503</v>
      </c>
      <c r="AM78" s="7" t="str">
        <f t="shared" si="36"/>
        <v/>
      </c>
      <c r="AN78" s="4">
        <v>0</v>
      </c>
      <c r="AO78" s="4">
        <v>0</v>
      </c>
      <c r="AP78" s="14">
        <f t="shared" si="31"/>
        <v>1755146</v>
      </c>
      <c r="AQ78" s="14">
        <f t="shared" si="32"/>
        <v>1755146</v>
      </c>
      <c r="AR78" s="18">
        <v>63989.910000000149</v>
      </c>
      <c r="AS78" s="19">
        <v>23.49</v>
      </c>
      <c r="AT78" s="8">
        <v>14806911.550000001</v>
      </c>
      <c r="AU78" s="8">
        <v>26541.339499999998</v>
      </c>
      <c r="AV78" s="8">
        <v>579.00419999999997</v>
      </c>
      <c r="AW78" s="8"/>
      <c r="AX78" s="9">
        <v>427.89423569488542</v>
      </c>
      <c r="AY78" s="6">
        <f t="shared" si="37"/>
        <v>2.2640148217392294E-2</v>
      </c>
      <c r="AZ78" s="8">
        <v>426875276.27560002</v>
      </c>
      <c r="BA78" s="10">
        <v>60480066</v>
      </c>
      <c r="BB78" s="11">
        <v>14806911.550000001</v>
      </c>
      <c r="BC78" s="10">
        <v>2971324</v>
      </c>
      <c r="BD78" s="10">
        <f>1000000000-999845968.519+0</f>
        <v>154031.48099994659</v>
      </c>
      <c r="BE78" s="12">
        <f t="shared" si="38"/>
        <v>494712390.69340008</v>
      </c>
      <c r="BF78" s="13">
        <v>238</v>
      </c>
      <c r="BG78" s="13">
        <f t="shared" si="39"/>
        <v>256.7123906934001</v>
      </c>
      <c r="BH78" s="14">
        <f>BE78*23.49</f>
        <v>11620794057.387968</v>
      </c>
    </row>
    <row r="79" spans="1:60" x14ac:dyDescent="0.25">
      <c r="A79" s="3">
        <v>45701</v>
      </c>
      <c r="B79" s="4">
        <v>5121162004</v>
      </c>
      <c r="C79" s="4"/>
      <c r="D79" s="5">
        <v>199613305</v>
      </c>
      <c r="E79" s="4"/>
      <c r="N79" s="4"/>
      <c r="O79" s="4"/>
      <c r="P79" s="5">
        <v>18585</v>
      </c>
      <c r="Q79" s="4"/>
      <c r="R79" s="14">
        <f t="shared" si="20"/>
        <v>18585</v>
      </c>
      <c r="S79" s="6">
        <v>0.03</v>
      </c>
      <c r="T79" s="14">
        <f t="shared" si="21"/>
        <v>0</v>
      </c>
      <c r="U79" s="14">
        <f t="shared" si="22"/>
        <v>0</v>
      </c>
      <c r="V79" s="14">
        <f t="shared" si="23"/>
        <v>557.54999999999995</v>
      </c>
      <c r="W79" s="14" t="str">
        <f t="shared" si="24"/>
        <v/>
      </c>
      <c r="X79" s="5">
        <v>0</v>
      </c>
      <c r="Y79" s="4"/>
      <c r="Z79" s="4"/>
      <c r="AA79" s="14">
        <f t="shared" si="25"/>
        <v>557.54999999999995</v>
      </c>
      <c r="AB79" s="4"/>
      <c r="AC79" s="4"/>
      <c r="AD79" s="14">
        <f t="shared" si="26"/>
        <v>0</v>
      </c>
      <c r="AE79" s="14">
        <f t="shared" si="27"/>
        <v>18585</v>
      </c>
      <c r="AF79" s="14" t="str">
        <f t="shared" si="28"/>
        <v/>
      </c>
      <c r="AG79" s="15">
        <f t="shared" si="29"/>
        <v>18585</v>
      </c>
      <c r="AH79" s="16">
        <v>1364454</v>
      </c>
      <c r="AI79" s="17">
        <f t="shared" si="30"/>
        <v>-1345869</v>
      </c>
      <c r="AJ79" s="7" t="str">
        <f t="shared" si="33"/>
        <v/>
      </c>
      <c r="AK79" s="7" t="str">
        <f t="shared" si="34"/>
        <v/>
      </c>
      <c r="AL79" s="7">
        <f t="shared" si="35"/>
        <v>0.93105016221238357</v>
      </c>
      <c r="AM79" s="7" t="str">
        <f t="shared" si="36"/>
        <v/>
      </c>
      <c r="AN79" s="4">
        <v>0</v>
      </c>
      <c r="AO79" s="4">
        <v>0</v>
      </c>
      <c r="AP79" s="14">
        <f t="shared" si="31"/>
        <v>1364454</v>
      </c>
      <c r="AQ79" s="14">
        <f t="shared" si="32"/>
        <v>1364454</v>
      </c>
      <c r="AR79" s="18">
        <v>61012.64999999851</v>
      </c>
      <c r="AS79" s="19">
        <v>25.84</v>
      </c>
      <c r="AT79" s="8">
        <v>14867924.199999999</v>
      </c>
      <c r="AU79" s="8">
        <v>26562.25</v>
      </c>
      <c r="AV79" s="8">
        <v>792.73350000000005</v>
      </c>
      <c r="AW79" s="8"/>
      <c r="AX79" s="9">
        <v>428.77533059465458</v>
      </c>
      <c r="AY79" s="6">
        <f t="shared" si="37"/>
        <v>2.2611425047597802E-2</v>
      </c>
      <c r="AZ79" s="8">
        <v>426848714.02560002</v>
      </c>
      <c r="BA79" s="10">
        <v>60480066</v>
      </c>
      <c r="BB79" s="11">
        <v>14867924.199999999</v>
      </c>
      <c r="BC79" s="10">
        <v>2971324</v>
      </c>
      <c r="BD79" s="10">
        <f>1000000000-999845175.7854+0</f>
        <v>154824.214599967</v>
      </c>
      <c r="BE79" s="12">
        <f t="shared" si="38"/>
        <v>494677147.55980009</v>
      </c>
      <c r="BF79" s="13">
        <v>238</v>
      </c>
      <c r="BG79" s="13">
        <f t="shared" si="39"/>
        <v>256.67714755980006</v>
      </c>
      <c r="BH79" s="14">
        <f>BE79*25.84</f>
        <v>12782457492.945234</v>
      </c>
    </row>
    <row r="80" spans="1:60" x14ac:dyDescent="0.25">
      <c r="A80" s="3">
        <v>45702</v>
      </c>
      <c r="B80" s="4">
        <v>5071294404</v>
      </c>
      <c r="C80" s="4"/>
      <c r="D80" s="5">
        <v>103410352</v>
      </c>
      <c r="E80" s="4"/>
      <c r="N80" s="4"/>
      <c r="O80" s="4"/>
      <c r="P80" s="5">
        <v>25753</v>
      </c>
      <c r="Q80" s="4"/>
      <c r="R80" s="14">
        <f t="shared" si="20"/>
        <v>25753</v>
      </c>
      <c r="S80" s="6">
        <v>0.03</v>
      </c>
      <c r="T80" s="14">
        <f t="shared" si="21"/>
        <v>0</v>
      </c>
      <c r="U80" s="14">
        <f t="shared" si="22"/>
        <v>0</v>
      </c>
      <c r="V80" s="14">
        <f t="shared" si="23"/>
        <v>772.58999999999992</v>
      </c>
      <c r="W80" s="14" t="str">
        <f t="shared" si="24"/>
        <v/>
      </c>
      <c r="X80" s="5">
        <v>0</v>
      </c>
      <c r="Y80" s="4"/>
      <c r="Z80" s="4"/>
      <c r="AA80" s="14">
        <f t="shared" si="25"/>
        <v>772.58999999999992</v>
      </c>
      <c r="AB80" s="4"/>
      <c r="AC80" s="4"/>
      <c r="AD80" s="14">
        <f t="shared" si="26"/>
        <v>0</v>
      </c>
      <c r="AE80" s="14">
        <f t="shared" si="27"/>
        <v>25753</v>
      </c>
      <c r="AF80" s="14" t="str">
        <f t="shared" si="28"/>
        <v/>
      </c>
      <c r="AG80" s="15">
        <f t="shared" si="29"/>
        <v>25753</v>
      </c>
      <c r="AH80" s="16">
        <v>995279</v>
      </c>
      <c r="AI80" s="17">
        <f t="shared" si="30"/>
        <v>-969526</v>
      </c>
      <c r="AJ80" s="7" t="str">
        <f t="shared" si="33"/>
        <v/>
      </c>
      <c r="AK80" s="7" t="str">
        <f t="shared" si="34"/>
        <v/>
      </c>
      <c r="AL80" s="7">
        <f t="shared" si="35"/>
        <v>2.4903696295318678</v>
      </c>
      <c r="AM80" s="7" t="str">
        <f t="shared" si="36"/>
        <v/>
      </c>
      <c r="AN80" s="4">
        <v>0</v>
      </c>
      <c r="AO80" s="4">
        <v>0</v>
      </c>
      <c r="AP80" s="14">
        <f t="shared" si="31"/>
        <v>995279</v>
      </c>
      <c r="AQ80" s="14">
        <f t="shared" si="32"/>
        <v>995279</v>
      </c>
      <c r="AR80" s="18">
        <v>46816.710000000887</v>
      </c>
      <c r="AS80" s="19">
        <v>26.26</v>
      </c>
      <c r="AT80" s="8">
        <v>14914740.91</v>
      </c>
      <c r="AU80" s="8">
        <v>26581.3289</v>
      </c>
      <c r="AV80" s="8">
        <v>591.60680000000002</v>
      </c>
      <c r="AW80" s="8"/>
      <c r="AX80" s="9">
        <v>428.77105570345992</v>
      </c>
      <c r="AY80" s="6">
        <f t="shared" si="37"/>
        <v>2.2627891783838311E-2</v>
      </c>
      <c r="AZ80" s="8">
        <v>426822132.69669998</v>
      </c>
      <c r="BA80" s="10">
        <v>60480066</v>
      </c>
      <c r="BB80" s="11">
        <v>14914740.91</v>
      </c>
      <c r="BC80" s="10">
        <v>2971324</v>
      </c>
      <c r="BD80" s="10">
        <f>1000000000-999844584.1786+0</f>
        <v>155415.82140004635</v>
      </c>
      <c r="BE80" s="12">
        <f t="shared" si="38"/>
        <v>494656320.57189995</v>
      </c>
      <c r="BF80" s="13">
        <v>238</v>
      </c>
      <c r="BG80" s="13">
        <f t="shared" si="39"/>
        <v>256.65632057189993</v>
      </c>
      <c r="BH80" s="14">
        <f>BE80*26.26</f>
        <v>12989674978.218094</v>
      </c>
    </row>
    <row r="81" spans="1:60" x14ac:dyDescent="0.25">
      <c r="A81" s="3">
        <v>45703</v>
      </c>
      <c r="B81" s="4">
        <v>2569566271</v>
      </c>
      <c r="C81" s="4"/>
      <c r="D81" s="5">
        <v>78021652</v>
      </c>
      <c r="E81" s="4"/>
      <c r="N81" s="4"/>
      <c r="O81" s="4"/>
      <c r="P81" s="5">
        <v>17622</v>
      </c>
      <c r="Q81" s="4"/>
      <c r="R81" s="14">
        <f t="shared" si="20"/>
        <v>17622</v>
      </c>
      <c r="S81" s="6">
        <v>0.03</v>
      </c>
      <c r="T81" s="14">
        <f t="shared" si="21"/>
        <v>0</v>
      </c>
      <c r="U81" s="14">
        <f t="shared" si="22"/>
        <v>0</v>
      </c>
      <c r="V81" s="14">
        <f t="shared" si="23"/>
        <v>528.66</v>
      </c>
      <c r="W81" s="14" t="str">
        <f t="shared" si="24"/>
        <v/>
      </c>
      <c r="X81" s="5">
        <v>0</v>
      </c>
      <c r="Y81" s="4"/>
      <c r="Z81" s="4"/>
      <c r="AA81" s="14">
        <f t="shared" si="25"/>
        <v>528.66</v>
      </c>
      <c r="AB81" s="4"/>
      <c r="AC81" s="4"/>
      <c r="AD81" s="14">
        <f t="shared" si="26"/>
        <v>0</v>
      </c>
      <c r="AE81" s="14">
        <f t="shared" si="27"/>
        <v>17622</v>
      </c>
      <c r="AF81" s="14" t="str">
        <f t="shared" si="28"/>
        <v/>
      </c>
      <c r="AG81" s="15">
        <f t="shared" si="29"/>
        <v>17622</v>
      </c>
      <c r="AH81" s="16">
        <v>719690</v>
      </c>
      <c r="AI81" s="17">
        <f t="shared" si="30"/>
        <v>-702068</v>
      </c>
      <c r="AJ81" s="7" t="str">
        <f t="shared" si="33"/>
        <v/>
      </c>
      <c r="AK81" s="7" t="str">
        <f t="shared" si="34"/>
        <v/>
      </c>
      <c r="AL81" s="7">
        <f t="shared" si="35"/>
        <v>2.2586038039799514</v>
      </c>
      <c r="AM81" s="7" t="str">
        <f t="shared" si="36"/>
        <v/>
      </c>
      <c r="AN81" s="4">
        <v>0</v>
      </c>
      <c r="AO81" s="4">
        <v>0</v>
      </c>
      <c r="AP81" s="14">
        <f t="shared" si="31"/>
        <v>719690</v>
      </c>
      <c r="AQ81" s="14">
        <f t="shared" si="32"/>
        <v>719690</v>
      </c>
      <c r="AR81" s="18">
        <v>50322.140000000603</v>
      </c>
      <c r="AS81" s="19">
        <v>26.2</v>
      </c>
      <c r="AT81" s="8">
        <v>14965063.050000001</v>
      </c>
      <c r="AU81" s="8">
        <v>26587.2677</v>
      </c>
      <c r="AV81" s="8">
        <v>978.12969999999996</v>
      </c>
      <c r="AW81" s="8"/>
      <c r="AX81" s="9">
        <v>429.01678376487541</v>
      </c>
      <c r="AY81" s="6">
        <f t="shared" si="37"/>
        <v>2.2619983827529028E-2</v>
      </c>
      <c r="AZ81" s="8">
        <v>426795545.42900002</v>
      </c>
      <c r="BA81" s="10">
        <v>60480066</v>
      </c>
      <c r="BB81" s="11">
        <v>14965063.050000001</v>
      </c>
      <c r="BC81" s="10">
        <v>2971324</v>
      </c>
      <c r="BD81" s="10">
        <f>1000000000-999843606.0489+0</f>
        <v>156393.9510999918</v>
      </c>
      <c r="BE81" s="12">
        <f t="shared" si="38"/>
        <v>494631607.56989998</v>
      </c>
      <c r="BF81" s="13">
        <v>238</v>
      </c>
      <c r="BG81" s="13">
        <f t="shared" si="39"/>
        <v>256.63160756989998</v>
      </c>
      <c r="BH81" s="14">
        <f>BE81*26.2</f>
        <v>12959348118.331379</v>
      </c>
    </row>
    <row r="82" spans="1:60" x14ac:dyDescent="0.25">
      <c r="A82" s="3">
        <v>45704</v>
      </c>
      <c r="B82" s="4">
        <v>2576463335</v>
      </c>
      <c r="C82" s="4"/>
      <c r="D82" s="5">
        <v>120737014</v>
      </c>
      <c r="E82" s="4"/>
      <c r="N82" s="4"/>
      <c r="O82" s="4"/>
      <c r="P82" s="5">
        <v>8856</v>
      </c>
      <c r="Q82" s="4"/>
      <c r="R82" s="14">
        <f t="shared" si="20"/>
        <v>8856</v>
      </c>
      <c r="S82" s="6">
        <v>0.03</v>
      </c>
      <c r="T82" s="14">
        <f t="shared" si="21"/>
        <v>0</v>
      </c>
      <c r="U82" s="14">
        <f t="shared" si="22"/>
        <v>0</v>
      </c>
      <c r="V82" s="14">
        <f t="shared" si="23"/>
        <v>265.68</v>
      </c>
      <c r="W82" s="14" t="str">
        <f t="shared" si="24"/>
        <v/>
      </c>
      <c r="X82" s="5">
        <v>0</v>
      </c>
      <c r="Y82" s="4"/>
      <c r="Z82" s="4"/>
      <c r="AA82" s="14">
        <f t="shared" si="25"/>
        <v>265.68</v>
      </c>
      <c r="AB82" s="4"/>
      <c r="AC82" s="4"/>
      <c r="AD82" s="14">
        <f t="shared" si="26"/>
        <v>0</v>
      </c>
      <c r="AE82" s="14">
        <f t="shared" si="27"/>
        <v>8856</v>
      </c>
      <c r="AF82" s="14" t="str">
        <f t="shared" si="28"/>
        <v/>
      </c>
      <c r="AG82" s="15">
        <f t="shared" si="29"/>
        <v>8856</v>
      </c>
      <c r="AH82" s="16">
        <v>590017</v>
      </c>
      <c r="AI82" s="17">
        <f t="shared" si="30"/>
        <v>-581161</v>
      </c>
      <c r="AJ82" s="7" t="str">
        <f t="shared" si="33"/>
        <v/>
      </c>
      <c r="AK82" s="7" t="str">
        <f t="shared" si="34"/>
        <v/>
      </c>
      <c r="AL82" s="7">
        <f t="shared" si="35"/>
        <v>0.7334950324347097</v>
      </c>
      <c r="AM82" s="7" t="str">
        <f t="shared" si="36"/>
        <v/>
      </c>
      <c r="AN82" s="4">
        <v>0</v>
      </c>
      <c r="AO82" s="4">
        <v>0</v>
      </c>
      <c r="AP82" s="14">
        <f t="shared" si="31"/>
        <v>590017</v>
      </c>
      <c r="AQ82" s="14">
        <f t="shared" si="32"/>
        <v>590017</v>
      </c>
      <c r="AR82" s="18">
        <v>22361.349999999631</v>
      </c>
      <c r="AS82" s="19">
        <v>25.72</v>
      </c>
      <c r="AT82" s="8">
        <v>14987424.4</v>
      </c>
      <c r="AU82" s="8">
        <v>26607.020499999999</v>
      </c>
      <c r="AV82" s="8">
        <v>420.73700000000002</v>
      </c>
      <c r="AW82" s="8"/>
      <c r="AX82" s="9">
        <v>430.11067615681912</v>
      </c>
      <c r="AY82" s="6">
        <f t="shared" si="37"/>
        <v>2.2579217445323648E-2</v>
      </c>
      <c r="AZ82" s="8">
        <v>426768938.40850002</v>
      </c>
      <c r="BA82" s="10">
        <v>60480066</v>
      </c>
      <c r="BB82" s="11">
        <v>14987424.4</v>
      </c>
      <c r="BC82" s="10">
        <v>2971324</v>
      </c>
      <c r="BD82" s="10">
        <f>1000000000-999843185.3119+0</f>
        <v>156814.68809998035</v>
      </c>
      <c r="BE82" s="12">
        <f t="shared" si="38"/>
        <v>494635432.50340009</v>
      </c>
      <c r="BF82" s="13">
        <v>238</v>
      </c>
      <c r="BG82" s="13">
        <f t="shared" si="39"/>
        <v>256.63543250340007</v>
      </c>
      <c r="BH82" s="14">
        <f>BE82*25.72</f>
        <v>12722023323.98745</v>
      </c>
    </row>
    <row r="83" spans="1:60" x14ac:dyDescent="0.25">
      <c r="A83" s="3">
        <v>45705</v>
      </c>
      <c r="B83" s="4">
        <v>5049366131</v>
      </c>
      <c r="C83" s="4"/>
      <c r="D83" s="5">
        <v>360271474</v>
      </c>
      <c r="E83" s="4"/>
      <c r="N83" s="4"/>
      <c r="O83" s="4"/>
      <c r="P83" s="5">
        <v>18954</v>
      </c>
      <c r="Q83" s="4"/>
      <c r="R83" s="14">
        <f t="shared" si="20"/>
        <v>18954</v>
      </c>
      <c r="S83" s="6">
        <v>0.03</v>
      </c>
      <c r="T83" s="14">
        <f t="shared" si="21"/>
        <v>0</v>
      </c>
      <c r="U83" s="14">
        <f t="shared" si="22"/>
        <v>0</v>
      </c>
      <c r="V83" s="14">
        <f t="shared" si="23"/>
        <v>568.62</v>
      </c>
      <c r="W83" s="14" t="str">
        <f t="shared" si="24"/>
        <v/>
      </c>
      <c r="X83" s="5">
        <v>0</v>
      </c>
      <c r="Y83" s="4"/>
      <c r="Z83" s="4"/>
      <c r="AA83" s="14">
        <f t="shared" si="25"/>
        <v>568.62</v>
      </c>
      <c r="AB83" s="4"/>
      <c r="AC83" s="4"/>
      <c r="AD83" s="14">
        <f t="shared" si="26"/>
        <v>0</v>
      </c>
      <c r="AE83" s="14">
        <f t="shared" si="27"/>
        <v>18954</v>
      </c>
      <c r="AF83" s="14" t="str">
        <f t="shared" si="28"/>
        <v/>
      </c>
      <c r="AG83" s="15">
        <f t="shared" si="29"/>
        <v>18954</v>
      </c>
      <c r="AH83" s="16">
        <v>1284898</v>
      </c>
      <c r="AI83" s="17">
        <f t="shared" si="30"/>
        <v>-1265944</v>
      </c>
      <c r="AJ83" s="7" t="str">
        <f t="shared" si="33"/>
        <v/>
      </c>
      <c r="AK83" s="7" t="str">
        <f t="shared" si="34"/>
        <v/>
      </c>
      <c r="AL83" s="7">
        <f t="shared" si="35"/>
        <v>0.52610326844805921</v>
      </c>
      <c r="AM83" s="7" t="str">
        <f t="shared" si="36"/>
        <v/>
      </c>
      <c r="AN83" s="4">
        <v>0</v>
      </c>
      <c r="AO83" s="4">
        <v>0</v>
      </c>
      <c r="AP83" s="14">
        <f t="shared" si="31"/>
        <v>1284898</v>
      </c>
      <c r="AQ83" s="14">
        <f t="shared" si="32"/>
        <v>1284898</v>
      </c>
      <c r="AR83" s="18">
        <v>30930.400000000369</v>
      </c>
      <c r="AS83" s="19">
        <v>26.8</v>
      </c>
      <c r="AT83" s="8">
        <v>15018354.800000001</v>
      </c>
      <c r="AU83" s="8">
        <v>26613.698799999998</v>
      </c>
      <c r="AV83" s="8">
        <v>311.44589999999999</v>
      </c>
      <c r="AW83" s="8"/>
      <c r="AX83" s="9">
        <v>429.38030873602321</v>
      </c>
      <c r="AY83" s="6">
        <f t="shared" si="37"/>
        <v>2.2623301218901555E-2</v>
      </c>
      <c r="AZ83" s="8">
        <v>426742324.70969999</v>
      </c>
      <c r="BA83" s="10">
        <v>60480066</v>
      </c>
      <c r="BB83" s="11">
        <v>15018354.800000001</v>
      </c>
      <c r="BC83" s="10">
        <v>2971324</v>
      </c>
      <c r="BD83" s="10">
        <f>1000000000-999842873.8661+0</f>
        <v>157126.13390004635</v>
      </c>
      <c r="BE83" s="12">
        <f t="shared" si="38"/>
        <v>494630804.35639995</v>
      </c>
      <c r="BF83" s="13">
        <v>238</v>
      </c>
      <c r="BG83" s="13">
        <f t="shared" si="39"/>
        <v>256.63080435639995</v>
      </c>
      <c r="BH83" s="14">
        <f>BE83*26.8</f>
        <v>13256105556.751518</v>
      </c>
    </row>
    <row r="84" spans="1:60" x14ac:dyDescent="0.25">
      <c r="A84" s="3">
        <v>45706</v>
      </c>
      <c r="B84" s="4">
        <v>6787245918</v>
      </c>
      <c r="C84" s="4"/>
      <c r="D84" s="5">
        <v>146705782</v>
      </c>
      <c r="E84" s="4"/>
      <c r="N84" s="4"/>
      <c r="O84" s="4"/>
      <c r="P84" s="5">
        <v>55805</v>
      </c>
      <c r="Q84" s="4"/>
      <c r="R84" s="14">
        <f t="shared" si="20"/>
        <v>55805</v>
      </c>
      <c r="S84" s="6">
        <v>0.03</v>
      </c>
      <c r="T84" s="14">
        <f t="shared" si="21"/>
        <v>0</v>
      </c>
      <c r="U84" s="14">
        <f t="shared" si="22"/>
        <v>0</v>
      </c>
      <c r="V84" s="14">
        <f t="shared" si="23"/>
        <v>1674.1499999999999</v>
      </c>
      <c r="W84" s="14" t="str">
        <f t="shared" si="24"/>
        <v/>
      </c>
      <c r="X84" s="5">
        <v>0</v>
      </c>
      <c r="Y84" s="4"/>
      <c r="Z84" s="4"/>
      <c r="AA84" s="14">
        <f t="shared" si="25"/>
        <v>1674.1499999999999</v>
      </c>
      <c r="AB84" s="4"/>
      <c r="AC84" s="4"/>
      <c r="AD84" s="14">
        <f t="shared" si="26"/>
        <v>0</v>
      </c>
      <c r="AE84" s="14">
        <f t="shared" si="27"/>
        <v>55805</v>
      </c>
      <c r="AF84" s="14" t="str">
        <f t="shared" si="28"/>
        <v/>
      </c>
      <c r="AG84" s="15">
        <f t="shared" si="29"/>
        <v>55805</v>
      </c>
      <c r="AH84" s="16">
        <v>1600692</v>
      </c>
      <c r="AI84" s="17">
        <f t="shared" si="30"/>
        <v>-1544887</v>
      </c>
      <c r="AJ84" s="7" t="str">
        <f t="shared" si="33"/>
        <v/>
      </c>
      <c r="AK84" s="7" t="str">
        <f t="shared" si="34"/>
        <v/>
      </c>
      <c r="AL84" s="7">
        <f t="shared" si="35"/>
        <v>3.8038718882940827</v>
      </c>
      <c r="AM84" s="7" t="str">
        <f t="shared" si="36"/>
        <v/>
      </c>
      <c r="AN84" s="4">
        <v>0</v>
      </c>
      <c r="AO84" s="4">
        <v>0</v>
      </c>
      <c r="AP84" s="14">
        <f t="shared" si="31"/>
        <v>1600692</v>
      </c>
      <c r="AQ84" s="14">
        <f t="shared" si="32"/>
        <v>1600692</v>
      </c>
      <c r="AR84" s="18">
        <v>56574.910000000149</v>
      </c>
      <c r="AS84" s="19">
        <v>25.38</v>
      </c>
      <c r="AT84" s="8">
        <v>15074929.710000001</v>
      </c>
      <c r="AU84" s="8">
        <v>26591.793000000001</v>
      </c>
      <c r="AV84" s="8">
        <v>491.19389999999999</v>
      </c>
      <c r="AW84" s="8"/>
      <c r="AX84" s="9">
        <v>429.55342455820278</v>
      </c>
      <c r="AY84" s="6">
        <f t="shared" si="37"/>
        <v>2.2595569934013817E-2</v>
      </c>
      <c r="AZ84" s="8">
        <v>426715732.91670001</v>
      </c>
      <c r="BA84" s="10">
        <v>60480066</v>
      </c>
      <c r="BB84" s="11">
        <v>15074929.710000001</v>
      </c>
      <c r="BC84" s="10">
        <v>2971324</v>
      </c>
      <c r="BD84" s="10">
        <f>1000000000-999842382.6722+0</f>
        <v>157617.32780003548</v>
      </c>
      <c r="BE84" s="12">
        <f t="shared" si="38"/>
        <v>494600330.04549998</v>
      </c>
      <c r="BF84" s="13">
        <v>238</v>
      </c>
      <c r="BG84" s="13">
        <f t="shared" si="39"/>
        <v>256.60033004549996</v>
      </c>
      <c r="BH84" s="14">
        <f>BE84*25.38</f>
        <v>12552956376.554789</v>
      </c>
    </row>
    <row r="85" spans="1:60" x14ac:dyDescent="0.25">
      <c r="A85" s="3">
        <v>45707</v>
      </c>
      <c r="B85" s="4">
        <v>3901859791</v>
      </c>
      <c r="C85" s="4"/>
      <c r="D85" s="5">
        <v>136622361</v>
      </c>
      <c r="E85" s="4"/>
      <c r="N85" s="4"/>
      <c r="O85" s="4"/>
      <c r="P85" s="5">
        <v>22056</v>
      </c>
      <c r="Q85" s="4"/>
      <c r="R85" s="14">
        <f t="shared" si="20"/>
        <v>22056</v>
      </c>
      <c r="S85" s="6">
        <v>0.03</v>
      </c>
      <c r="T85" s="14">
        <f t="shared" si="21"/>
        <v>0</v>
      </c>
      <c r="U85" s="14">
        <f t="shared" si="22"/>
        <v>0</v>
      </c>
      <c r="V85" s="14">
        <f t="shared" si="23"/>
        <v>661.68</v>
      </c>
      <c r="W85" s="14" t="str">
        <f t="shared" si="24"/>
        <v/>
      </c>
      <c r="X85" s="5">
        <v>0</v>
      </c>
      <c r="Y85" s="4"/>
      <c r="Z85" s="4"/>
      <c r="AA85" s="14">
        <f t="shared" si="25"/>
        <v>661.68</v>
      </c>
      <c r="AB85" s="4"/>
      <c r="AC85" s="4"/>
      <c r="AD85" s="14">
        <f t="shared" si="26"/>
        <v>0</v>
      </c>
      <c r="AE85" s="14">
        <f t="shared" si="27"/>
        <v>22056</v>
      </c>
      <c r="AF85" s="14" t="str">
        <f t="shared" si="28"/>
        <v/>
      </c>
      <c r="AG85" s="15">
        <f t="shared" si="29"/>
        <v>22056</v>
      </c>
      <c r="AH85" s="16">
        <v>979405</v>
      </c>
      <c r="AI85" s="17">
        <f t="shared" si="30"/>
        <v>-957349</v>
      </c>
      <c r="AJ85" s="7" t="str">
        <f t="shared" si="33"/>
        <v/>
      </c>
      <c r="AK85" s="7" t="str">
        <f t="shared" si="34"/>
        <v/>
      </c>
      <c r="AL85" s="7">
        <f t="shared" si="35"/>
        <v>1.6143770198789054</v>
      </c>
      <c r="AM85" s="7" t="str">
        <f t="shared" si="36"/>
        <v/>
      </c>
      <c r="AN85" s="4">
        <v>0</v>
      </c>
      <c r="AO85" s="4">
        <v>0</v>
      </c>
      <c r="AP85" s="14">
        <f t="shared" si="31"/>
        <v>979405</v>
      </c>
      <c r="AQ85" s="14">
        <f t="shared" si="32"/>
        <v>979405</v>
      </c>
      <c r="AR85" s="18">
        <v>55665.709999999031</v>
      </c>
      <c r="AS85" s="19">
        <v>24.08</v>
      </c>
      <c r="AT85" s="8">
        <v>15130595.42</v>
      </c>
      <c r="AU85" s="8">
        <v>26568.731199999998</v>
      </c>
      <c r="AV85" s="8">
        <v>1766.3576</v>
      </c>
      <c r="AW85" s="8"/>
      <c r="AX85" s="9">
        <v>428.4481748632515</v>
      </c>
      <c r="AY85" s="6">
        <f t="shared" si="37"/>
        <v>2.2634212156686616E-2</v>
      </c>
      <c r="AZ85" s="8">
        <v>426689164.18550003</v>
      </c>
      <c r="BA85" s="10">
        <v>60480066</v>
      </c>
      <c r="BB85" s="11">
        <v>15130595.42</v>
      </c>
      <c r="BC85" s="10">
        <v>2971324</v>
      </c>
      <c r="BD85" s="10">
        <f>1000000000-999840616.3146+0</f>
        <v>159383.68540000916</v>
      </c>
      <c r="BE85" s="12">
        <f t="shared" si="38"/>
        <v>494569466.70909995</v>
      </c>
      <c r="BF85" s="13">
        <v>238</v>
      </c>
      <c r="BG85" s="13">
        <f t="shared" si="39"/>
        <v>256.56946670909997</v>
      </c>
      <c r="BH85" s="14">
        <f>BE85*24.08</f>
        <v>11909232758.355125</v>
      </c>
    </row>
    <row r="86" spans="1:60" x14ac:dyDescent="0.25">
      <c r="A86" s="3">
        <v>45708</v>
      </c>
      <c r="B86" s="4">
        <v>5037378691</v>
      </c>
      <c r="C86" s="4"/>
      <c r="D86" s="5">
        <v>206747279</v>
      </c>
      <c r="E86" s="4"/>
      <c r="N86" s="4"/>
      <c r="O86" s="4"/>
      <c r="P86" s="5">
        <v>20113</v>
      </c>
      <c r="Q86" s="4"/>
      <c r="R86" s="14">
        <f t="shared" si="20"/>
        <v>20113</v>
      </c>
      <c r="S86" s="6">
        <v>0.03</v>
      </c>
      <c r="T86" s="14">
        <f t="shared" si="21"/>
        <v>0</v>
      </c>
      <c r="U86" s="14">
        <f t="shared" si="22"/>
        <v>0</v>
      </c>
      <c r="V86" s="14">
        <f t="shared" si="23"/>
        <v>603.39</v>
      </c>
      <c r="W86" s="14" t="str">
        <f t="shared" si="24"/>
        <v/>
      </c>
      <c r="X86" s="5">
        <v>0</v>
      </c>
      <c r="Y86" s="4"/>
      <c r="Z86" s="4"/>
      <c r="AA86" s="14">
        <f t="shared" si="25"/>
        <v>603.39</v>
      </c>
      <c r="AB86" s="4"/>
      <c r="AC86" s="4"/>
      <c r="AD86" s="14">
        <f t="shared" si="26"/>
        <v>0</v>
      </c>
      <c r="AE86" s="14">
        <f t="shared" si="27"/>
        <v>20113</v>
      </c>
      <c r="AF86" s="14" t="str">
        <f t="shared" si="28"/>
        <v/>
      </c>
      <c r="AG86" s="15">
        <f t="shared" si="29"/>
        <v>20113</v>
      </c>
      <c r="AH86" s="16">
        <v>1159166</v>
      </c>
      <c r="AI86" s="17">
        <f t="shared" si="30"/>
        <v>-1139053</v>
      </c>
      <c r="AJ86" s="7" t="str">
        <f t="shared" si="33"/>
        <v/>
      </c>
      <c r="AK86" s="7" t="str">
        <f t="shared" si="34"/>
        <v/>
      </c>
      <c r="AL86" s="7">
        <f t="shared" si="35"/>
        <v>0.97283021557928218</v>
      </c>
      <c r="AM86" s="7" t="str">
        <f t="shared" si="36"/>
        <v/>
      </c>
      <c r="AN86" s="4">
        <v>0</v>
      </c>
      <c r="AO86" s="4">
        <v>0</v>
      </c>
      <c r="AP86" s="14">
        <f t="shared" si="31"/>
        <v>1159166</v>
      </c>
      <c r="AQ86" s="14">
        <f t="shared" si="32"/>
        <v>1159166</v>
      </c>
      <c r="AR86" s="18">
        <v>42610.070000000298</v>
      </c>
      <c r="AS86" s="19">
        <v>24.06</v>
      </c>
      <c r="AT86" s="8">
        <v>15173205.49</v>
      </c>
      <c r="AU86" s="8">
        <v>26580.8603</v>
      </c>
      <c r="AV86" s="8">
        <v>672.54679999999996</v>
      </c>
      <c r="AW86" s="8"/>
      <c r="AX86" s="9">
        <v>427.90059304654687</v>
      </c>
      <c r="AY86" s="6">
        <f t="shared" si="37"/>
        <v>2.2673523166733774E-2</v>
      </c>
      <c r="AZ86" s="8">
        <v>426662583.32520002</v>
      </c>
      <c r="BA86" s="10">
        <v>60480066</v>
      </c>
      <c r="BB86" s="11">
        <v>15173205.49</v>
      </c>
      <c r="BC86" s="10">
        <v>2971324</v>
      </c>
      <c r="BD86" s="10">
        <f>1000000000-999839943.7678+0</f>
        <v>160056.23220002651</v>
      </c>
      <c r="BE86" s="12">
        <f t="shared" si="38"/>
        <v>494552764.95259988</v>
      </c>
      <c r="BF86" s="13">
        <v>238</v>
      </c>
      <c r="BG86" s="13">
        <f t="shared" si="39"/>
        <v>256.55276495259989</v>
      </c>
      <c r="BH86" s="14">
        <f>BE86*24.06</f>
        <v>11898939524.759552</v>
      </c>
    </row>
    <row r="87" spans="1:60" x14ac:dyDescent="0.25">
      <c r="A87" s="3">
        <v>45709</v>
      </c>
      <c r="B87" s="4">
        <v>10385529202</v>
      </c>
      <c r="C87" s="4"/>
      <c r="D87" s="5">
        <v>71766053</v>
      </c>
      <c r="E87" s="4"/>
      <c r="N87" s="4"/>
      <c r="O87" s="4"/>
      <c r="P87" s="5">
        <v>27835</v>
      </c>
      <c r="Q87" s="4"/>
      <c r="R87" s="14">
        <f t="shared" si="20"/>
        <v>27835</v>
      </c>
      <c r="S87" s="6">
        <v>0.03</v>
      </c>
      <c r="T87" s="14">
        <f t="shared" si="21"/>
        <v>0</v>
      </c>
      <c r="U87" s="14">
        <f t="shared" si="22"/>
        <v>0</v>
      </c>
      <c r="V87" s="14">
        <f t="shared" si="23"/>
        <v>835.05</v>
      </c>
      <c r="W87" s="14" t="str">
        <f t="shared" si="24"/>
        <v/>
      </c>
      <c r="X87" s="5">
        <v>0</v>
      </c>
      <c r="Y87" s="4"/>
      <c r="Z87" s="4"/>
      <c r="AA87" s="14">
        <f t="shared" si="25"/>
        <v>835.05</v>
      </c>
      <c r="AB87" s="4"/>
      <c r="AC87" s="4"/>
      <c r="AD87" s="14">
        <f t="shared" si="26"/>
        <v>0</v>
      </c>
      <c r="AE87" s="14">
        <f t="shared" si="27"/>
        <v>27835</v>
      </c>
      <c r="AF87" s="14" t="str">
        <f t="shared" si="28"/>
        <v/>
      </c>
      <c r="AG87" s="15">
        <f t="shared" si="29"/>
        <v>27835</v>
      </c>
      <c r="AH87" s="16">
        <v>2316528</v>
      </c>
      <c r="AI87" s="17">
        <f t="shared" si="30"/>
        <v>-2288693</v>
      </c>
      <c r="AJ87" s="7" t="str">
        <f t="shared" si="33"/>
        <v/>
      </c>
      <c r="AK87" s="7" t="str">
        <f t="shared" si="34"/>
        <v/>
      </c>
      <c r="AL87" s="7">
        <f t="shared" si="35"/>
        <v>3.8785747350491744</v>
      </c>
      <c r="AM87" s="7" t="str">
        <f t="shared" si="36"/>
        <v/>
      </c>
      <c r="AN87" s="4">
        <v>0</v>
      </c>
      <c r="AO87" s="4">
        <v>0</v>
      </c>
      <c r="AP87" s="14">
        <f t="shared" si="31"/>
        <v>2316528</v>
      </c>
      <c r="AQ87" s="14">
        <f t="shared" si="32"/>
        <v>2316528</v>
      </c>
      <c r="AR87" s="18">
        <v>53987.019999999553</v>
      </c>
      <c r="AS87" s="19">
        <v>24.45</v>
      </c>
      <c r="AT87" s="8">
        <v>15227192.51</v>
      </c>
      <c r="AU87" s="8">
        <v>26551.304100000001</v>
      </c>
      <c r="AV87" s="8">
        <v>563.12620000000004</v>
      </c>
      <c r="AW87" s="8"/>
      <c r="AX87" s="9">
        <v>427.61212693924728</v>
      </c>
      <c r="AY87" s="6">
        <f t="shared" si="37"/>
        <v>2.2663590169595158E-2</v>
      </c>
      <c r="AZ87" s="8">
        <v>426636032.02109998</v>
      </c>
      <c r="BA87" s="10">
        <v>60480066</v>
      </c>
      <c r="BB87" s="11">
        <v>15227192.51</v>
      </c>
      <c r="BC87" s="10">
        <v>2971324</v>
      </c>
      <c r="BD87" s="10">
        <f>1000000000-999839380.6415+0</f>
        <v>160619.35850000381</v>
      </c>
      <c r="BE87" s="12">
        <f t="shared" si="38"/>
        <v>494524766.11039996</v>
      </c>
      <c r="BF87" s="13">
        <v>238</v>
      </c>
      <c r="BG87" s="13">
        <f t="shared" si="39"/>
        <v>256.52476611039998</v>
      </c>
      <c r="BH87" s="14">
        <f>BE87*24.45</f>
        <v>12091130531.399279</v>
      </c>
    </row>
    <row r="88" spans="1:60" x14ac:dyDescent="0.25">
      <c r="A88" s="3">
        <v>45710</v>
      </c>
      <c r="B88" s="4">
        <v>3022212830</v>
      </c>
      <c r="C88" s="4"/>
      <c r="D88" s="5">
        <v>87664629</v>
      </c>
      <c r="E88" s="4"/>
      <c r="N88" s="4"/>
      <c r="O88" s="4"/>
      <c r="P88" s="5">
        <v>12423</v>
      </c>
      <c r="Q88" s="4"/>
      <c r="R88" s="14">
        <f t="shared" si="20"/>
        <v>12423</v>
      </c>
      <c r="S88" s="6">
        <v>0.03</v>
      </c>
      <c r="T88" s="14">
        <f t="shared" si="21"/>
        <v>0</v>
      </c>
      <c r="U88" s="14">
        <f t="shared" si="22"/>
        <v>0</v>
      </c>
      <c r="V88" s="14">
        <f t="shared" si="23"/>
        <v>372.69</v>
      </c>
      <c r="W88" s="14" t="str">
        <f t="shared" si="24"/>
        <v/>
      </c>
      <c r="X88" s="5">
        <v>0</v>
      </c>
      <c r="Y88" s="4"/>
      <c r="Z88" s="4"/>
      <c r="AA88" s="14">
        <f t="shared" si="25"/>
        <v>372.69</v>
      </c>
      <c r="AB88" s="4"/>
      <c r="AC88" s="4"/>
      <c r="AD88" s="14">
        <f t="shared" si="26"/>
        <v>0</v>
      </c>
      <c r="AE88" s="14">
        <f t="shared" si="27"/>
        <v>12423</v>
      </c>
      <c r="AF88" s="14" t="str">
        <f t="shared" si="28"/>
        <v/>
      </c>
      <c r="AG88" s="15">
        <f t="shared" si="29"/>
        <v>12423</v>
      </c>
      <c r="AH88" s="16">
        <v>871664</v>
      </c>
      <c r="AI88" s="17">
        <f t="shared" si="30"/>
        <v>-859241</v>
      </c>
      <c r="AJ88" s="7" t="str">
        <f t="shared" si="33"/>
        <v/>
      </c>
      <c r="AK88" s="7" t="str">
        <f t="shared" si="34"/>
        <v/>
      </c>
      <c r="AL88" s="7">
        <f t="shared" si="35"/>
        <v>1.417105181612073</v>
      </c>
      <c r="AM88" s="7" t="str">
        <f t="shared" si="36"/>
        <v/>
      </c>
      <c r="AN88" s="4">
        <v>0</v>
      </c>
      <c r="AO88" s="4">
        <v>0</v>
      </c>
      <c r="AP88" s="14">
        <f t="shared" si="31"/>
        <v>871664</v>
      </c>
      <c r="AQ88" s="14">
        <f t="shared" si="32"/>
        <v>871664</v>
      </c>
      <c r="AR88" s="18">
        <v>87874.720000000671</v>
      </c>
      <c r="AS88" s="19">
        <v>24.99</v>
      </c>
      <c r="AT88" s="8">
        <v>15315067.23</v>
      </c>
      <c r="AU88" s="8">
        <v>26531.536599999999</v>
      </c>
      <c r="AV88" s="8">
        <v>957.88340000000005</v>
      </c>
      <c r="AW88" s="8"/>
      <c r="AX88" s="9">
        <v>426.77454438043299</v>
      </c>
      <c r="AY88" s="6">
        <f t="shared" si="37"/>
        <v>2.2691163253559785E-2</v>
      </c>
      <c r="AZ88" s="8">
        <v>426609500.48449999</v>
      </c>
      <c r="BA88" s="10">
        <v>60480066</v>
      </c>
      <c r="BB88" s="11">
        <v>15315067.23</v>
      </c>
      <c r="BC88" s="10">
        <v>2971324</v>
      </c>
      <c r="BD88" s="10">
        <f>1000000000-999838422.7581+0</f>
        <v>161577.24189996719</v>
      </c>
      <c r="BE88" s="12">
        <f t="shared" si="38"/>
        <v>494462465.04360008</v>
      </c>
      <c r="BF88" s="13">
        <v>238</v>
      </c>
      <c r="BG88" s="13">
        <f t="shared" si="39"/>
        <v>256.4624650436001</v>
      </c>
      <c r="BH88" s="14">
        <f>BE88*24.99</f>
        <v>12356617001.439566</v>
      </c>
    </row>
    <row r="89" spans="1:60" x14ac:dyDescent="0.25">
      <c r="A89" s="3">
        <v>45711</v>
      </c>
      <c r="B89" s="4">
        <v>3357930485</v>
      </c>
      <c r="C89" s="4"/>
      <c r="D89" s="5">
        <v>313527932</v>
      </c>
      <c r="E89" s="4"/>
      <c r="N89" s="4"/>
      <c r="O89" s="4"/>
      <c r="P89" s="5">
        <v>13884</v>
      </c>
      <c r="Q89" s="4"/>
      <c r="R89" s="14">
        <f t="shared" si="20"/>
        <v>13884</v>
      </c>
      <c r="S89" s="6">
        <v>0.03</v>
      </c>
      <c r="T89" s="14">
        <f t="shared" si="21"/>
        <v>0</v>
      </c>
      <c r="U89" s="14">
        <f t="shared" si="22"/>
        <v>0</v>
      </c>
      <c r="V89" s="14">
        <f t="shared" si="23"/>
        <v>416.52</v>
      </c>
      <c r="W89" s="14" t="str">
        <f t="shared" si="24"/>
        <v/>
      </c>
      <c r="X89" s="5">
        <v>0</v>
      </c>
      <c r="Y89" s="4"/>
      <c r="Z89" s="4"/>
      <c r="AA89" s="14">
        <f t="shared" si="25"/>
        <v>416.52</v>
      </c>
      <c r="AB89" s="4"/>
      <c r="AC89" s="4"/>
      <c r="AD89" s="14">
        <f t="shared" si="26"/>
        <v>0</v>
      </c>
      <c r="AE89" s="14">
        <f t="shared" si="27"/>
        <v>13884</v>
      </c>
      <c r="AF89" s="14" t="str">
        <f t="shared" si="28"/>
        <v/>
      </c>
      <c r="AG89" s="15">
        <f t="shared" si="29"/>
        <v>13884</v>
      </c>
      <c r="AH89" s="16">
        <v>730962</v>
      </c>
      <c r="AI89" s="17">
        <f t="shared" si="30"/>
        <v>-717078</v>
      </c>
      <c r="AJ89" s="7" t="str">
        <f t="shared" si="33"/>
        <v/>
      </c>
      <c r="AK89" s="7" t="str">
        <f t="shared" si="34"/>
        <v/>
      </c>
      <c r="AL89" s="7">
        <f t="shared" si="35"/>
        <v>0.44283135832376175</v>
      </c>
      <c r="AM89" s="7" t="str">
        <f t="shared" si="36"/>
        <v/>
      </c>
      <c r="AN89" s="4">
        <v>0</v>
      </c>
      <c r="AO89" s="4">
        <v>0</v>
      </c>
      <c r="AP89" s="14">
        <f t="shared" si="31"/>
        <v>730962</v>
      </c>
      <c r="AQ89" s="14">
        <f t="shared" si="32"/>
        <v>730962</v>
      </c>
      <c r="AR89" s="18">
        <v>30681.219999998812</v>
      </c>
      <c r="AS89" s="19">
        <v>24.79</v>
      </c>
      <c r="AT89" s="8">
        <v>15345748.449999999</v>
      </c>
      <c r="AU89" s="8">
        <v>26510.007300000001</v>
      </c>
      <c r="AV89" s="8">
        <v>272.49340000000001</v>
      </c>
      <c r="AW89" s="8"/>
      <c r="AX89" s="9">
        <v>426.16777756817379</v>
      </c>
      <c r="AY89" s="6">
        <f t="shared" si="37"/>
        <v>2.2705031149268699E-2</v>
      </c>
      <c r="AZ89" s="8">
        <v>426582990.47719997</v>
      </c>
      <c r="BA89" s="10">
        <v>60480066</v>
      </c>
      <c r="BB89" s="11">
        <v>15345748.449999999</v>
      </c>
      <c r="BC89" s="10">
        <v>2971324</v>
      </c>
      <c r="BD89" s="10">
        <f>1000000000-999838150.2647+0</f>
        <v>161849.73529994488</v>
      </c>
      <c r="BE89" s="12">
        <f t="shared" si="38"/>
        <v>494458021.33750004</v>
      </c>
      <c r="BF89" s="13">
        <v>238</v>
      </c>
      <c r="BG89" s="13">
        <f t="shared" si="39"/>
        <v>256.45802133750004</v>
      </c>
      <c r="BH89" s="14">
        <f>BE89*24.79</f>
        <v>12257614348.956625</v>
      </c>
    </row>
    <row r="90" spans="1:60" x14ac:dyDescent="0.25">
      <c r="A90" s="3">
        <v>45712</v>
      </c>
      <c r="B90" s="4">
        <v>9442757917</v>
      </c>
      <c r="C90" s="4"/>
      <c r="D90" s="5">
        <v>403523120</v>
      </c>
      <c r="E90" s="4"/>
      <c r="N90" s="4"/>
      <c r="O90" s="4"/>
      <c r="P90" s="5">
        <v>36499</v>
      </c>
      <c r="Q90" s="4"/>
      <c r="R90" s="14">
        <f t="shared" si="20"/>
        <v>36499</v>
      </c>
      <c r="S90" s="6">
        <v>0.03</v>
      </c>
      <c r="T90" s="14">
        <f t="shared" si="21"/>
        <v>0</v>
      </c>
      <c r="U90" s="14">
        <f t="shared" si="22"/>
        <v>0</v>
      </c>
      <c r="V90" s="14">
        <f t="shared" si="23"/>
        <v>1094.97</v>
      </c>
      <c r="W90" s="14" t="str">
        <f t="shared" si="24"/>
        <v/>
      </c>
      <c r="X90" s="5">
        <v>0</v>
      </c>
      <c r="Y90" s="4"/>
      <c r="Z90" s="4"/>
      <c r="AA90" s="14">
        <f t="shared" si="25"/>
        <v>1094.97</v>
      </c>
      <c r="AB90" s="4"/>
      <c r="AC90" s="4"/>
      <c r="AD90" s="14">
        <f t="shared" si="26"/>
        <v>0</v>
      </c>
      <c r="AE90" s="14">
        <f t="shared" si="27"/>
        <v>36499</v>
      </c>
      <c r="AF90" s="14" t="str">
        <f t="shared" si="28"/>
        <v/>
      </c>
      <c r="AG90" s="15">
        <f t="shared" si="29"/>
        <v>36499</v>
      </c>
      <c r="AH90" s="16">
        <v>1485788</v>
      </c>
      <c r="AI90" s="17">
        <f t="shared" si="30"/>
        <v>-1449289</v>
      </c>
      <c r="AJ90" s="7" t="str">
        <f t="shared" si="33"/>
        <v/>
      </c>
      <c r="AK90" s="7" t="str">
        <f t="shared" si="34"/>
        <v/>
      </c>
      <c r="AL90" s="7">
        <f t="shared" si="35"/>
        <v>0.90450827204151274</v>
      </c>
      <c r="AM90" s="7" t="str">
        <f t="shared" si="36"/>
        <v/>
      </c>
      <c r="AN90" s="4">
        <v>0</v>
      </c>
      <c r="AO90" s="4">
        <v>0</v>
      </c>
      <c r="AP90" s="14">
        <f t="shared" si="31"/>
        <v>1485788</v>
      </c>
      <c r="AQ90" s="14">
        <f t="shared" si="32"/>
        <v>1485788</v>
      </c>
      <c r="AR90" s="18">
        <v>49548.460000000887</v>
      </c>
      <c r="AS90" s="19">
        <v>23.15</v>
      </c>
      <c r="AT90" s="8">
        <v>15395296.91</v>
      </c>
      <c r="AU90" s="8">
        <v>26495.592499999999</v>
      </c>
      <c r="AV90" s="8">
        <v>359.08010000000002</v>
      </c>
      <c r="AW90" s="8"/>
      <c r="AX90" s="9">
        <v>425.75837849362313</v>
      </c>
      <c r="AY90" s="6">
        <f t="shared" si="37"/>
        <v>2.2714506046167794E-2</v>
      </c>
      <c r="AZ90" s="8">
        <v>426556494.88459998</v>
      </c>
      <c r="BA90" s="10">
        <v>60480066</v>
      </c>
      <c r="BB90" s="11">
        <v>15395296.91</v>
      </c>
      <c r="BC90" s="10">
        <v>2971324</v>
      </c>
      <c r="BD90" s="10">
        <f>1000000000-999837791.1845+0</f>
        <v>162208.81550002098</v>
      </c>
      <c r="BE90" s="12">
        <f t="shared" si="38"/>
        <v>494434609.38990003</v>
      </c>
      <c r="BF90" s="13">
        <v>238</v>
      </c>
      <c r="BG90" s="13">
        <f t="shared" si="39"/>
        <v>256.4346093899</v>
      </c>
      <c r="BH90" s="14">
        <f>BE90*23.15</f>
        <v>11446161207.376184</v>
      </c>
    </row>
    <row r="91" spans="1:60" x14ac:dyDescent="0.25">
      <c r="A91" s="3">
        <v>45713</v>
      </c>
      <c r="B91" s="4">
        <v>13212926718</v>
      </c>
      <c r="C91" s="4"/>
      <c r="D91" s="5">
        <v>252882738</v>
      </c>
      <c r="E91" s="4"/>
      <c r="N91" s="4"/>
      <c r="O91" s="4"/>
      <c r="P91" s="5">
        <v>76421</v>
      </c>
      <c r="Q91" s="4"/>
      <c r="R91" s="14">
        <f t="shared" si="20"/>
        <v>76421</v>
      </c>
      <c r="S91" s="6">
        <v>0.03</v>
      </c>
      <c r="T91" s="14">
        <f t="shared" si="21"/>
        <v>0</v>
      </c>
      <c r="U91" s="14">
        <f t="shared" si="22"/>
        <v>0</v>
      </c>
      <c r="V91" s="14">
        <f t="shared" si="23"/>
        <v>2292.63</v>
      </c>
      <c r="W91" s="14" t="str">
        <f t="shared" si="24"/>
        <v/>
      </c>
      <c r="X91" s="5">
        <v>0</v>
      </c>
      <c r="Y91" s="4"/>
      <c r="Z91" s="4"/>
      <c r="AA91" s="14">
        <f t="shared" si="25"/>
        <v>2292.63</v>
      </c>
      <c r="AB91" s="4"/>
      <c r="AC91" s="4"/>
      <c r="AD91" s="14">
        <f t="shared" si="26"/>
        <v>0</v>
      </c>
      <c r="AE91" s="14">
        <f t="shared" si="27"/>
        <v>76421</v>
      </c>
      <c r="AF91" s="14" t="str">
        <f t="shared" si="28"/>
        <v/>
      </c>
      <c r="AG91" s="15">
        <f t="shared" si="29"/>
        <v>76421</v>
      </c>
      <c r="AH91" s="16">
        <v>3739612</v>
      </c>
      <c r="AI91" s="17">
        <f t="shared" si="30"/>
        <v>-3663191</v>
      </c>
      <c r="AJ91" s="7" t="str">
        <f t="shared" si="33"/>
        <v/>
      </c>
      <c r="AK91" s="7" t="str">
        <f t="shared" si="34"/>
        <v/>
      </c>
      <c r="AL91" s="7">
        <f t="shared" si="35"/>
        <v>3.0219935375739246</v>
      </c>
      <c r="AM91" s="7" t="str">
        <f t="shared" si="36"/>
        <v/>
      </c>
      <c r="AN91" s="4">
        <v>0</v>
      </c>
      <c r="AO91" s="4">
        <v>0</v>
      </c>
      <c r="AP91" s="14">
        <f t="shared" si="31"/>
        <v>3739612</v>
      </c>
      <c r="AQ91" s="14">
        <f t="shared" si="32"/>
        <v>3739612</v>
      </c>
      <c r="AR91" s="18">
        <v>39290.519999999553</v>
      </c>
      <c r="AS91" s="19">
        <v>19.88</v>
      </c>
      <c r="AT91" s="8">
        <v>15434587.43</v>
      </c>
      <c r="AU91" s="8">
        <v>26462.3619</v>
      </c>
      <c r="AV91" s="8">
        <v>1448.4853000000001</v>
      </c>
      <c r="AW91" s="8"/>
      <c r="AX91" s="9">
        <v>424.0080656300895</v>
      </c>
      <c r="AY91" s="6">
        <f t="shared" si="37"/>
        <v>2.2779665946087064E-2</v>
      </c>
      <c r="AZ91" s="8">
        <v>426530032.52270001</v>
      </c>
      <c r="BA91" s="10">
        <v>60480066</v>
      </c>
      <c r="BB91" s="11">
        <v>15434587.43</v>
      </c>
      <c r="BC91" s="10">
        <v>2971324</v>
      </c>
      <c r="BD91" s="10">
        <f>1000000000-999836342.6993+0</f>
        <v>163657.30069994926</v>
      </c>
      <c r="BE91" s="12">
        <f t="shared" si="38"/>
        <v>494420332.74659997</v>
      </c>
      <c r="BF91" s="13">
        <v>238</v>
      </c>
      <c r="BG91" s="13">
        <f t="shared" si="39"/>
        <v>256.42033274659997</v>
      </c>
      <c r="BH91" s="14">
        <f>BE91*19.88</f>
        <v>9829076215.0024071</v>
      </c>
    </row>
    <row r="92" spans="1:60" x14ac:dyDescent="0.25">
      <c r="A92" s="3">
        <v>45714</v>
      </c>
      <c r="B92" s="4">
        <v>9361694444</v>
      </c>
      <c r="C92" s="4"/>
      <c r="D92" s="5">
        <v>163029559</v>
      </c>
      <c r="E92" s="4"/>
      <c r="N92" s="4"/>
      <c r="O92" s="4"/>
      <c r="P92" s="5">
        <v>36925</v>
      </c>
      <c r="Q92" s="4"/>
      <c r="R92" s="14">
        <f t="shared" si="20"/>
        <v>36925</v>
      </c>
      <c r="S92" s="6">
        <v>0.03</v>
      </c>
      <c r="T92" s="14">
        <f t="shared" si="21"/>
        <v>0</v>
      </c>
      <c r="U92" s="14">
        <f t="shared" si="22"/>
        <v>0</v>
      </c>
      <c r="V92" s="14">
        <f t="shared" si="23"/>
        <v>1107.75</v>
      </c>
      <c r="W92" s="14" t="str">
        <f t="shared" si="24"/>
        <v/>
      </c>
      <c r="X92" s="5">
        <v>0</v>
      </c>
      <c r="Y92" s="4"/>
      <c r="Z92" s="4"/>
      <c r="AA92" s="14">
        <f t="shared" si="25"/>
        <v>1107.75</v>
      </c>
      <c r="AB92" s="4"/>
      <c r="AC92" s="4"/>
      <c r="AD92" s="14">
        <f t="shared" si="26"/>
        <v>0</v>
      </c>
      <c r="AE92" s="14">
        <f t="shared" si="27"/>
        <v>36925</v>
      </c>
      <c r="AF92" s="14" t="str">
        <f t="shared" si="28"/>
        <v/>
      </c>
      <c r="AG92" s="15">
        <f t="shared" si="29"/>
        <v>36925</v>
      </c>
      <c r="AH92" s="16">
        <v>2149527</v>
      </c>
      <c r="AI92" s="17">
        <f t="shared" si="30"/>
        <v>-2112602</v>
      </c>
      <c r="AJ92" s="7" t="str">
        <f t="shared" si="33"/>
        <v/>
      </c>
      <c r="AK92" s="7" t="str">
        <f t="shared" si="34"/>
        <v/>
      </c>
      <c r="AL92" s="7">
        <f t="shared" si="35"/>
        <v>2.2649266934470456</v>
      </c>
      <c r="AM92" s="7" t="str">
        <f t="shared" si="36"/>
        <v/>
      </c>
      <c r="AN92" s="4">
        <v>0</v>
      </c>
      <c r="AO92" s="4">
        <v>0</v>
      </c>
      <c r="AP92" s="14">
        <f t="shared" si="31"/>
        <v>2149527</v>
      </c>
      <c r="AQ92" s="14">
        <f t="shared" si="32"/>
        <v>2149527</v>
      </c>
      <c r="AR92" s="18">
        <v>206273.87000000101</v>
      </c>
      <c r="AS92" s="19">
        <v>20.190000000000001</v>
      </c>
      <c r="AT92" s="8">
        <v>15640861.300000001</v>
      </c>
      <c r="AU92" s="8">
        <v>26402.5399</v>
      </c>
      <c r="AV92" s="8">
        <v>2533.9117000000001</v>
      </c>
      <c r="AW92" s="8"/>
      <c r="AX92" s="9">
        <v>422.613338073178</v>
      </c>
      <c r="AY92" s="6">
        <f t="shared" si="37"/>
        <v>2.2803177740290132E-2</v>
      </c>
      <c r="AZ92" s="8">
        <v>426503629.98280001</v>
      </c>
      <c r="BA92" s="10">
        <v>60480066</v>
      </c>
      <c r="BB92" s="11">
        <v>15640861.300000001</v>
      </c>
      <c r="BC92" s="10">
        <v>2971324</v>
      </c>
      <c r="BD92" s="10">
        <f>1000000000-999833808.7876+0</f>
        <v>166191.21239995956</v>
      </c>
      <c r="BE92" s="12">
        <f t="shared" si="38"/>
        <v>494237927.50480002</v>
      </c>
      <c r="BF92" s="13">
        <v>238</v>
      </c>
      <c r="BG92" s="13">
        <f t="shared" si="39"/>
        <v>256.23792750480004</v>
      </c>
      <c r="BH92" s="14">
        <f>BE92*20.19</f>
        <v>9978663756.3219128</v>
      </c>
    </row>
    <row r="93" spans="1:60" x14ac:dyDescent="0.25">
      <c r="A93" s="3">
        <v>45715</v>
      </c>
      <c r="B93" s="4">
        <v>6796939579</v>
      </c>
      <c r="C93" s="4"/>
      <c r="D93" s="5">
        <v>214669060</v>
      </c>
      <c r="E93" s="4"/>
      <c r="N93" s="4"/>
      <c r="O93" s="4"/>
      <c r="P93" s="5">
        <v>21492</v>
      </c>
      <c r="Q93" s="4"/>
      <c r="R93" s="14">
        <f t="shared" si="20"/>
        <v>21492</v>
      </c>
      <c r="S93" s="6">
        <v>0.03</v>
      </c>
      <c r="T93" s="14">
        <f t="shared" si="21"/>
        <v>0</v>
      </c>
      <c r="U93" s="14">
        <f t="shared" si="22"/>
        <v>0</v>
      </c>
      <c r="V93" s="14">
        <f t="shared" si="23"/>
        <v>644.76</v>
      </c>
      <c r="W93" s="14" t="str">
        <f t="shared" si="24"/>
        <v/>
      </c>
      <c r="X93" s="5">
        <v>0</v>
      </c>
      <c r="Y93" s="4"/>
      <c r="Z93" s="4"/>
      <c r="AA93" s="14">
        <f t="shared" si="25"/>
        <v>644.76</v>
      </c>
      <c r="AB93" s="4"/>
      <c r="AC93" s="4"/>
      <c r="AD93" s="14">
        <f t="shared" si="26"/>
        <v>0</v>
      </c>
      <c r="AE93" s="14">
        <f t="shared" si="27"/>
        <v>21492</v>
      </c>
      <c r="AF93" s="14" t="str">
        <f t="shared" si="28"/>
        <v/>
      </c>
      <c r="AG93" s="15">
        <f t="shared" si="29"/>
        <v>21492</v>
      </c>
      <c r="AH93" s="16">
        <v>1512278</v>
      </c>
      <c r="AI93" s="17">
        <f t="shared" si="30"/>
        <v>-1490786</v>
      </c>
      <c r="AJ93" s="7" t="str">
        <f t="shared" si="33"/>
        <v/>
      </c>
      <c r="AK93" s="7" t="str">
        <f t="shared" si="34"/>
        <v/>
      </c>
      <c r="AL93" s="7">
        <f t="shared" si="35"/>
        <v>1.0011689621224409</v>
      </c>
      <c r="AM93" s="7" t="str">
        <f t="shared" si="36"/>
        <v/>
      </c>
      <c r="AN93" s="4">
        <v>0</v>
      </c>
      <c r="AO93" s="4">
        <v>0</v>
      </c>
      <c r="AP93" s="14">
        <f t="shared" si="31"/>
        <v>1512278</v>
      </c>
      <c r="AQ93" s="14">
        <f t="shared" si="32"/>
        <v>1512278</v>
      </c>
      <c r="AR93" s="18">
        <v>113214.78999999911</v>
      </c>
      <c r="AS93" s="19">
        <v>19.559999999999999</v>
      </c>
      <c r="AT93" s="8">
        <v>15754076.09</v>
      </c>
      <c r="AU93" s="8">
        <v>26370.782299999999</v>
      </c>
      <c r="AV93" s="8">
        <v>1291.9301</v>
      </c>
      <c r="AW93" s="8"/>
      <c r="AX93" s="9">
        <v>422.10102562102759</v>
      </c>
      <c r="AY93" s="6">
        <f t="shared" si="37"/>
        <v>2.2803392920778771E-2</v>
      </c>
      <c r="AZ93" s="8">
        <v>426477259.20050001</v>
      </c>
      <c r="BA93" s="10">
        <v>60480066</v>
      </c>
      <c r="BB93" s="11">
        <v>15754076.09</v>
      </c>
      <c r="BC93" s="10">
        <v>2971324</v>
      </c>
      <c r="BD93" s="10">
        <f>1000000000-999832516.8574+0</f>
        <v>167483.14260005951</v>
      </c>
      <c r="BE93" s="12">
        <f t="shared" si="38"/>
        <v>494149791.56689996</v>
      </c>
      <c r="BF93" s="13">
        <v>238</v>
      </c>
      <c r="BG93" s="13">
        <f t="shared" si="39"/>
        <v>256.14979156689998</v>
      </c>
      <c r="BH93" s="14">
        <f>BE93*19.56</f>
        <v>9665569923.048563</v>
      </c>
    </row>
    <row r="94" spans="1:60" x14ac:dyDescent="0.25">
      <c r="A94" s="3">
        <v>45716</v>
      </c>
      <c r="B94" s="4">
        <v>11157922813</v>
      </c>
      <c r="C94" s="4"/>
      <c r="D94" s="5">
        <v>87391052</v>
      </c>
      <c r="E94" s="4"/>
      <c r="N94" s="4"/>
      <c r="O94" s="4"/>
      <c r="P94" s="5">
        <v>33048</v>
      </c>
      <c r="Q94" s="4"/>
      <c r="R94" s="14">
        <f t="shared" si="20"/>
        <v>33048</v>
      </c>
      <c r="S94" s="6">
        <v>0.03</v>
      </c>
      <c r="T94" s="14">
        <f t="shared" si="21"/>
        <v>0</v>
      </c>
      <c r="U94" s="14">
        <f t="shared" si="22"/>
        <v>0</v>
      </c>
      <c r="V94" s="14">
        <f t="shared" si="23"/>
        <v>991.43999999999994</v>
      </c>
      <c r="W94" s="14" t="str">
        <f t="shared" si="24"/>
        <v/>
      </c>
      <c r="X94" s="5">
        <v>0</v>
      </c>
      <c r="Y94" s="4"/>
      <c r="Z94" s="4"/>
      <c r="AA94" s="14">
        <f t="shared" si="25"/>
        <v>991.43999999999994</v>
      </c>
      <c r="AB94" s="4"/>
      <c r="AC94" s="4"/>
      <c r="AD94" s="14">
        <f t="shared" si="26"/>
        <v>0</v>
      </c>
      <c r="AE94" s="14">
        <f t="shared" si="27"/>
        <v>33048</v>
      </c>
      <c r="AF94" s="14" t="str">
        <f t="shared" si="28"/>
        <v/>
      </c>
      <c r="AG94" s="15">
        <f t="shared" si="29"/>
        <v>33048</v>
      </c>
      <c r="AH94" s="16">
        <v>2432393</v>
      </c>
      <c r="AI94" s="17">
        <f t="shared" si="30"/>
        <v>-2399345</v>
      </c>
      <c r="AJ94" s="7" t="str">
        <f t="shared" si="33"/>
        <v/>
      </c>
      <c r="AK94" s="7" t="str">
        <f t="shared" si="34"/>
        <v/>
      </c>
      <c r="AL94" s="7">
        <f t="shared" si="35"/>
        <v>3.7816228599696915</v>
      </c>
      <c r="AM94" s="7" t="str">
        <f t="shared" si="36"/>
        <v/>
      </c>
      <c r="AN94" s="4">
        <v>0</v>
      </c>
      <c r="AO94" s="4">
        <v>0</v>
      </c>
      <c r="AP94" s="14">
        <f t="shared" si="31"/>
        <v>2432393</v>
      </c>
      <c r="AQ94" s="14">
        <f t="shared" si="32"/>
        <v>2432393</v>
      </c>
      <c r="AR94" s="18">
        <v>109659.9700000007</v>
      </c>
      <c r="AS94" s="19">
        <v>20.87</v>
      </c>
      <c r="AT94" s="8">
        <v>15863736.060000001</v>
      </c>
      <c r="AU94" s="8">
        <v>26389.877899999999</v>
      </c>
      <c r="AV94" s="8">
        <v>800.03689999999995</v>
      </c>
      <c r="AW94" s="8"/>
      <c r="AX94" s="9">
        <v>421.82190406937463</v>
      </c>
      <c r="AY94" s="6">
        <f t="shared" si="37"/>
        <v>2.2835005343667097E-2</v>
      </c>
      <c r="AZ94" s="8">
        <v>426450869.32260001</v>
      </c>
      <c r="BA94" s="10">
        <v>60480066</v>
      </c>
      <c r="BB94" s="11">
        <v>15863736.060000001</v>
      </c>
      <c r="BC94" s="10">
        <v>2971324</v>
      </c>
      <c r="BD94" s="10">
        <f>1000000000-999831716.8206+0</f>
        <v>168283.17939996719</v>
      </c>
      <c r="BE94" s="12">
        <f t="shared" si="38"/>
        <v>494065721.43800002</v>
      </c>
      <c r="BF94" s="13">
        <v>238</v>
      </c>
      <c r="BG94" s="13">
        <f t="shared" si="39"/>
        <v>256.06572143800003</v>
      </c>
      <c r="BH94" s="14">
        <f>BE94*20.87</f>
        <v>10311151606.41106</v>
      </c>
    </row>
    <row r="95" spans="1:60" x14ac:dyDescent="0.25">
      <c r="A95" s="3">
        <v>45717</v>
      </c>
      <c r="B95" s="4">
        <v>4300489523</v>
      </c>
      <c r="C95" s="4"/>
      <c r="D95" s="5">
        <v>230865213</v>
      </c>
      <c r="E95" s="4"/>
      <c r="N95" s="4"/>
      <c r="O95" s="4"/>
      <c r="P95" s="5">
        <v>12337</v>
      </c>
      <c r="Q95" s="4"/>
      <c r="R95" s="14">
        <f t="shared" si="20"/>
        <v>12337</v>
      </c>
      <c r="S95" s="6">
        <v>0.03</v>
      </c>
      <c r="T95" s="14">
        <f t="shared" si="21"/>
        <v>0</v>
      </c>
      <c r="U95" s="14">
        <f t="shared" si="22"/>
        <v>0</v>
      </c>
      <c r="V95" s="14">
        <f t="shared" si="23"/>
        <v>370.11</v>
      </c>
      <c r="W95" s="14" t="str">
        <f t="shared" si="24"/>
        <v/>
      </c>
      <c r="X95" s="5">
        <v>0</v>
      </c>
      <c r="Y95" s="4"/>
      <c r="Z95" s="4"/>
      <c r="AA95" s="14">
        <f t="shared" si="25"/>
        <v>370.11</v>
      </c>
      <c r="AB95" s="4"/>
      <c r="AC95" s="4"/>
      <c r="AD95" s="14">
        <f t="shared" si="26"/>
        <v>0</v>
      </c>
      <c r="AE95" s="14">
        <f t="shared" si="27"/>
        <v>12337</v>
      </c>
      <c r="AF95" s="14" t="str">
        <f t="shared" si="28"/>
        <v/>
      </c>
      <c r="AG95" s="15">
        <f t="shared" si="29"/>
        <v>12337</v>
      </c>
      <c r="AH95" s="16">
        <v>986055</v>
      </c>
      <c r="AI95" s="17">
        <f t="shared" si="30"/>
        <v>-973718</v>
      </c>
      <c r="AJ95" s="7" t="str">
        <f t="shared" si="33"/>
        <v/>
      </c>
      <c r="AK95" s="7" t="str">
        <f t="shared" si="34"/>
        <v/>
      </c>
      <c r="AL95" s="7">
        <f t="shared" si="35"/>
        <v>0.53438107195474271</v>
      </c>
      <c r="AM95" s="7" t="str">
        <f t="shared" si="36"/>
        <v/>
      </c>
      <c r="AN95" s="4">
        <v>0</v>
      </c>
      <c r="AO95" s="4">
        <v>0</v>
      </c>
      <c r="AP95" s="14">
        <f t="shared" si="31"/>
        <v>986055</v>
      </c>
      <c r="AQ95" s="14">
        <f t="shared" si="32"/>
        <v>986055</v>
      </c>
      <c r="AR95" s="18">
        <v>92064.699999999255</v>
      </c>
      <c r="AS95" s="19">
        <v>19.95</v>
      </c>
      <c r="AT95" s="8">
        <v>15955800.76</v>
      </c>
      <c r="AU95" s="8">
        <v>26354.432499999999</v>
      </c>
      <c r="AV95" s="8">
        <v>1113.9076</v>
      </c>
      <c r="AW95" s="8"/>
      <c r="AX95" s="9">
        <v>421.27241892432949</v>
      </c>
      <c r="AY95" s="6">
        <f t="shared" si="37"/>
        <v>2.2834079399410828E-2</v>
      </c>
      <c r="AZ95" s="8">
        <v>426424514.8901</v>
      </c>
      <c r="BA95" s="10">
        <v>60480066</v>
      </c>
      <c r="BB95" s="11">
        <v>15955800.76</v>
      </c>
      <c r="BC95" s="10">
        <v>2971324</v>
      </c>
      <c r="BD95" s="10">
        <f>1000000000-999830602.913+0</f>
        <v>169397.0870000124</v>
      </c>
      <c r="BE95" s="12">
        <f t="shared" si="38"/>
        <v>493998897.26289999</v>
      </c>
      <c r="BF95" s="13">
        <v>238</v>
      </c>
      <c r="BG95" s="13">
        <f t="shared" si="39"/>
        <v>255.99889726290002</v>
      </c>
      <c r="BH95" s="14">
        <f>BE95*19.95</f>
        <v>9855278000.3948555</v>
      </c>
    </row>
    <row r="96" spans="1:60" x14ac:dyDescent="0.25">
      <c r="A96" s="3">
        <v>45718</v>
      </c>
      <c r="B96" s="4">
        <v>11125716133</v>
      </c>
      <c r="C96" s="4"/>
      <c r="D96" s="5">
        <v>260215664</v>
      </c>
      <c r="E96" s="4"/>
      <c r="N96" s="4"/>
      <c r="O96" s="4"/>
      <c r="P96" s="5">
        <v>31229</v>
      </c>
      <c r="Q96" s="4"/>
      <c r="R96" s="14">
        <f t="shared" si="20"/>
        <v>31229</v>
      </c>
      <c r="S96" s="6">
        <v>0.03</v>
      </c>
      <c r="T96" s="14">
        <f t="shared" si="21"/>
        <v>0</v>
      </c>
      <c r="U96" s="14">
        <f t="shared" si="22"/>
        <v>0</v>
      </c>
      <c r="V96" s="14">
        <f t="shared" si="23"/>
        <v>936.87</v>
      </c>
      <c r="W96" s="14" t="str">
        <f t="shared" si="24"/>
        <v/>
      </c>
      <c r="X96" s="5">
        <v>0</v>
      </c>
      <c r="Y96" s="4"/>
      <c r="Z96" s="4"/>
      <c r="AA96" s="14">
        <f t="shared" si="25"/>
        <v>936.87</v>
      </c>
      <c r="AB96" s="4"/>
      <c r="AC96" s="4"/>
      <c r="AD96" s="14">
        <f t="shared" si="26"/>
        <v>0</v>
      </c>
      <c r="AE96" s="14">
        <f t="shared" si="27"/>
        <v>31229</v>
      </c>
      <c r="AF96" s="14" t="str">
        <f t="shared" si="28"/>
        <v/>
      </c>
      <c r="AG96" s="15">
        <f t="shared" si="29"/>
        <v>31229</v>
      </c>
      <c r="AH96" s="16">
        <v>2543535</v>
      </c>
      <c r="AI96" s="17">
        <f t="shared" si="30"/>
        <v>-2512306</v>
      </c>
      <c r="AJ96" s="7" t="str">
        <f t="shared" si="33"/>
        <v/>
      </c>
      <c r="AK96" s="7" t="str">
        <f t="shared" si="34"/>
        <v/>
      </c>
      <c r="AL96" s="7">
        <f t="shared" si="35"/>
        <v>1.2001199128427564</v>
      </c>
      <c r="AM96" s="7" t="str">
        <f t="shared" si="36"/>
        <v/>
      </c>
      <c r="AN96" s="4">
        <v>0</v>
      </c>
      <c r="AO96" s="4">
        <v>0</v>
      </c>
      <c r="AP96" s="14">
        <f t="shared" si="31"/>
        <v>2543535</v>
      </c>
      <c r="AQ96" s="14">
        <f t="shared" si="32"/>
        <v>2543535</v>
      </c>
      <c r="AR96" s="18">
        <v>42507.700000001118</v>
      </c>
      <c r="AS96" s="19">
        <v>19.600000000000001</v>
      </c>
      <c r="AT96" s="8">
        <v>15998308.460000001</v>
      </c>
      <c r="AU96" s="8">
        <v>26347.5556</v>
      </c>
      <c r="AV96" s="8">
        <v>456.82279999999997</v>
      </c>
      <c r="AW96" s="8"/>
      <c r="AX96" s="9">
        <v>421.32777380480991</v>
      </c>
      <c r="AY96" s="6">
        <f t="shared" si="37"/>
        <v>2.2825121892997343E-2</v>
      </c>
      <c r="AZ96" s="8">
        <v>426398167.33459997</v>
      </c>
      <c r="BA96" s="10">
        <v>60480066</v>
      </c>
      <c r="BB96" s="11">
        <v>15998308.460000001</v>
      </c>
      <c r="BC96" s="10">
        <v>2971324</v>
      </c>
      <c r="BD96" s="10">
        <f>1000000000-999830146.0902+0</f>
        <v>169853.90980005264</v>
      </c>
      <c r="BE96" s="12">
        <f t="shared" si="38"/>
        <v>493982280.2956</v>
      </c>
      <c r="BF96" s="13">
        <v>238</v>
      </c>
      <c r="BG96" s="13">
        <f t="shared" si="39"/>
        <v>255.98228029559999</v>
      </c>
      <c r="BH96" s="14">
        <f>BE96*19.6</f>
        <v>9682052693.7937603</v>
      </c>
    </row>
    <row r="97" spans="1:60" x14ac:dyDescent="0.25">
      <c r="A97" s="3">
        <v>45719</v>
      </c>
      <c r="B97" s="4">
        <v>11687296549</v>
      </c>
      <c r="C97" s="4"/>
      <c r="D97" s="5">
        <v>277747349</v>
      </c>
      <c r="E97" s="4"/>
      <c r="N97" s="4"/>
      <c r="O97" s="4"/>
      <c r="P97" s="5">
        <v>31999</v>
      </c>
      <c r="Q97" s="4"/>
      <c r="R97" s="14">
        <f t="shared" si="20"/>
        <v>31999</v>
      </c>
      <c r="S97" s="6">
        <v>0.03</v>
      </c>
      <c r="T97" s="14">
        <f t="shared" si="21"/>
        <v>0</v>
      </c>
      <c r="U97" s="14">
        <f t="shared" si="22"/>
        <v>0</v>
      </c>
      <c r="V97" s="14">
        <f t="shared" si="23"/>
        <v>959.96999999999991</v>
      </c>
      <c r="W97" s="14" t="str">
        <f t="shared" si="24"/>
        <v/>
      </c>
      <c r="X97" s="5">
        <v>0</v>
      </c>
      <c r="Y97" s="4"/>
      <c r="Z97" s="4"/>
      <c r="AA97" s="14">
        <f t="shared" si="25"/>
        <v>959.96999999999991</v>
      </c>
      <c r="AB97" s="4"/>
      <c r="AC97" s="4"/>
      <c r="AD97" s="14">
        <f t="shared" si="26"/>
        <v>0</v>
      </c>
      <c r="AE97" s="14">
        <f t="shared" si="27"/>
        <v>31999</v>
      </c>
      <c r="AF97" s="14" t="str">
        <f t="shared" si="28"/>
        <v/>
      </c>
      <c r="AG97" s="15">
        <f t="shared" si="29"/>
        <v>31999</v>
      </c>
      <c r="AH97" s="16">
        <v>2309308</v>
      </c>
      <c r="AI97" s="17">
        <f t="shared" si="30"/>
        <v>-2277309</v>
      </c>
      <c r="AJ97" s="7" t="str">
        <f t="shared" si="33"/>
        <v/>
      </c>
      <c r="AK97" s="7" t="str">
        <f t="shared" si="34"/>
        <v/>
      </c>
      <c r="AL97" s="7">
        <f t="shared" si="35"/>
        <v>1.1520902041084828</v>
      </c>
      <c r="AM97" s="7" t="str">
        <f t="shared" si="36"/>
        <v/>
      </c>
      <c r="AN97" s="4">
        <v>0</v>
      </c>
      <c r="AO97" s="4">
        <v>0</v>
      </c>
      <c r="AP97" s="14">
        <f t="shared" si="31"/>
        <v>2309308</v>
      </c>
      <c r="AQ97" s="14">
        <f t="shared" si="32"/>
        <v>2309308</v>
      </c>
      <c r="AR97" s="18">
        <v>156706.32999999821</v>
      </c>
      <c r="AS97" s="19">
        <v>20.53</v>
      </c>
      <c r="AT97" s="8">
        <v>16155014.789999999</v>
      </c>
      <c r="AU97" s="8">
        <v>26343.6937</v>
      </c>
      <c r="AV97" s="8">
        <v>1076.7937999999999</v>
      </c>
      <c r="AW97" s="8"/>
      <c r="AX97" s="9">
        <v>420.61560962628772</v>
      </c>
      <c r="AY97" s="6">
        <f t="shared" si="37"/>
        <v>2.286041692328827E-2</v>
      </c>
      <c r="AZ97" s="8">
        <v>426371823.6408</v>
      </c>
      <c r="BA97" s="10">
        <v>60480066</v>
      </c>
      <c r="BB97" s="11">
        <v>16155014.789999999</v>
      </c>
      <c r="BC97" s="10">
        <v>2971324</v>
      </c>
      <c r="BD97" s="10">
        <f>1000000000-999829069.2964+0</f>
        <v>170930.70360004902</v>
      </c>
      <c r="BE97" s="12">
        <f t="shared" si="38"/>
        <v>493850840.86559993</v>
      </c>
      <c r="BF97" s="13">
        <v>238</v>
      </c>
      <c r="BG97" s="13">
        <f t="shared" si="39"/>
        <v>255.85084086559993</v>
      </c>
      <c r="BH97" s="14">
        <f>BE97*20.53</f>
        <v>10138757762.970768</v>
      </c>
    </row>
    <row r="98" spans="1:60" x14ac:dyDescent="0.25">
      <c r="A98" s="3">
        <v>45720</v>
      </c>
      <c r="B98" s="4">
        <v>10923024322</v>
      </c>
      <c r="C98" s="4"/>
      <c r="D98" s="5">
        <v>143679985</v>
      </c>
      <c r="E98" s="4"/>
      <c r="N98" s="4"/>
      <c r="O98" s="4"/>
      <c r="P98" s="5">
        <v>47916</v>
      </c>
      <c r="Q98" s="4"/>
      <c r="R98" s="14">
        <f t="shared" si="20"/>
        <v>47916</v>
      </c>
      <c r="S98" s="6">
        <v>0.03</v>
      </c>
      <c r="T98" s="14">
        <f t="shared" si="21"/>
        <v>0</v>
      </c>
      <c r="U98" s="14">
        <f t="shared" si="22"/>
        <v>0</v>
      </c>
      <c r="V98" s="14">
        <f t="shared" si="23"/>
        <v>1437.48</v>
      </c>
      <c r="W98" s="14" t="str">
        <f t="shared" si="24"/>
        <v/>
      </c>
      <c r="X98" s="5">
        <v>0</v>
      </c>
      <c r="Y98" s="4"/>
      <c r="Z98" s="4"/>
      <c r="AA98" s="14">
        <f t="shared" si="25"/>
        <v>1437.48</v>
      </c>
      <c r="AB98" s="4"/>
      <c r="AC98" s="4"/>
      <c r="AD98" s="14">
        <f t="shared" si="26"/>
        <v>0</v>
      </c>
      <c r="AE98" s="14">
        <f t="shared" si="27"/>
        <v>47916</v>
      </c>
      <c r="AF98" s="14" t="str">
        <f t="shared" si="28"/>
        <v/>
      </c>
      <c r="AG98" s="15">
        <f t="shared" si="29"/>
        <v>47916</v>
      </c>
      <c r="AH98" s="16">
        <v>2752695</v>
      </c>
      <c r="AI98" s="17">
        <f t="shared" si="30"/>
        <v>-2704779</v>
      </c>
      <c r="AJ98" s="7" t="str">
        <f t="shared" si="33"/>
        <v/>
      </c>
      <c r="AK98" s="7" t="str">
        <f t="shared" si="34"/>
        <v/>
      </c>
      <c r="AL98" s="7">
        <f t="shared" si="35"/>
        <v>3.3349112613005909</v>
      </c>
      <c r="AM98" s="7" t="str">
        <f t="shared" si="36"/>
        <v/>
      </c>
      <c r="AN98" s="4">
        <v>0</v>
      </c>
      <c r="AO98" s="4">
        <v>0</v>
      </c>
      <c r="AP98" s="14">
        <f t="shared" si="31"/>
        <v>2752695</v>
      </c>
      <c r="AQ98" s="14">
        <f t="shared" si="32"/>
        <v>2752695</v>
      </c>
      <c r="AR98" s="18">
        <v>157081.77000000139</v>
      </c>
      <c r="AS98" s="19">
        <v>17.88</v>
      </c>
      <c r="AT98" s="8">
        <v>16312096.560000001</v>
      </c>
      <c r="AU98" s="8">
        <v>26300.191200000001</v>
      </c>
      <c r="AV98" s="8">
        <v>1191.9757</v>
      </c>
      <c r="AW98" s="8"/>
      <c r="AX98" s="9">
        <v>419.72848371028073</v>
      </c>
      <c r="AY98" s="6">
        <f t="shared" si="37"/>
        <v>2.2870903835599928E-2</v>
      </c>
      <c r="AZ98" s="8">
        <v>426345523.44959998</v>
      </c>
      <c r="BA98" s="10">
        <v>60480066</v>
      </c>
      <c r="BB98" s="11">
        <v>16312096.560000001</v>
      </c>
      <c r="BC98" s="10">
        <v>2971324</v>
      </c>
      <c r="BD98" s="10">
        <f>1000000000-999827877.3207+0</f>
        <v>172122.6792999506</v>
      </c>
      <c r="BE98" s="12">
        <f t="shared" si="38"/>
        <v>493718867.31110007</v>
      </c>
      <c r="BF98" s="13">
        <v>238</v>
      </c>
      <c r="BG98" s="13">
        <f t="shared" si="39"/>
        <v>255.71886731110004</v>
      </c>
      <c r="BH98" s="14">
        <f>BE98*17.88</f>
        <v>8827693347.5224686</v>
      </c>
    </row>
    <row r="99" spans="1:60" x14ac:dyDescent="0.25">
      <c r="A99" s="3">
        <v>45721</v>
      </c>
      <c r="B99" s="4">
        <v>6393102152</v>
      </c>
      <c r="C99" s="4"/>
      <c r="D99" s="5">
        <v>171189803</v>
      </c>
      <c r="E99" s="4"/>
      <c r="N99" s="4"/>
      <c r="O99" s="4"/>
      <c r="P99" s="5">
        <v>20047</v>
      </c>
      <c r="Q99" s="4"/>
      <c r="R99" s="14">
        <f t="shared" si="20"/>
        <v>20047</v>
      </c>
      <c r="S99" s="6">
        <v>0.03</v>
      </c>
      <c r="T99" s="14">
        <f t="shared" si="21"/>
        <v>0</v>
      </c>
      <c r="U99" s="14">
        <f t="shared" si="22"/>
        <v>0</v>
      </c>
      <c r="V99" s="14">
        <f t="shared" si="23"/>
        <v>601.41</v>
      </c>
      <c r="W99" s="14" t="str">
        <f t="shared" si="24"/>
        <v/>
      </c>
      <c r="X99" s="5">
        <v>0</v>
      </c>
      <c r="Y99" s="4"/>
      <c r="Z99" s="4"/>
      <c r="AA99" s="14">
        <f t="shared" si="25"/>
        <v>601.41</v>
      </c>
      <c r="AB99" s="4"/>
      <c r="AC99" s="4"/>
      <c r="AD99" s="14">
        <f t="shared" si="26"/>
        <v>0</v>
      </c>
      <c r="AE99" s="14">
        <f t="shared" si="27"/>
        <v>20047</v>
      </c>
      <c r="AF99" s="14" t="str">
        <f t="shared" si="28"/>
        <v/>
      </c>
      <c r="AG99" s="15">
        <f t="shared" si="29"/>
        <v>20047</v>
      </c>
      <c r="AH99" s="16">
        <v>1426600</v>
      </c>
      <c r="AI99" s="17">
        <f t="shared" si="30"/>
        <v>-1406553</v>
      </c>
      <c r="AJ99" s="7" t="str">
        <f t="shared" si="33"/>
        <v/>
      </c>
      <c r="AK99" s="7" t="str">
        <f t="shared" si="34"/>
        <v/>
      </c>
      <c r="AL99" s="7">
        <f t="shared" si="35"/>
        <v>1.1710393755170103</v>
      </c>
      <c r="AM99" s="7" t="str">
        <f t="shared" si="36"/>
        <v/>
      </c>
      <c r="AN99" s="4">
        <v>0</v>
      </c>
      <c r="AO99" s="4">
        <v>0</v>
      </c>
      <c r="AP99" s="14">
        <f t="shared" si="31"/>
        <v>1426600</v>
      </c>
      <c r="AQ99" s="14">
        <f t="shared" si="32"/>
        <v>1426600</v>
      </c>
      <c r="AR99" s="18">
        <v>117418.28999999911</v>
      </c>
      <c r="AS99" s="19">
        <v>17.09</v>
      </c>
      <c r="AT99" s="8">
        <v>16429514.85</v>
      </c>
      <c r="AU99" s="8">
        <v>26023.1564</v>
      </c>
      <c r="AV99" s="8">
        <v>2036.1675</v>
      </c>
      <c r="AW99" s="8"/>
      <c r="AX99" s="9">
        <v>418.28363830009391</v>
      </c>
      <c r="AY99" s="6">
        <f t="shared" si="37"/>
        <v>2.270816072223561E-2</v>
      </c>
      <c r="AZ99" s="8">
        <v>426319500.29320002</v>
      </c>
      <c r="BA99" s="10">
        <v>60480066</v>
      </c>
      <c r="BB99" s="11">
        <v>16429514.85</v>
      </c>
      <c r="BC99" s="10">
        <v>2971324</v>
      </c>
      <c r="BD99" s="10">
        <f>1000000000-999825841.1532+0</f>
        <v>174158.84679996967</v>
      </c>
      <c r="BE99" s="12">
        <f t="shared" si="38"/>
        <v>493625436.00999999</v>
      </c>
      <c r="BF99" s="13">
        <v>238</v>
      </c>
      <c r="BG99" s="13">
        <f t="shared" si="39"/>
        <v>255.62543600999999</v>
      </c>
      <c r="BH99" s="14">
        <f>BE99*17.09</f>
        <v>8436058701.4109001</v>
      </c>
    </row>
    <row r="100" spans="1:60" x14ac:dyDescent="0.25">
      <c r="A100" s="3">
        <v>45722</v>
      </c>
      <c r="B100" s="4">
        <v>6898925844</v>
      </c>
      <c r="C100" s="4"/>
      <c r="D100" s="5">
        <v>199378699</v>
      </c>
      <c r="E100" s="4"/>
      <c r="N100" s="4"/>
      <c r="O100" s="4"/>
      <c r="P100" s="5">
        <v>24157</v>
      </c>
      <c r="Q100" s="4"/>
      <c r="R100" s="14">
        <f t="shared" si="20"/>
        <v>24157</v>
      </c>
      <c r="S100" s="6">
        <v>0.03</v>
      </c>
      <c r="T100" s="14">
        <f t="shared" si="21"/>
        <v>0</v>
      </c>
      <c r="U100" s="14">
        <f t="shared" si="22"/>
        <v>0</v>
      </c>
      <c r="V100" s="14">
        <f t="shared" si="23"/>
        <v>724.70999999999992</v>
      </c>
      <c r="W100" s="14" t="str">
        <f t="shared" si="24"/>
        <v/>
      </c>
      <c r="X100" s="5">
        <v>0</v>
      </c>
      <c r="Y100" s="4"/>
      <c r="Z100" s="4"/>
      <c r="AA100" s="14">
        <f t="shared" si="25"/>
        <v>724.70999999999992</v>
      </c>
      <c r="AB100" s="4"/>
      <c r="AC100" s="4"/>
      <c r="AD100" s="14">
        <f t="shared" si="26"/>
        <v>0</v>
      </c>
      <c r="AE100" s="14">
        <f t="shared" si="27"/>
        <v>24157</v>
      </c>
      <c r="AF100" s="14" t="str">
        <f t="shared" si="28"/>
        <v/>
      </c>
      <c r="AG100" s="15">
        <f t="shared" si="29"/>
        <v>24157</v>
      </c>
      <c r="AH100" s="16">
        <v>1542778</v>
      </c>
      <c r="AI100" s="17">
        <f t="shared" si="30"/>
        <v>-1518621</v>
      </c>
      <c r="AJ100" s="7" t="str">
        <f t="shared" si="33"/>
        <v/>
      </c>
      <c r="AK100" s="7" t="str">
        <f t="shared" si="34"/>
        <v/>
      </c>
      <c r="AL100" s="7">
        <f t="shared" si="35"/>
        <v>1.21161388459055</v>
      </c>
      <c r="AM100" s="7" t="str">
        <f t="shared" si="36"/>
        <v/>
      </c>
      <c r="AN100" s="4">
        <v>0</v>
      </c>
      <c r="AO100" s="4">
        <v>0</v>
      </c>
      <c r="AP100" s="14">
        <f t="shared" si="31"/>
        <v>1542778</v>
      </c>
      <c r="AQ100" s="14">
        <f t="shared" si="32"/>
        <v>1542778</v>
      </c>
      <c r="AR100" s="18">
        <v>82700.410000000149</v>
      </c>
      <c r="AS100" s="19">
        <v>17.18</v>
      </c>
      <c r="AT100" s="8">
        <v>16512215.26</v>
      </c>
      <c r="AU100" s="8">
        <v>26246.192999999999</v>
      </c>
      <c r="AV100" s="8">
        <v>835.76710000000003</v>
      </c>
      <c r="AW100" s="8"/>
      <c r="AX100" s="9">
        <v>418.42368030704438</v>
      </c>
      <c r="AY100" s="6">
        <f t="shared" si="37"/>
        <v>2.2895120175727583E-2</v>
      </c>
      <c r="AZ100" s="8">
        <v>426293254.1002</v>
      </c>
      <c r="BA100" s="10">
        <v>60480066</v>
      </c>
      <c r="BB100" s="11">
        <v>16512215.26</v>
      </c>
      <c r="BC100" s="10">
        <v>2971324</v>
      </c>
      <c r="BD100" s="10">
        <f>1000000000-999825005.3861+0</f>
        <v>174994.61389994621</v>
      </c>
      <c r="BE100" s="12">
        <f t="shared" si="38"/>
        <v>493568146.02590013</v>
      </c>
      <c r="BF100" s="13">
        <v>238</v>
      </c>
      <c r="BG100" s="13">
        <f t="shared" si="39"/>
        <v>255.56814602590015</v>
      </c>
      <c r="BH100" s="14">
        <f>BE100*17.18</f>
        <v>8479500748.7249641</v>
      </c>
    </row>
    <row r="101" spans="1:60" x14ac:dyDescent="0.25">
      <c r="A101" s="3">
        <v>45723</v>
      </c>
      <c r="B101" s="4">
        <v>10328312159</v>
      </c>
      <c r="C101" s="4"/>
      <c r="D101" s="5">
        <v>149081874</v>
      </c>
      <c r="E101" s="4"/>
      <c r="N101" s="4"/>
      <c r="O101" s="4"/>
      <c r="P101" s="5">
        <v>23676</v>
      </c>
      <c r="Q101" s="4"/>
      <c r="R101" s="14">
        <f t="shared" si="20"/>
        <v>23676</v>
      </c>
      <c r="S101" s="6">
        <v>0.03</v>
      </c>
      <c r="T101" s="14">
        <f t="shared" si="21"/>
        <v>0</v>
      </c>
      <c r="U101" s="14">
        <f t="shared" si="22"/>
        <v>0</v>
      </c>
      <c r="V101" s="14">
        <f t="shared" si="23"/>
        <v>710.28</v>
      </c>
      <c r="W101" s="14" t="str">
        <f t="shared" si="24"/>
        <v/>
      </c>
      <c r="X101" s="5">
        <v>0</v>
      </c>
      <c r="Y101" s="4"/>
      <c r="Z101" s="4"/>
      <c r="AA101" s="14">
        <f t="shared" si="25"/>
        <v>710.28</v>
      </c>
      <c r="AB101" s="4"/>
      <c r="AC101" s="4"/>
      <c r="AD101" s="14">
        <f t="shared" si="26"/>
        <v>0</v>
      </c>
      <c r="AE101" s="14">
        <f t="shared" si="27"/>
        <v>23676</v>
      </c>
      <c r="AF101" s="14" t="str">
        <f t="shared" si="28"/>
        <v/>
      </c>
      <c r="AG101" s="15">
        <f t="shared" si="29"/>
        <v>23676</v>
      </c>
      <c r="AH101" s="16">
        <v>2285221</v>
      </c>
      <c r="AI101" s="17">
        <f t="shared" si="30"/>
        <v>-2261545</v>
      </c>
      <c r="AJ101" s="7" t="str">
        <f t="shared" si="33"/>
        <v/>
      </c>
      <c r="AK101" s="7" t="str">
        <f t="shared" si="34"/>
        <v/>
      </c>
      <c r="AL101" s="7">
        <f t="shared" si="35"/>
        <v>1.5881206322909518</v>
      </c>
      <c r="AM101" s="7" t="str">
        <f t="shared" si="36"/>
        <v/>
      </c>
      <c r="AN101" s="4">
        <v>0</v>
      </c>
      <c r="AO101" s="4">
        <v>0</v>
      </c>
      <c r="AP101" s="14">
        <f t="shared" si="31"/>
        <v>2285221</v>
      </c>
      <c r="AQ101" s="14">
        <f t="shared" si="32"/>
        <v>2285221</v>
      </c>
      <c r="AR101" s="18">
        <v>127211.7200000007</v>
      </c>
      <c r="AS101" s="19">
        <v>15.39</v>
      </c>
      <c r="AT101" s="8">
        <v>16639426.98</v>
      </c>
      <c r="AU101" s="8">
        <v>26269.251400000001</v>
      </c>
      <c r="AV101" s="8">
        <v>957.75239999999997</v>
      </c>
      <c r="AW101" s="8"/>
      <c r="AX101" s="9">
        <v>419.07445663948403</v>
      </c>
      <c r="AY101" s="6">
        <f t="shared" si="37"/>
        <v>2.2879649687760566E-2</v>
      </c>
      <c r="AZ101" s="8">
        <v>426266984.8488</v>
      </c>
      <c r="BA101" s="10">
        <v>60480066</v>
      </c>
      <c r="BB101" s="11">
        <v>16639426.98</v>
      </c>
      <c r="BC101" s="10">
        <v>2971324</v>
      </c>
      <c r="BD101" s="10">
        <f>1000000000-999824047.6337+0</f>
        <v>175952.36629998684</v>
      </c>
      <c r="BE101" s="12">
        <f t="shared" si="38"/>
        <v>493466245.80490005</v>
      </c>
      <c r="BF101" s="13">
        <v>238</v>
      </c>
      <c r="BG101" s="13">
        <f t="shared" si="39"/>
        <v>255.46624580490004</v>
      </c>
      <c r="BH101" s="14">
        <f>BE101*15.39</f>
        <v>7594445522.9374123</v>
      </c>
    </row>
    <row r="102" spans="1:60" x14ac:dyDescent="0.25">
      <c r="A102" s="3">
        <v>45724</v>
      </c>
      <c r="B102" s="4">
        <v>2704382868</v>
      </c>
      <c r="C102" s="4"/>
      <c r="D102" s="5">
        <v>67592094</v>
      </c>
      <c r="E102" s="4"/>
      <c r="N102" s="4"/>
      <c r="O102" s="4"/>
      <c r="P102" s="5">
        <v>10892</v>
      </c>
      <c r="Q102" s="4"/>
      <c r="R102" s="14">
        <f t="shared" si="20"/>
        <v>10892</v>
      </c>
      <c r="S102" s="6">
        <v>0.03</v>
      </c>
      <c r="T102" s="14">
        <f t="shared" si="21"/>
        <v>0</v>
      </c>
      <c r="U102" s="14">
        <f t="shared" si="22"/>
        <v>0</v>
      </c>
      <c r="V102" s="14">
        <f t="shared" si="23"/>
        <v>326.76</v>
      </c>
      <c r="W102" s="14" t="str">
        <f t="shared" si="24"/>
        <v/>
      </c>
      <c r="X102" s="5">
        <v>0</v>
      </c>
      <c r="Y102" s="4"/>
      <c r="Z102" s="4"/>
      <c r="AA102" s="14">
        <f t="shared" si="25"/>
        <v>326.76</v>
      </c>
      <c r="AB102" s="4"/>
      <c r="AC102" s="4"/>
      <c r="AD102" s="14">
        <f t="shared" si="26"/>
        <v>0</v>
      </c>
      <c r="AE102" s="14">
        <f t="shared" si="27"/>
        <v>10892</v>
      </c>
      <c r="AF102" s="14" t="str">
        <f t="shared" si="28"/>
        <v/>
      </c>
      <c r="AG102" s="15">
        <f t="shared" si="29"/>
        <v>10892</v>
      </c>
      <c r="AH102" s="16">
        <v>625934</v>
      </c>
      <c r="AI102" s="17">
        <f t="shared" si="30"/>
        <v>-615042</v>
      </c>
      <c r="AJ102" s="7" t="str">
        <f t="shared" si="33"/>
        <v/>
      </c>
      <c r="AK102" s="7" t="str">
        <f t="shared" si="34"/>
        <v/>
      </c>
      <c r="AL102" s="7">
        <f t="shared" si="35"/>
        <v>1.6114310647041057</v>
      </c>
      <c r="AM102" s="7" t="str">
        <f t="shared" si="36"/>
        <v/>
      </c>
      <c r="AN102" s="4">
        <v>0</v>
      </c>
      <c r="AO102" s="4">
        <v>0</v>
      </c>
      <c r="AP102" s="14">
        <f t="shared" si="31"/>
        <v>625934</v>
      </c>
      <c r="AQ102" s="14">
        <f t="shared" si="32"/>
        <v>625934</v>
      </c>
      <c r="AR102" s="18">
        <v>102220.33999999989</v>
      </c>
      <c r="AS102" s="19">
        <v>15.14</v>
      </c>
      <c r="AT102" s="8">
        <v>16741647.32</v>
      </c>
      <c r="AU102" s="8">
        <v>26284.427899999999</v>
      </c>
      <c r="AV102" s="8">
        <v>935.32159999999999</v>
      </c>
      <c r="AW102" s="8"/>
      <c r="AX102" s="9">
        <v>419.20859173541697</v>
      </c>
      <c r="AY102" s="6">
        <f t="shared" si="37"/>
        <v>2.2885542836285966E-2</v>
      </c>
      <c r="AZ102" s="8">
        <v>426240700.421</v>
      </c>
      <c r="BA102" s="10">
        <v>60480066</v>
      </c>
      <c r="BB102" s="11">
        <v>16741647.32</v>
      </c>
      <c r="BC102" s="10">
        <v>2971324</v>
      </c>
      <c r="BD102" s="10">
        <f>1000000000-999823112.312+0</f>
        <v>176887.68799996376</v>
      </c>
      <c r="BE102" s="12">
        <f t="shared" si="38"/>
        <v>493389374.57100004</v>
      </c>
      <c r="BF102" s="13">
        <v>238</v>
      </c>
      <c r="BG102" s="13">
        <f t="shared" si="39"/>
        <v>255.38937457100002</v>
      </c>
      <c r="BH102" s="14">
        <f>BE102*15.14</f>
        <v>7469915131.004941</v>
      </c>
    </row>
    <row r="103" spans="1:60" x14ac:dyDescent="0.25">
      <c r="A103" s="3">
        <v>45725</v>
      </c>
      <c r="B103" s="4">
        <v>5412422029</v>
      </c>
      <c r="C103" s="4"/>
      <c r="D103" s="5">
        <v>118439528</v>
      </c>
      <c r="E103" s="4"/>
      <c r="N103" s="4"/>
      <c r="O103" s="4"/>
      <c r="P103" s="5">
        <v>17991</v>
      </c>
      <c r="Q103" s="4"/>
      <c r="R103" s="14">
        <f t="shared" si="20"/>
        <v>17991</v>
      </c>
      <c r="S103" s="6">
        <v>0.03</v>
      </c>
      <c r="T103" s="14">
        <f t="shared" si="21"/>
        <v>0</v>
      </c>
      <c r="U103" s="14">
        <f t="shared" si="22"/>
        <v>0</v>
      </c>
      <c r="V103" s="14">
        <f t="shared" si="23"/>
        <v>539.73</v>
      </c>
      <c r="W103" s="14" t="str">
        <f t="shared" si="24"/>
        <v/>
      </c>
      <c r="X103" s="5">
        <v>0</v>
      </c>
      <c r="Y103" s="4"/>
      <c r="Z103" s="4"/>
      <c r="AA103" s="14">
        <f t="shared" si="25"/>
        <v>539.73</v>
      </c>
      <c r="AB103" s="4"/>
      <c r="AC103" s="4"/>
      <c r="AD103" s="14">
        <f t="shared" si="26"/>
        <v>0</v>
      </c>
      <c r="AE103" s="14">
        <f t="shared" si="27"/>
        <v>17991</v>
      </c>
      <c r="AF103" s="14" t="str">
        <f t="shared" si="28"/>
        <v/>
      </c>
      <c r="AG103" s="15">
        <f t="shared" si="29"/>
        <v>17991</v>
      </c>
      <c r="AH103" s="16">
        <v>1192088</v>
      </c>
      <c r="AI103" s="17">
        <f t="shared" si="30"/>
        <v>-1174097</v>
      </c>
      <c r="AJ103" s="7" t="str">
        <f t="shared" si="33"/>
        <v/>
      </c>
      <c r="AK103" s="7" t="str">
        <f t="shared" si="34"/>
        <v/>
      </c>
      <c r="AL103" s="7">
        <f t="shared" si="35"/>
        <v>1.5190030139262292</v>
      </c>
      <c r="AM103" s="7" t="str">
        <f t="shared" si="36"/>
        <v/>
      </c>
      <c r="AN103" s="4">
        <v>0</v>
      </c>
      <c r="AO103" s="4">
        <v>0</v>
      </c>
      <c r="AP103" s="14">
        <f t="shared" si="31"/>
        <v>1192088</v>
      </c>
      <c r="AQ103" s="14">
        <f t="shared" si="32"/>
        <v>1192088</v>
      </c>
      <c r="AR103" s="18">
        <v>32005.86999999918</v>
      </c>
      <c r="AS103" s="19">
        <v>15.11</v>
      </c>
      <c r="AT103" s="8">
        <v>16773653.189999999</v>
      </c>
      <c r="AU103" s="8">
        <v>26298.118699999999</v>
      </c>
      <c r="AV103" s="8">
        <v>452.98950000000002</v>
      </c>
      <c r="AW103" s="8"/>
      <c r="AX103" s="9">
        <v>421.12837862737291</v>
      </c>
      <c r="AY103" s="6">
        <f t="shared" si="37"/>
        <v>2.2793081190078904E-2</v>
      </c>
      <c r="AZ103" s="8">
        <v>426214402.30229998</v>
      </c>
      <c r="BA103" s="10">
        <v>60480066</v>
      </c>
      <c r="BB103" s="11">
        <v>16773653.189999999</v>
      </c>
      <c r="BC103" s="10">
        <v>2971324</v>
      </c>
      <c r="BD103" s="10">
        <f>1000000000-999822659.3226+0</f>
        <v>177340.67739999294</v>
      </c>
      <c r="BE103" s="12">
        <f t="shared" si="38"/>
        <v>493383213.83030003</v>
      </c>
      <c r="BF103" s="13">
        <v>238</v>
      </c>
      <c r="BG103" s="13">
        <f t="shared" si="39"/>
        <v>255.38321383030001</v>
      </c>
      <c r="BH103" s="14">
        <f>BE103*15.11</f>
        <v>7455020360.9758329</v>
      </c>
    </row>
    <row r="104" spans="1:60" x14ac:dyDescent="0.25">
      <c r="A104" s="3">
        <v>45726</v>
      </c>
      <c r="B104" s="4">
        <v>9662861734</v>
      </c>
      <c r="C104" s="4"/>
      <c r="D104" s="5">
        <v>169103609</v>
      </c>
      <c r="E104" s="4"/>
      <c r="N104" s="4"/>
      <c r="O104" s="4"/>
      <c r="P104" s="5">
        <v>24937</v>
      </c>
      <c r="Q104" s="4"/>
      <c r="R104" s="14">
        <f t="shared" si="20"/>
        <v>24937</v>
      </c>
      <c r="S104" s="6">
        <v>0.03</v>
      </c>
      <c r="T104" s="14">
        <f t="shared" si="21"/>
        <v>0</v>
      </c>
      <c r="U104" s="14">
        <f t="shared" si="22"/>
        <v>0</v>
      </c>
      <c r="V104" s="14">
        <f t="shared" si="23"/>
        <v>748.11</v>
      </c>
      <c r="W104" s="14" t="str">
        <f t="shared" si="24"/>
        <v/>
      </c>
      <c r="X104" s="5">
        <v>0</v>
      </c>
      <c r="Y104" s="4"/>
      <c r="Z104" s="4"/>
      <c r="AA104" s="14">
        <f t="shared" si="25"/>
        <v>748.11</v>
      </c>
      <c r="AB104" s="4"/>
      <c r="AC104" s="4"/>
      <c r="AD104" s="14">
        <f t="shared" si="26"/>
        <v>0</v>
      </c>
      <c r="AE104" s="14">
        <f t="shared" si="27"/>
        <v>24937</v>
      </c>
      <c r="AF104" s="14" t="str">
        <f t="shared" si="28"/>
        <v/>
      </c>
      <c r="AG104" s="15">
        <f t="shared" si="29"/>
        <v>24937</v>
      </c>
      <c r="AH104" s="16">
        <v>2131600</v>
      </c>
      <c r="AI104" s="17">
        <f t="shared" si="30"/>
        <v>-2106663</v>
      </c>
      <c r="AJ104" s="7" t="str">
        <f t="shared" si="33"/>
        <v/>
      </c>
      <c r="AK104" s="7" t="str">
        <f t="shared" si="34"/>
        <v/>
      </c>
      <c r="AL104" s="7">
        <f t="shared" si="35"/>
        <v>1.4746580600772394</v>
      </c>
      <c r="AM104" s="7" t="str">
        <f t="shared" si="36"/>
        <v/>
      </c>
      <c r="AN104" s="4">
        <v>0</v>
      </c>
      <c r="AO104" s="4">
        <v>0</v>
      </c>
      <c r="AP104" s="14">
        <f t="shared" si="31"/>
        <v>2131600</v>
      </c>
      <c r="AQ104" s="14">
        <f t="shared" si="32"/>
        <v>2131600</v>
      </c>
      <c r="AR104" s="18">
        <v>96802.000000001863</v>
      </c>
      <c r="AS104" s="19">
        <v>14.42</v>
      </c>
      <c r="AT104" s="8">
        <v>16870455.190000001</v>
      </c>
      <c r="AU104" s="8">
        <v>26363.6194</v>
      </c>
      <c r="AV104" s="8">
        <v>623.56960000000004</v>
      </c>
      <c r="AW104" s="8"/>
      <c r="AX104" s="9">
        <v>421.47156643218671</v>
      </c>
      <c r="AY104" s="6">
        <f t="shared" si="37"/>
        <v>2.2831246156075541E-2</v>
      </c>
      <c r="AZ104" s="8">
        <v>426188038.68290001</v>
      </c>
      <c r="BA104" s="10">
        <v>60480066</v>
      </c>
      <c r="BB104" s="11">
        <v>16870455.190000001</v>
      </c>
      <c r="BC104" s="10">
        <v>2971324</v>
      </c>
      <c r="BD104" s="10">
        <f>1000000000-999822035.753+0</f>
        <v>177964.24699997902</v>
      </c>
      <c r="BE104" s="12">
        <f t="shared" si="38"/>
        <v>493312151.88010007</v>
      </c>
      <c r="BF104" s="13">
        <v>238</v>
      </c>
      <c r="BG104" s="13">
        <f t="shared" si="39"/>
        <v>255.31215188010009</v>
      </c>
      <c r="BH104" s="14">
        <f>BE104*14.42</f>
        <v>7113561230.111043</v>
      </c>
    </row>
    <row r="105" spans="1:60" x14ac:dyDescent="0.25">
      <c r="A105" s="3">
        <v>45727</v>
      </c>
      <c r="B105" s="4">
        <v>8230997837</v>
      </c>
      <c r="C105" s="4"/>
      <c r="D105" s="5">
        <v>165879349</v>
      </c>
      <c r="E105" s="4"/>
      <c r="N105" s="4"/>
      <c r="O105" s="4"/>
      <c r="P105" s="5">
        <v>24588</v>
      </c>
      <c r="Q105" s="4"/>
      <c r="R105" s="14">
        <f t="shared" si="20"/>
        <v>24588</v>
      </c>
      <c r="S105" s="6">
        <v>0.03</v>
      </c>
      <c r="T105" s="14">
        <f t="shared" si="21"/>
        <v>0</v>
      </c>
      <c r="U105" s="14">
        <f t="shared" si="22"/>
        <v>0</v>
      </c>
      <c r="V105" s="14">
        <f t="shared" si="23"/>
        <v>737.64</v>
      </c>
      <c r="W105" s="14" t="str">
        <f t="shared" si="24"/>
        <v/>
      </c>
      <c r="X105" s="5">
        <v>0</v>
      </c>
      <c r="Y105" s="4"/>
      <c r="Z105" s="4"/>
      <c r="AA105" s="14">
        <f t="shared" si="25"/>
        <v>737.64</v>
      </c>
      <c r="AB105" s="4"/>
      <c r="AC105" s="4"/>
      <c r="AD105" s="14">
        <f t="shared" si="26"/>
        <v>0</v>
      </c>
      <c r="AE105" s="14">
        <f t="shared" si="27"/>
        <v>24588</v>
      </c>
      <c r="AF105" s="14" t="str">
        <f t="shared" si="28"/>
        <v/>
      </c>
      <c r="AG105" s="15">
        <f t="shared" si="29"/>
        <v>24588</v>
      </c>
      <c r="AH105" s="16">
        <v>1830963</v>
      </c>
      <c r="AI105" s="17">
        <f t="shared" si="30"/>
        <v>-1806375</v>
      </c>
      <c r="AJ105" s="7" t="str">
        <f t="shared" si="33"/>
        <v/>
      </c>
      <c r="AK105" s="7" t="str">
        <f t="shared" si="34"/>
        <v/>
      </c>
      <c r="AL105" s="7">
        <f t="shared" si="35"/>
        <v>1.4822821615968604</v>
      </c>
      <c r="AM105" s="7" t="str">
        <f t="shared" si="36"/>
        <v/>
      </c>
      <c r="AN105" s="4">
        <v>0</v>
      </c>
      <c r="AO105" s="4">
        <v>0</v>
      </c>
      <c r="AP105" s="14">
        <f t="shared" si="31"/>
        <v>1830963</v>
      </c>
      <c r="AQ105" s="14">
        <f t="shared" si="32"/>
        <v>1830963</v>
      </c>
      <c r="AR105" s="18">
        <v>170988.5299999975</v>
      </c>
      <c r="AS105" s="19">
        <v>13.46</v>
      </c>
      <c r="AT105" s="8">
        <v>17041443.719999999</v>
      </c>
      <c r="AU105" s="8">
        <v>26334.2317</v>
      </c>
      <c r="AV105" s="8">
        <v>1085.8531</v>
      </c>
      <c r="AW105" s="8"/>
      <c r="AX105" s="9">
        <v>421.15997041264183</v>
      </c>
      <c r="AY105" s="6">
        <f t="shared" si="37"/>
        <v>2.2822668928109222E-2</v>
      </c>
      <c r="AZ105" s="8">
        <v>426161704.45130002</v>
      </c>
      <c r="BA105" s="10">
        <v>60480066</v>
      </c>
      <c r="BB105" s="11">
        <v>17041443.719999999</v>
      </c>
      <c r="BC105" s="10">
        <v>2971324</v>
      </c>
      <c r="BD105" s="10">
        <f>1000000000-999820949.8999+0</f>
        <v>179050.10010004044</v>
      </c>
      <c r="BE105" s="12">
        <f t="shared" si="38"/>
        <v>493166411.72859991</v>
      </c>
      <c r="BF105" s="13">
        <v>238</v>
      </c>
      <c r="BG105" s="13">
        <f t="shared" si="39"/>
        <v>255.16641172859988</v>
      </c>
      <c r="BH105" s="14">
        <f>BE105*13.46</f>
        <v>6638019901.8669548</v>
      </c>
    </row>
    <row r="106" spans="1:60" x14ac:dyDescent="0.25">
      <c r="A106" s="3">
        <v>45728</v>
      </c>
      <c r="B106" s="4">
        <v>7385946216</v>
      </c>
      <c r="C106" s="4"/>
      <c r="D106" s="5">
        <v>179610161</v>
      </c>
      <c r="E106" s="4"/>
      <c r="N106" s="4"/>
      <c r="O106" s="4"/>
      <c r="P106" s="5">
        <v>26516</v>
      </c>
      <c r="Q106" s="4"/>
      <c r="R106" s="14">
        <f t="shared" si="20"/>
        <v>26516</v>
      </c>
      <c r="S106" s="6">
        <v>0.03</v>
      </c>
      <c r="T106" s="14">
        <f t="shared" si="21"/>
        <v>0</v>
      </c>
      <c r="U106" s="14">
        <f t="shared" si="22"/>
        <v>0</v>
      </c>
      <c r="V106" s="14">
        <f t="shared" si="23"/>
        <v>795.48</v>
      </c>
      <c r="W106" s="14" t="str">
        <f t="shared" si="24"/>
        <v/>
      </c>
      <c r="X106" s="5">
        <v>0</v>
      </c>
      <c r="Y106" s="4"/>
      <c r="Z106" s="4"/>
      <c r="AA106" s="14">
        <f t="shared" si="25"/>
        <v>795.48</v>
      </c>
      <c r="AB106" s="4"/>
      <c r="AC106" s="4"/>
      <c r="AD106" s="14">
        <f t="shared" si="26"/>
        <v>0</v>
      </c>
      <c r="AE106" s="14">
        <f t="shared" si="27"/>
        <v>26516</v>
      </c>
      <c r="AF106" s="14" t="str">
        <f t="shared" si="28"/>
        <v/>
      </c>
      <c r="AG106" s="15">
        <f t="shared" si="29"/>
        <v>26516</v>
      </c>
      <c r="AH106" s="16">
        <v>1519532</v>
      </c>
      <c r="AI106" s="17">
        <f t="shared" si="30"/>
        <v>-1493016</v>
      </c>
      <c r="AJ106" s="7" t="str">
        <f t="shared" si="33"/>
        <v/>
      </c>
      <c r="AK106" s="7" t="str">
        <f t="shared" si="34"/>
        <v/>
      </c>
      <c r="AL106" s="7">
        <f t="shared" si="35"/>
        <v>1.4763084589629647</v>
      </c>
      <c r="AM106" s="7" t="str">
        <f t="shared" si="36"/>
        <v/>
      </c>
      <c r="AN106" s="4">
        <v>0</v>
      </c>
      <c r="AO106" s="4">
        <v>0</v>
      </c>
      <c r="AP106" s="14">
        <f t="shared" si="31"/>
        <v>1519532</v>
      </c>
      <c r="AQ106" s="14">
        <f t="shared" si="32"/>
        <v>1519532</v>
      </c>
      <c r="AR106" s="18">
        <v>103046.0400000028</v>
      </c>
      <c r="AS106" s="19">
        <v>13.78</v>
      </c>
      <c r="AT106" s="8">
        <v>17144489.760000002</v>
      </c>
      <c r="AU106" s="8">
        <v>26325.6793</v>
      </c>
      <c r="AV106" s="8">
        <v>1086.3825999999999</v>
      </c>
      <c r="AW106" s="8"/>
      <c r="AX106" s="9">
        <v>422.74388329130892</v>
      </c>
      <c r="AY106" s="6">
        <f t="shared" si="37"/>
        <v>2.272977404117427E-2</v>
      </c>
      <c r="AZ106" s="8">
        <v>426135378.77200001</v>
      </c>
      <c r="BA106" s="10">
        <v>60480066</v>
      </c>
      <c r="BB106" s="11">
        <v>17144489.760000002</v>
      </c>
      <c r="BC106" s="10">
        <v>2971324</v>
      </c>
      <c r="BD106" s="10">
        <f>1000000000-999819863.5174+0</f>
        <v>180136.48259997368</v>
      </c>
      <c r="BE106" s="12">
        <f t="shared" si="38"/>
        <v>493088604.98539996</v>
      </c>
      <c r="BF106" s="13">
        <v>238</v>
      </c>
      <c r="BG106" s="13">
        <f t="shared" si="39"/>
        <v>255.08860498539997</v>
      </c>
      <c r="BH106" s="14">
        <f>BE106*13.78</f>
        <v>6794760976.6988115</v>
      </c>
    </row>
    <row r="107" spans="1:60" x14ac:dyDescent="0.25">
      <c r="A107" s="3">
        <v>45729</v>
      </c>
      <c r="B107" s="4">
        <v>4794383453</v>
      </c>
      <c r="C107" s="4"/>
      <c r="D107" s="5">
        <v>144019081</v>
      </c>
      <c r="E107" s="4"/>
      <c r="N107" s="4"/>
      <c r="O107" s="4"/>
      <c r="P107" s="5">
        <v>21681</v>
      </c>
      <c r="Q107" s="4"/>
      <c r="R107" s="14">
        <f t="shared" si="20"/>
        <v>21681</v>
      </c>
      <c r="S107" s="6">
        <v>0.03</v>
      </c>
      <c r="T107" s="14">
        <f t="shared" si="21"/>
        <v>0</v>
      </c>
      <c r="U107" s="14">
        <f t="shared" si="22"/>
        <v>0</v>
      </c>
      <c r="V107" s="14">
        <f t="shared" si="23"/>
        <v>650.42999999999995</v>
      </c>
      <c r="W107" s="14" t="str">
        <f t="shared" si="24"/>
        <v/>
      </c>
      <c r="X107" s="5">
        <v>0</v>
      </c>
      <c r="Y107" s="4"/>
      <c r="Z107" s="4"/>
      <c r="AA107" s="14">
        <f t="shared" si="25"/>
        <v>650.42999999999995</v>
      </c>
      <c r="AB107" s="4"/>
      <c r="AC107" s="4"/>
      <c r="AD107" s="14">
        <f t="shared" si="26"/>
        <v>0</v>
      </c>
      <c r="AE107" s="14">
        <f t="shared" si="27"/>
        <v>21681</v>
      </c>
      <c r="AF107" s="14" t="str">
        <f t="shared" si="28"/>
        <v/>
      </c>
      <c r="AG107" s="15">
        <f t="shared" si="29"/>
        <v>21681</v>
      </c>
      <c r="AH107" s="16">
        <v>1101752</v>
      </c>
      <c r="AI107" s="17">
        <f t="shared" si="30"/>
        <v>-1080071</v>
      </c>
      <c r="AJ107" s="7" t="str">
        <f t="shared" si="33"/>
        <v/>
      </c>
      <c r="AK107" s="7" t="str">
        <f t="shared" si="34"/>
        <v/>
      </c>
      <c r="AL107" s="7">
        <f t="shared" si="35"/>
        <v>1.5054255206641682</v>
      </c>
      <c r="AM107" s="7" t="str">
        <f t="shared" si="36"/>
        <v/>
      </c>
      <c r="AN107" s="4">
        <v>0</v>
      </c>
      <c r="AO107" s="4">
        <v>0</v>
      </c>
      <c r="AP107" s="14">
        <f t="shared" si="31"/>
        <v>1101752</v>
      </c>
      <c r="AQ107" s="14">
        <f t="shared" si="32"/>
        <v>1101752</v>
      </c>
      <c r="AR107" s="18">
        <v>111406.2599999979</v>
      </c>
      <c r="AS107" s="19">
        <v>13.16</v>
      </c>
      <c r="AT107" s="8">
        <v>17255896.02</v>
      </c>
      <c r="AU107" s="8">
        <v>26389.040199999999</v>
      </c>
      <c r="AV107" s="8">
        <v>1361.7718</v>
      </c>
      <c r="AW107" s="8"/>
      <c r="AX107" s="9">
        <v>422.13375719779918</v>
      </c>
      <c r="AY107" s="6">
        <f t="shared" si="37"/>
        <v>2.2817411563905644E-2</v>
      </c>
      <c r="AZ107" s="8">
        <v>426108989.7317</v>
      </c>
      <c r="BA107" s="10">
        <v>60480066</v>
      </c>
      <c r="BB107" s="11">
        <v>17255896.02</v>
      </c>
      <c r="BC107" s="10">
        <v>2971324</v>
      </c>
      <c r="BD107" s="10">
        <f>1000000000-999818501.7456+0</f>
        <v>181498.25440001488</v>
      </c>
      <c r="BE107" s="12">
        <f t="shared" si="38"/>
        <v>493002225.99390006</v>
      </c>
      <c r="BF107" s="13">
        <v>238</v>
      </c>
      <c r="BG107" s="13">
        <f t="shared" si="39"/>
        <v>255.00222599390008</v>
      </c>
      <c r="BH107" s="14">
        <f>BE107*13.16</f>
        <v>6487909294.0797253</v>
      </c>
    </row>
    <row r="108" spans="1:60" x14ac:dyDescent="0.25">
      <c r="A108" s="3">
        <v>45730</v>
      </c>
      <c r="B108" s="4">
        <v>4206697098</v>
      </c>
      <c r="C108" s="4"/>
      <c r="D108" s="5">
        <v>129815493</v>
      </c>
      <c r="E108" s="4"/>
      <c r="N108" s="4"/>
      <c r="O108" s="4"/>
      <c r="P108" s="5">
        <v>16728</v>
      </c>
      <c r="Q108" s="4"/>
      <c r="R108" s="14">
        <f t="shared" si="20"/>
        <v>16728</v>
      </c>
      <c r="S108" s="6">
        <v>0.03</v>
      </c>
      <c r="T108" s="14">
        <f t="shared" si="21"/>
        <v>0</v>
      </c>
      <c r="U108" s="14">
        <f t="shared" si="22"/>
        <v>0</v>
      </c>
      <c r="V108" s="14">
        <f t="shared" si="23"/>
        <v>501.84</v>
      </c>
      <c r="W108" s="14" t="str">
        <f t="shared" si="24"/>
        <v/>
      </c>
      <c r="X108" s="5">
        <v>0</v>
      </c>
      <c r="Y108" s="4"/>
      <c r="Z108" s="4"/>
      <c r="AA108" s="14">
        <f t="shared" si="25"/>
        <v>501.84</v>
      </c>
      <c r="AB108" s="4"/>
      <c r="AC108" s="4"/>
      <c r="AD108" s="14">
        <f t="shared" si="26"/>
        <v>0</v>
      </c>
      <c r="AE108" s="14">
        <f t="shared" si="27"/>
        <v>16728</v>
      </c>
      <c r="AF108" s="14" t="str">
        <f t="shared" si="28"/>
        <v/>
      </c>
      <c r="AG108" s="15">
        <f t="shared" si="29"/>
        <v>16728</v>
      </c>
      <c r="AH108" s="16">
        <v>932668</v>
      </c>
      <c r="AI108" s="17">
        <f t="shared" si="30"/>
        <v>-915940</v>
      </c>
      <c r="AJ108" s="7" t="str">
        <f t="shared" si="33"/>
        <v/>
      </c>
      <c r="AK108" s="7" t="str">
        <f t="shared" si="34"/>
        <v/>
      </c>
      <c r="AL108" s="7">
        <f t="shared" si="35"/>
        <v>1.2885981182538822</v>
      </c>
      <c r="AM108" s="7" t="str">
        <f t="shared" si="36"/>
        <v/>
      </c>
      <c r="AN108" s="4">
        <v>0</v>
      </c>
      <c r="AO108" s="4">
        <v>0</v>
      </c>
      <c r="AP108" s="14">
        <f t="shared" si="31"/>
        <v>932668</v>
      </c>
      <c r="AQ108" s="14">
        <f t="shared" si="32"/>
        <v>932668</v>
      </c>
      <c r="AR108" s="18">
        <v>92831.269999999553</v>
      </c>
      <c r="AS108" s="19">
        <v>12.32</v>
      </c>
      <c r="AT108" s="8">
        <v>17348727.289999999</v>
      </c>
      <c r="AU108" s="8">
        <v>26348.157999999999</v>
      </c>
      <c r="AV108" s="8">
        <v>1180.4490000000001</v>
      </c>
      <c r="AW108" s="8"/>
      <c r="AX108" s="9">
        <v>420.80220832954649</v>
      </c>
      <c r="AY108" s="6">
        <f t="shared" si="37"/>
        <v>2.2854152092444568E-2</v>
      </c>
      <c r="AZ108" s="8">
        <v>426082641.57370001</v>
      </c>
      <c r="BA108" s="10">
        <v>60480066</v>
      </c>
      <c r="BB108" s="11">
        <v>17348727.289999999</v>
      </c>
      <c r="BC108" s="10">
        <v>2971324</v>
      </c>
      <c r="BD108" s="10">
        <f>1000000000-999817321.2966+0</f>
        <v>182678.70340001583</v>
      </c>
      <c r="BE108" s="12">
        <f t="shared" si="38"/>
        <v>492934562.43290001</v>
      </c>
      <c r="BF108" s="13">
        <v>238</v>
      </c>
      <c r="BG108" s="13">
        <f t="shared" si="39"/>
        <v>254.93456243290001</v>
      </c>
      <c r="BH108" s="14">
        <f>BE108*12.32</f>
        <v>6072953809.1733284</v>
      </c>
    </row>
    <row r="109" spans="1:60" x14ac:dyDescent="0.25">
      <c r="A109" s="3">
        <v>45731</v>
      </c>
      <c r="B109" s="4">
        <v>2136911541</v>
      </c>
      <c r="C109" s="4"/>
      <c r="D109" s="5">
        <v>57862220</v>
      </c>
      <c r="E109" s="4"/>
      <c r="N109" s="4"/>
      <c r="O109" s="4"/>
      <c r="P109" s="5">
        <v>7895</v>
      </c>
      <c r="Q109" s="4"/>
      <c r="R109" s="14">
        <f t="shared" si="20"/>
        <v>7895</v>
      </c>
      <c r="S109" s="6">
        <v>0.03</v>
      </c>
      <c r="T109" s="14">
        <f t="shared" si="21"/>
        <v>0</v>
      </c>
      <c r="U109" s="14">
        <f t="shared" si="22"/>
        <v>0</v>
      </c>
      <c r="V109" s="14">
        <f t="shared" si="23"/>
        <v>236.85</v>
      </c>
      <c r="W109" s="14" t="str">
        <f t="shared" si="24"/>
        <v/>
      </c>
      <c r="X109" s="5">
        <v>0</v>
      </c>
      <c r="Y109" s="4"/>
      <c r="Z109" s="4"/>
      <c r="AA109" s="14">
        <f t="shared" si="25"/>
        <v>236.85</v>
      </c>
      <c r="AB109" s="4"/>
      <c r="AC109" s="4"/>
      <c r="AD109" s="14">
        <f t="shared" si="26"/>
        <v>0</v>
      </c>
      <c r="AE109" s="14">
        <f t="shared" si="27"/>
        <v>7895</v>
      </c>
      <c r="AF109" s="14" t="str">
        <f t="shared" si="28"/>
        <v/>
      </c>
      <c r="AG109" s="15">
        <f t="shared" si="29"/>
        <v>7895</v>
      </c>
      <c r="AH109" s="16">
        <v>603903</v>
      </c>
      <c r="AI109" s="17">
        <f t="shared" si="30"/>
        <v>-596008</v>
      </c>
      <c r="AJ109" s="7" t="str">
        <f t="shared" si="33"/>
        <v/>
      </c>
      <c r="AK109" s="7" t="str">
        <f t="shared" si="34"/>
        <v/>
      </c>
      <c r="AL109" s="7">
        <f t="shared" si="35"/>
        <v>1.3644481666966806</v>
      </c>
      <c r="AM109" s="7" t="str">
        <f t="shared" si="36"/>
        <v/>
      </c>
      <c r="AN109" s="4">
        <v>0</v>
      </c>
      <c r="AO109" s="4">
        <v>0</v>
      </c>
      <c r="AP109" s="14">
        <f t="shared" si="31"/>
        <v>603903</v>
      </c>
      <c r="AQ109" s="14">
        <f t="shared" si="32"/>
        <v>603903</v>
      </c>
      <c r="AR109" s="18">
        <v>66679.620000001043</v>
      </c>
      <c r="AS109" s="19">
        <v>13.8</v>
      </c>
      <c r="AT109" s="8">
        <v>17415406.91</v>
      </c>
      <c r="AU109" s="8">
        <v>26350.721000000001</v>
      </c>
      <c r="AV109" s="8">
        <v>1123.1199999999999</v>
      </c>
      <c r="AW109" s="8"/>
      <c r="AX109" s="9">
        <v>421.83766159362722</v>
      </c>
      <c r="AY109" s="6">
        <f t="shared" si="37"/>
        <v>2.2800271385596222E-2</v>
      </c>
      <c r="AZ109" s="8">
        <v>426056290.8527</v>
      </c>
      <c r="BA109" s="10">
        <v>60480066</v>
      </c>
      <c r="BB109" s="11">
        <v>17415406.91</v>
      </c>
      <c r="BC109" s="10">
        <v>2971324</v>
      </c>
      <c r="BD109" s="10">
        <f>1000000000-999816198.1766+0</f>
        <v>183801.8234000206</v>
      </c>
      <c r="BE109" s="12">
        <f t="shared" si="38"/>
        <v>492893110.41389996</v>
      </c>
      <c r="BF109" s="13">
        <v>238</v>
      </c>
      <c r="BG109" s="13">
        <f t="shared" si="39"/>
        <v>254.89311041389993</v>
      </c>
      <c r="BH109" s="14">
        <f>BE109*13.8</f>
        <v>6801924923.7118196</v>
      </c>
    </row>
    <row r="110" spans="1:60" x14ac:dyDescent="0.25">
      <c r="A110" s="3">
        <v>45732</v>
      </c>
      <c r="B110" s="4">
        <v>3662298196</v>
      </c>
      <c r="C110" s="4"/>
      <c r="D110" s="5">
        <v>61473426</v>
      </c>
      <c r="E110" s="4"/>
      <c r="N110" s="4"/>
      <c r="O110" s="4"/>
      <c r="P110" s="5">
        <v>10659</v>
      </c>
      <c r="Q110" s="4"/>
      <c r="R110" s="14">
        <f t="shared" si="20"/>
        <v>10659</v>
      </c>
      <c r="S110" s="6">
        <v>0.03</v>
      </c>
      <c r="T110" s="14">
        <f t="shared" si="21"/>
        <v>0</v>
      </c>
      <c r="U110" s="14">
        <f t="shared" si="22"/>
        <v>0</v>
      </c>
      <c r="V110" s="14">
        <f t="shared" si="23"/>
        <v>319.77</v>
      </c>
      <c r="W110" s="14" t="str">
        <f t="shared" si="24"/>
        <v/>
      </c>
      <c r="X110" s="5">
        <v>0</v>
      </c>
      <c r="Y110" s="4"/>
      <c r="Z110" s="4"/>
      <c r="AA110" s="14">
        <f t="shared" si="25"/>
        <v>319.77</v>
      </c>
      <c r="AB110" s="4"/>
      <c r="AC110" s="4"/>
      <c r="AD110" s="14">
        <f t="shared" si="26"/>
        <v>0</v>
      </c>
      <c r="AE110" s="14">
        <f t="shared" si="27"/>
        <v>10659</v>
      </c>
      <c r="AF110" s="14" t="str">
        <f t="shared" si="28"/>
        <v/>
      </c>
      <c r="AG110" s="15">
        <f t="shared" si="29"/>
        <v>10659</v>
      </c>
      <c r="AH110" s="16">
        <v>818086</v>
      </c>
      <c r="AI110" s="17">
        <f t="shared" si="30"/>
        <v>-807427</v>
      </c>
      <c r="AJ110" s="7" t="str">
        <f t="shared" si="33"/>
        <v/>
      </c>
      <c r="AK110" s="7" t="str">
        <f t="shared" si="34"/>
        <v/>
      </c>
      <c r="AL110" s="7">
        <f t="shared" si="35"/>
        <v>1.7339199542904928</v>
      </c>
      <c r="AM110" s="7" t="str">
        <f t="shared" si="36"/>
        <v/>
      </c>
      <c r="AN110" s="4">
        <v>0</v>
      </c>
      <c r="AO110" s="4">
        <v>0</v>
      </c>
      <c r="AP110" s="14">
        <f t="shared" si="31"/>
        <v>818086</v>
      </c>
      <c r="AQ110" s="14">
        <f t="shared" si="32"/>
        <v>818086</v>
      </c>
      <c r="AR110" s="18">
        <v>33187.339999999851</v>
      </c>
      <c r="AS110" s="19">
        <v>14.38</v>
      </c>
      <c r="AT110" s="8">
        <v>17448594.25</v>
      </c>
      <c r="AU110" s="8">
        <v>26366.344700000001</v>
      </c>
      <c r="AV110" s="8">
        <v>394.05560000000003</v>
      </c>
      <c r="AW110" s="8"/>
      <c r="AX110" s="9">
        <v>421.85520033714101</v>
      </c>
      <c r="AY110" s="6">
        <f t="shared" si="37"/>
        <v>2.2812841486388825E-2</v>
      </c>
      <c r="AZ110" s="8">
        <v>426029924.50800002</v>
      </c>
      <c r="BA110" s="10">
        <v>60480066</v>
      </c>
      <c r="BB110" s="11">
        <v>17448594.25</v>
      </c>
      <c r="BC110" s="10">
        <v>2971324</v>
      </c>
      <c r="BD110" s="10">
        <f>1000000000-999815804.121+0</f>
        <v>184195.8789999485</v>
      </c>
      <c r="BE110" s="12">
        <f t="shared" si="38"/>
        <v>492885895.36300004</v>
      </c>
      <c r="BF110" s="13">
        <v>238</v>
      </c>
      <c r="BG110" s="13">
        <f t="shared" si="39"/>
        <v>254.88589536300003</v>
      </c>
      <c r="BH110" s="14">
        <f>BE110*14.38</f>
        <v>7087699175.3199406</v>
      </c>
    </row>
    <row r="111" spans="1:60" x14ac:dyDescent="0.25">
      <c r="A111" s="3">
        <v>45733</v>
      </c>
      <c r="B111" s="4">
        <v>3724551748</v>
      </c>
      <c r="C111" s="4"/>
      <c r="D111" s="5">
        <v>62237612</v>
      </c>
      <c r="E111" s="4"/>
      <c r="N111" s="4"/>
      <c r="O111" s="4"/>
      <c r="P111" s="5">
        <v>8208</v>
      </c>
      <c r="Q111" s="4"/>
      <c r="R111" s="14">
        <f t="shared" si="20"/>
        <v>8208</v>
      </c>
      <c r="S111" s="6">
        <v>0.03</v>
      </c>
      <c r="T111" s="14">
        <f t="shared" si="21"/>
        <v>0</v>
      </c>
      <c r="U111" s="14">
        <f t="shared" si="22"/>
        <v>0</v>
      </c>
      <c r="V111" s="14">
        <f t="shared" si="23"/>
        <v>246.23999999999998</v>
      </c>
      <c r="W111" s="14" t="str">
        <f t="shared" si="24"/>
        <v/>
      </c>
      <c r="X111" s="5">
        <v>0</v>
      </c>
      <c r="Y111" s="4"/>
      <c r="Z111" s="4"/>
      <c r="AA111" s="14">
        <f t="shared" si="25"/>
        <v>246.23999999999998</v>
      </c>
      <c r="AB111" s="4"/>
      <c r="AC111" s="4"/>
      <c r="AD111" s="14">
        <f t="shared" si="26"/>
        <v>0</v>
      </c>
      <c r="AE111" s="14">
        <f t="shared" si="27"/>
        <v>8208</v>
      </c>
      <c r="AF111" s="14" t="str">
        <f t="shared" si="28"/>
        <v/>
      </c>
      <c r="AG111" s="15">
        <f t="shared" si="29"/>
        <v>8208</v>
      </c>
      <c r="AH111" s="16">
        <v>785447</v>
      </c>
      <c r="AI111" s="17">
        <f t="shared" si="30"/>
        <v>-777239</v>
      </c>
      <c r="AJ111" s="7" t="str">
        <f t="shared" si="33"/>
        <v/>
      </c>
      <c r="AK111" s="7" t="str">
        <f t="shared" si="34"/>
        <v/>
      </c>
      <c r="AL111" s="7">
        <f t="shared" si="35"/>
        <v>1.3188166666805916</v>
      </c>
      <c r="AM111" s="7" t="str">
        <f t="shared" si="36"/>
        <v/>
      </c>
      <c r="AN111" s="4">
        <v>0</v>
      </c>
      <c r="AO111" s="4">
        <v>0</v>
      </c>
      <c r="AP111" s="14">
        <f t="shared" si="31"/>
        <v>785447</v>
      </c>
      <c r="AQ111" s="14">
        <f t="shared" si="32"/>
        <v>785447</v>
      </c>
      <c r="AR111" s="18">
        <v>66425.170000001788</v>
      </c>
      <c r="AS111" s="19">
        <v>12.97</v>
      </c>
      <c r="AT111" s="8">
        <v>17515019.420000002</v>
      </c>
      <c r="AU111" s="8">
        <v>26359.811399999999</v>
      </c>
      <c r="AV111" s="8">
        <v>337.05540000000002</v>
      </c>
      <c r="AW111" s="8"/>
      <c r="AX111" s="9">
        <v>421.58032467586372</v>
      </c>
      <c r="AY111" s="6">
        <f t="shared" si="37"/>
        <v>2.2822059279918854E-2</v>
      </c>
      <c r="AZ111" s="8">
        <v>426003564.69660002</v>
      </c>
      <c r="BA111" s="10">
        <v>60480066</v>
      </c>
      <c r="BB111" s="11">
        <v>17515019.420000002</v>
      </c>
      <c r="BC111" s="10">
        <v>2971324</v>
      </c>
      <c r="BD111" s="10">
        <f>1000000000-999815467.0656+0</f>
        <v>184532.93439996243</v>
      </c>
      <c r="BE111" s="12">
        <f t="shared" si="38"/>
        <v>492845492.94900006</v>
      </c>
      <c r="BF111" s="13">
        <v>238</v>
      </c>
      <c r="BG111" s="13">
        <f t="shared" si="39"/>
        <v>254.84549294900006</v>
      </c>
      <c r="BH111" s="14">
        <f>BE111*12.97</f>
        <v>6392206043.5485315</v>
      </c>
    </row>
    <row r="112" spans="1:60" x14ac:dyDescent="0.25">
      <c r="A112" s="3">
        <v>45734</v>
      </c>
      <c r="B112" s="4">
        <v>4923537605</v>
      </c>
      <c r="C112" s="4"/>
      <c r="D112" s="5">
        <v>57535112</v>
      </c>
      <c r="E112" s="4"/>
      <c r="N112" s="4"/>
      <c r="O112" s="4"/>
      <c r="P112" s="5">
        <v>8169</v>
      </c>
      <c r="Q112" s="4"/>
      <c r="R112" s="14">
        <f t="shared" si="20"/>
        <v>8169</v>
      </c>
      <c r="S112" s="6">
        <v>0.03</v>
      </c>
      <c r="T112" s="14">
        <f t="shared" si="21"/>
        <v>0</v>
      </c>
      <c r="U112" s="14">
        <f t="shared" si="22"/>
        <v>0</v>
      </c>
      <c r="V112" s="14">
        <f t="shared" si="23"/>
        <v>245.07</v>
      </c>
      <c r="W112" s="14" t="str">
        <f t="shared" si="24"/>
        <v/>
      </c>
      <c r="X112" s="5">
        <v>0</v>
      </c>
      <c r="Y112" s="4"/>
      <c r="Z112" s="4"/>
      <c r="AA112" s="14">
        <f t="shared" si="25"/>
        <v>245.07</v>
      </c>
      <c r="AB112" s="4"/>
      <c r="AC112" s="4"/>
      <c r="AD112" s="14">
        <f t="shared" si="26"/>
        <v>0</v>
      </c>
      <c r="AE112" s="14">
        <f t="shared" si="27"/>
        <v>8169</v>
      </c>
      <c r="AF112" s="14" t="str">
        <f t="shared" si="28"/>
        <v/>
      </c>
      <c r="AG112" s="15">
        <f t="shared" si="29"/>
        <v>8169</v>
      </c>
      <c r="AH112" s="16">
        <v>1091874</v>
      </c>
      <c r="AI112" s="17">
        <f t="shared" si="30"/>
        <v>-1083705</v>
      </c>
      <c r="AJ112" s="7" t="str">
        <f t="shared" si="33"/>
        <v/>
      </c>
      <c r="AK112" s="7" t="str">
        <f t="shared" si="34"/>
        <v/>
      </c>
      <c r="AL112" s="7">
        <f t="shared" si="35"/>
        <v>1.4198286430727727</v>
      </c>
      <c r="AM112" s="7" t="str">
        <f t="shared" si="36"/>
        <v/>
      </c>
      <c r="AN112" s="4">
        <v>0</v>
      </c>
      <c r="AO112" s="4">
        <v>0</v>
      </c>
      <c r="AP112" s="14">
        <f t="shared" si="31"/>
        <v>1091874</v>
      </c>
      <c r="AQ112" s="14">
        <f t="shared" si="32"/>
        <v>1091874</v>
      </c>
      <c r="AR112" s="18">
        <v>78677.309999998659</v>
      </c>
      <c r="AS112" s="19">
        <v>13.25</v>
      </c>
      <c r="AT112" s="8">
        <v>17593696.73</v>
      </c>
      <c r="AU112" s="8">
        <v>26362.792399999998</v>
      </c>
      <c r="AV112" s="8">
        <v>471.63240000000002</v>
      </c>
      <c r="AW112" s="8"/>
      <c r="AX112" s="9">
        <v>422.13694199197408</v>
      </c>
      <c r="AY112" s="6">
        <f t="shared" si="37"/>
        <v>2.2794544302599671E-2</v>
      </c>
      <c r="AZ112" s="8">
        <v>425977201.90420002</v>
      </c>
      <c r="BA112" s="10">
        <v>60480066</v>
      </c>
      <c r="BB112" s="11">
        <v>17593696.73</v>
      </c>
      <c r="BC112" s="10">
        <v>2971324</v>
      </c>
      <c r="BD112" s="10">
        <f>1000000000-999814995.4333+0</f>
        <v>185004.56669998169</v>
      </c>
      <c r="BE112" s="12">
        <f t="shared" si="38"/>
        <v>492792706.79909992</v>
      </c>
      <c r="BF112" s="13">
        <v>238</v>
      </c>
      <c r="BG112" s="13">
        <f t="shared" si="39"/>
        <v>254.7927067990999</v>
      </c>
      <c r="BH112" s="14">
        <f>BE112*13.25</f>
        <v>6529503365.0880737</v>
      </c>
    </row>
    <row r="113" spans="1:60" x14ac:dyDescent="0.25">
      <c r="A113" s="3">
        <v>45735</v>
      </c>
      <c r="B113" s="4">
        <v>5936470684</v>
      </c>
      <c r="C113" s="4"/>
      <c r="D113" s="5">
        <v>135305314</v>
      </c>
      <c r="E113" s="4"/>
      <c r="N113" s="4"/>
      <c r="O113" s="4"/>
      <c r="P113" s="5">
        <v>18478</v>
      </c>
      <c r="Q113" s="4"/>
      <c r="R113" s="14">
        <f t="shared" ref="R113:R176" si="40">N113+O113+P113+N(Q113)</f>
        <v>18478</v>
      </c>
      <c r="S113" s="6">
        <v>0.03</v>
      </c>
      <c r="T113" s="14">
        <f t="shared" ref="T113:T176" si="41">N(AC113)*S113</f>
        <v>0</v>
      </c>
      <c r="U113" s="14">
        <f t="shared" ref="U113:U176" si="42">N(AD113)*S113</f>
        <v>0</v>
      </c>
      <c r="V113" s="14">
        <f t="shared" ref="V113:V176" si="43">N(AE113)*S113</f>
        <v>554.34</v>
      </c>
      <c r="W113" s="14" t="str">
        <f t="shared" ref="W113:W176" si="44">IF(Q113="","",N(AF113)*S113)</f>
        <v/>
      </c>
      <c r="X113" s="5">
        <v>0</v>
      </c>
      <c r="Y113" s="4"/>
      <c r="Z113" s="4"/>
      <c r="AA113" s="14">
        <f t="shared" ref="AA113:AA176" si="45">T113+U113+V113+N(W113)+X113+Y113+N(Z113)</f>
        <v>554.34</v>
      </c>
      <c r="AB113" s="4"/>
      <c r="AC113" s="4"/>
      <c r="AD113" s="14">
        <f t="shared" ref="AD113:AD176" si="46">O113-Y113</f>
        <v>0</v>
      </c>
      <c r="AE113" s="14">
        <f t="shared" ref="AE113:AE176" si="47">P113-X113</f>
        <v>18478</v>
      </c>
      <c r="AF113" s="14" t="str">
        <f t="shared" ref="AF113:AF176" si="48">IF(Q113="","",Q113-Z113)</f>
        <v/>
      </c>
      <c r="AG113" s="15">
        <f t="shared" ref="AG113:AG176" si="49">AC113+AD113+AE113+N(AF113)</f>
        <v>18478</v>
      </c>
      <c r="AH113" s="16">
        <v>1374072</v>
      </c>
      <c r="AI113" s="17">
        <f t="shared" ref="AI113:AI176" si="50">AG113-AH113</f>
        <v>-1355594</v>
      </c>
      <c r="AJ113" s="7" t="str">
        <f t="shared" si="33"/>
        <v/>
      </c>
      <c r="AK113" s="7" t="str">
        <f t="shared" si="34"/>
        <v/>
      </c>
      <c r="AL113" s="7">
        <f t="shared" si="35"/>
        <v>1.3656522019526889</v>
      </c>
      <c r="AM113" s="7" t="str">
        <f t="shared" si="36"/>
        <v/>
      </c>
      <c r="AN113" s="4">
        <v>0</v>
      </c>
      <c r="AO113" s="4">
        <v>0</v>
      </c>
      <c r="AP113" s="14">
        <f t="shared" ref="AP113:AP176" si="51">AH113+AN113+AO113</f>
        <v>1374072</v>
      </c>
      <c r="AQ113" s="14">
        <f t="shared" ref="AQ113:AQ176" si="52">AH113</f>
        <v>1374072</v>
      </c>
      <c r="AR113" s="18">
        <v>64659.089999999851</v>
      </c>
      <c r="AS113" s="19">
        <v>14.17</v>
      </c>
      <c r="AT113" s="8">
        <v>17658355.82</v>
      </c>
      <c r="AU113" s="8">
        <v>26377.289100000002</v>
      </c>
      <c r="AV113" s="8">
        <v>408.86110000000002</v>
      </c>
      <c r="AW113" s="8"/>
      <c r="AX113" s="9">
        <v>422.45742006706263</v>
      </c>
      <c r="AY113" s="6">
        <f t="shared" si="37"/>
        <v>2.2789777298672275E-2</v>
      </c>
      <c r="AZ113" s="8">
        <v>425950824.61510003</v>
      </c>
      <c r="BA113" s="10">
        <v>60480066</v>
      </c>
      <c r="BB113" s="11">
        <v>17658355.82</v>
      </c>
      <c r="BC113" s="10">
        <v>2971324</v>
      </c>
      <c r="BD113" s="10">
        <f>1000000000-999814586.5722+0</f>
        <v>185413.42780005932</v>
      </c>
      <c r="BE113" s="12">
        <f t="shared" si="38"/>
        <v>492754016.13709992</v>
      </c>
      <c r="BF113" s="13">
        <v>238</v>
      </c>
      <c r="BG113" s="13">
        <f t="shared" si="39"/>
        <v>254.75401613709994</v>
      </c>
      <c r="BH113" s="14">
        <f>BE113*14.17</f>
        <v>6982324408.6627054</v>
      </c>
    </row>
    <row r="114" spans="1:60" x14ac:dyDescent="0.25">
      <c r="A114" s="3">
        <v>45736</v>
      </c>
      <c r="B114" s="4">
        <v>4798349095</v>
      </c>
      <c r="C114" s="4"/>
      <c r="D114" s="5">
        <v>84104047</v>
      </c>
      <c r="E114" s="4"/>
      <c r="N114" s="4"/>
      <c r="O114" s="4"/>
      <c r="P114" s="5">
        <v>14033</v>
      </c>
      <c r="Q114" s="4"/>
      <c r="R114" s="14">
        <f t="shared" si="40"/>
        <v>14033</v>
      </c>
      <c r="S114" s="6">
        <v>0.03</v>
      </c>
      <c r="T114" s="14">
        <f t="shared" si="41"/>
        <v>0</v>
      </c>
      <c r="U114" s="14">
        <f t="shared" si="42"/>
        <v>0</v>
      </c>
      <c r="V114" s="14">
        <f t="shared" si="43"/>
        <v>420.99</v>
      </c>
      <c r="W114" s="14" t="str">
        <f t="shared" si="44"/>
        <v/>
      </c>
      <c r="X114" s="5">
        <v>0</v>
      </c>
      <c r="Y114" s="4"/>
      <c r="Z114" s="4"/>
      <c r="AA114" s="14">
        <f t="shared" si="45"/>
        <v>420.99</v>
      </c>
      <c r="AB114" s="4"/>
      <c r="AC114" s="4"/>
      <c r="AD114" s="14">
        <f t="shared" si="46"/>
        <v>0</v>
      </c>
      <c r="AE114" s="14">
        <f t="shared" si="47"/>
        <v>14033</v>
      </c>
      <c r="AF114" s="14" t="str">
        <f t="shared" si="48"/>
        <v/>
      </c>
      <c r="AG114" s="15">
        <f t="shared" si="49"/>
        <v>14033</v>
      </c>
      <c r="AH114" s="4">
        <v>1360250.11</v>
      </c>
      <c r="AI114" s="17">
        <f t="shared" si="50"/>
        <v>-1346217.11</v>
      </c>
      <c r="AJ114" s="7" t="str">
        <f t="shared" si="33"/>
        <v/>
      </c>
      <c r="AK114" s="7" t="str">
        <f t="shared" si="34"/>
        <v/>
      </c>
      <c r="AL114" s="7">
        <f t="shared" si="35"/>
        <v>1.6685285073142795</v>
      </c>
      <c r="AM114" s="7" t="str">
        <f t="shared" si="36"/>
        <v/>
      </c>
      <c r="AN114" s="4">
        <v>222.6507295013011</v>
      </c>
      <c r="AO114" s="4">
        <v>35438.86</v>
      </c>
      <c r="AP114" s="14">
        <f t="shared" si="51"/>
        <v>1395911.6207295016</v>
      </c>
      <c r="AQ114" s="14">
        <f t="shared" si="52"/>
        <v>1360250.11</v>
      </c>
      <c r="AR114" s="8">
        <v>93242.48</v>
      </c>
      <c r="AS114" s="20">
        <v>14.588309000000001</v>
      </c>
      <c r="AT114" s="8">
        <v>17751598.300000001</v>
      </c>
      <c r="AU114" s="8">
        <v>26389.3845</v>
      </c>
      <c r="AV114" s="8">
        <v>1047.6242999999999</v>
      </c>
      <c r="AW114" s="8"/>
      <c r="AX114" s="9">
        <v>423.36803206810509</v>
      </c>
      <c r="AY114" s="6">
        <f t="shared" si="37"/>
        <v>2.2751187177378871E-2</v>
      </c>
      <c r="AZ114" s="8">
        <v>425924435.2306</v>
      </c>
      <c r="BA114" s="10">
        <v>60480066</v>
      </c>
      <c r="BB114" s="11">
        <v>17751598.300000001</v>
      </c>
      <c r="BC114" s="10">
        <v>2971324</v>
      </c>
      <c r="BD114" s="10">
        <f>1000000000-999813538.9479+15.7406</f>
        <v>186476.79269994315</v>
      </c>
      <c r="BE114" s="12">
        <f t="shared" si="38"/>
        <v>492686099.67670006</v>
      </c>
      <c r="BF114" s="13">
        <v>238</v>
      </c>
      <c r="BG114" s="13">
        <f t="shared" si="39"/>
        <v>254.68609967670005</v>
      </c>
      <c r="BH114" s="14">
        <f>BE114*15.62</f>
        <v>7695756876.9500542</v>
      </c>
    </row>
    <row r="115" spans="1:60" x14ac:dyDescent="0.25">
      <c r="A115" s="3">
        <v>45737</v>
      </c>
      <c r="B115" s="4">
        <v>3535282613</v>
      </c>
      <c r="C115" s="4"/>
      <c r="D115" s="5">
        <v>96389184</v>
      </c>
      <c r="E115" s="4"/>
      <c r="N115" s="4"/>
      <c r="O115" s="4"/>
      <c r="P115" s="5">
        <v>12366</v>
      </c>
      <c r="Q115" s="4"/>
      <c r="R115" s="14">
        <f t="shared" si="40"/>
        <v>12366</v>
      </c>
      <c r="S115" s="6">
        <v>0.03</v>
      </c>
      <c r="T115" s="14">
        <f t="shared" si="41"/>
        <v>0</v>
      </c>
      <c r="U115" s="14">
        <f t="shared" si="42"/>
        <v>0</v>
      </c>
      <c r="V115" s="14">
        <f t="shared" si="43"/>
        <v>370.97999999999996</v>
      </c>
      <c r="W115" s="14" t="str">
        <f t="shared" si="44"/>
        <v/>
      </c>
      <c r="X115" s="5">
        <v>0</v>
      </c>
      <c r="Y115" s="4"/>
      <c r="Z115" s="4"/>
      <c r="AA115" s="14">
        <f t="shared" si="45"/>
        <v>370.97999999999996</v>
      </c>
      <c r="AB115" s="4"/>
      <c r="AC115" s="4"/>
      <c r="AD115" s="14">
        <f t="shared" si="46"/>
        <v>0</v>
      </c>
      <c r="AE115" s="14">
        <f t="shared" si="47"/>
        <v>12366</v>
      </c>
      <c r="AF115" s="14" t="str">
        <f t="shared" si="48"/>
        <v/>
      </c>
      <c r="AG115" s="15">
        <f t="shared" si="49"/>
        <v>12366</v>
      </c>
      <c r="AH115" s="4">
        <v>1031164.897</v>
      </c>
      <c r="AI115" s="17">
        <f t="shared" si="50"/>
        <v>-1018798.897</v>
      </c>
      <c r="AJ115" s="7" t="str">
        <f t="shared" si="33"/>
        <v/>
      </c>
      <c r="AK115" s="7" t="str">
        <f t="shared" si="34"/>
        <v/>
      </c>
      <c r="AL115" s="7">
        <f t="shared" si="35"/>
        <v>1.2829240259986017</v>
      </c>
      <c r="AM115" s="7" t="str">
        <f t="shared" si="36"/>
        <v/>
      </c>
      <c r="AN115" s="4">
        <v>2823.9089117239469</v>
      </c>
      <c r="AO115" s="4">
        <v>45038.239999999998</v>
      </c>
      <c r="AP115" s="14">
        <f t="shared" si="51"/>
        <v>1079027.045911724</v>
      </c>
      <c r="AQ115" s="14">
        <f t="shared" si="52"/>
        <v>1031164.897</v>
      </c>
      <c r="AR115" s="8">
        <v>70431.98</v>
      </c>
      <c r="AS115" s="20">
        <v>14.640578</v>
      </c>
      <c r="AT115" s="8">
        <v>17822030.280000001</v>
      </c>
      <c r="AU115" s="8">
        <v>26422.899799999999</v>
      </c>
      <c r="AV115" s="8">
        <v>592.86509999999998</v>
      </c>
      <c r="AW115" s="8"/>
      <c r="AX115" s="9">
        <v>423.99981331647922</v>
      </c>
      <c r="AY115" s="6">
        <f t="shared" si="37"/>
        <v>2.2746138380493389E-2</v>
      </c>
      <c r="AZ115" s="8">
        <v>425898012.33090001</v>
      </c>
      <c r="BA115" s="10">
        <v>60480066</v>
      </c>
      <c r="BB115" s="11">
        <v>17822030.280000001</v>
      </c>
      <c r="BC115" s="10">
        <v>2971324</v>
      </c>
      <c r="BD115" s="10">
        <f>1000000000-999812946.0828+193.1998</f>
        <v>187247.11699996929</v>
      </c>
      <c r="BE115" s="12">
        <f t="shared" si="38"/>
        <v>492641320.27210009</v>
      </c>
      <c r="BF115" s="13">
        <v>238</v>
      </c>
      <c r="BG115" s="13">
        <f t="shared" si="39"/>
        <v>254.64132027210007</v>
      </c>
      <c r="BH115" s="14">
        <f>BE115*14.15</f>
        <v>6970874681.8502169</v>
      </c>
    </row>
    <row r="116" spans="1:60" x14ac:dyDescent="0.25">
      <c r="A116" s="3">
        <v>45738</v>
      </c>
      <c r="B116" s="4">
        <v>2045427812</v>
      </c>
      <c r="C116" s="4"/>
      <c r="D116" s="5">
        <v>50878685</v>
      </c>
      <c r="E116" s="4"/>
      <c r="N116" s="4"/>
      <c r="O116" s="4"/>
      <c r="P116" s="5">
        <v>8437</v>
      </c>
      <c r="Q116" s="4"/>
      <c r="R116" s="14">
        <f t="shared" si="40"/>
        <v>8437</v>
      </c>
      <c r="S116" s="6">
        <v>0.03</v>
      </c>
      <c r="T116" s="14">
        <f t="shared" si="41"/>
        <v>0</v>
      </c>
      <c r="U116" s="14">
        <f t="shared" si="42"/>
        <v>0</v>
      </c>
      <c r="V116" s="14">
        <f t="shared" si="43"/>
        <v>253.10999999999999</v>
      </c>
      <c r="W116" s="14" t="str">
        <f t="shared" si="44"/>
        <v/>
      </c>
      <c r="X116" s="5">
        <v>0</v>
      </c>
      <c r="Y116" s="4"/>
      <c r="Z116" s="4"/>
      <c r="AA116" s="14">
        <f t="shared" si="45"/>
        <v>253.10999999999999</v>
      </c>
      <c r="AB116" s="4"/>
      <c r="AC116" s="4"/>
      <c r="AD116" s="14">
        <f t="shared" si="46"/>
        <v>0</v>
      </c>
      <c r="AE116" s="14">
        <f t="shared" si="47"/>
        <v>8437</v>
      </c>
      <c r="AF116" s="14" t="str">
        <f t="shared" si="48"/>
        <v/>
      </c>
      <c r="AG116" s="15">
        <f t="shared" si="49"/>
        <v>8437</v>
      </c>
      <c r="AH116" s="4">
        <v>847303.17579999997</v>
      </c>
      <c r="AI116" s="17">
        <f t="shared" si="50"/>
        <v>-838866.17579999997</v>
      </c>
      <c r="AJ116" s="7" t="str">
        <f t="shared" si="33"/>
        <v/>
      </c>
      <c r="AK116" s="7" t="str">
        <f t="shared" si="34"/>
        <v/>
      </c>
      <c r="AL116" s="7">
        <f t="shared" si="35"/>
        <v>1.6582582666985202</v>
      </c>
      <c r="AM116" s="7" t="str">
        <f t="shared" si="36"/>
        <v/>
      </c>
      <c r="AN116" s="4">
        <v>212.6556887149741</v>
      </c>
      <c r="AO116" s="4">
        <v>57676.12</v>
      </c>
      <c r="AP116" s="14">
        <f t="shared" si="51"/>
        <v>905191.9514887149</v>
      </c>
      <c r="AQ116" s="14">
        <f t="shared" si="52"/>
        <v>847303.17579999997</v>
      </c>
      <c r="AR116" s="8">
        <v>53131.87</v>
      </c>
      <c r="AS116" s="20">
        <v>15.947174</v>
      </c>
      <c r="AT116" s="8">
        <v>17875162.149999999</v>
      </c>
      <c r="AU116" s="8">
        <v>26439.0599</v>
      </c>
      <c r="AV116" s="8">
        <v>633.98929999999996</v>
      </c>
      <c r="AW116" s="8"/>
      <c r="AX116" s="9">
        <v>424.39380454560859</v>
      </c>
      <c r="AY116" s="6">
        <f t="shared" si="37"/>
        <v>2.2738920220177039E-2</v>
      </c>
      <c r="AZ116" s="8">
        <v>425871573.27100003</v>
      </c>
      <c r="BA116" s="10">
        <v>60480066</v>
      </c>
      <c r="BB116" s="11">
        <v>17875162.149999999</v>
      </c>
      <c r="BC116" s="10">
        <v>2971324</v>
      </c>
      <c r="BD116" s="10">
        <f>1000000000-999812312.0935+206.8561</f>
        <v>187894.76259998188</v>
      </c>
      <c r="BE116" s="12">
        <f t="shared" si="38"/>
        <v>492613979.81639999</v>
      </c>
      <c r="BF116" s="13">
        <v>238</v>
      </c>
      <c r="BG116" s="13">
        <f t="shared" si="39"/>
        <v>254.61397981639999</v>
      </c>
      <c r="BH116" s="14">
        <f>BE116*15.93</f>
        <v>7847340698.4752522</v>
      </c>
    </row>
    <row r="117" spans="1:60" x14ac:dyDescent="0.25">
      <c r="A117" s="3">
        <v>45739</v>
      </c>
      <c r="B117" s="4">
        <v>2462791313</v>
      </c>
      <c r="C117" s="4"/>
      <c r="D117" s="5">
        <v>48432865</v>
      </c>
      <c r="E117" s="4"/>
      <c r="N117" s="4"/>
      <c r="O117" s="4"/>
      <c r="P117" s="5">
        <v>6558</v>
      </c>
      <c r="Q117" s="4"/>
      <c r="R117" s="14">
        <f t="shared" si="40"/>
        <v>6558</v>
      </c>
      <c r="S117" s="6">
        <v>0.03</v>
      </c>
      <c r="T117" s="14">
        <f t="shared" si="41"/>
        <v>0</v>
      </c>
      <c r="U117" s="14">
        <f t="shared" si="42"/>
        <v>0</v>
      </c>
      <c r="V117" s="14">
        <f t="shared" si="43"/>
        <v>196.73999999999998</v>
      </c>
      <c r="W117" s="14" t="str">
        <f t="shared" si="44"/>
        <v/>
      </c>
      <c r="X117" s="5">
        <v>0</v>
      </c>
      <c r="Y117" s="4"/>
      <c r="Z117" s="4"/>
      <c r="AA117" s="14">
        <f t="shared" si="45"/>
        <v>196.73999999999998</v>
      </c>
      <c r="AB117" s="4"/>
      <c r="AC117" s="4"/>
      <c r="AD117" s="14">
        <f t="shared" si="46"/>
        <v>0</v>
      </c>
      <c r="AE117" s="14">
        <f t="shared" si="47"/>
        <v>6558</v>
      </c>
      <c r="AF117" s="14" t="str">
        <f t="shared" si="48"/>
        <v/>
      </c>
      <c r="AG117" s="15">
        <f t="shared" si="49"/>
        <v>6558</v>
      </c>
      <c r="AH117" s="4">
        <v>450708.74310000002</v>
      </c>
      <c r="AI117" s="17">
        <f t="shared" si="50"/>
        <v>-444150.74310000002</v>
      </c>
      <c r="AJ117" s="7" t="str">
        <f t="shared" si="33"/>
        <v/>
      </c>
      <c r="AK117" s="7" t="str">
        <f t="shared" si="34"/>
        <v/>
      </c>
      <c r="AL117" s="7">
        <f t="shared" si="35"/>
        <v>1.3540392458715793</v>
      </c>
      <c r="AM117" s="7" t="str">
        <f t="shared" si="36"/>
        <v/>
      </c>
      <c r="AN117" s="4">
        <v>313.52069174872167</v>
      </c>
      <c r="AO117" s="4">
        <v>0</v>
      </c>
      <c r="AP117" s="14">
        <f t="shared" si="51"/>
        <v>451022.26379174873</v>
      </c>
      <c r="AQ117" s="14">
        <f t="shared" si="52"/>
        <v>450708.74310000002</v>
      </c>
      <c r="AR117" s="8">
        <v>28455.13</v>
      </c>
      <c r="AS117" s="20">
        <v>15.839278999999999</v>
      </c>
      <c r="AT117" s="8">
        <v>17903617.280000001</v>
      </c>
      <c r="AU117" s="8">
        <v>26250.6168</v>
      </c>
      <c r="AV117" s="8">
        <v>393.11700000000002</v>
      </c>
      <c r="AW117" s="8"/>
      <c r="AX117" s="9">
        <v>423.22192143316261</v>
      </c>
      <c r="AY117" s="6">
        <f t="shared" si="37"/>
        <v>2.2639363999752443E-2</v>
      </c>
      <c r="AZ117" s="8">
        <v>425845322.65420002</v>
      </c>
      <c r="BA117" s="10">
        <v>60480066</v>
      </c>
      <c r="BB117" s="11">
        <v>17903617.280000001</v>
      </c>
      <c r="BC117" s="10">
        <v>2971324</v>
      </c>
      <c r="BD117" s="10">
        <f>1000000000-999811918.9765+226.0799</f>
        <v>188307.10339996568</v>
      </c>
      <c r="BE117" s="12">
        <f t="shared" si="38"/>
        <v>492611362.96239996</v>
      </c>
      <c r="BF117" s="13">
        <v>238</v>
      </c>
      <c r="BG117" s="13">
        <f t="shared" si="39"/>
        <v>254.61136296239994</v>
      </c>
      <c r="BH117" s="14">
        <f>BE117*15.57</f>
        <v>7669958921.3245678</v>
      </c>
    </row>
    <row r="118" spans="1:60" x14ac:dyDescent="0.25">
      <c r="A118" s="3">
        <v>45740</v>
      </c>
      <c r="B118" s="4">
        <v>5105825635</v>
      </c>
      <c r="C118" s="4"/>
      <c r="D118" s="5">
        <v>130689060</v>
      </c>
      <c r="E118" s="4"/>
      <c r="N118" s="4"/>
      <c r="O118" s="4"/>
      <c r="P118" s="5">
        <v>19185</v>
      </c>
      <c r="Q118" s="4"/>
      <c r="R118" s="14">
        <f t="shared" si="40"/>
        <v>19185</v>
      </c>
      <c r="S118" s="6">
        <v>0.03</v>
      </c>
      <c r="T118" s="14">
        <f t="shared" si="41"/>
        <v>0</v>
      </c>
      <c r="U118" s="14">
        <f t="shared" si="42"/>
        <v>0</v>
      </c>
      <c r="V118" s="14">
        <f t="shared" si="43"/>
        <v>575.54999999999995</v>
      </c>
      <c r="W118" s="14" t="str">
        <f t="shared" si="44"/>
        <v/>
      </c>
      <c r="X118" s="5">
        <v>0</v>
      </c>
      <c r="Y118" s="4"/>
      <c r="Z118" s="4"/>
      <c r="AA118" s="14">
        <f t="shared" si="45"/>
        <v>575.54999999999995</v>
      </c>
      <c r="AB118" s="4"/>
      <c r="AC118" s="4"/>
      <c r="AD118" s="14">
        <f t="shared" si="46"/>
        <v>0</v>
      </c>
      <c r="AE118" s="14">
        <f t="shared" si="47"/>
        <v>19185</v>
      </c>
      <c r="AF118" s="14" t="str">
        <f t="shared" si="48"/>
        <v/>
      </c>
      <c r="AG118" s="15">
        <f t="shared" si="49"/>
        <v>19185</v>
      </c>
      <c r="AH118" s="4">
        <v>829053.80929999996</v>
      </c>
      <c r="AI118" s="17">
        <f t="shared" si="50"/>
        <v>-809868.80929999996</v>
      </c>
      <c r="AJ118" s="7" t="str">
        <f t="shared" si="33"/>
        <v/>
      </c>
      <c r="AK118" s="7" t="str">
        <f t="shared" si="34"/>
        <v/>
      </c>
      <c r="AL118" s="7">
        <f t="shared" si="35"/>
        <v>1.4679882156930351</v>
      </c>
      <c r="AM118" s="7" t="str">
        <f t="shared" si="36"/>
        <v/>
      </c>
      <c r="AN118" s="4">
        <v>377.73303024727528</v>
      </c>
      <c r="AO118" s="4">
        <v>49980</v>
      </c>
      <c r="AP118" s="14">
        <f t="shared" si="51"/>
        <v>879411.54233024723</v>
      </c>
      <c r="AQ118" s="14">
        <f t="shared" si="52"/>
        <v>829053.80929999996</v>
      </c>
      <c r="AR118" s="8">
        <v>49430.03</v>
      </c>
      <c r="AS118" s="20">
        <v>16.772269999999999</v>
      </c>
      <c r="AT118" s="8">
        <v>17953047.309999999</v>
      </c>
      <c r="AU118" s="8">
        <v>26407.9725</v>
      </c>
      <c r="AV118" s="8">
        <v>282.11700000000002</v>
      </c>
      <c r="AW118" s="8"/>
      <c r="AX118" s="9">
        <v>423.13265524680543</v>
      </c>
      <c r="AY118" s="6">
        <f t="shared" si="37"/>
        <v>2.2779877286658017E-2</v>
      </c>
      <c r="AZ118" s="8">
        <v>425818914.68169999</v>
      </c>
      <c r="BA118" s="10">
        <v>60480066</v>
      </c>
      <c r="BB118" s="11">
        <v>17953047.309999999</v>
      </c>
      <c r="BC118" s="10">
        <v>2971324</v>
      </c>
      <c r="BD118" s="10">
        <f>1000000000-999811636.8595+248.6123</f>
        <v>188611.75279994946</v>
      </c>
      <c r="BE118" s="12">
        <f t="shared" si="38"/>
        <v>492588036.25550008</v>
      </c>
      <c r="BF118" s="13">
        <v>238</v>
      </c>
      <c r="BG118" s="13">
        <f t="shared" si="39"/>
        <v>254.58803625550007</v>
      </c>
      <c r="BH118" s="14">
        <f>BE118*16.29</f>
        <v>8024259110.6020956</v>
      </c>
    </row>
    <row r="119" spans="1:60" x14ac:dyDescent="0.25">
      <c r="A119" s="3">
        <v>45741</v>
      </c>
      <c r="B119" s="4">
        <v>3932030199</v>
      </c>
      <c r="C119" s="4"/>
      <c r="D119" s="5">
        <v>76294797</v>
      </c>
      <c r="E119" s="4"/>
      <c r="N119" s="4"/>
      <c r="O119" s="4"/>
      <c r="P119" s="5">
        <v>11525</v>
      </c>
      <c r="Q119" s="4"/>
      <c r="R119" s="14">
        <f t="shared" si="40"/>
        <v>11525</v>
      </c>
      <c r="S119" s="6">
        <v>0.03</v>
      </c>
      <c r="T119" s="14">
        <f t="shared" si="41"/>
        <v>0</v>
      </c>
      <c r="U119" s="14">
        <f t="shared" si="42"/>
        <v>0</v>
      </c>
      <c r="V119" s="14">
        <f t="shared" si="43"/>
        <v>345.75</v>
      </c>
      <c r="W119" s="14" t="str">
        <f t="shared" si="44"/>
        <v/>
      </c>
      <c r="X119" s="5">
        <v>0</v>
      </c>
      <c r="Y119" s="4"/>
      <c r="Z119" s="4"/>
      <c r="AA119" s="14">
        <f t="shared" si="45"/>
        <v>345.75</v>
      </c>
      <c r="AB119" s="4"/>
      <c r="AC119" s="4"/>
      <c r="AD119" s="14">
        <f t="shared" si="46"/>
        <v>0</v>
      </c>
      <c r="AE119" s="14">
        <f t="shared" si="47"/>
        <v>11525</v>
      </c>
      <c r="AF119" s="14" t="str">
        <f t="shared" si="48"/>
        <v/>
      </c>
      <c r="AG119" s="15">
        <f t="shared" si="49"/>
        <v>11525</v>
      </c>
      <c r="AH119" s="4">
        <v>1041581.334</v>
      </c>
      <c r="AI119" s="17">
        <f t="shared" si="50"/>
        <v>-1030056.334</v>
      </c>
      <c r="AJ119" s="7" t="str">
        <f t="shared" si="33"/>
        <v/>
      </c>
      <c r="AK119" s="7" t="str">
        <f t="shared" si="34"/>
        <v/>
      </c>
      <c r="AL119" s="7">
        <f t="shared" si="35"/>
        <v>1.5105879369467357</v>
      </c>
      <c r="AM119" s="7" t="str">
        <f t="shared" si="36"/>
        <v/>
      </c>
      <c r="AN119" s="4">
        <v>325.86710647195139</v>
      </c>
      <c r="AO119" s="4">
        <v>63542.04</v>
      </c>
      <c r="AP119" s="14">
        <f t="shared" si="51"/>
        <v>1105449.241106472</v>
      </c>
      <c r="AQ119" s="14">
        <f t="shared" si="52"/>
        <v>1041581.334</v>
      </c>
      <c r="AR119" s="8">
        <v>63584.4</v>
      </c>
      <c r="AS119" s="20">
        <v>16.381083</v>
      </c>
      <c r="AT119" s="8">
        <v>18016631.710000001</v>
      </c>
      <c r="AU119" s="8">
        <v>26408.119900000002</v>
      </c>
      <c r="AV119" s="8">
        <v>874.47519999999997</v>
      </c>
      <c r="AW119" s="8"/>
      <c r="AX119" s="9">
        <v>422.83972229021299</v>
      </c>
      <c r="AY119" s="6">
        <f t="shared" si="37"/>
        <v>2.2795785862531545E-2</v>
      </c>
      <c r="AZ119" s="8">
        <v>425792506.5618</v>
      </c>
      <c r="BA119" s="10">
        <v>60480066</v>
      </c>
      <c r="BB119" s="11">
        <v>18016631.710000001</v>
      </c>
      <c r="BC119" s="10">
        <v>2971324</v>
      </c>
      <c r="BD119" s="10">
        <f>1000000000-999810762.3843+268.9434</f>
        <v>189506.55910000647</v>
      </c>
      <c r="BE119" s="12">
        <f t="shared" si="38"/>
        <v>492549965.16909999</v>
      </c>
      <c r="BF119" s="13">
        <v>238</v>
      </c>
      <c r="BG119" s="13">
        <f t="shared" si="39"/>
        <v>254.54996516910001</v>
      </c>
      <c r="BH119" s="14">
        <f>BE119*16.77</f>
        <v>8260062915.885807</v>
      </c>
    </row>
    <row r="120" spans="1:60" x14ac:dyDescent="0.25">
      <c r="A120" s="3">
        <v>45742</v>
      </c>
      <c r="B120" s="4">
        <v>4546459280</v>
      </c>
      <c r="C120" s="4"/>
      <c r="D120" s="5">
        <v>388622924</v>
      </c>
      <c r="E120" s="4"/>
      <c r="N120" s="4"/>
      <c r="O120" s="4"/>
      <c r="P120" s="5">
        <v>62061</v>
      </c>
      <c r="Q120" s="4"/>
      <c r="R120" s="14">
        <f t="shared" si="40"/>
        <v>62061</v>
      </c>
      <c r="S120" s="6">
        <v>0.03</v>
      </c>
      <c r="T120" s="14">
        <f t="shared" si="41"/>
        <v>0</v>
      </c>
      <c r="U120" s="14">
        <f t="shared" si="42"/>
        <v>0</v>
      </c>
      <c r="V120" s="14">
        <f t="shared" si="43"/>
        <v>1861.83</v>
      </c>
      <c r="W120" s="14" t="str">
        <f t="shared" si="44"/>
        <v/>
      </c>
      <c r="X120" s="5">
        <v>0</v>
      </c>
      <c r="Y120" s="4"/>
      <c r="Z120" s="4"/>
      <c r="AA120" s="14">
        <f t="shared" si="45"/>
        <v>1861.83</v>
      </c>
      <c r="AB120" s="4"/>
      <c r="AC120" s="4"/>
      <c r="AD120" s="14">
        <f t="shared" si="46"/>
        <v>0</v>
      </c>
      <c r="AE120" s="14">
        <f t="shared" si="47"/>
        <v>62061</v>
      </c>
      <c r="AF120" s="14" t="str">
        <f t="shared" si="48"/>
        <v/>
      </c>
      <c r="AG120" s="15">
        <f t="shared" si="49"/>
        <v>62061</v>
      </c>
      <c r="AH120" s="4">
        <v>829339.39029999997</v>
      </c>
      <c r="AI120" s="17">
        <f t="shared" si="50"/>
        <v>-767278.39029999997</v>
      </c>
      <c r="AJ120" s="7" t="str">
        <f t="shared" si="33"/>
        <v/>
      </c>
      <c r="AK120" s="7" t="str">
        <f t="shared" si="34"/>
        <v/>
      </c>
      <c r="AL120" s="7">
        <f t="shared" si="35"/>
        <v>1.5969464529066226</v>
      </c>
      <c r="AM120" s="7" t="str">
        <f t="shared" si="36"/>
        <v/>
      </c>
      <c r="AN120" s="4">
        <v>520.88850756941895</v>
      </c>
      <c r="AO120" s="4">
        <v>0</v>
      </c>
      <c r="AP120" s="14">
        <f t="shared" si="51"/>
        <v>829860.27880756941</v>
      </c>
      <c r="AQ120" s="14">
        <f t="shared" si="52"/>
        <v>829339.39029999997</v>
      </c>
      <c r="AR120" s="8">
        <v>57631.29</v>
      </c>
      <c r="AS120" s="20">
        <v>14.390435999999999</v>
      </c>
      <c r="AT120" s="8">
        <v>18074263</v>
      </c>
      <c r="AU120" s="8">
        <v>26422.374299999999</v>
      </c>
      <c r="AV120" s="8">
        <v>418.23860000000002</v>
      </c>
      <c r="AW120" s="8"/>
      <c r="AX120" s="9">
        <v>423.69991959285898</v>
      </c>
      <c r="AY120" s="6">
        <f t="shared" si="37"/>
        <v>2.2761785342719103E-2</v>
      </c>
      <c r="AZ120" s="8">
        <v>425766084.1875</v>
      </c>
      <c r="BA120" s="10">
        <v>60480066</v>
      </c>
      <c r="BB120" s="11">
        <v>18074263</v>
      </c>
      <c r="BC120" s="10">
        <v>2971324</v>
      </c>
      <c r="BD120" s="10">
        <f>1000000000-999810344.1457+305.9778</f>
        <v>189961.83210002212</v>
      </c>
      <c r="BE120" s="12">
        <f t="shared" si="38"/>
        <v>492518300.98039997</v>
      </c>
      <c r="BF120" s="13">
        <v>238</v>
      </c>
      <c r="BG120" s="13">
        <f t="shared" si="39"/>
        <v>254.51830098039994</v>
      </c>
      <c r="BH120" s="14">
        <f>BE120*16.03</f>
        <v>7895068364.7158117</v>
      </c>
    </row>
    <row r="121" spans="1:60" x14ac:dyDescent="0.25">
      <c r="A121" s="3">
        <v>45743</v>
      </c>
      <c r="B121" s="4">
        <v>2968017788</v>
      </c>
      <c r="C121" s="4"/>
      <c r="D121" s="5">
        <v>87102845</v>
      </c>
      <c r="E121" s="4"/>
      <c r="N121" s="4"/>
      <c r="O121" s="4"/>
      <c r="P121" s="5">
        <v>12229</v>
      </c>
      <c r="Q121" s="4"/>
      <c r="R121" s="14">
        <f t="shared" si="40"/>
        <v>12229</v>
      </c>
      <c r="S121" s="6">
        <v>0.03</v>
      </c>
      <c r="T121" s="14">
        <f t="shared" si="41"/>
        <v>0</v>
      </c>
      <c r="U121" s="14">
        <f t="shared" si="42"/>
        <v>0</v>
      </c>
      <c r="V121" s="14">
        <f t="shared" si="43"/>
        <v>366.87</v>
      </c>
      <c r="W121" s="14" t="str">
        <f t="shared" si="44"/>
        <v/>
      </c>
      <c r="X121" s="5">
        <v>0</v>
      </c>
      <c r="Y121" s="4"/>
      <c r="Z121" s="4"/>
      <c r="AA121" s="14">
        <f t="shared" si="45"/>
        <v>366.87</v>
      </c>
      <c r="AB121" s="4"/>
      <c r="AC121" s="4"/>
      <c r="AD121" s="14">
        <f t="shared" si="46"/>
        <v>0</v>
      </c>
      <c r="AE121" s="14">
        <f t="shared" si="47"/>
        <v>12229</v>
      </c>
      <c r="AF121" s="14" t="str">
        <f t="shared" si="48"/>
        <v/>
      </c>
      <c r="AG121" s="15">
        <f t="shared" si="49"/>
        <v>12229</v>
      </c>
      <c r="AH121" s="4">
        <v>1118366.4680000001</v>
      </c>
      <c r="AI121" s="17">
        <f t="shared" si="50"/>
        <v>-1106137.4680000001</v>
      </c>
      <c r="AJ121" s="7" t="str">
        <f t="shared" si="33"/>
        <v/>
      </c>
      <c r="AK121" s="7" t="str">
        <f t="shared" si="34"/>
        <v/>
      </c>
      <c r="AL121" s="7">
        <f t="shared" si="35"/>
        <v>1.4039725108864125</v>
      </c>
      <c r="AM121" s="7" t="str">
        <f t="shared" si="36"/>
        <v/>
      </c>
      <c r="AN121" s="4">
        <v>170.72506068017191</v>
      </c>
      <c r="AO121" s="4">
        <v>145034.84</v>
      </c>
      <c r="AP121" s="14">
        <f t="shared" si="51"/>
        <v>1263572.0330606804</v>
      </c>
      <c r="AQ121" s="14">
        <f t="shared" si="52"/>
        <v>1118366.4680000001</v>
      </c>
      <c r="AR121" s="8">
        <v>77117.5</v>
      </c>
      <c r="AS121" s="20">
        <v>14.50211</v>
      </c>
      <c r="AT121" s="8">
        <v>18151380.5</v>
      </c>
      <c r="AU121" s="8">
        <v>26404.381600000001</v>
      </c>
      <c r="AV121" s="8">
        <v>3348.6945000000001</v>
      </c>
      <c r="AW121" s="8"/>
      <c r="AX121" s="9">
        <v>421.95018844026328</v>
      </c>
      <c r="AY121" s="6">
        <f t="shared" si="37"/>
        <v>2.2840609029291671E-2</v>
      </c>
      <c r="AZ121" s="8">
        <v>425739679.80589998</v>
      </c>
      <c r="BA121" s="10">
        <v>60480066</v>
      </c>
      <c r="BB121" s="11">
        <v>18151380.5</v>
      </c>
      <c r="BC121" s="10">
        <v>2971324</v>
      </c>
      <c r="BD121" s="10">
        <f>1000000000-999806995.4512+317.6601</f>
        <v>193322.20889999162</v>
      </c>
      <c r="BE121" s="12">
        <f t="shared" si="38"/>
        <v>492464227.48520005</v>
      </c>
      <c r="BF121" s="13">
        <v>238</v>
      </c>
      <c r="BG121" s="13">
        <f t="shared" si="39"/>
        <v>254.46422748520007</v>
      </c>
      <c r="BH121" s="14">
        <f>BE121*14.06</f>
        <v>6924047038.4419127</v>
      </c>
    </row>
    <row r="122" spans="1:60" x14ac:dyDescent="0.25">
      <c r="A122" s="3">
        <v>45744</v>
      </c>
      <c r="B122" s="4">
        <v>4696027442</v>
      </c>
      <c r="C122" s="4"/>
      <c r="D122" s="5">
        <v>108552416</v>
      </c>
      <c r="E122" s="4"/>
      <c r="N122" s="4"/>
      <c r="O122" s="4"/>
      <c r="P122" s="5">
        <v>18181</v>
      </c>
      <c r="Q122" s="4"/>
      <c r="R122" s="14">
        <f t="shared" si="40"/>
        <v>18181</v>
      </c>
      <c r="S122" s="6">
        <v>0.03</v>
      </c>
      <c r="T122" s="14">
        <f t="shared" si="41"/>
        <v>0</v>
      </c>
      <c r="U122" s="14">
        <f t="shared" si="42"/>
        <v>0</v>
      </c>
      <c r="V122" s="14">
        <f t="shared" si="43"/>
        <v>545.42999999999995</v>
      </c>
      <c r="W122" s="14" t="str">
        <f t="shared" si="44"/>
        <v/>
      </c>
      <c r="X122" s="5">
        <v>0</v>
      </c>
      <c r="Y122" s="4"/>
      <c r="Z122" s="4"/>
      <c r="AA122" s="14">
        <f t="shared" si="45"/>
        <v>545.42999999999995</v>
      </c>
      <c r="AB122" s="4"/>
      <c r="AC122" s="4"/>
      <c r="AD122" s="14">
        <f t="shared" si="46"/>
        <v>0</v>
      </c>
      <c r="AE122" s="14">
        <f t="shared" si="47"/>
        <v>18181</v>
      </c>
      <c r="AF122" s="14" t="str">
        <f t="shared" si="48"/>
        <v/>
      </c>
      <c r="AG122" s="15">
        <f t="shared" si="49"/>
        <v>18181</v>
      </c>
      <c r="AH122" s="4">
        <v>828868.4987</v>
      </c>
      <c r="AI122" s="17">
        <f t="shared" si="50"/>
        <v>-810687.4987</v>
      </c>
      <c r="AJ122" s="7" t="str">
        <f t="shared" si="33"/>
        <v/>
      </c>
      <c r="AK122" s="7" t="str">
        <f t="shared" si="34"/>
        <v/>
      </c>
      <c r="AL122" s="7">
        <f t="shared" si="35"/>
        <v>1.6748590837443913</v>
      </c>
      <c r="AM122" s="7" t="str">
        <f t="shared" si="36"/>
        <v/>
      </c>
      <c r="AN122" s="4">
        <v>148.90207006116631</v>
      </c>
      <c r="AO122" s="4">
        <v>0</v>
      </c>
      <c r="AP122" s="14">
        <f t="shared" si="51"/>
        <v>829017.40077006118</v>
      </c>
      <c r="AQ122" s="14">
        <f t="shared" si="52"/>
        <v>828868.4987</v>
      </c>
      <c r="AR122" s="8">
        <v>62740.01</v>
      </c>
      <c r="AS122" s="20">
        <v>13.211163000000001</v>
      </c>
      <c r="AT122" s="8">
        <v>18214120.510000002</v>
      </c>
      <c r="AU122" s="8">
        <v>26355.4575</v>
      </c>
      <c r="AV122" s="8">
        <v>572.37139999999999</v>
      </c>
      <c r="AW122" s="8"/>
      <c r="AX122" s="9">
        <v>422.20671380802008</v>
      </c>
      <c r="AY122" s="6">
        <f t="shared" si="37"/>
        <v>2.2784436326785073E-2</v>
      </c>
      <c r="AZ122" s="8">
        <v>425713324.3484</v>
      </c>
      <c r="BA122" s="10">
        <v>60480066</v>
      </c>
      <c r="BB122" s="11">
        <v>18214120.510000002</v>
      </c>
      <c r="BC122" s="10">
        <v>2971324</v>
      </c>
      <c r="BD122" s="10">
        <f>1000000000-999806423.0798+328.7589</f>
        <v>193905.67909999026</v>
      </c>
      <c r="BE122" s="12">
        <f t="shared" si="38"/>
        <v>492427259.46250004</v>
      </c>
      <c r="BF122" s="13">
        <v>238</v>
      </c>
      <c r="BG122" s="13">
        <f t="shared" si="39"/>
        <v>254.42725946250005</v>
      </c>
      <c r="BH122" s="14">
        <f>BE122*14.59</f>
        <v>7184513715.5578756</v>
      </c>
    </row>
    <row r="123" spans="1:60" x14ac:dyDescent="0.25">
      <c r="A123" s="3">
        <v>45745</v>
      </c>
      <c r="B123" s="4">
        <v>3300437273</v>
      </c>
      <c r="C123" s="4"/>
      <c r="D123" s="5">
        <v>87727670</v>
      </c>
      <c r="E123" s="4"/>
      <c r="N123" s="4"/>
      <c r="O123" s="4"/>
      <c r="P123" s="5">
        <v>12604</v>
      </c>
      <c r="Q123" s="4"/>
      <c r="R123" s="14">
        <f t="shared" si="40"/>
        <v>12604</v>
      </c>
      <c r="S123" s="6">
        <v>0.03</v>
      </c>
      <c r="T123" s="14">
        <f t="shared" si="41"/>
        <v>0</v>
      </c>
      <c r="U123" s="14">
        <f t="shared" si="42"/>
        <v>0</v>
      </c>
      <c r="V123" s="14">
        <f t="shared" si="43"/>
        <v>378.12</v>
      </c>
      <c r="W123" s="14" t="str">
        <f t="shared" si="44"/>
        <v/>
      </c>
      <c r="X123" s="5">
        <v>0</v>
      </c>
      <c r="Y123" s="4"/>
      <c r="Z123" s="4"/>
      <c r="AA123" s="14">
        <f t="shared" si="45"/>
        <v>378.12</v>
      </c>
      <c r="AB123" s="4"/>
      <c r="AC123" s="4"/>
      <c r="AD123" s="14">
        <f t="shared" si="46"/>
        <v>0</v>
      </c>
      <c r="AE123" s="14">
        <f t="shared" si="47"/>
        <v>12604</v>
      </c>
      <c r="AF123" s="14" t="str">
        <f t="shared" si="48"/>
        <v/>
      </c>
      <c r="AG123" s="15">
        <f t="shared" si="49"/>
        <v>12604</v>
      </c>
      <c r="AH123" s="4">
        <v>901117.23360000004</v>
      </c>
      <c r="AI123" s="17">
        <f t="shared" si="50"/>
        <v>-888513.23360000004</v>
      </c>
      <c r="AJ123" s="7" t="str">
        <f t="shared" si="33"/>
        <v/>
      </c>
      <c r="AK123" s="7" t="str">
        <f t="shared" si="34"/>
        <v/>
      </c>
      <c r="AL123" s="7">
        <f t="shared" si="35"/>
        <v>1.4367188824232993</v>
      </c>
      <c r="AM123" s="7" t="str">
        <f t="shared" si="36"/>
        <v/>
      </c>
      <c r="AN123" s="4">
        <v>123.14806146054509</v>
      </c>
      <c r="AO123" s="4">
        <v>53370.55</v>
      </c>
      <c r="AP123" s="14">
        <f t="shared" si="51"/>
        <v>954610.93166146067</v>
      </c>
      <c r="AQ123" s="14">
        <f t="shared" si="52"/>
        <v>901117.23360000004</v>
      </c>
      <c r="AR123" s="8">
        <v>70357.02</v>
      </c>
      <c r="AS123" s="20">
        <v>12.807779999999999</v>
      </c>
      <c r="AT123" s="8">
        <v>18284477.530000001</v>
      </c>
      <c r="AU123" s="8">
        <v>26368.155999999999</v>
      </c>
      <c r="AV123" s="8">
        <v>574.88959999999997</v>
      </c>
      <c r="AW123" s="8"/>
      <c r="AX123" s="9">
        <v>421.76108801311568</v>
      </c>
      <c r="AY123" s="6">
        <f t="shared" si="37"/>
        <v>2.281949950703064E-2</v>
      </c>
      <c r="AZ123" s="8">
        <v>425686956.1925</v>
      </c>
      <c r="BA123" s="10">
        <v>60480066</v>
      </c>
      <c r="BB123" s="11">
        <v>18284477.530000001</v>
      </c>
      <c r="BC123" s="10">
        <v>2971324</v>
      </c>
      <c r="BD123" s="10">
        <f>1000000000-999805848.1902+338.3746</f>
        <v>194490.18440002881</v>
      </c>
      <c r="BE123" s="12">
        <f t="shared" si="38"/>
        <v>492382686.09310001</v>
      </c>
      <c r="BF123" s="13">
        <v>238</v>
      </c>
      <c r="BG123" s="13">
        <f t="shared" si="39"/>
        <v>254.38268609310001</v>
      </c>
      <c r="BH123" s="14">
        <f>BE123*13.39</f>
        <v>6593004166.7866096</v>
      </c>
    </row>
    <row r="124" spans="1:60" x14ac:dyDescent="0.25">
      <c r="A124" s="3">
        <v>45746</v>
      </c>
      <c r="B124" s="4">
        <v>2774062341</v>
      </c>
      <c r="C124" s="4"/>
      <c r="D124" s="5">
        <v>50858942</v>
      </c>
      <c r="E124" s="4"/>
      <c r="N124" s="4"/>
      <c r="O124" s="4"/>
      <c r="P124" s="5">
        <v>7425</v>
      </c>
      <c r="Q124" s="4"/>
      <c r="R124" s="14">
        <f t="shared" si="40"/>
        <v>7425</v>
      </c>
      <c r="S124" s="6">
        <v>0.03</v>
      </c>
      <c r="T124" s="14">
        <f t="shared" si="41"/>
        <v>0</v>
      </c>
      <c r="U124" s="14">
        <f t="shared" si="42"/>
        <v>0</v>
      </c>
      <c r="V124" s="14">
        <f t="shared" si="43"/>
        <v>222.75</v>
      </c>
      <c r="W124" s="14" t="str">
        <f t="shared" si="44"/>
        <v/>
      </c>
      <c r="X124" s="5">
        <v>0</v>
      </c>
      <c r="Y124" s="4"/>
      <c r="Z124" s="4"/>
      <c r="AA124" s="14">
        <f t="shared" si="45"/>
        <v>222.75</v>
      </c>
      <c r="AB124" s="4"/>
      <c r="AC124" s="4"/>
      <c r="AD124" s="14">
        <f t="shared" si="46"/>
        <v>0</v>
      </c>
      <c r="AE124" s="14">
        <f t="shared" si="47"/>
        <v>7425</v>
      </c>
      <c r="AF124" s="14" t="str">
        <f t="shared" si="48"/>
        <v/>
      </c>
      <c r="AG124" s="15">
        <f t="shared" si="49"/>
        <v>7425</v>
      </c>
      <c r="AH124" s="4">
        <v>696924.23899999994</v>
      </c>
      <c r="AI124" s="17">
        <f t="shared" si="50"/>
        <v>-689499.23899999994</v>
      </c>
      <c r="AJ124" s="7" t="str">
        <f t="shared" si="33"/>
        <v/>
      </c>
      <c r="AK124" s="7" t="str">
        <f t="shared" si="34"/>
        <v/>
      </c>
      <c r="AL124" s="7">
        <f t="shared" si="35"/>
        <v>1.4599202633825925</v>
      </c>
      <c r="AM124" s="7" t="str">
        <f t="shared" si="36"/>
        <v/>
      </c>
      <c r="AN124" s="4">
        <v>101.8783737082079</v>
      </c>
      <c r="AO124" s="4">
        <v>45820.11</v>
      </c>
      <c r="AP124" s="14">
        <f t="shared" si="51"/>
        <v>742846.22737370816</v>
      </c>
      <c r="AQ124" s="14">
        <f t="shared" si="52"/>
        <v>696924.23899999994</v>
      </c>
      <c r="AR124" s="8">
        <v>55468.07</v>
      </c>
      <c r="AS124" s="20">
        <v>12.564422</v>
      </c>
      <c r="AT124" s="8">
        <v>18339945.600000001</v>
      </c>
      <c r="AU124" s="8">
        <v>26361.1944</v>
      </c>
      <c r="AV124" s="8">
        <v>564.41800000000001</v>
      </c>
      <c r="AW124" s="8"/>
      <c r="AX124" s="9">
        <v>421.45950479088981</v>
      </c>
      <c r="AY124" s="6">
        <f t="shared" si="37"/>
        <v>2.2829799415186862E-2</v>
      </c>
      <c r="AZ124" s="8">
        <v>425660594.99809998</v>
      </c>
      <c r="BA124" s="10">
        <v>60480066</v>
      </c>
      <c r="BB124" s="11">
        <v>18339945.600000001</v>
      </c>
      <c r="BC124" s="10">
        <v>2971324</v>
      </c>
      <c r="BD124" s="10">
        <f>1000000000-999805283.7722+346.534</f>
        <v>195062.76180001165</v>
      </c>
      <c r="BE124" s="12">
        <f t="shared" si="38"/>
        <v>492353006.64009994</v>
      </c>
      <c r="BF124" s="13">
        <v>238</v>
      </c>
      <c r="BG124" s="13">
        <f t="shared" si="39"/>
        <v>254.35300664009992</v>
      </c>
      <c r="BH124" s="14">
        <f>BE124*12.8</f>
        <v>6302118484.9932795</v>
      </c>
    </row>
    <row r="125" spans="1:60" x14ac:dyDescent="0.25">
      <c r="A125" s="3">
        <v>45747</v>
      </c>
      <c r="B125" s="4">
        <v>5786815779</v>
      </c>
      <c r="C125" s="4"/>
      <c r="D125" s="5">
        <v>90964477</v>
      </c>
      <c r="E125" s="4"/>
      <c r="N125" s="4"/>
      <c r="O125" s="4"/>
      <c r="P125" s="5">
        <v>12648</v>
      </c>
      <c r="Q125" s="4"/>
      <c r="R125" s="14">
        <f t="shared" si="40"/>
        <v>12648</v>
      </c>
      <c r="S125" s="6">
        <v>0.03</v>
      </c>
      <c r="T125" s="14">
        <f t="shared" si="41"/>
        <v>0</v>
      </c>
      <c r="U125" s="14">
        <f t="shared" si="42"/>
        <v>0</v>
      </c>
      <c r="V125" s="14">
        <f t="shared" si="43"/>
        <v>379.44</v>
      </c>
      <c r="W125" s="14" t="str">
        <f t="shared" si="44"/>
        <v/>
      </c>
      <c r="X125" s="5">
        <v>0</v>
      </c>
      <c r="Y125" s="4"/>
      <c r="Z125" s="4"/>
      <c r="AA125" s="14">
        <f t="shared" si="45"/>
        <v>379.44</v>
      </c>
      <c r="AB125" s="4"/>
      <c r="AC125" s="4"/>
      <c r="AD125" s="14">
        <f t="shared" si="46"/>
        <v>0</v>
      </c>
      <c r="AE125" s="14">
        <f t="shared" si="47"/>
        <v>12648</v>
      </c>
      <c r="AF125" s="14" t="str">
        <f t="shared" si="48"/>
        <v/>
      </c>
      <c r="AG125" s="15">
        <f t="shared" si="49"/>
        <v>12648</v>
      </c>
      <c r="AH125" s="4">
        <v>895707.81599999999</v>
      </c>
      <c r="AI125" s="17">
        <f t="shared" si="50"/>
        <v>-883059.81599999999</v>
      </c>
      <c r="AJ125" s="7" t="str">
        <f t="shared" si="33"/>
        <v/>
      </c>
      <c r="AK125" s="7" t="str">
        <f t="shared" si="34"/>
        <v/>
      </c>
      <c r="AL125" s="7">
        <f t="shared" si="35"/>
        <v>1.3904328829373691</v>
      </c>
      <c r="AM125" s="7" t="str">
        <f t="shared" si="36"/>
        <v/>
      </c>
      <c r="AN125" s="4">
        <v>396.57366420507037</v>
      </c>
      <c r="AO125" s="4">
        <v>0</v>
      </c>
      <c r="AP125" s="14">
        <f t="shared" si="51"/>
        <v>896104.38966420502</v>
      </c>
      <c r="AQ125" s="14">
        <f t="shared" si="52"/>
        <v>895707.81599999999</v>
      </c>
      <c r="AR125" s="8">
        <v>68018.009999999995</v>
      </c>
      <c r="AS125" s="20">
        <v>13.168685999999999</v>
      </c>
      <c r="AT125" s="8">
        <v>18407963.609999999</v>
      </c>
      <c r="AU125" s="8">
        <v>26329.338100000001</v>
      </c>
      <c r="AV125" s="8">
        <v>300.19170000000003</v>
      </c>
      <c r="AW125" s="8"/>
      <c r="AX125" s="9">
        <v>421.33212220036722</v>
      </c>
      <c r="AY125" s="6">
        <f t="shared" si="37"/>
        <v>2.2809104504806315E-2</v>
      </c>
      <c r="AZ125" s="8">
        <v>425634265.66000003</v>
      </c>
      <c r="BA125" s="10">
        <v>60480066</v>
      </c>
      <c r="BB125" s="11">
        <v>18407963.609999999</v>
      </c>
      <c r="BC125" s="10">
        <v>2971324</v>
      </c>
      <c r="BD125" s="10">
        <f>1000000000-999804983.5805+377.0256</f>
        <v>195393.44509999332</v>
      </c>
      <c r="BE125" s="12">
        <f t="shared" si="38"/>
        <v>492310987.28489989</v>
      </c>
      <c r="BF125" s="13">
        <v>238</v>
      </c>
      <c r="BG125" s="13">
        <f t="shared" si="39"/>
        <v>254.31098728489991</v>
      </c>
      <c r="BH125" s="14">
        <f>BE125*12.48</f>
        <v>6144041121.3155508</v>
      </c>
    </row>
    <row r="126" spans="1:60" x14ac:dyDescent="0.25">
      <c r="A126" s="3">
        <v>45748</v>
      </c>
      <c r="B126" s="4">
        <v>5024540120</v>
      </c>
      <c r="C126" s="4"/>
      <c r="D126" s="5">
        <v>67302035</v>
      </c>
      <c r="E126" s="4"/>
      <c r="N126" s="4"/>
      <c r="O126" s="4"/>
      <c r="P126" s="5">
        <v>9206</v>
      </c>
      <c r="Q126" s="4"/>
      <c r="R126" s="14">
        <f t="shared" si="40"/>
        <v>9206</v>
      </c>
      <c r="S126" s="6">
        <v>0.03</v>
      </c>
      <c r="T126" s="14">
        <f t="shared" si="41"/>
        <v>0</v>
      </c>
      <c r="U126" s="14">
        <f t="shared" si="42"/>
        <v>0</v>
      </c>
      <c r="V126" s="14">
        <f t="shared" si="43"/>
        <v>198.48</v>
      </c>
      <c r="W126" s="14" t="str">
        <f t="shared" si="44"/>
        <v/>
      </c>
      <c r="X126" s="5">
        <v>2590</v>
      </c>
      <c r="Y126" s="4"/>
      <c r="Z126" s="4"/>
      <c r="AA126" s="14">
        <f t="shared" si="45"/>
        <v>2788.48</v>
      </c>
      <c r="AB126" s="4"/>
      <c r="AC126" s="4"/>
      <c r="AD126" s="14">
        <f t="shared" si="46"/>
        <v>0</v>
      </c>
      <c r="AE126" s="14">
        <f t="shared" si="47"/>
        <v>6616</v>
      </c>
      <c r="AF126" s="14" t="str">
        <f t="shared" si="48"/>
        <v/>
      </c>
      <c r="AG126" s="15">
        <f t="shared" si="49"/>
        <v>6616</v>
      </c>
      <c r="AH126" s="4">
        <v>1148306.088</v>
      </c>
      <c r="AI126" s="17">
        <f t="shared" si="50"/>
        <v>-1141690.088</v>
      </c>
      <c r="AJ126" s="7" t="str">
        <f t="shared" si="33"/>
        <v/>
      </c>
      <c r="AK126" s="7" t="str">
        <f t="shared" si="34"/>
        <v/>
      </c>
      <c r="AL126" s="7">
        <f t="shared" si="35"/>
        <v>1.3678635423133938</v>
      </c>
      <c r="AM126" s="7" t="str">
        <f t="shared" si="36"/>
        <v/>
      </c>
      <c r="AN126" s="4">
        <v>239.92495644718679</v>
      </c>
      <c r="AO126" s="4">
        <v>49127.38</v>
      </c>
      <c r="AP126" s="14">
        <f t="shared" si="51"/>
        <v>1197673.3929564471</v>
      </c>
      <c r="AQ126" s="14">
        <f t="shared" si="52"/>
        <v>1148306.088</v>
      </c>
      <c r="AR126" s="8">
        <v>85214.7</v>
      </c>
      <c r="AS126" s="20">
        <v>13.475446</v>
      </c>
      <c r="AT126" s="8">
        <v>18493178.309999999</v>
      </c>
      <c r="AU126" s="8">
        <v>26348.163499999999</v>
      </c>
      <c r="AV126" s="8">
        <v>564.92250000000001</v>
      </c>
      <c r="AW126" s="8"/>
      <c r="AX126" s="9">
        <v>421.3516815743759</v>
      </c>
      <c r="AY126" s="6">
        <f t="shared" si="37"/>
        <v>2.2824353379974391E-2</v>
      </c>
      <c r="AZ126" s="8">
        <v>425607917.49650002</v>
      </c>
      <c r="BA126" s="10">
        <v>60480066</v>
      </c>
      <c r="BB126" s="11">
        <v>18493178.309999999</v>
      </c>
      <c r="BC126" s="10">
        <v>2971324</v>
      </c>
      <c r="BD126" s="10">
        <f>1000000000-999804418.658+395.0285</f>
        <v>195976.37050000762</v>
      </c>
      <c r="BE126" s="12">
        <f t="shared" si="38"/>
        <v>492251537.82299995</v>
      </c>
      <c r="BF126" s="13">
        <v>238</v>
      </c>
      <c r="BG126" s="13">
        <f t="shared" si="39"/>
        <v>254.25153782299998</v>
      </c>
      <c r="BH126" s="14">
        <f>BE126*12.99</f>
        <v>6394347476.3207693</v>
      </c>
    </row>
    <row r="127" spans="1:60" x14ac:dyDescent="0.25">
      <c r="A127" s="3">
        <v>45749</v>
      </c>
      <c r="B127" s="4">
        <v>8109376458</v>
      </c>
      <c r="C127" s="4"/>
      <c r="D127" s="5">
        <v>148833454</v>
      </c>
      <c r="E127" s="4"/>
      <c r="N127" s="4"/>
      <c r="O127" s="4"/>
      <c r="P127" s="5">
        <v>22319</v>
      </c>
      <c r="Q127" s="4"/>
      <c r="R127" s="14">
        <f t="shared" si="40"/>
        <v>22319</v>
      </c>
      <c r="S127" s="6">
        <v>0.03</v>
      </c>
      <c r="T127" s="14">
        <f t="shared" si="41"/>
        <v>0</v>
      </c>
      <c r="U127" s="14">
        <f t="shared" si="42"/>
        <v>0</v>
      </c>
      <c r="V127" s="14">
        <f t="shared" si="43"/>
        <v>560.25</v>
      </c>
      <c r="W127" s="14" t="str">
        <f t="shared" si="44"/>
        <v/>
      </c>
      <c r="X127" s="5">
        <v>3644</v>
      </c>
      <c r="Y127" s="4"/>
      <c r="Z127" s="4"/>
      <c r="AA127" s="14">
        <f t="shared" si="45"/>
        <v>4204.25</v>
      </c>
      <c r="AB127" s="4"/>
      <c r="AC127" s="4"/>
      <c r="AD127" s="14">
        <f t="shared" si="46"/>
        <v>0</v>
      </c>
      <c r="AE127" s="14">
        <f t="shared" si="47"/>
        <v>18675</v>
      </c>
      <c r="AF127" s="14" t="str">
        <f t="shared" si="48"/>
        <v/>
      </c>
      <c r="AG127" s="15">
        <f t="shared" si="49"/>
        <v>18675</v>
      </c>
      <c r="AH127" s="4">
        <v>999399.23160000006</v>
      </c>
      <c r="AI127" s="17">
        <f t="shared" si="50"/>
        <v>-980724.23160000006</v>
      </c>
      <c r="AJ127" s="7" t="str">
        <f t="shared" si="33"/>
        <v/>
      </c>
      <c r="AK127" s="7" t="str">
        <f t="shared" si="34"/>
        <v/>
      </c>
      <c r="AL127" s="7">
        <f t="shared" si="35"/>
        <v>1.4995956487040876</v>
      </c>
      <c r="AM127" s="7" t="str">
        <f t="shared" si="36"/>
        <v/>
      </c>
      <c r="AN127" s="4">
        <v>190.26837159826201</v>
      </c>
      <c r="AO127" s="4">
        <v>40627.699999999997</v>
      </c>
      <c r="AP127" s="14">
        <f t="shared" si="51"/>
        <v>1040217.1999715982</v>
      </c>
      <c r="AQ127" s="14">
        <f t="shared" si="52"/>
        <v>999399.23160000006</v>
      </c>
      <c r="AR127" s="8">
        <v>83892.06</v>
      </c>
      <c r="AS127" s="20">
        <v>11.912917999999999</v>
      </c>
      <c r="AT127" s="8">
        <v>18577070.370000001</v>
      </c>
      <c r="AU127" s="8">
        <v>6623.2098999999998</v>
      </c>
      <c r="AV127" s="8">
        <v>54.2361</v>
      </c>
      <c r="AW127" s="8"/>
      <c r="AX127" s="9">
        <v>421.29625082757309</v>
      </c>
      <c r="AY127" s="6">
        <f t="shared" si="37"/>
        <v>5.7381749985936049E-3</v>
      </c>
      <c r="AZ127" s="8">
        <v>425574952.9648</v>
      </c>
      <c r="BA127" s="10">
        <v>60480066</v>
      </c>
      <c r="BB127" s="11">
        <v>18577070.370000001</v>
      </c>
      <c r="BC127" s="10">
        <v>2971324</v>
      </c>
      <c r="BD127" s="10">
        <f>1000000000-999803866.1991+411.1913</f>
        <v>196544.99219998246</v>
      </c>
      <c r="BE127" s="12">
        <f t="shared" si="38"/>
        <v>492200041.67300004</v>
      </c>
      <c r="BF127" s="13">
        <v>238</v>
      </c>
      <c r="BG127" s="13">
        <f t="shared" si="39"/>
        <v>254.20004167300004</v>
      </c>
      <c r="BH127" s="14">
        <f>BE127*13.03</f>
        <v>6413366542.9991903</v>
      </c>
    </row>
    <row r="128" spans="1:60" x14ac:dyDescent="0.25">
      <c r="A128" s="3">
        <v>45750</v>
      </c>
      <c r="B128" s="4">
        <v>5930229209</v>
      </c>
      <c r="C128" s="4"/>
      <c r="D128" s="5">
        <v>119560562</v>
      </c>
      <c r="E128" s="4"/>
      <c r="N128" s="4"/>
      <c r="O128" s="4"/>
      <c r="P128" s="5">
        <v>18496</v>
      </c>
      <c r="Q128" s="4"/>
      <c r="R128" s="14">
        <f t="shared" si="40"/>
        <v>18496</v>
      </c>
      <c r="S128" s="6">
        <v>0.03</v>
      </c>
      <c r="T128" s="14">
        <f t="shared" si="41"/>
        <v>0</v>
      </c>
      <c r="U128" s="14">
        <f t="shared" si="42"/>
        <v>0</v>
      </c>
      <c r="V128" s="14">
        <f t="shared" si="43"/>
        <v>480.93</v>
      </c>
      <c r="W128" s="14" t="str">
        <f t="shared" si="44"/>
        <v/>
      </c>
      <c r="X128" s="5">
        <v>2465</v>
      </c>
      <c r="Y128" s="4"/>
      <c r="Z128" s="4"/>
      <c r="AA128" s="14">
        <f t="shared" si="45"/>
        <v>2945.93</v>
      </c>
      <c r="AB128" s="4"/>
      <c r="AC128" s="4"/>
      <c r="AD128" s="14">
        <f t="shared" si="46"/>
        <v>0</v>
      </c>
      <c r="AE128" s="14">
        <f t="shared" si="47"/>
        <v>16031</v>
      </c>
      <c r="AF128" s="14" t="str">
        <f t="shared" si="48"/>
        <v/>
      </c>
      <c r="AG128" s="15">
        <f t="shared" si="49"/>
        <v>16031</v>
      </c>
      <c r="AH128" s="4">
        <v>1706987.162</v>
      </c>
      <c r="AI128" s="17">
        <f t="shared" si="50"/>
        <v>-1690956.162</v>
      </c>
      <c r="AJ128" s="7" t="str">
        <f t="shared" si="33"/>
        <v/>
      </c>
      <c r="AK128" s="7" t="str">
        <f t="shared" si="34"/>
        <v/>
      </c>
      <c r="AL128" s="7">
        <f t="shared" si="35"/>
        <v>1.5469984157484975</v>
      </c>
      <c r="AM128" s="7" t="str">
        <f t="shared" si="36"/>
        <v/>
      </c>
      <c r="AN128" s="4">
        <v>137.89493776012711</v>
      </c>
      <c r="AO128" s="4">
        <v>43356.89</v>
      </c>
      <c r="AP128" s="14">
        <f t="shared" si="51"/>
        <v>1750481.9469377601</v>
      </c>
      <c r="AQ128" s="14">
        <f t="shared" si="52"/>
        <v>1706987.162</v>
      </c>
      <c r="AR128" s="8">
        <v>147349.1</v>
      </c>
      <c r="AS128" s="20">
        <v>11.584645999999999</v>
      </c>
      <c r="AT128" s="8">
        <v>18724419.469999999</v>
      </c>
      <c r="AU128" s="8">
        <v>19999.224900000001</v>
      </c>
      <c r="AV128" s="8">
        <v>883.64769999999999</v>
      </c>
      <c r="AW128" s="8"/>
      <c r="AX128" s="9">
        <v>421.32629465965618</v>
      </c>
      <c r="AY128" s="6">
        <f t="shared" si="37"/>
        <v>1.7325567335873614E-2</v>
      </c>
      <c r="AZ128" s="8">
        <v>425554953.73989999</v>
      </c>
      <c r="BA128" s="10">
        <v>60480066</v>
      </c>
      <c r="BB128" s="11">
        <v>18724419.469999999</v>
      </c>
      <c r="BC128" s="10">
        <v>2971324</v>
      </c>
      <c r="BD128" s="10">
        <f>1000000000-999802982.5513+422.9702</f>
        <v>197440.41889995118</v>
      </c>
      <c r="BE128" s="12">
        <f t="shared" si="38"/>
        <v>492071796.37120003</v>
      </c>
      <c r="BF128" s="13">
        <v>238</v>
      </c>
      <c r="BG128" s="13">
        <f t="shared" si="39"/>
        <v>254.07179637120004</v>
      </c>
      <c r="BH128" s="14">
        <f>BE128*12.06</f>
        <v>5934385864.2366724</v>
      </c>
    </row>
    <row r="129" spans="1:60" x14ac:dyDescent="0.25">
      <c r="A129" s="3">
        <v>45751</v>
      </c>
      <c r="B129" s="4">
        <v>7751080977</v>
      </c>
      <c r="C129" s="4"/>
      <c r="D129" s="5">
        <v>129690210</v>
      </c>
      <c r="E129" s="4"/>
      <c r="N129" s="4"/>
      <c r="O129" s="4"/>
      <c r="P129" s="5">
        <v>17493</v>
      </c>
      <c r="Q129" s="4"/>
      <c r="R129" s="14">
        <f t="shared" si="40"/>
        <v>17493</v>
      </c>
      <c r="S129" s="6">
        <v>0.03</v>
      </c>
      <c r="T129" s="14">
        <f t="shared" si="41"/>
        <v>0</v>
      </c>
      <c r="U129" s="14">
        <f t="shared" si="42"/>
        <v>0</v>
      </c>
      <c r="V129" s="14">
        <f t="shared" si="43"/>
        <v>387.93</v>
      </c>
      <c r="W129" s="14" t="str">
        <f t="shared" si="44"/>
        <v/>
      </c>
      <c r="X129" s="5">
        <v>4562</v>
      </c>
      <c r="Y129" s="4"/>
      <c r="Z129" s="4"/>
      <c r="AA129" s="14">
        <f t="shared" si="45"/>
        <v>4949.93</v>
      </c>
      <c r="AB129" s="4"/>
      <c r="AC129" s="4"/>
      <c r="AD129" s="14">
        <f t="shared" si="46"/>
        <v>0</v>
      </c>
      <c r="AE129" s="14">
        <f t="shared" si="47"/>
        <v>12931</v>
      </c>
      <c r="AF129" s="14" t="str">
        <f t="shared" si="48"/>
        <v/>
      </c>
      <c r="AG129" s="15">
        <f t="shared" si="49"/>
        <v>12931</v>
      </c>
      <c r="AH129" s="4">
        <v>1341664.156</v>
      </c>
      <c r="AI129" s="17">
        <f t="shared" si="50"/>
        <v>-1328733.156</v>
      </c>
      <c r="AJ129" s="7" t="str">
        <f t="shared" si="33"/>
        <v/>
      </c>
      <c r="AK129" s="7" t="str">
        <f t="shared" si="34"/>
        <v/>
      </c>
      <c r="AL129" s="7">
        <f t="shared" si="35"/>
        <v>1.3488296456609947</v>
      </c>
      <c r="AM129" s="7" t="str">
        <f t="shared" si="36"/>
        <v/>
      </c>
      <c r="AN129" s="4">
        <v>141.33804053297089</v>
      </c>
      <c r="AO129" s="4">
        <v>47949.77</v>
      </c>
      <c r="AP129" s="14">
        <f t="shared" si="51"/>
        <v>1389755.264040533</v>
      </c>
      <c r="AQ129" s="14">
        <f t="shared" si="52"/>
        <v>1341664.156</v>
      </c>
      <c r="AR129" s="8">
        <v>110859.2</v>
      </c>
      <c r="AS129" s="20">
        <v>12.102416</v>
      </c>
      <c r="AT129" s="8">
        <v>18835278.670000002</v>
      </c>
      <c r="AU129" s="8">
        <v>26342.993600000002</v>
      </c>
      <c r="AV129" s="8">
        <v>1167.9452000000001</v>
      </c>
      <c r="AW129" s="8"/>
      <c r="AX129" s="9">
        <v>420.86684333753152</v>
      </c>
      <c r="AY129" s="6">
        <f t="shared" si="37"/>
        <v>2.2846163379728873E-2</v>
      </c>
      <c r="AZ129" s="8">
        <v>425528610.74629998</v>
      </c>
      <c r="BA129" s="10">
        <v>60480066</v>
      </c>
      <c r="BB129" s="11">
        <v>18835278.670000002</v>
      </c>
      <c r="BC129" s="10">
        <v>2971324</v>
      </c>
      <c r="BD129" s="10">
        <f>1000000000-999801814.6061+434.8613</f>
        <v>198620.2552000368</v>
      </c>
      <c r="BE129" s="12">
        <f t="shared" si="38"/>
        <v>491986100.32849997</v>
      </c>
      <c r="BF129" s="13">
        <v>238</v>
      </c>
      <c r="BG129" s="13">
        <f t="shared" si="39"/>
        <v>253.98610032849996</v>
      </c>
      <c r="BH129" s="14">
        <f>BE129*11.78</f>
        <v>5795596261.869729</v>
      </c>
    </row>
    <row r="130" spans="1:60" x14ac:dyDescent="0.25">
      <c r="A130" s="3">
        <v>45752</v>
      </c>
      <c r="B130" s="4">
        <v>2430774311</v>
      </c>
      <c r="C130" s="4"/>
      <c r="D130" s="5">
        <v>42672433</v>
      </c>
      <c r="E130" s="4"/>
      <c r="N130" s="4"/>
      <c r="O130" s="4"/>
      <c r="P130" s="5">
        <v>6171</v>
      </c>
      <c r="Q130" s="4"/>
      <c r="R130" s="14">
        <f t="shared" si="40"/>
        <v>6171</v>
      </c>
      <c r="S130" s="6">
        <v>0.03</v>
      </c>
      <c r="T130" s="14">
        <f t="shared" si="41"/>
        <v>0</v>
      </c>
      <c r="U130" s="14">
        <f t="shared" si="42"/>
        <v>0</v>
      </c>
      <c r="V130" s="14">
        <f t="shared" si="43"/>
        <v>138.24</v>
      </c>
      <c r="W130" s="14" t="str">
        <f t="shared" si="44"/>
        <v/>
      </c>
      <c r="X130" s="5">
        <v>1563</v>
      </c>
      <c r="Y130" s="4"/>
      <c r="Z130" s="4"/>
      <c r="AA130" s="14">
        <f t="shared" si="45"/>
        <v>1701.24</v>
      </c>
      <c r="AB130" s="4"/>
      <c r="AC130" s="4"/>
      <c r="AD130" s="14">
        <f t="shared" si="46"/>
        <v>0</v>
      </c>
      <c r="AE130" s="14">
        <f t="shared" si="47"/>
        <v>4608</v>
      </c>
      <c r="AF130" s="14" t="str">
        <f t="shared" si="48"/>
        <v/>
      </c>
      <c r="AG130" s="15">
        <f t="shared" si="49"/>
        <v>4608</v>
      </c>
      <c r="AH130" s="4">
        <v>1806393.176</v>
      </c>
      <c r="AI130" s="17">
        <f t="shared" si="50"/>
        <v>-1801785.176</v>
      </c>
      <c r="AJ130" s="7" t="str">
        <f t="shared" si="33"/>
        <v/>
      </c>
      <c r="AK130" s="7" t="str">
        <f t="shared" si="34"/>
        <v/>
      </c>
      <c r="AL130" s="7">
        <f t="shared" si="35"/>
        <v>1.4461326824275522</v>
      </c>
      <c r="AM130" s="7" t="str">
        <f t="shared" si="36"/>
        <v/>
      </c>
      <c r="AN130" s="4">
        <v>70.239002321243788</v>
      </c>
      <c r="AO130" s="4">
        <v>0</v>
      </c>
      <c r="AP130" s="14">
        <f t="shared" si="51"/>
        <v>1806463.4150023211</v>
      </c>
      <c r="AQ130" s="14">
        <f t="shared" si="52"/>
        <v>1806393.176</v>
      </c>
      <c r="AR130" s="8">
        <v>153210.93</v>
      </c>
      <c r="AS130" s="20">
        <v>11.790236999999999</v>
      </c>
      <c r="AT130" s="8">
        <v>18988489.600000001</v>
      </c>
      <c r="AU130" s="8">
        <v>26344.3158</v>
      </c>
      <c r="AV130" s="8">
        <v>1096.1885</v>
      </c>
      <c r="AW130" s="8"/>
      <c r="AX130" s="9">
        <v>420.51989768775212</v>
      </c>
      <c r="AY130" s="6">
        <f t="shared" si="37"/>
        <v>2.2866160007819443E-2</v>
      </c>
      <c r="AZ130" s="8">
        <v>425502266.43049997</v>
      </c>
      <c r="BA130" s="10">
        <v>60480066</v>
      </c>
      <c r="BB130" s="11">
        <v>18988489.600000001</v>
      </c>
      <c r="BC130" s="10">
        <v>2971324</v>
      </c>
      <c r="BD130" s="10">
        <f>1000000000-999800718.4176+440.6922</f>
        <v>199722.27459996432</v>
      </c>
      <c r="BE130" s="12">
        <f t="shared" si="38"/>
        <v>491858131.69489998</v>
      </c>
      <c r="BF130" s="13">
        <v>238</v>
      </c>
      <c r="BG130" s="13">
        <f t="shared" si="39"/>
        <v>253.85813169489995</v>
      </c>
      <c r="BH130" s="14">
        <f>BE130*11.93</f>
        <v>5867867511.1201563</v>
      </c>
    </row>
    <row r="131" spans="1:60" x14ac:dyDescent="0.25">
      <c r="A131" s="3">
        <v>45753</v>
      </c>
      <c r="B131" s="4">
        <v>7538397804</v>
      </c>
      <c r="C131" s="4"/>
      <c r="D131" s="5">
        <v>148050393</v>
      </c>
      <c r="E131" s="4"/>
      <c r="N131" s="4"/>
      <c r="O131" s="4"/>
      <c r="P131" s="5">
        <v>18329</v>
      </c>
      <c r="Q131" s="4"/>
      <c r="R131" s="14">
        <f t="shared" si="40"/>
        <v>18329</v>
      </c>
      <c r="S131" s="6">
        <v>0.03</v>
      </c>
      <c r="T131" s="14">
        <f t="shared" si="41"/>
        <v>0</v>
      </c>
      <c r="U131" s="14">
        <f t="shared" si="42"/>
        <v>0</v>
      </c>
      <c r="V131" s="14">
        <f t="shared" si="43"/>
        <v>376.40999999999997</v>
      </c>
      <c r="W131" s="14" t="str">
        <f t="shared" si="44"/>
        <v/>
      </c>
      <c r="X131" s="5">
        <v>5782</v>
      </c>
      <c r="Y131" s="4"/>
      <c r="Z131" s="4"/>
      <c r="AA131" s="14">
        <f t="shared" si="45"/>
        <v>6158.41</v>
      </c>
      <c r="AB131" s="4"/>
      <c r="AC131" s="4"/>
      <c r="AD131" s="14">
        <f t="shared" si="46"/>
        <v>0</v>
      </c>
      <c r="AE131" s="14">
        <f t="shared" si="47"/>
        <v>12547</v>
      </c>
      <c r="AF131" s="14" t="str">
        <f t="shared" si="48"/>
        <v/>
      </c>
      <c r="AG131" s="15">
        <f t="shared" si="49"/>
        <v>12547</v>
      </c>
      <c r="AH131" s="4">
        <v>456748.8161</v>
      </c>
      <c r="AI131" s="17">
        <f t="shared" si="50"/>
        <v>-444201.8161</v>
      </c>
      <c r="AJ131" s="7" t="str">
        <f t="shared" si="33"/>
        <v/>
      </c>
      <c r="AK131" s="7" t="str">
        <f t="shared" si="34"/>
        <v/>
      </c>
      <c r="AL131" s="7">
        <f t="shared" si="35"/>
        <v>1.2380244070003921</v>
      </c>
      <c r="AM131" s="7" t="str">
        <f t="shared" si="36"/>
        <v/>
      </c>
      <c r="AN131" s="4">
        <v>86.217838804666371</v>
      </c>
      <c r="AO131" s="4">
        <v>31043.55</v>
      </c>
      <c r="AP131" s="14">
        <f t="shared" si="51"/>
        <v>487878.58393880463</v>
      </c>
      <c r="AQ131" s="14">
        <f t="shared" si="52"/>
        <v>456748.8161</v>
      </c>
      <c r="AR131" s="8">
        <v>42454.63</v>
      </c>
      <c r="AS131" s="20">
        <v>10.758516</v>
      </c>
      <c r="AT131" s="8">
        <v>19030944.23</v>
      </c>
      <c r="AU131" s="8">
        <v>26306.872599999999</v>
      </c>
      <c r="AV131" s="8">
        <v>316.54820000000001</v>
      </c>
      <c r="AW131" s="8"/>
      <c r="AX131" s="9">
        <v>420.57913439185228</v>
      </c>
      <c r="AY131" s="6">
        <f t="shared" si="37"/>
        <v>2.2830444294114311E-2</v>
      </c>
      <c r="AZ131" s="8">
        <v>425475959.55790001</v>
      </c>
      <c r="BA131" s="10">
        <v>60480066</v>
      </c>
      <c r="BB131" s="11">
        <v>19030944.23</v>
      </c>
      <c r="BC131" s="10">
        <v>2971324</v>
      </c>
      <c r="BD131" s="10">
        <f>1000000000-999800401.8694+449.0947</f>
        <v>200047.22529997557</v>
      </c>
      <c r="BE131" s="12">
        <f t="shared" si="38"/>
        <v>491841658.98680007</v>
      </c>
      <c r="BF131" s="13">
        <v>238</v>
      </c>
      <c r="BG131" s="13">
        <f t="shared" si="39"/>
        <v>253.8416589868001</v>
      </c>
      <c r="BH131" s="14">
        <f>BE131*11.92</f>
        <v>5862752575.1226568</v>
      </c>
    </row>
    <row r="132" spans="1:60" x14ac:dyDescent="0.25">
      <c r="A132" s="3">
        <v>45754</v>
      </c>
      <c r="B132" s="4">
        <v>13309974116</v>
      </c>
      <c r="C132" s="4"/>
      <c r="D132" s="5">
        <v>254918742</v>
      </c>
      <c r="E132" s="4"/>
      <c r="N132" s="4"/>
      <c r="O132" s="4"/>
      <c r="P132" s="5">
        <v>36051</v>
      </c>
      <c r="Q132" s="4"/>
      <c r="R132" s="14">
        <f t="shared" si="40"/>
        <v>36051</v>
      </c>
      <c r="S132" s="6">
        <v>0.03</v>
      </c>
      <c r="T132" s="14">
        <f t="shared" si="41"/>
        <v>0</v>
      </c>
      <c r="U132" s="14">
        <f t="shared" si="42"/>
        <v>0</v>
      </c>
      <c r="V132" s="14">
        <f t="shared" si="43"/>
        <v>692.06999999999994</v>
      </c>
      <c r="W132" s="14" t="str">
        <f t="shared" si="44"/>
        <v/>
      </c>
      <c r="X132" s="5">
        <v>12982</v>
      </c>
      <c r="Y132" s="4"/>
      <c r="Z132" s="4"/>
      <c r="AA132" s="14">
        <f t="shared" si="45"/>
        <v>13674.07</v>
      </c>
      <c r="AB132" s="4"/>
      <c r="AC132" s="4"/>
      <c r="AD132" s="14">
        <f t="shared" si="46"/>
        <v>0</v>
      </c>
      <c r="AE132" s="14">
        <f t="shared" si="47"/>
        <v>23069</v>
      </c>
      <c r="AF132" s="14" t="str">
        <f t="shared" si="48"/>
        <v/>
      </c>
      <c r="AG132" s="15">
        <f t="shared" si="49"/>
        <v>23069</v>
      </c>
      <c r="AH132" s="4">
        <v>2696151.3020000001</v>
      </c>
      <c r="AI132" s="17">
        <f t="shared" si="50"/>
        <v>-2673082.3020000001</v>
      </c>
      <c r="AJ132" s="7" t="str">
        <f t="shared" ref="AJ132:AJ195" si="53">IF(OR(B132="",B132=0,N132=""),"",N132/B132*10000)</f>
        <v/>
      </c>
      <c r="AK132" s="7" t="str">
        <f t="shared" ref="AK132:AK195" si="54">IF(OR(C132="",C132=0),"",O132/C132*10000)</f>
        <v/>
      </c>
      <c r="AL132" s="7">
        <f t="shared" ref="AL132:AL195" si="55">IF(OR(D132="",D132=0),"",P132/D132*10000)</f>
        <v>1.4142153580845773</v>
      </c>
      <c r="AM132" s="7" t="str">
        <f t="shared" ref="AM132:AM195" si="56">IF(OR(E132="",E132=0),"",Q132/E132*10000)</f>
        <v/>
      </c>
      <c r="AN132" s="4">
        <v>159.4357757973535</v>
      </c>
      <c r="AO132" s="4">
        <v>21948.67</v>
      </c>
      <c r="AP132" s="14">
        <f t="shared" si="51"/>
        <v>2718259.4077757974</v>
      </c>
      <c r="AQ132" s="14">
        <f t="shared" si="52"/>
        <v>2696151.3020000001</v>
      </c>
      <c r="AR132" s="8">
        <v>256254.02</v>
      </c>
      <c r="AS132" s="20">
        <v>10.521400999999999</v>
      </c>
      <c r="AT132" s="8">
        <v>19287198.25</v>
      </c>
      <c r="AU132" s="8">
        <v>26316.414700000001</v>
      </c>
      <c r="AV132" s="8">
        <v>939.60040000000004</v>
      </c>
      <c r="AW132" s="8"/>
      <c r="AX132" s="9">
        <v>421.55155956569251</v>
      </c>
      <c r="AY132" s="6">
        <f t="shared" ref="AY132:AY195" si="57">IF(OR(AX132="",AX132=0,AU132=""),"",AU132*365/(AX132*1000000))</f>
        <v>2.2786041582662269E-2</v>
      </c>
      <c r="AZ132" s="8">
        <v>425449643.1433</v>
      </c>
      <c r="BA132" s="10">
        <v>60480066</v>
      </c>
      <c r="BB132" s="11">
        <v>19287198.25</v>
      </c>
      <c r="BC132" s="10">
        <v>2971324</v>
      </c>
      <c r="BD132" s="10">
        <f>1000000000-999799462.269+462.9659</f>
        <v>201000.6968999466</v>
      </c>
      <c r="BE132" s="12">
        <f t="shared" ref="BE132:BE195" si="58">1000000000-AZ132-BA132-BB132-BC132-BD132</f>
        <v>491610767.90979999</v>
      </c>
      <c r="BF132" s="13">
        <v>238</v>
      </c>
      <c r="BG132" s="13">
        <f t="shared" ref="BG132:BG195" si="59">BE132/1000000-BF132</f>
        <v>253.61076790980002</v>
      </c>
      <c r="BH132" s="14">
        <f>BE132*10.02</f>
        <v>4925939894.4561958</v>
      </c>
    </row>
    <row r="133" spans="1:60" x14ac:dyDescent="0.25">
      <c r="A133" s="3">
        <v>45755</v>
      </c>
      <c r="B133" s="4">
        <v>7663480477</v>
      </c>
      <c r="C133" s="4"/>
      <c r="D133" s="5">
        <v>163870707</v>
      </c>
      <c r="E133" s="4"/>
      <c r="N133" s="4"/>
      <c r="O133" s="4"/>
      <c r="P133" s="5">
        <v>20897</v>
      </c>
      <c r="Q133" s="4"/>
      <c r="R133" s="14">
        <f t="shared" si="40"/>
        <v>20897</v>
      </c>
      <c r="S133" s="6">
        <v>0.03</v>
      </c>
      <c r="T133" s="14">
        <f t="shared" si="41"/>
        <v>0</v>
      </c>
      <c r="U133" s="14">
        <f t="shared" si="42"/>
        <v>0</v>
      </c>
      <c r="V133" s="14">
        <f t="shared" si="43"/>
        <v>463.14</v>
      </c>
      <c r="W133" s="14" t="str">
        <f t="shared" si="44"/>
        <v/>
      </c>
      <c r="X133" s="5">
        <v>5459</v>
      </c>
      <c r="Y133" s="4"/>
      <c r="Z133" s="4"/>
      <c r="AA133" s="14">
        <f t="shared" si="45"/>
        <v>5922.14</v>
      </c>
      <c r="AB133" s="4"/>
      <c r="AC133" s="4"/>
      <c r="AD133" s="14">
        <f t="shared" si="46"/>
        <v>0</v>
      </c>
      <c r="AE133" s="14">
        <f t="shared" si="47"/>
        <v>15438</v>
      </c>
      <c r="AF133" s="14" t="str">
        <f t="shared" si="48"/>
        <v/>
      </c>
      <c r="AG133" s="15">
        <f t="shared" si="49"/>
        <v>15438</v>
      </c>
      <c r="AH133" s="4">
        <v>2383035.6460000002</v>
      </c>
      <c r="AI133" s="17">
        <f t="shared" si="50"/>
        <v>-2367597.6460000002</v>
      </c>
      <c r="AJ133" s="7" t="str">
        <f t="shared" si="53"/>
        <v/>
      </c>
      <c r="AK133" s="7" t="str">
        <f t="shared" si="54"/>
        <v/>
      </c>
      <c r="AL133" s="7">
        <f t="shared" si="55"/>
        <v>1.2752126589653392</v>
      </c>
      <c r="AM133" s="7" t="str">
        <f t="shared" si="56"/>
        <v/>
      </c>
      <c r="AN133" s="4">
        <v>260.90645765197058</v>
      </c>
      <c r="AO133" s="4">
        <v>27563.24</v>
      </c>
      <c r="AP133" s="14">
        <f t="shared" si="51"/>
        <v>2410859.7924576523</v>
      </c>
      <c r="AQ133" s="14">
        <f t="shared" si="52"/>
        <v>2383035.6460000002</v>
      </c>
      <c r="AR133" s="8">
        <v>209565.99</v>
      </c>
      <c r="AS133" s="20">
        <v>11.37129</v>
      </c>
      <c r="AT133" s="8">
        <v>19496764.239999998</v>
      </c>
      <c r="AU133" s="8">
        <v>26338.7732</v>
      </c>
      <c r="AV133" s="8">
        <v>2135.0212999999999</v>
      </c>
      <c r="AW133" s="8"/>
      <c r="AX133" s="9">
        <v>421.57865157705152</v>
      </c>
      <c r="AY133" s="6">
        <f t="shared" si="57"/>
        <v>2.2803935118718702E-2</v>
      </c>
      <c r="AZ133" s="8">
        <v>425423304.37010002</v>
      </c>
      <c r="BA133" s="10">
        <v>60480066</v>
      </c>
      <c r="BB133" s="11">
        <v>19496764.239999998</v>
      </c>
      <c r="BC133" s="10">
        <v>2971324</v>
      </c>
      <c r="BD133" s="10">
        <f>1000000000-999797327.2477+486.2196</f>
        <v>203158.97190002404</v>
      </c>
      <c r="BE133" s="12">
        <f t="shared" si="58"/>
        <v>491425382.41799992</v>
      </c>
      <c r="BF133" s="13">
        <v>238</v>
      </c>
      <c r="BG133" s="13">
        <f t="shared" si="59"/>
        <v>253.42538241799991</v>
      </c>
      <c r="BH133" s="14">
        <f>BE133*11.61</f>
        <v>5705448689.8729792</v>
      </c>
    </row>
    <row r="134" spans="1:60" x14ac:dyDescent="0.25">
      <c r="A134" s="3">
        <v>45756</v>
      </c>
      <c r="B134" s="4">
        <v>12444620478</v>
      </c>
      <c r="C134" s="4"/>
      <c r="D134" s="5">
        <v>256513559</v>
      </c>
      <c r="E134" s="4"/>
      <c r="N134" s="4"/>
      <c r="O134" s="4"/>
      <c r="P134" s="5">
        <v>36874</v>
      </c>
      <c r="Q134" s="4"/>
      <c r="R134" s="14">
        <f t="shared" si="40"/>
        <v>36874</v>
      </c>
      <c r="S134" s="6">
        <v>0.03</v>
      </c>
      <c r="T134" s="14">
        <f t="shared" si="41"/>
        <v>0</v>
      </c>
      <c r="U134" s="14">
        <f t="shared" si="42"/>
        <v>0</v>
      </c>
      <c r="V134" s="14">
        <f t="shared" si="43"/>
        <v>773.28</v>
      </c>
      <c r="W134" s="14" t="str">
        <f t="shared" si="44"/>
        <v/>
      </c>
      <c r="X134" s="5">
        <v>11098</v>
      </c>
      <c r="Y134" s="4"/>
      <c r="Z134" s="4"/>
      <c r="AA134" s="14">
        <f t="shared" si="45"/>
        <v>11871.28</v>
      </c>
      <c r="AB134" s="4"/>
      <c r="AC134" s="4"/>
      <c r="AD134" s="14">
        <f t="shared" si="46"/>
        <v>0</v>
      </c>
      <c r="AE134" s="14">
        <f t="shared" si="47"/>
        <v>25776</v>
      </c>
      <c r="AF134" s="14" t="str">
        <f t="shared" si="48"/>
        <v/>
      </c>
      <c r="AG134" s="15">
        <f t="shared" si="49"/>
        <v>25776</v>
      </c>
      <c r="AH134" s="4">
        <v>2265416.3020000001</v>
      </c>
      <c r="AI134" s="17">
        <f t="shared" si="50"/>
        <v>-2239640.3020000001</v>
      </c>
      <c r="AJ134" s="7" t="str">
        <f t="shared" si="53"/>
        <v/>
      </c>
      <c r="AK134" s="7" t="str">
        <f t="shared" si="54"/>
        <v/>
      </c>
      <c r="AL134" s="7">
        <f t="shared" si="55"/>
        <v>1.4375068570936635</v>
      </c>
      <c r="AM134" s="7" t="str">
        <f t="shared" si="56"/>
        <v/>
      </c>
      <c r="AN134" s="4">
        <v>1499.456863071001</v>
      </c>
      <c r="AO134" s="4">
        <v>0</v>
      </c>
      <c r="AP134" s="14">
        <f t="shared" si="51"/>
        <v>2266915.758863071</v>
      </c>
      <c r="AQ134" s="14">
        <f t="shared" si="52"/>
        <v>2265416.3020000001</v>
      </c>
      <c r="AR134" s="8">
        <v>177028.08</v>
      </c>
      <c r="AS134" s="20">
        <v>12.796932</v>
      </c>
      <c r="AT134" s="8">
        <v>19673792.32</v>
      </c>
      <c r="AU134" s="8">
        <v>26379.044999999998</v>
      </c>
      <c r="AV134" s="8">
        <v>1189.0273999999999</v>
      </c>
      <c r="AW134" s="8"/>
      <c r="AX134" s="9">
        <v>421.79245217218818</v>
      </c>
      <c r="AY134" s="6">
        <f t="shared" si="57"/>
        <v>2.2827225512014191E-2</v>
      </c>
      <c r="AZ134" s="8">
        <v>425396925.3251</v>
      </c>
      <c r="BA134" s="10">
        <v>60480066</v>
      </c>
      <c r="BB134" s="11">
        <v>19673792.32</v>
      </c>
      <c r="BC134" s="10">
        <v>2971324</v>
      </c>
      <c r="BD134" s="10">
        <f>1000000000-999796138.2203+596.7175</f>
        <v>204458.49720004082</v>
      </c>
      <c r="BE134" s="12">
        <f t="shared" si="58"/>
        <v>491273433.85770005</v>
      </c>
      <c r="BF134" s="13">
        <v>238</v>
      </c>
      <c r="BG134" s="13">
        <f t="shared" si="59"/>
        <v>253.27343385770007</v>
      </c>
      <c r="BH134" s="14">
        <f>BE134*11.53</f>
        <v>5664382692.379281</v>
      </c>
    </row>
    <row r="135" spans="1:60" x14ac:dyDescent="0.25">
      <c r="A135" s="3">
        <v>45757</v>
      </c>
      <c r="B135" s="4">
        <v>7229336568</v>
      </c>
      <c r="C135" s="4"/>
      <c r="D135" s="5">
        <v>165359677</v>
      </c>
      <c r="E135" s="4"/>
      <c r="N135" s="4"/>
      <c r="O135" s="4"/>
      <c r="P135" s="5">
        <v>22705</v>
      </c>
      <c r="Q135" s="4"/>
      <c r="R135" s="14">
        <f t="shared" si="40"/>
        <v>22705</v>
      </c>
      <c r="S135" s="6">
        <v>0.03</v>
      </c>
      <c r="T135" s="14">
        <f t="shared" si="41"/>
        <v>0</v>
      </c>
      <c r="U135" s="14">
        <f t="shared" si="42"/>
        <v>0</v>
      </c>
      <c r="V135" s="14">
        <f t="shared" si="43"/>
        <v>465</v>
      </c>
      <c r="W135" s="14" t="str">
        <f t="shared" si="44"/>
        <v/>
      </c>
      <c r="X135" s="5">
        <v>7205</v>
      </c>
      <c r="Y135" s="4"/>
      <c r="Z135" s="4"/>
      <c r="AA135" s="14">
        <f t="shared" si="45"/>
        <v>7670</v>
      </c>
      <c r="AB135" s="4"/>
      <c r="AC135" s="4"/>
      <c r="AD135" s="14">
        <f t="shared" si="46"/>
        <v>0</v>
      </c>
      <c r="AE135" s="14">
        <f t="shared" si="47"/>
        <v>15500</v>
      </c>
      <c r="AF135" s="14" t="str">
        <f t="shared" si="48"/>
        <v/>
      </c>
      <c r="AG135" s="15">
        <f t="shared" si="49"/>
        <v>15500</v>
      </c>
      <c r="AH135" s="4">
        <v>2469028.0559999999</v>
      </c>
      <c r="AI135" s="17">
        <f t="shared" si="50"/>
        <v>-2453528.0559999999</v>
      </c>
      <c r="AJ135" s="7" t="str">
        <f t="shared" si="53"/>
        <v/>
      </c>
      <c r="AK135" s="7" t="str">
        <f t="shared" si="54"/>
        <v/>
      </c>
      <c r="AL135" s="7">
        <f t="shared" si="55"/>
        <v>1.373067510285473</v>
      </c>
      <c r="AM135" s="7" t="str">
        <f t="shared" si="56"/>
        <v/>
      </c>
      <c r="AN135" s="4">
        <v>1905.243982577854</v>
      </c>
      <c r="AO135" s="4">
        <v>34630.959999999999</v>
      </c>
      <c r="AP135" s="14">
        <f t="shared" si="51"/>
        <v>2505564.2599825775</v>
      </c>
      <c r="AQ135" s="14">
        <f t="shared" si="52"/>
        <v>2469028.0559999999</v>
      </c>
      <c r="AR135" s="8">
        <v>179849.25</v>
      </c>
      <c r="AS135" s="20">
        <v>13.72832</v>
      </c>
      <c r="AT135" s="8">
        <v>19853641.57</v>
      </c>
      <c r="AU135" s="8">
        <v>26339.0337</v>
      </c>
      <c r="AV135" s="8">
        <v>2125.1637000000001</v>
      </c>
      <c r="AW135" s="8"/>
      <c r="AX135" s="9">
        <v>421.88566400330888</v>
      </c>
      <c r="AY135" s="6">
        <f t="shared" si="57"/>
        <v>2.278756573350783E-2</v>
      </c>
      <c r="AZ135" s="8">
        <v>425370586.29140002</v>
      </c>
      <c r="BA135" s="10">
        <v>60480066</v>
      </c>
      <c r="BB135" s="11">
        <v>19853641.57</v>
      </c>
      <c r="BC135" s="10">
        <v>2971324</v>
      </c>
      <c r="BD135" s="10">
        <f>1000000000-999794013.0566+731.2687</f>
        <v>206718.21210002535</v>
      </c>
      <c r="BE135" s="12">
        <f t="shared" si="58"/>
        <v>491117663.92650002</v>
      </c>
      <c r="BF135" s="13">
        <v>238</v>
      </c>
      <c r="BG135" s="13">
        <f t="shared" si="59"/>
        <v>253.11766392650003</v>
      </c>
      <c r="BH135" s="14">
        <f>BE135*13.53</f>
        <v>6644821992.9255447</v>
      </c>
    </row>
    <row r="136" spans="1:60" x14ac:dyDescent="0.25">
      <c r="A136" s="3">
        <v>45758</v>
      </c>
      <c r="B136" s="4">
        <v>5544362890</v>
      </c>
      <c r="C136" s="4"/>
      <c r="D136" s="5">
        <v>187070232</v>
      </c>
      <c r="E136" s="4"/>
      <c r="N136" s="4"/>
      <c r="O136" s="4"/>
      <c r="P136" s="5">
        <v>24450</v>
      </c>
      <c r="Q136" s="4"/>
      <c r="R136" s="14">
        <f t="shared" si="40"/>
        <v>24450</v>
      </c>
      <c r="S136" s="6">
        <v>0.03</v>
      </c>
      <c r="T136" s="14">
        <f t="shared" si="41"/>
        <v>0</v>
      </c>
      <c r="U136" s="14">
        <f t="shared" si="42"/>
        <v>0</v>
      </c>
      <c r="V136" s="14">
        <f t="shared" si="43"/>
        <v>436.68</v>
      </c>
      <c r="W136" s="14" t="str">
        <f t="shared" si="44"/>
        <v/>
      </c>
      <c r="X136" s="5">
        <v>9894</v>
      </c>
      <c r="Y136" s="4"/>
      <c r="Z136" s="4"/>
      <c r="AA136" s="14">
        <f t="shared" si="45"/>
        <v>10330.68</v>
      </c>
      <c r="AB136" s="4"/>
      <c r="AC136" s="4"/>
      <c r="AD136" s="14">
        <f t="shared" si="46"/>
        <v>0</v>
      </c>
      <c r="AE136" s="14">
        <f t="shared" si="47"/>
        <v>14556</v>
      </c>
      <c r="AF136" s="14" t="str">
        <f t="shared" si="48"/>
        <v/>
      </c>
      <c r="AG136" s="15">
        <f t="shared" si="49"/>
        <v>14556</v>
      </c>
      <c r="AH136" s="4">
        <v>1682430.291</v>
      </c>
      <c r="AI136" s="17">
        <f t="shared" si="50"/>
        <v>-1667874.291</v>
      </c>
      <c r="AJ136" s="7" t="str">
        <f t="shared" si="53"/>
        <v/>
      </c>
      <c r="AK136" s="7" t="str">
        <f t="shared" si="54"/>
        <v/>
      </c>
      <c r="AL136" s="7">
        <f t="shared" si="55"/>
        <v>1.3069957597529465</v>
      </c>
      <c r="AM136" s="7" t="str">
        <f t="shared" si="56"/>
        <v/>
      </c>
      <c r="AN136" s="4">
        <v>2810.8077948301948</v>
      </c>
      <c r="AO136" s="4">
        <v>34139.03</v>
      </c>
      <c r="AP136" s="14">
        <f t="shared" si="51"/>
        <v>1719380.1287948303</v>
      </c>
      <c r="AQ136" s="14">
        <f t="shared" si="52"/>
        <v>1682430.291</v>
      </c>
      <c r="AR136" s="8">
        <v>109034.1</v>
      </c>
      <c r="AS136" s="20">
        <v>15.430313</v>
      </c>
      <c r="AT136" s="8">
        <v>19962675.670000002</v>
      </c>
      <c r="AU136" s="8">
        <v>26358.618900000001</v>
      </c>
      <c r="AV136" s="8">
        <v>1005.1581</v>
      </c>
      <c r="AW136" s="8"/>
      <c r="AX136" s="9">
        <v>421.9128187075878</v>
      </c>
      <c r="AY136" s="6">
        <f t="shared" si="57"/>
        <v>2.2803042410446148E-2</v>
      </c>
      <c r="AZ136" s="8">
        <v>425344227.6724</v>
      </c>
      <c r="BA136" s="10">
        <v>60480066</v>
      </c>
      <c r="BB136" s="11">
        <v>19962675.670000002</v>
      </c>
      <c r="BC136" s="10">
        <v>2971324</v>
      </c>
      <c r="BD136" s="10">
        <f>1000000000-999793007.8985+910.6094</f>
        <v>207902.71090003432</v>
      </c>
      <c r="BE136" s="12">
        <f t="shared" si="58"/>
        <v>491033803.94669998</v>
      </c>
      <c r="BF136" s="13">
        <v>238</v>
      </c>
      <c r="BG136" s="13">
        <f t="shared" si="59"/>
        <v>253.0338039467</v>
      </c>
      <c r="BH136" s="14">
        <f>BE136*14.18</f>
        <v>6962859339.9642057</v>
      </c>
    </row>
    <row r="137" spans="1:60" x14ac:dyDescent="0.25">
      <c r="A137" s="3">
        <v>45759</v>
      </c>
      <c r="B137" s="4">
        <v>4949382648</v>
      </c>
      <c r="C137" s="4"/>
      <c r="D137" s="5">
        <v>121367900</v>
      </c>
      <c r="E137" s="4"/>
      <c r="N137" s="4"/>
      <c r="O137" s="4"/>
      <c r="P137" s="5">
        <v>15701</v>
      </c>
      <c r="Q137" s="4"/>
      <c r="R137" s="14">
        <f t="shared" si="40"/>
        <v>15701</v>
      </c>
      <c r="S137" s="6">
        <v>0.03</v>
      </c>
      <c r="T137" s="14">
        <f t="shared" si="41"/>
        <v>0</v>
      </c>
      <c r="U137" s="14">
        <f t="shared" si="42"/>
        <v>0</v>
      </c>
      <c r="V137" s="14">
        <f t="shared" si="43"/>
        <v>338.78999999999996</v>
      </c>
      <c r="W137" s="14" t="str">
        <f t="shared" si="44"/>
        <v/>
      </c>
      <c r="X137" s="5">
        <v>4408</v>
      </c>
      <c r="Y137" s="4"/>
      <c r="Z137" s="4"/>
      <c r="AA137" s="14">
        <f t="shared" si="45"/>
        <v>4746.79</v>
      </c>
      <c r="AB137" s="4"/>
      <c r="AC137" s="4"/>
      <c r="AD137" s="14">
        <f t="shared" si="46"/>
        <v>0</v>
      </c>
      <c r="AE137" s="14">
        <f t="shared" si="47"/>
        <v>11293</v>
      </c>
      <c r="AF137" s="14" t="str">
        <f t="shared" si="48"/>
        <v/>
      </c>
      <c r="AG137" s="15">
        <f t="shared" si="49"/>
        <v>11293</v>
      </c>
      <c r="AH137" s="4">
        <v>1296921.483</v>
      </c>
      <c r="AI137" s="17">
        <f t="shared" si="50"/>
        <v>-1285628.483</v>
      </c>
      <c r="AJ137" s="7" t="str">
        <f t="shared" si="53"/>
        <v/>
      </c>
      <c r="AK137" s="7" t="str">
        <f t="shared" si="54"/>
        <v/>
      </c>
      <c r="AL137" s="7">
        <f t="shared" si="55"/>
        <v>1.2936699077762737</v>
      </c>
      <c r="AM137" s="7" t="str">
        <f t="shared" si="56"/>
        <v/>
      </c>
      <c r="AN137" s="4">
        <v>2732.4773088775678</v>
      </c>
      <c r="AO137" s="4">
        <v>0</v>
      </c>
      <c r="AP137" s="14">
        <f t="shared" si="51"/>
        <v>1299653.9603088775</v>
      </c>
      <c r="AQ137" s="14">
        <f t="shared" si="52"/>
        <v>1296921.483</v>
      </c>
      <c r="AR137" s="8">
        <v>81751.520000000004</v>
      </c>
      <c r="AS137" s="20">
        <v>15.864188</v>
      </c>
      <c r="AT137" s="8">
        <v>20044427.190000001</v>
      </c>
      <c r="AU137" s="8">
        <v>26323.9627</v>
      </c>
      <c r="AV137" s="8">
        <v>1029.4553000000001</v>
      </c>
      <c r="AW137" s="8"/>
      <c r="AX137" s="9">
        <v>420.09777696674922</v>
      </c>
      <c r="AY137" s="6">
        <f t="shared" si="57"/>
        <v>2.2871452581527212E-2</v>
      </c>
      <c r="AZ137" s="8">
        <v>425317903.70969999</v>
      </c>
      <c r="BA137" s="10">
        <v>60480066</v>
      </c>
      <c r="BB137" s="11">
        <v>20044427.190000001</v>
      </c>
      <c r="BC137" s="10">
        <v>2971324</v>
      </c>
      <c r="BD137" s="10">
        <f>1000000000-999791978.4431+1077.713</f>
        <v>209099.2699000244</v>
      </c>
      <c r="BE137" s="12">
        <f t="shared" si="58"/>
        <v>490977179.83039999</v>
      </c>
      <c r="BF137" s="13">
        <v>238</v>
      </c>
      <c r="BG137" s="13">
        <f t="shared" si="59"/>
        <v>252.97717983039996</v>
      </c>
      <c r="BH137" s="14">
        <f>BE137*15.53</f>
        <v>7624875602.7661114</v>
      </c>
    </row>
    <row r="138" spans="1:60" x14ac:dyDescent="0.25">
      <c r="A138" s="3">
        <v>45760</v>
      </c>
      <c r="B138" s="4">
        <v>6199138478</v>
      </c>
      <c r="C138" s="4"/>
      <c r="D138" s="5">
        <v>134246965</v>
      </c>
      <c r="E138" s="4"/>
      <c r="N138" s="4"/>
      <c r="O138" s="4"/>
      <c r="P138" s="5">
        <v>18682</v>
      </c>
      <c r="Q138" s="4"/>
      <c r="R138" s="14">
        <f t="shared" si="40"/>
        <v>18682</v>
      </c>
      <c r="S138" s="6">
        <v>0.03</v>
      </c>
      <c r="T138" s="14">
        <f t="shared" si="41"/>
        <v>0</v>
      </c>
      <c r="U138" s="14">
        <f t="shared" si="42"/>
        <v>0</v>
      </c>
      <c r="V138" s="14">
        <f t="shared" si="43"/>
        <v>408.47999999999996</v>
      </c>
      <c r="W138" s="14" t="str">
        <f t="shared" si="44"/>
        <v/>
      </c>
      <c r="X138" s="5">
        <v>5066</v>
      </c>
      <c r="Y138" s="4"/>
      <c r="Z138" s="4"/>
      <c r="AA138" s="14">
        <f t="shared" si="45"/>
        <v>5474.48</v>
      </c>
      <c r="AB138" s="4"/>
      <c r="AC138" s="4"/>
      <c r="AD138" s="14">
        <f t="shared" si="46"/>
        <v>0</v>
      </c>
      <c r="AE138" s="14">
        <f t="shared" si="47"/>
        <v>13616</v>
      </c>
      <c r="AF138" s="14" t="str">
        <f t="shared" si="48"/>
        <v/>
      </c>
      <c r="AG138" s="15">
        <f t="shared" si="49"/>
        <v>13616</v>
      </c>
      <c r="AH138" s="4">
        <v>1071942.308</v>
      </c>
      <c r="AI138" s="17">
        <f t="shared" si="50"/>
        <v>-1058326.308</v>
      </c>
      <c r="AJ138" s="7" t="str">
        <f t="shared" si="53"/>
        <v/>
      </c>
      <c r="AK138" s="7" t="str">
        <f t="shared" si="54"/>
        <v/>
      </c>
      <c r="AL138" s="7">
        <f t="shared" si="55"/>
        <v>1.3916143281153508</v>
      </c>
      <c r="AM138" s="7" t="str">
        <f t="shared" si="56"/>
        <v/>
      </c>
      <c r="AN138" s="4">
        <v>3018.6413213843339</v>
      </c>
      <c r="AO138" s="4">
        <v>17255.98</v>
      </c>
      <c r="AP138" s="14">
        <f t="shared" si="51"/>
        <v>1092216.9293213843</v>
      </c>
      <c r="AQ138" s="14">
        <f t="shared" si="52"/>
        <v>1071942.308</v>
      </c>
      <c r="AR138" s="8">
        <v>69492.77</v>
      </c>
      <c r="AS138" s="20">
        <v>15.425235000000001</v>
      </c>
      <c r="AT138" s="8">
        <v>20113919.960000001</v>
      </c>
      <c r="AU138" s="8">
        <v>26301.933099999998</v>
      </c>
      <c r="AV138" s="8">
        <v>774.05340000000001</v>
      </c>
      <c r="AW138" s="8"/>
      <c r="AX138" s="9">
        <v>419.87451985622567</v>
      </c>
      <c r="AY138" s="6">
        <f t="shared" si="57"/>
        <v>2.2864463375361101E-2</v>
      </c>
      <c r="AZ138" s="8">
        <v>425291601.77670002</v>
      </c>
      <c r="BA138" s="10">
        <v>60480066</v>
      </c>
      <c r="BB138" s="11">
        <v>20113919.960000001</v>
      </c>
      <c r="BC138" s="10">
        <v>2971324</v>
      </c>
      <c r="BD138" s="10">
        <f>1000000000-999791204.3897+1270.9679</f>
        <v>210066.57819994487</v>
      </c>
      <c r="BE138" s="12">
        <f t="shared" si="58"/>
        <v>490933021.68510008</v>
      </c>
      <c r="BF138" s="13">
        <v>238</v>
      </c>
      <c r="BG138" s="13">
        <f t="shared" si="59"/>
        <v>252.93302168510007</v>
      </c>
      <c r="BH138" s="14">
        <f>BE138*16.47</f>
        <v>8085666867.1535978</v>
      </c>
    </row>
    <row r="139" spans="1:60" x14ac:dyDescent="0.25">
      <c r="A139" s="3">
        <v>45761</v>
      </c>
      <c r="B139" s="4">
        <v>6189611974</v>
      </c>
      <c r="C139" s="4"/>
      <c r="D139" s="5">
        <v>126974634</v>
      </c>
      <c r="E139" s="4"/>
      <c r="N139" s="4"/>
      <c r="O139" s="4"/>
      <c r="P139" s="5">
        <v>17486</v>
      </c>
      <c r="Q139" s="4"/>
      <c r="R139" s="14">
        <f t="shared" si="40"/>
        <v>17486</v>
      </c>
      <c r="S139" s="6">
        <v>0.03</v>
      </c>
      <c r="T139" s="14">
        <f t="shared" si="41"/>
        <v>0</v>
      </c>
      <c r="U139" s="14">
        <f t="shared" si="42"/>
        <v>0</v>
      </c>
      <c r="V139" s="14">
        <f t="shared" si="43"/>
        <v>360.41999999999996</v>
      </c>
      <c r="W139" s="14" t="str">
        <f t="shared" si="44"/>
        <v/>
      </c>
      <c r="X139" s="5">
        <v>5472</v>
      </c>
      <c r="Y139" s="4"/>
      <c r="Z139" s="4"/>
      <c r="AA139" s="14">
        <f t="shared" si="45"/>
        <v>5832.42</v>
      </c>
      <c r="AB139" s="4"/>
      <c r="AC139" s="4"/>
      <c r="AD139" s="14">
        <f t="shared" si="46"/>
        <v>0</v>
      </c>
      <c r="AE139" s="14">
        <f t="shared" si="47"/>
        <v>12014</v>
      </c>
      <c r="AF139" s="14" t="str">
        <f t="shared" si="48"/>
        <v/>
      </c>
      <c r="AG139" s="15">
        <f t="shared" si="49"/>
        <v>12014</v>
      </c>
      <c r="AH139" s="4">
        <v>1453677.389</v>
      </c>
      <c r="AI139" s="17">
        <f t="shared" si="50"/>
        <v>-1441663.389</v>
      </c>
      <c r="AJ139" s="7" t="str">
        <f t="shared" si="53"/>
        <v/>
      </c>
      <c r="AK139" s="7" t="str">
        <f t="shared" si="54"/>
        <v/>
      </c>
      <c r="AL139" s="7">
        <f t="shared" si="55"/>
        <v>1.3771254501115553</v>
      </c>
      <c r="AM139" s="7" t="str">
        <f t="shared" si="56"/>
        <v/>
      </c>
      <c r="AN139" s="4">
        <v>5224.6900376340564</v>
      </c>
      <c r="AO139" s="4">
        <v>17255.11</v>
      </c>
      <c r="AP139" s="14">
        <f t="shared" si="51"/>
        <v>1476157.1890376341</v>
      </c>
      <c r="AQ139" s="14">
        <f t="shared" si="52"/>
        <v>1453677.389</v>
      </c>
      <c r="AR139" s="8">
        <v>92420.11</v>
      </c>
      <c r="AS139" s="20">
        <v>15.729016</v>
      </c>
      <c r="AT139" s="8">
        <v>20206340.07</v>
      </c>
      <c r="AU139" s="8">
        <v>26276.635900000001</v>
      </c>
      <c r="AV139" s="8">
        <v>666.15970000000004</v>
      </c>
      <c r="AW139" s="8"/>
      <c r="AX139" s="9">
        <v>418.86273961296507</v>
      </c>
      <c r="AY139" s="6">
        <f t="shared" si="57"/>
        <v>2.2897649268975778E-2</v>
      </c>
      <c r="AZ139" s="8">
        <v>425265325.1408</v>
      </c>
      <c r="BA139" s="10">
        <v>60480066</v>
      </c>
      <c r="BB139" s="11">
        <v>20206340.07</v>
      </c>
      <c r="BC139" s="10">
        <v>2971324</v>
      </c>
      <c r="BD139" s="10">
        <f>1000000000-999790538.23+1603.0527</f>
        <v>211064.82269998093</v>
      </c>
      <c r="BE139" s="12">
        <f t="shared" si="58"/>
        <v>490865879.96650004</v>
      </c>
      <c r="BF139" s="13">
        <v>238</v>
      </c>
      <c r="BG139" s="13">
        <f t="shared" si="59"/>
        <v>252.86587996650002</v>
      </c>
      <c r="BH139" s="14">
        <f>BE139*15.64</f>
        <v>7677142362.6760607</v>
      </c>
    </row>
    <row r="140" spans="1:60" x14ac:dyDescent="0.25">
      <c r="A140" s="3">
        <v>45762</v>
      </c>
      <c r="B140" s="4">
        <v>5704397495</v>
      </c>
      <c r="C140" s="4"/>
      <c r="D140" s="5">
        <v>120978471</v>
      </c>
      <c r="E140" s="4"/>
      <c r="N140" s="4"/>
      <c r="O140" s="4"/>
      <c r="P140" s="5">
        <v>16028</v>
      </c>
      <c r="Q140" s="4"/>
      <c r="R140" s="14">
        <f t="shared" si="40"/>
        <v>16028</v>
      </c>
      <c r="S140" s="6">
        <v>0.03</v>
      </c>
      <c r="T140" s="14">
        <f t="shared" si="41"/>
        <v>0</v>
      </c>
      <c r="U140" s="14">
        <f t="shared" si="42"/>
        <v>0</v>
      </c>
      <c r="V140" s="14">
        <f t="shared" si="43"/>
        <v>354.65999999999997</v>
      </c>
      <c r="W140" s="14" t="str">
        <f t="shared" si="44"/>
        <v/>
      </c>
      <c r="X140" s="5">
        <v>4206</v>
      </c>
      <c r="Y140" s="4"/>
      <c r="Z140" s="4"/>
      <c r="AA140" s="14">
        <f t="shared" si="45"/>
        <v>4560.66</v>
      </c>
      <c r="AB140" s="4"/>
      <c r="AC140" s="4"/>
      <c r="AD140" s="14">
        <f t="shared" si="46"/>
        <v>0</v>
      </c>
      <c r="AE140" s="14">
        <f t="shared" si="47"/>
        <v>11822</v>
      </c>
      <c r="AF140" s="14" t="str">
        <f t="shared" si="48"/>
        <v/>
      </c>
      <c r="AG140" s="15">
        <f t="shared" si="49"/>
        <v>11822</v>
      </c>
      <c r="AH140" s="4">
        <v>1263352.3</v>
      </c>
      <c r="AI140" s="17">
        <f t="shared" si="50"/>
        <v>-1251530.3</v>
      </c>
      <c r="AJ140" s="7" t="str">
        <f t="shared" si="53"/>
        <v/>
      </c>
      <c r="AK140" s="7" t="str">
        <f t="shared" si="54"/>
        <v/>
      </c>
      <c r="AL140" s="7">
        <f t="shared" si="55"/>
        <v>1.324863826391061</v>
      </c>
      <c r="AM140" s="7" t="str">
        <f t="shared" si="56"/>
        <v/>
      </c>
      <c r="AN140" s="4">
        <v>2522.5174742138902</v>
      </c>
      <c r="AO140" s="4">
        <v>24391.53</v>
      </c>
      <c r="AP140" s="14">
        <f t="shared" si="51"/>
        <v>1290266.3474742139</v>
      </c>
      <c r="AQ140" s="14">
        <f t="shared" si="52"/>
        <v>1263352.3</v>
      </c>
      <c r="AR140" s="8">
        <v>83639.509999999995</v>
      </c>
      <c r="AS140" s="20">
        <v>15.104730999999999</v>
      </c>
      <c r="AT140" s="8">
        <v>20289979.579999998</v>
      </c>
      <c r="AU140" s="8">
        <v>26283.848099999999</v>
      </c>
      <c r="AV140" s="8">
        <v>636.10990000000004</v>
      </c>
      <c r="AW140" s="8"/>
      <c r="AX140" s="9">
        <v>419.40750718217271</v>
      </c>
      <c r="AY140" s="6">
        <f t="shared" si="57"/>
        <v>2.2874184157921966E-2</v>
      </c>
      <c r="AZ140" s="8">
        <v>425239041.29259998</v>
      </c>
      <c r="BA140" s="10">
        <v>60480066</v>
      </c>
      <c r="BB140" s="11">
        <v>20289979.579999998</v>
      </c>
      <c r="BC140" s="10">
        <v>2971324</v>
      </c>
      <c r="BD140" s="10">
        <f>1000000000-999789902.1201+1758.1127</f>
        <v>211855.99259997864</v>
      </c>
      <c r="BE140" s="12">
        <f t="shared" si="58"/>
        <v>490807733.13480014</v>
      </c>
      <c r="BF140" s="13">
        <v>238</v>
      </c>
      <c r="BG140" s="13">
        <f t="shared" si="59"/>
        <v>252.80773313480012</v>
      </c>
      <c r="BH140" s="14">
        <f>BE140*15.62</f>
        <v>7666416791.5655775</v>
      </c>
    </row>
    <row r="141" spans="1:60" x14ac:dyDescent="0.25">
      <c r="A141" s="3">
        <v>45763</v>
      </c>
      <c r="B141" s="4">
        <v>6826966423</v>
      </c>
      <c r="C141" s="4"/>
      <c r="D141" s="5">
        <v>155624952</v>
      </c>
      <c r="E141" s="4"/>
      <c r="N141" s="4"/>
      <c r="O141" s="4"/>
      <c r="P141" s="5">
        <v>21088</v>
      </c>
      <c r="Q141" s="4"/>
      <c r="R141" s="14">
        <f t="shared" si="40"/>
        <v>21088</v>
      </c>
      <c r="S141" s="6">
        <v>0.03</v>
      </c>
      <c r="T141" s="14">
        <f t="shared" si="41"/>
        <v>0</v>
      </c>
      <c r="U141" s="14">
        <f t="shared" si="42"/>
        <v>0</v>
      </c>
      <c r="V141" s="14">
        <f t="shared" si="43"/>
        <v>404.13</v>
      </c>
      <c r="W141" s="14" t="str">
        <f t="shared" si="44"/>
        <v/>
      </c>
      <c r="X141" s="5">
        <v>7617</v>
      </c>
      <c r="Y141" s="4"/>
      <c r="Z141" s="4"/>
      <c r="AA141" s="14">
        <f t="shared" si="45"/>
        <v>8021.13</v>
      </c>
      <c r="AB141" s="4"/>
      <c r="AC141" s="4"/>
      <c r="AD141" s="14">
        <f t="shared" si="46"/>
        <v>0</v>
      </c>
      <c r="AE141" s="14">
        <f t="shared" si="47"/>
        <v>13471</v>
      </c>
      <c r="AF141" s="14" t="str">
        <f t="shared" si="48"/>
        <v/>
      </c>
      <c r="AG141" s="15">
        <f t="shared" si="49"/>
        <v>13471</v>
      </c>
      <c r="AH141" s="4">
        <v>1260681.2120000001</v>
      </c>
      <c r="AI141" s="17">
        <f t="shared" si="50"/>
        <v>-1247210.2120000001</v>
      </c>
      <c r="AJ141" s="7" t="str">
        <f t="shared" si="53"/>
        <v/>
      </c>
      <c r="AK141" s="7" t="str">
        <f t="shared" si="54"/>
        <v/>
      </c>
      <c r="AL141" s="7">
        <f t="shared" si="55"/>
        <v>1.3550526267792842</v>
      </c>
      <c r="AM141" s="7" t="str">
        <f t="shared" si="56"/>
        <v/>
      </c>
      <c r="AN141" s="4">
        <v>3345.623242206836</v>
      </c>
      <c r="AO141" s="4">
        <v>20090.650000000001</v>
      </c>
      <c r="AP141" s="14">
        <f t="shared" si="51"/>
        <v>1284117.4852422068</v>
      </c>
      <c r="AQ141" s="14">
        <f t="shared" si="52"/>
        <v>1260681.2120000001</v>
      </c>
      <c r="AR141" s="8">
        <v>81538.27</v>
      </c>
      <c r="AS141" s="20">
        <v>15.461221</v>
      </c>
      <c r="AT141" s="8">
        <v>20371517.850000001</v>
      </c>
      <c r="AU141" s="8">
        <v>26320.224999999999</v>
      </c>
      <c r="AV141" s="8">
        <v>567.98910000000001</v>
      </c>
      <c r="AW141" s="8"/>
      <c r="AX141" s="9">
        <v>420.19606750117089</v>
      </c>
      <c r="AY141" s="6">
        <f t="shared" si="57"/>
        <v>2.2862855861860799E-2</v>
      </c>
      <c r="AZ141" s="8">
        <v>425212721.06760001</v>
      </c>
      <c r="BA141" s="10">
        <v>60480066</v>
      </c>
      <c r="BB141" s="11">
        <v>20371517.850000001</v>
      </c>
      <c r="BC141" s="10">
        <v>2971324</v>
      </c>
      <c r="BD141" s="10">
        <f>1000000000-999789334.131+1978.6548</f>
        <v>212644.52379995803</v>
      </c>
      <c r="BE141" s="12">
        <f t="shared" si="58"/>
        <v>490751726.55860001</v>
      </c>
      <c r="BF141" s="13">
        <v>238</v>
      </c>
      <c r="BG141" s="13">
        <f t="shared" si="59"/>
        <v>252.75172655860001</v>
      </c>
      <c r="BH141" s="14">
        <f>BE141*15.01</f>
        <v>7366183415.6445856</v>
      </c>
    </row>
    <row r="142" spans="1:60" x14ac:dyDescent="0.25">
      <c r="A142" s="3">
        <v>45764</v>
      </c>
      <c r="B142" s="4">
        <v>4931816794</v>
      </c>
      <c r="C142" s="4"/>
      <c r="D142" s="5">
        <v>171271416</v>
      </c>
      <c r="E142" s="4"/>
      <c r="N142" s="4"/>
      <c r="O142" s="4"/>
      <c r="P142" s="5">
        <v>20603</v>
      </c>
      <c r="Q142" s="4"/>
      <c r="R142" s="14">
        <f t="shared" si="40"/>
        <v>20603</v>
      </c>
      <c r="S142" s="6">
        <v>0.03</v>
      </c>
      <c r="T142" s="14">
        <f t="shared" si="41"/>
        <v>0</v>
      </c>
      <c r="U142" s="14">
        <f t="shared" si="42"/>
        <v>0</v>
      </c>
      <c r="V142" s="14">
        <f t="shared" si="43"/>
        <v>429.69</v>
      </c>
      <c r="W142" s="14" t="str">
        <f t="shared" si="44"/>
        <v/>
      </c>
      <c r="X142" s="5">
        <v>6280</v>
      </c>
      <c r="Y142" s="4"/>
      <c r="Z142" s="4"/>
      <c r="AA142" s="14">
        <f t="shared" si="45"/>
        <v>6709.69</v>
      </c>
      <c r="AB142" s="4"/>
      <c r="AC142" s="4"/>
      <c r="AD142" s="14">
        <f t="shared" si="46"/>
        <v>0</v>
      </c>
      <c r="AE142" s="14">
        <f t="shared" si="47"/>
        <v>14323</v>
      </c>
      <c r="AF142" s="14" t="str">
        <f t="shared" si="48"/>
        <v/>
      </c>
      <c r="AG142" s="15">
        <f t="shared" si="49"/>
        <v>14323</v>
      </c>
      <c r="AH142" s="4">
        <v>1446889.317</v>
      </c>
      <c r="AI142" s="17">
        <f t="shared" si="50"/>
        <v>-1432566.317</v>
      </c>
      <c r="AJ142" s="7" t="str">
        <f t="shared" si="53"/>
        <v/>
      </c>
      <c r="AK142" s="7" t="str">
        <f t="shared" si="54"/>
        <v/>
      </c>
      <c r="AL142" s="7">
        <f t="shared" si="55"/>
        <v>1.2029444539653948</v>
      </c>
      <c r="AM142" s="7" t="str">
        <f t="shared" si="56"/>
        <v/>
      </c>
      <c r="AN142" s="4">
        <v>2049.8491325183991</v>
      </c>
      <c r="AO142" s="4">
        <v>0</v>
      </c>
      <c r="AP142" s="14">
        <f t="shared" si="51"/>
        <v>1448939.1661325183</v>
      </c>
      <c r="AQ142" s="14">
        <f t="shared" si="52"/>
        <v>1446889.317</v>
      </c>
      <c r="AR142" s="8">
        <v>88253.77</v>
      </c>
      <c r="AS142" s="20">
        <v>16.394646000000002</v>
      </c>
      <c r="AT142" s="8">
        <v>20459771.620000001</v>
      </c>
      <c r="AU142" s="8">
        <v>26296.144199999999</v>
      </c>
      <c r="AV142" s="8">
        <v>643.20339999999999</v>
      </c>
      <c r="AW142" s="8"/>
      <c r="AX142" s="9">
        <v>420.26059468813861</v>
      </c>
      <c r="AY142" s="6">
        <f t="shared" si="57"/>
        <v>2.2838431093265891E-2</v>
      </c>
      <c r="AZ142" s="8">
        <v>425186424.92339998</v>
      </c>
      <c r="BA142" s="10">
        <v>60480066</v>
      </c>
      <c r="BB142" s="11">
        <v>20459771.620000001</v>
      </c>
      <c r="BC142" s="10">
        <v>2971324</v>
      </c>
      <c r="BD142" s="10">
        <f>1000000000-999788690.9277+2109.5352</f>
        <v>213418.60749995729</v>
      </c>
      <c r="BE142" s="12">
        <f t="shared" si="58"/>
        <v>490688994.84910011</v>
      </c>
      <c r="BF142" s="13">
        <v>238</v>
      </c>
      <c r="BG142" s="13">
        <f t="shared" si="59"/>
        <v>252.68899484910014</v>
      </c>
      <c r="BH142" s="14">
        <f>BE142*15.7</f>
        <v>7703817219.1308718</v>
      </c>
    </row>
    <row r="143" spans="1:60" x14ac:dyDescent="0.25">
      <c r="A143" s="3">
        <v>45765</v>
      </c>
      <c r="B143" s="4">
        <v>2170024471</v>
      </c>
      <c r="C143" s="4"/>
      <c r="D143" s="5">
        <v>94799665</v>
      </c>
      <c r="E143" s="4"/>
      <c r="N143" s="4"/>
      <c r="O143" s="4"/>
      <c r="P143" s="5">
        <v>12428</v>
      </c>
      <c r="Q143" s="4"/>
      <c r="R143" s="14">
        <f t="shared" si="40"/>
        <v>12428</v>
      </c>
      <c r="S143" s="6">
        <v>0.03</v>
      </c>
      <c r="T143" s="14">
        <f t="shared" si="41"/>
        <v>0</v>
      </c>
      <c r="U143" s="14">
        <f t="shared" si="42"/>
        <v>0</v>
      </c>
      <c r="V143" s="14">
        <f t="shared" si="43"/>
        <v>284.31</v>
      </c>
      <c r="W143" s="14" t="str">
        <f t="shared" si="44"/>
        <v/>
      </c>
      <c r="X143" s="5">
        <v>2951</v>
      </c>
      <c r="Y143" s="4"/>
      <c r="Z143" s="4"/>
      <c r="AA143" s="14">
        <f t="shared" si="45"/>
        <v>3235.31</v>
      </c>
      <c r="AB143" s="4"/>
      <c r="AC143" s="4"/>
      <c r="AD143" s="14">
        <f t="shared" si="46"/>
        <v>0</v>
      </c>
      <c r="AE143" s="14">
        <f t="shared" si="47"/>
        <v>9477</v>
      </c>
      <c r="AF143" s="14" t="str">
        <f t="shared" si="48"/>
        <v/>
      </c>
      <c r="AG143" s="15">
        <f t="shared" si="49"/>
        <v>9477</v>
      </c>
      <c r="AH143" s="4">
        <v>884257.65830000001</v>
      </c>
      <c r="AI143" s="17">
        <f t="shared" si="50"/>
        <v>-874780.65830000001</v>
      </c>
      <c r="AJ143" s="7" t="str">
        <f t="shared" si="53"/>
        <v/>
      </c>
      <c r="AK143" s="7" t="str">
        <f t="shared" si="54"/>
        <v/>
      </c>
      <c r="AL143" s="7">
        <f t="shared" si="55"/>
        <v>1.3109750968001836</v>
      </c>
      <c r="AM143" s="7" t="str">
        <f t="shared" si="56"/>
        <v/>
      </c>
      <c r="AN143" s="4">
        <v>3051.8515406348902</v>
      </c>
      <c r="AO143" s="4">
        <v>18209.580000000002</v>
      </c>
      <c r="AP143" s="14">
        <f t="shared" si="51"/>
        <v>905519.08984063484</v>
      </c>
      <c r="AQ143" s="14">
        <f t="shared" si="52"/>
        <v>884257.65830000001</v>
      </c>
      <c r="AR143" s="8">
        <v>52023.07</v>
      </c>
      <c r="AS143" s="20">
        <v>16.997413999999999</v>
      </c>
      <c r="AT143" s="8">
        <v>20511794.690000001</v>
      </c>
      <c r="AU143" s="8">
        <v>26303.0308</v>
      </c>
      <c r="AV143" s="8">
        <v>940.70399999999995</v>
      </c>
      <c r="AW143" s="8"/>
      <c r="AX143" s="9">
        <v>419.34452068513281</v>
      </c>
      <c r="AY143" s="6">
        <f t="shared" si="57"/>
        <v>2.289431664998115E-2</v>
      </c>
      <c r="AZ143" s="8">
        <v>425160121.89249998</v>
      </c>
      <c r="BA143" s="10">
        <v>60480066</v>
      </c>
      <c r="BB143" s="11">
        <v>20511794.690000001</v>
      </c>
      <c r="BC143" s="10">
        <v>2971324</v>
      </c>
      <c r="BD143" s="10">
        <f>1000000000-999787750.2236+2288.8871</f>
        <v>214538.66349997005</v>
      </c>
      <c r="BE143" s="12">
        <f t="shared" si="58"/>
        <v>490662154.75400013</v>
      </c>
      <c r="BF143" s="13">
        <v>238</v>
      </c>
      <c r="BG143" s="13">
        <f t="shared" si="59"/>
        <v>252.66215475400014</v>
      </c>
      <c r="BH143" s="14">
        <f>BE143*17.15</f>
        <v>8414855954.0311012</v>
      </c>
    </row>
    <row r="144" spans="1:60" x14ac:dyDescent="0.25">
      <c r="A144" s="3">
        <v>45766</v>
      </c>
      <c r="B144" s="4">
        <v>2477853939</v>
      </c>
      <c r="C144" s="4"/>
      <c r="D144" s="5">
        <v>93687537</v>
      </c>
      <c r="E144" s="4"/>
      <c r="N144" s="4"/>
      <c r="O144" s="4"/>
      <c r="P144" s="5">
        <v>12659</v>
      </c>
      <c r="Q144" s="4"/>
      <c r="R144" s="14">
        <f t="shared" si="40"/>
        <v>12659</v>
      </c>
      <c r="S144" s="6">
        <v>0.03</v>
      </c>
      <c r="T144" s="14">
        <f t="shared" si="41"/>
        <v>0</v>
      </c>
      <c r="U144" s="14">
        <f t="shared" si="42"/>
        <v>0</v>
      </c>
      <c r="V144" s="14">
        <f t="shared" si="43"/>
        <v>311.07</v>
      </c>
      <c r="W144" s="14" t="str">
        <f t="shared" si="44"/>
        <v/>
      </c>
      <c r="X144" s="5">
        <v>2290</v>
      </c>
      <c r="Y144" s="4"/>
      <c r="Z144" s="4"/>
      <c r="AA144" s="14">
        <f t="shared" si="45"/>
        <v>2601.0700000000002</v>
      </c>
      <c r="AB144" s="4"/>
      <c r="AC144" s="4"/>
      <c r="AD144" s="14">
        <f t="shared" si="46"/>
        <v>0</v>
      </c>
      <c r="AE144" s="14">
        <f t="shared" si="47"/>
        <v>10369</v>
      </c>
      <c r="AF144" s="14" t="str">
        <f t="shared" si="48"/>
        <v/>
      </c>
      <c r="AG144" s="15">
        <f t="shared" si="49"/>
        <v>10369</v>
      </c>
      <c r="AH144" s="4">
        <v>562035.0159</v>
      </c>
      <c r="AI144" s="17">
        <f t="shared" si="50"/>
        <v>-551666.0159</v>
      </c>
      <c r="AJ144" s="7" t="str">
        <f t="shared" si="53"/>
        <v/>
      </c>
      <c r="AK144" s="7" t="str">
        <f t="shared" si="54"/>
        <v/>
      </c>
      <c r="AL144" s="7">
        <f t="shared" si="55"/>
        <v>1.3511935957927892</v>
      </c>
      <c r="AM144" s="7" t="str">
        <f t="shared" si="56"/>
        <v/>
      </c>
      <c r="AN144" s="4">
        <v>1444.7810420130199</v>
      </c>
      <c r="AO144" s="4">
        <v>18219.28</v>
      </c>
      <c r="AP144" s="14">
        <f t="shared" si="51"/>
        <v>581699.07694201299</v>
      </c>
      <c r="AQ144" s="14">
        <f t="shared" si="52"/>
        <v>562035.0159</v>
      </c>
      <c r="AR144" s="8">
        <v>31600.29</v>
      </c>
      <c r="AS144" s="20">
        <v>17.785755000000002</v>
      </c>
      <c r="AT144" s="8">
        <v>20543394.98</v>
      </c>
      <c r="AU144" s="8">
        <v>26285.697899999999</v>
      </c>
      <c r="AV144" s="8">
        <v>520.85929999999996</v>
      </c>
      <c r="AW144" s="8"/>
      <c r="AX144" s="9">
        <v>418.67465198874379</v>
      </c>
      <c r="AY144" s="6">
        <f t="shared" si="57"/>
        <v>2.2915836169986107E-2</v>
      </c>
      <c r="AZ144" s="8">
        <v>425133836.19459999</v>
      </c>
      <c r="BA144" s="10">
        <v>60480066</v>
      </c>
      <c r="BB144" s="11">
        <v>20543394.98</v>
      </c>
      <c r="BC144" s="10">
        <v>2971324</v>
      </c>
      <c r="BD144" s="10">
        <f>1000000000-999787229.3643+2375.0039</f>
        <v>215145.63959998742</v>
      </c>
      <c r="BE144" s="12">
        <f t="shared" si="58"/>
        <v>490656233.18580002</v>
      </c>
      <c r="BF144" s="13">
        <v>238</v>
      </c>
      <c r="BG144" s="13">
        <f t="shared" si="59"/>
        <v>252.65623318580003</v>
      </c>
      <c r="BH144" s="14">
        <f>BE144*16.92</f>
        <v>8301903465.5037374</v>
      </c>
    </row>
    <row r="145" spans="1:60" x14ac:dyDescent="0.25">
      <c r="A145" s="3">
        <v>45767</v>
      </c>
      <c r="B145" s="4">
        <v>2831191376</v>
      </c>
      <c r="C145" s="4"/>
      <c r="D145" s="5">
        <v>92510970</v>
      </c>
      <c r="E145" s="4"/>
      <c r="N145" s="4"/>
      <c r="O145" s="4"/>
      <c r="P145" s="5">
        <v>10920</v>
      </c>
      <c r="Q145" s="4"/>
      <c r="R145" s="14">
        <f t="shared" si="40"/>
        <v>10920</v>
      </c>
      <c r="S145" s="6">
        <v>0.03</v>
      </c>
      <c r="T145" s="14">
        <f t="shared" si="41"/>
        <v>0</v>
      </c>
      <c r="U145" s="14">
        <f t="shared" si="42"/>
        <v>0</v>
      </c>
      <c r="V145" s="14">
        <f t="shared" si="43"/>
        <v>263.7</v>
      </c>
      <c r="W145" s="14" t="str">
        <f t="shared" si="44"/>
        <v/>
      </c>
      <c r="X145" s="5">
        <v>2130</v>
      </c>
      <c r="Y145" s="4"/>
      <c r="Z145" s="4"/>
      <c r="AA145" s="14">
        <f t="shared" si="45"/>
        <v>2393.6999999999998</v>
      </c>
      <c r="AB145" s="4"/>
      <c r="AC145" s="4"/>
      <c r="AD145" s="14">
        <f t="shared" si="46"/>
        <v>0</v>
      </c>
      <c r="AE145" s="14">
        <f t="shared" si="47"/>
        <v>8790</v>
      </c>
      <c r="AF145" s="14" t="str">
        <f t="shared" si="48"/>
        <v/>
      </c>
      <c r="AG145" s="15">
        <f t="shared" si="49"/>
        <v>8790</v>
      </c>
      <c r="AH145" s="4">
        <v>503819.1862</v>
      </c>
      <c r="AI145" s="17">
        <f t="shared" si="50"/>
        <v>-495029.1862</v>
      </c>
      <c r="AJ145" s="7" t="str">
        <f t="shared" si="53"/>
        <v/>
      </c>
      <c r="AK145" s="7" t="str">
        <f t="shared" si="54"/>
        <v/>
      </c>
      <c r="AL145" s="7">
        <f t="shared" si="55"/>
        <v>1.1804005514156861</v>
      </c>
      <c r="AM145" s="7" t="str">
        <f t="shared" si="56"/>
        <v/>
      </c>
      <c r="AN145" s="4">
        <v>1231.31182639604</v>
      </c>
      <c r="AO145" s="4">
        <v>18279.54</v>
      </c>
      <c r="AP145" s="14">
        <f t="shared" si="51"/>
        <v>523330.03802639601</v>
      </c>
      <c r="AQ145" s="14">
        <f t="shared" si="52"/>
        <v>503819.1862</v>
      </c>
      <c r="AR145" s="8">
        <v>28426.6</v>
      </c>
      <c r="AS145" s="20">
        <v>17.723511999999999</v>
      </c>
      <c r="AT145" s="8">
        <v>20571821.579999998</v>
      </c>
      <c r="AU145" s="8">
        <v>26264.119900000002</v>
      </c>
      <c r="AV145" s="8">
        <v>529.23749999999995</v>
      </c>
      <c r="AW145" s="8"/>
      <c r="AX145" s="9">
        <v>418.55260878448019</v>
      </c>
      <c r="AY145" s="6">
        <f t="shared" si="57"/>
        <v>2.2903700902354673E-2</v>
      </c>
      <c r="AZ145" s="8">
        <v>425107572.0747</v>
      </c>
      <c r="BA145" s="10">
        <v>60480066</v>
      </c>
      <c r="BB145" s="11">
        <v>20571821.579999998</v>
      </c>
      <c r="BC145" s="10">
        <v>2971324</v>
      </c>
      <c r="BD145" s="10">
        <f>1000000000-999786700.1268+2442.7403</f>
        <v>215742.61350005894</v>
      </c>
      <c r="BE145" s="12">
        <f t="shared" si="58"/>
        <v>490653473.73179996</v>
      </c>
      <c r="BF145" s="13">
        <v>238</v>
      </c>
      <c r="BG145" s="13">
        <f t="shared" si="59"/>
        <v>252.65347373179998</v>
      </c>
      <c r="BH145" s="14">
        <f>BE145*18.08</f>
        <v>8871014805.0709419</v>
      </c>
    </row>
    <row r="146" spans="1:60" x14ac:dyDescent="0.25">
      <c r="A146" s="3">
        <v>45768</v>
      </c>
      <c r="B146" s="4">
        <v>6514487935</v>
      </c>
      <c r="C146" s="4"/>
      <c r="D146" s="5">
        <v>153905343</v>
      </c>
      <c r="E146" s="4"/>
      <c r="N146" s="4"/>
      <c r="O146" s="4"/>
      <c r="P146" s="5">
        <v>20816</v>
      </c>
      <c r="Q146" s="4"/>
      <c r="R146" s="14">
        <f t="shared" si="40"/>
        <v>20816</v>
      </c>
      <c r="S146" s="6">
        <v>0.03</v>
      </c>
      <c r="T146" s="14">
        <f t="shared" si="41"/>
        <v>0</v>
      </c>
      <c r="U146" s="14">
        <f t="shared" si="42"/>
        <v>0</v>
      </c>
      <c r="V146" s="14">
        <f t="shared" si="43"/>
        <v>434.52</v>
      </c>
      <c r="W146" s="14" t="str">
        <f t="shared" si="44"/>
        <v/>
      </c>
      <c r="X146" s="5">
        <v>6332</v>
      </c>
      <c r="Y146" s="4"/>
      <c r="Z146" s="4"/>
      <c r="AA146" s="14">
        <f t="shared" si="45"/>
        <v>6766.52</v>
      </c>
      <c r="AB146" s="4"/>
      <c r="AC146" s="4"/>
      <c r="AD146" s="14">
        <f t="shared" si="46"/>
        <v>0</v>
      </c>
      <c r="AE146" s="14">
        <f t="shared" si="47"/>
        <v>14484</v>
      </c>
      <c r="AF146" s="14" t="str">
        <f t="shared" si="48"/>
        <v/>
      </c>
      <c r="AG146" s="15">
        <f t="shared" si="49"/>
        <v>14484</v>
      </c>
      <c r="AH146" s="4">
        <v>938622.60239999997</v>
      </c>
      <c r="AI146" s="17">
        <f t="shared" si="50"/>
        <v>-924138.60239999997</v>
      </c>
      <c r="AJ146" s="7" t="str">
        <f t="shared" si="53"/>
        <v/>
      </c>
      <c r="AK146" s="7" t="str">
        <f t="shared" si="54"/>
        <v/>
      </c>
      <c r="AL146" s="7">
        <f t="shared" si="55"/>
        <v>1.3525196457929338</v>
      </c>
      <c r="AM146" s="7" t="str">
        <f t="shared" si="56"/>
        <v/>
      </c>
      <c r="AN146" s="4">
        <v>4424.6545306472153</v>
      </c>
      <c r="AO146" s="4">
        <v>19083.900000000001</v>
      </c>
      <c r="AP146" s="14">
        <f t="shared" si="51"/>
        <v>962131.15693064721</v>
      </c>
      <c r="AQ146" s="14">
        <f t="shared" si="52"/>
        <v>938622.60239999997</v>
      </c>
      <c r="AR146" s="8">
        <v>52255.23</v>
      </c>
      <c r="AS146" s="20">
        <v>17.962271000000001</v>
      </c>
      <c r="AT146" s="8">
        <v>20624076.809999999</v>
      </c>
      <c r="AU146" s="8">
        <v>26218.991999999998</v>
      </c>
      <c r="AV146" s="8">
        <v>410.41669999999999</v>
      </c>
      <c r="AW146" s="8"/>
      <c r="AX146" s="9">
        <v>418.40501830815498</v>
      </c>
      <c r="AY146" s="6">
        <f t="shared" si="57"/>
        <v>2.2872412282951522E-2</v>
      </c>
      <c r="AZ146" s="8">
        <v>425081353.08279997</v>
      </c>
      <c r="BA146" s="10">
        <v>60480066</v>
      </c>
      <c r="BB146" s="11">
        <v>20624076.809999999</v>
      </c>
      <c r="BC146" s="10">
        <v>2971324</v>
      </c>
      <c r="BD146" s="10">
        <f>1000000000-999786289.7101+2691.3024</f>
        <v>216401.59229994525</v>
      </c>
      <c r="BE146" s="12">
        <f t="shared" si="58"/>
        <v>490626778.51490015</v>
      </c>
      <c r="BF146" s="13">
        <v>238</v>
      </c>
      <c r="BG146" s="13">
        <f t="shared" si="59"/>
        <v>252.62677851490014</v>
      </c>
      <c r="BH146" s="14">
        <f>BE146*17.66</f>
        <v>8664468908.5731373</v>
      </c>
    </row>
    <row r="147" spans="1:60" x14ac:dyDescent="0.25">
      <c r="A147" s="3">
        <v>45769</v>
      </c>
      <c r="B147" s="4">
        <v>9749391466</v>
      </c>
      <c r="C147" s="4"/>
      <c r="D147" s="5">
        <v>167698100</v>
      </c>
      <c r="E147" s="4"/>
      <c r="N147" s="4"/>
      <c r="O147" s="4"/>
      <c r="P147" s="5">
        <v>20644</v>
      </c>
      <c r="Q147" s="4"/>
      <c r="R147" s="14">
        <f t="shared" si="40"/>
        <v>20644</v>
      </c>
      <c r="S147" s="6">
        <v>0.03</v>
      </c>
      <c r="T147" s="14">
        <f t="shared" si="41"/>
        <v>0</v>
      </c>
      <c r="U147" s="14">
        <f t="shared" si="42"/>
        <v>0</v>
      </c>
      <c r="V147" s="14">
        <f t="shared" si="43"/>
        <v>400.71</v>
      </c>
      <c r="W147" s="14" t="str">
        <f t="shared" si="44"/>
        <v/>
      </c>
      <c r="X147" s="5">
        <v>7287</v>
      </c>
      <c r="Y147" s="4"/>
      <c r="Z147" s="4"/>
      <c r="AA147" s="14">
        <f t="shared" si="45"/>
        <v>7687.71</v>
      </c>
      <c r="AB147" s="4"/>
      <c r="AC147" s="4"/>
      <c r="AD147" s="14">
        <f t="shared" si="46"/>
        <v>0</v>
      </c>
      <c r="AE147" s="14">
        <f t="shared" si="47"/>
        <v>13357</v>
      </c>
      <c r="AF147" s="14" t="str">
        <f t="shared" si="48"/>
        <v/>
      </c>
      <c r="AG147" s="15">
        <f t="shared" si="49"/>
        <v>13357</v>
      </c>
      <c r="AH147" s="4">
        <v>1423075.149</v>
      </c>
      <c r="AI147" s="17">
        <f t="shared" si="50"/>
        <v>-1409718.149</v>
      </c>
      <c r="AJ147" s="7" t="str">
        <f t="shared" si="53"/>
        <v/>
      </c>
      <c r="AK147" s="7" t="str">
        <f t="shared" si="54"/>
        <v/>
      </c>
      <c r="AL147" s="7">
        <f t="shared" si="55"/>
        <v>1.2310216991128702</v>
      </c>
      <c r="AM147" s="7" t="str">
        <f t="shared" si="56"/>
        <v/>
      </c>
      <c r="AN147" s="4">
        <v>4155.014276325599</v>
      </c>
      <c r="AO147" s="4">
        <v>0</v>
      </c>
      <c r="AP147" s="14">
        <f t="shared" si="51"/>
        <v>1427230.1632763257</v>
      </c>
      <c r="AQ147" s="14">
        <f t="shared" si="52"/>
        <v>1423075.149</v>
      </c>
      <c r="AR147" s="8">
        <v>76482.66</v>
      </c>
      <c r="AS147" s="20">
        <v>18.606507000000001</v>
      </c>
      <c r="AT147" s="8">
        <v>20700559.469999999</v>
      </c>
      <c r="AU147" s="8">
        <v>26258.891199999998</v>
      </c>
      <c r="AV147" s="8">
        <v>648.34709999999995</v>
      </c>
      <c r="AW147" s="8"/>
      <c r="AX147" s="9">
        <v>418.565837454183</v>
      </c>
      <c r="AY147" s="6">
        <f t="shared" si="57"/>
        <v>2.2898417477869623E-2</v>
      </c>
      <c r="AZ147" s="8">
        <v>425055094.19160002</v>
      </c>
      <c r="BA147" s="10">
        <v>60480066</v>
      </c>
      <c r="BB147" s="11">
        <v>20700559.469999999</v>
      </c>
      <c r="BC147" s="10">
        <v>2971324</v>
      </c>
      <c r="BD147" s="10">
        <f>1000000000-999785641.3631+2921.9955</f>
        <v>217280.63239994811</v>
      </c>
      <c r="BE147" s="12">
        <f t="shared" si="58"/>
        <v>490575675.70599991</v>
      </c>
      <c r="BF147" s="13">
        <v>238</v>
      </c>
      <c r="BG147" s="13">
        <f t="shared" si="59"/>
        <v>252.57567570599991</v>
      </c>
      <c r="BH147" s="14">
        <f>BE147*18.09</f>
        <v>8874513973.5215378</v>
      </c>
    </row>
    <row r="148" spans="1:60" x14ac:dyDescent="0.25">
      <c r="A148" s="3">
        <v>45770</v>
      </c>
      <c r="B148" s="4">
        <v>8586739200</v>
      </c>
      <c r="C148" s="4"/>
      <c r="D148" s="5">
        <v>169388947</v>
      </c>
      <c r="E148" s="4"/>
      <c r="N148" s="4"/>
      <c r="O148" s="4"/>
      <c r="P148" s="5">
        <v>24465</v>
      </c>
      <c r="Q148" s="4"/>
      <c r="R148" s="14">
        <f t="shared" si="40"/>
        <v>24465</v>
      </c>
      <c r="S148" s="6">
        <v>0.03</v>
      </c>
      <c r="T148" s="14">
        <f t="shared" si="41"/>
        <v>0</v>
      </c>
      <c r="U148" s="14">
        <f t="shared" si="42"/>
        <v>0</v>
      </c>
      <c r="V148" s="14">
        <f t="shared" si="43"/>
        <v>511.68</v>
      </c>
      <c r="W148" s="14" t="str">
        <f t="shared" si="44"/>
        <v/>
      </c>
      <c r="X148" s="5">
        <v>7409</v>
      </c>
      <c r="Y148" s="4"/>
      <c r="Z148" s="4"/>
      <c r="AA148" s="14">
        <f t="shared" si="45"/>
        <v>7920.68</v>
      </c>
      <c r="AB148" s="4"/>
      <c r="AC148" s="4"/>
      <c r="AD148" s="14">
        <f t="shared" si="46"/>
        <v>0</v>
      </c>
      <c r="AE148" s="14">
        <f t="shared" si="47"/>
        <v>17056</v>
      </c>
      <c r="AF148" s="14" t="str">
        <f t="shared" si="48"/>
        <v/>
      </c>
      <c r="AG148" s="15">
        <f t="shared" si="49"/>
        <v>17056</v>
      </c>
      <c r="AH148" s="4">
        <v>2257032.676</v>
      </c>
      <c r="AI148" s="17">
        <f t="shared" si="50"/>
        <v>-2239976.676</v>
      </c>
      <c r="AJ148" s="7" t="str">
        <f t="shared" si="53"/>
        <v/>
      </c>
      <c r="AK148" s="7" t="str">
        <f t="shared" si="54"/>
        <v/>
      </c>
      <c r="AL148" s="7">
        <f t="shared" si="55"/>
        <v>1.4443091142186508</v>
      </c>
      <c r="AM148" s="7" t="str">
        <f t="shared" si="56"/>
        <v/>
      </c>
      <c r="AN148" s="4">
        <v>5131.0810960132276</v>
      </c>
      <c r="AO148" s="4">
        <v>23592.15</v>
      </c>
      <c r="AP148" s="14">
        <f t="shared" si="51"/>
        <v>2285755.907096013</v>
      </c>
      <c r="AQ148" s="14">
        <f t="shared" si="52"/>
        <v>2257032.676</v>
      </c>
      <c r="AR148" s="8">
        <v>120992.35</v>
      </c>
      <c r="AS148" s="20">
        <v>18.654342</v>
      </c>
      <c r="AT148" s="8">
        <v>20821551.82</v>
      </c>
      <c r="AU148" s="8">
        <v>26217.4408</v>
      </c>
      <c r="AV148" s="8">
        <v>708.65710000000001</v>
      </c>
      <c r="AW148" s="8"/>
      <c r="AX148" s="9">
        <v>417.6498781900325</v>
      </c>
      <c r="AY148" s="6">
        <f t="shared" si="57"/>
        <v>2.2912411547851327E-2</v>
      </c>
      <c r="AZ148" s="8">
        <v>425028876.75080001</v>
      </c>
      <c r="BA148" s="10">
        <v>60480066</v>
      </c>
      <c r="BB148" s="11">
        <v>20821551.82</v>
      </c>
      <c r="BC148" s="10">
        <v>2971324</v>
      </c>
      <c r="BD148" s="10">
        <f>1000000000-999784932.706+3193.309</f>
        <v>218260.60300002957</v>
      </c>
      <c r="BE148" s="12">
        <f t="shared" si="58"/>
        <v>490479920.82619995</v>
      </c>
      <c r="BF148" s="13">
        <v>238</v>
      </c>
      <c r="BG148" s="13">
        <f t="shared" si="59"/>
        <v>252.47992082619993</v>
      </c>
      <c r="BH148" s="14">
        <f>BE148*19.11</f>
        <v>9373071286.9886799</v>
      </c>
    </row>
    <row r="149" spans="1:60" x14ac:dyDescent="0.25">
      <c r="A149" s="3">
        <v>45771</v>
      </c>
      <c r="B149" s="4">
        <v>5758061914</v>
      </c>
      <c r="C149" s="4"/>
      <c r="D149" s="5">
        <v>117675576</v>
      </c>
      <c r="E149" s="4"/>
      <c r="N149" s="4"/>
      <c r="O149" s="4"/>
      <c r="P149" s="5">
        <v>15562</v>
      </c>
      <c r="Q149" s="4"/>
      <c r="R149" s="14">
        <f t="shared" si="40"/>
        <v>15562</v>
      </c>
      <c r="S149" s="6">
        <v>0.03</v>
      </c>
      <c r="T149" s="14">
        <f t="shared" si="41"/>
        <v>0</v>
      </c>
      <c r="U149" s="14">
        <f t="shared" si="42"/>
        <v>0</v>
      </c>
      <c r="V149" s="14">
        <f t="shared" si="43"/>
        <v>330.33</v>
      </c>
      <c r="W149" s="14" t="str">
        <f t="shared" si="44"/>
        <v/>
      </c>
      <c r="X149" s="5">
        <v>4551</v>
      </c>
      <c r="Y149" s="4"/>
      <c r="Z149" s="4"/>
      <c r="AA149" s="14">
        <f t="shared" si="45"/>
        <v>4881.33</v>
      </c>
      <c r="AB149" s="4"/>
      <c r="AC149" s="4"/>
      <c r="AD149" s="14">
        <f t="shared" si="46"/>
        <v>0</v>
      </c>
      <c r="AE149" s="14">
        <f t="shared" si="47"/>
        <v>11011</v>
      </c>
      <c r="AF149" s="14" t="str">
        <f t="shared" si="48"/>
        <v/>
      </c>
      <c r="AG149" s="15">
        <f t="shared" si="49"/>
        <v>11011</v>
      </c>
      <c r="AH149" s="4">
        <v>1763542.077</v>
      </c>
      <c r="AI149" s="17">
        <f t="shared" si="50"/>
        <v>-1752531.077</v>
      </c>
      <c r="AJ149" s="7" t="str">
        <f t="shared" si="53"/>
        <v/>
      </c>
      <c r="AK149" s="7" t="str">
        <f t="shared" si="54"/>
        <v/>
      </c>
      <c r="AL149" s="7">
        <f t="shared" si="55"/>
        <v>1.3224494435446825</v>
      </c>
      <c r="AM149" s="7" t="str">
        <f t="shared" si="56"/>
        <v/>
      </c>
      <c r="AN149" s="4">
        <v>2281.1844202433131</v>
      </c>
      <c r="AO149" s="4">
        <v>19881.93</v>
      </c>
      <c r="AP149" s="14">
        <f t="shared" si="51"/>
        <v>1785705.1914202434</v>
      </c>
      <c r="AQ149" s="14">
        <f t="shared" si="52"/>
        <v>1763542.077</v>
      </c>
      <c r="AR149" s="8">
        <v>96372.78</v>
      </c>
      <c r="AS149" s="20">
        <v>18.299171999999999</v>
      </c>
      <c r="AT149" s="8">
        <v>20917924.600000001</v>
      </c>
      <c r="AU149" s="8">
        <v>26193.150099999999</v>
      </c>
      <c r="AV149" s="8">
        <v>671.47379999999998</v>
      </c>
      <c r="AW149" s="8"/>
      <c r="AX149" s="9">
        <v>416.62446024566572</v>
      </c>
      <c r="AY149" s="6">
        <f t="shared" si="57"/>
        <v>2.2947523966457897E-2</v>
      </c>
      <c r="AZ149" s="8">
        <v>425002683.60070002</v>
      </c>
      <c r="BA149" s="10">
        <v>60480066</v>
      </c>
      <c r="BB149" s="11">
        <v>20917924.600000001</v>
      </c>
      <c r="BC149" s="10">
        <v>2971324</v>
      </c>
      <c r="BD149" s="10">
        <f>1000000000-999784261.2322+3319.1675</f>
        <v>219057.9352999735</v>
      </c>
      <c r="BE149" s="12">
        <f t="shared" si="58"/>
        <v>490408943.86399996</v>
      </c>
      <c r="BF149" s="13">
        <v>238</v>
      </c>
      <c r="BG149" s="13">
        <f t="shared" si="59"/>
        <v>252.40894386399998</v>
      </c>
      <c r="BH149" s="14">
        <f>BE149*18.32</f>
        <v>8984291851.58848</v>
      </c>
    </row>
    <row r="150" spans="1:60" x14ac:dyDescent="0.25">
      <c r="A150" s="3">
        <v>45772</v>
      </c>
      <c r="B150" s="4">
        <v>7060976064</v>
      </c>
      <c r="C150" s="4"/>
      <c r="D150" s="5">
        <v>114067436</v>
      </c>
      <c r="E150" s="4"/>
      <c r="N150" s="4"/>
      <c r="O150" s="4"/>
      <c r="P150" s="5">
        <v>16124</v>
      </c>
      <c r="Q150" s="4"/>
      <c r="R150" s="14">
        <f t="shared" si="40"/>
        <v>16124</v>
      </c>
      <c r="S150" s="6">
        <v>0.03</v>
      </c>
      <c r="T150" s="14">
        <f t="shared" si="41"/>
        <v>0</v>
      </c>
      <c r="U150" s="14">
        <f t="shared" si="42"/>
        <v>0</v>
      </c>
      <c r="V150" s="14">
        <f t="shared" si="43"/>
        <v>361.08</v>
      </c>
      <c r="W150" s="14" t="str">
        <f t="shared" si="44"/>
        <v/>
      </c>
      <c r="X150" s="5">
        <v>4088</v>
      </c>
      <c r="Y150" s="4"/>
      <c r="Z150" s="4"/>
      <c r="AA150" s="14">
        <f t="shared" si="45"/>
        <v>4449.08</v>
      </c>
      <c r="AB150" s="4"/>
      <c r="AC150" s="4"/>
      <c r="AD150" s="14">
        <f t="shared" si="46"/>
        <v>0</v>
      </c>
      <c r="AE150" s="14">
        <f t="shared" si="47"/>
        <v>12036</v>
      </c>
      <c r="AF150" s="14" t="str">
        <f t="shared" si="48"/>
        <v/>
      </c>
      <c r="AG150" s="15">
        <f t="shared" si="49"/>
        <v>12036</v>
      </c>
      <c r="AH150" s="4">
        <v>1305000.8049999999</v>
      </c>
      <c r="AI150" s="17">
        <f t="shared" si="50"/>
        <v>-1292964.8049999999</v>
      </c>
      <c r="AJ150" s="7" t="str">
        <f t="shared" si="53"/>
        <v/>
      </c>
      <c r="AK150" s="7" t="str">
        <f t="shared" si="54"/>
        <v/>
      </c>
      <c r="AL150" s="7">
        <f t="shared" si="55"/>
        <v>1.4135497882147541</v>
      </c>
      <c r="AM150" s="7" t="str">
        <f t="shared" si="56"/>
        <v/>
      </c>
      <c r="AN150" s="4">
        <v>2166.061415683268</v>
      </c>
      <c r="AO150" s="4">
        <v>26183.79</v>
      </c>
      <c r="AP150" s="14">
        <f t="shared" si="51"/>
        <v>1333350.6564156832</v>
      </c>
      <c r="AQ150" s="14">
        <f t="shared" si="52"/>
        <v>1305000.8049999999</v>
      </c>
      <c r="AR150" s="8">
        <v>69908.789999999994</v>
      </c>
      <c r="AS150" s="20">
        <v>18.667192</v>
      </c>
      <c r="AT150" s="8">
        <v>20987833.390000001</v>
      </c>
      <c r="AU150" s="8">
        <v>26180.059300000001</v>
      </c>
      <c r="AV150" s="8">
        <v>486.29349999999999</v>
      </c>
      <c r="AW150" s="8"/>
      <c r="AX150" s="9">
        <v>415.94607763236309</v>
      </c>
      <c r="AY150" s="6">
        <f t="shared" si="57"/>
        <v>2.2973462567294343E-2</v>
      </c>
      <c r="AZ150" s="8">
        <v>424976503.54140002</v>
      </c>
      <c r="BA150" s="10">
        <v>60480066</v>
      </c>
      <c r="BB150" s="11">
        <v>20987833.390000001</v>
      </c>
      <c r="BC150" s="10">
        <v>2971324</v>
      </c>
      <c r="BD150" s="10">
        <f>1000000000-999783774.9388+3433.339</f>
        <v>219658.4002000227</v>
      </c>
      <c r="BE150" s="12">
        <f t="shared" si="58"/>
        <v>490364614.66840005</v>
      </c>
      <c r="BF150" s="13">
        <v>238</v>
      </c>
      <c r="BG150" s="13">
        <f t="shared" si="59"/>
        <v>252.36461466840007</v>
      </c>
      <c r="BH150" s="14">
        <f>BE150*18.93</f>
        <v>9282602155.6728134</v>
      </c>
    </row>
    <row r="151" spans="1:60" x14ac:dyDescent="0.25">
      <c r="A151" s="3">
        <v>45773</v>
      </c>
      <c r="B151" s="4">
        <v>3839502376</v>
      </c>
      <c r="C151" s="4"/>
      <c r="D151" s="5">
        <v>89325385</v>
      </c>
      <c r="E151" s="4"/>
      <c r="N151" s="4"/>
      <c r="O151" s="4"/>
      <c r="P151" s="5">
        <v>11829</v>
      </c>
      <c r="Q151" s="4"/>
      <c r="R151" s="14">
        <f t="shared" si="40"/>
        <v>11829</v>
      </c>
      <c r="S151" s="6">
        <v>0.03</v>
      </c>
      <c r="T151" s="14">
        <f t="shared" si="41"/>
        <v>0</v>
      </c>
      <c r="U151" s="14">
        <f t="shared" si="42"/>
        <v>0</v>
      </c>
      <c r="V151" s="14">
        <f t="shared" si="43"/>
        <v>270.20999999999998</v>
      </c>
      <c r="W151" s="14" t="str">
        <f t="shared" si="44"/>
        <v/>
      </c>
      <c r="X151" s="5">
        <v>2822</v>
      </c>
      <c r="Y151" s="4"/>
      <c r="Z151" s="4"/>
      <c r="AA151" s="14">
        <f t="shared" si="45"/>
        <v>3092.21</v>
      </c>
      <c r="AB151" s="4"/>
      <c r="AC151" s="4"/>
      <c r="AD151" s="14">
        <f t="shared" si="46"/>
        <v>0</v>
      </c>
      <c r="AE151" s="14">
        <f t="shared" si="47"/>
        <v>9007</v>
      </c>
      <c r="AF151" s="14" t="str">
        <f t="shared" si="48"/>
        <v/>
      </c>
      <c r="AG151" s="15">
        <f t="shared" si="49"/>
        <v>9007</v>
      </c>
      <c r="AH151" s="4">
        <v>1427722.0290000001</v>
      </c>
      <c r="AI151" s="17">
        <f t="shared" si="50"/>
        <v>-1418715.0290000001</v>
      </c>
      <c r="AJ151" s="7" t="str">
        <f t="shared" si="53"/>
        <v/>
      </c>
      <c r="AK151" s="7" t="str">
        <f t="shared" si="54"/>
        <v/>
      </c>
      <c r="AL151" s="7">
        <f t="shared" si="55"/>
        <v>1.3242596155616906</v>
      </c>
      <c r="AM151" s="7" t="str">
        <f t="shared" si="56"/>
        <v/>
      </c>
      <c r="AN151" s="4">
        <v>4132.2783960263778</v>
      </c>
      <c r="AO151" s="4">
        <v>0</v>
      </c>
      <c r="AP151" s="14">
        <f t="shared" si="51"/>
        <v>1431854.3073960266</v>
      </c>
      <c r="AQ151" s="14">
        <f t="shared" si="52"/>
        <v>1427722.0290000001</v>
      </c>
      <c r="AR151" s="8">
        <v>80199.649999999994</v>
      </c>
      <c r="AS151" s="20">
        <v>17.802098000000001</v>
      </c>
      <c r="AT151" s="8">
        <v>21068033.039999999</v>
      </c>
      <c r="AU151" s="8">
        <v>26167.774099999999</v>
      </c>
      <c r="AV151" s="8">
        <v>470.64089999999999</v>
      </c>
      <c r="AW151" s="8"/>
      <c r="AX151" s="9">
        <v>415.60208117068612</v>
      </c>
      <c r="AY151" s="6">
        <f t="shared" si="57"/>
        <v>2.2981688444859698E-2</v>
      </c>
      <c r="AZ151" s="8">
        <v>424950335.76730001</v>
      </c>
      <c r="BA151" s="10">
        <v>60480066</v>
      </c>
      <c r="BB151" s="11">
        <v>21068033.039999999</v>
      </c>
      <c r="BC151" s="10">
        <v>2971324</v>
      </c>
      <c r="BD151" s="10">
        <f>1000000000-999783304.2979+3658.3473</f>
        <v>220354.04940003852</v>
      </c>
      <c r="BE151" s="12">
        <f t="shared" si="58"/>
        <v>490309887.14329994</v>
      </c>
      <c r="BF151" s="13">
        <v>238</v>
      </c>
      <c r="BG151" s="13">
        <f t="shared" si="59"/>
        <v>252.30988714329993</v>
      </c>
      <c r="BH151" s="14">
        <f>BE151*18.41</f>
        <v>9026605022.3081512</v>
      </c>
    </row>
    <row r="152" spans="1:60" x14ac:dyDescent="0.25">
      <c r="A152" s="3">
        <v>45774</v>
      </c>
      <c r="B152" s="4">
        <v>3382764141</v>
      </c>
      <c r="C152" s="4"/>
      <c r="D152" s="5">
        <v>65942651</v>
      </c>
      <c r="E152" s="4"/>
      <c r="N152" s="4"/>
      <c r="O152" s="4"/>
      <c r="P152" s="5">
        <v>10180</v>
      </c>
      <c r="Q152" s="4"/>
      <c r="R152" s="14">
        <f t="shared" si="40"/>
        <v>10180</v>
      </c>
      <c r="S152" s="6">
        <v>0.03</v>
      </c>
      <c r="T152" s="14">
        <f t="shared" si="41"/>
        <v>0</v>
      </c>
      <c r="U152" s="14">
        <f t="shared" si="42"/>
        <v>0</v>
      </c>
      <c r="V152" s="14">
        <f t="shared" si="43"/>
        <v>243.12</v>
      </c>
      <c r="W152" s="14" t="str">
        <f t="shared" si="44"/>
        <v/>
      </c>
      <c r="X152" s="5">
        <v>2076</v>
      </c>
      <c r="Y152" s="4"/>
      <c r="Z152" s="4"/>
      <c r="AA152" s="14">
        <f t="shared" si="45"/>
        <v>2319.12</v>
      </c>
      <c r="AB152" s="4"/>
      <c r="AC152" s="4"/>
      <c r="AD152" s="14">
        <f t="shared" si="46"/>
        <v>0</v>
      </c>
      <c r="AE152" s="14">
        <f t="shared" si="47"/>
        <v>8104</v>
      </c>
      <c r="AF152" s="14" t="str">
        <f t="shared" si="48"/>
        <v/>
      </c>
      <c r="AG152" s="15">
        <f t="shared" si="49"/>
        <v>8104</v>
      </c>
      <c r="AH152" s="4">
        <v>816115.38549999997</v>
      </c>
      <c r="AI152" s="17">
        <f t="shared" si="50"/>
        <v>-808011.38549999997</v>
      </c>
      <c r="AJ152" s="7" t="str">
        <f t="shared" si="53"/>
        <v/>
      </c>
      <c r="AK152" s="7" t="str">
        <f t="shared" si="54"/>
        <v/>
      </c>
      <c r="AL152" s="7">
        <f t="shared" si="55"/>
        <v>1.543765657828952</v>
      </c>
      <c r="AM152" s="7" t="str">
        <f t="shared" si="56"/>
        <v/>
      </c>
      <c r="AN152" s="4">
        <v>3549.1587669575438</v>
      </c>
      <c r="AO152" s="4">
        <v>18345.18</v>
      </c>
      <c r="AP152" s="14">
        <f t="shared" si="51"/>
        <v>838009.72426695761</v>
      </c>
      <c r="AQ152" s="14">
        <f t="shared" si="52"/>
        <v>816115.38549999997</v>
      </c>
      <c r="AR152" s="8">
        <v>46152.81</v>
      </c>
      <c r="AS152" s="20">
        <v>17.682897000000001</v>
      </c>
      <c r="AT152" s="8">
        <v>21114185.850000001</v>
      </c>
      <c r="AU152" s="8">
        <v>26128.524700000002</v>
      </c>
      <c r="AV152" s="8">
        <v>319.09789999999998</v>
      </c>
      <c r="AW152" s="8"/>
      <c r="AX152" s="9">
        <v>415.108588235036</v>
      </c>
      <c r="AY152" s="6">
        <f t="shared" si="57"/>
        <v>2.2974498205515722E-2</v>
      </c>
      <c r="AZ152" s="8">
        <v>424924207.24260002</v>
      </c>
      <c r="BA152" s="10">
        <v>60480066</v>
      </c>
      <c r="BB152" s="11">
        <v>21114185.850000001</v>
      </c>
      <c r="BC152" s="10">
        <v>2971324</v>
      </c>
      <c r="BD152" s="10">
        <f>1000000000-999782985.2+3853.6565</f>
        <v>220868.45649995233</v>
      </c>
      <c r="BE152" s="12">
        <f t="shared" si="58"/>
        <v>490289348.45090008</v>
      </c>
      <c r="BF152" s="13">
        <v>238</v>
      </c>
      <c r="BG152" s="13">
        <f t="shared" si="59"/>
        <v>252.28934845090009</v>
      </c>
      <c r="BH152" s="14">
        <f>BE152*17.99</f>
        <v>8820305378.631691</v>
      </c>
    </row>
    <row r="153" spans="1:60" x14ac:dyDescent="0.25">
      <c r="A153" s="3">
        <v>45775</v>
      </c>
      <c r="B153" s="4">
        <v>6671543331</v>
      </c>
      <c r="C153" s="4"/>
      <c r="D153" s="5">
        <v>156064089</v>
      </c>
      <c r="E153" s="4"/>
      <c r="N153" s="4"/>
      <c r="O153" s="4"/>
      <c r="P153" s="5">
        <v>19745</v>
      </c>
      <c r="Q153" s="4"/>
      <c r="R153" s="14">
        <f t="shared" si="40"/>
        <v>19745</v>
      </c>
      <c r="S153" s="6">
        <v>0.03</v>
      </c>
      <c r="T153" s="14">
        <f t="shared" si="41"/>
        <v>0</v>
      </c>
      <c r="U153" s="14">
        <f t="shared" si="42"/>
        <v>0</v>
      </c>
      <c r="V153" s="14">
        <f t="shared" si="43"/>
        <v>467.15999999999997</v>
      </c>
      <c r="W153" s="14" t="str">
        <f t="shared" si="44"/>
        <v/>
      </c>
      <c r="X153" s="5">
        <v>4173</v>
      </c>
      <c r="Y153" s="4"/>
      <c r="Z153" s="4"/>
      <c r="AA153" s="14">
        <f t="shared" si="45"/>
        <v>4640.16</v>
      </c>
      <c r="AB153" s="4"/>
      <c r="AC153" s="4"/>
      <c r="AD153" s="14">
        <f t="shared" si="46"/>
        <v>0</v>
      </c>
      <c r="AE153" s="14">
        <f t="shared" si="47"/>
        <v>15572</v>
      </c>
      <c r="AF153" s="14" t="str">
        <f t="shared" si="48"/>
        <v/>
      </c>
      <c r="AG153" s="15">
        <f t="shared" si="49"/>
        <v>15572</v>
      </c>
      <c r="AH153" s="4">
        <v>790516.23829999997</v>
      </c>
      <c r="AI153" s="17">
        <f t="shared" si="50"/>
        <v>-774944.23829999997</v>
      </c>
      <c r="AJ153" s="7" t="str">
        <f t="shared" si="53"/>
        <v/>
      </c>
      <c r="AK153" s="7" t="str">
        <f t="shared" si="54"/>
        <v/>
      </c>
      <c r="AL153" s="7">
        <f t="shared" si="55"/>
        <v>1.2651853559982016</v>
      </c>
      <c r="AM153" s="7" t="str">
        <f t="shared" si="56"/>
        <v/>
      </c>
      <c r="AN153" s="4">
        <v>11047.254776205051</v>
      </c>
      <c r="AO153" s="4">
        <v>19387.810000000001</v>
      </c>
      <c r="AP153" s="14">
        <f t="shared" si="51"/>
        <v>820951.30307620508</v>
      </c>
      <c r="AQ153" s="14">
        <f t="shared" si="52"/>
        <v>790516.23829999997</v>
      </c>
      <c r="AR153" s="8">
        <v>44835</v>
      </c>
      <c r="AS153" s="20">
        <v>17.631677</v>
      </c>
      <c r="AT153" s="8">
        <v>21159020.850000001</v>
      </c>
      <c r="AU153" s="8">
        <v>26136.105200000002</v>
      </c>
      <c r="AV153" s="8">
        <v>272.24180000000001</v>
      </c>
      <c r="AW153" s="8"/>
      <c r="AX153" s="9">
        <v>414.80054804524588</v>
      </c>
      <c r="AY153" s="6">
        <f t="shared" si="57"/>
        <v>2.299822997572179E-2</v>
      </c>
      <c r="AZ153" s="8">
        <v>424898071.13739997</v>
      </c>
      <c r="BA153" s="10">
        <v>60480066</v>
      </c>
      <c r="BB153" s="11">
        <v>21159020.850000001</v>
      </c>
      <c r="BC153" s="10">
        <v>2971324</v>
      </c>
      <c r="BD153" s="10">
        <f>1000000000-999782712.9583+4487.0637</f>
        <v>221774.10540000553</v>
      </c>
      <c r="BE153" s="12">
        <f t="shared" si="58"/>
        <v>490269743.90720004</v>
      </c>
      <c r="BF153" s="13">
        <v>238</v>
      </c>
      <c r="BG153" s="13">
        <f t="shared" si="59"/>
        <v>252.26974390720005</v>
      </c>
      <c r="BH153" s="14">
        <f>BE153*17.35</f>
        <v>8506180056.7899218</v>
      </c>
    </row>
    <row r="154" spans="1:60" x14ac:dyDescent="0.25">
      <c r="A154" s="3">
        <v>45776</v>
      </c>
      <c r="B154" s="4">
        <v>4981695001</v>
      </c>
      <c r="C154" s="4"/>
      <c r="D154" s="5">
        <v>133602416</v>
      </c>
      <c r="E154" s="4"/>
      <c r="N154" s="4"/>
      <c r="O154" s="4"/>
      <c r="P154" s="5">
        <v>17990</v>
      </c>
      <c r="Q154" s="4"/>
      <c r="R154" s="14">
        <f t="shared" si="40"/>
        <v>17990</v>
      </c>
      <c r="S154" s="6">
        <v>0.03</v>
      </c>
      <c r="T154" s="14">
        <f t="shared" si="41"/>
        <v>0</v>
      </c>
      <c r="U154" s="14">
        <f t="shared" si="42"/>
        <v>0</v>
      </c>
      <c r="V154" s="14">
        <f t="shared" si="43"/>
        <v>417.65999999999997</v>
      </c>
      <c r="W154" s="14" t="str">
        <f t="shared" si="44"/>
        <v/>
      </c>
      <c r="X154" s="5">
        <v>4068</v>
      </c>
      <c r="Y154" s="4"/>
      <c r="Z154" s="4"/>
      <c r="AA154" s="14">
        <f t="shared" si="45"/>
        <v>4485.66</v>
      </c>
      <c r="AB154" s="4"/>
      <c r="AC154" s="4"/>
      <c r="AD154" s="14">
        <f t="shared" si="46"/>
        <v>0</v>
      </c>
      <c r="AE154" s="14">
        <f t="shared" si="47"/>
        <v>13922</v>
      </c>
      <c r="AF154" s="14" t="str">
        <f t="shared" si="48"/>
        <v/>
      </c>
      <c r="AG154" s="15">
        <f t="shared" si="49"/>
        <v>13922</v>
      </c>
      <c r="AH154" s="4">
        <v>1345956.8840000001</v>
      </c>
      <c r="AI154" s="17">
        <f t="shared" si="50"/>
        <v>-1332034.8840000001</v>
      </c>
      <c r="AJ154" s="7" t="str">
        <f t="shared" si="53"/>
        <v/>
      </c>
      <c r="AK154" s="7" t="str">
        <f t="shared" si="54"/>
        <v/>
      </c>
      <c r="AL154" s="7">
        <f t="shared" si="55"/>
        <v>1.3465325357589342</v>
      </c>
      <c r="AM154" s="7" t="str">
        <f t="shared" si="56"/>
        <v/>
      </c>
      <c r="AN154" s="4">
        <v>5627.0056655727212</v>
      </c>
      <c r="AO154" s="4">
        <v>24783.17</v>
      </c>
      <c r="AP154" s="14">
        <f t="shared" si="51"/>
        <v>1376367.0596655728</v>
      </c>
      <c r="AQ154" s="14">
        <f t="shared" si="52"/>
        <v>1345956.8840000001</v>
      </c>
      <c r="AR154" s="8">
        <v>71896.23</v>
      </c>
      <c r="AS154" s="20">
        <v>18.720827</v>
      </c>
      <c r="AT154" s="8">
        <v>21230917.079999998</v>
      </c>
      <c r="AU154" s="8">
        <v>26145.674299999999</v>
      </c>
      <c r="AV154" s="8">
        <v>685.87239999999997</v>
      </c>
      <c r="AW154" s="8"/>
      <c r="AX154" s="9">
        <v>416.34014222267342</v>
      </c>
      <c r="AY154" s="6">
        <f t="shared" si="57"/>
        <v>2.2921573376405234E-2</v>
      </c>
      <c r="AZ154" s="8">
        <v>424871925.46310002</v>
      </c>
      <c r="BA154" s="10">
        <v>60480066</v>
      </c>
      <c r="BB154" s="11">
        <v>21230917.079999998</v>
      </c>
      <c r="BC154" s="10">
        <v>2971324</v>
      </c>
      <c r="BD154" s="10">
        <f>1000000000-999782027.0859+4787.3469</f>
        <v>222760.26100005093</v>
      </c>
      <c r="BE154" s="12">
        <f t="shared" si="58"/>
        <v>490223007.19590002</v>
      </c>
      <c r="BF154" s="13">
        <v>238</v>
      </c>
      <c r="BG154" s="13">
        <f t="shared" si="59"/>
        <v>252.22300719590004</v>
      </c>
      <c r="BH154" s="14">
        <f>BE154*18.69</f>
        <v>9162268004.4913712</v>
      </c>
    </row>
    <row r="155" spans="1:60" x14ac:dyDescent="0.25">
      <c r="A155" s="3">
        <v>45777</v>
      </c>
      <c r="B155" s="4">
        <v>5886017387</v>
      </c>
      <c r="C155" s="4"/>
      <c r="D155" s="5">
        <v>171764916</v>
      </c>
      <c r="E155" s="4"/>
      <c r="N155" s="4"/>
      <c r="O155" s="4"/>
      <c r="P155" s="5">
        <v>18830</v>
      </c>
      <c r="Q155" s="4"/>
      <c r="R155" s="14">
        <f t="shared" si="40"/>
        <v>18830</v>
      </c>
      <c r="S155" s="6">
        <v>0.03</v>
      </c>
      <c r="T155" s="14">
        <f t="shared" si="41"/>
        <v>0</v>
      </c>
      <c r="U155" s="14">
        <f t="shared" si="42"/>
        <v>0</v>
      </c>
      <c r="V155" s="14">
        <f t="shared" si="43"/>
        <v>429.24</v>
      </c>
      <c r="W155" s="14" t="str">
        <f t="shared" si="44"/>
        <v/>
      </c>
      <c r="X155" s="5">
        <v>4522</v>
      </c>
      <c r="Y155" s="4"/>
      <c r="Z155" s="4"/>
      <c r="AA155" s="14">
        <f t="shared" si="45"/>
        <v>4951.24</v>
      </c>
      <c r="AB155" s="4"/>
      <c r="AC155" s="4"/>
      <c r="AD155" s="14">
        <f t="shared" si="46"/>
        <v>0</v>
      </c>
      <c r="AE155" s="14">
        <f t="shared" si="47"/>
        <v>14308</v>
      </c>
      <c r="AF155" s="14" t="str">
        <f t="shared" si="48"/>
        <v/>
      </c>
      <c r="AG155" s="15">
        <f t="shared" si="49"/>
        <v>14308</v>
      </c>
      <c r="AH155" s="4">
        <v>1104429.8030000001</v>
      </c>
      <c r="AI155" s="17">
        <f t="shared" si="50"/>
        <v>-1090121.8030000001</v>
      </c>
      <c r="AJ155" s="7" t="str">
        <f t="shared" si="53"/>
        <v/>
      </c>
      <c r="AK155" s="7" t="str">
        <f t="shared" si="54"/>
        <v/>
      </c>
      <c r="AL155" s="7">
        <f t="shared" si="55"/>
        <v>1.0962657822392554</v>
      </c>
      <c r="AM155" s="7" t="str">
        <f t="shared" si="56"/>
        <v/>
      </c>
      <c r="AN155" s="4">
        <v>7879.3753048985836</v>
      </c>
      <c r="AO155" s="4">
        <v>24975.33</v>
      </c>
      <c r="AP155" s="14">
        <f t="shared" si="51"/>
        <v>1137284.5083048986</v>
      </c>
      <c r="AQ155" s="14">
        <f t="shared" si="52"/>
        <v>1104429.8030000001</v>
      </c>
      <c r="AR155" s="8">
        <v>60069.57</v>
      </c>
      <c r="AS155" s="20">
        <v>18.385845</v>
      </c>
      <c r="AT155" s="8">
        <v>21290986.649999999</v>
      </c>
      <c r="AU155" s="8">
        <v>26180.9241</v>
      </c>
      <c r="AV155" s="8">
        <v>623.42319999999995</v>
      </c>
      <c r="AW155" s="8"/>
      <c r="AX155" s="9">
        <v>416.17823787689019</v>
      </c>
      <c r="AY155" s="6">
        <f t="shared" si="57"/>
        <v>2.296140553924584E-2</v>
      </c>
      <c r="AZ155" s="8">
        <v>424845744.53899997</v>
      </c>
      <c r="BA155" s="10">
        <v>60480066</v>
      </c>
      <c r="BB155" s="11">
        <v>21290986.649999999</v>
      </c>
      <c r="BC155" s="10">
        <v>2971324</v>
      </c>
      <c r="BD155" s="10">
        <f>1000000000-999781403.6627+5212.2943</f>
        <v>223808.63159994298</v>
      </c>
      <c r="BE155" s="12">
        <f t="shared" si="58"/>
        <v>490188070.17940003</v>
      </c>
      <c r="BF155" s="13">
        <v>238</v>
      </c>
      <c r="BG155" s="13">
        <f t="shared" si="59"/>
        <v>252.18807017940003</v>
      </c>
      <c r="BH155" s="14">
        <f>BE155*18.49</f>
        <v>9063577417.6171055</v>
      </c>
    </row>
    <row r="156" spans="1:60" x14ac:dyDescent="0.25">
      <c r="A156" s="3">
        <v>45778</v>
      </c>
      <c r="B156" s="4">
        <v>5844761153</v>
      </c>
      <c r="C156" s="4"/>
      <c r="D156" s="5">
        <v>176430408</v>
      </c>
      <c r="E156" s="4"/>
      <c r="N156" s="4"/>
      <c r="O156" s="4"/>
      <c r="P156" s="5">
        <v>27300</v>
      </c>
      <c r="Q156" s="4"/>
      <c r="R156" s="14">
        <f t="shared" si="40"/>
        <v>27300</v>
      </c>
      <c r="S156" s="6">
        <v>0.03</v>
      </c>
      <c r="T156" s="14">
        <f t="shared" si="41"/>
        <v>0</v>
      </c>
      <c r="U156" s="14">
        <f t="shared" si="42"/>
        <v>0</v>
      </c>
      <c r="V156" s="14">
        <f t="shared" si="43"/>
        <v>677.88</v>
      </c>
      <c r="W156" s="14" t="str">
        <f t="shared" si="44"/>
        <v/>
      </c>
      <c r="X156" s="5">
        <v>4704</v>
      </c>
      <c r="Y156" s="4"/>
      <c r="Z156" s="4"/>
      <c r="AA156" s="14">
        <f t="shared" si="45"/>
        <v>5381.88</v>
      </c>
      <c r="AB156" s="4"/>
      <c r="AC156" s="4"/>
      <c r="AD156" s="14">
        <f t="shared" si="46"/>
        <v>0</v>
      </c>
      <c r="AE156" s="14">
        <f t="shared" si="47"/>
        <v>22596</v>
      </c>
      <c r="AF156" s="14" t="str">
        <f t="shared" si="48"/>
        <v/>
      </c>
      <c r="AG156" s="15">
        <f t="shared" si="49"/>
        <v>22596</v>
      </c>
      <c r="AH156" s="4">
        <v>1369589.548</v>
      </c>
      <c r="AI156" s="17">
        <f t="shared" si="50"/>
        <v>-1346993.548</v>
      </c>
      <c r="AJ156" s="7" t="str">
        <f t="shared" si="53"/>
        <v/>
      </c>
      <c r="AK156" s="7" t="str">
        <f t="shared" si="54"/>
        <v/>
      </c>
      <c r="AL156" s="7">
        <f t="shared" si="55"/>
        <v>1.5473523135535683</v>
      </c>
      <c r="AM156" s="7" t="str">
        <f t="shared" si="56"/>
        <v/>
      </c>
      <c r="AN156" s="4">
        <v>9592.8934201775755</v>
      </c>
      <c r="AO156" s="4">
        <v>32916.44</v>
      </c>
      <c r="AP156" s="14">
        <f t="shared" si="51"/>
        <v>1412098.8814201774</v>
      </c>
      <c r="AQ156" s="14">
        <f t="shared" si="52"/>
        <v>1369589.548</v>
      </c>
      <c r="AR156" s="8">
        <v>67943.649999999994</v>
      </c>
      <c r="AS156" s="20">
        <v>20.157727000000001</v>
      </c>
      <c r="AT156" s="8">
        <v>21358930.300000001</v>
      </c>
      <c r="AU156" s="8">
        <v>26120.666099999999</v>
      </c>
      <c r="AV156" s="8">
        <v>728.19650000000001</v>
      </c>
      <c r="AW156" s="8"/>
      <c r="AX156" s="9">
        <v>416.03265184518261</v>
      </c>
      <c r="AY156" s="6">
        <f t="shared" si="57"/>
        <v>2.2916574178047648E-2</v>
      </c>
      <c r="AZ156" s="8">
        <v>424819623.87290001</v>
      </c>
      <c r="BA156" s="10">
        <v>60480066</v>
      </c>
      <c r="BB156" s="11">
        <v>21358930.300000001</v>
      </c>
      <c r="BC156" s="10">
        <v>2971324</v>
      </c>
      <c r="BD156" s="10">
        <f>1000000000-999780675.4662+5690.2899</f>
        <v>225014.82370000592</v>
      </c>
      <c r="BE156" s="12">
        <f t="shared" si="58"/>
        <v>490145041.00339997</v>
      </c>
      <c r="BF156" s="13">
        <v>238</v>
      </c>
      <c r="BG156" s="13">
        <f t="shared" si="59"/>
        <v>252.14504100339997</v>
      </c>
      <c r="BH156" s="14">
        <f>BE156*20.26</f>
        <v>9930338530.7288837</v>
      </c>
    </row>
    <row r="157" spans="1:60" x14ac:dyDescent="0.25">
      <c r="A157" s="3">
        <v>45779</v>
      </c>
      <c r="B157" s="4">
        <v>4184147212</v>
      </c>
      <c r="C157" s="4"/>
      <c r="D157" s="5">
        <v>128977405</v>
      </c>
      <c r="E157" s="4"/>
      <c r="N157" s="4"/>
      <c r="O157" s="4"/>
      <c r="P157" s="5">
        <v>16323</v>
      </c>
      <c r="Q157" s="4"/>
      <c r="R157" s="14">
        <f t="shared" si="40"/>
        <v>16323</v>
      </c>
      <c r="S157" s="6">
        <v>0.03</v>
      </c>
      <c r="T157" s="14">
        <f t="shared" si="41"/>
        <v>0</v>
      </c>
      <c r="U157" s="14">
        <f t="shared" si="42"/>
        <v>0</v>
      </c>
      <c r="V157" s="14">
        <f t="shared" si="43"/>
        <v>366.96</v>
      </c>
      <c r="W157" s="14" t="str">
        <f t="shared" si="44"/>
        <v/>
      </c>
      <c r="X157" s="5">
        <v>4091</v>
      </c>
      <c r="Y157" s="4"/>
      <c r="Z157" s="4"/>
      <c r="AA157" s="14">
        <f t="shared" si="45"/>
        <v>4457.96</v>
      </c>
      <c r="AB157" s="4"/>
      <c r="AC157" s="4"/>
      <c r="AD157" s="14">
        <f t="shared" si="46"/>
        <v>0</v>
      </c>
      <c r="AE157" s="14">
        <f t="shared" si="47"/>
        <v>12232</v>
      </c>
      <c r="AF157" s="14" t="str">
        <f t="shared" si="48"/>
        <v/>
      </c>
      <c r="AG157" s="15">
        <f t="shared" si="49"/>
        <v>12232</v>
      </c>
      <c r="AH157" s="4">
        <v>1529406.3149999999</v>
      </c>
      <c r="AI157" s="17">
        <f t="shared" si="50"/>
        <v>-1517174.3149999999</v>
      </c>
      <c r="AJ157" s="7" t="str">
        <f t="shared" si="53"/>
        <v/>
      </c>
      <c r="AK157" s="7" t="str">
        <f t="shared" si="54"/>
        <v/>
      </c>
      <c r="AL157" s="7">
        <f t="shared" si="55"/>
        <v>1.26557050826073</v>
      </c>
      <c r="AM157" s="7" t="str">
        <f t="shared" si="56"/>
        <v/>
      </c>
      <c r="AN157" s="4">
        <v>7526.698336645155</v>
      </c>
      <c r="AO157" s="4">
        <v>0</v>
      </c>
      <c r="AP157" s="14">
        <f t="shared" si="51"/>
        <v>1536933.0133366452</v>
      </c>
      <c r="AQ157" s="14">
        <f t="shared" si="52"/>
        <v>1529406.3149999999</v>
      </c>
      <c r="AR157" s="8">
        <v>74079.22</v>
      </c>
      <c r="AS157" s="20">
        <v>20.645551000000001</v>
      </c>
      <c r="AT157" s="8">
        <v>21433009.52</v>
      </c>
      <c r="AU157" s="8">
        <v>26181.990300000001</v>
      </c>
      <c r="AV157" s="8">
        <v>938.54280000000006</v>
      </c>
      <c r="AW157" s="8"/>
      <c r="AX157" s="9">
        <v>416.47523766936303</v>
      </c>
      <c r="AY157" s="6">
        <f t="shared" si="57"/>
        <v>2.2945965558429635E-2</v>
      </c>
      <c r="AZ157" s="8">
        <v>424793441.88260001</v>
      </c>
      <c r="BA157" s="10">
        <v>60480066</v>
      </c>
      <c r="BB157" s="11">
        <v>21433009.52</v>
      </c>
      <c r="BC157" s="10">
        <v>2971324</v>
      </c>
      <c r="BD157" s="10">
        <f>1000000000-999779736.9233+6063.9716</f>
        <v>226327.04829997214</v>
      </c>
      <c r="BE157" s="12">
        <f t="shared" si="58"/>
        <v>490095831.54909998</v>
      </c>
      <c r="BF157" s="13">
        <v>238</v>
      </c>
      <c r="BG157" s="13">
        <f t="shared" si="59"/>
        <v>252.09583154909996</v>
      </c>
      <c r="BH157" s="14">
        <f>BE157*20.03</f>
        <v>9816619505.9284725</v>
      </c>
    </row>
    <row r="158" spans="1:60" x14ac:dyDescent="0.25">
      <c r="A158" s="3">
        <v>45780</v>
      </c>
      <c r="B158" s="4">
        <v>2551647647</v>
      </c>
      <c r="C158" s="4"/>
      <c r="D158" s="5">
        <v>102347437</v>
      </c>
      <c r="E158" s="4"/>
      <c r="N158" s="4"/>
      <c r="O158" s="4"/>
      <c r="P158" s="5">
        <v>11691</v>
      </c>
      <c r="Q158" s="4"/>
      <c r="R158" s="14">
        <f t="shared" si="40"/>
        <v>11691</v>
      </c>
      <c r="S158" s="6">
        <v>0.03</v>
      </c>
      <c r="T158" s="14">
        <f t="shared" si="41"/>
        <v>0</v>
      </c>
      <c r="U158" s="14">
        <f t="shared" si="42"/>
        <v>0</v>
      </c>
      <c r="V158" s="14">
        <f t="shared" si="43"/>
        <v>279.53999999999996</v>
      </c>
      <c r="W158" s="14" t="str">
        <f t="shared" si="44"/>
        <v/>
      </c>
      <c r="X158" s="5">
        <v>2373</v>
      </c>
      <c r="Y158" s="4"/>
      <c r="Z158" s="4"/>
      <c r="AA158" s="14">
        <f t="shared" si="45"/>
        <v>2652.54</v>
      </c>
      <c r="AB158" s="4"/>
      <c r="AC158" s="4"/>
      <c r="AD158" s="14">
        <f t="shared" si="46"/>
        <v>0</v>
      </c>
      <c r="AE158" s="14">
        <f t="shared" si="47"/>
        <v>9318</v>
      </c>
      <c r="AF158" s="14" t="str">
        <f t="shared" si="48"/>
        <v/>
      </c>
      <c r="AG158" s="15">
        <f t="shared" si="49"/>
        <v>9318</v>
      </c>
      <c r="AH158" s="4">
        <v>845933.1692</v>
      </c>
      <c r="AI158" s="17">
        <f t="shared" si="50"/>
        <v>-836615.1692</v>
      </c>
      <c r="AJ158" s="7" t="str">
        <f t="shared" si="53"/>
        <v/>
      </c>
      <c r="AK158" s="7" t="str">
        <f t="shared" si="54"/>
        <v/>
      </c>
      <c r="AL158" s="7">
        <f t="shared" si="55"/>
        <v>1.1422855659785598</v>
      </c>
      <c r="AM158" s="7" t="str">
        <f t="shared" si="56"/>
        <v/>
      </c>
      <c r="AN158" s="4">
        <v>6881.6049898705041</v>
      </c>
      <c r="AO158" s="4">
        <v>33029.81</v>
      </c>
      <c r="AP158" s="14">
        <f t="shared" si="51"/>
        <v>885844.58418987039</v>
      </c>
      <c r="AQ158" s="14">
        <f t="shared" si="52"/>
        <v>845933.1692</v>
      </c>
      <c r="AR158" s="8">
        <v>40789.660000000003</v>
      </c>
      <c r="AS158" s="20">
        <v>20.738911999999999</v>
      </c>
      <c r="AT158" s="8">
        <v>21473799.18</v>
      </c>
      <c r="AU158" s="8">
        <v>26252.533899999999</v>
      </c>
      <c r="AV158" s="8">
        <v>570.65520000000004</v>
      </c>
      <c r="AW158" s="8"/>
      <c r="AX158" s="9">
        <v>419.05120057538022</v>
      </c>
      <c r="AY158" s="6">
        <f t="shared" si="57"/>
        <v>2.2866358240575733E-2</v>
      </c>
      <c r="AZ158" s="8">
        <v>424767189.34869999</v>
      </c>
      <c r="BA158" s="10">
        <v>60480066</v>
      </c>
      <c r="BB158" s="11">
        <v>21473799.18</v>
      </c>
      <c r="BC158" s="10">
        <v>2971324</v>
      </c>
      <c r="BD158" s="10">
        <f>1000000000-999779166.2681+6395.5833</f>
        <v>227229.31519997673</v>
      </c>
      <c r="BE158" s="12">
        <f t="shared" si="58"/>
        <v>490080392.15609998</v>
      </c>
      <c r="BF158" s="13">
        <v>238</v>
      </c>
      <c r="BG158" s="13">
        <f t="shared" si="59"/>
        <v>252.08039215609995</v>
      </c>
      <c r="BH158" s="14">
        <f>BE158*20.72</f>
        <v>10154465725.47439</v>
      </c>
    </row>
    <row r="159" spans="1:60" x14ac:dyDescent="0.25">
      <c r="A159" s="3">
        <v>45781</v>
      </c>
      <c r="B159" s="4">
        <v>3530006395</v>
      </c>
      <c r="C159" s="4"/>
      <c r="D159" s="5">
        <v>87201050</v>
      </c>
      <c r="E159" s="4"/>
      <c r="N159" s="4"/>
      <c r="O159" s="4"/>
      <c r="P159" s="5">
        <v>12341</v>
      </c>
      <c r="Q159" s="4"/>
      <c r="R159" s="14">
        <f t="shared" si="40"/>
        <v>12341</v>
      </c>
      <c r="S159" s="6">
        <v>0.03</v>
      </c>
      <c r="T159" s="14">
        <f t="shared" si="41"/>
        <v>0</v>
      </c>
      <c r="U159" s="14">
        <f t="shared" si="42"/>
        <v>0</v>
      </c>
      <c r="V159" s="14">
        <f t="shared" si="43"/>
        <v>317.19</v>
      </c>
      <c r="W159" s="14" t="str">
        <f t="shared" si="44"/>
        <v/>
      </c>
      <c r="X159" s="5">
        <v>1768</v>
      </c>
      <c r="Y159" s="4"/>
      <c r="Z159" s="4"/>
      <c r="AA159" s="14">
        <f t="shared" si="45"/>
        <v>2085.19</v>
      </c>
      <c r="AB159" s="4"/>
      <c r="AC159" s="4"/>
      <c r="AD159" s="14">
        <f t="shared" si="46"/>
        <v>0</v>
      </c>
      <c r="AE159" s="14">
        <f t="shared" si="47"/>
        <v>10573</v>
      </c>
      <c r="AF159" s="14" t="str">
        <f t="shared" si="48"/>
        <v/>
      </c>
      <c r="AG159" s="15">
        <f t="shared" si="49"/>
        <v>10573</v>
      </c>
      <c r="AH159" s="4">
        <v>549144.50989999995</v>
      </c>
      <c r="AI159" s="17">
        <f t="shared" si="50"/>
        <v>-538571.50989999995</v>
      </c>
      <c r="AJ159" s="7" t="str">
        <f t="shared" si="53"/>
        <v/>
      </c>
      <c r="AK159" s="7" t="str">
        <f t="shared" si="54"/>
        <v/>
      </c>
      <c r="AL159" s="7">
        <f t="shared" si="55"/>
        <v>1.4152352523278102</v>
      </c>
      <c r="AM159" s="7" t="str">
        <f t="shared" si="56"/>
        <v/>
      </c>
      <c r="AN159" s="4">
        <v>5290.8337671483359</v>
      </c>
      <c r="AO159" s="4">
        <v>32933.78</v>
      </c>
      <c r="AP159" s="14">
        <f t="shared" si="51"/>
        <v>587369.12366714829</v>
      </c>
      <c r="AQ159" s="14">
        <f t="shared" si="52"/>
        <v>549144.50989999995</v>
      </c>
      <c r="AR159" s="8">
        <v>26778.23</v>
      </c>
      <c r="AS159" s="20">
        <v>20.507124999999998</v>
      </c>
      <c r="AT159" s="8">
        <v>21500577.41</v>
      </c>
      <c r="AU159" s="8">
        <v>26273.840400000001</v>
      </c>
      <c r="AV159" s="8">
        <v>416.97120000000001</v>
      </c>
      <c r="AW159" s="8"/>
      <c r="AX159" s="9">
        <v>419.12990845090729</v>
      </c>
      <c r="AY159" s="6">
        <f t="shared" si="57"/>
        <v>2.2880618998162648E-2</v>
      </c>
      <c r="AZ159" s="8">
        <v>424740915.50830001</v>
      </c>
      <c r="BA159" s="10">
        <v>60480066</v>
      </c>
      <c r="BB159" s="11">
        <v>21500577.41</v>
      </c>
      <c r="BC159" s="10">
        <v>2971324</v>
      </c>
      <c r="BD159" s="10">
        <f>1000000000-999778749.297+6646.9293</f>
        <v>227897.63229994944</v>
      </c>
      <c r="BE159" s="12">
        <f t="shared" si="58"/>
        <v>490079219.44939995</v>
      </c>
      <c r="BF159" s="13">
        <v>238</v>
      </c>
      <c r="BG159" s="13">
        <f t="shared" si="59"/>
        <v>252.07921944939994</v>
      </c>
      <c r="BH159" s="14">
        <f>BE159*21.14</f>
        <v>10360274699.160315</v>
      </c>
    </row>
    <row r="160" spans="1:60" x14ac:dyDescent="0.25">
      <c r="A160" s="3">
        <v>45782</v>
      </c>
      <c r="B160" s="4">
        <v>4567961401</v>
      </c>
      <c r="C160" s="4"/>
      <c r="D160" s="5">
        <v>103321597</v>
      </c>
      <c r="E160" s="4"/>
      <c r="N160" s="4"/>
      <c r="O160" s="4"/>
      <c r="P160" s="5">
        <v>27123</v>
      </c>
      <c r="Q160" s="4"/>
      <c r="R160" s="14">
        <f t="shared" si="40"/>
        <v>27123</v>
      </c>
      <c r="S160" s="6">
        <v>0.03</v>
      </c>
      <c r="T160" s="14">
        <f t="shared" si="41"/>
        <v>0</v>
      </c>
      <c r="U160" s="14">
        <f t="shared" si="42"/>
        <v>0</v>
      </c>
      <c r="V160" s="14">
        <f t="shared" si="43"/>
        <v>672.39</v>
      </c>
      <c r="W160" s="14" t="str">
        <f t="shared" si="44"/>
        <v/>
      </c>
      <c r="X160" s="5">
        <v>4710</v>
      </c>
      <c r="Y160" s="4"/>
      <c r="Z160" s="4"/>
      <c r="AA160" s="14">
        <f t="shared" si="45"/>
        <v>5382.39</v>
      </c>
      <c r="AB160" s="4"/>
      <c r="AC160" s="4"/>
      <c r="AD160" s="14">
        <f t="shared" si="46"/>
        <v>0</v>
      </c>
      <c r="AE160" s="14">
        <f t="shared" si="47"/>
        <v>22413</v>
      </c>
      <c r="AF160" s="14" t="str">
        <f t="shared" si="48"/>
        <v/>
      </c>
      <c r="AG160" s="15">
        <f t="shared" si="49"/>
        <v>22413</v>
      </c>
      <c r="AH160" s="4">
        <v>995251.43830000004</v>
      </c>
      <c r="AI160" s="17">
        <f t="shared" si="50"/>
        <v>-972838.43830000004</v>
      </c>
      <c r="AJ160" s="7" t="str">
        <f t="shared" si="53"/>
        <v/>
      </c>
      <c r="AK160" s="7" t="str">
        <f t="shared" si="54"/>
        <v/>
      </c>
      <c r="AL160" s="7">
        <f t="shared" si="55"/>
        <v>2.6251046042193869</v>
      </c>
      <c r="AM160" s="7" t="str">
        <f t="shared" si="56"/>
        <v/>
      </c>
      <c r="AN160" s="4">
        <v>2837.2064619726389</v>
      </c>
      <c r="AO160" s="4">
        <v>0</v>
      </c>
      <c r="AP160" s="14">
        <f t="shared" si="51"/>
        <v>998088.64476197271</v>
      </c>
      <c r="AQ160" s="14">
        <f t="shared" si="52"/>
        <v>995251.43830000004</v>
      </c>
      <c r="AR160" s="8">
        <v>49246.62</v>
      </c>
      <c r="AS160" s="20">
        <v>20.209537999999998</v>
      </c>
      <c r="AT160" s="8">
        <v>21549824.030000001</v>
      </c>
      <c r="AU160" s="8">
        <v>26237.571599999999</v>
      </c>
      <c r="AV160" s="8">
        <v>332.27359999999999</v>
      </c>
      <c r="AW160" s="8"/>
      <c r="AX160" s="9">
        <v>419.27954945842532</v>
      </c>
      <c r="AY160" s="6">
        <f t="shared" si="57"/>
        <v>2.2840879423692478E-2</v>
      </c>
      <c r="AZ160" s="8">
        <v>424714677.93669999</v>
      </c>
      <c r="BA160" s="10">
        <v>60480066</v>
      </c>
      <c r="BB160" s="11">
        <v>21549824.030000001</v>
      </c>
      <c r="BC160" s="10">
        <v>2971324</v>
      </c>
      <c r="BD160" s="10">
        <f>1000000000-999778417.0234+6787.9155</f>
        <v>228370.89210005093</v>
      </c>
      <c r="BE160" s="12">
        <f t="shared" si="58"/>
        <v>490055737.14120001</v>
      </c>
      <c r="BF160" s="13">
        <v>238</v>
      </c>
      <c r="BG160" s="13">
        <f t="shared" si="59"/>
        <v>252.05573714119998</v>
      </c>
      <c r="BH160" s="14">
        <f>BE160*19.94</f>
        <v>9771711398.5955296</v>
      </c>
    </row>
    <row r="161" spans="1:60" x14ac:dyDescent="0.25">
      <c r="A161" s="3">
        <v>45783</v>
      </c>
      <c r="B161" s="4">
        <v>4993697122</v>
      </c>
      <c r="C161" s="4"/>
      <c r="D161" s="5">
        <v>148487227</v>
      </c>
      <c r="E161" s="4"/>
      <c r="N161" s="4"/>
      <c r="O161" s="4"/>
      <c r="P161" s="5">
        <v>32941</v>
      </c>
      <c r="Q161" s="4"/>
      <c r="R161" s="14">
        <f t="shared" si="40"/>
        <v>32941</v>
      </c>
      <c r="S161" s="6">
        <v>0.03</v>
      </c>
      <c r="T161" s="14">
        <f t="shared" si="41"/>
        <v>0</v>
      </c>
      <c r="U161" s="14">
        <f t="shared" si="42"/>
        <v>0</v>
      </c>
      <c r="V161" s="14">
        <f t="shared" si="43"/>
        <v>807.75</v>
      </c>
      <c r="W161" s="14" t="str">
        <f t="shared" si="44"/>
        <v/>
      </c>
      <c r="X161" s="5">
        <v>6016</v>
      </c>
      <c r="Y161" s="4"/>
      <c r="Z161" s="4"/>
      <c r="AA161" s="14">
        <f t="shared" si="45"/>
        <v>6823.75</v>
      </c>
      <c r="AB161" s="4"/>
      <c r="AC161" s="4"/>
      <c r="AD161" s="14">
        <f t="shared" si="46"/>
        <v>0</v>
      </c>
      <c r="AE161" s="14">
        <f t="shared" si="47"/>
        <v>26925</v>
      </c>
      <c r="AF161" s="14" t="str">
        <f t="shared" si="48"/>
        <v/>
      </c>
      <c r="AG161" s="15">
        <f t="shared" si="49"/>
        <v>26925</v>
      </c>
      <c r="AH161" s="4">
        <v>1128924.442</v>
      </c>
      <c r="AI161" s="17">
        <f t="shared" si="50"/>
        <v>-1101999.442</v>
      </c>
      <c r="AJ161" s="7" t="str">
        <f t="shared" si="53"/>
        <v/>
      </c>
      <c r="AK161" s="7" t="str">
        <f t="shared" si="54"/>
        <v/>
      </c>
      <c r="AL161" s="7">
        <f t="shared" si="55"/>
        <v>2.2184399739648986</v>
      </c>
      <c r="AM161" s="7" t="str">
        <f t="shared" si="56"/>
        <v/>
      </c>
      <c r="AN161" s="4">
        <v>4469.320161361421</v>
      </c>
      <c r="AO161" s="4">
        <v>34550.83</v>
      </c>
      <c r="AP161" s="14">
        <f t="shared" si="51"/>
        <v>1167944.5921613616</v>
      </c>
      <c r="AQ161" s="14">
        <f t="shared" si="52"/>
        <v>1128924.442</v>
      </c>
      <c r="AR161" s="8">
        <v>56072.29</v>
      </c>
      <c r="AS161" s="20">
        <v>20.133375000000001</v>
      </c>
      <c r="AT161" s="8">
        <v>21605896.32</v>
      </c>
      <c r="AU161" s="8">
        <v>26248.6152</v>
      </c>
      <c r="AV161" s="8">
        <v>729.029</v>
      </c>
      <c r="AW161" s="8"/>
      <c r="AX161" s="9">
        <v>419.91355151006309</v>
      </c>
      <c r="AY161" s="6">
        <f t="shared" si="57"/>
        <v>2.2815992752666381E-2</v>
      </c>
      <c r="AZ161" s="8">
        <v>424688429.3215</v>
      </c>
      <c r="BA161" s="10">
        <v>60480066</v>
      </c>
      <c r="BB161" s="11">
        <v>21605896.32</v>
      </c>
      <c r="BC161" s="10">
        <v>2971324</v>
      </c>
      <c r="BD161" s="10">
        <f>1000000000-999777687.9944+7007.4734</f>
        <v>229319.47899997557</v>
      </c>
      <c r="BE161" s="12">
        <f t="shared" si="58"/>
        <v>490024964.87949997</v>
      </c>
      <c r="BF161" s="13">
        <v>238</v>
      </c>
      <c r="BG161" s="13">
        <f t="shared" si="59"/>
        <v>252.02496487949998</v>
      </c>
      <c r="BH161" s="14">
        <f>BE161*20.2</f>
        <v>9898504290.5658989</v>
      </c>
    </row>
    <row r="162" spans="1:60" x14ac:dyDescent="0.25">
      <c r="A162" s="3">
        <v>45784</v>
      </c>
      <c r="B162" s="4">
        <v>5302496591</v>
      </c>
      <c r="C162" s="4"/>
      <c r="D162" s="5">
        <v>123317603</v>
      </c>
      <c r="E162" s="4"/>
      <c r="N162" s="4"/>
      <c r="O162" s="4"/>
      <c r="P162" s="5">
        <v>29262</v>
      </c>
      <c r="Q162" s="4"/>
      <c r="R162" s="14">
        <f t="shared" si="40"/>
        <v>29262</v>
      </c>
      <c r="S162" s="6">
        <v>0.03</v>
      </c>
      <c r="T162" s="14">
        <f t="shared" si="41"/>
        <v>0</v>
      </c>
      <c r="U162" s="14">
        <f t="shared" si="42"/>
        <v>0</v>
      </c>
      <c r="V162" s="14">
        <f t="shared" si="43"/>
        <v>595.19999999999993</v>
      </c>
      <c r="W162" s="14" t="str">
        <f t="shared" si="44"/>
        <v/>
      </c>
      <c r="X162" s="5">
        <v>9422</v>
      </c>
      <c r="Y162" s="4"/>
      <c r="Z162" s="4"/>
      <c r="AA162" s="14">
        <f t="shared" si="45"/>
        <v>10017.200000000001</v>
      </c>
      <c r="AB162" s="4"/>
      <c r="AC162" s="4"/>
      <c r="AD162" s="14">
        <f t="shared" si="46"/>
        <v>0</v>
      </c>
      <c r="AE162" s="14">
        <f t="shared" si="47"/>
        <v>19840</v>
      </c>
      <c r="AF162" s="14" t="str">
        <f t="shared" si="48"/>
        <v/>
      </c>
      <c r="AG162" s="15">
        <f t="shared" si="49"/>
        <v>19840</v>
      </c>
      <c r="AH162" s="4">
        <v>1645504.5870000001</v>
      </c>
      <c r="AI162" s="17">
        <f t="shared" si="50"/>
        <v>-1625664.5870000001</v>
      </c>
      <c r="AJ162" s="7" t="str">
        <f t="shared" si="53"/>
        <v/>
      </c>
      <c r="AK162" s="7" t="str">
        <f t="shared" si="54"/>
        <v/>
      </c>
      <c r="AL162" s="7">
        <f t="shared" si="55"/>
        <v>2.3728972416046719</v>
      </c>
      <c r="AM162" s="7" t="str">
        <f t="shared" si="56"/>
        <v/>
      </c>
      <c r="AN162" s="4">
        <v>4920.5896264367857</v>
      </c>
      <c r="AO162" s="4">
        <v>25840.79</v>
      </c>
      <c r="AP162" s="14">
        <f t="shared" si="51"/>
        <v>1676265.9666264369</v>
      </c>
      <c r="AQ162" s="14">
        <f t="shared" si="52"/>
        <v>1645504.5870000001</v>
      </c>
      <c r="AR162" s="8">
        <v>78353.91</v>
      </c>
      <c r="AS162" s="20">
        <v>21.000924999999999</v>
      </c>
      <c r="AT162" s="8">
        <v>21684250.23</v>
      </c>
      <c r="AU162" s="8">
        <v>26286.899300000001</v>
      </c>
      <c r="AV162" s="8">
        <v>970.61959999999999</v>
      </c>
      <c r="AW162" s="8"/>
      <c r="AX162" s="9">
        <v>419.92386547374349</v>
      </c>
      <c r="AY162" s="6">
        <f t="shared" si="57"/>
        <v>2.2848709095577534E-2</v>
      </c>
      <c r="AZ162" s="8">
        <v>424662142.42210001</v>
      </c>
      <c r="BA162" s="10">
        <v>60480066</v>
      </c>
      <c r="BB162" s="11">
        <v>21684250.23</v>
      </c>
      <c r="BC162" s="10">
        <v>2971324</v>
      </c>
      <c r="BD162" s="10">
        <f>1000000000-999776717.3749+7240.8426</f>
        <v>230523.4677000166</v>
      </c>
      <c r="BE162" s="12">
        <f t="shared" si="58"/>
        <v>489971693.88019991</v>
      </c>
      <c r="BF162" s="13">
        <v>238</v>
      </c>
      <c r="BG162" s="13">
        <f t="shared" si="59"/>
        <v>251.97169388019989</v>
      </c>
      <c r="BH162" s="14">
        <f>BE162*21.03</f>
        <v>10304104722.300604</v>
      </c>
    </row>
    <row r="163" spans="1:60" x14ac:dyDescent="0.25">
      <c r="A163" s="3">
        <v>45785</v>
      </c>
      <c r="B163" s="4">
        <v>10744450408</v>
      </c>
      <c r="C163" s="4"/>
      <c r="D163" s="5">
        <v>238514707</v>
      </c>
      <c r="E163" s="4"/>
      <c r="N163" s="4"/>
      <c r="O163" s="4"/>
      <c r="P163" s="5">
        <v>53413</v>
      </c>
      <c r="Q163" s="4"/>
      <c r="R163" s="14">
        <f t="shared" si="40"/>
        <v>53413</v>
      </c>
      <c r="S163" s="6">
        <v>0.03</v>
      </c>
      <c r="T163" s="14">
        <f t="shared" si="41"/>
        <v>0</v>
      </c>
      <c r="U163" s="14">
        <f t="shared" si="42"/>
        <v>0</v>
      </c>
      <c r="V163" s="14">
        <f t="shared" si="43"/>
        <v>1135.83</v>
      </c>
      <c r="W163" s="14" t="str">
        <f t="shared" si="44"/>
        <v/>
      </c>
      <c r="X163" s="5">
        <v>15552</v>
      </c>
      <c r="Y163" s="4"/>
      <c r="Z163" s="4"/>
      <c r="AA163" s="14">
        <f t="shared" si="45"/>
        <v>16687.830000000002</v>
      </c>
      <c r="AB163" s="4"/>
      <c r="AC163" s="4"/>
      <c r="AD163" s="14">
        <f t="shared" si="46"/>
        <v>0</v>
      </c>
      <c r="AE163" s="14">
        <f t="shared" si="47"/>
        <v>37861</v>
      </c>
      <c r="AF163" s="14" t="str">
        <f t="shared" si="48"/>
        <v/>
      </c>
      <c r="AG163" s="15">
        <f t="shared" si="49"/>
        <v>37861</v>
      </c>
      <c r="AH163" s="4">
        <v>2070058.595</v>
      </c>
      <c r="AI163" s="17">
        <f t="shared" si="50"/>
        <v>-2032197.595</v>
      </c>
      <c r="AJ163" s="7" t="str">
        <f t="shared" si="53"/>
        <v/>
      </c>
      <c r="AK163" s="7" t="str">
        <f t="shared" si="54"/>
        <v/>
      </c>
      <c r="AL163" s="7">
        <f t="shared" si="55"/>
        <v>2.2394006923858156</v>
      </c>
      <c r="AM163" s="7" t="str">
        <f t="shared" si="56"/>
        <v/>
      </c>
      <c r="AN163" s="4">
        <v>4665.8055066528486</v>
      </c>
      <c r="AO163" s="4">
        <v>39039.54</v>
      </c>
      <c r="AP163" s="14">
        <f t="shared" si="51"/>
        <v>2113763.9405066529</v>
      </c>
      <c r="AQ163" s="14">
        <f t="shared" si="52"/>
        <v>2070058.595</v>
      </c>
      <c r="AR163" s="8">
        <v>94408.36</v>
      </c>
      <c r="AS163" s="20">
        <v>21.926645000000001</v>
      </c>
      <c r="AT163" s="8">
        <v>21778658.59</v>
      </c>
      <c r="AU163" s="8">
        <v>26293.076300000001</v>
      </c>
      <c r="AV163" s="8">
        <v>779.55150000000003</v>
      </c>
      <c r="AW163" s="8"/>
      <c r="AX163" s="9">
        <v>420.03433011247313</v>
      </c>
      <c r="AY163" s="6">
        <f t="shared" si="57"/>
        <v>2.2848067792292613E-2</v>
      </c>
      <c r="AZ163" s="8">
        <v>424635849.34579998</v>
      </c>
      <c r="BA163" s="10">
        <v>60480066</v>
      </c>
      <c r="BB163" s="11">
        <v>21778658.59</v>
      </c>
      <c r="BC163" s="10">
        <v>2971324</v>
      </c>
      <c r="BD163" s="10">
        <f>1000000000-999775937.8233+7463.4691</f>
        <v>231525.64579999598</v>
      </c>
      <c r="BE163" s="12">
        <f t="shared" si="58"/>
        <v>489902576.41840011</v>
      </c>
      <c r="BF163" s="13">
        <v>238</v>
      </c>
      <c r="BG163" s="13">
        <f t="shared" si="59"/>
        <v>251.90257641840009</v>
      </c>
      <c r="BH163" s="14">
        <f>BE163*21.12</f>
        <v>10346742413.956612</v>
      </c>
    </row>
    <row r="164" spans="1:60" x14ac:dyDescent="0.25">
      <c r="A164" s="3">
        <v>45786</v>
      </c>
      <c r="B164" s="4">
        <v>9205104235</v>
      </c>
      <c r="C164" s="4"/>
      <c r="D164" s="5">
        <v>187434250</v>
      </c>
      <c r="E164" s="4"/>
      <c r="N164" s="4"/>
      <c r="O164" s="4"/>
      <c r="P164" s="5">
        <v>63153</v>
      </c>
      <c r="Q164" s="4"/>
      <c r="R164" s="14">
        <f t="shared" si="40"/>
        <v>63153</v>
      </c>
      <c r="S164" s="6">
        <v>0.03</v>
      </c>
      <c r="T164" s="14">
        <f t="shared" si="41"/>
        <v>0</v>
      </c>
      <c r="U164" s="14">
        <f t="shared" si="42"/>
        <v>0</v>
      </c>
      <c r="V164" s="14">
        <f t="shared" si="43"/>
        <v>1651.8899999999999</v>
      </c>
      <c r="W164" s="14" t="str">
        <f t="shared" si="44"/>
        <v/>
      </c>
      <c r="X164" s="5">
        <v>8090</v>
      </c>
      <c r="Y164" s="4"/>
      <c r="Z164" s="4"/>
      <c r="AA164" s="14">
        <f t="shared" si="45"/>
        <v>9741.89</v>
      </c>
      <c r="AB164" s="4"/>
      <c r="AC164" s="4"/>
      <c r="AD164" s="14">
        <f t="shared" si="46"/>
        <v>0</v>
      </c>
      <c r="AE164" s="14">
        <f t="shared" si="47"/>
        <v>55063</v>
      </c>
      <c r="AF164" s="14" t="str">
        <f t="shared" si="48"/>
        <v/>
      </c>
      <c r="AG164" s="15">
        <f t="shared" si="49"/>
        <v>55063</v>
      </c>
      <c r="AH164" s="4">
        <v>3722273.7510000002</v>
      </c>
      <c r="AI164" s="17">
        <f t="shared" si="50"/>
        <v>-3667210.7510000002</v>
      </c>
      <c r="AJ164" s="7" t="str">
        <f t="shared" si="53"/>
        <v/>
      </c>
      <c r="AK164" s="7" t="str">
        <f t="shared" si="54"/>
        <v/>
      </c>
      <c r="AL164" s="7">
        <f t="shared" si="55"/>
        <v>3.369341515758193</v>
      </c>
      <c r="AM164" s="7" t="str">
        <f t="shared" si="56"/>
        <v/>
      </c>
      <c r="AN164" s="4">
        <v>4421.0234175962514</v>
      </c>
      <c r="AO164" s="4">
        <v>49456.56</v>
      </c>
      <c r="AP164" s="14">
        <f t="shared" si="51"/>
        <v>3776151.3344175965</v>
      </c>
      <c r="AQ164" s="14">
        <f t="shared" si="52"/>
        <v>3722273.7510000002</v>
      </c>
      <c r="AR164" s="8">
        <v>150005.10999999999</v>
      </c>
      <c r="AS164" s="20">
        <v>24.814312999999999</v>
      </c>
      <c r="AT164" s="8">
        <v>21928663.699999999</v>
      </c>
      <c r="AU164" s="8">
        <v>26286.2467</v>
      </c>
      <c r="AV164" s="8">
        <v>2047.9404</v>
      </c>
      <c r="AW164" s="8"/>
      <c r="AX164" s="9">
        <v>420.25781313248802</v>
      </c>
      <c r="AY164" s="6">
        <f t="shared" si="57"/>
        <v>2.2829986131573238E-2</v>
      </c>
      <c r="AZ164" s="8">
        <v>424609563.09909999</v>
      </c>
      <c r="BA164" s="10">
        <v>60480066</v>
      </c>
      <c r="BB164" s="11">
        <v>21928663.699999999</v>
      </c>
      <c r="BC164" s="10">
        <v>2971324</v>
      </c>
      <c r="BD164" s="10">
        <f>1000000000-999773889.883+7654.9963</f>
        <v>233765.11329998379</v>
      </c>
      <c r="BE164" s="12">
        <f t="shared" si="58"/>
        <v>489776618.08760005</v>
      </c>
      <c r="BF164" s="13">
        <v>238</v>
      </c>
      <c r="BG164" s="13">
        <f t="shared" si="59"/>
        <v>251.77661808760007</v>
      </c>
      <c r="BH164" s="14">
        <f>BE164*23.17</f>
        <v>11348124241.089695</v>
      </c>
    </row>
    <row r="165" spans="1:60" x14ac:dyDescent="0.25">
      <c r="A165" s="3">
        <v>45787</v>
      </c>
      <c r="B165" s="4">
        <v>5771644873</v>
      </c>
      <c r="C165" s="4"/>
      <c r="D165" s="5">
        <v>183465847</v>
      </c>
      <c r="E165" s="4"/>
      <c r="N165" s="4"/>
      <c r="O165" s="4"/>
      <c r="P165" s="5">
        <v>37161</v>
      </c>
      <c r="Q165" s="4"/>
      <c r="R165" s="14">
        <f t="shared" si="40"/>
        <v>37161</v>
      </c>
      <c r="S165" s="6">
        <v>0.03</v>
      </c>
      <c r="T165" s="14">
        <f t="shared" si="41"/>
        <v>0</v>
      </c>
      <c r="U165" s="14">
        <f t="shared" si="42"/>
        <v>0</v>
      </c>
      <c r="V165" s="14">
        <f t="shared" si="43"/>
        <v>842.21999999999991</v>
      </c>
      <c r="W165" s="14" t="str">
        <f t="shared" si="44"/>
        <v/>
      </c>
      <c r="X165" s="5">
        <v>9087</v>
      </c>
      <c r="Y165" s="4"/>
      <c r="Z165" s="4"/>
      <c r="AA165" s="14">
        <f t="shared" si="45"/>
        <v>9929.2199999999993</v>
      </c>
      <c r="AB165" s="4"/>
      <c r="AC165" s="4"/>
      <c r="AD165" s="14">
        <f t="shared" si="46"/>
        <v>0</v>
      </c>
      <c r="AE165" s="14">
        <f t="shared" si="47"/>
        <v>28074</v>
      </c>
      <c r="AF165" s="14" t="str">
        <f t="shared" si="48"/>
        <v/>
      </c>
      <c r="AG165" s="15">
        <f t="shared" si="49"/>
        <v>28074</v>
      </c>
      <c r="AH165" s="4">
        <v>1982994.49</v>
      </c>
      <c r="AI165" s="17">
        <f t="shared" si="50"/>
        <v>-1954920.49</v>
      </c>
      <c r="AJ165" s="7" t="str">
        <f t="shared" si="53"/>
        <v/>
      </c>
      <c r="AK165" s="7" t="str">
        <f t="shared" si="54"/>
        <v/>
      </c>
      <c r="AL165" s="7">
        <f t="shared" si="55"/>
        <v>2.0254996015688955</v>
      </c>
      <c r="AM165" s="7" t="str">
        <f t="shared" si="56"/>
        <v/>
      </c>
      <c r="AN165" s="4">
        <v>3198.9781991775599</v>
      </c>
      <c r="AO165" s="4">
        <v>0</v>
      </c>
      <c r="AP165" s="14">
        <f t="shared" si="51"/>
        <v>1986193.4681991776</v>
      </c>
      <c r="AQ165" s="14">
        <f t="shared" si="52"/>
        <v>1982994.49</v>
      </c>
      <c r="AR165" s="8">
        <v>78879.009999999995</v>
      </c>
      <c r="AS165" s="20">
        <v>25.139697999999999</v>
      </c>
      <c r="AT165" s="8">
        <v>22007542.710000001</v>
      </c>
      <c r="AU165" s="8">
        <v>26264.926599999999</v>
      </c>
      <c r="AV165" s="8">
        <v>1889.7991999999999</v>
      </c>
      <c r="AW165" s="8"/>
      <c r="AX165" s="9">
        <v>422.83441023572402</v>
      </c>
      <c r="AY165" s="6">
        <f t="shared" si="57"/>
        <v>2.2672464626650311E-2</v>
      </c>
      <c r="AZ165" s="8">
        <v>424583298.17250001</v>
      </c>
      <c r="BA165" s="10">
        <v>60480066</v>
      </c>
      <c r="BB165" s="11">
        <v>22007542.710000001</v>
      </c>
      <c r="BC165" s="10">
        <v>2971324</v>
      </c>
      <c r="BD165" s="10">
        <f>1000000000-999772000.0838+7783.0067</f>
        <v>235782.92290004177</v>
      </c>
      <c r="BE165" s="12">
        <f t="shared" si="58"/>
        <v>489721986.19459999</v>
      </c>
      <c r="BF165" s="13">
        <v>238</v>
      </c>
      <c r="BG165" s="13">
        <f t="shared" si="59"/>
        <v>251.72198619459999</v>
      </c>
      <c r="BH165" s="14">
        <f>BE165*24.93</f>
        <v>12208769115.831377</v>
      </c>
    </row>
    <row r="166" spans="1:60" x14ac:dyDescent="0.25">
      <c r="A166" s="3">
        <v>45788</v>
      </c>
      <c r="B166" s="4">
        <v>6586463067</v>
      </c>
      <c r="C166" s="4"/>
      <c r="D166" s="5">
        <v>203456685</v>
      </c>
      <c r="E166" s="4"/>
      <c r="N166" s="4"/>
      <c r="O166" s="4"/>
      <c r="P166" s="5">
        <v>46917</v>
      </c>
      <c r="Q166" s="4"/>
      <c r="R166" s="14">
        <f t="shared" si="40"/>
        <v>46917</v>
      </c>
      <c r="S166" s="6">
        <v>0.03</v>
      </c>
      <c r="T166" s="14">
        <f t="shared" si="41"/>
        <v>0</v>
      </c>
      <c r="U166" s="14">
        <f t="shared" si="42"/>
        <v>0</v>
      </c>
      <c r="V166" s="14">
        <f t="shared" si="43"/>
        <v>1246.56</v>
      </c>
      <c r="W166" s="14" t="str">
        <f t="shared" si="44"/>
        <v/>
      </c>
      <c r="X166" s="5">
        <v>5365</v>
      </c>
      <c r="Y166" s="4"/>
      <c r="Z166" s="4"/>
      <c r="AA166" s="14">
        <f t="shared" si="45"/>
        <v>6611.5599999999995</v>
      </c>
      <c r="AB166" s="4"/>
      <c r="AC166" s="4"/>
      <c r="AD166" s="14">
        <f t="shared" si="46"/>
        <v>0</v>
      </c>
      <c r="AE166" s="14">
        <f t="shared" si="47"/>
        <v>41552</v>
      </c>
      <c r="AF166" s="14" t="str">
        <f t="shared" si="48"/>
        <v/>
      </c>
      <c r="AG166" s="15">
        <f t="shared" si="49"/>
        <v>41552</v>
      </c>
      <c r="AH166" s="4">
        <v>2151725.798</v>
      </c>
      <c r="AI166" s="17">
        <f t="shared" si="50"/>
        <v>-2110173.798</v>
      </c>
      <c r="AJ166" s="7" t="str">
        <f t="shared" si="53"/>
        <v/>
      </c>
      <c r="AK166" s="7" t="str">
        <f t="shared" si="54"/>
        <v/>
      </c>
      <c r="AL166" s="7">
        <f t="shared" si="55"/>
        <v>2.3059945167198612</v>
      </c>
      <c r="AM166" s="7" t="str">
        <f t="shared" si="56"/>
        <v/>
      </c>
      <c r="AN166" s="4">
        <v>4712.3758121180854</v>
      </c>
      <c r="AO166" s="4">
        <v>61482.8</v>
      </c>
      <c r="AP166" s="14">
        <f t="shared" si="51"/>
        <v>2217920.9738121177</v>
      </c>
      <c r="AQ166" s="14">
        <f t="shared" si="52"/>
        <v>2151725.798</v>
      </c>
      <c r="AR166" s="8">
        <v>85990.77</v>
      </c>
      <c r="AS166" s="20">
        <v>25.022753000000002</v>
      </c>
      <c r="AT166" s="8">
        <v>22093533.48</v>
      </c>
      <c r="AU166" s="8">
        <v>26383.8354</v>
      </c>
      <c r="AV166" s="8">
        <v>886.52620000000002</v>
      </c>
      <c r="AW166" s="8"/>
      <c r="AX166" s="9">
        <v>422.53666046943232</v>
      </c>
      <c r="AY166" s="6">
        <f t="shared" si="57"/>
        <v>2.2791158311094462E-2</v>
      </c>
      <c r="AZ166" s="8">
        <v>424556914.33710003</v>
      </c>
      <c r="BA166" s="10">
        <v>60480066</v>
      </c>
      <c r="BB166" s="11">
        <v>22093533.48</v>
      </c>
      <c r="BC166" s="10">
        <v>2971324</v>
      </c>
      <c r="BD166" s="10">
        <f>1000000000-999771113.5575+7964.6011</f>
        <v>236851.04359999523</v>
      </c>
      <c r="BE166" s="12">
        <f t="shared" si="58"/>
        <v>489661311.13929993</v>
      </c>
      <c r="BF166" s="13">
        <v>238</v>
      </c>
      <c r="BG166" s="13">
        <f t="shared" si="59"/>
        <v>251.66131113929993</v>
      </c>
      <c r="BH166" s="14">
        <f>BE166*26.25</f>
        <v>12853609417.406624</v>
      </c>
    </row>
    <row r="167" spans="1:60" x14ac:dyDescent="0.25">
      <c r="A167" s="3">
        <v>45789</v>
      </c>
      <c r="B167" s="4">
        <v>11465187013</v>
      </c>
      <c r="C167" s="4"/>
      <c r="D167" s="5">
        <v>218167542</v>
      </c>
      <c r="E167" s="4"/>
      <c r="N167" s="4"/>
      <c r="O167" s="4"/>
      <c r="P167" s="5">
        <v>47049</v>
      </c>
      <c r="Q167" s="4"/>
      <c r="R167" s="14">
        <f t="shared" si="40"/>
        <v>47049</v>
      </c>
      <c r="S167" s="6">
        <v>0.03</v>
      </c>
      <c r="T167" s="14">
        <f t="shared" si="41"/>
        <v>0</v>
      </c>
      <c r="U167" s="14">
        <f t="shared" si="42"/>
        <v>0</v>
      </c>
      <c r="V167" s="14">
        <f t="shared" si="43"/>
        <v>1142.3699999999999</v>
      </c>
      <c r="W167" s="14" t="str">
        <f t="shared" si="44"/>
        <v/>
      </c>
      <c r="X167" s="5">
        <v>8970</v>
      </c>
      <c r="Y167" s="4"/>
      <c r="Z167" s="4"/>
      <c r="AA167" s="14">
        <f t="shared" si="45"/>
        <v>10112.369999999999</v>
      </c>
      <c r="AB167" s="4"/>
      <c r="AC167" s="4"/>
      <c r="AD167" s="14">
        <f t="shared" si="46"/>
        <v>0</v>
      </c>
      <c r="AE167" s="14">
        <f t="shared" si="47"/>
        <v>38079</v>
      </c>
      <c r="AF167" s="14" t="str">
        <f t="shared" si="48"/>
        <v/>
      </c>
      <c r="AG167" s="15">
        <f t="shared" si="49"/>
        <v>38079</v>
      </c>
      <c r="AH167" s="4">
        <v>2013924.852</v>
      </c>
      <c r="AI167" s="17">
        <f t="shared" si="50"/>
        <v>-1975845.852</v>
      </c>
      <c r="AJ167" s="7" t="str">
        <f t="shared" si="53"/>
        <v/>
      </c>
      <c r="AK167" s="7" t="str">
        <f t="shared" si="54"/>
        <v/>
      </c>
      <c r="AL167" s="7">
        <f t="shared" si="55"/>
        <v>2.1565536086940011</v>
      </c>
      <c r="AM167" s="7" t="str">
        <f t="shared" si="56"/>
        <v/>
      </c>
      <c r="AN167" s="4">
        <v>5249.5613120083171</v>
      </c>
      <c r="AO167" s="4">
        <v>34871.230000000003</v>
      </c>
      <c r="AP167" s="14">
        <f t="shared" si="51"/>
        <v>2054045.6433120084</v>
      </c>
      <c r="AQ167" s="14">
        <f t="shared" si="52"/>
        <v>2013924.852</v>
      </c>
      <c r="AR167" s="8">
        <v>81748.81</v>
      </c>
      <c r="AS167" s="20">
        <v>24.635525000000001</v>
      </c>
      <c r="AT167" s="8">
        <v>22175282.289999999</v>
      </c>
      <c r="AU167" s="8">
        <v>26327.302599999999</v>
      </c>
      <c r="AV167" s="8">
        <v>1125.8566000000001</v>
      </c>
      <c r="AW167" s="8"/>
      <c r="AX167" s="9">
        <v>422.14410466370879</v>
      </c>
      <c r="AY167" s="6">
        <f t="shared" si="57"/>
        <v>2.2763471863844111E-2</v>
      </c>
      <c r="AZ167" s="8">
        <v>424530587.0345</v>
      </c>
      <c r="BA167" s="10">
        <v>60480066</v>
      </c>
      <c r="BB167" s="11">
        <v>22175282.289999999</v>
      </c>
      <c r="BC167" s="10">
        <v>2971324</v>
      </c>
      <c r="BD167" s="10">
        <f>1000000000-999769987.701+8174.2481</f>
        <v>238186.54710002479</v>
      </c>
      <c r="BE167" s="12">
        <f t="shared" si="58"/>
        <v>489604554.12839997</v>
      </c>
      <c r="BF167" s="13">
        <v>238</v>
      </c>
      <c r="BG167" s="13">
        <f t="shared" si="59"/>
        <v>251.60455412839997</v>
      </c>
      <c r="BH167" s="14">
        <f>BE167*25.03</f>
        <v>12254801989.833851</v>
      </c>
    </row>
    <row r="168" spans="1:60" x14ac:dyDescent="0.25">
      <c r="A168" s="3">
        <v>45790</v>
      </c>
      <c r="B168" s="4">
        <v>8383620368</v>
      </c>
      <c r="C168" s="4"/>
      <c r="D168" s="5">
        <v>187661133</v>
      </c>
      <c r="E168" s="4"/>
      <c r="N168" s="4"/>
      <c r="O168" s="4"/>
      <c r="P168" s="5">
        <v>42000</v>
      </c>
      <c r="Q168" s="4"/>
      <c r="R168" s="14">
        <f t="shared" si="40"/>
        <v>42000</v>
      </c>
      <c r="S168" s="6">
        <v>0.03</v>
      </c>
      <c r="T168" s="14">
        <f t="shared" si="41"/>
        <v>0</v>
      </c>
      <c r="U168" s="14">
        <f t="shared" si="42"/>
        <v>0</v>
      </c>
      <c r="V168" s="14">
        <f t="shared" si="43"/>
        <v>1036.8899999999999</v>
      </c>
      <c r="W168" s="14" t="str">
        <f t="shared" si="44"/>
        <v/>
      </c>
      <c r="X168" s="5">
        <v>7437</v>
      </c>
      <c r="Y168" s="4"/>
      <c r="Z168" s="4"/>
      <c r="AA168" s="14">
        <f t="shared" si="45"/>
        <v>8473.89</v>
      </c>
      <c r="AB168" s="4"/>
      <c r="AC168" s="4"/>
      <c r="AD168" s="14">
        <f t="shared" si="46"/>
        <v>0</v>
      </c>
      <c r="AE168" s="14">
        <f t="shared" si="47"/>
        <v>34563</v>
      </c>
      <c r="AF168" s="14" t="str">
        <f t="shared" si="48"/>
        <v/>
      </c>
      <c r="AG168" s="15">
        <f t="shared" si="49"/>
        <v>34563</v>
      </c>
      <c r="AH168" s="4">
        <v>2931446.1120000002</v>
      </c>
      <c r="AI168" s="17">
        <f t="shared" si="50"/>
        <v>-2896883.1120000002</v>
      </c>
      <c r="AJ168" s="7" t="str">
        <f t="shared" si="53"/>
        <v/>
      </c>
      <c r="AK168" s="7" t="str">
        <f t="shared" si="54"/>
        <v/>
      </c>
      <c r="AL168" s="7">
        <f t="shared" si="55"/>
        <v>2.2380766506402794</v>
      </c>
      <c r="AM168" s="7" t="str">
        <f t="shared" si="56"/>
        <v/>
      </c>
      <c r="AN168" s="4">
        <v>3367.6284477835429</v>
      </c>
      <c r="AO168" s="4">
        <v>39094.519999999997</v>
      </c>
      <c r="AP168" s="14">
        <f t="shared" si="51"/>
        <v>2973908.2604477839</v>
      </c>
      <c r="AQ168" s="14">
        <f t="shared" si="52"/>
        <v>2931446.1120000002</v>
      </c>
      <c r="AR168" s="8">
        <v>115846.18</v>
      </c>
      <c r="AS168" s="20">
        <v>25.304642000000001</v>
      </c>
      <c r="AT168" s="8">
        <v>22291128.469999999</v>
      </c>
      <c r="AU168" s="8">
        <v>26375.989399999999</v>
      </c>
      <c r="AV168" s="8">
        <v>1150.7927</v>
      </c>
      <c r="AW168" s="8"/>
      <c r="AX168" s="9">
        <v>422.30767140203437</v>
      </c>
      <c r="AY168" s="6">
        <f t="shared" si="57"/>
        <v>2.2796735136347848E-2</v>
      </c>
      <c r="AZ168" s="8">
        <v>424504211.04509997</v>
      </c>
      <c r="BA168" s="10">
        <v>60480066</v>
      </c>
      <c r="BB168" s="11">
        <v>22291128.469999999</v>
      </c>
      <c r="BC168" s="10">
        <v>2971324</v>
      </c>
      <c r="BD168" s="10">
        <f>1000000000-999768836.9083+8311.551</f>
        <v>239474.64269995785</v>
      </c>
      <c r="BE168" s="12">
        <f t="shared" si="58"/>
        <v>489513795.84220004</v>
      </c>
      <c r="BF168" s="13">
        <v>238</v>
      </c>
      <c r="BG168" s="13">
        <f t="shared" si="59"/>
        <v>251.51379584220007</v>
      </c>
      <c r="BH168" s="14">
        <f>BE168*24.51</f>
        <v>11997983136.092323</v>
      </c>
    </row>
    <row r="169" spans="1:60" x14ac:dyDescent="0.25">
      <c r="A169" s="3">
        <v>45791</v>
      </c>
      <c r="B169" s="4">
        <v>7000956820</v>
      </c>
      <c r="C169" s="4"/>
      <c r="D169" s="5">
        <v>164936595</v>
      </c>
      <c r="E169" s="4"/>
      <c r="N169" s="4"/>
      <c r="O169" s="4"/>
      <c r="P169" s="5">
        <v>35587</v>
      </c>
      <c r="Q169" s="4"/>
      <c r="R169" s="14">
        <f t="shared" si="40"/>
        <v>35587</v>
      </c>
      <c r="S169" s="6">
        <v>0.03</v>
      </c>
      <c r="T169" s="14">
        <f t="shared" si="41"/>
        <v>0</v>
      </c>
      <c r="U169" s="14">
        <f t="shared" si="42"/>
        <v>0</v>
      </c>
      <c r="V169" s="14">
        <f t="shared" si="43"/>
        <v>888.83999999999992</v>
      </c>
      <c r="W169" s="14" t="str">
        <f t="shared" si="44"/>
        <v/>
      </c>
      <c r="X169" s="5">
        <v>5959</v>
      </c>
      <c r="Y169" s="4"/>
      <c r="Z169" s="4"/>
      <c r="AA169" s="14">
        <f t="shared" si="45"/>
        <v>6847.84</v>
      </c>
      <c r="AB169" s="4"/>
      <c r="AC169" s="4"/>
      <c r="AD169" s="14">
        <f t="shared" si="46"/>
        <v>0</v>
      </c>
      <c r="AE169" s="14">
        <f t="shared" si="47"/>
        <v>29628</v>
      </c>
      <c r="AF169" s="14" t="str">
        <f t="shared" si="48"/>
        <v/>
      </c>
      <c r="AG169" s="15">
        <f t="shared" si="49"/>
        <v>29628</v>
      </c>
      <c r="AH169" s="4">
        <v>2425221.2119999998</v>
      </c>
      <c r="AI169" s="17">
        <f t="shared" si="50"/>
        <v>-2395593.2119999998</v>
      </c>
      <c r="AJ169" s="7" t="str">
        <f t="shared" si="53"/>
        <v/>
      </c>
      <c r="AK169" s="7" t="str">
        <f t="shared" si="54"/>
        <v/>
      </c>
      <c r="AL169" s="7">
        <f t="shared" si="55"/>
        <v>2.1576169921538639</v>
      </c>
      <c r="AM169" s="7" t="str">
        <f t="shared" si="56"/>
        <v/>
      </c>
      <c r="AN169" s="4">
        <v>3780.9914076992391</v>
      </c>
      <c r="AO169" s="4">
        <v>48946.75</v>
      </c>
      <c r="AP169" s="14">
        <f t="shared" si="51"/>
        <v>2477948.9534076992</v>
      </c>
      <c r="AQ169" s="14">
        <f t="shared" si="52"/>
        <v>2425221.2119999998</v>
      </c>
      <c r="AR169" s="8">
        <v>96039.05</v>
      </c>
      <c r="AS169" s="20">
        <v>25.252448999999999</v>
      </c>
      <c r="AT169" s="8">
        <v>22387167.52</v>
      </c>
      <c r="AU169" s="8">
        <v>26379.0101</v>
      </c>
      <c r="AV169" s="8">
        <v>998.43290000000002</v>
      </c>
      <c r="AW169" s="8"/>
      <c r="AX169" s="9">
        <v>422.5618941096813</v>
      </c>
      <c r="AY169" s="6">
        <f t="shared" si="57"/>
        <v>2.2785629326057599E-2</v>
      </c>
      <c r="AZ169" s="8">
        <v>424477832.03509998</v>
      </c>
      <c r="BA169" s="10">
        <v>60480066</v>
      </c>
      <c r="BB169" s="11">
        <v>22387167.52</v>
      </c>
      <c r="BC169" s="10">
        <v>2971324</v>
      </c>
      <c r="BD169" s="10">
        <f>1000000000-999767838.4754+8459.0731</f>
        <v>240620.597700029</v>
      </c>
      <c r="BE169" s="12">
        <f t="shared" si="58"/>
        <v>489442989.84720004</v>
      </c>
      <c r="BF169" s="13">
        <v>238</v>
      </c>
      <c r="BG169" s="13">
        <f t="shared" si="59"/>
        <v>251.44298984720001</v>
      </c>
      <c r="BH169" s="14">
        <f>BE169*25.68</f>
        <v>12568895979.276096</v>
      </c>
    </row>
    <row r="170" spans="1:60" x14ac:dyDescent="0.25">
      <c r="A170" s="3">
        <v>45792</v>
      </c>
      <c r="B170" s="4">
        <v>7691386939</v>
      </c>
      <c r="C170" s="4"/>
      <c r="D170" s="5">
        <v>176738006</v>
      </c>
      <c r="E170" s="4"/>
      <c r="N170" s="4"/>
      <c r="O170" s="4"/>
      <c r="P170" s="5">
        <v>36989</v>
      </c>
      <c r="Q170" s="4"/>
      <c r="R170" s="14">
        <f t="shared" si="40"/>
        <v>36989</v>
      </c>
      <c r="S170" s="6">
        <v>0.03</v>
      </c>
      <c r="T170" s="14">
        <f t="shared" si="41"/>
        <v>0</v>
      </c>
      <c r="U170" s="14">
        <f t="shared" si="42"/>
        <v>0</v>
      </c>
      <c r="V170" s="14">
        <f t="shared" si="43"/>
        <v>891.51</v>
      </c>
      <c r="W170" s="14" t="str">
        <f t="shared" si="44"/>
        <v/>
      </c>
      <c r="X170" s="5">
        <v>7272</v>
      </c>
      <c r="Y170" s="4"/>
      <c r="Z170" s="4"/>
      <c r="AA170" s="14">
        <f t="shared" si="45"/>
        <v>8163.51</v>
      </c>
      <c r="AB170" s="4"/>
      <c r="AC170" s="4"/>
      <c r="AD170" s="14">
        <f t="shared" si="46"/>
        <v>0</v>
      </c>
      <c r="AE170" s="14">
        <f t="shared" si="47"/>
        <v>29717</v>
      </c>
      <c r="AF170" s="14" t="str">
        <f t="shared" si="48"/>
        <v/>
      </c>
      <c r="AG170" s="15">
        <f t="shared" si="49"/>
        <v>29717</v>
      </c>
      <c r="AH170" s="4">
        <v>1824984.348</v>
      </c>
      <c r="AI170" s="17">
        <f t="shared" si="50"/>
        <v>-1795267.348</v>
      </c>
      <c r="AJ170" s="7" t="str">
        <f t="shared" si="53"/>
        <v/>
      </c>
      <c r="AK170" s="7" t="str">
        <f t="shared" si="54"/>
        <v/>
      </c>
      <c r="AL170" s="7">
        <f t="shared" si="55"/>
        <v>2.0928718636782628</v>
      </c>
      <c r="AM170" s="7" t="str">
        <f t="shared" si="56"/>
        <v/>
      </c>
      <c r="AN170" s="4">
        <v>5271.2757318801814</v>
      </c>
      <c r="AO170" s="4">
        <v>0</v>
      </c>
      <c r="AP170" s="14">
        <f t="shared" si="51"/>
        <v>1830255.6237318802</v>
      </c>
      <c r="AQ170" s="14">
        <f t="shared" si="52"/>
        <v>1824984.348</v>
      </c>
      <c r="AR170" s="8">
        <v>72382.53</v>
      </c>
      <c r="AS170" s="20">
        <v>25.213049999999999</v>
      </c>
      <c r="AT170" s="8">
        <v>22459550.050000001</v>
      </c>
      <c r="AU170" s="8">
        <v>26336.2435</v>
      </c>
      <c r="AV170" s="8">
        <v>667.63459999999998</v>
      </c>
      <c r="AW170" s="8"/>
      <c r="AX170" s="9">
        <v>423.19825867953301</v>
      </c>
      <c r="AY170" s="6">
        <f t="shared" si="57"/>
        <v>2.271448116892948E-2</v>
      </c>
      <c r="AZ170" s="8">
        <v>424451495.79159999</v>
      </c>
      <c r="BA170" s="10">
        <v>60480066</v>
      </c>
      <c r="BB170" s="11">
        <v>22459550.050000001</v>
      </c>
      <c r="BC170" s="10">
        <v>2971324</v>
      </c>
      <c r="BD170" s="10">
        <f>1000000000-999767170.8407+8666.7181</f>
        <v>241495.87739996967</v>
      </c>
      <c r="BE170" s="12">
        <f t="shared" si="58"/>
        <v>489396068.28100002</v>
      </c>
      <c r="BF170" s="13">
        <v>238</v>
      </c>
      <c r="BG170" s="13">
        <f t="shared" si="59"/>
        <v>251.396068281</v>
      </c>
      <c r="BH170" s="14">
        <f>BE170*25.28</f>
        <v>12371932606.143681</v>
      </c>
    </row>
    <row r="171" spans="1:60" x14ac:dyDescent="0.25">
      <c r="A171" s="3">
        <v>45793</v>
      </c>
      <c r="B171" s="4">
        <v>6286215709</v>
      </c>
      <c r="C171" s="4"/>
      <c r="D171" s="5">
        <v>226665977</v>
      </c>
      <c r="E171" s="4"/>
      <c r="N171" s="4"/>
      <c r="O171" s="4"/>
      <c r="P171" s="5">
        <v>52053</v>
      </c>
      <c r="Q171" s="4"/>
      <c r="R171" s="14">
        <f t="shared" si="40"/>
        <v>52053</v>
      </c>
      <c r="S171" s="6">
        <v>0.03</v>
      </c>
      <c r="T171" s="14">
        <f t="shared" si="41"/>
        <v>0</v>
      </c>
      <c r="U171" s="14">
        <f t="shared" si="42"/>
        <v>0</v>
      </c>
      <c r="V171" s="14">
        <f t="shared" si="43"/>
        <v>1363.62</v>
      </c>
      <c r="W171" s="14" t="str">
        <f t="shared" si="44"/>
        <v/>
      </c>
      <c r="X171" s="5">
        <v>6599</v>
      </c>
      <c r="Y171" s="4"/>
      <c r="Z171" s="4"/>
      <c r="AA171" s="14">
        <f t="shared" si="45"/>
        <v>7962.62</v>
      </c>
      <c r="AB171" s="4"/>
      <c r="AC171" s="4"/>
      <c r="AD171" s="14">
        <f t="shared" si="46"/>
        <v>0</v>
      </c>
      <c r="AE171" s="14">
        <f t="shared" si="47"/>
        <v>45454</v>
      </c>
      <c r="AF171" s="14" t="str">
        <f t="shared" si="48"/>
        <v/>
      </c>
      <c r="AG171" s="15">
        <f t="shared" si="49"/>
        <v>45454</v>
      </c>
      <c r="AH171" s="4">
        <v>2316472.8259999999</v>
      </c>
      <c r="AI171" s="17">
        <f t="shared" si="50"/>
        <v>-2271018.8259999999</v>
      </c>
      <c r="AJ171" s="7" t="str">
        <f t="shared" si="53"/>
        <v/>
      </c>
      <c r="AK171" s="7" t="str">
        <f t="shared" si="54"/>
        <v/>
      </c>
      <c r="AL171" s="7">
        <f t="shared" si="55"/>
        <v>2.2964628696789373</v>
      </c>
      <c r="AM171" s="7" t="str">
        <f t="shared" si="56"/>
        <v/>
      </c>
      <c r="AN171" s="4">
        <v>4550.5242006011094</v>
      </c>
      <c r="AO171" s="4">
        <v>39703.06</v>
      </c>
      <c r="AP171" s="14">
        <f t="shared" si="51"/>
        <v>2360726.410200601</v>
      </c>
      <c r="AQ171" s="14">
        <f t="shared" si="52"/>
        <v>2316472.8259999999</v>
      </c>
      <c r="AR171" s="8">
        <v>84745.06</v>
      </c>
      <c r="AS171" s="20">
        <v>27.334606000000001</v>
      </c>
      <c r="AT171" s="8">
        <v>22544295.109999999</v>
      </c>
      <c r="AU171" s="8">
        <v>26356.889899999998</v>
      </c>
      <c r="AV171" s="8">
        <v>821.81240000000003</v>
      </c>
      <c r="AW171" s="8"/>
      <c r="AX171" s="9">
        <v>423.08174233858938</v>
      </c>
      <c r="AY171" s="6">
        <f t="shared" si="57"/>
        <v>2.2738548726598015E-2</v>
      </c>
      <c r="AZ171" s="8">
        <v>424425138.9016</v>
      </c>
      <c r="BA171" s="10">
        <v>60480066</v>
      </c>
      <c r="BB171" s="11">
        <v>22544295.109999999</v>
      </c>
      <c r="BC171" s="10">
        <v>2971324</v>
      </c>
      <c r="BD171" s="10">
        <f>1000000000-999766349.0283+8839.709</f>
        <v>242490.68069995308</v>
      </c>
      <c r="BE171" s="12">
        <f t="shared" si="58"/>
        <v>489336685.30770004</v>
      </c>
      <c r="BF171" s="13">
        <v>238</v>
      </c>
      <c r="BG171" s="13">
        <f t="shared" si="59"/>
        <v>251.33668530770007</v>
      </c>
      <c r="BH171" s="14">
        <f>BE171*26.26</f>
        <v>12849981356.180204</v>
      </c>
    </row>
    <row r="172" spans="1:60" x14ac:dyDescent="0.25">
      <c r="A172" s="3">
        <v>45794</v>
      </c>
      <c r="B172" s="4">
        <v>4365168405</v>
      </c>
      <c r="C172" s="4"/>
      <c r="D172" s="5">
        <v>181177333</v>
      </c>
      <c r="E172" s="4"/>
      <c r="N172" s="4"/>
      <c r="O172" s="4"/>
      <c r="P172" s="5">
        <v>44633</v>
      </c>
      <c r="Q172" s="4"/>
      <c r="R172" s="14">
        <f t="shared" si="40"/>
        <v>44633</v>
      </c>
      <c r="S172" s="6">
        <v>0.03</v>
      </c>
      <c r="T172" s="14">
        <f t="shared" si="41"/>
        <v>0</v>
      </c>
      <c r="U172" s="14">
        <f t="shared" si="42"/>
        <v>0</v>
      </c>
      <c r="V172" s="14">
        <f t="shared" si="43"/>
        <v>1108.8599999999999</v>
      </c>
      <c r="W172" s="14" t="str">
        <f t="shared" si="44"/>
        <v/>
      </c>
      <c r="X172" s="5">
        <v>7671</v>
      </c>
      <c r="Y172" s="4"/>
      <c r="Z172" s="4"/>
      <c r="AA172" s="14">
        <f t="shared" si="45"/>
        <v>8779.86</v>
      </c>
      <c r="AB172" s="4"/>
      <c r="AC172" s="4"/>
      <c r="AD172" s="14">
        <f t="shared" si="46"/>
        <v>0</v>
      </c>
      <c r="AE172" s="14">
        <f t="shared" si="47"/>
        <v>36962</v>
      </c>
      <c r="AF172" s="14" t="str">
        <f t="shared" si="48"/>
        <v/>
      </c>
      <c r="AG172" s="15">
        <f t="shared" si="49"/>
        <v>36962</v>
      </c>
      <c r="AH172" s="4">
        <v>1800311.9709999999</v>
      </c>
      <c r="AI172" s="17">
        <f t="shared" si="50"/>
        <v>-1763349.9709999999</v>
      </c>
      <c r="AJ172" s="7" t="str">
        <f t="shared" si="53"/>
        <v/>
      </c>
      <c r="AK172" s="7" t="str">
        <f t="shared" si="54"/>
        <v/>
      </c>
      <c r="AL172" s="7">
        <f t="shared" si="55"/>
        <v>2.4634980138492271</v>
      </c>
      <c r="AM172" s="7" t="str">
        <f t="shared" si="56"/>
        <v/>
      </c>
      <c r="AN172" s="4">
        <v>2661.9717486297832</v>
      </c>
      <c r="AO172" s="4">
        <v>22540.86</v>
      </c>
      <c r="AP172" s="14">
        <f t="shared" si="51"/>
        <v>1825514.8027486298</v>
      </c>
      <c r="AQ172" s="14">
        <f t="shared" si="52"/>
        <v>1800311.9709999999</v>
      </c>
      <c r="AR172" s="8">
        <v>69880.88</v>
      </c>
      <c r="AS172" s="20">
        <v>25.762582999999999</v>
      </c>
      <c r="AT172" s="8">
        <v>22614175.989999998</v>
      </c>
      <c r="AU172" s="8">
        <v>26319.840199999999</v>
      </c>
      <c r="AV172" s="8">
        <v>1419.0542</v>
      </c>
      <c r="AW172" s="8"/>
      <c r="AX172" s="9">
        <v>422.94170416816308</v>
      </c>
      <c r="AY172" s="6">
        <f t="shared" si="57"/>
        <v>2.271410357106881E-2</v>
      </c>
      <c r="AZ172" s="8">
        <v>424398819.0614</v>
      </c>
      <c r="BA172" s="10">
        <v>60480066</v>
      </c>
      <c r="BB172" s="11">
        <v>22614175.989999998</v>
      </c>
      <c r="BC172" s="10">
        <v>2971324</v>
      </c>
      <c r="BD172" s="10">
        <f>1000000000-999764929.9741+8939.8132</f>
        <v>244009.8391000063</v>
      </c>
      <c r="BE172" s="12">
        <f t="shared" si="58"/>
        <v>489291605.10950005</v>
      </c>
      <c r="BF172" s="13">
        <v>238</v>
      </c>
      <c r="BG172" s="13">
        <f t="shared" si="59"/>
        <v>251.29160510950004</v>
      </c>
      <c r="BH172" s="14">
        <f>BE172*26.74</f>
        <v>13083657520.628031</v>
      </c>
    </row>
    <row r="173" spans="1:60" x14ac:dyDescent="0.25">
      <c r="A173" s="3">
        <v>45795</v>
      </c>
      <c r="B173" s="4">
        <v>7314944825</v>
      </c>
      <c r="C173" s="4"/>
      <c r="D173" s="5">
        <v>194262020</v>
      </c>
      <c r="E173" s="4"/>
      <c r="N173" s="4"/>
      <c r="O173" s="4"/>
      <c r="P173" s="5">
        <v>40738</v>
      </c>
      <c r="Q173" s="4"/>
      <c r="R173" s="14">
        <f t="shared" si="40"/>
        <v>40738</v>
      </c>
      <c r="S173" s="6">
        <v>0.03</v>
      </c>
      <c r="T173" s="14">
        <f t="shared" si="41"/>
        <v>0</v>
      </c>
      <c r="U173" s="14">
        <f t="shared" si="42"/>
        <v>0</v>
      </c>
      <c r="V173" s="14">
        <f t="shared" si="43"/>
        <v>864.51</v>
      </c>
      <c r="W173" s="14" t="str">
        <f t="shared" si="44"/>
        <v/>
      </c>
      <c r="X173" s="5">
        <v>11921</v>
      </c>
      <c r="Y173" s="4"/>
      <c r="Z173" s="4"/>
      <c r="AA173" s="14">
        <f t="shared" si="45"/>
        <v>12785.51</v>
      </c>
      <c r="AB173" s="4"/>
      <c r="AC173" s="4"/>
      <c r="AD173" s="14">
        <f t="shared" si="46"/>
        <v>0</v>
      </c>
      <c r="AE173" s="14">
        <f t="shared" si="47"/>
        <v>28817</v>
      </c>
      <c r="AF173" s="14" t="str">
        <f t="shared" si="48"/>
        <v/>
      </c>
      <c r="AG173" s="15">
        <f t="shared" si="49"/>
        <v>28817</v>
      </c>
      <c r="AH173" s="4">
        <v>915170.64419999998</v>
      </c>
      <c r="AI173" s="17">
        <f t="shared" si="50"/>
        <v>-886353.64419999998</v>
      </c>
      <c r="AJ173" s="7" t="str">
        <f t="shared" si="53"/>
        <v/>
      </c>
      <c r="AK173" s="7" t="str">
        <f t="shared" si="54"/>
        <v/>
      </c>
      <c r="AL173" s="7">
        <f t="shared" si="55"/>
        <v>2.0970645728897495</v>
      </c>
      <c r="AM173" s="7" t="str">
        <f t="shared" si="56"/>
        <v/>
      </c>
      <c r="AN173" s="4">
        <v>1944.3749458756961</v>
      </c>
      <c r="AO173" s="4">
        <v>23849.95</v>
      </c>
      <c r="AP173" s="14">
        <f t="shared" si="51"/>
        <v>940964.96914587566</v>
      </c>
      <c r="AQ173" s="14">
        <f t="shared" si="52"/>
        <v>915170.64419999998</v>
      </c>
      <c r="AR173" s="8">
        <v>34506.07</v>
      </c>
      <c r="AS173" s="20">
        <v>26.522019</v>
      </c>
      <c r="AT173" s="8">
        <v>22648682.059999999</v>
      </c>
      <c r="AU173" s="8">
        <v>26317.214599999999</v>
      </c>
      <c r="AV173" s="8">
        <v>991.91639999999995</v>
      </c>
      <c r="AW173" s="8"/>
      <c r="AX173" s="9">
        <v>423.06203458336932</v>
      </c>
      <c r="AY173" s="6">
        <f t="shared" si="57"/>
        <v>2.2705377802240651E-2</v>
      </c>
      <c r="AZ173" s="8">
        <v>424372501.84680003</v>
      </c>
      <c r="BA173" s="10">
        <v>60480066</v>
      </c>
      <c r="BB173" s="11">
        <v>22648682.059999999</v>
      </c>
      <c r="BC173" s="10">
        <v>2971324</v>
      </c>
      <c r="BD173" s="10">
        <f>1000000000-999763938.0577+9014.7843</f>
        <v>245076.72659996204</v>
      </c>
      <c r="BE173" s="12">
        <f t="shared" si="58"/>
        <v>489282349.36659992</v>
      </c>
      <c r="BF173" s="13">
        <v>238</v>
      </c>
      <c r="BG173" s="13">
        <f t="shared" si="59"/>
        <v>251.28234936659993</v>
      </c>
      <c r="BH173" s="14">
        <f>BE173*26</f>
        <v>12721341083.531597</v>
      </c>
    </row>
    <row r="174" spans="1:60" x14ac:dyDescent="0.25">
      <c r="A174" s="3">
        <v>45796</v>
      </c>
      <c r="B174" s="4">
        <v>9535736914</v>
      </c>
      <c r="C174" s="4"/>
      <c r="D174" s="5">
        <v>233389144</v>
      </c>
      <c r="E174" s="4"/>
      <c r="N174" s="4"/>
      <c r="O174" s="4"/>
      <c r="P174" s="5">
        <v>51328</v>
      </c>
      <c r="Q174" s="4"/>
      <c r="R174" s="14">
        <f t="shared" si="40"/>
        <v>51328</v>
      </c>
      <c r="S174" s="6">
        <v>0.03</v>
      </c>
      <c r="T174" s="14">
        <f t="shared" si="41"/>
        <v>0</v>
      </c>
      <c r="U174" s="14">
        <f t="shared" si="42"/>
        <v>0</v>
      </c>
      <c r="V174" s="14">
        <f t="shared" si="43"/>
        <v>932.91</v>
      </c>
      <c r="W174" s="14" t="str">
        <f t="shared" si="44"/>
        <v/>
      </c>
      <c r="X174" s="5">
        <v>20231</v>
      </c>
      <c r="Y174" s="4"/>
      <c r="Z174" s="4"/>
      <c r="AA174" s="14">
        <f t="shared" si="45"/>
        <v>21163.91</v>
      </c>
      <c r="AB174" s="4"/>
      <c r="AC174" s="4"/>
      <c r="AD174" s="14">
        <f t="shared" si="46"/>
        <v>0</v>
      </c>
      <c r="AE174" s="14">
        <f t="shared" si="47"/>
        <v>31097</v>
      </c>
      <c r="AF174" s="14" t="str">
        <f t="shared" si="48"/>
        <v/>
      </c>
      <c r="AG174" s="15">
        <f t="shared" si="49"/>
        <v>31097</v>
      </c>
      <c r="AH174" s="4">
        <v>3021657.469</v>
      </c>
      <c r="AI174" s="17">
        <f t="shared" si="50"/>
        <v>-2990560.469</v>
      </c>
      <c r="AJ174" s="7" t="str">
        <f t="shared" si="53"/>
        <v/>
      </c>
      <c r="AK174" s="7" t="str">
        <f t="shared" si="54"/>
        <v/>
      </c>
      <c r="AL174" s="7">
        <f t="shared" si="55"/>
        <v>2.1992453942073675</v>
      </c>
      <c r="AM174" s="7" t="str">
        <f t="shared" si="56"/>
        <v/>
      </c>
      <c r="AN174" s="4">
        <v>2016.679964120407</v>
      </c>
      <c r="AO174" s="4">
        <v>0</v>
      </c>
      <c r="AP174" s="14">
        <f t="shared" si="51"/>
        <v>3023674.1489641205</v>
      </c>
      <c r="AQ174" s="14">
        <f t="shared" si="52"/>
        <v>3021657.469</v>
      </c>
      <c r="AR174" s="8">
        <v>116816.87</v>
      </c>
      <c r="AS174" s="20">
        <v>25.866619</v>
      </c>
      <c r="AT174" s="8">
        <v>22765498.93</v>
      </c>
      <c r="AU174" s="8">
        <v>26301.768599999999</v>
      </c>
      <c r="AV174" s="8">
        <v>844.66769999999997</v>
      </c>
      <c r="AW174" s="8"/>
      <c r="AX174" s="9">
        <v>423.12552574674339</v>
      </c>
      <c r="AY174" s="6">
        <f t="shared" si="57"/>
        <v>2.2688646642287539E-2</v>
      </c>
      <c r="AZ174" s="8">
        <v>424346200.07819998</v>
      </c>
      <c r="BA174" s="10">
        <v>60480066</v>
      </c>
      <c r="BB174" s="11">
        <v>22765498.93</v>
      </c>
      <c r="BC174" s="10">
        <v>2971324</v>
      </c>
      <c r="BD174" s="10">
        <f>1000000000-999763093.39+9090.1263</f>
        <v>245996.73630001431</v>
      </c>
      <c r="BE174" s="12">
        <f t="shared" si="58"/>
        <v>489190914.25550002</v>
      </c>
      <c r="BF174" s="13">
        <v>238</v>
      </c>
      <c r="BG174" s="13">
        <f t="shared" si="59"/>
        <v>251.19091425549999</v>
      </c>
      <c r="BH174" s="14">
        <f>BE174*27.07</f>
        <v>13242398048.896385</v>
      </c>
    </row>
    <row r="175" spans="1:60" x14ac:dyDescent="0.25">
      <c r="A175" s="3">
        <v>45797</v>
      </c>
      <c r="B175" s="4">
        <v>11112341692</v>
      </c>
      <c r="C175" s="4"/>
      <c r="D175" s="5">
        <v>186962465</v>
      </c>
      <c r="E175" s="4"/>
      <c r="N175" s="4"/>
      <c r="O175" s="4"/>
      <c r="P175" s="5">
        <v>43659</v>
      </c>
      <c r="Q175" s="4"/>
      <c r="R175" s="14">
        <f t="shared" si="40"/>
        <v>43659</v>
      </c>
      <c r="S175" s="6">
        <v>0.03</v>
      </c>
      <c r="T175" s="14">
        <f t="shared" si="41"/>
        <v>0</v>
      </c>
      <c r="U175" s="14">
        <f t="shared" si="42"/>
        <v>0</v>
      </c>
      <c r="V175" s="14">
        <f t="shared" si="43"/>
        <v>922.34999999999991</v>
      </c>
      <c r="W175" s="14" t="str">
        <f t="shared" si="44"/>
        <v/>
      </c>
      <c r="X175" s="5">
        <v>12914</v>
      </c>
      <c r="Y175" s="4"/>
      <c r="Z175" s="4"/>
      <c r="AA175" s="14">
        <f t="shared" si="45"/>
        <v>13836.35</v>
      </c>
      <c r="AB175" s="4"/>
      <c r="AC175" s="4"/>
      <c r="AD175" s="14">
        <f t="shared" si="46"/>
        <v>0</v>
      </c>
      <c r="AE175" s="14">
        <f t="shared" si="47"/>
        <v>30745</v>
      </c>
      <c r="AF175" s="14" t="str">
        <f t="shared" si="48"/>
        <v/>
      </c>
      <c r="AG175" s="15">
        <f t="shared" si="49"/>
        <v>30745</v>
      </c>
      <c r="AH175" s="4">
        <v>2335473.216</v>
      </c>
      <c r="AI175" s="17">
        <f t="shared" si="50"/>
        <v>-2304728.216</v>
      </c>
      <c r="AJ175" s="7" t="str">
        <f t="shared" si="53"/>
        <v/>
      </c>
      <c r="AK175" s="7" t="str">
        <f t="shared" si="54"/>
        <v/>
      </c>
      <c r="AL175" s="7">
        <f t="shared" si="55"/>
        <v>2.335174603094798</v>
      </c>
      <c r="AM175" s="7" t="str">
        <f t="shared" si="56"/>
        <v/>
      </c>
      <c r="AN175" s="4">
        <v>1665.2853505902031</v>
      </c>
      <c r="AO175" s="4">
        <v>18725</v>
      </c>
      <c r="AP175" s="14">
        <f t="shared" si="51"/>
        <v>2355863.50135059</v>
      </c>
      <c r="AQ175" s="14">
        <f t="shared" si="52"/>
        <v>2335473.216</v>
      </c>
      <c r="AR175" s="8">
        <v>90221.34</v>
      </c>
      <c r="AS175" s="20">
        <v>25.886040000000001</v>
      </c>
      <c r="AT175" s="8">
        <v>22855720.27</v>
      </c>
      <c r="AU175" s="8">
        <v>26318.472300000001</v>
      </c>
      <c r="AV175" s="8">
        <v>1017.3268</v>
      </c>
      <c r="AW175" s="8"/>
      <c r="AX175" s="9">
        <v>423.18380167460441</v>
      </c>
      <c r="AY175" s="6">
        <f t="shared" si="57"/>
        <v>2.2699929325003931E-2</v>
      </c>
      <c r="AZ175" s="8">
        <v>424319881.60600001</v>
      </c>
      <c r="BA175" s="10">
        <v>60480066</v>
      </c>
      <c r="BB175" s="11">
        <v>22855720.27</v>
      </c>
      <c r="BC175" s="10">
        <v>2971324</v>
      </c>
      <c r="BD175" s="10">
        <f>1000000000-999762076.0632+9153.1075</f>
        <v>247077.04430000306</v>
      </c>
      <c r="BE175" s="12">
        <f t="shared" si="58"/>
        <v>489125931.07970005</v>
      </c>
      <c r="BF175" s="13">
        <v>238</v>
      </c>
      <c r="BG175" s="13">
        <f t="shared" si="59"/>
        <v>251.12593107970008</v>
      </c>
      <c r="BH175" s="14">
        <f>BE175*26.64</f>
        <v>13030314803.963209</v>
      </c>
    </row>
    <row r="176" spans="1:60" x14ac:dyDescent="0.25">
      <c r="A176" s="3">
        <v>45798</v>
      </c>
      <c r="B176" s="4">
        <v>17607432133</v>
      </c>
      <c r="C176" s="4"/>
      <c r="D176" s="5">
        <v>311374949</v>
      </c>
      <c r="E176" s="4"/>
      <c r="N176" s="4"/>
      <c r="O176" s="4"/>
      <c r="P176" s="5">
        <v>70408</v>
      </c>
      <c r="Q176" s="4"/>
      <c r="R176" s="14">
        <f t="shared" si="40"/>
        <v>70408</v>
      </c>
      <c r="S176" s="6">
        <v>0.03</v>
      </c>
      <c r="T176" s="14">
        <f t="shared" si="41"/>
        <v>0</v>
      </c>
      <c r="U176" s="14">
        <f t="shared" si="42"/>
        <v>0</v>
      </c>
      <c r="V176" s="14">
        <f t="shared" si="43"/>
        <v>1451.28</v>
      </c>
      <c r="W176" s="14" t="str">
        <f t="shared" si="44"/>
        <v/>
      </c>
      <c r="X176" s="5">
        <v>22032</v>
      </c>
      <c r="Y176" s="4"/>
      <c r="Z176" s="4"/>
      <c r="AA176" s="14">
        <f t="shared" si="45"/>
        <v>23483.279999999999</v>
      </c>
      <c r="AB176" s="4"/>
      <c r="AC176" s="4"/>
      <c r="AD176" s="14">
        <f t="shared" si="46"/>
        <v>0</v>
      </c>
      <c r="AE176" s="14">
        <f t="shared" si="47"/>
        <v>48376</v>
      </c>
      <c r="AF176" s="14" t="str">
        <f t="shared" si="48"/>
        <v/>
      </c>
      <c r="AG176" s="15">
        <f t="shared" si="49"/>
        <v>48376</v>
      </c>
      <c r="AH176" s="4">
        <v>3243296.4709999999</v>
      </c>
      <c r="AI176" s="17">
        <f t="shared" si="50"/>
        <v>-3194920.4709999999</v>
      </c>
      <c r="AJ176" s="7" t="str">
        <f t="shared" si="53"/>
        <v/>
      </c>
      <c r="AK176" s="7" t="str">
        <f t="shared" si="54"/>
        <v/>
      </c>
      <c r="AL176" s="7">
        <f t="shared" si="55"/>
        <v>2.2611966770647305</v>
      </c>
      <c r="AM176" s="7" t="str">
        <f t="shared" si="56"/>
        <v/>
      </c>
      <c r="AN176" s="4">
        <v>2996.6646446830418</v>
      </c>
      <c r="AO176" s="4">
        <v>18440.900000000001</v>
      </c>
      <c r="AP176" s="14">
        <f t="shared" si="51"/>
        <v>3264734.0356446831</v>
      </c>
      <c r="AQ176" s="14">
        <f t="shared" si="52"/>
        <v>3243296.4709999999</v>
      </c>
      <c r="AR176" s="8">
        <v>117416.77</v>
      </c>
      <c r="AS176" s="20">
        <v>27.622088999999999</v>
      </c>
      <c r="AT176" s="8">
        <v>22973137.039999999</v>
      </c>
      <c r="AU176" s="8">
        <v>26382.930100000001</v>
      </c>
      <c r="AV176" s="8">
        <v>742.3954</v>
      </c>
      <c r="AW176" s="8"/>
      <c r="AX176" s="9">
        <v>423.38588914908951</v>
      </c>
      <c r="AY176" s="6">
        <f t="shared" si="57"/>
        <v>2.2744663280709881E-2</v>
      </c>
      <c r="AZ176" s="8">
        <v>424293498.67580003</v>
      </c>
      <c r="BA176" s="10">
        <v>60480066</v>
      </c>
      <c r="BB176" s="11">
        <v>22973137.039999999</v>
      </c>
      <c r="BC176" s="10">
        <v>2971324</v>
      </c>
      <c r="BD176" s="10">
        <f>1000000000-999761333.6679+9266.7984</f>
        <v>247933.13050003376</v>
      </c>
      <c r="BE176" s="12">
        <f t="shared" si="58"/>
        <v>489034041.15369987</v>
      </c>
      <c r="BF176" s="13">
        <v>238</v>
      </c>
      <c r="BG176" s="13">
        <f t="shared" si="59"/>
        <v>251.03404115369989</v>
      </c>
      <c r="BH176" s="14">
        <f>BE176*26.46</f>
        <v>12939840728.926899</v>
      </c>
    </row>
    <row r="177" spans="1:60" x14ac:dyDescent="0.25">
      <c r="A177" s="3">
        <v>45799</v>
      </c>
      <c r="B177" s="4">
        <v>11653389157</v>
      </c>
      <c r="C177" s="4"/>
      <c r="D177" s="5">
        <v>502129527</v>
      </c>
      <c r="E177" s="4"/>
      <c r="N177" s="4"/>
      <c r="O177" s="4"/>
      <c r="P177" s="5">
        <v>113648</v>
      </c>
      <c r="Q177" s="4"/>
      <c r="R177" s="14">
        <f t="shared" ref="R177:R240" si="60">N177+O177+P177+N(Q177)</f>
        <v>113648</v>
      </c>
      <c r="S177" s="6">
        <v>0.03</v>
      </c>
      <c r="T177" s="14">
        <f t="shared" ref="T177:T240" si="61">N(AC177)*S177</f>
        <v>0</v>
      </c>
      <c r="U177" s="14">
        <f t="shared" ref="U177:U240" si="62">N(AD177)*S177</f>
        <v>0</v>
      </c>
      <c r="V177" s="14">
        <f t="shared" ref="V177:V240" si="63">N(AE177)*S177</f>
        <v>2803.2</v>
      </c>
      <c r="W177" s="14" t="str">
        <f t="shared" ref="W177:W240" si="64">IF(Q177="","",N(AF177)*S177)</f>
        <v/>
      </c>
      <c r="X177" s="5">
        <v>20208</v>
      </c>
      <c r="Y177" s="4"/>
      <c r="Z177" s="4"/>
      <c r="AA177" s="14">
        <f t="shared" ref="AA177:AA240" si="65">T177+U177+V177+N(W177)+X177+Y177+N(Z177)</f>
        <v>23011.200000000001</v>
      </c>
      <c r="AB177" s="4"/>
      <c r="AC177" s="4"/>
      <c r="AD177" s="14">
        <f t="shared" ref="AD177:AD240" si="66">O177-Y177</f>
        <v>0</v>
      </c>
      <c r="AE177" s="14">
        <f t="shared" ref="AE177:AE240" si="67">P177-X177</f>
        <v>93440</v>
      </c>
      <c r="AF177" s="14" t="str">
        <f t="shared" ref="AF177:AF240" si="68">IF(Q177="","",Q177-Z177)</f>
        <v/>
      </c>
      <c r="AG177" s="15">
        <f t="shared" ref="AG177:AG240" si="69">AC177+AD177+AE177+N(AF177)</f>
        <v>93440</v>
      </c>
      <c r="AH177" s="4">
        <v>5872178.5779999997</v>
      </c>
      <c r="AI177" s="17">
        <f t="shared" ref="AI177:AI240" si="70">AG177-AH177</f>
        <v>-5778738.5779999997</v>
      </c>
      <c r="AJ177" s="7" t="str">
        <f t="shared" si="53"/>
        <v/>
      </c>
      <c r="AK177" s="7" t="str">
        <f t="shared" si="54"/>
        <v/>
      </c>
      <c r="AL177" s="7">
        <f t="shared" si="55"/>
        <v>2.2633203962132264</v>
      </c>
      <c r="AM177" s="7" t="str">
        <f t="shared" si="56"/>
        <v/>
      </c>
      <c r="AN177" s="4">
        <v>35055.967770712341</v>
      </c>
      <c r="AO177" s="4">
        <v>23454.97</v>
      </c>
      <c r="AP177" s="14">
        <f t="shared" ref="AP177:AP240" si="71">AH177+AN177+AO177</f>
        <v>5930689.5157707119</v>
      </c>
      <c r="AQ177" s="14">
        <f t="shared" ref="AQ177:AQ240" si="72">AH177</f>
        <v>5872178.5779999997</v>
      </c>
      <c r="AR177" s="8">
        <v>183172.39</v>
      </c>
      <c r="AS177" s="20">
        <v>32.058208</v>
      </c>
      <c r="AT177" s="8">
        <v>23156309.43</v>
      </c>
      <c r="AU177" s="8">
        <v>26369.2575</v>
      </c>
      <c r="AV177" s="8">
        <v>1400.0976000000001</v>
      </c>
      <c r="AW177" s="8"/>
      <c r="AX177" s="9">
        <v>422.33738449948498</v>
      </c>
      <c r="AY177" s="6">
        <f t="shared" si="57"/>
        <v>2.2789313332766872E-2</v>
      </c>
      <c r="AZ177" s="8">
        <v>424267129.41829997</v>
      </c>
      <c r="BA177" s="10">
        <v>60480066</v>
      </c>
      <c r="BB177" s="11">
        <v>23156309.43</v>
      </c>
      <c r="BC177" s="10">
        <v>2971324</v>
      </c>
      <c r="BD177" s="10">
        <f>1000000000-999759933.5702+10501.0331</f>
        <v>250567.46290003357</v>
      </c>
      <c r="BE177" s="12">
        <f t="shared" si="58"/>
        <v>488874603.68880004</v>
      </c>
      <c r="BF177" s="13">
        <v>238</v>
      </c>
      <c r="BG177" s="13">
        <f t="shared" si="59"/>
        <v>250.87460368880005</v>
      </c>
      <c r="BH177" s="14">
        <f>BE177*28.24</f>
        <v>13805818808.171713</v>
      </c>
    </row>
    <row r="178" spans="1:60" x14ac:dyDescent="0.25">
      <c r="A178" s="3">
        <v>45800</v>
      </c>
      <c r="B178" s="4">
        <v>13132043869</v>
      </c>
      <c r="C178" s="4"/>
      <c r="D178" s="5">
        <v>590232173</v>
      </c>
      <c r="E178" s="4"/>
      <c r="N178" s="4"/>
      <c r="O178" s="4"/>
      <c r="P178" s="5">
        <v>140903</v>
      </c>
      <c r="Q178" s="4"/>
      <c r="R178" s="14">
        <f t="shared" si="60"/>
        <v>140903</v>
      </c>
      <c r="S178" s="6">
        <v>0.03</v>
      </c>
      <c r="T178" s="14">
        <f t="shared" si="61"/>
        <v>0</v>
      </c>
      <c r="U178" s="14">
        <f t="shared" si="62"/>
        <v>0</v>
      </c>
      <c r="V178" s="14">
        <f t="shared" si="63"/>
        <v>3750.24</v>
      </c>
      <c r="W178" s="14" t="str">
        <f t="shared" si="64"/>
        <v/>
      </c>
      <c r="X178" s="5">
        <v>15895</v>
      </c>
      <c r="Y178" s="4"/>
      <c r="Z178" s="4"/>
      <c r="AA178" s="14">
        <f t="shared" si="65"/>
        <v>19645.239999999998</v>
      </c>
      <c r="AB178" s="4"/>
      <c r="AC178" s="4"/>
      <c r="AD178" s="14">
        <f t="shared" si="66"/>
        <v>0</v>
      </c>
      <c r="AE178" s="14">
        <f t="shared" si="67"/>
        <v>125008</v>
      </c>
      <c r="AF178" s="14" t="str">
        <f t="shared" si="68"/>
        <v/>
      </c>
      <c r="AG178" s="15">
        <f t="shared" si="69"/>
        <v>125008</v>
      </c>
      <c r="AH178" s="4">
        <v>2858955.2089999998</v>
      </c>
      <c r="AI178" s="17">
        <f t="shared" si="70"/>
        <v>-2733947.2089999998</v>
      </c>
      <c r="AJ178" s="7" t="str">
        <f t="shared" si="53"/>
        <v/>
      </c>
      <c r="AK178" s="7" t="str">
        <f t="shared" si="54"/>
        <v/>
      </c>
      <c r="AL178" s="7">
        <f t="shared" si="55"/>
        <v>2.3872470266035464</v>
      </c>
      <c r="AM178" s="7" t="str">
        <f t="shared" si="56"/>
        <v/>
      </c>
      <c r="AN178" s="4">
        <v>129210.13064391261</v>
      </c>
      <c r="AO178" s="4">
        <v>0</v>
      </c>
      <c r="AP178" s="14">
        <f t="shared" si="71"/>
        <v>2988165.3396439124</v>
      </c>
      <c r="AQ178" s="14">
        <f t="shared" si="72"/>
        <v>2858955.2089999998</v>
      </c>
      <c r="AR178" s="8">
        <v>81894.820000000007</v>
      </c>
      <c r="AS178" s="20">
        <v>34.910086</v>
      </c>
      <c r="AT178" s="8">
        <v>23238204.25</v>
      </c>
      <c r="AU178" s="8">
        <v>26341.6338</v>
      </c>
      <c r="AV178" s="8">
        <v>2802.9090999999999</v>
      </c>
      <c r="AW178" s="8"/>
      <c r="AX178" s="9">
        <v>421.61508795653128</v>
      </c>
      <c r="AY178" s="6">
        <f t="shared" si="57"/>
        <v>2.2804440855283811E-2</v>
      </c>
      <c r="AZ178" s="8">
        <v>424240787.7845</v>
      </c>
      <c r="BA178" s="10">
        <v>60480066</v>
      </c>
      <c r="BB178" s="11">
        <v>23238204.25</v>
      </c>
      <c r="BC178" s="10">
        <v>2971324</v>
      </c>
      <c r="BD178" s="10">
        <f>1000000000-999757130.6612+14408.0855</f>
        <v>257277.42429995345</v>
      </c>
      <c r="BE178" s="12">
        <f t="shared" si="58"/>
        <v>488812340.54120004</v>
      </c>
      <c r="BF178" s="13">
        <v>238</v>
      </c>
      <c r="BG178" s="13">
        <f t="shared" si="59"/>
        <v>250.81234054120006</v>
      </c>
      <c r="BH178" s="14">
        <f>BE178*33.38</f>
        <v>16316555927.265259</v>
      </c>
    </row>
    <row r="179" spans="1:60" x14ac:dyDescent="0.25">
      <c r="A179" s="3">
        <v>45801</v>
      </c>
      <c r="B179" s="4">
        <v>7439669344</v>
      </c>
      <c r="C179" s="4"/>
      <c r="D179" s="5">
        <v>306849568</v>
      </c>
      <c r="E179" s="4"/>
      <c r="N179" s="4"/>
      <c r="O179" s="4"/>
      <c r="P179" s="5">
        <v>63652</v>
      </c>
      <c r="Q179" s="4"/>
      <c r="R179" s="14">
        <f t="shared" si="60"/>
        <v>63652</v>
      </c>
      <c r="S179" s="6">
        <v>0.03</v>
      </c>
      <c r="T179" s="14">
        <f t="shared" si="61"/>
        <v>0</v>
      </c>
      <c r="U179" s="14">
        <f t="shared" si="62"/>
        <v>0</v>
      </c>
      <c r="V179" s="14">
        <f t="shared" si="63"/>
        <v>1681.8</v>
      </c>
      <c r="W179" s="14" t="str">
        <f t="shared" si="64"/>
        <v/>
      </c>
      <c r="X179" s="5">
        <v>7592</v>
      </c>
      <c r="Y179" s="4"/>
      <c r="Z179" s="4"/>
      <c r="AA179" s="14">
        <f t="shared" si="65"/>
        <v>9273.7999999999993</v>
      </c>
      <c r="AB179" s="4"/>
      <c r="AC179" s="4"/>
      <c r="AD179" s="14">
        <f t="shared" si="66"/>
        <v>0</v>
      </c>
      <c r="AE179" s="14">
        <f t="shared" si="67"/>
        <v>56060</v>
      </c>
      <c r="AF179" s="14" t="str">
        <f t="shared" si="68"/>
        <v/>
      </c>
      <c r="AG179" s="15">
        <f t="shared" si="69"/>
        <v>56060</v>
      </c>
      <c r="AH179" s="4">
        <v>3421583.6779999998</v>
      </c>
      <c r="AI179" s="17">
        <f t="shared" si="70"/>
        <v>-3365523.6779999998</v>
      </c>
      <c r="AJ179" s="7" t="str">
        <f t="shared" si="53"/>
        <v/>
      </c>
      <c r="AK179" s="7" t="str">
        <f t="shared" si="54"/>
        <v/>
      </c>
      <c r="AL179" s="7">
        <f t="shared" si="55"/>
        <v>2.0743715044109168</v>
      </c>
      <c r="AM179" s="7" t="str">
        <f t="shared" si="56"/>
        <v/>
      </c>
      <c r="AN179" s="4">
        <v>34424.355685693947</v>
      </c>
      <c r="AO179" s="4">
        <v>24967.89</v>
      </c>
      <c r="AP179" s="14">
        <f t="shared" si="71"/>
        <v>3480975.9236856941</v>
      </c>
      <c r="AQ179" s="14">
        <f t="shared" si="72"/>
        <v>3421583.6779999998</v>
      </c>
      <c r="AR179" s="8">
        <v>98770.76</v>
      </c>
      <c r="AS179" s="20">
        <v>34.641666000000001</v>
      </c>
      <c r="AT179" s="8">
        <v>23336975.010000002</v>
      </c>
      <c r="AU179" s="8">
        <v>26288.597600000001</v>
      </c>
      <c r="AV179" s="8">
        <v>2774.1487999999999</v>
      </c>
      <c r="AW179" s="8"/>
      <c r="AX179" s="9">
        <v>419.85846052995549</v>
      </c>
      <c r="AY179" s="6">
        <f t="shared" si="57"/>
        <v>2.2853744835553705E-2</v>
      </c>
      <c r="AZ179" s="8">
        <v>424214499.18690002</v>
      </c>
      <c r="BA179" s="10">
        <v>60480066</v>
      </c>
      <c r="BB179" s="11">
        <v>23336975.010000002</v>
      </c>
      <c r="BC179" s="10">
        <v>2971324</v>
      </c>
      <c r="BD179" s="10">
        <f>1000000000-999754356.5123+15463.0765</f>
        <v>261106.5641999855</v>
      </c>
      <c r="BE179" s="12">
        <f t="shared" si="58"/>
        <v>488736029.23890001</v>
      </c>
      <c r="BF179" s="13">
        <v>238</v>
      </c>
      <c r="BG179" s="13">
        <f t="shared" si="59"/>
        <v>250.73602923890002</v>
      </c>
      <c r="BH179" s="14">
        <f>BE179*33.26</f>
        <v>16255360332.485813</v>
      </c>
    </row>
    <row r="180" spans="1:60" x14ac:dyDescent="0.25">
      <c r="A180" s="3">
        <v>45802</v>
      </c>
      <c r="B180" s="4">
        <v>9377129710</v>
      </c>
      <c r="C180" s="4"/>
      <c r="D180" s="5">
        <v>424503231</v>
      </c>
      <c r="E180" s="4"/>
      <c r="N180" s="4"/>
      <c r="O180" s="4"/>
      <c r="P180" s="5">
        <v>93250</v>
      </c>
      <c r="Q180" s="4"/>
      <c r="R180" s="14">
        <f t="shared" si="60"/>
        <v>93250</v>
      </c>
      <c r="S180" s="6">
        <v>0.03</v>
      </c>
      <c r="T180" s="14">
        <f t="shared" si="61"/>
        <v>0</v>
      </c>
      <c r="U180" s="14">
        <f t="shared" si="62"/>
        <v>0</v>
      </c>
      <c r="V180" s="14">
        <f t="shared" si="63"/>
        <v>2412.66</v>
      </c>
      <c r="W180" s="14" t="str">
        <f t="shared" si="64"/>
        <v/>
      </c>
      <c r="X180" s="5">
        <v>12828</v>
      </c>
      <c r="Y180" s="4"/>
      <c r="Z180" s="4"/>
      <c r="AA180" s="14">
        <f t="shared" si="65"/>
        <v>15240.66</v>
      </c>
      <c r="AB180" s="4"/>
      <c r="AC180" s="4"/>
      <c r="AD180" s="14">
        <f t="shared" si="66"/>
        <v>0</v>
      </c>
      <c r="AE180" s="14">
        <f t="shared" si="67"/>
        <v>80422</v>
      </c>
      <c r="AF180" s="14" t="str">
        <f t="shared" si="68"/>
        <v/>
      </c>
      <c r="AG180" s="15">
        <f t="shared" si="69"/>
        <v>80422</v>
      </c>
      <c r="AH180" s="4">
        <v>2098890.1359999999</v>
      </c>
      <c r="AI180" s="17">
        <f t="shared" si="70"/>
        <v>-2018468.1359999999</v>
      </c>
      <c r="AJ180" s="7" t="str">
        <f t="shared" si="53"/>
        <v/>
      </c>
      <c r="AK180" s="7" t="str">
        <f t="shared" si="54"/>
        <v/>
      </c>
      <c r="AL180" s="7">
        <f t="shared" si="55"/>
        <v>2.19668528270872</v>
      </c>
      <c r="AM180" s="7" t="str">
        <f t="shared" si="56"/>
        <v/>
      </c>
      <c r="AN180" s="4">
        <v>154666.15750947801</v>
      </c>
      <c r="AO180" s="4">
        <v>28772.86</v>
      </c>
      <c r="AP180" s="14">
        <f t="shared" si="71"/>
        <v>2282329.1535094776</v>
      </c>
      <c r="AQ180" s="14">
        <f t="shared" si="72"/>
        <v>2098890.1359999999</v>
      </c>
      <c r="AR180" s="8">
        <v>55390.98</v>
      </c>
      <c r="AS180" s="20">
        <v>37.892273000000003</v>
      </c>
      <c r="AT180" s="8">
        <v>23392365.989999998</v>
      </c>
      <c r="AU180" s="8">
        <v>26274.0281</v>
      </c>
      <c r="AV180" s="8">
        <v>1397.6446000000001</v>
      </c>
      <c r="AW180" s="8"/>
      <c r="AX180" s="9">
        <v>419.80525908661241</v>
      </c>
      <c r="AY180" s="6">
        <f t="shared" si="57"/>
        <v>2.2843973601868166E-2</v>
      </c>
      <c r="AZ180" s="8">
        <v>424188225.15880001</v>
      </c>
      <c r="BA180" s="10">
        <v>60480066</v>
      </c>
      <c r="BB180" s="11">
        <v>23392365.989999998</v>
      </c>
      <c r="BC180" s="10">
        <v>2971324</v>
      </c>
      <c r="BD180" s="10">
        <f>1000000000-999752958.8677+19869.3942</f>
        <v>266910.52650001924</v>
      </c>
      <c r="BE180" s="12">
        <f t="shared" si="58"/>
        <v>488701108.32469994</v>
      </c>
      <c r="BF180" s="13">
        <v>238</v>
      </c>
      <c r="BG180" s="13">
        <f t="shared" si="59"/>
        <v>250.70110832469993</v>
      </c>
      <c r="BH180" s="14">
        <f>BE180*34.84</f>
        <v>17026346614.032547</v>
      </c>
    </row>
    <row r="181" spans="1:60" x14ac:dyDescent="0.25">
      <c r="A181" s="3">
        <v>45803</v>
      </c>
      <c r="B181" s="4">
        <v>7002792387</v>
      </c>
      <c r="C181" s="4"/>
      <c r="D181" s="5">
        <v>409113491</v>
      </c>
      <c r="E181" s="4"/>
      <c r="N181" s="4"/>
      <c r="O181" s="4"/>
      <c r="P181" s="5">
        <v>100179</v>
      </c>
      <c r="Q181" s="4"/>
      <c r="R181" s="14">
        <f t="shared" si="60"/>
        <v>100179</v>
      </c>
      <c r="S181" s="6">
        <v>0.03</v>
      </c>
      <c r="T181" s="14">
        <f t="shared" si="61"/>
        <v>0</v>
      </c>
      <c r="U181" s="14">
        <f t="shared" si="62"/>
        <v>0</v>
      </c>
      <c r="V181" s="14">
        <f t="shared" si="63"/>
        <v>2586.75</v>
      </c>
      <c r="W181" s="14" t="str">
        <f t="shared" si="64"/>
        <v/>
      </c>
      <c r="X181" s="5">
        <v>13954</v>
      </c>
      <c r="Y181" s="4"/>
      <c r="Z181" s="4"/>
      <c r="AA181" s="14">
        <f t="shared" si="65"/>
        <v>16540.75</v>
      </c>
      <c r="AB181" s="4"/>
      <c r="AC181" s="4"/>
      <c r="AD181" s="14">
        <f t="shared" si="66"/>
        <v>0</v>
      </c>
      <c r="AE181" s="14">
        <f t="shared" si="67"/>
        <v>86225</v>
      </c>
      <c r="AF181" s="14" t="str">
        <f t="shared" si="68"/>
        <v/>
      </c>
      <c r="AG181" s="15">
        <f t="shared" si="69"/>
        <v>86225</v>
      </c>
      <c r="AH181" s="4">
        <v>2258419.38</v>
      </c>
      <c r="AI181" s="17">
        <f t="shared" si="70"/>
        <v>-2172194.38</v>
      </c>
      <c r="AJ181" s="7" t="str">
        <f t="shared" si="53"/>
        <v/>
      </c>
      <c r="AK181" s="7" t="str">
        <f t="shared" si="54"/>
        <v/>
      </c>
      <c r="AL181" s="7">
        <f t="shared" si="55"/>
        <v>2.4486848320531185</v>
      </c>
      <c r="AM181" s="7" t="str">
        <f t="shared" si="56"/>
        <v/>
      </c>
      <c r="AN181" s="4">
        <v>116074.2444668833</v>
      </c>
      <c r="AO181" s="4">
        <v>37996.870000000003</v>
      </c>
      <c r="AP181" s="14">
        <f t="shared" si="71"/>
        <v>2412490.4944668831</v>
      </c>
      <c r="AQ181" s="14">
        <f t="shared" si="72"/>
        <v>2258419.38</v>
      </c>
      <c r="AR181" s="8">
        <v>60341.07</v>
      </c>
      <c r="AS181" s="20">
        <v>37.427565999999999</v>
      </c>
      <c r="AT181" s="8">
        <v>23452707.059999999</v>
      </c>
      <c r="AU181" s="8">
        <v>25952.459299999999</v>
      </c>
      <c r="AV181" s="8">
        <v>1801.2147</v>
      </c>
      <c r="AW181" s="8"/>
      <c r="AX181" s="9">
        <v>419.36495130617323</v>
      </c>
      <c r="AY181" s="6">
        <f t="shared" si="57"/>
        <v>2.2588076602482063E-2</v>
      </c>
      <c r="AZ181" s="8">
        <v>424162272.69950002</v>
      </c>
      <c r="BA181" s="10">
        <v>60480066</v>
      </c>
      <c r="BB181" s="11">
        <v>23452707.059999999</v>
      </c>
      <c r="BC181" s="10">
        <v>2971324</v>
      </c>
      <c r="BD181" s="10">
        <f>1000000000-999751157.653+22880.3211</f>
        <v>271722.66810000286</v>
      </c>
      <c r="BE181" s="12">
        <f t="shared" si="58"/>
        <v>488661907.57239991</v>
      </c>
      <c r="BF181" s="13">
        <v>238</v>
      </c>
      <c r="BG181" s="13">
        <f t="shared" si="59"/>
        <v>250.66190757239991</v>
      </c>
      <c r="BH181" s="14">
        <f>BE181*38.85</f>
        <v>18984515109.187737</v>
      </c>
    </row>
    <row r="182" spans="1:60" x14ac:dyDescent="0.25">
      <c r="A182" s="3">
        <v>45804</v>
      </c>
      <c r="B182" s="4">
        <v>11173683374</v>
      </c>
      <c r="C182" s="4"/>
      <c r="D182" s="5">
        <v>403985493</v>
      </c>
      <c r="E182" s="4"/>
      <c r="N182" s="4"/>
      <c r="O182" s="4"/>
      <c r="P182" s="5">
        <v>87270</v>
      </c>
      <c r="Q182" s="4"/>
      <c r="R182" s="14">
        <f t="shared" si="60"/>
        <v>87270</v>
      </c>
      <c r="S182" s="6">
        <v>0.03</v>
      </c>
      <c r="T182" s="14">
        <f t="shared" si="61"/>
        <v>0</v>
      </c>
      <c r="U182" s="14">
        <f t="shared" si="62"/>
        <v>0</v>
      </c>
      <c r="V182" s="14">
        <f t="shared" si="63"/>
        <v>1775.25</v>
      </c>
      <c r="W182" s="14" t="str">
        <f t="shared" si="64"/>
        <v/>
      </c>
      <c r="X182" s="5">
        <v>28095</v>
      </c>
      <c r="Y182" s="4"/>
      <c r="Z182" s="4"/>
      <c r="AA182" s="14">
        <f t="shared" si="65"/>
        <v>29870.25</v>
      </c>
      <c r="AB182" s="4"/>
      <c r="AC182" s="4"/>
      <c r="AD182" s="14">
        <f t="shared" si="66"/>
        <v>0</v>
      </c>
      <c r="AE182" s="14">
        <f t="shared" si="67"/>
        <v>59175</v>
      </c>
      <c r="AF182" s="14" t="str">
        <f t="shared" si="68"/>
        <v/>
      </c>
      <c r="AG182" s="15">
        <f t="shared" si="69"/>
        <v>59175</v>
      </c>
      <c r="AH182" s="4">
        <v>2244861.8390000002</v>
      </c>
      <c r="AI182" s="17">
        <f t="shared" si="70"/>
        <v>-2185686.8390000002</v>
      </c>
      <c r="AJ182" s="7" t="str">
        <f t="shared" si="53"/>
        <v/>
      </c>
      <c r="AK182" s="7" t="str">
        <f t="shared" si="54"/>
        <v/>
      </c>
      <c r="AL182" s="7">
        <f t="shared" si="55"/>
        <v>2.1602260851480626</v>
      </c>
      <c r="AM182" s="7" t="str">
        <f t="shared" si="56"/>
        <v/>
      </c>
      <c r="AN182" s="4">
        <v>201427.94116636211</v>
      </c>
      <c r="AO182" s="4">
        <v>54993.21</v>
      </c>
      <c r="AP182" s="14">
        <f t="shared" si="71"/>
        <v>2501282.9901663624</v>
      </c>
      <c r="AQ182" s="14">
        <f t="shared" si="72"/>
        <v>2244861.8390000002</v>
      </c>
      <c r="AR182" s="8">
        <v>61995.05</v>
      </c>
      <c r="AS182" s="20">
        <v>36.210340000000002</v>
      </c>
      <c r="AT182" s="8">
        <v>23514702.109999999</v>
      </c>
      <c r="AU182" s="8">
        <v>26236.780500000001</v>
      </c>
      <c r="AV182" s="8">
        <v>2566.5970000000002</v>
      </c>
      <c r="AW182" s="8"/>
      <c r="AX182" s="9">
        <v>418.4460708808237</v>
      </c>
      <c r="AY182" s="6">
        <f t="shared" si="57"/>
        <v>2.2885684796470303E-2</v>
      </c>
      <c r="AZ182" s="8">
        <v>424136035.91900003</v>
      </c>
      <c r="BA182" s="10">
        <v>60480066</v>
      </c>
      <c r="BB182" s="11">
        <v>23514702.109999999</v>
      </c>
      <c r="BC182" s="10">
        <v>2971324</v>
      </c>
      <c r="BD182" s="10">
        <f>1000000000-999748591.056+28300.4417</f>
        <v>279709.38570000575</v>
      </c>
      <c r="BE182" s="12">
        <f t="shared" si="58"/>
        <v>488618162.58529997</v>
      </c>
      <c r="BF182" s="13">
        <v>238</v>
      </c>
      <c r="BG182" s="13">
        <f t="shared" si="59"/>
        <v>250.61816258529996</v>
      </c>
      <c r="BH182" s="14">
        <f>BE182*37.25</f>
        <v>18201026556.302425</v>
      </c>
    </row>
    <row r="183" spans="1:60" x14ac:dyDescent="0.25">
      <c r="A183" s="3">
        <v>45805</v>
      </c>
      <c r="B183" s="4">
        <v>9155802238</v>
      </c>
      <c r="C183" s="4"/>
      <c r="D183" s="5">
        <v>334144664</v>
      </c>
      <c r="E183" s="4"/>
      <c r="N183" s="4"/>
      <c r="O183" s="4"/>
      <c r="P183" s="5">
        <v>82889</v>
      </c>
      <c r="Q183" s="4"/>
      <c r="R183" s="14">
        <f t="shared" si="60"/>
        <v>82889</v>
      </c>
      <c r="S183" s="6">
        <v>0.03</v>
      </c>
      <c r="T183" s="14">
        <f t="shared" si="61"/>
        <v>0</v>
      </c>
      <c r="U183" s="14">
        <f t="shared" si="62"/>
        <v>0</v>
      </c>
      <c r="V183" s="14">
        <f t="shared" si="63"/>
        <v>2001.78</v>
      </c>
      <c r="W183" s="14" t="str">
        <f t="shared" si="64"/>
        <v/>
      </c>
      <c r="X183" s="5">
        <v>16163</v>
      </c>
      <c r="Y183" s="4"/>
      <c r="Z183" s="4"/>
      <c r="AA183" s="14">
        <f t="shared" si="65"/>
        <v>18164.78</v>
      </c>
      <c r="AB183" s="4"/>
      <c r="AC183" s="4"/>
      <c r="AD183" s="14">
        <f t="shared" si="66"/>
        <v>0</v>
      </c>
      <c r="AE183" s="14">
        <f t="shared" si="67"/>
        <v>66726</v>
      </c>
      <c r="AF183" s="14" t="str">
        <f t="shared" si="68"/>
        <v/>
      </c>
      <c r="AG183" s="15">
        <f t="shared" si="69"/>
        <v>66726</v>
      </c>
      <c r="AH183" s="4">
        <v>2305266.4810000001</v>
      </c>
      <c r="AI183" s="17">
        <f t="shared" si="70"/>
        <v>-2238540.4810000001</v>
      </c>
      <c r="AJ183" s="7" t="str">
        <f t="shared" si="53"/>
        <v/>
      </c>
      <c r="AK183" s="7" t="str">
        <f t="shared" si="54"/>
        <v/>
      </c>
      <c r="AL183" s="7">
        <f t="shared" si="55"/>
        <v>2.4806321611647819</v>
      </c>
      <c r="AM183" s="7" t="str">
        <f t="shared" si="56"/>
        <v/>
      </c>
      <c r="AN183" s="4">
        <v>75605.17928433526</v>
      </c>
      <c r="AO183" s="4">
        <v>0</v>
      </c>
      <c r="AP183" s="14">
        <f t="shared" si="71"/>
        <v>2380871.6602843353</v>
      </c>
      <c r="AQ183" s="14">
        <f t="shared" si="72"/>
        <v>2305266.4810000001</v>
      </c>
      <c r="AR183" s="8">
        <v>69201.320000000007</v>
      </c>
      <c r="AS183" s="20">
        <v>33.312463999999999</v>
      </c>
      <c r="AT183" s="8">
        <v>23583903.43</v>
      </c>
      <c r="AU183" s="8">
        <v>26207.4869</v>
      </c>
      <c r="AV183" s="8">
        <v>2773.3719000000001</v>
      </c>
      <c r="AW183" s="8"/>
      <c r="AX183" s="9">
        <v>418.29247961783727</v>
      </c>
      <c r="AY183" s="6">
        <f t="shared" si="57"/>
        <v>2.2868526652067709E-2</v>
      </c>
      <c r="AZ183" s="8">
        <v>424109828.4321</v>
      </c>
      <c r="BA183" s="10">
        <v>60480066</v>
      </c>
      <c r="BB183" s="11">
        <v>23583903.43</v>
      </c>
      <c r="BC183" s="10">
        <v>2971324</v>
      </c>
      <c r="BD183" s="10">
        <f>1000000000-999745817.6841+30384.2623</f>
        <v>284566.57819996815</v>
      </c>
      <c r="BE183" s="12">
        <f t="shared" si="58"/>
        <v>488570311.55969995</v>
      </c>
      <c r="BF183" s="13">
        <v>238</v>
      </c>
      <c r="BG183" s="13">
        <f t="shared" si="59"/>
        <v>250.57031155969997</v>
      </c>
      <c r="BH183" s="14">
        <f>BE183*35.52</f>
        <v>17354017466.600544</v>
      </c>
    </row>
    <row r="184" spans="1:60" x14ac:dyDescent="0.25">
      <c r="A184" s="3">
        <v>45806</v>
      </c>
      <c r="B184" s="4">
        <v>10872328015</v>
      </c>
      <c r="C184" s="4"/>
      <c r="D184" s="5">
        <v>382861974</v>
      </c>
      <c r="E184" s="4"/>
      <c r="N184" s="4"/>
      <c r="O184" s="4"/>
      <c r="P184" s="5">
        <v>88105</v>
      </c>
      <c r="Q184" s="4"/>
      <c r="R184" s="14">
        <f t="shared" si="60"/>
        <v>88105</v>
      </c>
      <c r="S184" s="6">
        <v>0.03</v>
      </c>
      <c r="T184" s="14">
        <f t="shared" si="61"/>
        <v>0</v>
      </c>
      <c r="U184" s="14">
        <f t="shared" si="62"/>
        <v>0</v>
      </c>
      <c r="V184" s="14">
        <f t="shared" si="63"/>
        <v>2105.52</v>
      </c>
      <c r="W184" s="14" t="str">
        <f t="shared" si="64"/>
        <v/>
      </c>
      <c r="X184" s="5">
        <v>17921</v>
      </c>
      <c r="Y184" s="4"/>
      <c r="Z184" s="4"/>
      <c r="AA184" s="14">
        <f t="shared" si="65"/>
        <v>20026.52</v>
      </c>
      <c r="AB184" s="4"/>
      <c r="AC184" s="4"/>
      <c r="AD184" s="14">
        <f t="shared" si="66"/>
        <v>0</v>
      </c>
      <c r="AE184" s="14">
        <f t="shared" si="67"/>
        <v>70184</v>
      </c>
      <c r="AF184" s="14" t="str">
        <f t="shared" si="68"/>
        <v/>
      </c>
      <c r="AG184" s="15">
        <f t="shared" si="69"/>
        <v>70184</v>
      </c>
      <c r="AH184" s="4">
        <v>2602830.5049999999</v>
      </c>
      <c r="AI184" s="17">
        <f t="shared" si="70"/>
        <v>-2532646.5049999999</v>
      </c>
      <c r="AJ184" s="7" t="str">
        <f t="shared" si="53"/>
        <v/>
      </c>
      <c r="AK184" s="7" t="str">
        <f t="shared" si="54"/>
        <v/>
      </c>
      <c r="AL184" s="7">
        <f t="shared" si="55"/>
        <v>2.301220961682656</v>
      </c>
      <c r="AM184" s="7" t="str">
        <f t="shared" si="56"/>
        <v/>
      </c>
      <c r="AN184" s="4">
        <v>34406.354553394798</v>
      </c>
      <c r="AO184" s="4">
        <v>63112.95</v>
      </c>
      <c r="AP184" s="14">
        <f t="shared" si="71"/>
        <v>2700349.809553395</v>
      </c>
      <c r="AQ184" s="14">
        <f t="shared" si="72"/>
        <v>2602830.5049999999</v>
      </c>
      <c r="AR184" s="8">
        <v>80786.59</v>
      </c>
      <c r="AS184" s="20">
        <v>32.218595999999998</v>
      </c>
      <c r="AT184" s="8">
        <v>23664690.02</v>
      </c>
      <c r="AU184" s="8">
        <v>26214.749899999999</v>
      </c>
      <c r="AV184" s="8">
        <v>1240.1215</v>
      </c>
      <c r="AW184" s="8"/>
      <c r="AX184" s="9">
        <v>418.42454297359819</v>
      </c>
      <c r="AY184" s="6">
        <f t="shared" si="57"/>
        <v>2.2867644535143214E-2</v>
      </c>
      <c r="AZ184" s="8">
        <v>424083613.68220001</v>
      </c>
      <c r="BA184" s="10">
        <v>60480066</v>
      </c>
      <c r="BB184" s="11">
        <v>23664690.02</v>
      </c>
      <c r="BC184" s="10">
        <v>2971324</v>
      </c>
      <c r="BD184" s="10">
        <f>1000000000-999744577.5626+31382.0106</f>
        <v>286804.44799998339</v>
      </c>
      <c r="BE184" s="12">
        <f t="shared" si="58"/>
        <v>488513501.84980011</v>
      </c>
      <c r="BF184" s="13">
        <v>238</v>
      </c>
      <c r="BG184" s="13">
        <f t="shared" si="59"/>
        <v>250.51350184980009</v>
      </c>
      <c r="BH184" s="14">
        <f>BE184*33.82</f>
        <v>16521526632.56024</v>
      </c>
    </row>
    <row r="185" spans="1:60" x14ac:dyDescent="0.25">
      <c r="A185" s="3">
        <v>45807</v>
      </c>
      <c r="B185" s="4">
        <v>10883704783</v>
      </c>
      <c r="C185" s="4"/>
      <c r="D185" s="5">
        <v>413767053</v>
      </c>
      <c r="E185" s="4"/>
      <c r="N185" s="4"/>
      <c r="O185" s="4"/>
      <c r="P185" s="5">
        <v>87626</v>
      </c>
      <c r="Q185" s="4"/>
      <c r="R185" s="14">
        <f t="shared" si="60"/>
        <v>87626</v>
      </c>
      <c r="S185" s="6">
        <v>0.03</v>
      </c>
      <c r="T185" s="14">
        <f t="shared" si="61"/>
        <v>0</v>
      </c>
      <c r="U185" s="14">
        <f t="shared" si="62"/>
        <v>0</v>
      </c>
      <c r="V185" s="14">
        <f t="shared" si="63"/>
        <v>2212.89</v>
      </c>
      <c r="W185" s="14" t="str">
        <f t="shared" si="64"/>
        <v/>
      </c>
      <c r="X185" s="5">
        <v>13863</v>
      </c>
      <c r="Y185" s="4"/>
      <c r="Z185" s="4"/>
      <c r="AA185" s="14">
        <f t="shared" si="65"/>
        <v>16075.89</v>
      </c>
      <c r="AB185" s="4"/>
      <c r="AC185" s="4"/>
      <c r="AD185" s="14">
        <f t="shared" si="66"/>
        <v>0</v>
      </c>
      <c r="AE185" s="14">
        <f t="shared" si="67"/>
        <v>73763</v>
      </c>
      <c r="AF185" s="14" t="str">
        <f t="shared" si="68"/>
        <v/>
      </c>
      <c r="AG185" s="15">
        <f t="shared" si="69"/>
        <v>73763</v>
      </c>
      <c r="AH185" s="4">
        <v>3404212.923</v>
      </c>
      <c r="AI185" s="17">
        <f t="shared" si="70"/>
        <v>-3330449.923</v>
      </c>
      <c r="AJ185" s="7" t="str">
        <f t="shared" si="53"/>
        <v/>
      </c>
      <c r="AK185" s="7" t="str">
        <f t="shared" si="54"/>
        <v/>
      </c>
      <c r="AL185" s="7">
        <f t="shared" si="55"/>
        <v>2.1177616575479248</v>
      </c>
      <c r="AM185" s="7" t="str">
        <f t="shared" si="56"/>
        <v/>
      </c>
      <c r="AN185" s="4">
        <v>26566.113189812721</v>
      </c>
      <c r="AO185" s="4">
        <v>38855.26</v>
      </c>
      <c r="AP185" s="14">
        <f t="shared" si="71"/>
        <v>3469634.2961898125</v>
      </c>
      <c r="AQ185" s="14">
        <f t="shared" si="72"/>
        <v>3404212.923</v>
      </c>
      <c r="AR185" s="8">
        <v>102673.60000000001</v>
      </c>
      <c r="AS185" s="20">
        <v>33.155678999999999</v>
      </c>
      <c r="AT185" s="8">
        <v>23767363.620000001</v>
      </c>
      <c r="AU185" s="8">
        <v>26217.052800000001</v>
      </c>
      <c r="AV185" s="8">
        <v>3266.41</v>
      </c>
      <c r="AW185" s="8"/>
      <c r="AX185" s="9">
        <v>418.61640780073009</v>
      </c>
      <c r="AY185" s="6">
        <f t="shared" si="57"/>
        <v>2.2859171531936572E-2</v>
      </c>
      <c r="AZ185" s="8">
        <v>424057396.6293</v>
      </c>
      <c r="BA185" s="10">
        <v>60480066</v>
      </c>
      <c r="BB185" s="11">
        <v>23767363.620000001</v>
      </c>
      <c r="BC185" s="10">
        <v>2971324</v>
      </c>
      <c r="BD185" s="10">
        <f>1000000000-999741311.1527+32229.4957</f>
        <v>290918.34300005261</v>
      </c>
      <c r="BE185" s="12">
        <f t="shared" si="58"/>
        <v>488432931.40769994</v>
      </c>
      <c r="BF185" s="13">
        <v>238</v>
      </c>
      <c r="BG185" s="13">
        <f t="shared" si="59"/>
        <v>250.43293140769993</v>
      </c>
      <c r="BH185" s="14">
        <f>BE185*31.59</f>
        <v>15429596303.169241</v>
      </c>
    </row>
    <row r="186" spans="1:60" x14ac:dyDescent="0.25">
      <c r="A186" s="3">
        <v>45808</v>
      </c>
      <c r="B186" s="4">
        <v>4406569829</v>
      </c>
      <c r="C186" s="4"/>
      <c r="D186" s="5">
        <v>233353407</v>
      </c>
      <c r="E186" s="4"/>
      <c r="N186" s="4"/>
      <c r="O186" s="4"/>
      <c r="P186" s="5">
        <v>48799</v>
      </c>
      <c r="Q186" s="4"/>
      <c r="R186" s="14">
        <f t="shared" si="60"/>
        <v>48799</v>
      </c>
      <c r="S186" s="6">
        <v>0.03</v>
      </c>
      <c r="T186" s="14">
        <f t="shared" si="61"/>
        <v>0</v>
      </c>
      <c r="U186" s="14">
        <f t="shared" si="62"/>
        <v>0</v>
      </c>
      <c r="V186" s="14">
        <f t="shared" si="63"/>
        <v>1236.57</v>
      </c>
      <c r="W186" s="14" t="str">
        <f t="shared" si="64"/>
        <v/>
      </c>
      <c r="X186" s="5">
        <v>7580</v>
      </c>
      <c r="Y186" s="4"/>
      <c r="Z186" s="4"/>
      <c r="AA186" s="14">
        <f t="shared" si="65"/>
        <v>8816.57</v>
      </c>
      <c r="AB186" s="4"/>
      <c r="AC186" s="4"/>
      <c r="AD186" s="14">
        <f t="shared" si="66"/>
        <v>0</v>
      </c>
      <c r="AE186" s="14">
        <f t="shared" si="67"/>
        <v>41219</v>
      </c>
      <c r="AF186" s="14" t="str">
        <f t="shared" si="68"/>
        <v/>
      </c>
      <c r="AG186" s="15">
        <f t="shared" si="69"/>
        <v>41219</v>
      </c>
      <c r="AH186" s="4">
        <v>2525982.7140000002</v>
      </c>
      <c r="AI186" s="17">
        <f t="shared" si="70"/>
        <v>-2484763.7140000002</v>
      </c>
      <c r="AJ186" s="7" t="str">
        <f t="shared" si="53"/>
        <v/>
      </c>
      <c r="AK186" s="7" t="str">
        <f t="shared" si="54"/>
        <v/>
      </c>
      <c r="AL186" s="7">
        <f t="shared" si="55"/>
        <v>2.091205807850065</v>
      </c>
      <c r="AM186" s="7" t="str">
        <f t="shared" si="56"/>
        <v/>
      </c>
      <c r="AN186" s="4">
        <v>16044.15872573749</v>
      </c>
      <c r="AO186" s="4">
        <v>0</v>
      </c>
      <c r="AP186" s="14">
        <f t="shared" si="71"/>
        <v>2542026.8727257377</v>
      </c>
      <c r="AQ186" s="14">
        <f t="shared" si="72"/>
        <v>2525982.7140000002</v>
      </c>
      <c r="AR186" s="8">
        <v>78478.33</v>
      </c>
      <c r="AS186" s="20">
        <v>32.187009000000003</v>
      </c>
      <c r="AT186" s="8">
        <v>23845841.949999999</v>
      </c>
      <c r="AU186" s="8">
        <v>26216.241999999998</v>
      </c>
      <c r="AV186" s="8">
        <v>2856.0965999999999</v>
      </c>
      <c r="AW186" s="8"/>
      <c r="AX186" s="9">
        <v>417.85498455743158</v>
      </c>
      <c r="AY186" s="6">
        <f t="shared" si="57"/>
        <v>2.2900117705033168E-2</v>
      </c>
      <c r="AZ186" s="8">
        <v>424031180.38730001</v>
      </c>
      <c r="BA186" s="10">
        <v>60480066</v>
      </c>
      <c r="BB186" s="11">
        <v>23845841.949999999</v>
      </c>
      <c r="BC186" s="10">
        <v>2971324</v>
      </c>
      <c r="BD186" s="10">
        <f>1000000000-999738455.0561+32715.9181</f>
        <v>294260.86199998914</v>
      </c>
      <c r="BE186" s="12">
        <f t="shared" si="58"/>
        <v>488377326.80070001</v>
      </c>
      <c r="BF186" s="13">
        <v>238</v>
      </c>
      <c r="BG186" s="13">
        <f t="shared" si="59"/>
        <v>250.37732680070002</v>
      </c>
      <c r="BH186" s="14">
        <f>BE186*33.18</f>
        <v>16204359703.247227</v>
      </c>
    </row>
    <row r="187" spans="1:60" x14ac:dyDescent="0.25">
      <c r="A187" s="3">
        <v>45809</v>
      </c>
      <c r="B187" s="4">
        <v>3705323554</v>
      </c>
      <c r="C187" s="4"/>
      <c r="D187" s="5">
        <v>194154451</v>
      </c>
      <c r="E187" s="4"/>
      <c r="N187" s="4"/>
      <c r="O187" s="4"/>
      <c r="P187" s="5">
        <v>39195</v>
      </c>
      <c r="Q187" s="4"/>
      <c r="R187" s="14">
        <f t="shared" si="60"/>
        <v>39195</v>
      </c>
      <c r="S187" s="6">
        <v>0.03</v>
      </c>
      <c r="T187" s="14">
        <f t="shared" si="61"/>
        <v>0</v>
      </c>
      <c r="U187" s="14">
        <f t="shared" si="62"/>
        <v>0</v>
      </c>
      <c r="V187" s="14">
        <f t="shared" si="63"/>
        <v>978.83999999999992</v>
      </c>
      <c r="W187" s="14" t="str">
        <f t="shared" si="64"/>
        <v/>
      </c>
      <c r="X187" s="5">
        <v>6567</v>
      </c>
      <c r="Y187" s="4"/>
      <c r="Z187" s="4"/>
      <c r="AA187" s="14">
        <f t="shared" si="65"/>
        <v>7545.84</v>
      </c>
      <c r="AB187" s="4"/>
      <c r="AC187" s="4"/>
      <c r="AD187" s="14">
        <f t="shared" si="66"/>
        <v>0</v>
      </c>
      <c r="AE187" s="14">
        <f t="shared" si="67"/>
        <v>32628</v>
      </c>
      <c r="AF187" s="14" t="str">
        <f t="shared" si="68"/>
        <v/>
      </c>
      <c r="AG187" s="15">
        <f t="shared" si="69"/>
        <v>32628</v>
      </c>
      <c r="AH187" s="4">
        <v>841842.179</v>
      </c>
      <c r="AI187" s="17">
        <f t="shared" si="70"/>
        <v>-809214.179</v>
      </c>
      <c r="AJ187" s="7" t="str">
        <f t="shared" si="53"/>
        <v/>
      </c>
      <c r="AK187" s="7" t="str">
        <f t="shared" si="54"/>
        <v/>
      </c>
      <c r="AL187" s="7">
        <f t="shared" si="55"/>
        <v>2.0187536159034543</v>
      </c>
      <c r="AM187" s="7" t="str">
        <f t="shared" si="56"/>
        <v/>
      </c>
      <c r="AN187" s="4">
        <v>11256.698511518191</v>
      </c>
      <c r="AO187" s="4">
        <v>17477.509999999998</v>
      </c>
      <c r="AP187" s="14">
        <f t="shared" si="71"/>
        <v>870576.3875115182</v>
      </c>
      <c r="AQ187" s="14">
        <f t="shared" si="72"/>
        <v>841842.179</v>
      </c>
      <c r="AR187" s="8">
        <v>25779.83</v>
      </c>
      <c r="AS187" s="20">
        <v>32.655071</v>
      </c>
      <c r="AT187" s="8">
        <v>23871621.780000001</v>
      </c>
      <c r="AU187" s="8">
        <v>26193.040700000001</v>
      </c>
      <c r="AV187" s="8">
        <v>872.68340000000001</v>
      </c>
      <c r="AW187" s="8"/>
      <c r="AX187" s="9">
        <v>417.88161360490938</v>
      </c>
      <c r="AY187" s="6">
        <f t="shared" si="57"/>
        <v>2.2878393172232361E-2</v>
      </c>
      <c r="AZ187" s="8">
        <v>424004987.34670001</v>
      </c>
      <c r="BA187" s="10">
        <v>60480066</v>
      </c>
      <c r="BB187" s="11">
        <v>23871621.780000001</v>
      </c>
      <c r="BC187" s="10">
        <v>2971324</v>
      </c>
      <c r="BD187" s="10">
        <f>1000000000-999737582.3727+33060.1071</f>
        <v>295477.73440002406</v>
      </c>
      <c r="BE187" s="12">
        <f t="shared" si="58"/>
        <v>488376523.13890004</v>
      </c>
      <c r="BF187" s="13">
        <v>238</v>
      </c>
      <c r="BG187" s="13">
        <f t="shared" si="59"/>
        <v>250.37652313890004</v>
      </c>
      <c r="BH187" s="14">
        <f>BE187*32.63</f>
        <v>15935725950.02231</v>
      </c>
    </row>
    <row r="188" spans="1:60" x14ac:dyDescent="0.25">
      <c r="A188" s="3">
        <v>45810</v>
      </c>
      <c r="B188" s="4">
        <v>6302813237</v>
      </c>
      <c r="C188" s="4"/>
      <c r="D188" s="5">
        <v>324429799</v>
      </c>
      <c r="E188" s="4"/>
      <c r="N188" s="4"/>
      <c r="O188" s="4"/>
      <c r="P188" s="5">
        <v>63756</v>
      </c>
      <c r="Q188" s="4"/>
      <c r="R188" s="14">
        <f t="shared" si="60"/>
        <v>63756</v>
      </c>
      <c r="S188" s="6">
        <v>0.03</v>
      </c>
      <c r="T188" s="14">
        <f t="shared" si="61"/>
        <v>0</v>
      </c>
      <c r="U188" s="14">
        <f t="shared" si="62"/>
        <v>0</v>
      </c>
      <c r="V188" s="14">
        <f t="shared" si="63"/>
        <v>1547.1599999999999</v>
      </c>
      <c r="W188" s="14" t="str">
        <f t="shared" si="64"/>
        <v/>
      </c>
      <c r="X188" s="5">
        <v>12184</v>
      </c>
      <c r="Y188" s="4"/>
      <c r="Z188" s="4"/>
      <c r="AA188" s="14">
        <f t="shared" si="65"/>
        <v>13731.16</v>
      </c>
      <c r="AB188" s="4"/>
      <c r="AC188" s="4"/>
      <c r="AD188" s="14">
        <f t="shared" si="66"/>
        <v>0</v>
      </c>
      <c r="AE188" s="14">
        <f t="shared" si="67"/>
        <v>51572</v>
      </c>
      <c r="AF188" s="14" t="str">
        <f t="shared" si="68"/>
        <v/>
      </c>
      <c r="AG188" s="15">
        <f t="shared" si="69"/>
        <v>51572</v>
      </c>
      <c r="AH188" s="4">
        <v>1129967.844</v>
      </c>
      <c r="AI188" s="17">
        <f t="shared" si="70"/>
        <v>-1078395.844</v>
      </c>
      <c r="AJ188" s="7" t="str">
        <f t="shared" si="53"/>
        <v/>
      </c>
      <c r="AK188" s="7" t="str">
        <f t="shared" si="54"/>
        <v/>
      </c>
      <c r="AL188" s="7">
        <f t="shared" si="55"/>
        <v>1.9651708997298365</v>
      </c>
      <c r="AM188" s="7" t="str">
        <f t="shared" si="56"/>
        <v/>
      </c>
      <c r="AN188" s="4">
        <v>24588.742660686661</v>
      </c>
      <c r="AO188" s="4">
        <v>24908.07</v>
      </c>
      <c r="AP188" s="14">
        <f t="shared" si="71"/>
        <v>1179464.6566606867</v>
      </c>
      <c r="AQ188" s="14">
        <f t="shared" si="72"/>
        <v>1129967.844</v>
      </c>
      <c r="AR188" s="8">
        <v>33459.53</v>
      </c>
      <c r="AS188" s="20">
        <v>33.771180999999999</v>
      </c>
      <c r="AT188" s="8">
        <v>23905081.309999999</v>
      </c>
      <c r="AU188" s="8">
        <v>26154.849699999999</v>
      </c>
      <c r="AV188" s="8">
        <v>1127.2508</v>
      </c>
      <c r="AW188" s="8"/>
      <c r="AX188" s="9">
        <v>417.65056442840108</v>
      </c>
      <c r="AY188" s="6">
        <f t="shared" si="57"/>
        <v>2.2857673264647493E-2</v>
      </c>
      <c r="AZ188" s="8">
        <v>423978832.49699998</v>
      </c>
      <c r="BA188" s="10">
        <v>60480066</v>
      </c>
      <c r="BB188" s="11">
        <v>23905081.309999999</v>
      </c>
      <c r="BC188" s="10">
        <v>2971324</v>
      </c>
      <c r="BD188" s="10">
        <f>1000000000-999736455.1218+33786.5101</f>
        <v>297331.38830005418</v>
      </c>
      <c r="BE188" s="12">
        <f t="shared" si="58"/>
        <v>488367364.80469996</v>
      </c>
      <c r="BF188" s="13">
        <v>238</v>
      </c>
      <c r="BG188" s="13">
        <f t="shared" si="59"/>
        <v>250.36736480469995</v>
      </c>
      <c r="BH188" s="14">
        <f>BE188*34.14</f>
        <v>16672861834.432457</v>
      </c>
    </row>
    <row r="189" spans="1:60" x14ac:dyDescent="0.25">
      <c r="A189" s="3">
        <v>45811</v>
      </c>
      <c r="B189" s="4">
        <v>7303712734</v>
      </c>
      <c r="C189" s="4"/>
      <c r="D189" s="5">
        <v>337110241</v>
      </c>
      <c r="E189" s="4"/>
      <c r="N189" s="4"/>
      <c r="O189" s="4"/>
      <c r="P189" s="5">
        <v>75516</v>
      </c>
      <c r="Q189" s="4"/>
      <c r="R189" s="14">
        <f t="shared" si="60"/>
        <v>75516</v>
      </c>
      <c r="S189" s="6">
        <v>0.03</v>
      </c>
      <c r="T189" s="14">
        <f t="shared" si="61"/>
        <v>0</v>
      </c>
      <c r="U189" s="14">
        <f t="shared" si="62"/>
        <v>0</v>
      </c>
      <c r="V189" s="14">
        <f t="shared" si="63"/>
        <v>1897.53</v>
      </c>
      <c r="W189" s="14" t="str">
        <f t="shared" si="64"/>
        <v/>
      </c>
      <c r="X189" s="5">
        <v>12265</v>
      </c>
      <c r="Y189" s="4"/>
      <c r="Z189" s="4"/>
      <c r="AA189" s="14">
        <f t="shared" si="65"/>
        <v>14162.53</v>
      </c>
      <c r="AB189" s="4"/>
      <c r="AC189" s="4"/>
      <c r="AD189" s="14">
        <f t="shared" si="66"/>
        <v>0</v>
      </c>
      <c r="AE189" s="14">
        <f t="shared" si="67"/>
        <v>63251</v>
      </c>
      <c r="AF189" s="14" t="str">
        <f t="shared" si="68"/>
        <v/>
      </c>
      <c r="AG189" s="15">
        <f t="shared" si="69"/>
        <v>63251</v>
      </c>
      <c r="AH189" s="4">
        <v>2131282.6630000002</v>
      </c>
      <c r="AI189" s="17">
        <f t="shared" si="70"/>
        <v>-2068031.6630000002</v>
      </c>
      <c r="AJ189" s="7" t="str">
        <f t="shared" si="53"/>
        <v/>
      </c>
      <c r="AK189" s="7" t="str">
        <f t="shared" si="54"/>
        <v/>
      </c>
      <c r="AL189" s="7">
        <f t="shared" si="55"/>
        <v>2.240098069284107</v>
      </c>
      <c r="AM189" s="7" t="str">
        <f t="shared" si="56"/>
        <v/>
      </c>
      <c r="AN189" s="4">
        <v>28415.57385003829</v>
      </c>
      <c r="AO189" s="4">
        <v>28339.88</v>
      </c>
      <c r="AP189" s="14">
        <f t="shared" si="71"/>
        <v>2188038.1168500385</v>
      </c>
      <c r="AQ189" s="14">
        <f t="shared" si="72"/>
        <v>2131282.6630000002</v>
      </c>
      <c r="AR189" s="8">
        <v>58331.9</v>
      </c>
      <c r="AS189" s="20">
        <v>36.537171999999998</v>
      </c>
      <c r="AT189" s="8">
        <v>23963413.210000001</v>
      </c>
      <c r="AU189" s="8">
        <v>26211.5203</v>
      </c>
      <c r="AV189" s="8">
        <v>1977.5926999999999</v>
      </c>
      <c r="AW189" s="8"/>
      <c r="AX189" s="9">
        <v>417.88451006354319</v>
      </c>
      <c r="AY189" s="6">
        <f t="shared" si="57"/>
        <v>2.2894375548988922E-2</v>
      </c>
      <c r="AZ189" s="8">
        <v>423952620.97670001</v>
      </c>
      <c r="BA189" s="10">
        <v>60480066</v>
      </c>
      <c r="BB189" s="11">
        <v>23963413.210000001</v>
      </c>
      <c r="BC189" s="10">
        <v>2971324</v>
      </c>
      <c r="BD189" s="10">
        <f>1000000000-999734477.5292+34564.6565</f>
        <v>300087.12730004214</v>
      </c>
      <c r="BE189" s="12">
        <f t="shared" si="58"/>
        <v>488332488.68599993</v>
      </c>
      <c r="BF189" s="13">
        <v>238</v>
      </c>
      <c r="BG189" s="13">
        <f t="shared" si="59"/>
        <v>250.33248868599992</v>
      </c>
      <c r="BH189" s="14">
        <f>BE189*36.68</f>
        <v>17912035685.002476</v>
      </c>
    </row>
    <row r="190" spans="1:60" x14ac:dyDescent="0.25">
      <c r="A190" s="3">
        <v>45812</v>
      </c>
      <c r="B190" s="4">
        <v>5792362513</v>
      </c>
      <c r="C190" s="4"/>
      <c r="D190" s="5">
        <v>301159683</v>
      </c>
      <c r="E190" s="4"/>
      <c r="N190" s="4"/>
      <c r="O190" s="4"/>
      <c r="P190" s="5">
        <v>65504</v>
      </c>
      <c r="Q190" s="4"/>
      <c r="R190" s="14">
        <f t="shared" si="60"/>
        <v>65504</v>
      </c>
      <c r="S190" s="6">
        <v>0.03</v>
      </c>
      <c r="T190" s="14">
        <f t="shared" si="61"/>
        <v>0</v>
      </c>
      <c r="U190" s="14">
        <f t="shared" si="62"/>
        <v>0</v>
      </c>
      <c r="V190" s="14">
        <f t="shared" si="63"/>
        <v>1667.58</v>
      </c>
      <c r="W190" s="14" t="str">
        <f t="shared" si="64"/>
        <v/>
      </c>
      <c r="X190" s="5">
        <v>9918</v>
      </c>
      <c r="Y190" s="4"/>
      <c r="Z190" s="4"/>
      <c r="AA190" s="14">
        <f t="shared" si="65"/>
        <v>11585.58</v>
      </c>
      <c r="AB190" s="4"/>
      <c r="AC190" s="4"/>
      <c r="AD190" s="14">
        <f t="shared" si="66"/>
        <v>0</v>
      </c>
      <c r="AE190" s="14">
        <f t="shared" si="67"/>
        <v>55586</v>
      </c>
      <c r="AF190" s="14" t="str">
        <f t="shared" si="68"/>
        <v/>
      </c>
      <c r="AG190" s="15">
        <f t="shared" si="69"/>
        <v>55586</v>
      </c>
      <c r="AH190" s="4">
        <v>2068043.7309999999</v>
      </c>
      <c r="AI190" s="17">
        <f t="shared" si="70"/>
        <v>-2012457.7309999999</v>
      </c>
      <c r="AJ190" s="7" t="str">
        <f t="shared" si="53"/>
        <v/>
      </c>
      <c r="AK190" s="7" t="str">
        <f t="shared" si="54"/>
        <v/>
      </c>
      <c r="AL190" s="7">
        <f t="shared" si="55"/>
        <v>2.1750587378590112</v>
      </c>
      <c r="AM190" s="7" t="str">
        <f t="shared" si="56"/>
        <v/>
      </c>
      <c r="AN190" s="4">
        <v>23947.75573152116</v>
      </c>
      <c r="AO190" s="4">
        <v>28094.61</v>
      </c>
      <c r="AP190" s="14">
        <f t="shared" si="71"/>
        <v>2120086.0967315212</v>
      </c>
      <c r="AQ190" s="14">
        <f t="shared" si="72"/>
        <v>2068043.7309999999</v>
      </c>
      <c r="AR190" s="8">
        <v>56943.92</v>
      </c>
      <c r="AS190" s="20">
        <v>36.3172</v>
      </c>
      <c r="AT190" s="8">
        <v>24020357.129999999</v>
      </c>
      <c r="AU190" s="8">
        <v>26190.014200000001</v>
      </c>
      <c r="AV190" s="8">
        <v>2037.2925</v>
      </c>
      <c r="AW190" s="8"/>
      <c r="AX190" s="9">
        <v>418.12298367387092</v>
      </c>
      <c r="AY190" s="6">
        <f t="shared" si="57"/>
        <v>2.2862544170631244E-2</v>
      </c>
      <c r="AZ190" s="8">
        <v>423926430.96249998</v>
      </c>
      <c r="BA190" s="10">
        <v>60480066</v>
      </c>
      <c r="BB190" s="11">
        <v>24020357.129999999</v>
      </c>
      <c r="BC190" s="10">
        <v>2971324</v>
      </c>
      <c r="BD190" s="10">
        <f>1000000000-999732440.2367+35231.1494</f>
        <v>302790.91269994201</v>
      </c>
      <c r="BE190" s="12">
        <f t="shared" si="58"/>
        <v>488299030.99480009</v>
      </c>
      <c r="BF190" s="13">
        <v>238</v>
      </c>
      <c r="BG190" s="13">
        <f t="shared" si="59"/>
        <v>250.29903099480009</v>
      </c>
      <c r="BH190" s="14">
        <f>BE190*35.94</f>
        <v>17549467173.953114</v>
      </c>
    </row>
    <row r="191" spans="1:60" x14ac:dyDescent="0.25">
      <c r="A191" s="3">
        <v>45813</v>
      </c>
      <c r="B191" s="4">
        <v>10473782982</v>
      </c>
      <c r="C191" s="4"/>
      <c r="D191" s="5">
        <v>426427482</v>
      </c>
      <c r="E191" s="4"/>
      <c r="N191" s="4"/>
      <c r="O191" s="4"/>
      <c r="P191" s="5">
        <v>93892</v>
      </c>
      <c r="Q191" s="4"/>
      <c r="R191" s="14">
        <f t="shared" si="60"/>
        <v>93892</v>
      </c>
      <c r="S191" s="6">
        <v>0.03</v>
      </c>
      <c r="T191" s="14">
        <f t="shared" si="61"/>
        <v>0</v>
      </c>
      <c r="U191" s="14">
        <f t="shared" si="62"/>
        <v>0</v>
      </c>
      <c r="V191" s="14">
        <f t="shared" si="63"/>
        <v>2360.73</v>
      </c>
      <c r="W191" s="14" t="str">
        <f t="shared" si="64"/>
        <v/>
      </c>
      <c r="X191" s="5">
        <v>15201</v>
      </c>
      <c r="Y191" s="4"/>
      <c r="Z191" s="4"/>
      <c r="AA191" s="14">
        <f t="shared" si="65"/>
        <v>17561.73</v>
      </c>
      <c r="AB191" s="4"/>
      <c r="AC191" s="4"/>
      <c r="AD191" s="14">
        <f t="shared" si="66"/>
        <v>0</v>
      </c>
      <c r="AE191" s="14">
        <f t="shared" si="67"/>
        <v>78691</v>
      </c>
      <c r="AF191" s="14" t="str">
        <f t="shared" si="68"/>
        <v/>
      </c>
      <c r="AG191" s="15">
        <f t="shared" si="69"/>
        <v>78691</v>
      </c>
      <c r="AH191" s="4">
        <v>1507195.6429999999</v>
      </c>
      <c r="AI191" s="17">
        <f t="shared" si="70"/>
        <v>-1428504.6429999999</v>
      </c>
      <c r="AJ191" s="7" t="str">
        <f t="shared" si="53"/>
        <v/>
      </c>
      <c r="AK191" s="7" t="str">
        <f t="shared" si="54"/>
        <v/>
      </c>
      <c r="AL191" s="7">
        <f t="shared" si="55"/>
        <v>2.2018280707339586</v>
      </c>
      <c r="AM191" s="7" t="str">
        <f t="shared" si="56"/>
        <v/>
      </c>
      <c r="AN191" s="4">
        <v>34218.45467730063</v>
      </c>
      <c r="AO191" s="4">
        <v>0</v>
      </c>
      <c r="AP191" s="14">
        <f t="shared" si="71"/>
        <v>1541414.0976773005</v>
      </c>
      <c r="AQ191" s="14">
        <f t="shared" si="72"/>
        <v>1507195.6429999999</v>
      </c>
      <c r="AR191" s="8">
        <v>44401.02</v>
      </c>
      <c r="AS191" s="20">
        <v>33.945067999999999</v>
      </c>
      <c r="AT191" s="8">
        <v>24064758.149999999</v>
      </c>
      <c r="AU191" s="8">
        <v>26188.2055</v>
      </c>
      <c r="AV191" s="8">
        <v>1896.2775999999999</v>
      </c>
      <c r="AW191" s="8"/>
      <c r="AX191" s="9">
        <v>418.77190232868139</v>
      </c>
      <c r="AY191" s="6">
        <f t="shared" si="57"/>
        <v>2.2825540477636127E-2</v>
      </c>
      <c r="AZ191" s="8">
        <v>423900242.75690001</v>
      </c>
      <c r="BA191" s="10">
        <v>60480066</v>
      </c>
      <c r="BB191" s="11">
        <v>24064758.149999999</v>
      </c>
      <c r="BC191" s="10">
        <v>2971324</v>
      </c>
      <c r="BD191" s="10">
        <f>1000000000-999730543.9591+36195.1853</f>
        <v>305651.226199992</v>
      </c>
      <c r="BE191" s="12">
        <f t="shared" si="58"/>
        <v>488277957.86689997</v>
      </c>
      <c r="BF191" s="13">
        <v>238</v>
      </c>
      <c r="BG191" s="13">
        <f t="shared" si="59"/>
        <v>250.27795786689995</v>
      </c>
      <c r="BH191" s="14">
        <f>BE191*35.34</f>
        <v>17255743031.016247</v>
      </c>
    </row>
    <row r="192" spans="1:60" x14ac:dyDescent="0.25">
      <c r="A192" s="3">
        <v>45814</v>
      </c>
      <c r="B192" s="4">
        <v>6130444266</v>
      </c>
      <c r="C192" s="4"/>
      <c r="D192" s="5">
        <v>263764756</v>
      </c>
      <c r="E192" s="4"/>
      <c r="N192" s="4"/>
      <c r="O192" s="4"/>
      <c r="P192" s="5">
        <v>59380</v>
      </c>
      <c r="Q192" s="4"/>
      <c r="R192" s="14">
        <f t="shared" si="60"/>
        <v>59380</v>
      </c>
      <c r="S192" s="6">
        <v>0.03</v>
      </c>
      <c r="T192" s="14">
        <f t="shared" si="61"/>
        <v>0</v>
      </c>
      <c r="U192" s="14">
        <f t="shared" si="62"/>
        <v>0</v>
      </c>
      <c r="V192" s="14">
        <f t="shared" si="63"/>
        <v>1420.8</v>
      </c>
      <c r="W192" s="14" t="str">
        <f t="shared" si="64"/>
        <v/>
      </c>
      <c r="X192" s="5">
        <v>12020</v>
      </c>
      <c r="Y192" s="4"/>
      <c r="Z192" s="4"/>
      <c r="AA192" s="14">
        <f t="shared" si="65"/>
        <v>13440.8</v>
      </c>
      <c r="AB192" s="4"/>
      <c r="AC192" s="4"/>
      <c r="AD192" s="14">
        <f t="shared" si="66"/>
        <v>0</v>
      </c>
      <c r="AE192" s="14">
        <f t="shared" si="67"/>
        <v>47360</v>
      </c>
      <c r="AF192" s="14" t="str">
        <f t="shared" si="68"/>
        <v/>
      </c>
      <c r="AG192" s="15">
        <f t="shared" si="69"/>
        <v>47360</v>
      </c>
      <c r="AH192" s="4">
        <v>3227629.6669999999</v>
      </c>
      <c r="AI192" s="17">
        <f t="shared" si="70"/>
        <v>-3180269.6669999999</v>
      </c>
      <c r="AJ192" s="7" t="str">
        <f t="shared" si="53"/>
        <v/>
      </c>
      <c r="AK192" s="7" t="str">
        <f t="shared" si="54"/>
        <v/>
      </c>
      <c r="AL192" s="7">
        <f t="shared" si="55"/>
        <v>2.2512484571668856</v>
      </c>
      <c r="AM192" s="7" t="str">
        <f t="shared" si="56"/>
        <v/>
      </c>
      <c r="AN192" s="4">
        <v>15010.010172662291</v>
      </c>
      <c r="AO192" s="4">
        <v>23530.7</v>
      </c>
      <c r="AP192" s="14">
        <f t="shared" si="71"/>
        <v>3266170.3771726624</v>
      </c>
      <c r="AQ192" s="14">
        <f t="shared" si="72"/>
        <v>3227629.6669999999</v>
      </c>
      <c r="AR192" s="8">
        <v>93474.94</v>
      </c>
      <c r="AS192" s="20">
        <v>34.529358000000002</v>
      </c>
      <c r="AT192" s="8">
        <v>24158233.09</v>
      </c>
      <c r="AU192" s="8">
        <v>26212.444800000001</v>
      </c>
      <c r="AV192" s="8">
        <v>1516.1552999999999</v>
      </c>
      <c r="AW192" s="8"/>
      <c r="AX192" s="9">
        <v>418.46599675780459</v>
      </c>
      <c r="AY192" s="6">
        <f t="shared" si="57"/>
        <v>2.2863368651521294E-2</v>
      </c>
      <c r="AZ192" s="8">
        <v>423874030.31220001</v>
      </c>
      <c r="BA192" s="10">
        <v>60480066</v>
      </c>
      <c r="BB192" s="11">
        <v>24158233.09</v>
      </c>
      <c r="BC192" s="10">
        <v>2971324</v>
      </c>
      <c r="BD192" s="10">
        <f>1000000000-999729027.8037+36635.6716</f>
        <v>307607.86790002976</v>
      </c>
      <c r="BE192" s="12">
        <f t="shared" si="58"/>
        <v>488208738.72989994</v>
      </c>
      <c r="BF192" s="13">
        <v>238</v>
      </c>
      <c r="BG192" s="13">
        <f t="shared" si="59"/>
        <v>250.20873872989995</v>
      </c>
      <c r="BH192" s="14">
        <f>BE192*33.98</f>
        <v>16589332942.041998</v>
      </c>
    </row>
    <row r="193" spans="1:60" x14ac:dyDescent="0.25">
      <c r="A193" s="3">
        <v>45815</v>
      </c>
      <c r="B193" s="4">
        <v>3033732963</v>
      </c>
      <c r="C193" s="4"/>
      <c r="D193" s="5">
        <v>137044111</v>
      </c>
      <c r="E193" s="4"/>
      <c r="N193" s="4"/>
      <c r="O193" s="4"/>
      <c r="P193" s="5">
        <v>30975</v>
      </c>
      <c r="Q193" s="4"/>
      <c r="R193" s="14">
        <f t="shared" si="60"/>
        <v>30975</v>
      </c>
      <c r="S193" s="6">
        <v>0.03</v>
      </c>
      <c r="T193" s="14">
        <f t="shared" si="61"/>
        <v>0</v>
      </c>
      <c r="U193" s="14">
        <f t="shared" si="62"/>
        <v>0</v>
      </c>
      <c r="V193" s="14">
        <f t="shared" si="63"/>
        <v>722.31</v>
      </c>
      <c r="W193" s="14" t="str">
        <f t="shared" si="64"/>
        <v/>
      </c>
      <c r="X193" s="5">
        <v>6898</v>
      </c>
      <c r="Y193" s="4"/>
      <c r="Z193" s="4"/>
      <c r="AA193" s="14">
        <f t="shared" si="65"/>
        <v>7620.3099999999995</v>
      </c>
      <c r="AB193" s="4"/>
      <c r="AC193" s="4"/>
      <c r="AD193" s="14">
        <f t="shared" si="66"/>
        <v>0</v>
      </c>
      <c r="AE193" s="14">
        <f t="shared" si="67"/>
        <v>24077</v>
      </c>
      <c r="AF193" s="14" t="str">
        <f t="shared" si="68"/>
        <v/>
      </c>
      <c r="AG193" s="15">
        <f t="shared" si="69"/>
        <v>24077</v>
      </c>
      <c r="AH193" s="4">
        <v>1547600.7649999999</v>
      </c>
      <c r="AI193" s="17">
        <f t="shared" si="70"/>
        <v>-1523523.7649999999</v>
      </c>
      <c r="AJ193" s="7" t="str">
        <f t="shared" si="53"/>
        <v/>
      </c>
      <c r="AK193" s="7" t="str">
        <f t="shared" si="54"/>
        <v/>
      </c>
      <c r="AL193" s="7">
        <f t="shared" si="55"/>
        <v>2.2602211633887719</v>
      </c>
      <c r="AM193" s="7" t="str">
        <f t="shared" si="56"/>
        <v/>
      </c>
      <c r="AN193" s="4">
        <v>10596.985725382559</v>
      </c>
      <c r="AO193" s="4">
        <v>19640.189999999999</v>
      </c>
      <c r="AP193" s="14">
        <f t="shared" si="71"/>
        <v>1577837.9407253824</v>
      </c>
      <c r="AQ193" s="14">
        <f t="shared" si="72"/>
        <v>1547600.7649999999</v>
      </c>
      <c r="AR193" s="8">
        <v>45268.08</v>
      </c>
      <c r="AS193" s="20">
        <v>34.187461999999996</v>
      </c>
      <c r="AT193" s="8">
        <v>24203501.170000002</v>
      </c>
      <c r="AU193" s="8">
        <v>26173.826000000001</v>
      </c>
      <c r="AV193" s="8">
        <v>1731.8133</v>
      </c>
      <c r="AW193" s="8"/>
      <c r="AX193" s="9">
        <v>418.6728600545776</v>
      </c>
      <c r="AY193" s="6">
        <f t="shared" si="57"/>
        <v>2.281840406076149E-2</v>
      </c>
      <c r="AZ193" s="8">
        <v>423847856.48619998</v>
      </c>
      <c r="BA193" s="10">
        <v>60480066</v>
      </c>
      <c r="BB193" s="11">
        <v>24203501.170000002</v>
      </c>
      <c r="BC193" s="10">
        <v>2971324</v>
      </c>
      <c r="BD193" s="10">
        <f>1000000000-999727295.9905+36955.7255</f>
        <v>309659.7350000267</v>
      </c>
      <c r="BE193" s="12">
        <f t="shared" si="58"/>
        <v>488187592.60879999</v>
      </c>
      <c r="BF193" s="13">
        <v>238</v>
      </c>
      <c r="BG193" s="13">
        <f t="shared" si="59"/>
        <v>250.1875926088</v>
      </c>
      <c r="BH193" s="14">
        <f>BE193*33.03</f>
        <v>16124836183.868664</v>
      </c>
    </row>
    <row r="194" spans="1:60" x14ac:dyDescent="0.25">
      <c r="A194" s="3">
        <v>45816</v>
      </c>
      <c r="B194" s="4">
        <v>3121700688</v>
      </c>
      <c r="C194" s="4"/>
      <c r="D194" s="5">
        <v>151362843</v>
      </c>
      <c r="E194" s="4"/>
      <c r="N194" s="4"/>
      <c r="O194" s="4"/>
      <c r="P194" s="4"/>
      <c r="Q194" s="4"/>
      <c r="R194" s="14">
        <f t="shared" si="60"/>
        <v>0</v>
      </c>
      <c r="S194" s="6">
        <v>0.03</v>
      </c>
      <c r="T194" s="14">
        <f t="shared" si="61"/>
        <v>0</v>
      </c>
      <c r="U194" s="14">
        <f t="shared" si="62"/>
        <v>0</v>
      </c>
      <c r="V194" s="14">
        <f t="shared" si="63"/>
        <v>0</v>
      </c>
      <c r="W194" s="14" t="str">
        <f t="shared" si="64"/>
        <v/>
      </c>
      <c r="X194" s="4"/>
      <c r="Y194" s="4"/>
      <c r="Z194" s="4"/>
      <c r="AA194" s="14">
        <f t="shared" si="65"/>
        <v>0</v>
      </c>
      <c r="AB194" s="4"/>
      <c r="AC194" s="4"/>
      <c r="AD194" s="14">
        <f t="shared" si="66"/>
        <v>0</v>
      </c>
      <c r="AE194" s="14">
        <f t="shared" si="67"/>
        <v>0</v>
      </c>
      <c r="AF194" s="14" t="str">
        <f t="shared" si="68"/>
        <v/>
      </c>
      <c r="AG194" s="15">
        <f t="shared" si="69"/>
        <v>0</v>
      </c>
      <c r="AH194" s="4">
        <v>795945.08940000006</v>
      </c>
      <c r="AI194" s="17">
        <f t="shared" si="70"/>
        <v>-795945.08940000006</v>
      </c>
      <c r="AJ194" s="7" t="str">
        <f t="shared" si="53"/>
        <v/>
      </c>
      <c r="AK194" s="7" t="str">
        <f t="shared" si="54"/>
        <v/>
      </c>
      <c r="AL194" s="7">
        <f t="shared" si="55"/>
        <v>0</v>
      </c>
      <c r="AM194" s="7" t="str">
        <f t="shared" si="56"/>
        <v/>
      </c>
      <c r="AN194" s="4">
        <v>12374.018905259491</v>
      </c>
      <c r="AO194" s="4">
        <v>24701.200000000001</v>
      </c>
      <c r="AP194" s="14">
        <f t="shared" si="71"/>
        <v>833020.30830525944</v>
      </c>
      <c r="AQ194" s="14">
        <f t="shared" si="72"/>
        <v>795945.08940000006</v>
      </c>
      <c r="AR194" s="8">
        <v>22402.6</v>
      </c>
      <c r="AS194" s="20">
        <v>35.529139000000001</v>
      </c>
      <c r="AT194" s="8">
        <v>24225903.77</v>
      </c>
      <c r="AU194" s="8">
        <v>26210.630700000002</v>
      </c>
      <c r="AV194" s="8">
        <v>1145.1683</v>
      </c>
      <c r="AW194" s="8"/>
      <c r="AX194" s="9">
        <v>418.62982039568408</v>
      </c>
      <c r="AY194" s="6">
        <f t="shared" si="57"/>
        <v>2.2852839762961694E-2</v>
      </c>
      <c r="AZ194" s="8">
        <v>423821645.85549998</v>
      </c>
      <c r="BA194" s="10">
        <v>60480066</v>
      </c>
      <c r="BB194" s="11">
        <v>24225903.77</v>
      </c>
      <c r="BC194" s="10">
        <v>2971324</v>
      </c>
      <c r="BD194" s="10">
        <f>1000000000-999726150.8222+37311.6178</f>
        <v>311160.79560005933</v>
      </c>
      <c r="BE194" s="12">
        <f t="shared" si="58"/>
        <v>488189899.57889998</v>
      </c>
      <c r="BF194" s="13">
        <v>238</v>
      </c>
      <c r="BG194" s="13">
        <f t="shared" si="59"/>
        <v>250.1898995789</v>
      </c>
      <c r="BH194" s="14">
        <f>BE194*34.72</f>
        <v>16949953313.379406</v>
      </c>
    </row>
    <row r="195" spans="1:60" x14ac:dyDescent="0.25">
      <c r="A195" s="3">
        <v>45817</v>
      </c>
      <c r="B195" s="4">
        <v>7946952907</v>
      </c>
      <c r="C195" s="4"/>
      <c r="D195" s="5">
        <v>359240055</v>
      </c>
      <c r="E195" s="4"/>
      <c r="N195" s="4"/>
      <c r="O195" s="4"/>
      <c r="P195" s="4"/>
      <c r="Q195" s="4"/>
      <c r="R195" s="14">
        <f t="shared" si="60"/>
        <v>0</v>
      </c>
      <c r="S195" s="6">
        <v>0.03</v>
      </c>
      <c r="T195" s="14">
        <f t="shared" si="61"/>
        <v>0</v>
      </c>
      <c r="U195" s="14">
        <f t="shared" si="62"/>
        <v>0</v>
      </c>
      <c r="V195" s="14">
        <f t="shared" si="63"/>
        <v>0</v>
      </c>
      <c r="W195" s="14" t="str">
        <f t="shared" si="64"/>
        <v/>
      </c>
      <c r="X195" s="4"/>
      <c r="Y195" s="4"/>
      <c r="Z195" s="4"/>
      <c r="AA195" s="14">
        <f t="shared" si="65"/>
        <v>0</v>
      </c>
      <c r="AB195" s="4"/>
      <c r="AC195" s="4"/>
      <c r="AD195" s="14">
        <f t="shared" si="66"/>
        <v>0</v>
      </c>
      <c r="AE195" s="14">
        <f t="shared" si="67"/>
        <v>0</v>
      </c>
      <c r="AF195" s="14" t="str">
        <f t="shared" si="68"/>
        <v/>
      </c>
      <c r="AG195" s="15">
        <f t="shared" si="69"/>
        <v>0</v>
      </c>
      <c r="AH195" s="4">
        <v>1033782.871</v>
      </c>
      <c r="AI195" s="17">
        <f t="shared" si="70"/>
        <v>-1033782.871</v>
      </c>
      <c r="AJ195" s="7" t="str">
        <f t="shared" si="53"/>
        <v/>
      </c>
      <c r="AK195" s="7" t="str">
        <f t="shared" si="54"/>
        <v/>
      </c>
      <c r="AL195" s="7">
        <f t="shared" si="55"/>
        <v>0</v>
      </c>
      <c r="AM195" s="7" t="str">
        <f t="shared" si="56"/>
        <v/>
      </c>
      <c r="AN195" s="4">
        <v>21782.408515040101</v>
      </c>
      <c r="AO195" s="4">
        <v>0</v>
      </c>
      <c r="AP195" s="14">
        <f t="shared" si="71"/>
        <v>1055565.2795150401</v>
      </c>
      <c r="AQ195" s="14">
        <f t="shared" si="72"/>
        <v>1033782.871</v>
      </c>
      <c r="AR195" s="8">
        <v>27813.55</v>
      </c>
      <c r="AS195" s="20">
        <v>37.168317999999999</v>
      </c>
      <c r="AT195" s="8">
        <v>24253717.32</v>
      </c>
      <c r="AU195" s="8">
        <v>25299.785400000001</v>
      </c>
      <c r="AV195" s="8">
        <v>1303.6524999999999</v>
      </c>
      <c r="AW195" s="8"/>
      <c r="AX195" s="9">
        <v>418.51079958854831</v>
      </c>
      <c r="AY195" s="6">
        <f t="shared" si="57"/>
        <v>2.20649543096108E-2</v>
      </c>
      <c r="AZ195" s="8">
        <v>423796346.07010001</v>
      </c>
      <c r="BA195" s="10">
        <v>60480066</v>
      </c>
      <c r="BB195" s="11">
        <v>24253717.32</v>
      </c>
      <c r="BC195" s="10">
        <v>2971324</v>
      </c>
      <c r="BD195" s="10">
        <f>1000000000-999724847.1697+37935.7556</f>
        <v>313088.58589997346</v>
      </c>
      <c r="BE195" s="12">
        <f t="shared" si="58"/>
        <v>488185458.02399999</v>
      </c>
      <c r="BF195" s="13">
        <v>238</v>
      </c>
      <c r="BG195" s="13">
        <f t="shared" si="59"/>
        <v>250.18545802400001</v>
      </c>
      <c r="BH195" s="14">
        <f>BE195*34.8</f>
        <v>16988853939.235199</v>
      </c>
    </row>
    <row r="196" spans="1:60" x14ac:dyDescent="0.25">
      <c r="A196" s="3">
        <v>45818</v>
      </c>
      <c r="B196" s="4">
        <v>8868062327</v>
      </c>
      <c r="C196" s="4"/>
      <c r="D196" s="5">
        <v>493501254</v>
      </c>
      <c r="E196" s="4"/>
      <c r="N196" s="4"/>
      <c r="O196" s="4"/>
      <c r="P196" s="5">
        <v>115467</v>
      </c>
      <c r="Q196" s="4"/>
      <c r="R196" s="14">
        <f t="shared" si="60"/>
        <v>115467</v>
      </c>
      <c r="S196" s="6">
        <v>0.03</v>
      </c>
      <c r="T196" s="14">
        <f t="shared" si="61"/>
        <v>0</v>
      </c>
      <c r="U196" s="14">
        <f t="shared" si="62"/>
        <v>0</v>
      </c>
      <c r="V196" s="14">
        <f t="shared" si="63"/>
        <v>2797.23</v>
      </c>
      <c r="W196" s="14" t="str">
        <f t="shared" si="64"/>
        <v/>
      </c>
      <c r="X196" s="5">
        <v>22226</v>
      </c>
      <c r="Y196" s="4"/>
      <c r="Z196" s="4"/>
      <c r="AA196" s="14">
        <f t="shared" si="65"/>
        <v>25023.23</v>
      </c>
      <c r="AB196" s="4"/>
      <c r="AC196" s="4"/>
      <c r="AD196" s="14">
        <f t="shared" si="66"/>
        <v>0</v>
      </c>
      <c r="AE196" s="14">
        <f t="shared" si="67"/>
        <v>93241</v>
      </c>
      <c r="AF196" s="14" t="str">
        <f t="shared" si="68"/>
        <v/>
      </c>
      <c r="AG196" s="15">
        <f t="shared" si="69"/>
        <v>93241</v>
      </c>
      <c r="AH196" s="4">
        <v>2966717.5290000001</v>
      </c>
      <c r="AI196" s="17">
        <f t="shared" si="70"/>
        <v>-2873476.5290000001</v>
      </c>
      <c r="AJ196" s="7" t="str">
        <f t="shared" ref="AJ196:AJ259" si="73">IF(OR(B196="",B196=0,N196=""),"",N196/B196*10000)</f>
        <v/>
      </c>
      <c r="AK196" s="7" t="str">
        <f t="shared" ref="AK196:AK259" si="74">IF(OR(C196="",C196=0),"",O196/C196*10000)</f>
        <v/>
      </c>
      <c r="AL196" s="7">
        <f t="shared" ref="AL196:AL259" si="75">IF(OR(D196="",D196=0),"",P196/D196*10000)</f>
        <v>2.339750893520526</v>
      </c>
      <c r="AM196" s="7" t="str">
        <f t="shared" ref="AM196:AM259" si="76">IF(OR(E196="",E196=0),"",Q196/E196*10000)</f>
        <v/>
      </c>
      <c r="AN196" s="4">
        <v>36602.412614270783</v>
      </c>
      <c r="AO196" s="4">
        <v>19441.330000000002</v>
      </c>
      <c r="AP196" s="14">
        <f t="shared" si="71"/>
        <v>3022761.2716142708</v>
      </c>
      <c r="AQ196" s="14">
        <f t="shared" si="72"/>
        <v>2966717.5290000001</v>
      </c>
      <c r="AR196" s="8">
        <v>72585.42</v>
      </c>
      <c r="AS196" s="20">
        <v>40.872086000000003</v>
      </c>
      <c r="AT196" s="8">
        <v>24326302.739999998</v>
      </c>
      <c r="AU196" s="8">
        <v>26201.0939</v>
      </c>
      <c r="AV196" s="8">
        <v>1301.1221</v>
      </c>
      <c r="AW196" s="8"/>
      <c r="AX196" s="9">
        <v>418.36467054764609</v>
      </c>
      <c r="AY196" s="6">
        <f t="shared" ref="AY196:AY259" si="77">IF(OR(AX196="",AX196=0,AU196=""),"",AU196*365/(AX196*1000000))</f>
        <v>2.2859003034317777E-2</v>
      </c>
      <c r="AZ196" s="8">
        <v>423770144.9763</v>
      </c>
      <c r="BA196" s="10">
        <v>60480066</v>
      </c>
      <c r="BB196" s="11">
        <v>24326302.739999998</v>
      </c>
      <c r="BC196" s="10">
        <v>2971324</v>
      </c>
      <c r="BD196" s="10">
        <f>1000000000-999723546.0476+38878.3151</f>
        <v>315332.26749996911</v>
      </c>
      <c r="BE196" s="12">
        <f t="shared" ref="BE196:BE259" si="78">1000000000-AZ196-BA196-BB196-BC196-BD196</f>
        <v>488136830.01620001</v>
      </c>
      <c r="BF196" s="13">
        <v>238</v>
      </c>
      <c r="BG196" s="13">
        <f t="shared" ref="BG196:BG259" si="79">BE196/1000000-BF196</f>
        <v>250.13683001620001</v>
      </c>
      <c r="BH196" s="14">
        <f>BE196*38.51</f>
        <v>18798149323.923862</v>
      </c>
    </row>
    <row r="197" spans="1:60" x14ac:dyDescent="0.25">
      <c r="A197" s="3">
        <v>45819</v>
      </c>
      <c r="B197" s="4">
        <v>8880849386</v>
      </c>
      <c r="C197" s="4"/>
      <c r="D197" s="5">
        <v>491823654</v>
      </c>
      <c r="E197" s="4"/>
      <c r="N197" s="4"/>
      <c r="O197" s="4"/>
      <c r="P197" s="5">
        <v>105920</v>
      </c>
      <c r="Q197" s="4"/>
      <c r="R197" s="14">
        <f t="shared" si="60"/>
        <v>105920</v>
      </c>
      <c r="S197" s="6">
        <v>0.03</v>
      </c>
      <c r="T197" s="14">
        <f t="shared" si="61"/>
        <v>0</v>
      </c>
      <c r="U197" s="14">
        <f t="shared" si="62"/>
        <v>0</v>
      </c>
      <c r="V197" s="14">
        <f t="shared" si="63"/>
        <v>2434.9499999999998</v>
      </c>
      <c r="W197" s="14" t="str">
        <f t="shared" si="64"/>
        <v/>
      </c>
      <c r="X197" s="5">
        <v>24755</v>
      </c>
      <c r="Y197" s="4"/>
      <c r="Z197" s="4"/>
      <c r="AA197" s="14">
        <f t="shared" si="65"/>
        <v>27189.95</v>
      </c>
      <c r="AB197" s="4"/>
      <c r="AC197" s="4"/>
      <c r="AD197" s="14">
        <f t="shared" si="66"/>
        <v>0</v>
      </c>
      <c r="AE197" s="14">
        <f t="shared" si="67"/>
        <v>81165</v>
      </c>
      <c r="AF197" s="14" t="str">
        <f t="shared" si="68"/>
        <v/>
      </c>
      <c r="AG197" s="15">
        <f t="shared" si="69"/>
        <v>81165</v>
      </c>
      <c r="AH197" s="4">
        <v>2670016.4040000001</v>
      </c>
      <c r="AI197" s="17">
        <f t="shared" si="70"/>
        <v>-2588851.4040000001</v>
      </c>
      <c r="AJ197" s="7" t="str">
        <f t="shared" si="73"/>
        <v/>
      </c>
      <c r="AK197" s="7" t="str">
        <f t="shared" si="74"/>
        <v/>
      </c>
      <c r="AL197" s="7">
        <f t="shared" si="75"/>
        <v>2.1536174427267381</v>
      </c>
      <c r="AM197" s="7" t="str">
        <f t="shared" si="76"/>
        <v/>
      </c>
      <c r="AN197" s="4">
        <v>23763.46511041922</v>
      </c>
      <c r="AO197" s="4">
        <v>0</v>
      </c>
      <c r="AP197" s="14">
        <f t="shared" si="71"/>
        <v>2693779.8691104194</v>
      </c>
      <c r="AQ197" s="14">
        <f t="shared" si="72"/>
        <v>2670016.4040000001</v>
      </c>
      <c r="AR197" s="8">
        <v>62825.88</v>
      </c>
      <c r="AS197" s="20">
        <v>42.498671000000002</v>
      </c>
      <c r="AT197" s="8">
        <v>24389128.620000001</v>
      </c>
      <c r="AU197" s="8">
        <v>26194.284599999999</v>
      </c>
      <c r="AV197" s="8">
        <v>2420.7991999999999</v>
      </c>
      <c r="AW197" s="8"/>
      <c r="AX197" s="9">
        <v>417.94889689109061</v>
      </c>
      <c r="AY197" s="6">
        <f t="shared" si="77"/>
        <v>2.2875796419415811E-2</v>
      </c>
      <c r="AZ197" s="8">
        <v>423743950.69160002</v>
      </c>
      <c r="BA197" s="10">
        <v>60480066</v>
      </c>
      <c r="BB197" s="11">
        <v>24389128.620000001</v>
      </c>
      <c r="BC197" s="10">
        <v>2971324</v>
      </c>
      <c r="BD197" s="10">
        <f>1000000000-999721125.2484+39443.466</f>
        <v>318318.2176000271</v>
      </c>
      <c r="BE197" s="12">
        <f t="shared" si="78"/>
        <v>488097212.47079986</v>
      </c>
      <c r="BF197" s="13">
        <v>238</v>
      </c>
      <c r="BG197" s="13">
        <f t="shared" si="79"/>
        <v>250.09721247079989</v>
      </c>
      <c r="BH197" s="14">
        <f>BE197*42.21</f>
        <v>20602583338.392464</v>
      </c>
    </row>
    <row r="198" spans="1:60" x14ac:dyDescent="0.25">
      <c r="A198" s="3">
        <v>45820</v>
      </c>
      <c r="B198" s="4">
        <v>9859976825</v>
      </c>
      <c r="C198" s="4"/>
      <c r="D198" s="5">
        <v>499156091</v>
      </c>
      <c r="E198" s="4"/>
      <c r="N198" s="4"/>
      <c r="O198" s="4"/>
      <c r="P198" s="5">
        <v>95479</v>
      </c>
      <c r="Q198" s="4"/>
      <c r="R198" s="14">
        <f t="shared" si="60"/>
        <v>95479</v>
      </c>
      <c r="S198" s="6">
        <v>0.03</v>
      </c>
      <c r="T198" s="14">
        <f t="shared" si="61"/>
        <v>0</v>
      </c>
      <c r="U198" s="14">
        <f t="shared" si="62"/>
        <v>0</v>
      </c>
      <c r="V198" s="14">
        <f t="shared" si="63"/>
        <v>2406.15</v>
      </c>
      <c r="W198" s="14" t="str">
        <f t="shared" si="64"/>
        <v/>
      </c>
      <c r="X198" s="5">
        <v>15274</v>
      </c>
      <c r="Y198" s="4"/>
      <c r="Z198" s="4"/>
      <c r="AA198" s="14">
        <f t="shared" si="65"/>
        <v>17680.150000000001</v>
      </c>
      <c r="AB198" s="4"/>
      <c r="AC198" s="4"/>
      <c r="AD198" s="14">
        <f t="shared" si="66"/>
        <v>0</v>
      </c>
      <c r="AE198" s="14">
        <f t="shared" si="67"/>
        <v>80205</v>
      </c>
      <c r="AF198" s="14" t="str">
        <f t="shared" si="68"/>
        <v/>
      </c>
      <c r="AG198" s="15">
        <f t="shared" si="69"/>
        <v>80205</v>
      </c>
      <c r="AH198" s="4">
        <v>2787983.18</v>
      </c>
      <c r="AI198" s="17">
        <f t="shared" si="70"/>
        <v>-2707778.18</v>
      </c>
      <c r="AJ198" s="7" t="str">
        <f t="shared" si="73"/>
        <v/>
      </c>
      <c r="AK198" s="7" t="str">
        <f t="shared" si="74"/>
        <v/>
      </c>
      <c r="AL198" s="7">
        <f t="shared" si="75"/>
        <v>1.9128084725705572</v>
      </c>
      <c r="AM198" s="7" t="str">
        <f t="shared" si="76"/>
        <v/>
      </c>
      <c r="AN198" s="4">
        <v>21543.039933742981</v>
      </c>
      <c r="AO198" s="4">
        <v>0</v>
      </c>
      <c r="AP198" s="14">
        <f t="shared" si="71"/>
        <v>2809526.2199337431</v>
      </c>
      <c r="AQ198" s="14">
        <f t="shared" si="72"/>
        <v>2787983.18</v>
      </c>
      <c r="AR198" s="8">
        <v>66551.070000000007</v>
      </c>
      <c r="AS198" s="20">
        <v>41.892386999999999</v>
      </c>
      <c r="AT198" s="8">
        <v>24455679.690000001</v>
      </c>
      <c r="AU198" s="8">
        <v>26172.677199999998</v>
      </c>
      <c r="AV198" s="8">
        <v>1573.8715</v>
      </c>
      <c r="AW198" s="8"/>
      <c r="AX198" s="9">
        <v>417.30134375970277</v>
      </c>
      <c r="AY198" s="6">
        <f t="shared" si="77"/>
        <v>2.2892394958356467E-2</v>
      </c>
      <c r="AZ198" s="8">
        <v>423717778.01440001</v>
      </c>
      <c r="BA198" s="10">
        <v>60480066</v>
      </c>
      <c r="BB198" s="11">
        <v>24455679.690000001</v>
      </c>
      <c r="BC198" s="10">
        <v>2971324</v>
      </c>
      <c r="BD198" s="10">
        <f>1000000000-999719551.3769+39965.9748</f>
        <v>320414.59790004237</v>
      </c>
      <c r="BE198" s="12">
        <f t="shared" si="78"/>
        <v>488054737.69769996</v>
      </c>
      <c r="BF198" s="13">
        <v>238</v>
      </c>
      <c r="BG198" s="13">
        <f t="shared" si="79"/>
        <v>250.05473769769998</v>
      </c>
      <c r="BH198" s="14">
        <f>BE198*41.34</f>
        <v>20176182856.422916</v>
      </c>
    </row>
    <row r="199" spans="1:60" x14ac:dyDescent="0.25">
      <c r="A199" s="3">
        <v>45821</v>
      </c>
      <c r="B199" s="4">
        <v>13286056842</v>
      </c>
      <c r="C199" s="4"/>
      <c r="D199" s="5">
        <v>642044619</v>
      </c>
      <c r="E199" s="4"/>
      <c r="N199" s="4"/>
      <c r="O199" s="4"/>
      <c r="P199" s="5">
        <v>148721</v>
      </c>
      <c r="Q199" s="4"/>
      <c r="R199" s="14">
        <f t="shared" si="60"/>
        <v>148721</v>
      </c>
      <c r="S199" s="6">
        <v>0.03</v>
      </c>
      <c r="T199" s="14">
        <f t="shared" si="61"/>
        <v>0</v>
      </c>
      <c r="U199" s="14">
        <f t="shared" si="62"/>
        <v>0</v>
      </c>
      <c r="V199" s="14">
        <f t="shared" si="63"/>
        <v>3942.21</v>
      </c>
      <c r="W199" s="14" t="str">
        <f t="shared" si="64"/>
        <v/>
      </c>
      <c r="X199" s="5">
        <v>17314</v>
      </c>
      <c r="Y199" s="4"/>
      <c r="Z199" s="4"/>
      <c r="AA199" s="14">
        <f t="shared" si="65"/>
        <v>21256.21</v>
      </c>
      <c r="AB199" s="4"/>
      <c r="AC199" s="4"/>
      <c r="AD199" s="14">
        <f t="shared" si="66"/>
        <v>0</v>
      </c>
      <c r="AE199" s="14">
        <f t="shared" si="67"/>
        <v>131407</v>
      </c>
      <c r="AF199" s="14" t="str">
        <f t="shared" si="68"/>
        <v/>
      </c>
      <c r="AG199" s="15">
        <f t="shared" si="69"/>
        <v>131407</v>
      </c>
      <c r="AH199" s="4">
        <v>4333047.9009999996</v>
      </c>
      <c r="AI199" s="17">
        <f t="shared" si="70"/>
        <v>-4201640.9009999996</v>
      </c>
      <c r="AJ199" s="7" t="str">
        <f t="shared" si="73"/>
        <v/>
      </c>
      <c r="AK199" s="7" t="str">
        <f t="shared" si="74"/>
        <v/>
      </c>
      <c r="AL199" s="7">
        <f t="shared" si="75"/>
        <v>2.3163654923490604</v>
      </c>
      <c r="AM199" s="7" t="str">
        <f t="shared" si="76"/>
        <v/>
      </c>
      <c r="AN199" s="4">
        <v>25139.009156776679</v>
      </c>
      <c r="AO199" s="4">
        <v>20463.77</v>
      </c>
      <c r="AP199" s="14">
        <f t="shared" si="71"/>
        <v>4378650.6801567758</v>
      </c>
      <c r="AQ199" s="14">
        <f t="shared" si="72"/>
        <v>4333047.9009999996</v>
      </c>
      <c r="AR199" s="8">
        <v>106831.07</v>
      </c>
      <c r="AS199" s="20">
        <v>40.559809999999999</v>
      </c>
      <c r="AT199" s="8">
        <v>24562510.760000002</v>
      </c>
      <c r="AU199" s="8">
        <v>26192.000199999999</v>
      </c>
      <c r="AV199" s="8">
        <v>1328.325</v>
      </c>
      <c r="AW199" s="8"/>
      <c r="AX199" s="9">
        <v>420.53241969885278</v>
      </c>
      <c r="AY199" s="6">
        <f t="shared" si="77"/>
        <v>2.2733277210461117E-2</v>
      </c>
      <c r="AZ199" s="8">
        <v>423691586.01419997</v>
      </c>
      <c r="BA199" s="10">
        <v>60480066</v>
      </c>
      <c r="BB199" s="11">
        <v>24562510.760000002</v>
      </c>
      <c r="BC199" s="10">
        <v>2971324</v>
      </c>
      <c r="BD199" s="10">
        <f>1000000000-999718223.0519+40617.3795</f>
        <v>322394.3275999708</v>
      </c>
      <c r="BE199" s="12">
        <f t="shared" si="78"/>
        <v>487972118.89820009</v>
      </c>
      <c r="BF199" s="13">
        <v>238</v>
      </c>
      <c r="BG199" s="13">
        <f t="shared" si="79"/>
        <v>249.97211889820011</v>
      </c>
      <c r="BH199" s="14">
        <f>BE199*39.44</f>
        <v>19245620369.345009</v>
      </c>
    </row>
    <row r="200" spans="1:60" x14ac:dyDescent="0.25">
      <c r="A200" s="3">
        <v>45822</v>
      </c>
      <c r="B200" s="4">
        <v>4490469120</v>
      </c>
      <c r="C200" s="4"/>
      <c r="D200" s="5">
        <v>223313776</v>
      </c>
      <c r="E200" s="4"/>
      <c r="N200" s="4"/>
      <c r="O200" s="4"/>
      <c r="P200" s="5">
        <v>53146</v>
      </c>
      <c r="Q200" s="4"/>
      <c r="R200" s="14">
        <f t="shared" si="60"/>
        <v>53146</v>
      </c>
      <c r="S200" s="6">
        <v>0.03</v>
      </c>
      <c r="T200" s="14">
        <f t="shared" si="61"/>
        <v>0</v>
      </c>
      <c r="U200" s="14">
        <f t="shared" si="62"/>
        <v>0</v>
      </c>
      <c r="V200" s="14">
        <f t="shared" si="63"/>
        <v>1412.3999999999999</v>
      </c>
      <c r="W200" s="14" t="str">
        <f t="shared" si="64"/>
        <v/>
      </c>
      <c r="X200" s="5">
        <v>6066</v>
      </c>
      <c r="Y200" s="4"/>
      <c r="Z200" s="4"/>
      <c r="AA200" s="14">
        <f t="shared" si="65"/>
        <v>7478.4</v>
      </c>
      <c r="AB200" s="4"/>
      <c r="AC200" s="4"/>
      <c r="AD200" s="14">
        <f t="shared" si="66"/>
        <v>0</v>
      </c>
      <c r="AE200" s="14">
        <f t="shared" si="67"/>
        <v>47080</v>
      </c>
      <c r="AF200" s="14" t="str">
        <f t="shared" si="68"/>
        <v/>
      </c>
      <c r="AG200" s="15">
        <f t="shared" si="69"/>
        <v>47080</v>
      </c>
      <c r="AH200" s="4">
        <v>2185535.1800000002</v>
      </c>
      <c r="AI200" s="17">
        <f t="shared" si="70"/>
        <v>-2138455.1800000002</v>
      </c>
      <c r="AJ200" s="7" t="str">
        <f t="shared" si="73"/>
        <v/>
      </c>
      <c r="AK200" s="7" t="str">
        <f t="shared" si="74"/>
        <v/>
      </c>
      <c r="AL200" s="7">
        <f t="shared" si="75"/>
        <v>2.3798800482420752</v>
      </c>
      <c r="AM200" s="7" t="str">
        <f t="shared" si="76"/>
        <v/>
      </c>
      <c r="AN200" s="4">
        <v>8906.4284350999933</v>
      </c>
      <c r="AO200" s="4">
        <v>34537.61</v>
      </c>
      <c r="AP200" s="14">
        <f t="shared" si="71"/>
        <v>2228979.2184350998</v>
      </c>
      <c r="AQ200" s="14">
        <f t="shared" si="72"/>
        <v>2185535.1800000002</v>
      </c>
      <c r="AR200" s="8">
        <v>53683.83</v>
      </c>
      <c r="AS200" s="20">
        <v>40.711238000000002</v>
      </c>
      <c r="AT200" s="8">
        <v>24616194.59</v>
      </c>
      <c r="AU200" s="8">
        <v>26263.484400000001</v>
      </c>
      <c r="AV200" s="8">
        <v>2718.0225</v>
      </c>
      <c r="AW200" s="8"/>
      <c r="AX200" s="9">
        <v>421.20961417798452</v>
      </c>
      <c r="AY200" s="6">
        <f t="shared" si="77"/>
        <v>2.2758672839669106E-2</v>
      </c>
      <c r="AZ200" s="8">
        <v>423665322.5298</v>
      </c>
      <c r="BA200" s="10">
        <v>60480066</v>
      </c>
      <c r="BB200" s="11">
        <v>24616194.59</v>
      </c>
      <c r="BC200" s="10">
        <v>2971324</v>
      </c>
      <c r="BD200" s="10">
        <f>1000000000-999715505.0294+40828.0529</f>
        <v>325323.02350000897</v>
      </c>
      <c r="BE200" s="12">
        <f t="shared" si="78"/>
        <v>487941769.85670006</v>
      </c>
      <c r="BF200" s="13">
        <v>238</v>
      </c>
      <c r="BG200" s="13">
        <f t="shared" si="79"/>
        <v>249.94176985670003</v>
      </c>
      <c r="BH200" s="14">
        <f>BE200*42.07</f>
        <v>20527710257.871372</v>
      </c>
    </row>
    <row r="201" spans="1:60" x14ac:dyDescent="0.25">
      <c r="A201" s="3">
        <v>45823</v>
      </c>
      <c r="B201" s="4">
        <v>4120559321</v>
      </c>
      <c r="C201" s="4"/>
      <c r="D201" s="5">
        <v>208088792</v>
      </c>
      <c r="E201" s="4"/>
      <c r="N201" s="4"/>
      <c r="O201" s="4"/>
      <c r="P201" s="5">
        <v>39647</v>
      </c>
      <c r="Q201" s="4"/>
      <c r="R201" s="14">
        <f t="shared" si="60"/>
        <v>39647</v>
      </c>
      <c r="S201" s="6">
        <v>0.03</v>
      </c>
      <c r="T201" s="14">
        <f t="shared" si="61"/>
        <v>0</v>
      </c>
      <c r="U201" s="14">
        <f t="shared" si="62"/>
        <v>0</v>
      </c>
      <c r="V201" s="14">
        <f t="shared" si="63"/>
        <v>917.76</v>
      </c>
      <c r="W201" s="14" t="str">
        <f t="shared" si="64"/>
        <v/>
      </c>
      <c r="X201" s="5">
        <v>9055</v>
      </c>
      <c r="Y201" s="4"/>
      <c r="Z201" s="4"/>
      <c r="AA201" s="14">
        <f t="shared" si="65"/>
        <v>9972.76</v>
      </c>
      <c r="AB201" s="4"/>
      <c r="AC201" s="4"/>
      <c r="AD201" s="14">
        <f t="shared" si="66"/>
        <v>0</v>
      </c>
      <c r="AE201" s="14">
        <f t="shared" si="67"/>
        <v>30592</v>
      </c>
      <c r="AF201" s="14" t="str">
        <f t="shared" si="68"/>
        <v/>
      </c>
      <c r="AG201" s="15">
        <f t="shared" si="69"/>
        <v>30592</v>
      </c>
      <c r="AH201" s="4">
        <v>1164654.0249999999</v>
      </c>
      <c r="AI201" s="17">
        <f t="shared" si="70"/>
        <v>-1134062.0249999999</v>
      </c>
      <c r="AJ201" s="7" t="str">
        <f t="shared" si="73"/>
        <v/>
      </c>
      <c r="AK201" s="7" t="str">
        <f t="shared" si="74"/>
        <v/>
      </c>
      <c r="AL201" s="7">
        <f t="shared" si="75"/>
        <v>1.9052924292049329</v>
      </c>
      <c r="AM201" s="7" t="str">
        <f t="shared" si="76"/>
        <v/>
      </c>
      <c r="AN201" s="4">
        <v>6346.0583253515333</v>
      </c>
      <c r="AO201" s="4">
        <v>0</v>
      </c>
      <c r="AP201" s="14">
        <f t="shared" si="71"/>
        <v>1171000.0833253514</v>
      </c>
      <c r="AQ201" s="14">
        <f t="shared" si="72"/>
        <v>1164654.0249999999</v>
      </c>
      <c r="AR201" s="8">
        <v>28628.23</v>
      </c>
      <c r="AS201" s="20">
        <v>40.682012999999998</v>
      </c>
      <c r="AT201" s="8">
        <v>24644822.82</v>
      </c>
      <c r="AU201" s="8">
        <v>26057.088899999999</v>
      </c>
      <c r="AV201" s="8">
        <v>1523.9619</v>
      </c>
      <c r="AW201" s="8"/>
      <c r="AX201" s="9">
        <v>421.18801374048081</v>
      </c>
      <c r="AY201" s="6">
        <f t="shared" si="77"/>
        <v>2.2580978418726312E-2</v>
      </c>
      <c r="AZ201" s="8">
        <v>423639265.44090003</v>
      </c>
      <c r="BA201" s="10">
        <v>60480066</v>
      </c>
      <c r="BB201" s="11">
        <v>24644822.82</v>
      </c>
      <c r="BC201" s="10">
        <v>2971324</v>
      </c>
      <c r="BD201" s="10">
        <f>1000000000-999713981.0676+40986.1747</f>
        <v>327005.10709998815</v>
      </c>
      <c r="BE201" s="12">
        <f t="shared" si="78"/>
        <v>487937516.63199991</v>
      </c>
      <c r="BF201" s="13">
        <v>238</v>
      </c>
      <c r="BG201" s="13">
        <f t="shared" si="79"/>
        <v>249.93751663199993</v>
      </c>
      <c r="BH201" s="14">
        <f>BE201*40.21</f>
        <v>19619967543.772717</v>
      </c>
    </row>
    <row r="202" spans="1:60" x14ac:dyDescent="0.25">
      <c r="A202" s="3">
        <v>45824</v>
      </c>
      <c r="B202" s="4">
        <v>9910445108</v>
      </c>
      <c r="C202" s="4"/>
      <c r="D202" s="5">
        <v>500000932</v>
      </c>
      <c r="E202" s="4"/>
      <c r="N202" s="4"/>
      <c r="O202" s="4"/>
      <c r="P202" s="5">
        <v>103884</v>
      </c>
      <c r="Q202" s="4"/>
      <c r="R202" s="14">
        <f t="shared" si="60"/>
        <v>103884</v>
      </c>
      <c r="S202" s="6">
        <v>0.03</v>
      </c>
      <c r="T202" s="14">
        <f t="shared" si="61"/>
        <v>0</v>
      </c>
      <c r="U202" s="14">
        <f t="shared" si="62"/>
        <v>0</v>
      </c>
      <c r="V202" s="14">
        <f t="shared" si="63"/>
        <v>2547.8399999999997</v>
      </c>
      <c r="W202" s="14" t="str">
        <f t="shared" si="64"/>
        <v/>
      </c>
      <c r="X202" s="5">
        <v>18956</v>
      </c>
      <c r="Y202" s="4"/>
      <c r="Z202" s="4"/>
      <c r="AA202" s="14">
        <f t="shared" si="65"/>
        <v>21503.84</v>
      </c>
      <c r="AB202" s="4"/>
      <c r="AC202" s="4"/>
      <c r="AD202" s="14">
        <f t="shared" si="66"/>
        <v>0</v>
      </c>
      <c r="AE202" s="14">
        <f t="shared" si="67"/>
        <v>84928</v>
      </c>
      <c r="AF202" s="14" t="str">
        <f t="shared" si="68"/>
        <v/>
      </c>
      <c r="AG202" s="15">
        <f t="shared" si="69"/>
        <v>84928</v>
      </c>
      <c r="AH202" s="4">
        <v>1387388.361</v>
      </c>
      <c r="AI202" s="17">
        <f t="shared" si="70"/>
        <v>-1302460.361</v>
      </c>
      <c r="AJ202" s="7" t="str">
        <f t="shared" si="73"/>
        <v/>
      </c>
      <c r="AK202" s="7" t="str">
        <f t="shared" si="74"/>
        <v/>
      </c>
      <c r="AL202" s="7">
        <f t="shared" si="75"/>
        <v>2.0776761272116988</v>
      </c>
      <c r="AM202" s="7" t="str">
        <f t="shared" si="76"/>
        <v/>
      </c>
      <c r="AN202" s="4">
        <v>13337.004492597171</v>
      </c>
      <c r="AO202" s="4">
        <v>43639.44</v>
      </c>
      <c r="AP202" s="14">
        <f t="shared" si="71"/>
        <v>1444364.8054925972</v>
      </c>
      <c r="AQ202" s="14">
        <f t="shared" si="72"/>
        <v>1387388.361</v>
      </c>
      <c r="AR202" s="8">
        <v>31692.79</v>
      </c>
      <c r="AS202" s="20">
        <v>43.776150999999999</v>
      </c>
      <c r="AT202" s="8">
        <v>24676515.609999999</v>
      </c>
      <c r="AU202" s="8">
        <v>26275.497899999998</v>
      </c>
      <c r="AV202" s="8">
        <v>535.3125</v>
      </c>
      <c r="AW202" s="8"/>
      <c r="AX202" s="9">
        <v>421.21892453076663</v>
      </c>
      <c r="AY202" s="6">
        <f t="shared" si="77"/>
        <v>2.2768579887961535E-2</v>
      </c>
      <c r="AZ202" s="8">
        <v>423612989.94300002</v>
      </c>
      <c r="BA202" s="10">
        <v>60480066</v>
      </c>
      <c r="BB202" s="11">
        <v>24676515.609999999</v>
      </c>
      <c r="BC202" s="10">
        <v>2971324</v>
      </c>
      <c r="BD202" s="10">
        <f>1000000000-999713445.755+41308.7453</f>
        <v>327862.99030000478</v>
      </c>
      <c r="BE202" s="12">
        <f t="shared" si="78"/>
        <v>487931241.45669991</v>
      </c>
      <c r="BF202" s="13">
        <v>238</v>
      </c>
      <c r="BG202" s="13">
        <f t="shared" si="79"/>
        <v>249.93124145669992</v>
      </c>
      <c r="BH202" s="14">
        <f>BE202*40.98</f>
        <v>19995422274.895561</v>
      </c>
    </row>
    <row r="203" spans="1:60" x14ac:dyDescent="0.25">
      <c r="A203" s="3">
        <v>45825</v>
      </c>
      <c r="B203" s="4">
        <v>11324625684</v>
      </c>
      <c r="C203" s="4"/>
      <c r="D203" s="5">
        <v>481779486</v>
      </c>
      <c r="E203" s="4"/>
      <c r="N203" s="4"/>
      <c r="O203" s="4"/>
      <c r="P203" s="5">
        <v>119116</v>
      </c>
      <c r="Q203" s="4"/>
      <c r="R203" s="14">
        <f t="shared" si="60"/>
        <v>119116</v>
      </c>
      <c r="S203" s="6">
        <v>0.03</v>
      </c>
      <c r="T203" s="14">
        <f t="shared" si="61"/>
        <v>0</v>
      </c>
      <c r="U203" s="14">
        <f t="shared" si="62"/>
        <v>0</v>
      </c>
      <c r="V203" s="14">
        <f t="shared" si="63"/>
        <v>3190.0499999999997</v>
      </c>
      <c r="W203" s="14" t="str">
        <f t="shared" si="64"/>
        <v/>
      </c>
      <c r="X203" s="5">
        <v>12781</v>
      </c>
      <c r="Y203" s="4"/>
      <c r="Z203" s="4"/>
      <c r="AA203" s="14">
        <f t="shared" si="65"/>
        <v>15971.05</v>
      </c>
      <c r="AB203" s="4"/>
      <c r="AC203" s="4"/>
      <c r="AD203" s="14">
        <f t="shared" si="66"/>
        <v>0</v>
      </c>
      <c r="AE203" s="14">
        <f t="shared" si="67"/>
        <v>106335</v>
      </c>
      <c r="AF203" s="14" t="str">
        <f t="shared" si="68"/>
        <v/>
      </c>
      <c r="AG203" s="15">
        <f t="shared" si="69"/>
        <v>106335</v>
      </c>
      <c r="AH203" s="4">
        <v>3414074.0970000001</v>
      </c>
      <c r="AI203" s="17">
        <f t="shared" si="70"/>
        <v>-3307739.0970000001</v>
      </c>
      <c r="AJ203" s="7" t="str">
        <f t="shared" si="73"/>
        <v/>
      </c>
      <c r="AK203" s="7" t="str">
        <f t="shared" si="74"/>
        <v/>
      </c>
      <c r="AL203" s="7">
        <f t="shared" si="75"/>
        <v>2.4724174328999968</v>
      </c>
      <c r="AM203" s="7" t="str">
        <f t="shared" si="76"/>
        <v/>
      </c>
      <c r="AN203" s="4">
        <v>20062.713275716251</v>
      </c>
      <c r="AO203" s="4">
        <v>0</v>
      </c>
      <c r="AP203" s="14">
        <f t="shared" si="71"/>
        <v>3434136.8102757162</v>
      </c>
      <c r="AQ203" s="14">
        <f t="shared" si="72"/>
        <v>3414074.0970000001</v>
      </c>
      <c r="AR203" s="8">
        <v>84832.16</v>
      </c>
      <c r="AS203" s="20">
        <v>40.245044999999998</v>
      </c>
      <c r="AT203" s="8">
        <v>24761347.77</v>
      </c>
      <c r="AU203" s="8">
        <v>26285.577700000002</v>
      </c>
      <c r="AV203" s="8">
        <v>2288.4005999999999</v>
      </c>
      <c r="AW203" s="8"/>
      <c r="AX203" s="9">
        <v>421.64807565495619</v>
      </c>
      <c r="AY203" s="6">
        <f t="shared" si="77"/>
        <v>2.2754131737935817E-2</v>
      </c>
      <c r="AZ203" s="8">
        <v>423586704.36540002</v>
      </c>
      <c r="BA203" s="10">
        <v>60480066</v>
      </c>
      <c r="BB203" s="11">
        <v>24761347.77</v>
      </c>
      <c r="BC203" s="10">
        <v>2971324</v>
      </c>
      <c r="BD203" s="10">
        <f>1000000000-999711157.3544+41783.344</f>
        <v>330625.98959996126</v>
      </c>
      <c r="BE203" s="12">
        <f t="shared" si="78"/>
        <v>487869931.875</v>
      </c>
      <c r="BF203" s="13">
        <v>238</v>
      </c>
      <c r="BG203" s="13">
        <f t="shared" si="79"/>
        <v>249.86993187500002</v>
      </c>
      <c r="BH203" s="14">
        <f>BE203*41.36</f>
        <v>20178300382.349998</v>
      </c>
    </row>
    <row r="204" spans="1:60" x14ac:dyDescent="0.25">
      <c r="A204" s="3">
        <v>45826</v>
      </c>
      <c r="B204" s="4">
        <v>7999530033</v>
      </c>
      <c r="C204" s="4"/>
      <c r="D204" s="5">
        <v>420606916</v>
      </c>
      <c r="E204" s="4"/>
      <c r="N204" s="4"/>
      <c r="O204" s="4"/>
      <c r="P204" s="5">
        <v>88887</v>
      </c>
      <c r="Q204" s="4"/>
      <c r="R204" s="14">
        <f t="shared" si="60"/>
        <v>88887</v>
      </c>
      <c r="S204" s="6">
        <v>0.03</v>
      </c>
      <c r="T204" s="14">
        <f t="shared" si="61"/>
        <v>0</v>
      </c>
      <c r="U204" s="14">
        <f t="shared" si="62"/>
        <v>0</v>
      </c>
      <c r="V204" s="14">
        <f t="shared" si="63"/>
        <v>2253.36</v>
      </c>
      <c r="W204" s="14" t="str">
        <f t="shared" si="64"/>
        <v/>
      </c>
      <c r="X204" s="5">
        <v>13775</v>
      </c>
      <c r="Y204" s="4"/>
      <c r="Z204" s="4"/>
      <c r="AA204" s="14">
        <f t="shared" si="65"/>
        <v>16028.36</v>
      </c>
      <c r="AB204" s="4"/>
      <c r="AC204" s="4"/>
      <c r="AD204" s="14">
        <f t="shared" si="66"/>
        <v>0</v>
      </c>
      <c r="AE204" s="14">
        <f t="shared" si="67"/>
        <v>75112</v>
      </c>
      <c r="AF204" s="14" t="str">
        <f t="shared" si="68"/>
        <v/>
      </c>
      <c r="AG204" s="15">
        <f t="shared" si="69"/>
        <v>75112</v>
      </c>
      <c r="AH204" s="4">
        <v>2621754.273</v>
      </c>
      <c r="AI204" s="17">
        <f t="shared" si="70"/>
        <v>-2546642.273</v>
      </c>
      <c r="AJ204" s="7" t="str">
        <f t="shared" si="73"/>
        <v/>
      </c>
      <c r="AK204" s="7" t="str">
        <f t="shared" si="74"/>
        <v/>
      </c>
      <c r="AL204" s="7">
        <f t="shared" si="75"/>
        <v>2.1133033390254572</v>
      </c>
      <c r="AM204" s="7" t="str">
        <f t="shared" si="76"/>
        <v/>
      </c>
      <c r="AN204" s="4">
        <v>15089.27882149544</v>
      </c>
      <c r="AO204" s="4">
        <v>28752.38</v>
      </c>
      <c r="AP204" s="14">
        <f t="shared" si="71"/>
        <v>2665595.9318214953</v>
      </c>
      <c r="AQ204" s="14">
        <f t="shared" si="72"/>
        <v>2621754.273</v>
      </c>
      <c r="AR204" s="8">
        <v>68011.240000000005</v>
      </c>
      <c r="AS204" s="20">
        <v>38.548838000000003</v>
      </c>
      <c r="AT204" s="8">
        <v>24829359.010000002</v>
      </c>
      <c r="AU204" s="8">
        <v>26255.056700000001</v>
      </c>
      <c r="AV204" s="8">
        <v>1751.8615</v>
      </c>
      <c r="AW204" s="8"/>
      <c r="AX204" s="9">
        <v>418.85565085892108</v>
      </c>
      <c r="AY204" s="6">
        <f t="shared" si="77"/>
        <v>2.2879232202904616E-2</v>
      </c>
      <c r="AZ204" s="8">
        <v>423560449.30870003</v>
      </c>
      <c r="BA204" s="10">
        <v>60480066</v>
      </c>
      <c r="BB204" s="11">
        <v>24829359.010000002</v>
      </c>
      <c r="BC204" s="10">
        <v>2971324</v>
      </c>
      <c r="BD204" s="10">
        <f>1000000000-999709405.493+42161.768</f>
        <v>332756.27499996946</v>
      </c>
      <c r="BE204" s="12">
        <f t="shared" si="78"/>
        <v>487826045.40629995</v>
      </c>
      <c r="BF204" s="13">
        <v>238</v>
      </c>
      <c r="BG204" s="13">
        <f t="shared" si="79"/>
        <v>249.82604540629995</v>
      </c>
      <c r="BH204" s="14">
        <f>BE204*39.8</f>
        <v>19415476607.170738</v>
      </c>
    </row>
    <row r="205" spans="1:60" x14ac:dyDescent="0.25">
      <c r="A205" s="3">
        <v>45827</v>
      </c>
      <c r="B205" s="4">
        <v>5309706182</v>
      </c>
      <c r="C205" s="4"/>
      <c r="D205" s="5">
        <v>309275966</v>
      </c>
      <c r="E205" s="4"/>
      <c r="N205" s="4"/>
      <c r="O205" s="4"/>
      <c r="P205" s="5">
        <v>73911</v>
      </c>
      <c r="Q205" s="4"/>
      <c r="R205" s="14">
        <f t="shared" si="60"/>
        <v>73911</v>
      </c>
      <c r="S205" s="6">
        <v>0.03</v>
      </c>
      <c r="T205" s="14">
        <f t="shared" si="61"/>
        <v>0</v>
      </c>
      <c r="U205" s="14">
        <f t="shared" si="62"/>
        <v>0</v>
      </c>
      <c r="V205" s="14">
        <f t="shared" si="63"/>
        <v>1978.56</v>
      </c>
      <c r="W205" s="14" t="str">
        <f t="shared" si="64"/>
        <v/>
      </c>
      <c r="X205" s="5">
        <v>7959</v>
      </c>
      <c r="Y205" s="4"/>
      <c r="Z205" s="4"/>
      <c r="AA205" s="14">
        <f t="shared" si="65"/>
        <v>9937.56</v>
      </c>
      <c r="AB205" s="4"/>
      <c r="AC205" s="4"/>
      <c r="AD205" s="14">
        <f t="shared" si="66"/>
        <v>0</v>
      </c>
      <c r="AE205" s="14">
        <f t="shared" si="67"/>
        <v>65952</v>
      </c>
      <c r="AF205" s="14" t="str">
        <f t="shared" si="68"/>
        <v/>
      </c>
      <c r="AG205" s="15">
        <f t="shared" si="69"/>
        <v>65952</v>
      </c>
      <c r="AH205" s="4">
        <v>2072394.6569999999</v>
      </c>
      <c r="AI205" s="17">
        <f t="shared" si="70"/>
        <v>-2006442.6569999999</v>
      </c>
      <c r="AJ205" s="7" t="str">
        <f t="shared" si="73"/>
        <v/>
      </c>
      <c r="AK205" s="7" t="str">
        <f t="shared" si="74"/>
        <v/>
      </c>
      <c r="AL205" s="7">
        <f t="shared" si="75"/>
        <v>2.389807425255928</v>
      </c>
      <c r="AM205" s="7" t="str">
        <f t="shared" si="76"/>
        <v/>
      </c>
      <c r="AN205" s="4">
        <v>18252.615334760831</v>
      </c>
      <c r="AO205" s="4">
        <v>24439.91</v>
      </c>
      <c r="AP205" s="14">
        <f t="shared" si="71"/>
        <v>2115087.1823347607</v>
      </c>
      <c r="AQ205" s="14">
        <f t="shared" si="72"/>
        <v>2072394.6569999999</v>
      </c>
      <c r="AR205" s="8">
        <v>55708.49</v>
      </c>
      <c r="AS205" s="20">
        <v>37.200696999999998</v>
      </c>
      <c r="AT205" s="8">
        <v>24885067.5</v>
      </c>
      <c r="AU205" s="8">
        <v>26211.471300000001</v>
      </c>
      <c r="AV205" s="8">
        <v>1998.2373</v>
      </c>
      <c r="AW205" s="8"/>
      <c r="AX205" s="9">
        <v>418.67039887895942</v>
      </c>
      <c r="AY205" s="6">
        <f t="shared" si="77"/>
        <v>2.2851357655371149E-2</v>
      </c>
      <c r="AZ205" s="8">
        <v>423534237.8373</v>
      </c>
      <c r="BA205" s="10">
        <v>60480066</v>
      </c>
      <c r="BB205" s="11">
        <v>24885067.5</v>
      </c>
      <c r="BC205" s="10">
        <v>2971324</v>
      </c>
      <c r="BD205" s="10">
        <f>1000000000-999707407.2557+42623.4855</f>
        <v>335216.22980000783</v>
      </c>
      <c r="BE205" s="12">
        <f t="shared" si="78"/>
        <v>487794088.43289995</v>
      </c>
      <c r="BF205" s="13">
        <v>238</v>
      </c>
      <c r="BG205" s="13">
        <f t="shared" si="79"/>
        <v>249.79408843289997</v>
      </c>
      <c r="BH205" s="14">
        <f>BE205*39.3</f>
        <v>19170307675.412968</v>
      </c>
    </row>
    <row r="206" spans="1:60" x14ac:dyDescent="0.25">
      <c r="A206" s="3">
        <v>45828</v>
      </c>
      <c r="B206" s="4">
        <v>8984765570</v>
      </c>
      <c r="C206" s="4"/>
      <c r="D206" s="5">
        <v>390870684</v>
      </c>
      <c r="E206" s="4"/>
      <c r="N206" s="4"/>
      <c r="O206" s="4"/>
      <c r="P206" s="5">
        <v>93536</v>
      </c>
      <c r="Q206" s="4"/>
      <c r="R206" s="14">
        <f t="shared" si="60"/>
        <v>93536</v>
      </c>
      <c r="S206" s="6">
        <v>0.03</v>
      </c>
      <c r="T206" s="14">
        <f t="shared" si="61"/>
        <v>0</v>
      </c>
      <c r="U206" s="14">
        <f t="shared" si="62"/>
        <v>0</v>
      </c>
      <c r="V206" s="14">
        <f t="shared" si="63"/>
        <v>2293.08</v>
      </c>
      <c r="W206" s="14" t="str">
        <f t="shared" si="64"/>
        <v/>
      </c>
      <c r="X206" s="5">
        <v>17100</v>
      </c>
      <c r="Y206" s="4"/>
      <c r="Z206" s="4"/>
      <c r="AA206" s="14">
        <f t="shared" si="65"/>
        <v>19393.080000000002</v>
      </c>
      <c r="AB206" s="4"/>
      <c r="AC206" s="4"/>
      <c r="AD206" s="14">
        <f t="shared" si="66"/>
        <v>0</v>
      </c>
      <c r="AE206" s="14">
        <f t="shared" si="67"/>
        <v>76436</v>
      </c>
      <c r="AF206" s="14" t="str">
        <f t="shared" si="68"/>
        <v/>
      </c>
      <c r="AG206" s="15">
        <f t="shared" si="69"/>
        <v>76436</v>
      </c>
      <c r="AH206" s="4">
        <v>1572540.2749999999</v>
      </c>
      <c r="AI206" s="17">
        <f t="shared" si="70"/>
        <v>-1496104.2749999999</v>
      </c>
      <c r="AJ206" s="7" t="str">
        <f t="shared" si="73"/>
        <v/>
      </c>
      <c r="AK206" s="7" t="str">
        <f t="shared" si="74"/>
        <v/>
      </c>
      <c r="AL206" s="7">
        <f t="shared" si="75"/>
        <v>2.3930165097774383</v>
      </c>
      <c r="AM206" s="7" t="str">
        <f t="shared" si="76"/>
        <v/>
      </c>
      <c r="AN206" s="4">
        <v>19860.19996333497</v>
      </c>
      <c r="AO206" s="4">
        <v>25494.400000000001</v>
      </c>
      <c r="AP206" s="14">
        <f t="shared" si="71"/>
        <v>1617894.8749633348</v>
      </c>
      <c r="AQ206" s="14">
        <f t="shared" si="72"/>
        <v>1572540.2749999999</v>
      </c>
      <c r="AR206" s="8">
        <v>46185.19</v>
      </c>
      <c r="AS206" s="20">
        <v>34.048583000000001</v>
      </c>
      <c r="AT206" s="8">
        <v>24931252.690000001</v>
      </c>
      <c r="AU206" s="8">
        <v>26182.7163</v>
      </c>
      <c r="AV206" s="8">
        <v>1736.6411000000001</v>
      </c>
      <c r="AW206" s="8"/>
      <c r="AX206" s="9">
        <v>419.66178428618417</v>
      </c>
      <c r="AY206" s="6">
        <f t="shared" si="77"/>
        <v>2.2772365288765271E-2</v>
      </c>
      <c r="AZ206" s="8">
        <v>423508055.12110001</v>
      </c>
      <c r="BA206" s="10">
        <v>60480066</v>
      </c>
      <c r="BB206" s="11">
        <v>24931252.690000001</v>
      </c>
      <c r="BC206" s="10">
        <v>2971324</v>
      </c>
      <c r="BD206" s="10">
        <f>1000000000-999705670.6146+43165.0781</f>
        <v>337494.46350005682</v>
      </c>
      <c r="BE206" s="12">
        <f t="shared" si="78"/>
        <v>487771807.72539997</v>
      </c>
      <c r="BF206" s="13">
        <v>238</v>
      </c>
      <c r="BG206" s="13">
        <f t="shared" si="79"/>
        <v>249.77180772539998</v>
      </c>
      <c r="BH206" s="14">
        <f>BE206*36.93</f>
        <v>18013412859.299023</v>
      </c>
    </row>
    <row r="207" spans="1:60" x14ac:dyDescent="0.25">
      <c r="A207" s="3">
        <v>45829</v>
      </c>
      <c r="B207" s="4">
        <v>5853561718</v>
      </c>
      <c r="C207" s="4"/>
      <c r="D207" s="5">
        <v>325856019</v>
      </c>
      <c r="E207" s="4"/>
      <c r="N207" s="4"/>
      <c r="O207" s="4"/>
      <c r="P207" s="5">
        <v>69112</v>
      </c>
      <c r="Q207" s="4"/>
      <c r="R207" s="14">
        <f t="shared" si="60"/>
        <v>69112</v>
      </c>
      <c r="S207" s="6">
        <v>0.03</v>
      </c>
      <c r="T207" s="14">
        <f t="shared" si="61"/>
        <v>0</v>
      </c>
      <c r="U207" s="14">
        <f t="shared" si="62"/>
        <v>0</v>
      </c>
      <c r="V207" s="14">
        <f t="shared" si="63"/>
        <v>1755.1799999999998</v>
      </c>
      <c r="W207" s="14" t="str">
        <f t="shared" si="64"/>
        <v/>
      </c>
      <c r="X207" s="5">
        <v>10606</v>
      </c>
      <c r="Y207" s="4"/>
      <c r="Z207" s="4"/>
      <c r="AA207" s="14">
        <f t="shared" si="65"/>
        <v>12361.18</v>
      </c>
      <c r="AB207" s="4"/>
      <c r="AC207" s="4"/>
      <c r="AD207" s="14">
        <f t="shared" si="66"/>
        <v>0</v>
      </c>
      <c r="AE207" s="14">
        <f t="shared" si="67"/>
        <v>58506</v>
      </c>
      <c r="AF207" s="14" t="str">
        <f t="shared" si="68"/>
        <v/>
      </c>
      <c r="AG207" s="15">
        <f t="shared" si="69"/>
        <v>58506</v>
      </c>
      <c r="AH207" s="4">
        <v>2062339.95</v>
      </c>
      <c r="AI207" s="17">
        <f t="shared" si="70"/>
        <v>-2003833.95</v>
      </c>
      <c r="AJ207" s="7" t="str">
        <f t="shared" si="73"/>
        <v/>
      </c>
      <c r="AK207" s="7" t="str">
        <f t="shared" si="74"/>
        <v/>
      </c>
      <c r="AL207" s="7">
        <f t="shared" si="75"/>
        <v>2.1209367318760499</v>
      </c>
      <c r="AM207" s="7" t="str">
        <f t="shared" si="76"/>
        <v/>
      </c>
      <c r="AN207" s="4">
        <v>10510.7072833123</v>
      </c>
      <c r="AO207" s="4">
        <v>26532.41</v>
      </c>
      <c r="AP207" s="14">
        <f t="shared" si="71"/>
        <v>2099383.0672833123</v>
      </c>
      <c r="AQ207" s="14">
        <f t="shared" si="72"/>
        <v>2062339.95</v>
      </c>
      <c r="AR207" s="8">
        <v>62400.26</v>
      </c>
      <c r="AS207" s="20">
        <v>33.050182</v>
      </c>
      <c r="AT207" s="8">
        <v>24993652.949999999</v>
      </c>
      <c r="AU207" s="8">
        <v>26223.749899999999</v>
      </c>
      <c r="AV207" s="8">
        <v>1975.2882999999999</v>
      </c>
      <c r="AW207" s="8"/>
      <c r="AX207" s="9">
        <v>419.08102663954782</v>
      </c>
      <c r="AY207" s="6">
        <f t="shared" si="77"/>
        <v>2.2839661318603679E-2</v>
      </c>
      <c r="AZ207" s="8">
        <v>423481831.37120003</v>
      </c>
      <c r="BA207" s="10">
        <v>60480066</v>
      </c>
      <c r="BB207" s="11">
        <v>24993652.949999999</v>
      </c>
      <c r="BC207" s="10">
        <v>2971324</v>
      </c>
      <c r="BD207" s="10">
        <f>1000000000-999703695.3263+43481.9425</f>
        <v>339786.61619997502</v>
      </c>
      <c r="BE207" s="12">
        <f t="shared" si="78"/>
        <v>487733339.06259996</v>
      </c>
      <c r="BF207" s="13">
        <v>238</v>
      </c>
      <c r="BG207" s="13">
        <f t="shared" si="79"/>
        <v>249.73333906259995</v>
      </c>
      <c r="BH207" s="14">
        <f>BE207*33.01</f>
        <v>16100077522.456423</v>
      </c>
    </row>
    <row r="208" spans="1:60" x14ac:dyDescent="0.25">
      <c r="A208" s="3">
        <v>45830</v>
      </c>
      <c r="B208" s="4">
        <v>12754870645</v>
      </c>
      <c r="C208" s="4"/>
      <c r="D208" s="5">
        <v>428910072</v>
      </c>
      <c r="E208" s="4"/>
      <c r="N208" s="4"/>
      <c r="O208" s="4"/>
      <c r="P208" s="5">
        <v>92755</v>
      </c>
      <c r="Q208" s="4"/>
      <c r="R208" s="14">
        <f t="shared" si="60"/>
        <v>92755</v>
      </c>
      <c r="S208" s="6">
        <v>0.03</v>
      </c>
      <c r="T208" s="14">
        <f t="shared" si="61"/>
        <v>0</v>
      </c>
      <c r="U208" s="14">
        <f t="shared" si="62"/>
        <v>0</v>
      </c>
      <c r="V208" s="14">
        <f t="shared" si="63"/>
        <v>2092.86</v>
      </c>
      <c r="W208" s="14" t="str">
        <f t="shared" si="64"/>
        <v/>
      </c>
      <c r="X208" s="5">
        <v>22993</v>
      </c>
      <c r="Y208" s="4"/>
      <c r="Z208" s="4"/>
      <c r="AA208" s="14">
        <f t="shared" si="65"/>
        <v>25085.86</v>
      </c>
      <c r="AB208" s="4"/>
      <c r="AC208" s="4"/>
      <c r="AD208" s="14">
        <f t="shared" si="66"/>
        <v>0</v>
      </c>
      <c r="AE208" s="14">
        <f t="shared" si="67"/>
        <v>69762</v>
      </c>
      <c r="AF208" s="14" t="str">
        <f t="shared" si="68"/>
        <v/>
      </c>
      <c r="AG208" s="15">
        <f t="shared" si="69"/>
        <v>69762</v>
      </c>
      <c r="AH208" s="4">
        <v>2243331.8569999998</v>
      </c>
      <c r="AI208" s="17">
        <f t="shared" si="70"/>
        <v>-2173569.8569999998</v>
      </c>
      <c r="AJ208" s="7" t="str">
        <f t="shared" si="73"/>
        <v/>
      </c>
      <c r="AK208" s="7" t="str">
        <f t="shared" si="74"/>
        <v/>
      </c>
      <c r="AL208" s="7">
        <f t="shared" si="75"/>
        <v>2.1625745361372628</v>
      </c>
      <c r="AM208" s="7" t="str">
        <f t="shared" si="76"/>
        <v/>
      </c>
      <c r="AN208" s="4">
        <v>13559.376667441051</v>
      </c>
      <c r="AO208" s="4">
        <v>0</v>
      </c>
      <c r="AP208" s="14">
        <f t="shared" si="71"/>
        <v>2256891.2336674407</v>
      </c>
      <c r="AQ208" s="14">
        <f t="shared" si="72"/>
        <v>2243331.8569999998</v>
      </c>
      <c r="AR208" s="8">
        <v>67413.95</v>
      </c>
      <c r="AS208" s="20">
        <v>33.276967999999997</v>
      </c>
      <c r="AT208" s="8">
        <v>25061066.899999999</v>
      </c>
      <c r="AU208" s="8">
        <v>26187.2271</v>
      </c>
      <c r="AV208" s="8">
        <v>2172.3447999999999</v>
      </c>
      <c r="AW208" s="8"/>
      <c r="AX208" s="9">
        <v>418.91430112595162</v>
      </c>
      <c r="AY208" s="6">
        <f t="shared" si="77"/>
        <v>2.2816929061168934E-2</v>
      </c>
      <c r="AZ208" s="8">
        <v>423455644.14399999</v>
      </c>
      <c r="BA208" s="10">
        <v>60480066</v>
      </c>
      <c r="BB208" s="11">
        <v>25061066.899999999</v>
      </c>
      <c r="BC208" s="10">
        <v>2971324</v>
      </c>
      <c r="BD208" s="10">
        <f>1000000000-999701522.9815+43881.488</f>
        <v>342358.50649997045</v>
      </c>
      <c r="BE208" s="12">
        <f t="shared" si="78"/>
        <v>487689540.44950002</v>
      </c>
      <c r="BF208" s="13">
        <v>238</v>
      </c>
      <c r="BG208" s="13">
        <f t="shared" si="79"/>
        <v>249.68954044950004</v>
      </c>
      <c r="BH208" s="14">
        <f>BE208*33.64</f>
        <v>16405876140.721182</v>
      </c>
    </row>
    <row r="209" spans="1:60" x14ac:dyDescent="0.25">
      <c r="A209" s="3">
        <v>45831</v>
      </c>
      <c r="B209" s="4">
        <v>13808379728</v>
      </c>
      <c r="C209" s="4"/>
      <c r="D209" s="5">
        <v>521103467</v>
      </c>
      <c r="E209" s="4"/>
      <c r="N209" s="4"/>
      <c r="O209" s="4"/>
      <c r="P209" s="5">
        <v>106972</v>
      </c>
      <c r="Q209" s="4"/>
      <c r="R209" s="14">
        <f t="shared" si="60"/>
        <v>106972</v>
      </c>
      <c r="S209" s="6">
        <v>0.03</v>
      </c>
      <c r="T209" s="14">
        <f t="shared" si="61"/>
        <v>0</v>
      </c>
      <c r="U209" s="14">
        <f t="shared" si="62"/>
        <v>0</v>
      </c>
      <c r="V209" s="14">
        <f t="shared" si="63"/>
        <v>2538.06</v>
      </c>
      <c r="W209" s="14" t="str">
        <f t="shared" si="64"/>
        <v/>
      </c>
      <c r="X209" s="5">
        <v>22370</v>
      </c>
      <c r="Y209" s="4"/>
      <c r="Z209" s="4"/>
      <c r="AA209" s="14">
        <f t="shared" si="65"/>
        <v>24908.06</v>
      </c>
      <c r="AB209" s="4"/>
      <c r="AC209" s="4"/>
      <c r="AD209" s="14">
        <f t="shared" si="66"/>
        <v>0</v>
      </c>
      <c r="AE209" s="14">
        <f t="shared" si="67"/>
        <v>84602</v>
      </c>
      <c r="AF209" s="14" t="str">
        <f t="shared" si="68"/>
        <v/>
      </c>
      <c r="AG209" s="15">
        <f t="shared" si="69"/>
        <v>84602</v>
      </c>
      <c r="AH209" s="4">
        <v>3427206.9649999999</v>
      </c>
      <c r="AI209" s="17">
        <f t="shared" si="70"/>
        <v>-3342604.9649999999</v>
      </c>
      <c r="AJ209" s="7" t="str">
        <f t="shared" si="73"/>
        <v/>
      </c>
      <c r="AK209" s="7" t="str">
        <f t="shared" si="74"/>
        <v/>
      </c>
      <c r="AL209" s="7">
        <f t="shared" si="75"/>
        <v>2.0527977028408446</v>
      </c>
      <c r="AM209" s="7" t="str">
        <f t="shared" si="76"/>
        <v/>
      </c>
      <c r="AN209" s="4">
        <v>16668.45397892479</v>
      </c>
      <c r="AO209" s="4">
        <v>24161.91</v>
      </c>
      <c r="AP209" s="14">
        <f t="shared" si="71"/>
        <v>3468037.328978925</v>
      </c>
      <c r="AQ209" s="14">
        <f t="shared" si="72"/>
        <v>3427206.9649999999</v>
      </c>
      <c r="AR209" s="8">
        <v>93856.7</v>
      </c>
      <c r="AS209" s="20">
        <v>36.515315000000001</v>
      </c>
      <c r="AT209" s="8">
        <v>25154923.600000001</v>
      </c>
      <c r="AU209" s="8">
        <v>26160.794900000001</v>
      </c>
      <c r="AV209" s="8">
        <v>1693.9611</v>
      </c>
      <c r="AW209" s="8"/>
      <c r="AX209" s="9">
        <v>418.69271921014513</v>
      </c>
      <c r="AY209" s="6">
        <f t="shared" si="77"/>
        <v>2.2805961748065262E-2</v>
      </c>
      <c r="AZ209" s="8">
        <v>423429483.34909999</v>
      </c>
      <c r="BA209" s="10">
        <v>60480066</v>
      </c>
      <c r="BB209" s="11">
        <v>25154923.600000001</v>
      </c>
      <c r="BC209" s="10">
        <v>2971324</v>
      </c>
      <c r="BD209" s="10">
        <f>1000000000-999699829.0203+44351.9097</f>
        <v>344522.88939996931</v>
      </c>
      <c r="BE209" s="12">
        <f t="shared" si="78"/>
        <v>487619680.16150004</v>
      </c>
      <c r="BF209" s="13">
        <v>238</v>
      </c>
      <c r="BG209" s="13">
        <f t="shared" si="79"/>
        <v>249.61968016150001</v>
      </c>
      <c r="BH209" s="14">
        <f>BE209*35.3</f>
        <v>17212974709.700951</v>
      </c>
    </row>
    <row r="210" spans="1:60" x14ac:dyDescent="0.25">
      <c r="A210" s="3">
        <v>45832</v>
      </c>
      <c r="B210" s="4">
        <v>7562435083</v>
      </c>
      <c r="C210" s="4"/>
      <c r="D210" s="5">
        <v>337608363</v>
      </c>
      <c r="E210" s="4"/>
      <c r="N210" s="4"/>
      <c r="O210" s="4"/>
      <c r="P210" s="5">
        <v>75574</v>
      </c>
      <c r="Q210" s="4"/>
      <c r="R210" s="14">
        <f t="shared" si="60"/>
        <v>75574</v>
      </c>
      <c r="S210" s="6">
        <v>0.03</v>
      </c>
      <c r="T210" s="14">
        <f t="shared" si="61"/>
        <v>0</v>
      </c>
      <c r="U210" s="14">
        <f t="shared" si="62"/>
        <v>0</v>
      </c>
      <c r="V210" s="14">
        <f t="shared" si="63"/>
        <v>1790.31</v>
      </c>
      <c r="W210" s="14" t="str">
        <f t="shared" si="64"/>
        <v/>
      </c>
      <c r="X210" s="5">
        <v>15897</v>
      </c>
      <c r="Y210" s="4"/>
      <c r="Z210" s="4"/>
      <c r="AA210" s="14">
        <f t="shared" si="65"/>
        <v>17687.310000000001</v>
      </c>
      <c r="AB210" s="4"/>
      <c r="AC210" s="4"/>
      <c r="AD210" s="14">
        <f t="shared" si="66"/>
        <v>0</v>
      </c>
      <c r="AE210" s="14">
        <f t="shared" si="67"/>
        <v>59677</v>
      </c>
      <c r="AF210" s="14" t="str">
        <f t="shared" si="68"/>
        <v/>
      </c>
      <c r="AG210" s="15">
        <f t="shared" si="69"/>
        <v>59677</v>
      </c>
      <c r="AH210" s="4">
        <v>4394495.5389999999</v>
      </c>
      <c r="AI210" s="17">
        <f t="shared" si="70"/>
        <v>-4334818.5389999999</v>
      </c>
      <c r="AJ210" s="7" t="str">
        <f t="shared" si="73"/>
        <v/>
      </c>
      <c r="AK210" s="7" t="str">
        <f t="shared" si="74"/>
        <v/>
      </c>
      <c r="AL210" s="7">
        <f t="shared" si="75"/>
        <v>2.238510898499277</v>
      </c>
      <c r="AM210" s="7" t="str">
        <f t="shared" si="76"/>
        <v/>
      </c>
      <c r="AN210" s="4">
        <v>6948.9654929567714</v>
      </c>
      <c r="AO210" s="4">
        <v>27719.95</v>
      </c>
      <c r="AP210" s="14">
        <f t="shared" si="71"/>
        <v>4429164.4544929564</v>
      </c>
      <c r="AQ210" s="14">
        <f t="shared" si="72"/>
        <v>4394495.5389999999</v>
      </c>
      <c r="AR210" s="8">
        <v>116998.38</v>
      </c>
      <c r="AS210" s="20">
        <v>37.560310999999999</v>
      </c>
      <c r="AT210" s="8">
        <v>25271921.98</v>
      </c>
      <c r="AU210" s="8">
        <v>26181.796200000001</v>
      </c>
      <c r="AV210" s="8">
        <v>2653.9171000000001</v>
      </c>
      <c r="AW210" s="8"/>
      <c r="AX210" s="9">
        <v>418.39978138155197</v>
      </c>
      <c r="AY210" s="6">
        <f t="shared" si="77"/>
        <v>2.2840250015057385E-2</v>
      </c>
      <c r="AZ210" s="8">
        <v>423403301.55290002</v>
      </c>
      <c r="BA210" s="10">
        <v>60480066</v>
      </c>
      <c r="BB210" s="11">
        <v>25271921.98</v>
      </c>
      <c r="BC210" s="10">
        <v>2971324</v>
      </c>
      <c r="BD210" s="10">
        <f>1000000000-999697175.1033+44537.89</f>
        <v>347362.78670002462</v>
      </c>
      <c r="BE210" s="12">
        <f t="shared" si="78"/>
        <v>487526023.68039989</v>
      </c>
      <c r="BF210" s="13">
        <v>238</v>
      </c>
      <c r="BG210" s="13">
        <f t="shared" si="79"/>
        <v>249.52602368039987</v>
      </c>
      <c r="BH210" s="14">
        <f>BE210*37.87</f>
        <v>18462610516.776741</v>
      </c>
    </row>
    <row r="211" spans="1:60" x14ac:dyDescent="0.25">
      <c r="A211" s="3">
        <v>45833</v>
      </c>
      <c r="B211" s="4">
        <v>7112711274</v>
      </c>
      <c r="C211" s="4"/>
      <c r="D211" s="5">
        <v>303321363</v>
      </c>
      <c r="E211" s="4"/>
      <c r="N211" s="4"/>
      <c r="O211" s="4"/>
      <c r="P211" s="5">
        <v>66347</v>
      </c>
      <c r="Q211" s="4"/>
      <c r="R211" s="14">
        <f t="shared" si="60"/>
        <v>66347</v>
      </c>
      <c r="S211" s="6">
        <v>0.03</v>
      </c>
      <c r="T211" s="14">
        <f t="shared" si="61"/>
        <v>0</v>
      </c>
      <c r="U211" s="14">
        <f t="shared" si="62"/>
        <v>0</v>
      </c>
      <c r="V211" s="14">
        <f t="shared" si="63"/>
        <v>1628.55</v>
      </c>
      <c r="W211" s="14" t="str">
        <f t="shared" si="64"/>
        <v/>
      </c>
      <c r="X211" s="5">
        <v>12062</v>
      </c>
      <c r="Y211" s="4"/>
      <c r="Z211" s="4"/>
      <c r="AA211" s="14">
        <f t="shared" si="65"/>
        <v>13690.55</v>
      </c>
      <c r="AB211" s="4"/>
      <c r="AC211" s="4"/>
      <c r="AD211" s="14">
        <f t="shared" si="66"/>
        <v>0</v>
      </c>
      <c r="AE211" s="14">
        <f t="shared" si="67"/>
        <v>54285</v>
      </c>
      <c r="AF211" s="14" t="str">
        <f t="shared" si="68"/>
        <v/>
      </c>
      <c r="AG211" s="15">
        <f t="shared" si="69"/>
        <v>54285</v>
      </c>
      <c r="AH211" s="4">
        <v>1849546.926</v>
      </c>
      <c r="AI211" s="17">
        <f t="shared" si="70"/>
        <v>-1795261.926</v>
      </c>
      <c r="AJ211" s="7" t="str">
        <f t="shared" si="73"/>
        <v/>
      </c>
      <c r="AK211" s="7" t="str">
        <f t="shared" si="74"/>
        <v/>
      </c>
      <c r="AL211" s="7">
        <f t="shared" si="75"/>
        <v>2.1873500548657367</v>
      </c>
      <c r="AM211" s="7" t="str">
        <f t="shared" si="76"/>
        <v/>
      </c>
      <c r="AN211" s="4">
        <v>7939.6306948021347</v>
      </c>
      <c r="AO211" s="4">
        <v>0</v>
      </c>
      <c r="AP211" s="14">
        <f t="shared" si="71"/>
        <v>1857486.5566948021</v>
      </c>
      <c r="AQ211" s="14">
        <f t="shared" si="72"/>
        <v>1849546.926</v>
      </c>
      <c r="AR211" s="8">
        <v>49011.9</v>
      </c>
      <c r="AS211" s="20">
        <v>37.736691</v>
      </c>
      <c r="AT211" s="8">
        <v>25320933.879999999</v>
      </c>
      <c r="AU211" s="8">
        <v>26205.661499999998</v>
      </c>
      <c r="AV211" s="8">
        <v>1860.9467999999999</v>
      </c>
      <c r="AW211" s="8"/>
      <c r="AX211" s="9">
        <v>420.87309263613059</v>
      </c>
      <c r="AY211" s="6">
        <f t="shared" si="77"/>
        <v>2.2726723601143965E-2</v>
      </c>
      <c r="AZ211" s="8">
        <v>423377095.89139998</v>
      </c>
      <c r="BA211" s="10">
        <v>60480066</v>
      </c>
      <c r="BB211" s="11">
        <v>25320933.879999999</v>
      </c>
      <c r="BC211" s="10">
        <v>2971324</v>
      </c>
      <c r="BD211" s="10">
        <f>1000000000-999695314.1564+44749.8452</f>
        <v>349435.6888000347</v>
      </c>
      <c r="BE211" s="12">
        <f t="shared" si="78"/>
        <v>487501144.53979999</v>
      </c>
      <c r="BF211" s="13">
        <v>238</v>
      </c>
      <c r="BG211" s="13">
        <f t="shared" si="79"/>
        <v>249.50114453980001</v>
      </c>
      <c r="BH211" s="14">
        <f>BE211*37.62</f>
        <v>18339793057.587273</v>
      </c>
    </row>
    <row r="212" spans="1:60" x14ac:dyDescent="0.25">
      <c r="A212" s="3">
        <v>45834</v>
      </c>
      <c r="B212" s="4">
        <v>6054093573</v>
      </c>
      <c r="C212" s="4"/>
      <c r="D212" s="5">
        <v>253266297</v>
      </c>
      <c r="E212" s="4"/>
      <c r="N212" s="4"/>
      <c r="O212" s="4"/>
      <c r="P212" s="5">
        <v>54006</v>
      </c>
      <c r="Q212" s="4"/>
      <c r="R212" s="14">
        <f t="shared" si="60"/>
        <v>54006</v>
      </c>
      <c r="S212" s="6">
        <v>0.03</v>
      </c>
      <c r="T212" s="14">
        <f t="shared" si="61"/>
        <v>0</v>
      </c>
      <c r="U212" s="14">
        <f t="shared" si="62"/>
        <v>0</v>
      </c>
      <c r="V212" s="14">
        <f t="shared" si="63"/>
        <v>1326.93</v>
      </c>
      <c r="W212" s="14" t="str">
        <f t="shared" si="64"/>
        <v/>
      </c>
      <c r="X212" s="5">
        <v>9775</v>
      </c>
      <c r="Y212" s="4"/>
      <c r="Z212" s="4"/>
      <c r="AA212" s="14">
        <f t="shared" si="65"/>
        <v>11101.93</v>
      </c>
      <c r="AB212" s="4"/>
      <c r="AC212" s="4"/>
      <c r="AD212" s="14">
        <f t="shared" si="66"/>
        <v>0</v>
      </c>
      <c r="AE212" s="14">
        <f t="shared" si="67"/>
        <v>44231</v>
      </c>
      <c r="AF212" s="14" t="str">
        <f t="shared" si="68"/>
        <v/>
      </c>
      <c r="AG212" s="15">
        <f t="shared" si="69"/>
        <v>44231</v>
      </c>
      <c r="AH212" s="4">
        <v>1978598.824</v>
      </c>
      <c r="AI212" s="17">
        <f t="shared" si="70"/>
        <v>-1934367.824</v>
      </c>
      <c r="AJ212" s="7" t="str">
        <f t="shared" si="73"/>
        <v/>
      </c>
      <c r="AK212" s="7" t="str">
        <f t="shared" si="74"/>
        <v/>
      </c>
      <c r="AL212" s="7">
        <f t="shared" si="75"/>
        <v>2.132380053710818</v>
      </c>
      <c r="AM212" s="7" t="str">
        <f t="shared" si="76"/>
        <v/>
      </c>
      <c r="AN212" s="4">
        <v>8495.8462185784247</v>
      </c>
      <c r="AO212" s="4">
        <v>18538.810000000001</v>
      </c>
      <c r="AP212" s="14">
        <f t="shared" si="71"/>
        <v>2005633.4802185786</v>
      </c>
      <c r="AQ212" s="14">
        <f t="shared" si="72"/>
        <v>1978598.824</v>
      </c>
      <c r="AR212" s="8">
        <v>53218.85</v>
      </c>
      <c r="AS212" s="20">
        <v>37.178533999999999</v>
      </c>
      <c r="AT212" s="8">
        <v>25374152.73</v>
      </c>
      <c r="AU212" s="8">
        <v>26264.077000000001</v>
      </c>
      <c r="AV212" s="8">
        <v>931.25720000000001</v>
      </c>
      <c r="AW212" s="8"/>
      <c r="AX212" s="9">
        <v>420.82562600741261</v>
      </c>
      <c r="AY212" s="6">
        <f t="shared" si="77"/>
        <v>2.27799532931275E-2</v>
      </c>
      <c r="AZ212" s="8">
        <v>423350831.81440002</v>
      </c>
      <c r="BA212" s="10">
        <v>60480066</v>
      </c>
      <c r="BB212" s="11">
        <v>25374152.73</v>
      </c>
      <c r="BC212" s="10">
        <v>2971324</v>
      </c>
      <c r="BD212" s="10">
        <f>1000000000-999694382.8992+44979.6863</f>
        <v>350596.78710003739</v>
      </c>
      <c r="BE212" s="12">
        <f t="shared" si="78"/>
        <v>487473028.66850001</v>
      </c>
      <c r="BF212" s="13">
        <v>238</v>
      </c>
      <c r="BG212" s="13">
        <f t="shared" si="79"/>
        <v>249.47302866849998</v>
      </c>
      <c r="BH212" s="14">
        <f>BE212*37.11</f>
        <v>18090124093.888035</v>
      </c>
    </row>
    <row r="213" spans="1:60" x14ac:dyDescent="0.25">
      <c r="A213" s="3">
        <v>45835</v>
      </c>
      <c r="B213" s="4">
        <v>5468496334</v>
      </c>
      <c r="C213" s="4"/>
      <c r="D213" s="5">
        <v>170980501</v>
      </c>
      <c r="E213" s="4"/>
      <c r="N213" s="4"/>
      <c r="O213" s="4"/>
      <c r="P213" s="5">
        <v>37448</v>
      </c>
      <c r="Q213" s="4"/>
      <c r="R213" s="14">
        <f t="shared" si="60"/>
        <v>37448</v>
      </c>
      <c r="S213" s="6">
        <v>0.03</v>
      </c>
      <c r="T213" s="14">
        <f t="shared" si="61"/>
        <v>0</v>
      </c>
      <c r="U213" s="14">
        <f t="shared" si="62"/>
        <v>0</v>
      </c>
      <c r="V213" s="14">
        <f t="shared" si="63"/>
        <v>952.98</v>
      </c>
      <c r="W213" s="14" t="str">
        <f t="shared" si="64"/>
        <v/>
      </c>
      <c r="X213" s="5">
        <v>5682</v>
      </c>
      <c r="Y213" s="4"/>
      <c r="Z213" s="4"/>
      <c r="AA213" s="14">
        <f t="shared" si="65"/>
        <v>6634.98</v>
      </c>
      <c r="AB213" s="4"/>
      <c r="AC213" s="4"/>
      <c r="AD213" s="14">
        <f t="shared" si="66"/>
        <v>0</v>
      </c>
      <c r="AE213" s="14">
        <f t="shared" si="67"/>
        <v>31766</v>
      </c>
      <c r="AF213" s="14" t="str">
        <f t="shared" si="68"/>
        <v/>
      </c>
      <c r="AG213" s="15">
        <f t="shared" si="69"/>
        <v>31766</v>
      </c>
      <c r="AH213" s="4">
        <v>1815313.983</v>
      </c>
      <c r="AI213" s="17">
        <f t="shared" si="70"/>
        <v>-1783547.983</v>
      </c>
      <c r="AJ213" s="7" t="str">
        <f t="shared" si="73"/>
        <v/>
      </c>
      <c r="AK213" s="7" t="str">
        <f t="shared" si="74"/>
        <v/>
      </c>
      <c r="AL213" s="7">
        <f t="shared" si="75"/>
        <v>2.1901912663128762</v>
      </c>
      <c r="AM213" s="7" t="str">
        <f t="shared" si="76"/>
        <v/>
      </c>
      <c r="AN213" s="4">
        <v>4007.8532101492078</v>
      </c>
      <c r="AO213" s="4">
        <v>0</v>
      </c>
      <c r="AP213" s="14">
        <f t="shared" si="71"/>
        <v>1819321.8362101491</v>
      </c>
      <c r="AQ213" s="14">
        <f t="shared" si="72"/>
        <v>1815313.983</v>
      </c>
      <c r="AR213" s="8">
        <v>49767.76</v>
      </c>
      <c r="AS213" s="20">
        <v>36.475701999999998</v>
      </c>
      <c r="AT213" s="8">
        <v>25423920.489999998</v>
      </c>
      <c r="AU213" s="8">
        <v>26235.3685</v>
      </c>
      <c r="AV213" s="8">
        <v>1348.0803000000001</v>
      </c>
      <c r="AW213" s="8"/>
      <c r="AX213" s="9">
        <v>421.06945566359309</v>
      </c>
      <c r="AY213" s="6">
        <f t="shared" si="77"/>
        <v>2.2741876366711631E-2</v>
      </c>
      <c r="AZ213" s="8">
        <v>423324596.44590002</v>
      </c>
      <c r="BA213" s="10">
        <v>60480066</v>
      </c>
      <c r="BB213" s="11">
        <v>25423920.489999998</v>
      </c>
      <c r="BC213" s="10">
        <v>2971324</v>
      </c>
      <c r="BD213" s="10">
        <f>1000000000-999693034.8189+45091.472</f>
        <v>352056.65310001088</v>
      </c>
      <c r="BE213" s="12">
        <f t="shared" si="78"/>
        <v>487448036.41100001</v>
      </c>
      <c r="BF213" s="13">
        <v>238</v>
      </c>
      <c r="BG213" s="13">
        <f t="shared" si="79"/>
        <v>249.44803641100003</v>
      </c>
      <c r="BH213" s="14">
        <f>BE213*35.7</f>
        <v>17401894899.872704</v>
      </c>
    </row>
    <row r="214" spans="1:60" x14ac:dyDescent="0.25">
      <c r="A214" s="3">
        <v>45836</v>
      </c>
      <c r="B214" s="4">
        <v>2029915380</v>
      </c>
      <c r="C214" s="4"/>
      <c r="D214" s="5">
        <v>127382868</v>
      </c>
      <c r="E214" s="4"/>
      <c r="N214" s="4"/>
      <c r="O214" s="4"/>
      <c r="P214" s="5">
        <v>28957</v>
      </c>
      <c r="Q214" s="4"/>
      <c r="R214" s="14">
        <f t="shared" si="60"/>
        <v>28957</v>
      </c>
      <c r="S214" s="6">
        <v>0.03</v>
      </c>
      <c r="T214" s="14">
        <f t="shared" si="61"/>
        <v>0</v>
      </c>
      <c r="U214" s="14">
        <f t="shared" si="62"/>
        <v>0</v>
      </c>
      <c r="V214" s="14">
        <f t="shared" si="63"/>
        <v>659.79</v>
      </c>
      <c r="W214" s="14" t="str">
        <f t="shared" si="64"/>
        <v/>
      </c>
      <c r="X214" s="5">
        <v>6964</v>
      </c>
      <c r="Y214" s="4"/>
      <c r="Z214" s="4"/>
      <c r="AA214" s="14">
        <f t="shared" si="65"/>
        <v>7623.79</v>
      </c>
      <c r="AB214" s="4"/>
      <c r="AC214" s="4"/>
      <c r="AD214" s="14">
        <f t="shared" si="66"/>
        <v>0</v>
      </c>
      <c r="AE214" s="14">
        <f t="shared" si="67"/>
        <v>21993</v>
      </c>
      <c r="AF214" s="14" t="str">
        <f t="shared" si="68"/>
        <v/>
      </c>
      <c r="AG214" s="15">
        <f t="shared" si="69"/>
        <v>21993</v>
      </c>
      <c r="AH214" s="4">
        <v>1203337.358</v>
      </c>
      <c r="AI214" s="17">
        <f t="shared" si="70"/>
        <v>-1181344.358</v>
      </c>
      <c r="AJ214" s="7" t="str">
        <f t="shared" si="73"/>
        <v/>
      </c>
      <c r="AK214" s="7" t="str">
        <f t="shared" si="74"/>
        <v/>
      </c>
      <c r="AL214" s="7">
        <f t="shared" si="75"/>
        <v>2.2732256271698952</v>
      </c>
      <c r="AM214" s="7" t="str">
        <f t="shared" si="76"/>
        <v/>
      </c>
      <c r="AN214" s="4">
        <v>3740.0896858945471</v>
      </c>
      <c r="AO214" s="4">
        <v>18249.91</v>
      </c>
      <c r="AP214" s="14">
        <f t="shared" si="71"/>
        <v>1225327.3576858945</v>
      </c>
      <c r="AQ214" s="14">
        <f t="shared" si="72"/>
        <v>1203337.358</v>
      </c>
      <c r="AR214" s="8">
        <v>32517.99</v>
      </c>
      <c r="AS214" s="20">
        <v>37.005280999999997</v>
      </c>
      <c r="AT214" s="8">
        <v>25456438.48</v>
      </c>
      <c r="AU214" s="8">
        <v>26271.319599999999</v>
      </c>
      <c r="AV214" s="8">
        <v>599.82860000000005</v>
      </c>
      <c r="AW214" s="8"/>
      <c r="AX214" s="9">
        <v>421.21151366178577</v>
      </c>
      <c r="AY214" s="6">
        <f t="shared" si="77"/>
        <v>2.2765359784774467E-2</v>
      </c>
      <c r="AZ214" s="8">
        <v>423298325.12620002</v>
      </c>
      <c r="BA214" s="10">
        <v>60480066</v>
      </c>
      <c r="BB214" s="11">
        <v>25456438.48</v>
      </c>
      <c r="BC214" s="10">
        <v>2971324</v>
      </c>
      <c r="BD214" s="10">
        <f>1000000000-999692434.9903+45193.8</f>
        <v>352758.80969994067</v>
      </c>
      <c r="BE214" s="12">
        <f t="shared" si="78"/>
        <v>487441087.58410007</v>
      </c>
      <c r="BF214" s="13">
        <v>238</v>
      </c>
      <c r="BG214" s="13">
        <f t="shared" si="79"/>
        <v>249.44108758410005</v>
      </c>
      <c r="BH214" s="14">
        <f>BE214*36.35</f>
        <v>17718483533.682037</v>
      </c>
    </row>
    <row r="215" spans="1:60" x14ac:dyDescent="0.25">
      <c r="A215" s="3">
        <v>45837</v>
      </c>
      <c r="B215" s="4">
        <v>3690353142</v>
      </c>
      <c r="C215" s="4"/>
      <c r="D215" s="5">
        <v>199996202</v>
      </c>
      <c r="E215" s="4"/>
      <c r="N215" s="4"/>
      <c r="O215" s="4"/>
      <c r="P215" s="5">
        <v>47224</v>
      </c>
      <c r="Q215" s="4"/>
      <c r="R215" s="14">
        <f t="shared" si="60"/>
        <v>47224</v>
      </c>
      <c r="S215" s="6">
        <v>0.03</v>
      </c>
      <c r="T215" s="14">
        <f t="shared" si="61"/>
        <v>0</v>
      </c>
      <c r="U215" s="14">
        <f t="shared" si="62"/>
        <v>0</v>
      </c>
      <c r="V215" s="14">
        <f t="shared" si="63"/>
        <v>1078.1399999999999</v>
      </c>
      <c r="W215" s="14" t="str">
        <f t="shared" si="64"/>
        <v/>
      </c>
      <c r="X215" s="5">
        <v>11286</v>
      </c>
      <c r="Y215" s="4"/>
      <c r="Z215" s="4"/>
      <c r="AA215" s="14">
        <f t="shared" si="65"/>
        <v>12364.14</v>
      </c>
      <c r="AB215" s="4"/>
      <c r="AC215" s="4"/>
      <c r="AD215" s="14">
        <f t="shared" si="66"/>
        <v>0</v>
      </c>
      <c r="AE215" s="14">
        <f t="shared" si="67"/>
        <v>35938</v>
      </c>
      <c r="AF215" s="14" t="str">
        <f t="shared" si="68"/>
        <v/>
      </c>
      <c r="AG215" s="15">
        <f t="shared" si="69"/>
        <v>35938</v>
      </c>
      <c r="AH215" s="4">
        <v>542414.03830000001</v>
      </c>
      <c r="AI215" s="17">
        <f t="shared" si="70"/>
        <v>-506476.03830000001</v>
      </c>
      <c r="AJ215" s="7" t="str">
        <f t="shared" si="73"/>
        <v/>
      </c>
      <c r="AK215" s="7" t="str">
        <f t="shared" si="74"/>
        <v/>
      </c>
      <c r="AL215" s="7">
        <f t="shared" si="75"/>
        <v>2.3612448400395123</v>
      </c>
      <c r="AM215" s="7" t="str">
        <f t="shared" si="76"/>
        <v/>
      </c>
      <c r="AN215" s="4">
        <v>3387.6038641840651</v>
      </c>
      <c r="AO215" s="4">
        <v>0</v>
      </c>
      <c r="AP215" s="14">
        <f t="shared" si="71"/>
        <v>545801.64216418413</v>
      </c>
      <c r="AQ215" s="14">
        <f t="shared" si="72"/>
        <v>542414.03830000001</v>
      </c>
      <c r="AR215" s="8">
        <v>14116.47</v>
      </c>
      <c r="AS215" s="20">
        <v>38.424197999999997</v>
      </c>
      <c r="AT215" s="8">
        <v>25470554.949999999</v>
      </c>
      <c r="AU215" s="8">
        <v>26095.91</v>
      </c>
      <c r="AV215" s="8">
        <v>873.94479999999999</v>
      </c>
      <c r="AW215" s="8"/>
      <c r="AX215" s="9">
        <v>421.96844788573361</v>
      </c>
      <c r="AY215" s="6">
        <f t="shared" si="77"/>
        <v>2.2572794714213591E-2</v>
      </c>
      <c r="AZ215" s="8">
        <v>423272229.21619999</v>
      </c>
      <c r="BA215" s="10">
        <v>60480066</v>
      </c>
      <c r="BB215" s="11">
        <v>25470554.949999999</v>
      </c>
      <c r="BC215" s="10">
        <v>2971324</v>
      </c>
      <c r="BD215" s="10">
        <f>1000000000-999691561.0455+45283.4904</f>
        <v>353722.44489995996</v>
      </c>
      <c r="BE215" s="12">
        <f t="shared" si="78"/>
        <v>487452103.38890004</v>
      </c>
      <c r="BF215" s="13">
        <v>238</v>
      </c>
      <c r="BG215" s="13">
        <f t="shared" si="79"/>
        <v>249.45210338890001</v>
      </c>
      <c r="BH215" s="14">
        <f>BE215*37.73</f>
        <v>18391567860.863197</v>
      </c>
    </row>
    <row r="216" spans="1:60" x14ac:dyDescent="0.25">
      <c r="A216" s="3">
        <v>45838</v>
      </c>
      <c r="B216" s="4">
        <v>6117167590</v>
      </c>
      <c r="C216" s="4"/>
      <c r="D216" s="5">
        <v>277804580</v>
      </c>
      <c r="E216" s="4"/>
      <c r="N216" s="4"/>
      <c r="O216" s="4"/>
      <c r="P216" s="5">
        <v>60735</v>
      </c>
      <c r="Q216" s="4"/>
      <c r="R216" s="14">
        <f t="shared" si="60"/>
        <v>60735</v>
      </c>
      <c r="S216" s="6">
        <v>0.03</v>
      </c>
      <c r="T216" s="14">
        <f t="shared" si="61"/>
        <v>0</v>
      </c>
      <c r="U216" s="14">
        <f t="shared" si="62"/>
        <v>0</v>
      </c>
      <c r="V216" s="14">
        <f t="shared" si="63"/>
        <v>1517.9099999999999</v>
      </c>
      <c r="W216" s="14" t="str">
        <f t="shared" si="64"/>
        <v/>
      </c>
      <c r="X216" s="5">
        <v>10138</v>
      </c>
      <c r="Y216" s="4"/>
      <c r="Z216" s="4"/>
      <c r="AA216" s="14">
        <f t="shared" si="65"/>
        <v>11655.91</v>
      </c>
      <c r="AB216" s="4"/>
      <c r="AC216" s="4"/>
      <c r="AD216" s="14">
        <f t="shared" si="66"/>
        <v>0</v>
      </c>
      <c r="AE216" s="14">
        <f t="shared" si="67"/>
        <v>50597</v>
      </c>
      <c r="AF216" s="14" t="str">
        <f t="shared" si="68"/>
        <v/>
      </c>
      <c r="AG216" s="15">
        <f t="shared" si="69"/>
        <v>50597</v>
      </c>
      <c r="AH216" s="4">
        <v>1536144.182</v>
      </c>
      <c r="AI216" s="17">
        <f t="shared" si="70"/>
        <v>-1485547.182</v>
      </c>
      <c r="AJ216" s="7" t="str">
        <f t="shared" si="73"/>
        <v/>
      </c>
      <c r="AK216" s="7" t="str">
        <f t="shared" si="74"/>
        <v/>
      </c>
      <c r="AL216" s="7">
        <f t="shared" si="75"/>
        <v>2.186249053201355</v>
      </c>
      <c r="AM216" s="7" t="str">
        <f t="shared" si="76"/>
        <v/>
      </c>
      <c r="AN216" s="4">
        <v>38958.545577613899</v>
      </c>
      <c r="AO216" s="4">
        <v>0</v>
      </c>
      <c r="AP216" s="14">
        <f t="shared" si="71"/>
        <v>1575102.7275776139</v>
      </c>
      <c r="AQ216" s="14">
        <f t="shared" si="72"/>
        <v>1536144.182</v>
      </c>
      <c r="AR216" s="8">
        <v>38320.67</v>
      </c>
      <c r="AS216" s="20">
        <v>40.086568999999997</v>
      </c>
      <c r="AT216" s="8">
        <v>25508875.620000001</v>
      </c>
      <c r="AU216" s="8">
        <v>26277.925299999999</v>
      </c>
      <c r="AV216" s="8">
        <v>649.60429999999997</v>
      </c>
      <c r="AW216" s="8"/>
      <c r="AX216" s="9">
        <v>422.07136094342712</v>
      </c>
      <c r="AY216" s="6">
        <f t="shared" si="77"/>
        <v>2.2724694499671589E-2</v>
      </c>
      <c r="AZ216" s="8">
        <v>423245951.29100001</v>
      </c>
      <c r="BA216" s="10">
        <v>60480066</v>
      </c>
      <c r="BB216" s="11">
        <v>25508875.620000001</v>
      </c>
      <c r="BC216" s="10">
        <v>2971324</v>
      </c>
      <c r="BD216" s="10">
        <f>1000000000-999690911.4412+46263.4563</f>
        <v>355352.01509998209</v>
      </c>
      <c r="BE216" s="12">
        <f t="shared" si="78"/>
        <v>487438431.07389998</v>
      </c>
      <c r="BF216" s="13">
        <v>238</v>
      </c>
      <c r="BG216" s="13">
        <f t="shared" si="79"/>
        <v>249.43843107390001</v>
      </c>
      <c r="BH216" s="14">
        <f>BE216*39.53</f>
        <v>19268441180.351269</v>
      </c>
    </row>
    <row r="217" spans="1:60" x14ac:dyDescent="0.25">
      <c r="A217" s="3">
        <v>45839</v>
      </c>
      <c r="B217" s="4">
        <v>6136377450</v>
      </c>
      <c r="C217" s="4"/>
      <c r="D217" s="5">
        <v>249646512</v>
      </c>
      <c r="E217" s="4"/>
      <c r="N217" s="4"/>
      <c r="O217" s="4"/>
      <c r="P217" s="5">
        <v>56869</v>
      </c>
      <c r="Q217" s="4"/>
      <c r="R217" s="14">
        <f t="shared" si="60"/>
        <v>56869</v>
      </c>
      <c r="S217" s="6">
        <v>0.03</v>
      </c>
      <c r="T217" s="14">
        <f t="shared" si="61"/>
        <v>0</v>
      </c>
      <c r="U217" s="14">
        <f t="shared" si="62"/>
        <v>0</v>
      </c>
      <c r="V217" s="14">
        <f t="shared" si="63"/>
        <v>1363.3799999999999</v>
      </c>
      <c r="W217" s="14" t="str">
        <f t="shared" si="64"/>
        <v/>
      </c>
      <c r="X217" s="5">
        <v>11423</v>
      </c>
      <c r="Y217" s="4"/>
      <c r="Z217" s="4"/>
      <c r="AA217" s="14">
        <f t="shared" si="65"/>
        <v>12786.38</v>
      </c>
      <c r="AB217" s="4"/>
      <c r="AC217" s="4"/>
      <c r="AD217" s="14">
        <f t="shared" si="66"/>
        <v>0</v>
      </c>
      <c r="AE217" s="14">
        <f t="shared" si="67"/>
        <v>45446</v>
      </c>
      <c r="AF217" s="14" t="str">
        <f t="shared" si="68"/>
        <v/>
      </c>
      <c r="AG217" s="15">
        <f t="shared" si="69"/>
        <v>45446</v>
      </c>
      <c r="AH217" s="4">
        <v>1555195.8459999999</v>
      </c>
      <c r="AI217" s="17">
        <f t="shared" si="70"/>
        <v>-1509749.8459999999</v>
      </c>
      <c r="AJ217" s="7" t="str">
        <f t="shared" si="73"/>
        <v/>
      </c>
      <c r="AK217" s="7" t="str">
        <f t="shared" si="74"/>
        <v/>
      </c>
      <c r="AL217" s="7">
        <f t="shared" si="75"/>
        <v>2.2779809557283137</v>
      </c>
      <c r="AM217" s="7" t="str">
        <f t="shared" si="76"/>
        <v/>
      </c>
      <c r="AN217" s="4">
        <v>8099.6426707973878</v>
      </c>
      <c r="AO217" s="4">
        <v>0</v>
      </c>
      <c r="AP217" s="14">
        <f t="shared" si="71"/>
        <v>1563295.4886707973</v>
      </c>
      <c r="AQ217" s="14">
        <f t="shared" si="72"/>
        <v>1555195.8459999999</v>
      </c>
      <c r="AR217" s="8">
        <v>40397.31</v>
      </c>
      <c r="AS217" s="20">
        <v>38.497509999999998</v>
      </c>
      <c r="AT217" s="8">
        <v>25549272.93</v>
      </c>
      <c r="AU217" s="8">
        <v>26322.688099999999</v>
      </c>
      <c r="AV217" s="8">
        <v>850.06830000000002</v>
      </c>
      <c r="AW217" s="8"/>
      <c r="AX217" s="9">
        <v>422.20825507728932</v>
      </c>
      <c r="AY217" s="6">
        <f t="shared" si="77"/>
        <v>2.2756023931226079E-2</v>
      </c>
      <c r="AZ217" s="8">
        <v>423219628.60290003</v>
      </c>
      <c r="BA217" s="10">
        <v>60480066</v>
      </c>
      <c r="BB217" s="11">
        <v>25549272.93</v>
      </c>
      <c r="BC217" s="10">
        <v>2971324</v>
      </c>
      <c r="BD217" s="10">
        <f>1000000000-999690061.3729+46468.9423</f>
        <v>356407.56939999084</v>
      </c>
      <c r="BE217" s="12">
        <f t="shared" si="78"/>
        <v>487423300.89769995</v>
      </c>
      <c r="BF217" s="13">
        <v>238</v>
      </c>
      <c r="BG217" s="13">
        <f t="shared" si="79"/>
        <v>249.42330089769996</v>
      </c>
      <c r="BH217" s="14">
        <f>BE217*39.49</f>
        <v>19248346152.450172</v>
      </c>
    </row>
    <row r="218" spans="1:60" x14ac:dyDescent="0.25">
      <c r="A218" s="3">
        <v>45840</v>
      </c>
      <c r="B218" s="4">
        <v>8708461912</v>
      </c>
      <c r="C218" s="4"/>
      <c r="D218" s="5">
        <v>292172889</v>
      </c>
      <c r="E218" s="4"/>
      <c r="N218" s="4"/>
      <c r="O218" s="4"/>
      <c r="P218" s="5">
        <v>60148</v>
      </c>
      <c r="Q218" s="4"/>
      <c r="R218" s="14">
        <f t="shared" si="60"/>
        <v>60148</v>
      </c>
      <c r="S218" s="6">
        <v>0.03</v>
      </c>
      <c r="T218" s="14">
        <f t="shared" si="61"/>
        <v>0</v>
      </c>
      <c r="U218" s="14">
        <f t="shared" si="62"/>
        <v>0</v>
      </c>
      <c r="V218" s="14">
        <f t="shared" si="63"/>
        <v>1278.1499999999999</v>
      </c>
      <c r="W218" s="14" t="str">
        <f t="shared" si="64"/>
        <v/>
      </c>
      <c r="X218" s="5">
        <v>17543</v>
      </c>
      <c r="Y218" s="4"/>
      <c r="Z218" s="4"/>
      <c r="AA218" s="14">
        <f t="shared" si="65"/>
        <v>18821.150000000001</v>
      </c>
      <c r="AB218" s="4"/>
      <c r="AC218" s="4"/>
      <c r="AD218" s="14">
        <f t="shared" si="66"/>
        <v>0</v>
      </c>
      <c r="AE218" s="14">
        <f t="shared" si="67"/>
        <v>42605</v>
      </c>
      <c r="AF218" s="14" t="str">
        <f t="shared" si="68"/>
        <v/>
      </c>
      <c r="AG218" s="15">
        <f t="shared" si="69"/>
        <v>42605</v>
      </c>
      <c r="AH218" s="4">
        <v>1844481.9909999999</v>
      </c>
      <c r="AI218" s="17">
        <f t="shared" si="70"/>
        <v>-1801876.9909999999</v>
      </c>
      <c r="AJ218" s="7" t="str">
        <f t="shared" si="73"/>
        <v/>
      </c>
      <c r="AK218" s="7" t="str">
        <f t="shared" si="74"/>
        <v/>
      </c>
      <c r="AL218" s="7">
        <f t="shared" si="75"/>
        <v>2.0586441201257384</v>
      </c>
      <c r="AM218" s="7" t="str">
        <f t="shared" si="76"/>
        <v/>
      </c>
      <c r="AN218" s="4">
        <v>6638.2746660030489</v>
      </c>
      <c r="AO218" s="4">
        <v>0</v>
      </c>
      <c r="AP218" s="14">
        <f t="shared" si="71"/>
        <v>1851120.2656660029</v>
      </c>
      <c r="AQ218" s="14">
        <f t="shared" si="72"/>
        <v>1844481.9909999999</v>
      </c>
      <c r="AR218" s="8">
        <v>47673.58</v>
      </c>
      <c r="AS218" s="20">
        <v>38.689815000000003</v>
      </c>
      <c r="AT218" s="8">
        <v>25596946.510000002</v>
      </c>
      <c r="AU218" s="8">
        <v>26305.588899999999</v>
      </c>
      <c r="AV218" s="8">
        <v>710.42129999999997</v>
      </c>
      <c r="AW218" s="8"/>
      <c r="AX218" s="9">
        <v>424.19476757753552</v>
      </c>
      <c r="AY218" s="6">
        <f t="shared" si="77"/>
        <v>2.2634743948709842E-2</v>
      </c>
      <c r="AZ218" s="8">
        <v>423193323.014</v>
      </c>
      <c r="BA218" s="10">
        <v>60480066</v>
      </c>
      <c r="BB218" s="11">
        <v>25596946.510000002</v>
      </c>
      <c r="BC218" s="10">
        <v>2971324</v>
      </c>
      <c r="BD218" s="10">
        <f>1000000000-999689350.9517+46648.026</f>
        <v>357297.07430002786</v>
      </c>
      <c r="BE218" s="12">
        <f t="shared" si="78"/>
        <v>487401043.40170002</v>
      </c>
      <c r="BF218" s="13">
        <v>238</v>
      </c>
      <c r="BG218" s="13">
        <f t="shared" si="79"/>
        <v>249.40104340170001</v>
      </c>
      <c r="BH218" s="14">
        <f>BE218*37.01</f>
        <v>18038712616.296917</v>
      </c>
    </row>
    <row r="219" spans="1:60" x14ac:dyDescent="0.25">
      <c r="A219" s="3">
        <v>45841</v>
      </c>
      <c r="B219" s="4">
        <v>6251465097</v>
      </c>
      <c r="C219" s="4"/>
      <c r="D219" s="5">
        <v>229236296</v>
      </c>
      <c r="E219" s="4"/>
      <c r="N219" s="4"/>
      <c r="O219" s="4"/>
      <c r="P219" s="5">
        <v>51268</v>
      </c>
      <c r="Q219" s="4"/>
      <c r="R219" s="14">
        <f t="shared" si="60"/>
        <v>51268</v>
      </c>
      <c r="S219" s="6">
        <v>0.03</v>
      </c>
      <c r="T219" s="14">
        <f t="shared" si="61"/>
        <v>0</v>
      </c>
      <c r="U219" s="14">
        <f t="shared" si="62"/>
        <v>0</v>
      </c>
      <c r="V219" s="14">
        <f t="shared" si="63"/>
        <v>1130.3399999999999</v>
      </c>
      <c r="W219" s="14" t="str">
        <f t="shared" si="64"/>
        <v/>
      </c>
      <c r="X219" s="5">
        <v>13590</v>
      </c>
      <c r="Y219" s="4"/>
      <c r="Z219" s="4"/>
      <c r="AA219" s="14">
        <f t="shared" si="65"/>
        <v>14720.34</v>
      </c>
      <c r="AB219" s="4"/>
      <c r="AC219" s="4"/>
      <c r="AD219" s="14">
        <f t="shared" si="66"/>
        <v>0</v>
      </c>
      <c r="AE219" s="14">
        <f t="shared" si="67"/>
        <v>37678</v>
      </c>
      <c r="AF219" s="14" t="str">
        <f t="shared" si="68"/>
        <v/>
      </c>
      <c r="AG219" s="15">
        <f t="shared" si="69"/>
        <v>37678</v>
      </c>
      <c r="AH219" s="4">
        <v>2494949.0240000002</v>
      </c>
      <c r="AI219" s="17">
        <f t="shared" si="70"/>
        <v>-2457271.0240000002</v>
      </c>
      <c r="AJ219" s="7" t="str">
        <f t="shared" si="73"/>
        <v/>
      </c>
      <c r="AK219" s="7" t="str">
        <f t="shared" si="74"/>
        <v/>
      </c>
      <c r="AL219" s="7">
        <f t="shared" si="75"/>
        <v>2.2364695685014908</v>
      </c>
      <c r="AM219" s="7" t="str">
        <f t="shared" si="76"/>
        <v/>
      </c>
      <c r="AN219" s="4">
        <v>9166.2161016614391</v>
      </c>
      <c r="AO219" s="4">
        <v>0</v>
      </c>
      <c r="AP219" s="14">
        <f t="shared" si="71"/>
        <v>2504115.2401016615</v>
      </c>
      <c r="AQ219" s="14">
        <f t="shared" si="72"/>
        <v>2494949.0240000002</v>
      </c>
      <c r="AR219" s="8">
        <v>61753.57</v>
      </c>
      <c r="AS219" s="20">
        <v>40.401696999999999</v>
      </c>
      <c r="AT219" s="8">
        <v>25658700.079999998</v>
      </c>
      <c r="AU219" s="8">
        <v>26103.926599999999</v>
      </c>
      <c r="AV219" s="8">
        <v>954.59849999999994</v>
      </c>
      <c r="AW219" s="8"/>
      <c r="AX219" s="9">
        <v>424.2840027275696</v>
      </c>
      <c r="AY219" s="6">
        <f t="shared" si="77"/>
        <v>2.2456498825664733E-2</v>
      </c>
      <c r="AZ219" s="8">
        <v>423167219.08740002</v>
      </c>
      <c r="BA219" s="10">
        <v>60480066</v>
      </c>
      <c r="BB219" s="11">
        <v>25658700.079999998</v>
      </c>
      <c r="BC219" s="10">
        <v>2971324</v>
      </c>
      <c r="BD219" s="10">
        <f>1000000000-999688396.3532+46878.1017</f>
        <v>358481.7485000412</v>
      </c>
      <c r="BE219" s="12">
        <f t="shared" si="78"/>
        <v>487364209.08410001</v>
      </c>
      <c r="BF219" s="13">
        <v>238</v>
      </c>
      <c r="BG219" s="13">
        <f t="shared" si="79"/>
        <v>249.36420908410003</v>
      </c>
      <c r="BH219" s="14">
        <f>BE219*39.86</f>
        <v>19426337374.092228</v>
      </c>
    </row>
    <row r="220" spans="1:60" x14ac:dyDescent="0.25">
      <c r="A220" s="3">
        <v>45842</v>
      </c>
      <c r="B220" s="4">
        <v>5865755226</v>
      </c>
      <c r="C220" s="4"/>
      <c r="D220" s="5">
        <v>221169152</v>
      </c>
      <c r="E220" s="4"/>
      <c r="N220" s="4"/>
      <c r="O220" s="4"/>
      <c r="P220" s="5">
        <v>49787</v>
      </c>
      <c r="Q220" s="4"/>
      <c r="R220" s="14">
        <f t="shared" si="60"/>
        <v>49787</v>
      </c>
      <c r="S220" s="6">
        <v>0.03</v>
      </c>
      <c r="T220" s="14">
        <f t="shared" si="61"/>
        <v>0</v>
      </c>
      <c r="U220" s="14">
        <f t="shared" si="62"/>
        <v>0</v>
      </c>
      <c r="V220" s="14">
        <f t="shared" si="63"/>
        <v>1151.04</v>
      </c>
      <c r="W220" s="14" t="str">
        <f t="shared" si="64"/>
        <v/>
      </c>
      <c r="X220" s="5">
        <v>11419</v>
      </c>
      <c r="Y220" s="4"/>
      <c r="Z220" s="4"/>
      <c r="AA220" s="14">
        <f t="shared" si="65"/>
        <v>12570.04</v>
      </c>
      <c r="AB220" s="4"/>
      <c r="AC220" s="4"/>
      <c r="AD220" s="14">
        <f t="shared" si="66"/>
        <v>0</v>
      </c>
      <c r="AE220" s="14">
        <f t="shared" si="67"/>
        <v>38368</v>
      </c>
      <c r="AF220" s="14" t="str">
        <f t="shared" si="68"/>
        <v/>
      </c>
      <c r="AG220" s="15">
        <f t="shared" si="69"/>
        <v>38368</v>
      </c>
      <c r="AH220" s="4">
        <v>1741250.39</v>
      </c>
      <c r="AI220" s="17">
        <f t="shared" si="70"/>
        <v>-1702882.39</v>
      </c>
      <c r="AJ220" s="7" t="str">
        <f t="shared" si="73"/>
        <v/>
      </c>
      <c r="AK220" s="7" t="str">
        <f t="shared" si="74"/>
        <v/>
      </c>
      <c r="AL220" s="7">
        <f t="shared" si="75"/>
        <v>2.2510824656053301</v>
      </c>
      <c r="AM220" s="7" t="str">
        <f t="shared" si="76"/>
        <v/>
      </c>
      <c r="AN220" s="4">
        <v>7770.9068783012672</v>
      </c>
      <c r="AO220" s="4">
        <v>0</v>
      </c>
      <c r="AP220" s="14">
        <f t="shared" si="71"/>
        <v>1749021.2968783011</v>
      </c>
      <c r="AQ220" s="14">
        <f t="shared" si="72"/>
        <v>1741250.39</v>
      </c>
      <c r="AR220" s="8">
        <v>45057.8</v>
      </c>
      <c r="AS220" s="20">
        <v>38.644815999999999</v>
      </c>
      <c r="AT220" s="8">
        <v>25703757.879999999</v>
      </c>
      <c r="AU220" s="8">
        <v>26133.619299999998</v>
      </c>
      <c r="AV220" s="8">
        <v>597.44140000000004</v>
      </c>
      <c r="AW220" s="8"/>
      <c r="AX220" s="9">
        <v>423.2379674024105</v>
      </c>
      <c r="AY220" s="6">
        <f t="shared" si="77"/>
        <v>2.2537607159970666E-2</v>
      </c>
      <c r="AZ220" s="8">
        <v>423141085.46810001</v>
      </c>
      <c r="BA220" s="10">
        <v>60480066</v>
      </c>
      <c r="BB220" s="11">
        <v>25703757.879999999</v>
      </c>
      <c r="BC220" s="10">
        <v>2971324</v>
      </c>
      <c r="BD220" s="10">
        <f>1000000000-999687798.9117+47071.6293</f>
        <v>359272.71759998973</v>
      </c>
      <c r="BE220" s="12">
        <f t="shared" si="78"/>
        <v>487344493.93429995</v>
      </c>
      <c r="BF220" s="13">
        <v>238</v>
      </c>
      <c r="BG220" s="13">
        <f t="shared" si="79"/>
        <v>249.34449393429992</v>
      </c>
      <c r="BH220" s="14">
        <f>BE220*40.17</f>
        <v>19576628321.340828</v>
      </c>
    </row>
    <row r="221" spans="1:60" x14ac:dyDescent="0.25">
      <c r="A221" s="3">
        <v>45843</v>
      </c>
      <c r="B221" s="4">
        <v>2451950270</v>
      </c>
      <c r="C221" s="4"/>
      <c r="D221" s="5">
        <v>128067841</v>
      </c>
      <c r="E221" s="4"/>
      <c r="N221" s="4"/>
      <c r="O221" s="4"/>
      <c r="P221" s="5">
        <v>29379</v>
      </c>
      <c r="Q221" s="4"/>
      <c r="R221" s="14">
        <f t="shared" si="60"/>
        <v>29379</v>
      </c>
      <c r="S221" s="6">
        <v>0.03</v>
      </c>
      <c r="T221" s="14">
        <f t="shared" si="61"/>
        <v>0</v>
      </c>
      <c r="U221" s="14">
        <f t="shared" si="62"/>
        <v>0</v>
      </c>
      <c r="V221" s="14">
        <f t="shared" si="63"/>
        <v>687.83999999999992</v>
      </c>
      <c r="W221" s="14" t="str">
        <f t="shared" si="64"/>
        <v/>
      </c>
      <c r="X221" s="5">
        <v>6451</v>
      </c>
      <c r="Y221" s="4"/>
      <c r="Z221" s="4"/>
      <c r="AA221" s="14">
        <f t="shared" si="65"/>
        <v>7138.84</v>
      </c>
      <c r="AB221" s="4"/>
      <c r="AC221" s="4"/>
      <c r="AD221" s="14">
        <f t="shared" si="66"/>
        <v>0</v>
      </c>
      <c r="AE221" s="14">
        <f t="shared" si="67"/>
        <v>22928</v>
      </c>
      <c r="AF221" s="14" t="str">
        <f t="shared" si="68"/>
        <v/>
      </c>
      <c r="AG221" s="15">
        <f t="shared" si="69"/>
        <v>22928</v>
      </c>
      <c r="AH221" s="4">
        <v>1596923.669</v>
      </c>
      <c r="AI221" s="17">
        <f t="shared" si="70"/>
        <v>-1573995.669</v>
      </c>
      <c r="AJ221" s="7" t="str">
        <f t="shared" si="73"/>
        <v/>
      </c>
      <c r="AK221" s="7" t="str">
        <f t="shared" si="74"/>
        <v/>
      </c>
      <c r="AL221" s="7">
        <f t="shared" si="75"/>
        <v>2.2940185272585332</v>
      </c>
      <c r="AM221" s="7" t="str">
        <f t="shared" si="76"/>
        <v/>
      </c>
      <c r="AN221" s="4">
        <v>5293.5729885095416</v>
      </c>
      <c r="AO221" s="4">
        <v>0</v>
      </c>
      <c r="AP221" s="14">
        <f t="shared" si="71"/>
        <v>1602217.2419885094</v>
      </c>
      <c r="AQ221" s="14">
        <f t="shared" si="72"/>
        <v>1596923.669</v>
      </c>
      <c r="AR221" s="8">
        <v>40813.15</v>
      </c>
      <c r="AS221" s="20">
        <v>39.127675000000004</v>
      </c>
      <c r="AT221" s="8">
        <v>25744571.030000001</v>
      </c>
      <c r="AU221" s="8">
        <v>26192.9064</v>
      </c>
      <c r="AV221" s="8">
        <v>708.34870000000001</v>
      </c>
      <c r="AW221" s="8"/>
      <c r="AX221" s="9">
        <v>424.01565653887712</v>
      </c>
      <c r="AY221" s="6">
        <f t="shared" si="77"/>
        <v>2.2547306186849317E-2</v>
      </c>
      <c r="AZ221" s="8">
        <v>423114892.56169999</v>
      </c>
      <c r="BA221" s="10">
        <v>60480066</v>
      </c>
      <c r="BB221" s="11">
        <v>25744571.030000001</v>
      </c>
      <c r="BC221" s="10">
        <v>2971324</v>
      </c>
      <c r="BD221" s="10">
        <f>1000000000-999687090.563+47206.604</f>
        <v>360116.04100003623</v>
      </c>
      <c r="BE221" s="12">
        <f t="shared" si="78"/>
        <v>487329030.36730003</v>
      </c>
      <c r="BF221" s="13">
        <v>238</v>
      </c>
      <c r="BG221" s="13">
        <f t="shared" si="79"/>
        <v>249.32903036730005</v>
      </c>
      <c r="BH221" s="14">
        <f>BE221*39.03</f>
        <v>19020452055.235722</v>
      </c>
    </row>
    <row r="222" spans="1:60" x14ac:dyDescent="0.25">
      <c r="A222" s="3">
        <v>45844</v>
      </c>
      <c r="B222" s="4">
        <v>4289662637</v>
      </c>
      <c r="C222" s="4"/>
      <c r="D222" s="5">
        <v>135062039</v>
      </c>
      <c r="E222" s="4"/>
      <c r="N222" s="4"/>
      <c r="O222" s="4"/>
      <c r="P222" s="5">
        <v>26841</v>
      </c>
      <c r="Q222" s="4"/>
      <c r="R222" s="14">
        <f t="shared" si="60"/>
        <v>26841</v>
      </c>
      <c r="S222" s="6">
        <v>0.03</v>
      </c>
      <c r="T222" s="14">
        <f t="shared" si="61"/>
        <v>0</v>
      </c>
      <c r="U222" s="14">
        <f t="shared" si="62"/>
        <v>0</v>
      </c>
      <c r="V222" s="14">
        <f t="shared" si="63"/>
        <v>475.83</v>
      </c>
      <c r="W222" s="14" t="str">
        <f t="shared" si="64"/>
        <v/>
      </c>
      <c r="X222" s="5">
        <v>10980</v>
      </c>
      <c r="Y222" s="4"/>
      <c r="Z222" s="4"/>
      <c r="AA222" s="14">
        <f t="shared" si="65"/>
        <v>11455.83</v>
      </c>
      <c r="AB222" s="4"/>
      <c r="AC222" s="4"/>
      <c r="AD222" s="14">
        <f t="shared" si="66"/>
        <v>0</v>
      </c>
      <c r="AE222" s="14">
        <f t="shared" si="67"/>
        <v>15861</v>
      </c>
      <c r="AF222" s="14" t="str">
        <f t="shared" si="68"/>
        <v/>
      </c>
      <c r="AG222" s="15">
        <f t="shared" si="69"/>
        <v>15861</v>
      </c>
      <c r="AH222" s="4">
        <v>650244.12289999996</v>
      </c>
      <c r="AI222" s="17">
        <f t="shared" si="70"/>
        <v>-634383.12289999996</v>
      </c>
      <c r="AJ222" s="7" t="str">
        <f t="shared" si="73"/>
        <v/>
      </c>
      <c r="AK222" s="7" t="str">
        <f t="shared" si="74"/>
        <v/>
      </c>
      <c r="AL222" s="7">
        <f t="shared" si="75"/>
        <v>1.9873089580707426</v>
      </c>
      <c r="AM222" s="7" t="str">
        <f t="shared" si="76"/>
        <v/>
      </c>
      <c r="AN222" s="4">
        <v>4856.0943949343182</v>
      </c>
      <c r="AO222" s="4">
        <v>0</v>
      </c>
      <c r="AP222" s="14">
        <f t="shared" si="71"/>
        <v>655100.21729493432</v>
      </c>
      <c r="AQ222" s="14">
        <f t="shared" si="72"/>
        <v>650244.12289999996</v>
      </c>
      <c r="AR222" s="8">
        <v>16520.150000000001</v>
      </c>
      <c r="AS222" s="20">
        <v>39.360666999999999</v>
      </c>
      <c r="AT222" s="8">
        <v>25761091.18</v>
      </c>
      <c r="AU222" s="8">
        <v>26201.8544</v>
      </c>
      <c r="AV222" s="8">
        <v>331.32979999999998</v>
      </c>
      <c r="AW222" s="8"/>
      <c r="AX222" s="9">
        <v>423.44240511062083</v>
      </c>
      <c r="AY222" s="6">
        <f t="shared" si="77"/>
        <v>2.258554348967853E-2</v>
      </c>
      <c r="AZ222" s="8">
        <v>423088690.70740002</v>
      </c>
      <c r="BA222" s="10">
        <v>60480066</v>
      </c>
      <c r="BB222" s="11">
        <v>25761091.18</v>
      </c>
      <c r="BC222" s="10">
        <v>2971324</v>
      </c>
      <c r="BD222" s="10">
        <f>1000000000-999686759.2332+47330.7151</f>
        <v>360571.481900046</v>
      </c>
      <c r="BE222" s="12">
        <f t="shared" si="78"/>
        <v>487338256.63069987</v>
      </c>
      <c r="BF222" s="13">
        <v>238</v>
      </c>
      <c r="BG222" s="13">
        <f t="shared" si="79"/>
        <v>249.33825663069985</v>
      </c>
      <c r="BH222" s="14">
        <f>BE222*39.01</f>
        <v>19011065391.163601</v>
      </c>
    </row>
    <row r="223" spans="1:60" x14ac:dyDescent="0.25">
      <c r="A223" s="3">
        <v>45845</v>
      </c>
      <c r="B223" s="4">
        <v>5322409240</v>
      </c>
      <c r="C223" s="4"/>
      <c r="D223" s="5">
        <v>200536259</v>
      </c>
      <c r="E223" s="4"/>
      <c r="N223" s="4"/>
      <c r="O223" s="4"/>
      <c r="P223" s="5">
        <v>48359</v>
      </c>
      <c r="Q223" s="4"/>
      <c r="R223" s="14">
        <f t="shared" si="60"/>
        <v>48359</v>
      </c>
      <c r="S223" s="6">
        <v>0.03</v>
      </c>
      <c r="T223" s="14">
        <f t="shared" si="61"/>
        <v>0</v>
      </c>
      <c r="U223" s="14">
        <f t="shared" si="62"/>
        <v>0</v>
      </c>
      <c r="V223" s="14">
        <f t="shared" si="63"/>
        <v>915.27</v>
      </c>
      <c r="W223" s="14" t="str">
        <f t="shared" si="64"/>
        <v/>
      </c>
      <c r="X223" s="5">
        <v>17850</v>
      </c>
      <c r="Y223" s="4"/>
      <c r="Z223" s="4"/>
      <c r="AA223" s="14">
        <f t="shared" si="65"/>
        <v>18765.27</v>
      </c>
      <c r="AB223" s="4"/>
      <c r="AC223" s="4"/>
      <c r="AD223" s="14">
        <f t="shared" si="66"/>
        <v>0</v>
      </c>
      <c r="AE223" s="14">
        <f t="shared" si="67"/>
        <v>30509</v>
      </c>
      <c r="AF223" s="14" t="str">
        <f t="shared" si="68"/>
        <v/>
      </c>
      <c r="AG223" s="15">
        <f t="shared" si="69"/>
        <v>30509</v>
      </c>
      <c r="AH223" s="4">
        <v>1372817.9639999999</v>
      </c>
      <c r="AI223" s="17">
        <f t="shared" si="70"/>
        <v>-1342308.9639999999</v>
      </c>
      <c r="AJ223" s="7" t="str">
        <f t="shared" si="73"/>
        <v/>
      </c>
      <c r="AK223" s="7" t="str">
        <f t="shared" si="74"/>
        <v/>
      </c>
      <c r="AL223" s="7">
        <f t="shared" si="75"/>
        <v>2.4114840997407856</v>
      </c>
      <c r="AM223" s="7" t="str">
        <f t="shared" si="76"/>
        <v/>
      </c>
      <c r="AN223" s="4">
        <v>51071.865065952043</v>
      </c>
      <c r="AO223" s="4">
        <v>19897.669999999998</v>
      </c>
      <c r="AP223" s="14">
        <f t="shared" si="71"/>
        <v>1443787.4990659519</v>
      </c>
      <c r="AQ223" s="14">
        <f t="shared" si="72"/>
        <v>1372817.9639999999</v>
      </c>
      <c r="AR223" s="8">
        <v>34874.720000000001</v>
      </c>
      <c r="AS223" s="20">
        <v>39.364272</v>
      </c>
      <c r="AT223" s="8">
        <v>25795965.899999999</v>
      </c>
      <c r="AU223" s="8">
        <v>26216.689900000001</v>
      </c>
      <c r="AV223" s="8">
        <v>330.7715</v>
      </c>
      <c r="AW223" s="8"/>
      <c r="AX223" s="9">
        <v>423.40971257673903</v>
      </c>
      <c r="AY223" s="6">
        <f t="shared" si="77"/>
        <v>2.2600076307332444E-2</v>
      </c>
      <c r="AZ223" s="8">
        <v>423062474.01749998</v>
      </c>
      <c r="BA223" s="10">
        <v>60480066</v>
      </c>
      <c r="BB223" s="11">
        <v>25795965.899999999</v>
      </c>
      <c r="BC223" s="10">
        <v>2971324</v>
      </c>
      <c r="BD223" s="10">
        <f>1000000000-999686428.4617+48615.5419</f>
        <v>362187.0802000374</v>
      </c>
      <c r="BE223" s="12">
        <f t="shared" si="78"/>
        <v>487327983.00230008</v>
      </c>
      <c r="BF223" s="13">
        <v>238</v>
      </c>
      <c r="BG223" s="13">
        <f t="shared" si="79"/>
        <v>249.32798300230007</v>
      </c>
      <c r="BH223" s="14">
        <f>BE223*39.72</f>
        <v>19356667484.85136</v>
      </c>
    </row>
    <row r="224" spans="1:60" x14ac:dyDescent="0.25">
      <c r="A224" s="3">
        <v>45846</v>
      </c>
      <c r="B224" s="4">
        <v>5320747622</v>
      </c>
      <c r="C224" s="4"/>
      <c r="D224" s="5">
        <v>248230529</v>
      </c>
      <c r="E224" s="4"/>
      <c r="N224" s="4"/>
      <c r="O224" s="4"/>
      <c r="P224" s="5">
        <v>58482</v>
      </c>
      <c r="Q224" s="4"/>
      <c r="R224" s="14">
        <f t="shared" si="60"/>
        <v>58482</v>
      </c>
      <c r="S224" s="6">
        <v>0.03</v>
      </c>
      <c r="T224" s="14">
        <f t="shared" si="61"/>
        <v>0</v>
      </c>
      <c r="U224" s="14">
        <f t="shared" si="62"/>
        <v>0</v>
      </c>
      <c r="V224" s="14">
        <f t="shared" si="63"/>
        <v>1244.6099999999999</v>
      </c>
      <c r="W224" s="14" t="str">
        <f t="shared" si="64"/>
        <v/>
      </c>
      <c r="X224" s="5">
        <v>16995</v>
      </c>
      <c r="Y224" s="4"/>
      <c r="Z224" s="4"/>
      <c r="AA224" s="14">
        <f t="shared" si="65"/>
        <v>18239.61</v>
      </c>
      <c r="AB224" s="4"/>
      <c r="AC224" s="4"/>
      <c r="AD224" s="14">
        <f t="shared" si="66"/>
        <v>0</v>
      </c>
      <c r="AE224" s="14">
        <f t="shared" si="67"/>
        <v>41487</v>
      </c>
      <c r="AF224" s="14" t="str">
        <f t="shared" si="68"/>
        <v/>
      </c>
      <c r="AG224" s="15">
        <f t="shared" si="69"/>
        <v>41487</v>
      </c>
      <c r="AH224" s="4">
        <v>1519235.8729999999</v>
      </c>
      <c r="AI224" s="17">
        <f t="shared" si="70"/>
        <v>-1477748.8729999999</v>
      </c>
      <c r="AJ224" s="7" t="str">
        <f t="shared" si="73"/>
        <v/>
      </c>
      <c r="AK224" s="7" t="str">
        <f t="shared" si="74"/>
        <v/>
      </c>
      <c r="AL224" s="7">
        <f t="shared" si="75"/>
        <v>2.3559551774552276</v>
      </c>
      <c r="AM224" s="7" t="str">
        <f t="shared" si="76"/>
        <v/>
      </c>
      <c r="AN224" s="4">
        <v>10924.069239099879</v>
      </c>
      <c r="AO224" s="4">
        <v>0</v>
      </c>
      <c r="AP224" s="14">
        <f t="shared" si="71"/>
        <v>1530159.9422390999</v>
      </c>
      <c r="AQ224" s="14">
        <f t="shared" si="72"/>
        <v>1519235.8729999999</v>
      </c>
      <c r="AR224" s="8">
        <v>39768.58</v>
      </c>
      <c r="AS224" s="20">
        <v>38.201914000000002</v>
      </c>
      <c r="AT224" s="8">
        <v>25835734.48</v>
      </c>
      <c r="AU224" s="8">
        <v>26255.6227</v>
      </c>
      <c r="AV224" s="8">
        <v>1043.8797</v>
      </c>
      <c r="AW224" s="8"/>
      <c r="AX224" s="9">
        <v>422.21317337139823</v>
      </c>
      <c r="AY224" s="6">
        <f t="shared" si="77"/>
        <v>2.2697781333956824E-2</v>
      </c>
      <c r="AZ224" s="8">
        <v>423036218.39469999</v>
      </c>
      <c r="BA224" s="10">
        <v>60480066</v>
      </c>
      <c r="BB224" s="11">
        <v>25835734.48</v>
      </c>
      <c r="BC224" s="10">
        <v>2971324</v>
      </c>
      <c r="BD224" s="10">
        <f>1000000000-999685384.5819+48897.2571</f>
        <v>363512.67519999942</v>
      </c>
      <c r="BE224" s="12">
        <f t="shared" si="78"/>
        <v>487313144.45009995</v>
      </c>
      <c r="BF224" s="13">
        <v>238</v>
      </c>
      <c r="BG224" s="13">
        <f t="shared" si="79"/>
        <v>249.31314445009997</v>
      </c>
      <c r="BH224" s="14">
        <f>BE224*38.59</f>
        <v>18805414244.329357</v>
      </c>
    </row>
    <row r="225" spans="1:60" x14ac:dyDescent="0.25">
      <c r="A225" s="3">
        <v>45847</v>
      </c>
      <c r="B225" s="4">
        <v>8668787165</v>
      </c>
      <c r="C225" s="4"/>
      <c r="D225" s="5">
        <v>298577873</v>
      </c>
      <c r="E225" s="4"/>
      <c r="N225" s="4"/>
      <c r="O225" s="4"/>
      <c r="P225" s="5">
        <v>67974</v>
      </c>
      <c r="Q225" s="4"/>
      <c r="R225" s="14">
        <f t="shared" si="60"/>
        <v>67974</v>
      </c>
      <c r="S225" s="6">
        <v>0.03</v>
      </c>
      <c r="T225" s="14">
        <f t="shared" si="61"/>
        <v>0</v>
      </c>
      <c r="U225" s="14">
        <f t="shared" si="62"/>
        <v>0</v>
      </c>
      <c r="V225" s="14">
        <f t="shared" si="63"/>
        <v>1133.82</v>
      </c>
      <c r="W225" s="14" t="str">
        <f t="shared" si="64"/>
        <v/>
      </c>
      <c r="X225" s="5">
        <v>30180</v>
      </c>
      <c r="Y225" s="4"/>
      <c r="Z225" s="4"/>
      <c r="AA225" s="14">
        <f t="shared" si="65"/>
        <v>31313.82</v>
      </c>
      <c r="AB225" s="4"/>
      <c r="AC225" s="4"/>
      <c r="AD225" s="14">
        <f t="shared" si="66"/>
        <v>0</v>
      </c>
      <c r="AE225" s="14">
        <f t="shared" si="67"/>
        <v>37794</v>
      </c>
      <c r="AF225" s="14" t="str">
        <f t="shared" si="68"/>
        <v/>
      </c>
      <c r="AG225" s="15">
        <f t="shared" si="69"/>
        <v>37794</v>
      </c>
      <c r="AH225" s="4">
        <v>1613091.807</v>
      </c>
      <c r="AI225" s="17">
        <f t="shared" si="70"/>
        <v>-1575297.807</v>
      </c>
      <c r="AJ225" s="7" t="str">
        <f t="shared" si="73"/>
        <v/>
      </c>
      <c r="AK225" s="7" t="str">
        <f t="shared" si="74"/>
        <v/>
      </c>
      <c r="AL225" s="7">
        <f t="shared" si="75"/>
        <v>2.2765920098841352</v>
      </c>
      <c r="AM225" s="7" t="str">
        <f t="shared" si="76"/>
        <v/>
      </c>
      <c r="AN225" s="4">
        <v>14525.895324656431</v>
      </c>
      <c r="AO225" s="4">
        <v>0</v>
      </c>
      <c r="AP225" s="14">
        <f t="shared" si="71"/>
        <v>1627617.7023246565</v>
      </c>
      <c r="AQ225" s="14">
        <f t="shared" si="72"/>
        <v>1613091.807</v>
      </c>
      <c r="AR225" s="8">
        <v>40396.81</v>
      </c>
      <c r="AS225" s="20">
        <v>39.931168</v>
      </c>
      <c r="AT225" s="8">
        <v>25876131.289999999</v>
      </c>
      <c r="AU225" s="8">
        <v>26158.1165</v>
      </c>
      <c r="AV225" s="8">
        <v>884.69619999999998</v>
      </c>
      <c r="AW225" s="8"/>
      <c r="AX225" s="9">
        <v>420.71293326541382</v>
      </c>
      <c r="AY225" s="6">
        <f t="shared" si="77"/>
        <v>2.2694126487613032E-2</v>
      </c>
      <c r="AZ225" s="8">
        <v>423010060.27819997</v>
      </c>
      <c r="BA225" s="10">
        <v>60480066</v>
      </c>
      <c r="BB225" s="11">
        <v>25876131.289999999</v>
      </c>
      <c r="BC225" s="10">
        <v>2971324</v>
      </c>
      <c r="BD225" s="10">
        <f>1000000000-999684499.8857+49270.3665</f>
        <v>364770.48080001259</v>
      </c>
      <c r="BE225" s="12">
        <f t="shared" si="78"/>
        <v>487297647.95100003</v>
      </c>
      <c r="BF225" s="13">
        <v>238</v>
      </c>
      <c r="BG225" s="13">
        <f t="shared" si="79"/>
        <v>249.29764795100004</v>
      </c>
      <c r="BH225" s="14">
        <f>BE225*38.88</f>
        <v>18946132552.334881</v>
      </c>
    </row>
    <row r="226" spans="1:60" x14ac:dyDescent="0.25">
      <c r="A226" s="3">
        <v>45848</v>
      </c>
      <c r="B226" s="4">
        <v>10991694982</v>
      </c>
      <c r="C226" s="4"/>
      <c r="D226" s="5">
        <v>408100683</v>
      </c>
      <c r="E226" s="4"/>
      <c r="N226" s="4"/>
      <c r="O226" s="4"/>
      <c r="P226" s="5">
        <v>94024</v>
      </c>
      <c r="Q226" s="4"/>
      <c r="R226" s="14">
        <f t="shared" si="60"/>
        <v>94024</v>
      </c>
      <c r="S226" s="6">
        <v>0.03</v>
      </c>
      <c r="T226" s="14">
        <f t="shared" si="61"/>
        <v>0</v>
      </c>
      <c r="U226" s="14">
        <f t="shared" si="62"/>
        <v>0</v>
      </c>
      <c r="V226" s="14">
        <f t="shared" si="63"/>
        <v>1628.01</v>
      </c>
      <c r="W226" s="14" t="str">
        <f t="shared" si="64"/>
        <v/>
      </c>
      <c r="X226" s="5">
        <v>39757</v>
      </c>
      <c r="Y226" s="4"/>
      <c r="Z226" s="4"/>
      <c r="AA226" s="14">
        <f t="shared" si="65"/>
        <v>41385.01</v>
      </c>
      <c r="AB226" s="4"/>
      <c r="AC226" s="4"/>
      <c r="AD226" s="14">
        <f t="shared" si="66"/>
        <v>0</v>
      </c>
      <c r="AE226" s="14">
        <f t="shared" si="67"/>
        <v>54267</v>
      </c>
      <c r="AF226" s="14" t="str">
        <f t="shared" si="68"/>
        <v/>
      </c>
      <c r="AG226" s="15">
        <f t="shared" si="69"/>
        <v>54267</v>
      </c>
      <c r="AH226" s="4">
        <v>2954098.983</v>
      </c>
      <c r="AI226" s="17">
        <f t="shared" si="70"/>
        <v>-2899831.983</v>
      </c>
      <c r="AJ226" s="7" t="str">
        <f t="shared" si="73"/>
        <v/>
      </c>
      <c r="AK226" s="7" t="str">
        <f t="shared" si="74"/>
        <v/>
      </c>
      <c r="AL226" s="7">
        <f t="shared" si="75"/>
        <v>2.3039412555945171</v>
      </c>
      <c r="AM226" s="7" t="str">
        <f t="shared" si="76"/>
        <v/>
      </c>
      <c r="AN226" s="4">
        <v>12995.802199570349</v>
      </c>
      <c r="AO226" s="4">
        <v>20875.59</v>
      </c>
      <c r="AP226" s="14">
        <f t="shared" si="71"/>
        <v>2987970.3751995703</v>
      </c>
      <c r="AQ226" s="14">
        <f t="shared" si="72"/>
        <v>2954098.983</v>
      </c>
      <c r="AR226" s="8">
        <v>69330.37</v>
      </c>
      <c r="AS226" s="20">
        <v>42.609017999999999</v>
      </c>
      <c r="AT226" s="8">
        <v>25945461.66</v>
      </c>
      <c r="AU226" s="8">
        <v>26159.777699999999</v>
      </c>
      <c r="AV226" s="8">
        <v>723.84159999999997</v>
      </c>
      <c r="AW226" s="8"/>
      <c r="AX226" s="9">
        <v>419.30603803544273</v>
      </c>
      <c r="AY226" s="6">
        <f t="shared" si="77"/>
        <v>2.2771718015882493E-2</v>
      </c>
      <c r="AZ226" s="8">
        <v>422983900.50050002</v>
      </c>
      <c r="BA226" s="10">
        <v>60480066</v>
      </c>
      <c r="BB226" s="11">
        <v>25945461.66</v>
      </c>
      <c r="BC226" s="10">
        <v>2971324</v>
      </c>
      <c r="BD226" s="10">
        <f>1000000000-999683776.0441+49587.7088</f>
        <v>365811.66469995386</v>
      </c>
      <c r="BE226" s="12">
        <f t="shared" si="78"/>
        <v>487253436.17480004</v>
      </c>
      <c r="BF226" s="13">
        <v>238</v>
      </c>
      <c r="BG226" s="13">
        <f t="shared" si="79"/>
        <v>249.25343617480002</v>
      </c>
      <c r="BH226" s="14">
        <f>BE226*40.92</f>
        <v>19938410608.27282</v>
      </c>
    </row>
    <row r="227" spans="1:60" x14ac:dyDescent="0.25">
      <c r="A227" s="3">
        <v>45849</v>
      </c>
      <c r="B227" s="4">
        <v>12433064594</v>
      </c>
      <c r="C227" s="4"/>
      <c r="D227" s="5">
        <v>470323564</v>
      </c>
      <c r="E227" s="4"/>
      <c r="N227" s="4"/>
      <c r="O227" s="4"/>
      <c r="P227" s="5">
        <v>108458</v>
      </c>
      <c r="Q227" s="4"/>
      <c r="R227" s="14">
        <f t="shared" si="60"/>
        <v>108458</v>
      </c>
      <c r="S227" s="6">
        <v>0.03</v>
      </c>
      <c r="T227" s="14">
        <f t="shared" si="61"/>
        <v>0</v>
      </c>
      <c r="U227" s="14">
        <f t="shared" si="62"/>
        <v>0</v>
      </c>
      <c r="V227" s="14">
        <f t="shared" si="63"/>
        <v>2153.67</v>
      </c>
      <c r="W227" s="14" t="str">
        <f t="shared" si="64"/>
        <v/>
      </c>
      <c r="X227" s="5">
        <v>36669</v>
      </c>
      <c r="Y227" s="4"/>
      <c r="Z227" s="4"/>
      <c r="AA227" s="14">
        <f t="shared" si="65"/>
        <v>38822.67</v>
      </c>
      <c r="AB227" s="4"/>
      <c r="AC227" s="4"/>
      <c r="AD227" s="14">
        <f t="shared" si="66"/>
        <v>0</v>
      </c>
      <c r="AE227" s="14">
        <f t="shared" si="67"/>
        <v>71789</v>
      </c>
      <c r="AF227" s="14" t="str">
        <f t="shared" si="68"/>
        <v/>
      </c>
      <c r="AG227" s="15">
        <f t="shared" si="69"/>
        <v>71789</v>
      </c>
      <c r="AH227" s="4">
        <v>3647033.077</v>
      </c>
      <c r="AI227" s="17">
        <f t="shared" si="70"/>
        <v>-3575244.077</v>
      </c>
      <c r="AJ227" s="7" t="str">
        <f t="shared" si="73"/>
        <v/>
      </c>
      <c r="AK227" s="7" t="str">
        <f t="shared" si="74"/>
        <v/>
      </c>
      <c r="AL227" s="7">
        <f t="shared" si="75"/>
        <v>2.3060294720848815</v>
      </c>
      <c r="AM227" s="7" t="str">
        <f t="shared" si="76"/>
        <v/>
      </c>
      <c r="AN227" s="4">
        <v>15500.350357380499</v>
      </c>
      <c r="AO227" s="4">
        <v>23044.82</v>
      </c>
      <c r="AP227" s="14">
        <f t="shared" si="71"/>
        <v>3685578.2473573806</v>
      </c>
      <c r="AQ227" s="14">
        <f t="shared" si="72"/>
        <v>3647033.077</v>
      </c>
      <c r="AR227" s="8">
        <v>80315.199999999997</v>
      </c>
      <c r="AS227" s="20">
        <v>45.409002000000001</v>
      </c>
      <c r="AT227" s="8">
        <v>26025776.859999999</v>
      </c>
      <c r="AU227" s="8">
        <v>26122.8024</v>
      </c>
      <c r="AV227" s="8">
        <v>1451.9015999999999</v>
      </c>
      <c r="AW227" s="8"/>
      <c r="AX227" s="9">
        <v>418.95662922475771</v>
      </c>
      <c r="AY227" s="6">
        <f t="shared" si="77"/>
        <v>2.275849625209022E-2</v>
      </c>
      <c r="AZ227" s="8">
        <v>422957777.69809997</v>
      </c>
      <c r="BA227" s="10">
        <v>60480066</v>
      </c>
      <c r="BB227" s="11">
        <v>26025776.859999999</v>
      </c>
      <c r="BC227" s="10">
        <v>2971324</v>
      </c>
      <c r="BD227" s="10">
        <f>1000000000-999682324.1425+49944.2108</f>
        <v>367620.06829995709</v>
      </c>
      <c r="BE227" s="12">
        <f t="shared" si="78"/>
        <v>487197435.37360007</v>
      </c>
      <c r="BF227" s="13">
        <v>238</v>
      </c>
      <c r="BG227" s="13">
        <f t="shared" si="79"/>
        <v>249.19743537360006</v>
      </c>
      <c r="BH227" s="14">
        <f>BE227*43.63</f>
        <v>21256424105.350174</v>
      </c>
    </row>
    <row r="228" spans="1:60" x14ac:dyDescent="0.25">
      <c r="A228" s="3">
        <v>45850</v>
      </c>
      <c r="B228" s="4">
        <v>5486400796</v>
      </c>
      <c r="C228" s="4"/>
      <c r="D228" s="5">
        <v>306157655</v>
      </c>
      <c r="E228" s="4"/>
      <c r="N228" s="4"/>
      <c r="O228" s="4"/>
      <c r="P228" s="5">
        <v>76542</v>
      </c>
      <c r="Q228" s="4"/>
      <c r="R228" s="14">
        <f t="shared" si="60"/>
        <v>76542</v>
      </c>
      <c r="S228" s="6">
        <v>0.03</v>
      </c>
      <c r="T228" s="14">
        <f t="shared" si="61"/>
        <v>0</v>
      </c>
      <c r="U228" s="14">
        <f t="shared" si="62"/>
        <v>0</v>
      </c>
      <c r="V228" s="14">
        <f t="shared" si="63"/>
        <v>1729.98</v>
      </c>
      <c r="W228" s="14" t="str">
        <f t="shared" si="64"/>
        <v/>
      </c>
      <c r="X228" s="5">
        <v>18876</v>
      </c>
      <c r="Y228" s="4"/>
      <c r="Z228" s="4"/>
      <c r="AA228" s="14">
        <f t="shared" si="65"/>
        <v>20605.98</v>
      </c>
      <c r="AB228" s="4"/>
      <c r="AC228" s="4"/>
      <c r="AD228" s="14">
        <f t="shared" si="66"/>
        <v>0</v>
      </c>
      <c r="AE228" s="14">
        <f t="shared" si="67"/>
        <v>57666</v>
      </c>
      <c r="AF228" s="14" t="str">
        <f t="shared" si="68"/>
        <v/>
      </c>
      <c r="AG228" s="15">
        <f t="shared" si="69"/>
        <v>57666</v>
      </c>
      <c r="AH228" s="4">
        <v>3465960.5529999998</v>
      </c>
      <c r="AI228" s="17">
        <f t="shared" si="70"/>
        <v>-3408294.5529999998</v>
      </c>
      <c r="AJ228" s="7" t="str">
        <f t="shared" si="73"/>
        <v/>
      </c>
      <c r="AK228" s="7" t="str">
        <f t="shared" si="74"/>
        <v/>
      </c>
      <c r="AL228" s="7">
        <f t="shared" si="75"/>
        <v>2.5000844744515698</v>
      </c>
      <c r="AM228" s="7" t="str">
        <f t="shared" si="76"/>
        <v/>
      </c>
      <c r="AN228" s="4">
        <v>15073.9213791158</v>
      </c>
      <c r="AO228" s="4">
        <v>23323.62</v>
      </c>
      <c r="AP228" s="14">
        <f t="shared" si="71"/>
        <v>3504358.0943791158</v>
      </c>
      <c r="AQ228" s="14">
        <f t="shared" si="72"/>
        <v>3465960.5529999998</v>
      </c>
      <c r="AR228" s="8">
        <v>74964.009999999995</v>
      </c>
      <c r="AS228" s="20">
        <v>46.234994</v>
      </c>
      <c r="AT228" s="8">
        <v>26100740.870000001</v>
      </c>
      <c r="AU228" s="8">
        <v>26136.030299999999</v>
      </c>
      <c r="AV228" s="8">
        <v>1831.2501</v>
      </c>
      <c r="AW228" s="8"/>
      <c r="AX228" s="9">
        <v>419.52996717410298</v>
      </c>
      <c r="AY228" s="6">
        <f t="shared" si="77"/>
        <v>2.2738902595582856E-2</v>
      </c>
      <c r="AZ228" s="8">
        <v>422931641.66780001</v>
      </c>
      <c r="BA228" s="10">
        <v>60480066</v>
      </c>
      <c r="BB228" s="11">
        <v>26100740.870000001</v>
      </c>
      <c r="BC228" s="10">
        <v>2971324</v>
      </c>
      <c r="BD228" s="10">
        <f>1000000000-999680492.8925+50271.8549</f>
        <v>369778.96239995706</v>
      </c>
      <c r="BE228" s="12">
        <f t="shared" si="78"/>
        <v>487146448.49980009</v>
      </c>
      <c r="BF228" s="13">
        <v>238</v>
      </c>
      <c r="BG228" s="13">
        <f t="shared" si="79"/>
        <v>249.1464484998001</v>
      </c>
      <c r="BH228" s="14">
        <f>BE228*46.29</f>
        <v>22550009101.055744</v>
      </c>
    </row>
    <row r="229" spans="1:60" x14ac:dyDescent="0.25">
      <c r="A229" s="3">
        <v>45851</v>
      </c>
      <c r="B229" s="4">
        <v>6412427251</v>
      </c>
      <c r="C229" s="4"/>
      <c r="D229" s="5">
        <v>302499066</v>
      </c>
      <c r="E229" s="4"/>
      <c r="N229" s="4"/>
      <c r="O229" s="4"/>
      <c r="P229" s="5">
        <v>70779</v>
      </c>
      <c r="Q229" s="4"/>
      <c r="R229" s="14">
        <f t="shared" si="60"/>
        <v>70779</v>
      </c>
      <c r="S229" s="6">
        <v>0.03</v>
      </c>
      <c r="T229" s="14">
        <f t="shared" si="61"/>
        <v>0</v>
      </c>
      <c r="U229" s="14">
        <f t="shared" si="62"/>
        <v>0</v>
      </c>
      <c r="V229" s="14">
        <f t="shared" si="63"/>
        <v>1378.56</v>
      </c>
      <c r="W229" s="14" t="str">
        <f t="shared" si="64"/>
        <v/>
      </c>
      <c r="X229" s="5">
        <v>24827</v>
      </c>
      <c r="Y229" s="4"/>
      <c r="Z229" s="4"/>
      <c r="AA229" s="14">
        <f t="shared" si="65"/>
        <v>26205.56</v>
      </c>
      <c r="AB229" s="4"/>
      <c r="AC229" s="4"/>
      <c r="AD229" s="14">
        <f t="shared" si="66"/>
        <v>0</v>
      </c>
      <c r="AE229" s="14">
        <f t="shared" si="67"/>
        <v>45952</v>
      </c>
      <c r="AF229" s="14" t="str">
        <f t="shared" si="68"/>
        <v/>
      </c>
      <c r="AG229" s="15">
        <f t="shared" si="69"/>
        <v>45952</v>
      </c>
      <c r="AH229" s="4">
        <v>2008748.358</v>
      </c>
      <c r="AI229" s="17">
        <f t="shared" si="70"/>
        <v>-1962796.358</v>
      </c>
      <c r="AJ229" s="7" t="str">
        <f t="shared" si="73"/>
        <v/>
      </c>
      <c r="AK229" s="7" t="str">
        <f t="shared" si="74"/>
        <v/>
      </c>
      <c r="AL229" s="7">
        <f t="shared" si="75"/>
        <v>2.3398088772941867</v>
      </c>
      <c r="AM229" s="7" t="str">
        <f t="shared" si="76"/>
        <v/>
      </c>
      <c r="AN229" s="4">
        <v>10846.003433766809</v>
      </c>
      <c r="AO229" s="4">
        <v>30340.83</v>
      </c>
      <c r="AP229" s="14">
        <f t="shared" si="71"/>
        <v>2049935.1914337669</v>
      </c>
      <c r="AQ229" s="14">
        <f t="shared" si="72"/>
        <v>2008748.358</v>
      </c>
      <c r="AR229" s="8">
        <v>41639.5</v>
      </c>
      <c r="AS229" s="20">
        <v>48.241413999999999</v>
      </c>
      <c r="AT229" s="8">
        <v>26142380.370000001</v>
      </c>
      <c r="AU229" s="8">
        <v>26013.893400000001</v>
      </c>
      <c r="AV229" s="8">
        <v>1374.6539</v>
      </c>
      <c r="AW229" s="8"/>
      <c r="AX229" s="9">
        <v>419.34491810015618</v>
      </c>
      <c r="AY229" s="6">
        <f t="shared" si="77"/>
        <v>2.2642628254605914E-2</v>
      </c>
      <c r="AZ229" s="8">
        <v>422905627.7744</v>
      </c>
      <c r="BA229" s="10">
        <v>60480066</v>
      </c>
      <c r="BB229" s="11">
        <v>26142380.370000001</v>
      </c>
      <c r="BC229" s="10">
        <v>2971324</v>
      </c>
      <c r="BD229" s="10">
        <f>1000000000-999679118.2386+50501.838</f>
        <v>371383.59939998435</v>
      </c>
      <c r="BE229" s="12">
        <f t="shared" si="78"/>
        <v>487129218.25620002</v>
      </c>
      <c r="BF229" s="13">
        <v>238</v>
      </c>
      <c r="BG229" s="13">
        <f t="shared" si="79"/>
        <v>249.12921825620003</v>
      </c>
      <c r="BH229" s="14">
        <f>BE229*47.13</f>
        <v>22958400056.414707</v>
      </c>
    </row>
    <row r="230" spans="1:60" x14ac:dyDescent="0.25">
      <c r="A230" s="3">
        <v>45852</v>
      </c>
      <c r="B230" s="4">
        <v>13350737290</v>
      </c>
      <c r="C230" s="4"/>
      <c r="D230" s="5">
        <v>527347600</v>
      </c>
      <c r="E230" s="4"/>
      <c r="N230" s="4"/>
      <c r="O230" s="4"/>
      <c r="P230" s="5">
        <v>121963</v>
      </c>
      <c r="Q230" s="4"/>
      <c r="R230" s="14">
        <f t="shared" si="60"/>
        <v>121963</v>
      </c>
      <c r="S230" s="6">
        <v>0.03</v>
      </c>
      <c r="T230" s="14">
        <f t="shared" si="61"/>
        <v>0</v>
      </c>
      <c r="U230" s="14">
        <f t="shared" si="62"/>
        <v>0</v>
      </c>
      <c r="V230" s="14">
        <f t="shared" si="63"/>
        <v>1475.9099999999999</v>
      </c>
      <c r="W230" s="14" t="str">
        <f t="shared" si="64"/>
        <v/>
      </c>
      <c r="X230" s="5">
        <v>72766</v>
      </c>
      <c r="Y230" s="4"/>
      <c r="Z230" s="4"/>
      <c r="AA230" s="14">
        <f t="shared" si="65"/>
        <v>74241.91</v>
      </c>
      <c r="AB230" s="4"/>
      <c r="AC230" s="4"/>
      <c r="AD230" s="14">
        <f t="shared" si="66"/>
        <v>0</v>
      </c>
      <c r="AE230" s="14">
        <f t="shared" si="67"/>
        <v>49197</v>
      </c>
      <c r="AF230" s="14" t="str">
        <f t="shared" si="68"/>
        <v/>
      </c>
      <c r="AG230" s="15">
        <f t="shared" si="69"/>
        <v>49197</v>
      </c>
      <c r="AH230" s="4">
        <v>3181268.7570000002</v>
      </c>
      <c r="AI230" s="17">
        <f t="shared" si="70"/>
        <v>-3132071.7570000002</v>
      </c>
      <c r="AJ230" s="7" t="str">
        <f t="shared" si="73"/>
        <v/>
      </c>
      <c r="AK230" s="7" t="str">
        <f t="shared" si="74"/>
        <v/>
      </c>
      <c r="AL230" s="7">
        <f t="shared" si="75"/>
        <v>2.3127629669690353</v>
      </c>
      <c r="AM230" s="7" t="str">
        <f t="shared" si="76"/>
        <v/>
      </c>
      <c r="AN230" s="4">
        <v>16968.98052542983</v>
      </c>
      <c r="AO230" s="4">
        <v>36027.360000000001</v>
      </c>
      <c r="AP230" s="14">
        <f t="shared" si="71"/>
        <v>3234265.0975254299</v>
      </c>
      <c r="AQ230" s="14">
        <f t="shared" si="72"/>
        <v>3181268.7570000002</v>
      </c>
      <c r="AR230" s="8">
        <v>65683.78</v>
      </c>
      <c r="AS230" s="20">
        <v>48.433095000000002</v>
      </c>
      <c r="AT230" s="8">
        <v>26208064.149999999</v>
      </c>
      <c r="AU230" s="8">
        <v>26101.072199999999</v>
      </c>
      <c r="AV230" s="8">
        <v>1452.3752999999999</v>
      </c>
      <c r="AW230" s="8"/>
      <c r="AX230" s="9">
        <v>419.37291666496031</v>
      </c>
      <c r="AY230" s="6">
        <f t="shared" si="77"/>
        <v>2.2716992381773413E-2</v>
      </c>
      <c r="AZ230" s="8">
        <v>422879526.70209998</v>
      </c>
      <c r="BA230" s="10">
        <v>60480066</v>
      </c>
      <c r="BB230" s="11">
        <v>26208064.149999999</v>
      </c>
      <c r="BC230" s="10">
        <v>2971324</v>
      </c>
      <c r="BD230" s="10">
        <f>1000000000-999677665.8633+50846.7991</f>
        <v>373180.93580003415</v>
      </c>
      <c r="BE230" s="12">
        <f t="shared" si="78"/>
        <v>487087838.21209997</v>
      </c>
      <c r="BF230" s="13">
        <v>238</v>
      </c>
      <c r="BG230" s="13">
        <f t="shared" si="79"/>
        <v>249.0878382121</v>
      </c>
      <c r="BH230" s="14">
        <f>BE230*49.09</f>
        <v>23911141977.831989</v>
      </c>
    </row>
    <row r="231" spans="1:60" x14ac:dyDescent="0.25">
      <c r="A231" s="3">
        <v>45853</v>
      </c>
      <c r="B231" s="4">
        <v>17479662858</v>
      </c>
      <c r="C231" s="4"/>
      <c r="D231" s="4">
        <v>483122232</v>
      </c>
      <c r="E231" s="4"/>
      <c r="N231" s="4"/>
      <c r="O231" s="4"/>
      <c r="P231" s="5">
        <v>126425</v>
      </c>
      <c r="Q231" s="4"/>
      <c r="R231" s="14">
        <f t="shared" si="60"/>
        <v>126425</v>
      </c>
      <c r="S231" s="6">
        <v>0.03</v>
      </c>
      <c r="T231" s="14">
        <f t="shared" si="61"/>
        <v>0</v>
      </c>
      <c r="U231" s="14">
        <f t="shared" si="62"/>
        <v>0</v>
      </c>
      <c r="V231" s="14">
        <f t="shared" si="63"/>
        <v>878.31</v>
      </c>
      <c r="W231" s="14" t="str">
        <f t="shared" si="64"/>
        <v/>
      </c>
      <c r="X231" s="5">
        <v>97148</v>
      </c>
      <c r="Y231" s="4"/>
      <c r="Z231" s="4"/>
      <c r="AA231" s="14">
        <f t="shared" si="65"/>
        <v>98026.31</v>
      </c>
      <c r="AB231" s="4"/>
      <c r="AC231" s="4"/>
      <c r="AD231" s="14">
        <f t="shared" si="66"/>
        <v>0</v>
      </c>
      <c r="AE231" s="14">
        <f t="shared" si="67"/>
        <v>29277</v>
      </c>
      <c r="AF231" s="14" t="str">
        <f t="shared" si="68"/>
        <v/>
      </c>
      <c r="AG231" s="15">
        <f t="shared" si="69"/>
        <v>29277</v>
      </c>
      <c r="AH231" s="4">
        <v>3961622.4679999999</v>
      </c>
      <c r="AI231" s="17">
        <f t="shared" si="70"/>
        <v>-3932345.4679999999</v>
      </c>
      <c r="AJ231" s="7" t="str">
        <f t="shared" si="73"/>
        <v/>
      </c>
      <c r="AK231" s="7" t="str">
        <f t="shared" si="74"/>
        <v/>
      </c>
      <c r="AL231" s="7">
        <f t="shared" si="75"/>
        <v>2.6168325865823538</v>
      </c>
      <c r="AM231" s="7" t="str">
        <f t="shared" si="76"/>
        <v/>
      </c>
      <c r="AN231" s="4">
        <v>28006.94016744709</v>
      </c>
      <c r="AO231" s="4">
        <v>0</v>
      </c>
      <c r="AP231" s="14">
        <f t="shared" si="71"/>
        <v>3989629.408167447</v>
      </c>
      <c r="AQ231" s="14">
        <f t="shared" si="72"/>
        <v>3961622.4679999999</v>
      </c>
      <c r="AR231" s="8">
        <v>83530.850000000006</v>
      </c>
      <c r="AS231" s="20">
        <v>47.427058000000002</v>
      </c>
      <c r="AT231" s="8">
        <v>26291595</v>
      </c>
      <c r="AU231" s="8">
        <v>25934.9584</v>
      </c>
      <c r="AV231" s="8">
        <v>1590.787</v>
      </c>
      <c r="AW231" s="8"/>
      <c r="AX231" s="9">
        <v>419.33789260810141</v>
      </c>
      <c r="AY231" s="6">
        <f t="shared" si="77"/>
        <v>2.2574301018026138E-2</v>
      </c>
      <c r="AZ231" s="8">
        <v>422853591.74370003</v>
      </c>
      <c r="BA231" s="10">
        <v>60480066</v>
      </c>
      <c r="BB231" s="11">
        <v>26291595</v>
      </c>
      <c r="BC231" s="10">
        <v>2971324</v>
      </c>
      <c r="BD231" s="10">
        <f>1000000000-999676075.0763+51432.4733</f>
        <v>375357.39699997503</v>
      </c>
      <c r="BE231" s="12">
        <f t="shared" si="78"/>
        <v>487028065.85930002</v>
      </c>
      <c r="BF231" s="13">
        <v>238</v>
      </c>
      <c r="BG231" s="13">
        <f t="shared" si="79"/>
        <v>249.0280658593</v>
      </c>
      <c r="BH231" s="14">
        <f>BE231*47.34</f>
        <v>23055908637.779266</v>
      </c>
    </row>
    <row r="232" spans="1:60" x14ac:dyDescent="0.25">
      <c r="A232" s="3">
        <v>45854</v>
      </c>
      <c r="B232" s="4">
        <v>14838264786</v>
      </c>
      <c r="C232" s="4"/>
      <c r="D232" s="4">
        <v>605520135</v>
      </c>
      <c r="E232" s="4"/>
      <c r="N232" s="4"/>
      <c r="O232" s="4"/>
      <c r="P232" s="5">
        <v>110036</v>
      </c>
      <c r="Q232" s="4"/>
      <c r="R232" s="14">
        <f t="shared" si="60"/>
        <v>110036</v>
      </c>
      <c r="S232" s="6">
        <v>0.03</v>
      </c>
      <c r="T232" s="14">
        <f t="shared" si="61"/>
        <v>0</v>
      </c>
      <c r="U232" s="14">
        <f t="shared" si="62"/>
        <v>0</v>
      </c>
      <c r="V232" s="14">
        <f t="shared" si="63"/>
        <v>1354.1399999999999</v>
      </c>
      <c r="W232" s="14" t="str">
        <f t="shared" si="64"/>
        <v/>
      </c>
      <c r="X232" s="5">
        <v>64898</v>
      </c>
      <c r="Y232" s="4"/>
      <c r="Z232" s="4"/>
      <c r="AA232" s="14">
        <f t="shared" si="65"/>
        <v>66252.14</v>
      </c>
      <c r="AB232" s="4"/>
      <c r="AC232" s="4"/>
      <c r="AD232" s="14">
        <f t="shared" si="66"/>
        <v>0</v>
      </c>
      <c r="AE232" s="14">
        <f t="shared" si="67"/>
        <v>45138</v>
      </c>
      <c r="AF232" s="14" t="str">
        <f t="shared" si="68"/>
        <v/>
      </c>
      <c r="AG232" s="15">
        <f t="shared" si="69"/>
        <v>45138</v>
      </c>
      <c r="AH232" s="4">
        <v>4321512.6040000003</v>
      </c>
      <c r="AI232" s="17">
        <f t="shared" si="70"/>
        <v>-4276374.6040000003</v>
      </c>
      <c r="AJ232" s="7" t="str">
        <f t="shared" si="73"/>
        <v/>
      </c>
      <c r="AK232" s="7" t="str">
        <f t="shared" si="74"/>
        <v/>
      </c>
      <c r="AL232" s="7">
        <f t="shared" si="75"/>
        <v>1.8172145505945891</v>
      </c>
      <c r="AM232" s="7" t="str">
        <f t="shared" si="76"/>
        <v/>
      </c>
      <c r="AN232" s="4">
        <v>25631.071107396961</v>
      </c>
      <c r="AO232" s="4">
        <v>37791.81</v>
      </c>
      <c r="AP232" s="14">
        <f t="shared" si="71"/>
        <v>4384935.4851073967</v>
      </c>
      <c r="AQ232" s="14">
        <f t="shared" si="72"/>
        <v>4321512.6040000003</v>
      </c>
      <c r="AR232" s="8">
        <v>90398.68</v>
      </c>
      <c r="AS232" s="20">
        <v>47.805041000000003</v>
      </c>
      <c r="AT232" s="8">
        <v>26381993.68</v>
      </c>
      <c r="AU232" s="8">
        <v>26049.467499999999</v>
      </c>
      <c r="AV232" s="8">
        <v>762.50099999999998</v>
      </c>
      <c r="AW232" s="8"/>
      <c r="AX232" s="9">
        <v>424.0865230839272</v>
      </c>
      <c r="AY232" s="6">
        <f t="shared" si="77"/>
        <v>2.2420084393057555E-2</v>
      </c>
      <c r="AZ232" s="8">
        <v>422827542.2762</v>
      </c>
      <c r="BA232" s="10">
        <v>60480066</v>
      </c>
      <c r="BB232" s="11">
        <v>26381993.68</v>
      </c>
      <c r="BC232" s="10">
        <v>2971324</v>
      </c>
      <c r="BD232" s="10">
        <f>1000000000-999675312.5753+51964.1831</f>
        <v>376651.60780002177</v>
      </c>
      <c r="BE232" s="12">
        <f t="shared" si="78"/>
        <v>486962422.43599993</v>
      </c>
      <c r="BF232" s="13">
        <v>238</v>
      </c>
      <c r="BG232" s="13">
        <f t="shared" si="79"/>
        <v>248.96242243599994</v>
      </c>
      <c r="BH232" s="14">
        <f>BE232*47.92</f>
        <v>23335239283.133118</v>
      </c>
    </row>
    <row r="233" spans="1:60" x14ac:dyDescent="0.25">
      <c r="A233" s="3">
        <v>45855</v>
      </c>
      <c r="B233" s="4">
        <v>16730826629</v>
      </c>
      <c r="C233" s="4"/>
      <c r="D233" s="4">
        <v>534758802</v>
      </c>
      <c r="E233" s="4"/>
      <c r="N233" s="4"/>
      <c r="O233" s="4"/>
      <c r="P233" s="5">
        <v>141592</v>
      </c>
      <c r="Q233" s="4"/>
      <c r="R233" s="14">
        <f t="shared" si="60"/>
        <v>141592</v>
      </c>
      <c r="S233" s="6">
        <v>0.03</v>
      </c>
      <c r="T233" s="14">
        <f t="shared" si="61"/>
        <v>0</v>
      </c>
      <c r="U233" s="14">
        <f t="shared" si="62"/>
        <v>0</v>
      </c>
      <c r="V233" s="14">
        <f t="shared" si="63"/>
        <v>2347.62</v>
      </c>
      <c r="W233" s="14" t="str">
        <f t="shared" si="64"/>
        <v/>
      </c>
      <c r="X233" s="5">
        <v>63338</v>
      </c>
      <c r="Y233" s="4"/>
      <c r="Z233" s="4"/>
      <c r="AA233" s="14">
        <f t="shared" si="65"/>
        <v>65685.62</v>
      </c>
      <c r="AB233" s="4"/>
      <c r="AC233" s="4"/>
      <c r="AD233" s="14">
        <f t="shared" si="66"/>
        <v>0</v>
      </c>
      <c r="AE233" s="14">
        <f t="shared" si="67"/>
        <v>78254</v>
      </c>
      <c r="AF233" s="14" t="str">
        <f t="shared" si="68"/>
        <v/>
      </c>
      <c r="AG233" s="15">
        <f t="shared" si="69"/>
        <v>78254</v>
      </c>
      <c r="AH233" s="4">
        <v>4475765.9529999997</v>
      </c>
      <c r="AI233" s="17">
        <f t="shared" si="70"/>
        <v>-4397511.9529999997</v>
      </c>
      <c r="AJ233" s="7" t="str">
        <f t="shared" si="73"/>
        <v/>
      </c>
      <c r="AK233" s="7" t="str">
        <f t="shared" si="74"/>
        <v/>
      </c>
      <c r="AL233" s="7">
        <f t="shared" si="75"/>
        <v>2.6477731543725018</v>
      </c>
      <c r="AM233" s="7" t="str">
        <f t="shared" si="76"/>
        <v/>
      </c>
      <c r="AN233" s="4">
        <v>30615.533470059119</v>
      </c>
      <c r="AO233" s="4">
        <v>40435.29</v>
      </c>
      <c r="AP233" s="14">
        <f t="shared" si="71"/>
        <v>4546816.7764700586</v>
      </c>
      <c r="AQ233" s="14">
        <f t="shared" si="72"/>
        <v>4475765.9529999997</v>
      </c>
      <c r="AR233" s="8">
        <v>96658.21</v>
      </c>
      <c r="AS233" s="20">
        <v>46.305078000000002</v>
      </c>
      <c r="AT233" s="8">
        <v>26478651.890000001</v>
      </c>
      <c r="AU233" s="8">
        <v>26170.392400000001</v>
      </c>
      <c r="AV233" s="8">
        <v>1597.9602</v>
      </c>
      <c r="AW233" s="8"/>
      <c r="AX233" s="9">
        <v>423.08354047075028</v>
      </c>
      <c r="AY233" s="6">
        <f t="shared" si="77"/>
        <v>2.2577558123323842E-2</v>
      </c>
      <c r="AZ233" s="8">
        <v>422801371.88380003</v>
      </c>
      <c r="BA233" s="10">
        <v>60480066</v>
      </c>
      <c r="BB233" s="11">
        <v>26478651.890000001</v>
      </c>
      <c r="BC233" s="10">
        <v>2971324</v>
      </c>
      <c r="BD233" s="10">
        <f>1000000000-999673714.6151+52610.6123</f>
        <v>378895.99719997385</v>
      </c>
      <c r="BE233" s="12">
        <f t="shared" si="78"/>
        <v>486889690.22900003</v>
      </c>
      <c r="BF233" s="13">
        <v>238</v>
      </c>
      <c r="BG233" s="13">
        <f t="shared" si="79"/>
        <v>248.88969022900005</v>
      </c>
      <c r="BH233" s="14">
        <f>BE233*47.18</f>
        <v>22971455585.004223</v>
      </c>
    </row>
    <row r="234" spans="1:60" x14ac:dyDescent="0.25">
      <c r="A234" s="3">
        <v>45856</v>
      </c>
      <c r="B234" s="4">
        <v>17860068610</v>
      </c>
      <c r="C234" s="4"/>
      <c r="D234" s="4">
        <v>242005222</v>
      </c>
      <c r="E234" s="4"/>
      <c r="N234" s="4"/>
      <c r="O234" s="4"/>
      <c r="P234" s="5">
        <v>123230</v>
      </c>
      <c r="Q234" s="4"/>
      <c r="R234" s="14">
        <f t="shared" si="60"/>
        <v>123230</v>
      </c>
      <c r="S234" s="6">
        <v>0.03</v>
      </c>
      <c r="T234" s="14">
        <f t="shared" si="61"/>
        <v>0</v>
      </c>
      <c r="U234" s="14">
        <f t="shared" si="62"/>
        <v>0</v>
      </c>
      <c r="V234" s="14">
        <f t="shared" si="63"/>
        <v>3289.23</v>
      </c>
      <c r="W234" s="14" t="str">
        <f t="shared" si="64"/>
        <v/>
      </c>
      <c r="X234" s="5">
        <v>13589</v>
      </c>
      <c r="Y234" s="4"/>
      <c r="Z234" s="4"/>
      <c r="AA234" s="14">
        <f t="shared" si="65"/>
        <v>16878.23</v>
      </c>
      <c r="AB234" s="4"/>
      <c r="AC234" s="4"/>
      <c r="AD234" s="14">
        <f t="shared" si="66"/>
        <v>0</v>
      </c>
      <c r="AE234" s="14">
        <f t="shared" si="67"/>
        <v>109641</v>
      </c>
      <c r="AF234" s="14" t="str">
        <f t="shared" si="68"/>
        <v/>
      </c>
      <c r="AG234" s="15">
        <f t="shared" si="69"/>
        <v>109641</v>
      </c>
      <c r="AH234" s="4">
        <v>5353743.659</v>
      </c>
      <c r="AI234" s="17">
        <f t="shared" si="70"/>
        <v>-5244102.659</v>
      </c>
      <c r="AJ234" s="7" t="str">
        <f t="shared" si="73"/>
        <v/>
      </c>
      <c r="AK234" s="7" t="str">
        <f t="shared" si="74"/>
        <v/>
      </c>
      <c r="AL234" s="7">
        <f t="shared" si="75"/>
        <v>5.0920388817064453</v>
      </c>
      <c r="AM234" s="7" t="str">
        <f t="shared" si="76"/>
        <v/>
      </c>
      <c r="AN234" s="4">
        <v>27402.363281924459</v>
      </c>
      <c r="AO234" s="4">
        <v>38690.080000000002</v>
      </c>
      <c r="AP234" s="14">
        <f t="shared" si="71"/>
        <v>5419836.1022819243</v>
      </c>
      <c r="AQ234" s="14">
        <f t="shared" si="72"/>
        <v>5353743.659</v>
      </c>
      <c r="AR234" s="8">
        <v>117990.63</v>
      </c>
      <c r="AS234" s="20">
        <v>45.374312000000003</v>
      </c>
      <c r="AT234" s="8">
        <v>26596642.52</v>
      </c>
      <c r="AU234" s="8">
        <v>26160.4342</v>
      </c>
      <c r="AV234" s="8">
        <v>1707.7748999999999</v>
      </c>
      <c r="AW234" s="8"/>
      <c r="AX234" s="9">
        <v>426.08319127412392</v>
      </c>
      <c r="AY234" s="6">
        <f t="shared" si="77"/>
        <v>2.2410080187502304E-2</v>
      </c>
      <c r="AZ234" s="8">
        <v>422775211.4497</v>
      </c>
      <c r="BA234" s="10">
        <v>60480066</v>
      </c>
      <c r="BB234" s="11">
        <v>26596642.52</v>
      </c>
      <c r="BC234" s="10">
        <v>2971324</v>
      </c>
      <c r="BD234" s="10">
        <f>1000000000-999672006.8402+53228.0747</f>
        <v>381221.23450005264</v>
      </c>
      <c r="BE234" s="12">
        <f t="shared" si="78"/>
        <v>486795534.79579997</v>
      </c>
      <c r="BF234" s="13">
        <v>238</v>
      </c>
      <c r="BG234" s="13">
        <f t="shared" si="79"/>
        <v>248.79553479579999</v>
      </c>
      <c r="BH234" s="14">
        <f>BE234*45.26</f>
        <v>22032365904.857906</v>
      </c>
    </row>
    <row r="235" spans="1:60" x14ac:dyDescent="0.25">
      <c r="A235" s="3">
        <v>45857</v>
      </c>
      <c r="B235" s="4">
        <v>5940465681</v>
      </c>
      <c r="C235" s="4"/>
      <c r="D235" s="4">
        <v>333203527</v>
      </c>
      <c r="E235" s="4"/>
      <c r="N235" s="4"/>
      <c r="O235" s="4"/>
      <c r="P235" s="5">
        <v>55845</v>
      </c>
      <c r="Q235" s="4"/>
      <c r="R235" s="14">
        <f t="shared" si="60"/>
        <v>55845</v>
      </c>
      <c r="S235" s="6">
        <v>0.03</v>
      </c>
      <c r="T235" s="14">
        <f t="shared" si="61"/>
        <v>0</v>
      </c>
      <c r="U235" s="14">
        <f t="shared" si="62"/>
        <v>0</v>
      </c>
      <c r="V235" s="14">
        <f t="shared" si="63"/>
        <v>1092.18</v>
      </c>
      <c r="W235" s="14" t="str">
        <f t="shared" si="64"/>
        <v/>
      </c>
      <c r="X235" s="5">
        <v>19439</v>
      </c>
      <c r="Y235" s="4"/>
      <c r="Z235" s="4"/>
      <c r="AA235" s="14">
        <f t="shared" si="65"/>
        <v>20531.18</v>
      </c>
      <c r="AB235" s="4"/>
      <c r="AC235" s="4"/>
      <c r="AD235" s="14">
        <f t="shared" si="66"/>
        <v>0</v>
      </c>
      <c r="AE235" s="14">
        <f t="shared" si="67"/>
        <v>36406</v>
      </c>
      <c r="AF235" s="14" t="str">
        <f t="shared" si="68"/>
        <v/>
      </c>
      <c r="AG235" s="15">
        <f t="shared" si="69"/>
        <v>36406</v>
      </c>
      <c r="AH235" s="4">
        <v>3622903.074</v>
      </c>
      <c r="AI235" s="17">
        <f t="shared" si="70"/>
        <v>-3586497.074</v>
      </c>
      <c r="AJ235" s="7" t="str">
        <f t="shared" si="73"/>
        <v/>
      </c>
      <c r="AK235" s="7" t="str">
        <f t="shared" si="74"/>
        <v/>
      </c>
      <c r="AL235" s="7">
        <f t="shared" si="75"/>
        <v>1.6760026672826907</v>
      </c>
      <c r="AM235" s="7" t="str">
        <f t="shared" si="76"/>
        <v/>
      </c>
      <c r="AN235" s="4">
        <v>10314.03957846648</v>
      </c>
      <c r="AO235" s="4">
        <v>0</v>
      </c>
      <c r="AP235" s="14">
        <f t="shared" si="71"/>
        <v>3633217.1135784667</v>
      </c>
      <c r="AQ235" s="14">
        <f t="shared" si="72"/>
        <v>3622903.074</v>
      </c>
      <c r="AR235" s="8">
        <v>81070.97</v>
      </c>
      <c r="AS235" s="20">
        <v>44.688043999999998</v>
      </c>
      <c r="AT235" s="8">
        <v>26677713.489999998</v>
      </c>
      <c r="AU235" s="8">
        <v>26235.162199999999</v>
      </c>
      <c r="AV235" s="8">
        <v>1734.6771000000001</v>
      </c>
      <c r="AW235" s="8"/>
      <c r="AX235" s="9">
        <v>425.15384690603418</v>
      </c>
      <c r="AY235" s="6">
        <f t="shared" si="77"/>
        <v>2.2523221353131524E-2</v>
      </c>
      <c r="AZ235" s="8">
        <v>422748976.28750002</v>
      </c>
      <c r="BA235" s="10">
        <v>60480066</v>
      </c>
      <c r="BB235" s="11">
        <v>26677713.489999998</v>
      </c>
      <c r="BC235" s="10">
        <v>2971324</v>
      </c>
      <c r="BD235" s="10">
        <f>1000000000-999670272.1631+53459.8769</f>
        <v>383187.71379999584</v>
      </c>
      <c r="BE235" s="12">
        <f t="shared" si="78"/>
        <v>486738732.50869995</v>
      </c>
      <c r="BF235" s="13">
        <v>238</v>
      </c>
      <c r="BG235" s="13">
        <f t="shared" si="79"/>
        <v>248.73873250869997</v>
      </c>
      <c r="BH235" s="14">
        <f>BE235*44.7</f>
        <v>21757221343.138889</v>
      </c>
    </row>
    <row r="236" spans="1:60" x14ac:dyDescent="0.25">
      <c r="A236" s="3">
        <v>45858</v>
      </c>
      <c r="B236" s="4">
        <v>11223164737</v>
      </c>
      <c r="C236" s="4"/>
      <c r="D236" s="4">
        <v>423990453</v>
      </c>
      <c r="E236" s="4"/>
      <c r="N236" s="4"/>
      <c r="O236" s="4"/>
      <c r="P236" s="5">
        <v>67623</v>
      </c>
      <c r="Q236" s="4"/>
      <c r="R236" s="14">
        <f t="shared" si="60"/>
        <v>67623</v>
      </c>
      <c r="S236" s="6">
        <v>0.03</v>
      </c>
      <c r="T236" s="14">
        <f t="shared" si="61"/>
        <v>0</v>
      </c>
      <c r="U236" s="14">
        <f t="shared" si="62"/>
        <v>0</v>
      </c>
      <c r="V236" s="14">
        <f t="shared" si="63"/>
        <v>886.65</v>
      </c>
      <c r="W236" s="14" t="str">
        <f t="shared" si="64"/>
        <v/>
      </c>
      <c r="X236" s="5">
        <v>38068</v>
      </c>
      <c r="Y236" s="4"/>
      <c r="Z236" s="4"/>
      <c r="AA236" s="14">
        <f t="shared" si="65"/>
        <v>38954.65</v>
      </c>
      <c r="AB236" s="4"/>
      <c r="AC236" s="4"/>
      <c r="AD236" s="14">
        <f t="shared" si="66"/>
        <v>0</v>
      </c>
      <c r="AE236" s="14">
        <f t="shared" si="67"/>
        <v>29555</v>
      </c>
      <c r="AF236" s="14" t="str">
        <f t="shared" si="68"/>
        <v/>
      </c>
      <c r="AG236" s="15">
        <f t="shared" si="69"/>
        <v>29555</v>
      </c>
      <c r="AH236" s="4">
        <v>1637416.709</v>
      </c>
      <c r="AI236" s="17">
        <f t="shared" si="70"/>
        <v>-1607861.709</v>
      </c>
      <c r="AJ236" s="7" t="str">
        <f t="shared" si="73"/>
        <v/>
      </c>
      <c r="AK236" s="7" t="str">
        <f t="shared" si="74"/>
        <v/>
      </c>
      <c r="AL236" s="7">
        <f t="shared" si="75"/>
        <v>1.5949179874576092</v>
      </c>
      <c r="AM236" s="7" t="str">
        <f t="shared" si="76"/>
        <v/>
      </c>
      <c r="AN236" s="4">
        <v>14768.492127487511</v>
      </c>
      <c r="AO236" s="4">
        <v>23046.68</v>
      </c>
      <c r="AP236" s="14">
        <f t="shared" si="71"/>
        <v>1675231.8811274874</v>
      </c>
      <c r="AQ236" s="14">
        <f t="shared" si="72"/>
        <v>1637416.709</v>
      </c>
      <c r="AR236" s="8">
        <v>35661.339999999997</v>
      </c>
      <c r="AS236" s="20">
        <v>45.915737</v>
      </c>
      <c r="AT236" s="8">
        <v>26713374.829999998</v>
      </c>
      <c r="AU236" s="8">
        <v>25437.460500000001</v>
      </c>
      <c r="AV236" s="8">
        <v>387.07580000000002</v>
      </c>
      <c r="AW236" s="8"/>
      <c r="AX236" s="9">
        <v>425.99786049132757</v>
      </c>
      <c r="AY236" s="6">
        <f t="shared" si="77"/>
        <v>2.1795116697984018E-2</v>
      </c>
      <c r="AZ236" s="8">
        <v>422723538.82700002</v>
      </c>
      <c r="BA236" s="10">
        <v>60480066</v>
      </c>
      <c r="BB236" s="11">
        <v>26713374.829999998</v>
      </c>
      <c r="BC236" s="10">
        <v>2971324</v>
      </c>
      <c r="BD236" s="10">
        <f>1000000000-999669885.0873+53780.7079</f>
        <v>383895.62060005701</v>
      </c>
      <c r="BE236" s="12">
        <f t="shared" si="78"/>
        <v>486727800.72239995</v>
      </c>
      <c r="BF236" s="13">
        <v>238</v>
      </c>
      <c r="BG236" s="13">
        <f t="shared" si="79"/>
        <v>248.72780072239993</v>
      </c>
      <c r="BH236" s="14">
        <f>BE236*44.24</f>
        <v>21532837903.958973</v>
      </c>
    </row>
    <row r="237" spans="1:60" x14ac:dyDescent="0.25">
      <c r="A237" s="3">
        <v>45859</v>
      </c>
      <c r="B237" s="4">
        <v>15217202579</v>
      </c>
      <c r="C237" s="4"/>
      <c r="D237" s="4">
        <v>499809586</v>
      </c>
      <c r="E237" s="4"/>
      <c r="N237" s="4"/>
      <c r="O237" s="4"/>
      <c r="P237" s="5">
        <v>97640</v>
      </c>
      <c r="Q237" s="4"/>
      <c r="R237" s="14">
        <f t="shared" si="60"/>
        <v>97640</v>
      </c>
      <c r="S237" s="6">
        <v>0.03</v>
      </c>
      <c r="T237" s="14">
        <f t="shared" si="61"/>
        <v>0</v>
      </c>
      <c r="U237" s="14">
        <f t="shared" si="62"/>
        <v>0</v>
      </c>
      <c r="V237" s="14">
        <f t="shared" si="63"/>
        <v>1623.9299999999998</v>
      </c>
      <c r="W237" s="14" t="str">
        <f t="shared" si="64"/>
        <v/>
      </c>
      <c r="X237" s="5">
        <v>43509</v>
      </c>
      <c r="Y237" s="4"/>
      <c r="Z237" s="4"/>
      <c r="AA237" s="14">
        <f t="shared" si="65"/>
        <v>45132.93</v>
      </c>
      <c r="AB237" s="4"/>
      <c r="AC237" s="4"/>
      <c r="AD237" s="14">
        <f t="shared" si="66"/>
        <v>0</v>
      </c>
      <c r="AE237" s="14">
        <f t="shared" si="67"/>
        <v>54131</v>
      </c>
      <c r="AF237" s="14" t="str">
        <f t="shared" si="68"/>
        <v/>
      </c>
      <c r="AG237" s="15">
        <f t="shared" si="69"/>
        <v>54131</v>
      </c>
      <c r="AH237" s="4">
        <v>4157067.3016300001</v>
      </c>
      <c r="AI237" s="17">
        <f t="shared" si="70"/>
        <v>-4102936.3016300001</v>
      </c>
      <c r="AJ237" s="7" t="str">
        <f t="shared" si="73"/>
        <v/>
      </c>
      <c r="AK237" s="7" t="str">
        <f t="shared" si="74"/>
        <v/>
      </c>
      <c r="AL237" s="7">
        <f t="shared" si="75"/>
        <v>1.9535439642408141</v>
      </c>
      <c r="AM237" s="7" t="str">
        <f t="shared" si="76"/>
        <v/>
      </c>
      <c r="AN237" s="4">
        <v>30281.514540493561</v>
      </c>
      <c r="AO237" s="4">
        <v>30277.06</v>
      </c>
      <c r="AP237" s="14">
        <f t="shared" si="71"/>
        <v>4217625.8761704937</v>
      </c>
      <c r="AQ237" s="14">
        <f t="shared" si="72"/>
        <v>4157067.3016300001</v>
      </c>
      <c r="AR237" s="8">
        <v>89986.02</v>
      </c>
      <c r="AS237" s="20">
        <v>46.196812589666713</v>
      </c>
      <c r="AT237" s="8">
        <v>26790541.329999998</v>
      </c>
      <c r="AU237" s="8">
        <v>26253.086200000002</v>
      </c>
      <c r="AV237" s="8">
        <v>1064.9001000000001</v>
      </c>
      <c r="AW237" s="8"/>
      <c r="AX237" s="9">
        <v>425.86892857098547</v>
      </c>
      <c r="AY237" s="6">
        <f t="shared" si="77"/>
        <v>2.2500764484401151E-2</v>
      </c>
      <c r="AZ237" s="8">
        <v>422697285.74080002</v>
      </c>
      <c r="BA237" s="10">
        <v>60480066</v>
      </c>
      <c r="BB237" s="11">
        <v>26790541.329999998</v>
      </c>
      <c r="BC237" s="10">
        <v>2971324</v>
      </c>
      <c r="BD237" s="10">
        <f>1000000000-999668820.1872+54463.4005</f>
        <v>385643.21330004977</v>
      </c>
      <c r="BE237" s="12">
        <f t="shared" si="78"/>
        <v>486675139.71589994</v>
      </c>
      <c r="BF237" s="13">
        <v>238</v>
      </c>
      <c r="BG237" s="13">
        <f t="shared" si="79"/>
        <v>248.67513971589995</v>
      </c>
      <c r="BH237" s="14">
        <f>BE237*45.49</f>
        <v>22138852105.676289</v>
      </c>
    </row>
    <row r="238" spans="1:60" x14ac:dyDescent="0.25">
      <c r="A238" s="3">
        <v>45860</v>
      </c>
      <c r="B238" s="4">
        <v>17573226980</v>
      </c>
      <c r="C238" s="4"/>
      <c r="D238" s="4">
        <v>465675371</v>
      </c>
      <c r="E238" s="4"/>
      <c r="N238" s="4"/>
      <c r="O238" s="4"/>
      <c r="P238" s="5">
        <v>105959</v>
      </c>
      <c r="Q238" s="4"/>
      <c r="R238" s="14">
        <f t="shared" si="60"/>
        <v>105959</v>
      </c>
      <c r="S238" s="6">
        <v>0.03</v>
      </c>
      <c r="T238" s="14">
        <f t="shared" si="61"/>
        <v>0</v>
      </c>
      <c r="U238" s="14">
        <f t="shared" si="62"/>
        <v>0</v>
      </c>
      <c r="V238" s="14">
        <f t="shared" si="63"/>
        <v>2382.5099999999998</v>
      </c>
      <c r="W238" s="14" t="str">
        <f t="shared" si="64"/>
        <v/>
      </c>
      <c r="X238" s="5">
        <v>26542</v>
      </c>
      <c r="Y238" s="4"/>
      <c r="Z238" s="4"/>
      <c r="AA238" s="14">
        <f t="shared" si="65"/>
        <v>28924.51</v>
      </c>
      <c r="AB238" s="4"/>
      <c r="AC238" s="4"/>
      <c r="AD238" s="14">
        <f t="shared" si="66"/>
        <v>0</v>
      </c>
      <c r="AE238" s="14">
        <f t="shared" si="67"/>
        <v>79417</v>
      </c>
      <c r="AF238" s="14" t="str">
        <f t="shared" si="68"/>
        <v/>
      </c>
      <c r="AG238" s="15">
        <f t="shared" si="69"/>
        <v>79417</v>
      </c>
      <c r="AH238" s="4">
        <v>4309374.3851100001</v>
      </c>
      <c r="AI238" s="17">
        <f t="shared" si="70"/>
        <v>-4229957.3851100001</v>
      </c>
      <c r="AJ238" s="7" t="str">
        <f t="shared" si="73"/>
        <v/>
      </c>
      <c r="AK238" s="7" t="str">
        <f t="shared" si="74"/>
        <v/>
      </c>
      <c r="AL238" s="7">
        <f t="shared" si="75"/>
        <v>2.2753833807543153</v>
      </c>
      <c r="AM238" s="7" t="str">
        <f t="shared" si="76"/>
        <v/>
      </c>
      <c r="AN238" s="4">
        <v>29834.46565461404</v>
      </c>
      <c r="AO238" s="4">
        <v>31954.400000000001</v>
      </c>
      <c r="AP238" s="14">
        <f t="shared" si="71"/>
        <v>4371163.2507646149</v>
      </c>
      <c r="AQ238" s="14">
        <f t="shared" si="72"/>
        <v>4309374.3851100001</v>
      </c>
      <c r="AR238" s="8">
        <v>97303.92</v>
      </c>
      <c r="AS238" s="20">
        <v>44.287777770001448</v>
      </c>
      <c r="AT238" s="8">
        <v>26894757.84</v>
      </c>
      <c r="AU238" s="8">
        <v>26270.2379</v>
      </c>
      <c r="AV238" s="8">
        <v>1351.9293</v>
      </c>
      <c r="AW238" s="8"/>
      <c r="AX238" s="9">
        <v>425.66060726240357</v>
      </c>
      <c r="AY238" s="6">
        <f t="shared" si="77"/>
        <v>2.2526483940265043E-2</v>
      </c>
      <c r="AZ238" s="8">
        <v>422671015.50279999</v>
      </c>
      <c r="BA238" s="10">
        <v>60480066</v>
      </c>
      <c r="BB238" s="11">
        <v>26894757.84</v>
      </c>
      <c r="BC238" s="10">
        <v>2971324</v>
      </c>
      <c r="BD238" s="10">
        <f>1000000000-999667468.2579+55107.2172</f>
        <v>387638.9593000004</v>
      </c>
      <c r="BE238" s="12">
        <f t="shared" si="78"/>
        <v>486595197.69790006</v>
      </c>
      <c r="BF238" s="13">
        <v>238</v>
      </c>
      <c r="BG238" s="13">
        <f t="shared" si="79"/>
        <v>248.59519769790006</v>
      </c>
      <c r="BH238" s="14">
        <f>BE238*44.45</f>
        <v>21629156537.671658</v>
      </c>
    </row>
    <row r="239" spans="1:60" x14ac:dyDescent="0.25">
      <c r="A239" s="3">
        <v>45861</v>
      </c>
      <c r="B239" s="4">
        <v>13920019812</v>
      </c>
      <c r="C239" s="4"/>
      <c r="D239" s="4">
        <v>397759222</v>
      </c>
      <c r="E239" s="4"/>
      <c r="N239" s="4"/>
      <c r="O239" s="4"/>
      <c r="P239" s="5">
        <v>99943</v>
      </c>
      <c r="Q239" s="4"/>
      <c r="R239" s="14">
        <f t="shared" si="60"/>
        <v>99943</v>
      </c>
      <c r="S239" s="6">
        <v>0.03</v>
      </c>
      <c r="T239" s="14">
        <f t="shared" si="61"/>
        <v>0</v>
      </c>
      <c r="U239" s="14">
        <f t="shared" si="62"/>
        <v>0</v>
      </c>
      <c r="V239" s="14">
        <f t="shared" si="63"/>
        <v>2238.0299999999997</v>
      </c>
      <c r="W239" s="14" t="str">
        <f t="shared" si="64"/>
        <v/>
      </c>
      <c r="X239" s="5">
        <v>25342</v>
      </c>
      <c r="Y239" s="4"/>
      <c r="Z239" s="4"/>
      <c r="AA239" s="14">
        <f t="shared" si="65"/>
        <v>27580.03</v>
      </c>
      <c r="AB239" s="4"/>
      <c r="AC239" s="4"/>
      <c r="AD239" s="14">
        <f t="shared" si="66"/>
        <v>0</v>
      </c>
      <c r="AE239" s="14">
        <f t="shared" si="67"/>
        <v>74601</v>
      </c>
      <c r="AF239" s="14" t="str">
        <f t="shared" si="68"/>
        <v/>
      </c>
      <c r="AG239" s="15">
        <f t="shared" si="69"/>
        <v>74601</v>
      </c>
      <c r="AH239" s="4">
        <v>4231130.1464499999</v>
      </c>
      <c r="AI239" s="17">
        <f t="shared" si="70"/>
        <v>-4156529.1464499999</v>
      </c>
      <c r="AJ239" s="7" t="str">
        <f t="shared" si="73"/>
        <v/>
      </c>
      <c r="AK239" s="7" t="str">
        <f t="shared" si="74"/>
        <v/>
      </c>
      <c r="AL239" s="7">
        <f t="shared" si="75"/>
        <v>2.5126507312003947</v>
      </c>
      <c r="AM239" s="7" t="str">
        <f t="shared" si="76"/>
        <v/>
      </c>
      <c r="AN239" s="4">
        <v>22305.809696031829</v>
      </c>
      <c r="AO239" s="4">
        <v>38252.86</v>
      </c>
      <c r="AP239" s="14">
        <f t="shared" si="71"/>
        <v>4291688.816146032</v>
      </c>
      <c r="AQ239" s="14">
        <f t="shared" si="72"/>
        <v>4231130.1464499999</v>
      </c>
      <c r="AR239" s="8">
        <v>96327.11</v>
      </c>
      <c r="AS239" s="20">
        <v>43.924603846726008</v>
      </c>
      <c r="AT239" s="8">
        <v>26980394.039999999</v>
      </c>
      <c r="AU239" s="8">
        <v>26260.007699999998</v>
      </c>
      <c r="AV239" s="8">
        <v>1567.0252</v>
      </c>
      <c r="AW239" s="8"/>
      <c r="AX239" s="9">
        <v>425.66981105553361</v>
      </c>
      <c r="AY239" s="6">
        <f t="shared" si="77"/>
        <v>2.2517224763326092E-2</v>
      </c>
      <c r="AZ239" s="8">
        <v>422644755.49510002</v>
      </c>
      <c r="BA239" s="10">
        <v>60480066</v>
      </c>
      <c r="BB239" s="11">
        <v>26980394.039999999</v>
      </c>
      <c r="BC239" s="10">
        <v>2971324</v>
      </c>
      <c r="BD239" s="10">
        <f>1000000000-999665901.2326+55616.68</f>
        <v>389715.44740002631</v>
      </c>
      <c r="BE239" s="12">
        <f t="shared" si="78"/>
        <v>486533745.01749992</v>
      </c>
      <c r="BF239" s="13">
        <v>238</v>
      </c>
      <c r="BG239" s="13">
        <f t="shared" si="79"/>
        <v>248.53374501749994</v>
      </c>
      <c r="BH239" s="14">
        <f>BE239*45.68</f>
        <v>22224861472.399395</v>
      </c>
    </row>
    <row r="240" spans="1:60" x14ac:dyDescent="0.25">
      <c r="A240" s="3">
        <v>45862</v>
      </c>
      <c r="B240" s="4">
        <v>13225484310</v>
      </c>
      <c r="C240" s="4"/>
      <c r="D240" s="4">
        <v>413143280</v>
      </c>
      <c r="E240" s="4"/>
      <c r="N240" s="4"/>
      <c r="O240" s="4"/>
      <c r="P240" s="5">
        <v>91205</v>
      </c>
      <c r="Q240" s="4"/>
      <c r="R240" s="14">
        <f t="shared" si="60"/>
        <v>91205</v>
      </c>
      <c r="S240" s="6">
        <v>0.03</v>
      </c>
      <c r="T240" s="14">
        <f t="shared" si="61"/>
        <v>0</v>
      </c>
      <c r="U240" s="14">
        <f t="shared" si="62"/>
        <v>0</v>
      </c>
      <c r="V240" s="14">
        <f t="shared" si="63"/>
        <v>2007.6899999999998</v>
      </c>
      <c r="W240" s="14" t="str">
        <f t="shared" si="64"/>
        <v/>
      </c>
      <c r="X240" s="5">
        <v>24282</v>
      </c>
      <c r="Y240" s="4"/>
      <c r="Z240" s="4"/>
      <c r="AA240" s="14">
        <f t="shared" si="65"/>
        <v>26289.69</v>
      </c>
      <c r="AB240" s="4"/>
      <c r="AC240" s="4"/>
      <c r="AD240" s="14">
        <f t="shared" si="66"/>
        <v>0</v>
      </c>
      <c r="AE240" s="14">
        <f t="shared" si="67"/>
        <v>66923</v>
      </c>
      <c r="AF240" s="14" t="str">
        <f t="shared" si="68"/>
        <v/>
      </c>
      <c r="AG240" s="15">
        <f t="shared" si="69"/>
        <v>66923</v>
      </c>
      <c r="AH240" s="4">
        <v>3649361.0544500002</v>
      </c>
      <c r="AI240" s="17">
        <f t="shared" si="70"/>
        <v>-3582438.0544500002</v>
      </c>
      <c r="AJ240" s="7" t="str">
        <f t="shared" si="73"/>
        <v/>
      </c>
      <c r="AK240" s="7" t="str">
        <f t="shared" si="74"/>
        <v/>
      </c>
      <c r="AL240" s="7">
        <f t="shared" si="75"/>
        <v>2.207587643686229</v>
      </c>
      <c r="AM240" s="7" t="str">
        <f t="shared" si="76"/>
        <v/>
      </c>
      <c r="AN240" s="4">
        <v>15704.905216265801</v>
      </c>
      <c r="AO240" s="4">
        <v>61141.07</v>
      </c>
      <c r="AP240" s="14">
        <f t="shared" si="71"/>
        <v>3726207.0296662659</v>
      </c>
      <c r="AQ240" s="14">
        <f t="shared" si="72"/>
        <v>3649361.0544500002</v>
      </c>
      <c r="AR240" s="8">
        <v>85212.58</v>
      </c>
      <c r="AS240" s="20">
        <v>42.82655277483677</v>
      </c>
      <c r="AT240" s="8">
        <v>27094232.140000001</v>
      </c>
      <c r="AU240" s="8">
        <v>26273.1</v>
      </c>
      <c r="AV240" s="8">
        <v>1495.0699</v>
      </c>
      <c r="AW240" s="8"/>
      <c r="AX240" s="9">
        <v>426.26987808271087</v>
      </c>
      <c r="AY240" s="6">
        <f t="shared" si="77"/>
        <v>2.2496737379457236E-2</v>
      </c>
      <c r="AZ240" s="8">
        <v>422618482.3951</v>
      </c>
      <c r="BA240" s="10">
        <v>60480066</v>
      </c>
      <c r="BB240" s="11">
        <v>27094232.140000001</v>
      </c>
      <c r="BC240" s="10">
        <v>2971324</v>
      </c>
      <c r="BD240" s="10">
        <f>1000000000-999664406.1627+55989.4082</f>
        <v>391583.24549994298</v>
      </c>
      <c r="BE240" s="12">
        <f t="shared" si="78"/>
        <v>486444312.21940005</v>
      </c>
      <c r="BF240" s="13">
        <v>238</v>
      </c>
      <c r="BG240" s="13">
        <f t="shared" si="79"/>
        <v>248.44431221940005</v>
      </c>
      <c r="BH240" s="14">
        <f>BE240*43.62</f>
        <v>21218700899.010227</v>
      </c>
    </row>
    <row r="241" spans="1:60" x14ac:dyDescent="0.25">
      <c r="A241" s="3">
        <v>45863</v>
      </c>
      <c r="B241" s="4">
        <v>15953353063</v>
      </c>
      <c r="C241" s="4"/>
      <c r="D241" s="4">
        <v>235138334</v>
      </c>
      <c r="E241" s="4"/>
      <c r="N241" s="4"/>
      <c r="O241" s="4"/>
      <c r="P241" s="5">
        <v>90407</v>
      </c>
      <c r="Q241" s="4"/>
      <c r="R241" s="14">
        <f t="shared" ref="R241:R304" si="80">N241+O241+P241+N(Q241)</f>
        <v>90407</v>
      </c>
      <c r="S241" s="6">
        <v>0.03</v>
      </c>
      <c r="T241" s="14">
        <f t="shared" ref="T241:T304" si="81">N(AC241)*S241</f>
        <v>0</v>
      </c>
      <c r="U241" s="14">
        <f t="shared" ref="U241:U304" si="82">N(AD241)*S241</f>
        <v>0</v>
      </c>
      <c r="V241" s="14">
        <f t="shared" ref="V241:V304" si="83">N(AE241)*S241</f>
        <v>1430.82</v>
      </c>
      <c r="W241" s="14" t="str">
        <f t="shared" ref="W241:W304" si="84">IF(Q241="","",N(AF241)*S241)</f>
        <v/>
      </c>
      <c r="X241" s="5">
        <v>42713</v>
      </c>
      <c r="Y241" s="4"/>
      <c r="Z241" s="4"/>
      <c r="AA241" s="14">
        <f t="shared" ref="AA241:AA304" si="85">T241+U241+V241+N(W241)+X241+Y241+N(Z241)</f>
        <v>44143.82</v>
      </c>
      <c r="AB241" s="4"/>
      <c r="AC241" s="4"/>
      <c r="AD241" s="14">
        <f t="shared" ref="AD241:AD304" si="86">O241-Y241</f>
        <v>0</v>
      </c>
      <c r="AE241" s="14">
        <f t="shared" ref="AE241:AE304" si="87">P241-X241</f>
        <v>47694</v>
      </c>
      <c r="AF241" s="14" t="str">
        <f t="shared" ref="AF241:AF304" si="88">IF(Q241="","",Q241-Z241)</f>
        <v/>
      </c>
      <c r="AG241" s="15">
        <f t="shared" ref="AG241:AG304" si="89">AC241+AD241+AE241+N(AF241)</f>
        <v>47694</v>
      </c>
      <c r="AH241" s="4">
        <v>3875969.71215</v>
      </c>
      <c r="AI241" s="17">
        <f t="shared" ref="AI241:AI304" si="90">AG241-AH241</f>
        <v>-3828275.71215</v>
      </c>
      <c r="AJ241" s="7" t="str">
        <f t="shared" si="73"/>
        <v/>
      </c>
      <c r="AK241" s="7" t="str">
        <f t="shared" si="74"/>
        <v/>
      </c>
      <c r="AL241" s="7">
        <f t="shared" si="75"/>
        <v>3.8448430956391824</v>
      </c>
      <c r="AM241" s="7" t="str">
        <f t="shared" si="76"/>
        <v/>
      </c>
      <c r="AN241" s="4">
        <v>17068.723359072221</v>
      </c>
      <c r="AO241" s="4">
        <v>0</v>
      </c>
      <c r="AP241" s="14">
        <f t="shared" ref="AP241:AP304" si="91">AH241+AN241+AO241</f>
        <v>3893038.4355090722</v>
      </c>
      <c r="AQ241" s="14">
        <f t="shared" ref="AQ241:AQ304" si="92">AH241</f>
        <v>3875969.71215</v>
      </c>
      <c r="AR241" s="8">
        <v>91651.09</v>
      </c>
      <c r="AS241" s="20">
        <v>42.290492258739093</v>
      </c>
      <c r="AT241" s="8">
        <v>27194423.780000001</v>
      </c>
      <c r="AU241" s="8">
        <v>26270.682700000001</v>
      </c>
      <c r="AV241" s="8">
        <v>2080.4413</v>
      </c>
      <c r="AW241" s="8"/>
      <c r="AX241" s="9">
        <v>425.3087440908123</v>
      </c>
      <c r="AY241" s="6">
        <f t="shared" si="77"/>
        <v>2.2545502105765759E-2</v>
      </c>
      <c r="AZ241" s="8">
        <v>422592211.71240002</v>
      </c>
      <c r="BA241" s="10">
        <v>60480066</v>
      </c>
      <c r="BB241" s="11">
        <v>27194423.780000001</v>
      </c>
      <c r="BC241" s="10">
        <v>2971324</v>
      </c>
      <c r="BD241" s="10">
        <f>1000000000-999662325.7214+56392.3907</f>
        <v>394066.66929997748</v>
      </c>
      <c r="BE241" s="12">
        <f t="shared" si="78"/>
        <v>486367907.83830011</v>
      </c>
      <c r="BF241" s="13">
        <v>238</v>
      </c>
      <c r="BG241" s="13">
        <f t="shared" si="79"/>
        <v>248.36790783830008</v>
      </c>
      <c r="BH241" s="14">
        <f>BE241*41.83</f>
        <v>20344769584.876091</v>
      </c>
    </row>
    <row r="242" spans="1:60" x14ac:dyDescent="0.25">
      <c r="A242" s="3">
        <v>45864</v>
      </c>
      <c r="B242" s="4">
        <v>5698633537</v>
      </c>
      <c r="C242" s="4"/>
      <c r="D242" s="4">
        <v>277162323</v>
      </c>
      <c r="E242" s="4"/>
      <c r="N242" s="4"/>
      <c r="O242" s="4"/>
      <c r="P242" s="5">
        <v>51478</v>
      </c>
      <c r="Q242" s="4"/>
      <c r="R242" s="14">
        <f t="shared" si="80"/>
        <v>51478</v>
      </c>
      <c r="S242" s="6">
        <v>0.03</v>
      </c>
      <c r="T242" s="14">
        <f t="shared" si="81"/>
        <v>0</v>
      </c>
      <c r="U242" s="14">
        <f t="shared" si="82"/>
        <v>0</v>
      </c>
      <c r="V242" s="14">
        <f t="shared" si="83"/>
        <v>570.87</v>
      </c>
      <c r="W242" s="14" t="str">
        <f t="shared" si="84"/>
        <v/>
      </c>
      <c r="X242" s="5">
        <v>32449</v>
      </c>
      <c r="Y242" s="4"/>
      <c r="Z242" s="4"/>
      <c r="AA242" s="14">
        <f t="shared" si="85"/>
        <v>33019.870000000003</v>
      </c>
      <c r="AB242" s="4"/>
      <c r="AC242" s="4"/>
      <c r="AD242" s="14">
        <f t="shared" si="86"/>
        <v>0</v>
      </c>
      <c r="AE242" s="14">
        <f t="shared" si="87"/>
        <v>19029</v>
      </c>
      <c r="AF242" s="14" t="str">
        <f t="shared" si="88"/>
        <v/>
      </c>
      <c r="AG242" s="15">
        <f t="shared" si="89"/>
        <v>19029</v>
      </c>
      <c r="AH242" s="4">
        <v>2008190.4753399999</v>
      </c>
      <c r="AI242" s="17">
        <f t="shared" si="90"/>
        <v>-1989161.4753399999</v>
      </c>
      <c r="AJ242" s="7" t="str">
        <f t="shared" si="73"/>
        <v/>
      </c>
      <c r="AK242" s="7" t="str">
        <f t="shared" si="74"/>
        <v/>
      </c>
      <c r="AL242" s="7">
        <f t="shared" si="75"/>
        <v>1.8573231542730289</v>
      </c>
      <c r="AM242" s="7" t="str">
        <f t="shared" si="76"/>
        <v/>
      </c>
      <c r="AN242" s="4">
        <v>9624.4893246014544</v>
      </c>
      <c r="AO242" s="4">
        <v>29583.13</v>
      </c>
      <c r="AP242" s="14">
        <f t="shared" si="91"/>
        <v>2047398.0946646011</v>
      </c>
      <c r="AQ242" s="14">
        <f t="shared" si="92"/>
        <v>2008190.4753399999</v>
      </c>
      <c r="AR242" s="8">
        <v>45480.69</v>
      </c>
      <c r="AS242" s="20">
        <v>44.154793503352742</v>
      </c>
      <c r="AT242" s="8">
        <v>27257117.780000001</v>
      </c>
      <c r="AU242" s="8">
        <v>26267.594000000001</v>
      </c>
      <c r="AV242" s="8">
        <v>620.58950000000004</v>
      </c>
      <c r="AW242" s="8"/>
      <c r="AX242" s="9">
        <v>425.76601180945761</v>
      </c>
      <c r="AY242" s="6">
        <f t="shared" si="77"/>
        <v>2.2518640624350158E-2</v>
      </c>
      <c r="AZ242" s="8">
        <v>422565944.11839998</v>
      </c>
      <c r="BA242" s="10">
        <v>60480066</v>
      </c>
      <c r="BB242" s="11">
        <v>27257117.780000001</v>
      </c>
      <c r="BC242" s="10">
        <v>2971324</v>
      </c>
      <c r="BD242" s="10">
        <f>1000000000-999661705.1319+56614.1531</f>
        <v>394909.02120004711</v>
      </c>
      <c r="BE242" s="12">
        <f t="shared" si="78"/>
        <v>486330639.08039999</v>
      </c>
      <c r="BF242" s="13">
        <v>238</v>
      </c>
      <c r="BG242" s="13">
        <f t="shared" si="79"/>
        <v>248.33063908039998</v>
      </c>
      <c r="BH242" s="14">
        <f>BE242*43.94</f>
        <v>21369368281.192776</v>
      </c>
    </row>
    <row r="243" spans="1:60" x14ac:dyDescent="0.25">
      <c r="A243" s="3">
        <v>45865</v>
      </c>
      <c r="B243" s="4">
        <v>7413250947</v>
      </c>
      <c r="C243" s="4"/>
      <c r="D243" s="4">
        <v>460399034</v>
      </c>
      <c r="E243" s="4"/>
      <c r="N243" s="4"/>
      <c r="O243" s="4"/>
      <c r="P243" s="5">
        <v>63428</v>
      </c>
      <c r="Q243" s="4"/>
      <c r="R243" s="14">
        <f t="shared" si="80"/>
        <v>63428</v>
      </c>
      <c r="S243" s="6">
        <v>0.03</v>
      </c>
      <c r="T243" s="14">
        <f t="shared" si="81"/>
        <v>0</v>
      </c>
      <c r="U243" s="14">
        <f t="shared" si="82"/>
        <v>0</v>
      </c>
      <c r="V243" s="14">
        <f t="shared" si="83"/>
        <v>739.53</v>
      </c>
      <c r="W243" s="14" t="str">
        <f t="shared" si="84"/>
        <v/>
      </c>
      <c r="X243" s="5">
        <v>38777</v>
      </c>
      <c r="Y243" s="4"/>
      <c r="Z243" s="4"/>
      <c r="AA243" s="14">
        <f t="shared" si="85"/>
        <v>39516.53</v>
      </c>
      <c r="AB243" s="4"/>
      <c r="AC243" s="4"/>
      <c r="AD243" s="14">
        <f t="shared" si="86"/>
        <v>0</v>
      </c>
      <c r="AE243" s="14">
        <f t="shared" si="87"/>
        <v>24651</v>
      </c>
      <c r="AF243" s="14" t="str">
        <f t="shared" si="88"/>
        <v/>
      </c>
      <c r="AG243" s="15">
        <f t="shared" si="89"/>
        <v>24651</v>
      </c>
      <c r="AH243" s="4">
        <v>2122051.7825600002</v>
      </c>
      <c r="AI243" s="17">
        <f t="shared" si="90"/>
        <v>-2097400.7825600002</v>
      </c>
      <c r="AJ243" s="7" t="str">
        <f t="shared" si="73"/>
        <v/>
      </c>
      <c r="AK243" s="7" t="str">
        <f t="shared" si="74"/>
        <v/>
      </c>
      <c r="AL243" s="7">
        <f t="shared" si="75"/>
        <v>1.3776744805246486</v>
      </c>
      <c r="AM243" s="7" t="str">
        <f t="shared" si="76"/>
        <v/>
      </c>
      <c r="AN243" s="4">
        <v>9811.1807492597582</v>
      </c>
      <c r="AO243" s="4">
        <v>0</v>
      </c>
      <c r="AP243" s="14">
        <f t="shared" si="91"/>
        <v>2131862.9633092601</v>
      </c>
      <c r="AQ243" s="14">
        <f t="shared" si="92"/>
        <v>2122051.7825600002</v>
      </c>
      <c r="AR243" s="8">
        <v>48885.03</v>
      </c>
      <c r="AS243" s="20">
        <v>43.409030997014838</v>
      </c>
      <c r="AT243" s="8">
        <v>27288584.559999999</v>
      </c>
      <c r="AU243" s="8">
        <v>26273.954900000001</v>
      </c>
      <c r="AV243" s="8">
        <v>1027.789</v>
      </c>
      <c r="AW243" s="8"/>
      <c r="AX243" s="9">
        <v>426.48493361485129</v>
      </c>
      <c r="AY243" s="6">
        <f t="shared" si="77"/>
        <v>2.248612502490065E-2</v>
      </c>
      <c r="AZ243" s="8">
        <v>422539670.16360003</v>
      </c>
      <c r="BA243" s="10">
        <v>60480066</v>
      </c>
      <c r="BB243" s="11">
        <v>27288584.559999999</v>
      </c>
      <c r="BC243" s="10">
        <v>2971324</v>
      </c>
      <c r="BD243" s="10">
        <f>1000000000-999660677.3429+56839.6301</f>
        <v>396162.28719996224</v>
      </c>
      <c r="BE243" s="12">
        <f t="shared" si="78"/>
        <v>486324192.98920006</v>
      </c>
      <c r="BF243" s="13">
        <v>238</v>
      </c>
      <c r="BG243" s="13">
        <f t="shared" si="79"/>
        <v>248.32419298920007</v>
      </c>
      <c r="BH243" s="14">
        <f>BE243*43.43</f>
        <v>21121059701.520958</v>
      </c>
    </row>
    <row r="244" spans="1:60" x14ac:dyDescent="0.25">
      <c r="A244" s="3">
        <v>45866</v>
      </c>
      <c r="B244" s="4">
        <v>12436414976</v>
      </c>
      <c r="C244" s="4"/>
      <c r="D244" s="4">
        <v>429337830</v>
      </c>
      <c r="E244" s="4"/>
      <c r="N244" s="4"/>
      <c r="O244" s="4"/>
      <c r="P244" s="5">
        <v>95834</v>
      </c>
      <c r="Q244" s="4"/>
      <c r="R244" s="14">
        <f t="shared" si="80"/>
        <v>95834</v>
      </c>
      <c r="S244" s="6">
        <v>0.03</v>
      </c>
      <c r="T244" s="14">
        <f t="shared" si="81"/>
        <v>0</v>
      </c>
      <c r="U244" s="14">
        <f t="shared" si="82"/>
        <v>0</v>
      </c>
      <c r="V244" s="14">
        <f t="shared" si="83"/>
        <v>1298.46</v>
      </c>
      <c r="W244" s="14" t="str">
        <f t="shared" si="84"/>
        <v/>
      </c>
      <c r="X244" s="5">
        <v>52552</v>
      </c>
      <c r="Y244" s="4"/>
      <c r="Z244" s="4"/>
      <c r="AA244" s="14">
        <f t="shared" si="85"/>
        <v>53850.46</v>
      </c>
      <c r="AB244" s="4"/>
      <c r="AC244" s="4"/>
      <c r="AD244" s="14">
        <f t="shared" si="86"/>
        <v>0</v>
      </c>
      <c r="AE244" s="14">
        <f t="shared" si="87"/>
        <v>43282</v>
      </c>
      <c r="AF244" s="14" t="str">
        <f t="shared" si="88"/>
        <v/>
      </c>
      <c r="AG244" s="15">
        <f t="shared" si="89"/>
        <v>43282</v>
      </c>
      <c r="AH244" s="4">
        <v>3328771.1229400001</v>
      </c>
      <c r="AI244" s="17">
        <f t="shared" si="90"/>
        <v>-3285489.1229400001</v>
      </c>
      <c r="AJ244" s="7" t="str">
        <f t="shared" si="73"/>
        <v/>
      </c>
      <c r="AK244" s="7" t="str">
        <f t="shared" si="74"/>
        <v/>
      </c>
      <c r="AL244" s="7">
        <f t="shared" si="75"/>
        <v>2.2321350065984169</v>
      </c>
      <c r="AM244" s="7" t="str">
        <f t="shared" si="76"/>
        <v/>
      </c>
      <c r="AN244" s="4">
        <v>41455.008484489023</v>
      </c>
      <c r="AO244" s="4">
        <v>24997.759999999998</v>
      </c>
      <c r="AP244" s="14">
        <f t="shared" si="91"/>
        <v>3395223.8914244887</v>
      </c>
      <c r="AQ244" s="14">
        <f t="shared" si="92"/>
        <v>3328771.1229400001</v>
      </c>
      <c r="AR244" s="8">
        <v>74785.149999999994</v>
      </c>
      <c r="AS244" s="20">
        <v>44.511124507204983</v>
      </c>
      <c r="AT244" s="8">
        <v>27345959.539999999</v>
      </c>
      <c r="AU244" s="8">
        <v>25503.816599999998</v>
      </c>
      <c r="AV244" s="8">
        <v>415.41039999999998</v>
      </c>
      <c r="AW244" s="8"/>
      <c r="AX244" s="9">
        <v>425.84882844040288</v>
      </c>
      <c r="AY244" s="6">
        <f t="shared" si="77"/>
        <v>2.1859618806730541E-2</v>
      </c>
      <c r="AZ244" s="8">
        <v>422514166.347</v>
      </c>
      <c r="BA244" s="10">
        <v>60480066</v>
      </c>
      <c r="BB244" s="11">
        <v>27345959.539999999</v>
      </c>
      <c r="BC244" s="10">
        <v>2971324</v>
      </c>
      <c r="BD244" s="10">
        <f>1000000000-999660261.9325+57783.484</f>
        <v>397521.55149999523</v>
      </c>
      <c r="BE244" s="12">
        <f t="shared" si="78"/>
        <v>486290962.56149995</v>
      </c>
      <c r="BF244" s="13">
        <v>238</v>
      </c>
      <c r="BG244" s="13">
        <f t="shared" si="79"/>
        <v>248.29096256149995</v>
      </c>
      <c r="BH244" s="14">
        <f>BE244*43.77</f>
        <v>21284955431.316853</v>
      </c>
    </row>
    <row r="245" spans="1:60" x14ac:dyDescent="0.25">
      <c r="A245" s="3">
        <v>45867</v>
      </c>
      <c r="B245" s="4">
        <v>11467327117</v>
      </c>
      <c r="C245" s="4"/>
      <c r="D245" s="4">
        <v>420443328</v>
      </c>
      <c r="E245" s="4"/>
      <c r="N245" s="4"/>
      <c r="O245" s="4"/>
      <c r="P245" s="5">
        <v>89465</v>
      </c>
      <c r="Q245" s="4"/>
      <c r="R245" s="14">
        <f t="shared" si="80"/>
        <v>89465</v>
      </c>
      <c r="S245" s="6">
        <v>0.03</v>
      </c>
      <c r="T245" s="14">
        <f t="shared" si="81"/>
        <v>0</v>
      </c>
      <c r="U245" s="14">
        <f t="shared" si="82"/>
        <v>0</v>
      </c>
      <c r="V245" s="14">
        <f t="shared" si="83"/>
        <v>1472.25</v>
      </c>
      <c r="W245" s="14" t="str">
        <f t="shared" si="84"/>
        <v/>
      </c>
      <c r="X245" s="5">
        <v>40390</v>
      </c>
      <c r="Y245" s="4"/>
      <c r="Z245" s="4"/>
      <c r="AA245" s="14">
        <f t="shared" si="85"/>
        <v>41862.25</v>
      </c>
      <c r="AB245" s="4"/>
      <c r="AC245" s="4"/>
      <c r="AD245" s="14">
        <f t="shared" si="86"/>
        <v>0</v>
      </c>
      <c r="AE245" s="14">
        <f t="shared" si="87"/>
        <v>49075</v>
      </c>
      <c r="AF245" s="14" t="str">
        <f t="shared" si="88"/>
        <v/>
      </c>
      <c r="AG245" s="15">
        <f t="shared" si="89"/>
        <v>49075</v>
      </c>
      <c r="AH245" s="4">
        <v>3117194.3947999999</v>
      </c>
      <c r="AI245" s="17">
        <f t="shared" si="90"/>
        <v>-3068119.3947999999</v>
      </c>
      <c r="AJ245" s="7" t="str">
        <f t="shared" si="73"/>
        <v/>
      </c>
      <c r="AK245" s="7" t="str">
        <f t="shared" si="74"/>
        <v/>
      </c>
      <c r="AL245" s="7">
        <f t="shared" si="75"/>
        <v>2.1278729864872536</v>
      </c>
      <c r="AM245" s="7" t="str">
        <f t="shared" si="76"/>
        <v/>
      </c>
      <c r="AN245" s="4">
        <v>33339.711165693603</v>
      </c>
      <c r="AO245" s="4">
        <v>30455.47</v>
      </c>
      <c r="AP245" s="14">
        <f t="shared" si="91"/>
        <v>3180989.5759656937</v>
      </c>
      <c r="AQ245" s="14">
        <f t="shared" si="92"/>
        <v>3117194.3947999999</v>
      </c>
      <c r="AR245" s="8">
        <v>71034.649999999994</v>
      </c>
      <c r="AS245" s="20">
        <v>43.882730397066787</v>
      </c>
      <c r="AT245" s="8">
        <v>27416511.559999999</v>
      </c>
      <c r="AU245" s="8">
        <v>26215.655599999998</v>
      </c>
      <c r="AV245" s="8">
        <v>1482.5446999999999</v>
      </c>
      <c r="AW245" s="8"/>
      <c r="AX245" s="9">
        <v>427.21655552235762</v>
      </c>
      <c r="AY245" s="6">
        <f t="shared" si="77"/>
        <v>2.2397807786967275E-2</v>
      </c>
      <c r="AZ245" s="8">
        <v>422487950.69139999</v>
      </c>
      <c r="BA245" s="10">
        <v>60480066</v>
      </c>
      <c r="BB245" s="11">
        <v>27416511.559999999</v>
      </c>
      <c r="BC245" s="10">
        <v>2971324</v>
      </c>
      <c r="BD245" s="10">
        <f>1000000000-999658779.3877+58537.5202</f>
        <v>399758.13250003837</v>
      </c>
      <c r="BE245" s="12">
        <f t="shared" si="78"/>
        <v>486244389.61609989</v>
      </c>
      <c r="BF245" s="13">
        <v>238</v>
      </c>
      <c r="BG245" s="13">
        <f t="shared" si="79"/>
        <v>248.24438961609991</v>
      </c>
      <c r="BH245" s="14">
        <f>BE245*44.04</f>
        <v>21414202918.693039</v>
      </c>
    </row>
    <row r="246" spans="1:60" x14ac:dyDescent="0.25">
      <c r="A246" s="3">
        <v>45868</v>
      </c>
      <c r="B246" s="4">
        <v>10174615683</v>
      </c>
      <c r="C246" s="4"/>
      <c r="D246" s="4">
        <v>511510492</v>
      </c>
      <c r="E246" s="4"/>
      <c r="N246" s="4"/>
      <c r="O246" s="4"/>
      <c r="P246" s="5">
        <v>95401</v>
      </c>
      <c r="Q246" s="4"/>
      <c r="R246" s="14">
        <f t="shared" si="80"/>
        <v>95401</v>
      </c>
      <c r="S246" s="6">
        <v>0.03</v>
      </c>
      <c r="T246" s="14">
        <f t="shared" si="81"/>
        <v>0</v>
      </c>
      <c r="U246" s="14">
        <f t="shared" si="82"/>
        <v>0</v>
      </c>
      <c r="V246" s="14">
        <f t="shared" si="83"/>
        <v>1528.83</v>
      </c>
      <c r="W246" s="14" t="str">
        <f t="shared" si="84"/>
        <v/>
      </c>
      <c r="X246" s="5">
        <v>44440</v>
      </c>
      <c r="Y246" s="4"/>
      <c r="Z246" s="4"/>
      <c r="AA246" s="14">
        <f t="shared" si="85"/>
        <v>45968.83</v>
      </c>
      <c r="AB246" s="4"/>
      <c r="AC246" s="4"/>
      <c r="AD246" s="14">
        <f t="shared" si="86"/>
        <v>0</v>
      </c>
      <c r="AE246" s="14">
        <f t="shared" si="87"/>
        <v>50961</v>
      </c>
      <c r="AF246" s="14" t="str">
        <f t="shared" si="88"/>
        <v/>
      </c>
      <c r="AG246" s="15">
        <f t="shared" si="89"/>
        <v>50961</v>
      </c>
      <c r="AH246" s="4">
        <v>2705475.1085399999</v>
      </c>
      <c r="AI246" s="17">
        <f t="shared" si="90"/>
        <v>-2654514.1085399999</v>
      </c>
      <c r="AJ246" s="7" t="str">
        <f t="shared" si="73"/>
        <v/>
      </c>
      <c r="AK246" s="7" t="str">
        <f t="shared" si="74"/>
        <v/>
      </c>
      <c r="AL246" s="7">
        <f t="shared" si="75"/>
        <v>1.8650839326283066</v>
      </c>
      <c r="AM246" s="7" t="str">
        <f t="shared" si="76"/>
        <v/>
      </c>
      <c r="AN246" s="4">
        <v>21389.5354500557</v>
      </c>
      <c r="AO246" s="4">
        <v>33604.959999999999</v>
      </c>
      <c r="AP246" s="14">
        <f t="shared" si="91"/>
        <v>2760469.6039900556</v>
      </c>
      <c r="AQ246" s="14">
        <f t="shared" si="92"/>
        <v>2705475.1085399999</v>
      </c>
      <c r="AR246" s="8">
        <v>63587.22</v>
      </c>
      <c r="AS246" s="20">
        <v>42.547466433349342</v>
      </c>
      <c r="AT246" s="8">
        <v>27487010.239999998</v>
      </c>
      <c r="AU246" s="8">
        <v>26279.999299999999</v>
      </c>
      <c r="AV246" s="8">
        <v>1630.932</v>
      </c>
      <c r="AW246" s="8"/>
      <c r="AX246" s="9">
        <v>429.1525584617923</v>
      </c>
      <c r="AY246" s="6">
        <f t="shared" si="77"/>
        <v>2.2351491457679378E-2</v>
      </c>
      <c r="AZ246" s="8">
        <v>422461670.69209999</v>
      </c>
      <c r="BA246" s="10">
        <v>60480066</v>
      </c>
      <c r="BB246" s="11">
        <v>27487010.239999998</v>
      </c>
      <c r="BC246" s="10">
        <v>2971324</v>
      </c>
      <c r="BD246" s="10">
        <f>1000000000-999657148.4558+59031.9617</f>
        <v>401883.50589994353</v>
      </c>
      <c r="BE246" s="12">
        <f t="shared" si="78"/>
        <v>486198045.56199998</v>
      </c>
      <c r="BF246" s="13">
        <v>238</v>
      </c>
      <c r="BG246" s="13">
        <f t="shared" si="79"/>
        <v>248.198045562</v>
      </c>
      <c r="BH246" s="14">
        <f>BE246*43.41</f>
        <v>21105857157.846416</v>
      </c>
    </row>
    <row r="247" spans="1:60" x14ac:dyDescent="0.25">
      <c r="A247" s="3">
        <v>45869</v>
      </c>
      <c r="B247" s="4">
        <v>11403174319</v>
      </c>
      <c r="C247" s="4"/>
      <c r="D247" s="4">
        <v>582897038</v>
      </c>
      <c r="E247" s="4"/>
      <c r="N247" s="4"/>
      <c r="O247" s="4"/>
      <c r="P247" s="5">
        <v>116038</v>
      </c>
      <c r="Q247" s="4"/>
      <c r="R247" s="14">
        <f t="shared" si="80"/>
        <v>116038</v>
      </c>
      <c r="S247" s="6">
        <v>0.03</v>
      </c>
      <c r="T247" s="14">
        <f t="shared" si="81"/>
        <v>0</v>
      </c>
      <c r="U247" s="14">
        <f t="shared" si="82"/>
        <v>0</v>
      </c>
      <c r="V247" s="14">
        <f t="shared" si="83"/>
        <v>1916.76</v>
      </c>
      <c r="W247" s="14" t="str">
        <f t="shared" si="84"/>
        <v/>
      </c>
      <c r="X247" s="5">
        <v>52146</v>
      </c>
      <c r="Y247" s="4"/>
      <c r="Z247" s="4"/>
      <c r="AA247" s="14">
        <f t="shared" si="85"/>
        <v>54062.76</v>
      </c>
      <c r="AB247" s="4"/>
      <c r="AC247" s="4"/>
      <c r="AD247" s="14">
        <f t="shared" si="86"/>
        <v>0</v>
      </c>
      <c r="AE247" s="14">
        <f t="shared" si="87"/>
        <v>63892</v>
      </c>
      <c r="AF247" s="14" t="str">
        <f t="shared" si="88"/>
        <v/>
      </c>
      <c r="AG247" s="15">
        <f t="shared" si="89"/>
        <v>63892</v>
      </c>
      <c r="AH247" s="4">
        <v>3164904.2833699998</v>
      </c>
      <c r="AI247" s="17">
        <f t="shared" si="90"/>
        <v>-3101012.2833699998</v>
      </c>
      <c r="AJ247" s="7" t="str">
        <f t="shared" si="73"/>
        <v/>
      </c>
      <c r="AK247" s="7" t="str">
        <f t="shared" si="74"/>
        <v/>
      </c>
      <c r="AL247" s="7">
        <f t="shared" si="75"/>
        <v>1.9907117798735494</v>
      </c>
      <c r="AM247" s="7" t="str">
        <f t="shared" si="76"/>
        <v/>
      </c>
      <c r="AN247" s="4">
        <v>24945.57760686527</v>
      </c>
      <c r="AO247" s="4">
        <v>0</v>
      </c>
      <c r="AP247" s="14">
        <f t="shared" si="91"/>
        <v>3189849.860976865</v>
      </c>
      <c r="AQ247" s="14">
        <f t="shared" si="92"/>
        <v>3164904.2833699998</v>
      </c>
      <c r="AR247" s="8">
        <v>74193.649999999994</v>
      </c>
      <c r="AS247" s="20">
        <v>42.657347136446312</v>
      </c>
      <c r="AT247" s="8">
        <v>27552679.16</v>
      </c>
      <c r="AU247" s="8">
        <v>26380.500599999999</v>
      </c>
      <c r="AV247" s="8">
        <v>1477.7298000000001</v>
      </c>
      <c r="AW247" s="8"/>
      <c r="AX247" s="9">
        <v>429.4361125958053</v>
      </c>
      <c r="AY247" s="6">
        <f t="shared" si="77"/>
        <v>2.2422154161177675E-2</v>
      </c>
      <c r="AZ247" s="8">
        <v>422435290.19150001</v>
      </c>
      <c r="BA247" s="10">
        <v>60480066</v>
      </c>
      <c r="BB247" s="11">
        <v>27552679.16</v>
      </c>
      <c r="BC247" s="10">
        <v>2971324</v>
      </c>
      <c r="BD247" s="10">
        <f>1000000000-999655670.7259+59621.4826</f>
        <v>403950.75669994601</v>
      </c>
      <c r="BE247" s="12">
        <f t="shared" si="78"/>
        <v>486156689.89180011</v>
      </c>
      <c r="BF247" s="13">
        <v>238</v>
      </c>
      <c r="BG247" s="13">
        <f t="shared" si="79"/>
        <v>248.15668989180011</v>
      </c>
      <c r="BH247" s="14">
        <f>BE247*42.21</f>
        <v>20520673880.332882</v>
      </c>
    </row>
    <row r="248" spans="1:60" x14ac:dyDescent="0.25">
      <c r="A248" s="3">
        <v>45870</v>
      </c>
      <c r="B248" s="4">
        <v>18380818443</v>
      </c>
      <c r="C248" s="4"/>
      <c r="D248" s="4">
        <v>279006046</v>
      </c>
      <c r="E248" s="4"/>
      <c r="N248" s="4"/>
      <c r="O248" s="4"/>
      <c r="P248" s="5">
        <v>230825</v>
      </c>
      <c r="Q248" s="4"/>
      <c r="R248" s="14">
        <f t="shared" si="80"/>
        <v>230825</v>
      </c>
      <c r="S248" s="6">
        <v>0.03</v>
      </c>
      <c r="T248" s="14">
        <f t="shared" si="81"/>
        <v>0</v>
      </c>
      <c r="U248" s="14">
        <f t="shared" si="82"/>
        <v>0</v>
      </c>
      <c r="V248" s="14">
        <f t="shared" si="83"/>
        <v>5595.21</v>
      </c>
      <c r="W248" s="14" t="str">
        <f t="shared" si="84"/>
        <v/>
      </c>
      <c r="X248" s="5">
        <v>44318</v>
      </c>
      <c r="Y248" s="4"/>
      <c r="Z248" s="4"/>
      <c r="AA248" s="14">
        <f t="shared" si="85"/>
        <v>49913.21</v>
      </c>
      <c r="AB248" s="4"/>
      <c r="AC248" s="4"/>
      <c r="AD248" s="14">
        <f t="shared" si="86"/>
        <v>0</v>
      </c>
      <c r="AE248" s="14">
        <f t="shared" si="87"/>
        <v>186507</v>
      </c>
      <c r="AF248" s="14" t="str">
        <f t="shared" si="88"/>
        <v/>
      </c>
      <c r="AG248" s="15">
        <f t="shared" si="89"/>
        <v>186507</v>
      </c>
      <c r="AH248" s="4">
        <v>4693953.3247199999</v>
      </c>
      <c r="AI248" s="17">
        <f t="shared" si="90"/>
        <v>-4507446.3247199999</v>
      </c>
      <c r="AJ248" s="7" t="str">
        <f t="shared" si="73"/>
        <v/>
      </c>
      <c r="AK248" s="7" t="str">
        <f t="shared" si="74"/>
        <v/>
      </c>
      <c r="AL248" s="7">
        <f t="shared" si="75"/>
        <v>8.2731182104921128</v>
      </c>
      <c r="AM248" s="7" t="str">
        <f t="shared" si="76"/>
        <v/>
      </c>
      <c r="AN248" s="4">
        <v>45397.822829184719</v>
      </c>
      <c r="AO248" s="4">
        <v>20364.87</v>
      </c>
      <c r="AP248" s="14">
        <f t="shared" si="91"/>
        <v>4759716.0175491851</v>
      </c>
      <c r="AQ248" s="14">
        <f t="shared" si="92"/>
        <v>4693953.3247199999</v>
      </c>
      <c r="AR248" s="8">
        <v>120637.42</v>
      </c>
      <c r="AS248" s="20">
        <v>38.90959641477744</v>
      </c>
      <c r="AT248" s="8">
        <v>27649852.82</v>
      </c>
      <c r="AU248" s="8">
        <v>26361.4326</v>
      </c>
      <c r="AV248" s="8">
        <v>1012.4622000000001</v>
      </c>
      <c r="AW248" s="8"/>
      <c r="AX248" s="9">
        <v>430.21115885800009</v>
      </c>
      <c r="AY248" s="6">
        <f t="shared" si="77"/>
        <v>2.23655818797018E-2</v>
      </c>
      <c r="AZ248" s="8">
        <v>422408928.75889999</v>
      </c>
      <c r="BA248" s="10">
        <v>60480066</v>
      </c>
      <c r="BB248" s="11">
        <v>27649852.82</v>
      </c>
      <c r="BC248" s="10">
        <v>2971324</v>
      </c>
      <c r="BD248" s="10">
        <f>1000000000-999654658.2638+60734.4471</f>
        <v>406076.183299975</v>
      </c>
      <c r="BE248" s="12">
        <f t="shared" si="78"/>
        <v>486083752.23780012</v>
      </c>
      <c r="BF248" s="13">
        <v>238</v>
      </c>
      <c r="BG248" s="13">
        <f t="shared" si="79"/>
        <v>248.08375223780013</v>
      </c>
      <c r="BH248" s="14">
        <f>BE248*40.34</f>
        <v>19608618565.272858</v>
      </c>
    </row>
    <row r="249" spans="1:60" x14ac:dyDescent="0.25">
      <c r="A249" s="3">
        <v>45871</v>
      </c>
      <c r="B249" s="4">
        <v>8441327240</v>
      </c>
      <c r="C249" s="4"/>
      <c r="D249" s="4">
        <v>209546090</v>
      </c>
      <c r="E249" s="4"/>
      <c r="N249" s="4"/>
      <c r="O249" s="4"/>
      <c r="P249" s="5">
        <v>114760</v>
      </c>
      <c r="Q249" s="4"/>
      <c r="R249" s="14">
        <f t="shared" si="80"/>
        <v>114760</v>
      </c>
      <c r="S249" s="6">
        <v>0.03</v>
      </c>
      <c r="T249" s="14">
        <f t="shared" si="81"/>
        <v>0</v>
      </c>
      <c r="U249" s="14">
        <f t="shared" si="82"/>
        <v>0</v>
      </c>
      <c r="V249" s="14">
        <f t="shared" si="83"/>
        <v>2720.5499999999997</v>
      </c>
      <c r="W249" s="14" t="str">
        <f t="shared" si="84"/>
        <v/>
      </c>
      <c r="X249" s="5">
        <v>24075</v>
      </c>
      <c r="Y249" s="4"/>
      <c r="Z249" s="4"/>
      <c r="AA249" s="14">
        <f t="shared" si="85"/>
        <v>26795.55</v>
      </c>
      <c r="AB249" s="4"/>
      <c r="AC249" s="4"/>
      <c r="AD249" s="14">
        <f t="shared" si="86"/>
        <v>0</v>
      </c>
      <c r="AE249" s="14">
        <f t="shared" si="87"/>
        <v>90685</v>
      </c>
      <c r="AF249" s="14" t="str">
        <f t="shared" si="88"/>
        <v/>
      </c>
      <c r="AG249" s="15">
        <f t="shared" si="89"/>
        <v>90685</v>
      </c>
      <c r="AH249" s="4">
        <v>2317465.0731299999</v>
      </c>
      <c r="AI249" s="17">
        <f t="shared" si="90"/>
        <v>-2226780.0731299999</v>
      </c>
      <c r="AJ249" s="7" t="str">
        <f t="shared" si="73"/>
        <v/>
      </c>
      <c r="AK249" s="7" t="str">
        <f t="shared" si="74"/>
        <v/>
      </c>
      <c r="AL249" s="7">
        <f t="shared" si="75"/>
        <v>5.4765994440650267</v>
      </c>
      <c r="AM249" s="7" t="str">
        <f t="shared" si="76"/>
        <v/>
      </c>
      <c r="AN249" s="4">
        <v>14020.20642849903</v>
      </c>
      <c r="AO249" s="4">
        <v>0</v>
      </c>
      <c r="AP249" s="14">
        <f t="shared" si="91"/>
        <v>2331485.2795584989</v>
      </c>
      <c r="AQ249" s="14">
        <f t="shared" si="92"/>
        <v>2317465.0731299999</v>
      </c>
      <c r="AR249" s="8">
        <v>62168.17</v>
      </c>
      <c r="AS249" s="20">
        <v>37.277357096565652</v>
      </c>
      <c r="AT249" s="8">
        <v>27747374.359999999</v>
      </c>
      <c r="AU249" s="8">
        <v>26277.601500000001</v>
      </c>
      <c r="AV249" s="8">
        <v>1602.8112000000001</v>
      </c>
      <c r="AW249" s="8"/>
      <c r="AX249" s="9">
        <v>430.98711631807703</v>
      </c>
      <c r="AY249" s="6">
        <f t="shared" si="77"/>
        <v>2.225431848041929E-2</v>
      </c>
      <c r="AZ249" s="8">
        <v>422382651.15740001</v>
      </c>
      <c r="BA249" s="10">
        <v>60480066</v>
      </c>
      <c r="BB249" s="11">
        <v>27747374.359999999</v>
      </c>
      <c r="BC249" s="10">
        <v>2971324</v>
      </c>
      <c r="BD249" s="10">
        <f>1000000000-999653055.4526+61105.5582</f>
        <v>408050.10559999768</v>
      </c>
      <c r="BE249" s="12">
        <f t="shared" si="78"/>
        <v>486010534.37699997</v>
      </c>
      <c r="BF249" s="13">
        <v>238</v>
      </c>
      <c r="BG249" s="13">
        <f t="shared" si="79"/>
        <v>248.010534377</v>
      </c>
      <c r="BH249" s="14">
        <f>BE249*37.6</f>
        <v>18273996092.575199</v>
      </c>
    </row>
    <row r="250" spans="1:60" x14ac:dyDescent="0.25">
      <c r="A250" s="3">
        <v>45872</v>
      </c>
      <c r="B250" s="4">
        <v>5841208709</v>
      </c>
      <c r="C250" s="4"/>
      <c r="D250" s="4">
        <v>261203947</v>
      </c>
      <c r="E250" s="4"/>
      <c r="N250" s="4"/>
      <c r="O250" s="4"/>
      <c r="P250" s="5">
        <v>90506</v>
      </c>
      <c r="Q250" s="4"/>
      <c r="R250" s="14">
        <f t="shared" si="80"/>
        <v>90506</v>
      </c>
      <c r="S250" s="6">
        <v>0.03</v>
      </c>
      <c r="T250" s="14">
        <f t="shared" si="81"/>
        <v>0</v>
      </c>
      <c r="U250" s="14">
        <f t="shared" si="82"/>
        <v>0</v>
      </c>
      <c r="V250" s="14">
        <f t="shared" si="83"/>
        <v>2069.16</v>
      </c>
      <c r="W250" s="14" t="str">
        <f t="shared" si="84"/>
        <v/>
      </c>
      <c r="X250" s="5">
        <v>21534</v>
      </c>
      <c r="Y250" s="4"/>
      <c r="Z250" s="4"/>
      <c r="AA250" s="14">
        <f t="shared" si="85"/>
        <v>23603.16</v>
      </c>
      <c r="AB250" s="4"/>
      <c r="AC250" s="4"/>
      <c r="AD250" s="14">
        <f t="shared" si="86"/>
        <v>0</v>
      </c>
      <c r="AE250" s="14">
        <f t="shared" si="87"/>
        <v>68972</v>
      </c>
      <c r="AF250" s="14" t="str">
        <f t="shared" si="88"/>
        <v/>
      </c>
      <c r="AG250" s="15">
        <f t="shared" si="89"/>
        <v>68972</v>
      </c>
      <c r="AH250" s="4">
        <v>1580317.95475</v>
      </c>
      <c r="AI250" s="17">
        <f t="shared" si="90"/>
        <v>-1511345.95475</v>
      </c>
      <c r="AJ250" s="7" t="str">
        <f t="shared" si="73"/>
        <v/>
      </c>
      <c r="AK250" s="7" t="str">
        <f t="shared" si="74"/>
        <v/>
      </c>
      <c r="AL250" s="7">
        <f t="shared" si="75"/>
        <v>3.4649552979381282</v>
      </c>
      <c r="AM250" s="7" t="str">
        <f t="shared" si="76"/>
        <v/>
      </c>
      <c r="AN250" s="4">
        <v>10035.7450083736</v>
      </c>
      <c r="AO250" s="4">
        <v>0</v>
      </c>
      <c r="AP250" s="14">
        <f t="shared" si="91"/>
        <v>1590353.6997583737</v>
      </c>
      <c r="AQ250" s="14">
        <f t="shared" si="92"/>
        <v>1580317.95475</v>
      </c>
      <c r="AR250" s="8">
        <v>41619.99</v>
      </c>
      <c r="AS250" s="20">
        <v>37.970166613447049</v>
      </c>
      <c r="AT250" s="8">
        <v>27805030.629999999</v>
      </c>
      <c r="AU250" s="8">
        <v>26043.898399999998</v>
      </c>
      <c r="AV250" s="8">
        <v>723.86249999999995</v>
      </c>
      <c r="AW250" s="8"/>
      <c r="AX250" s="9">
        <v>430.61412665324099</v>
      </c>
      <c r="AY250" s="6">
        <f t="shared" si="77"/>
        <v>2.2075501772042139E-2</v>
      </c>
      <c r="AZ250" s="8">
        <v>422356607.259</v>
      </c>
      <c r="BA250" s="10">
        <v>60480066</v>
      </c>
      <c r="BB250" s="11">
        <v>27805030.629999999</v>
      </c>
      <c r="BC250" s="10">
        <v>2971324</v>
      </c>
      <c r="BD250" s="10">
        <f>1000000000-999652331.5901+61379.5119</f>
        <v>409047.92179995001</v>
      </c>
      <c r="BE250" s="12">
        <f t="shared" si="78"/>
        <v>485977924.18919998</v>
      </c>
      <c r="BF250" s="13">
        <v>238</v>
      </c>
      <c r="BG250" s="13">
        <f t="shared" si="79"/>
        <v>247.9779241892</v>
      </c>
      <c r="BH250" s="14">
        <f>BE250*36.91</f>
        <v>17937445181.823368</v>
      </c>
    </row>
    <row r="251" spans="1:60" x14ac:dyDescent="0.25">
      <c r="A251" s="3">
        <v>45873</v>
      </c>
      <c r="B251" s="4">
        <v>9314089951</v>
      </c>
      <c r="C251" s="4"/>
      <c r="D251" s="4">
        <v>291833982</v>
      </c>
      <c r="E251" s="4"/>
      <c r="N251" s="4"/>
      <c r="O251" s="4"/>
      <c r="P251" s="5">
        <v>106473</v>
      </c>
      <c r="Q251" s="4"/>
      <c r="R251" s="14">
        <f t="shared" si="80"/>
        <v>106473</v>
      </c>
      <c r="S251" s="6">
        <v>0.03</v>
      </c>
      <c r="T251" s="14">
        <f t="shared" si="81"/>
        <v>0</v>
      </c>
      <c r="U251" s="14">
        <f t="shared" si="82"/>
        <v>0</v>
      </c>
      <c r="V251" s="14">
        <f t="shared" si="83"/>
        <v>2231.2799999999997</v>
      </c>
      <c r="W251" s="14" t="str">
        <f t="shared" si="84"/>
        <v/>
      </c>
      <c r="X251" s="5">
        <v>32097</v>
      </c>
      <c r="Y251" s="4"/>
      <c r="Z251" s="4"/>
      <c r="AA251" s="14">
        <f t="shared" si="85"/>
        <v>34328.28</v>
      </c>
      <c r="AB251" s="4"/>
      <c r="AC251" s="4"/>
      <c r="AD251" s="14">
        <f t="shared" si="86"/>
        <v>0</v>
      </c>
      <c r="AE251" s="14">
        <f t="shared" si="87"/>
        <v>74376</v>
      </c>
      <c r="AF251" s="14" t="str">
        <f t="shared" si="88"/>
        <v/>
      </c>
      <c r="AG251" s="15">
        <f t="shared" si="89"/>
        <v>74376</v>
      </c>
      <c r="AH251" s="4">
        <v>2447194.85482</v>
      </c>
      <c r="AI251" s="17">
        <f t="shared" si="90"/>
        <v>-2372818.85482</v>
      </c>
      <c r="AJ251" s="7" t="str">
        <f t="shared" si="73"/>
        <v/>
      </c>
      <c r="AK251" s="7" t="str">
        <f t="shared" si="74"/>
        <v/>
      </c>
      <c r="AL251" s="7">
        <f t="shared" si="75"/>
        <v>3.6484099374006416</v>
      </c>
      <c r="AM251" s="7" t="str">
        <f t="shared" si="76"/>
        <v/>
      </c>
      <c r="AN251" s="4">
        <v>27129.215383278512</v>
      </c>
      <c r="AO251" s="4">
        <v>19100.41</v>
      </c>
      <c r="AP251" s="14">
        <f t="shared" si="91"/>
        <v>2493424.4802032788</v>
      </c>
      <c r="AQ251" s="14">
        <f t="shared" si="92"/>
        <v>2447194.85482</v>
      </c>
      <c r="AR251" s="8">
        <v>63755.37</v>
      </c>
      <c r="AS251" s="20">
        <v>38.384136972618933</v>
      </c>
      <c r="AT251" s="8">
        <v>27844267.300000001</v>
      </c>
      <c r="AU251" s="8">
        <v>26395.592400000001</v>
      </c>
      <c r="AV251" s="8">
        <v>552.17499999999995</v>
      </c>
      <c r="AW251" s="8"/>
      <c r="AX251" s="9">
        <v>429.90196690712969</v>
      </c>
      <c r="AY251" s="6">
        <f t="shared" si="77"/>
        <v>2.2410670263533095E-2</v>
      </c>
      <c r="AZ251" s="8">
        <v>422330211.66659999</v>
      </c>
      <c r="BA251" s="10">
        <v>60480066</v>
      </c>
      <c r="BB251" s="11">
        <v>27844267.300000001</v>
      </c>
      <c r="BC251" s="10">
        <v>2971324</v>
      </c>
      <c r="BD251" s="10">
        <f>1000000000-999651779.4151+62086.7385</f>
        <v>410307.32340002153</v>
      </c>
      <c r="BE251" s="12">
        <f t="shared" si="78"/>
        <v>485963823.70999998</v>
      </c>
      <c r="BF251" s="13">
        <v>238</v>
      </c>
      <c r="BG251" s="13">
        <f t="shared" si="79"/>
        <v>247.96382370999999</v>
      </c>
      <c r="BH251" s="14">
        <f>BE251*38.11</f>
        <v>18520081321.5881</v>
      </c>
    </row>
    <row r="252" spans="1:60" x14ac:dyDescent="0.25">
      <c r="A252" s="3">
        <v>45874</v>
      </c>
      <c r="B252" s="4">
        <v>9775208827</v>
      </c>
      <c r="C252" s="4"/>
      <c r="D252" s="4">
        <v>218660207</v>
      </c>
      <c r="E252" s="4"/>
      <c r="N252" s="4"/>
      <c r="O252" s="4"/>
      <c r="P252" s="5">
        <v>121622</v>
      </c>
      <c r="Q252" s="4"/>
      <c r="R252" s="14">
        <f t="shared" si="80"/>
        <v>121622</v>
      </c>
      <c r="S252" s="6">
        <v>0.03</v>
      </c>
      <c r="T252" s="14">
        <f t="shared" si="81"/>
        <v>0</v>
      </c>
      <c r="U252" s="14">
        <f t="shared" si="82"/>
        <v>0</v>
      </c>
      <c r="V252" s="14">
        <f t="shared" si="83"/>
        <v>2696.19</v>
      </c>
      <c r="W252" s="14" t="str">
        <f t="shared" si="84"/>
        <v/>
      </c>
      <c r="X252" s="5">
        <v>31749</v>
      </c>
      <c r="Y252" s="4"/>
      <c r="Z252" s="4"/>
      <c r="AA252" s="14">
        <f t="shared" si="85"/>
        <v>34445.19</v>
      </c>
      <c r="AB252" s="4"/>
      <c r="AC252" s="4"/>
      <c r="AD252" s="14">
        <f t="shared" si="86"/>
        <v>0</v>
      </c>
      <c r="AE252" s="14">
        <f t="shared" si="87"/>
        <v>89873</v>
      </c>
      <c r="AF252" s="14" t="str">
        <f t="shared" si="88"/>
        <v/>
      </c>
      <c r="AG252" s="15">
        <f t="shared" si="89"/>
        <v>89873</v>
      </c>
      <c r="AH252" s="4">
        <v>2546392.6503099999</v>
      </c>
      <c r="AI252" s="17">
        <f t="shared" si="90"/>
        <v>-2456519.6503099999</v>
      </c>
      <c r="AJ252" s="7" t="str">
        <f t="shared" si="73"/>
        <v/>
      </c>
      <c r="AK252" s="7" t="str">
        <f t="shared" si="74"/>
        <v/>
      </c>
      <c r="AL252" s="7">
        <f t="shared" si="75"/>
        <v>5.5621460195544401</v>
      </c>
      <c r="AM252" s="7" t="str">
        <f t="shared" si="76"/>
        <v/>
      </c>
      <c r="AN252" s="4">
        <v>17386.94442128533</v>
      </c>
      <c r="AO252" s="4">
        <v>0</v>
      </c>
      <c r="AP252" s="14">
        <f t="shared" si="91"/>
        <v>2563779.5947312852</v>
      </c>
      <c r="AQ252" s="14">
        <f t="shared" si="92"/>
        <v>2546392.6503099999</v>
      </c>
      <c r="AR252" s="8">
        <v>65794.39</v>
      </c>
      <c r="AS252" s="20">
        <v>38.702276141020533</v>
      </c>
      <c r="AT252" s="8">
        <v>27913180.98</v>
      </c>
      <c r="AU252" s="8">
        <v>26389.563900000001</v>
      </c>
      <c r="AV252" s="8">
        <v>1060.8068000000001</v>
      </c>
      <c r="AW252" s="8"/>
      <c r="AX252" s="9">
        <v>429.82983804145039</v>
      </c>
      <c r="AY252" s="6">
        <f t="shared" si="77"/>
        <v>2.2409311711326856E-2</v>
      </c>
      <c r="AZ252" s="8">
        <v>422303822.1027</v>
      </c>
      <c r="BA252" s="10">
        <v>60480066</v>
      </c>
      <c r="BB252" s="11">
        <v>27913180.98</v>
      </c>
      <c r="BC252" s="10">
        <v>2971324</v>
      </c>
      <c r="BD252" s="10">
        <f>1000000000-999650718.6083+62536.3273</f>
        <v>411817.71900002938</v>
      </c>
      <c r="BE252" s="12">
        <f t="shared" si="78"/>
        <v>485919789.19829994</v>
      </c>
      <c r="BF252" s="13">
        <v>238</v>
      </c>
      <c r="BG252" s="13">
        <f t="shared" si="79"/>
        <v>247.91978919829995</v>
      </c>
      <c r="BH252" s="14">
        <f>BE252*38.66</f>
        <v>18785659050.406273</v>
      </c>
    </row>
    <row r="253" spans="1:60" x14ac:dyDescent="0.25">
      <c r="A253" s="3">
        <v>45875</v>
      </c>
      <c r="B253" s="4">
        <v>7858359163</v>
      </c>
      <c r="C253" s="4"/>
      <c r="D253" s="4">
        <v>273927932</v>
      </c>
      <c r="E253" s="4"/>
      <c r="N253" s="4"/>
      <c r="O253" s="4"/>
      <c r="P253" s="5">
        <v>97146</v>
      </c>
      <c r="Q253" s="4"/>
      <c r="R253" s="14">
        <f t="shared" si="80"/>
        <v>97146</v>
      </c>
      <c r="S253" s="6">
        <v>0.03</v>
      </c>
      <c r="T253" s="14">
        <f t="shared" si="81"/>
        <v>0</v>
      </c>
      <c r="U253" s="14">
        <f t="shared" si="82"/>
        <v>0</v>
      </c>
      <c r="V253" s="14">
        <f t="shared" si="83"/>
        <v>2139.48</v>
      </c>
      <c r="W253" s="14" t="str">
        <f t="shared" si="84"/>
        <v/>
      </c>
      <c r="X253" s="5">
        <v>25830</v>
      </c>
      <c r="Y253" s="4"/>
      <c r="Z253" s="4"/>
      <c r="AA253" s="14">
        <f t="shared" si="85"/>
        <v>27969.48</v>
      </c>
      <c r="AB253" s="4"/>
      <c r="AC253" s="4"/>
      <c r="AD253" s="14">
        <f t="shared" si="86"/>
        <v>0</v>
      </c>
      <c r="AE253" s="14">
        <f t="shared" si="87"/>
        <v>71316</v>
      </c>
      <c r="AF253" s="14" t="str">
        <f t="shared" si="88"/>
        <v/>
      </c>
      <c r="AG253" s="15">
        <f t="shared" si="89"/>
        <v>71316</v>
      </c>
      <c r="AH253" s="4">
        <v>2103705.5987499999</v>
      </c>
      <c r="AI253" s="17">
        <f t="shared" si="90"/>
        <v>-2032389.5987499999</v>
      </c>
      <c r="AJ253" s="7" t="str">
        <f t="shared" si="73"/>
        <v/>
      </c>
      <c r="AK253" s="7" t="str">
        <f t="shared" si="74"/>
        <v/>
      </c>
      <c r="AL253" s="7">
        <f t="shared" si="75"/>
        <v>3.5464072353161855</v>
      </c>
      <c r="AM253" s="7" t="str">
        <f t="shared" si="76"/>
        <v/>
      </c>
      <c r="AN253" s="4">
        <v>12721.08790941294</v>
      </c>
      <c r="AO253" s="4">
        <v>19574.689999999999</v>
      </c>
      <c r="AP253" s="14">
        <f t="shared" si="91"/>
        <v>2136001.3766594129</v>
      </c>
      <c r="AQ253" s="14">
        <f t="shared" si="92"/>
        <v>2103705.5987499999</v>
      </c>
      <c r="AR253" s="8">
        <v>55381.01</v>
      </c>
      <c r="AS253" s="20">
        <v>37.986046096847993</v>
      </c>
      <c r="AT253" s="8">
        <v>27977594.07</v>
      </c>
      <c r="AU253" s="8">
        <v>26366.177500000002</v>
      </c>
      <c r="AV253" s="8">
        <v>684.07449999999994</v>
      </c>
      <c r="AW253" s="8"/>
      <c r="AX253" s="9">
        <v>429.60382523419338</v>
      </c>
      <c r="AY253" s="6">
        <f t="shared" si="77"/>
        <v>2.2401231605081218E-2</v>
      </c>
      <c r="AZ253" s="8">
        <v>422277455.92519999</v>
      </c>
      <c r="BA253" s="10">
        <v>60480066</v>
      </c>
      <c r="BB253" s="11">
        <v>27977594.07</v>
      </c>
      <c r="BC253" s="10">
        <v>2971324</v>
      </c>
      <c r="BD253" s="10">
        <f>1000000000-999650034.5339+62867.6919</f>
        <v>412833.15799997747</v>
      </c>
      <c r="BE253" s="12">
        <f t="shared" si="78"/>
        <v>485880726.84680003</v>
      </c>
      <c r="BF253" s="13">
        <v>238</v>
      </c>
      <c r="BG253" s="13">
        <f t="shared" si="79"/>
        <v>247.88072684680003</v>
      </c>
      <c r="BH253" s="14">
        <f>BE253*38.37</f>
        <v>18643243489.111717</v>
      </c>
    </row>
    <row r="254" spans="1:60" x14ac:dyDescent="0.25">
      <c r="A254" s="3">
        <v>45876</v>
      </c>
      <c r="B254" s="4">
        <v>10373151278</v>
      </c>
      <c r="C254" s="4"/>
      <c r="D254" s="4">
        <v>280145101</v>
      </c>
      <c r="E254" s="4"/>
      <c r="N254" s="4"/>
      <c r="O254" s="4"/>
      <c r="P254" s="5">
        <v>115340</v>
      </c>
      <c r="Q254" s="4"/>
      <c r="R254" s="14">
        <f t="shared" si="80"/>
        <v>115340</v>
      </c>
      <c r="S254" s="6">
        <v>0.03</v>
      </c>
      <c r="T254" s="14">
        <f t="shared" si="81"/>
        <v>0</v>
      </c>
      <c r="U254" s="14">
        <f t="shared" si="82"/>
        <v>0</v>
      </c>
      <c r="V254" s="14">
        <f t="shared" si="83"/>
        <v>2460.69</v>
      </c>
      <c r="W254" s="14" t="str">
        <f t="shared" si="84"/>
        <v/>
      </c>
      <c r="X254" s="5">
        <v>33317</v>
      </c>
      <c r="Y254" s="4"/>
      <c r="Z254" s="4"/>
      <c r="AA254" s="14">
        <f t="shared" si="85"/>
        <v>35777.69</v>
      </c>
      <c r="AB254" s="4"/>
      <c r="AC254" s="4"/>
      <c r="AD254" s="14">
        <f t="shared" si="86"/>
        <v>0</v>
      </c>
      <c r="AE254" s="14">
        <f t="shared" si="87"/>
        <v>82023</v>
      </c>
      <c r="AF254" s="14" t="str">
        <f t="shared" si="88"/>
        <v/>
      </c>
      <c r="AG254" s="15">
        <f t="shared" si="89"/>
        <v>82023</v>
      </c>
      <c r="AH254" s="4">
        <v>2329278.7483799998</v>
      </c>
      <c r="AI254" s="17">
        <f t="shared" si="90"/>
        <v>-2247255.7483799998</v>
      </c>
      <c r="AJ254" s="7" t="str">
        <f t="shared" si="73"/>
        <v/>
      </c>
      <c r="AK254" s="7" t="str">
        <f t="shared" si="74"/>
        <v/>
      </c>
      <c r="AL254" s="7">
        <f t="shared" si="75"/>
        <v>4.1171521325300633</v>
      </c>
      <c r="AM254" s="7" t="str">
        <f t="shared" si="76"/>
        <v/>
      </c>
      <c r="AN254" s="4">
        <v>13071.87321151455</v>
      </c>
      <c r="AO254" s="4">
        <v>19026.88</v>
      </c>
      <c r="AP254" s="14">
        <f t="shared" si="91"/>
        <v>2361377.5015915143</v>
      </c>
      <c r="AQ254" s="14">
        <f t="shared" si="92"/>
        <v>2329278.7483799998</v>
      </c>
      <c r="AR254" s="8">
        <v>59747.11</v>
      </c>
      <c r="AS254" s="20">
        <v>38.985630407562823</v>
      </c>
      <c r="AT254" s="8">
        <v>28025314.57</v>
      </c>
      <c r="AU254" s="8">
        <v>26362.482400000001</v>
      </c>
      <c r="AV254" s="8">
        <v>952.06359999999995</v>
      </c>
      <c r="AW254" s="8"/>
      <c r="AX254" s="9">
        <v>429.70604121086348</v>
      </c>
      <c r="AY254" s="6">
        <f t="shared" si="77"/>
        <v>2.2392764246193558E-2</v>
      </c>
      <c r="AZ254" s="8">
        <v>422251093.44279999</v>
      </c>
      <c r="BA254" s="10">
        <v>60480066</v>
      </c>
      <c r="BB254" s="11">
        <v>28025314.57</v>
      </c>
      <c r="BC254" s="10">
        <v>2971324</v>
      </c>
      <c r="BD254" s="10">
        <f>1000000000-999649082.4703+63211.0921</f>
        <v>414128.62180004083</v>
      </c>
      <c r="BE254" s="12">
        <f t="shared" si="78"/>
        <v>485858073.3653999</v>
      </c>
      <c r="BF254" s="13">
        <v>238</v>
      </c>
      <c r="BG254" s="13">
        <f t="shared" si="79"/>
        <v>247.85807336539989</v>
      </c>
      <c r="BH254" s="14">
        <f>BE254*38.03</f>
        <v>18477182530.086159</v>
      </c>
    </row>
    <row r="255" spans="1:60" x14ac:dyDescent="0.25">
      <c r="A255" s="3">
        <v>45877</v>
      </c>
      <c r="B255" s="4">
        <v>11308035797</v>
      </c>
      <c r="C255" s="4"/>
      <c r="D255" s="4">
        <v>343946145</v>
      </c>
      <c r="E255" s="4"/>
      <c r="N255" s="4"/>
      <c r="O255" s="4"/>
      <c r="P255" s="5">
        <v>116628</v>
      </c>
      <c r="Q255" s="4"/>
      <c r="R255" s="14">
        <f t="shared" si="80"/>
        <v>116628</v>
      </c>
      <c r="S255" s="6">
        <v>0.03</v>
      </c>
      <c r="T255" s="14">
        <f t="shared" si="81"/>
        <v>0</v>
      </c>
      <c r="U255" s="14">
        <f t="shared" si="82"/>
        <v>0</v>
      </c>
      <c r="V255" s="14">
        <f t="shared" si="83"/>
        <v>2424.9</v>
      </c>
      <c r="W255" s="14" t="str">
        <f t="shared" si="84"/>
        <v/>
      </c>
      <c r="X255" s="5">
        <v>35798</v>
      </c>
      <c r="Y255" s="4"/>
      <c r="Z255" s="4"/>
      <c r="AA255" s="14">
        <f t="shared" si="85"/>
        <v>38222.9</v>
      </c>
      <c r="AB255" s="4"/>
      <c r="AC255" s="4"/>
      <c r="AD255" s="14">
        <f t="shared" si="86"/>
        <v>0</v>
      </c>
      <c r="AE255" s="14">
        <f t="shared" si="87"/>
        <v>80830</v>
      </c>
      <c r="AF255" s="14" t="str">
        <f t="shared" si="88"/>
        <v/>
      </c>
      <c r="AG255" s="15">
        <f t="shared" si="89"/>
        <v>80830</v>
      </c>
      <c r="AH255" s="4">
        <v>3491806.81434</v>
      </c>
      <c r="AI255" s="17">
        <f t="shared" si="90"/>
        <v>-3410976.81434</v>
      </c>
      <c r="AJ255" s="7" t="str">
        <f t="shared" si="73"/>
        <v/>
      </c>
      <c r="AK255" s="7" t="str">
        <f t="shared" si="74"/>
        <v/>
      </c>
      <c r="AL255" s="7">
        <f t="shared" si="75"/>
        <v>3.3908796971688693</v>
      </c>
      <c r="AM255" s="7" t="str">
        <f t="shared" si="76"/>
        <v/>
      </c>
      <c r="AN255" s="4">
        <v>11956.394017888761</v>
      </c>
      <c r="AO255" s="4">
        <v>0</v>
      </c>
      <c r="AP255" s="14">
        <f t="shared" si="91"/>
        <v>3503763.2083578887</v>
      </c>
      <c r="AQ255" s="14">
        <f t="shared" si="92"/>
        <v>3491806.81434</v>
      </c>
      <c r="AR255" s="8">
        <v>85296.85</v>
      </c>
      <c r="AS255" s="20">
        <v>40.937113320597419</v>
      </c>
      <c r="AT255" s="8">
        <v>28111519.57</v>
      </c>
      <c r="AU255" s="8">
        <v>26396.294300000001</v>
      </c>
      <c r="AV255" s="8">
        <v>1277.2851000000001</v>
      </c>
      <c r="AW255" s="8"/>
      <c r="AX255" s="9">
        <v>429.88538678479091</v>
      </c>
      <c r="AY255" s="6">
        <f t="shared" si="77"/>
        <v>2.2412130571731425E-2</v>
      </c>
      <c r="AZ255" s="8">
        <v>422224697.14850003</v>
      </c>
      <c r="BA255" s="10">
        <v>60480066</v>
      </c>
      <c r="BB255" s="11">
        <v>28111519.57</v>
      </c>
      <c r="BC255" s="10">
        <v>2971324</v>
      </c>
      <c r="BD255" s="10">
        <f>1000000000-999647805.1852+63505.1572</f>
        <v>415699.97200002405</v>
      </c>
      <c r="BE255" s="12">
        <f t="shared" si="78"/>
        <v>485796693.30950004</v>
      </c>
      <c r="BF255" s="13">
        <v>238</v>
      </c>
      <c r="BG255" s="13">
        <f t="shared" si="79"/>
        <v>247.79669330950003</v>
      </c>
      <c r="BH255" s="14">
        <f>BE255*40.86</f>
        <v>19849652888.626171</v>
      </c>
    </row>
    <row r="256" spans="1:60" x14ac:dyDescent="0.25">
      <c r="A256" s="3">
        <v>45878</v>
      </c>
      <c r="B256" s="4">
        <v>10137348600</v>
      </c>
      <c r="C256" s="4"/>
      <c r="D256" s="4">
        <v>244549176</v>
      </c>
      <c r="E256" s="4"/>
      <c r="N256" s="4"/>
      <c r="O256" s="4"/>
      <c r="P256" s="5">
        <v>148257</v>
      </c>
      <c r="Q256" s="4"/>
      <c r="R256" s="14">
        <f t="shared" si="80"/>
        <v>148257</v>
      </c>
      <c r="S256" s="6">
        <v>0.03</v>
      </c>
      <c r="T256" s="14">
        <f t="shared" si="81"/>
        <v>0</v>
      </c>
      <c r="U256" s="14">
        <f t="shared" si="82"/>
        <v>0</v>
      </c>
      <c r="V256" s="14">
        <f t="shared" si="83"/>
        <v>3108.66</v>
      </c>
      <c r="W256" s="14" t="str">
        <f t="shared" si="84"/>
        <v/>
      </c>
      <c r="X256" s="5">
        <v>44635</v>
      </c>
      <c r="Y256" s="4"/>
      <c r="Z256" s="4"/>
      <c r="AA256" s="14">
        <f t="shared" si="85"/>
        <v>47743.66</v>
      </c>
      <c r="AB256" s="4"/>
      <c r="AC256" s="4"/>
      <c r="AD256" s="14">
        <f t="shared" si="86"/>
        <v>0</v>
      </c>
      <c r="AE256" s="14">
        <f t="shared" si="87"/>
        <v>103622</v>
      </c>
      <c r="AF256" s="14" t="str">
        <f t="shared" si="88"/>
        <v/>
      </c>
      <c r="AG256" s="15">
        <f t="shared" si="89"/>
        <v>103622</v>
      </c>
      <c r="AH256" s="4">
        <v>2854886.4206099999</v>
      </c>
      <c r="AI256" s="17">
        <f t="shared" si="90"/>
        <v>-2751264.4206099999</v>
      </c>
      <c r="AJ256" s="7" t="str">
        <f t="shared" si="73"/>
        <v/>
      </c>
      <c r="AK256" s="7" t="str">
        <f t="shared" si="74"/>
        <v/>
      </c>
      <c r="AL256" s="7">
        <f t="shared" si="75"/>
        <v>6.0624616457509548</v>
      </c>
      <c r="AM256" s="7" t="str">
        <f t="shared" si="76"/>
        <v/>
      </c>
      <c r="AN256" s="4">
        <v>14264.239140808941</v>
      </c>
      <c r="AO256" s="4">
        <v>24958.52</v>
      </c>
      <c r="AP256" s="14">
        <f t="shared" si="91"/>
        <v>2894109.179750809</v>
      </c>
      <c r="AQ256" s="14">
        <f t="shared" si="92"/>
        <v>2854886.4206099999</v>
      </c>
      <c r="AR256" s="8">
        <v>66407.03</v>
      </c>
      <c r="AS256" s="20">
        <v>42.99072584047201</v>
      </c>
      <c r="AT256" s="8">
        <v>28221636.379999999</v>
      </c>
      <c r="AU256" s="8">
        <v>26363.757000000001</v>
      </c>
      <c r="AV256" s="8">
        <v>584.8424</v>
      </c>
      <c r="AW256" s="8"/>
      <c r="AX256" s="9">
        <v>431.13243696254222</v>
      </c>
      <c r="AY256" s="6">
        <f t="shared" si="77"/>
        <v>2.2319757179012831E-2</v>
      </c>
      <c r="AZ256" s="8">
        <v>422198333.3915</v>
      </c>
      <c r="BA256" s="10">
        <v>60480066</v>
      </c>
      <c r="BB256" s="11">
        <v>28221636.379999999</v>
      </c>
      <c r="BC256" s="10">
        <v>2971324</v>
      </c>
      <c r="BD256" s="10">
        <f>1000000000-999647220.3428+63855.6386</f>
        <v>416635.29579997883</v>
      </c>
      <c r="BE256" s="12">
        <f t="shared" si="78"/>
        <v>485712004.93270004</v>
      </c>
      <c r="BF256" s="13">
        <v>238</v>
      </c>
      <c r="BG256" s="13">
        <f t="shared" si="79"/>
        <v>247.71200493270004</v>
      </c>
      <c r="BH256" s="14">
        <f>BE256*40.94</f>
        <v>19885049481.94474</v>
      </c>
    </row>
    <row r="257" spans="1:60" x14ac:dyDescent="0.25">
      <c r="A257" s="3">
        <v>45879</v>
      </c>
      <c r="B257" s="4">
        <v>9805998920</v>
      </c>
      <c r="C257" s="4"/>
      <c r="D257" s="4">
        <v>427606413</v>
      </c>
      <c r="E257" s="4"/>
      <c r="N257" s="4"/>
      <c r="O257" s="4"/>
      <c r="P257" s="5">
        <v>121824</v>
      </c>
      <c r="Q257" s="4"/>
      <c r="R257" s="14">
        <f t="shared" si="80"/>
        <v>121824</v>
      </c>
      <c r="S257" s="6">
        <v>0.03</v>
      </c>
      <c r="T257" s="14">
        <f t="shared" si="81"/>
        <v>0</v>
      </c>
      <c r="U257" s="14">
        <f t="shared" si="82"/>
        <v>0</v>
      </c>
      <c r="V257" s="14">
        <f t="shared" si="83"/>
        <v>2613.5099999999998</v>
      </c>
      <c r="W257" s="14" t="str">
        <f t="shared" si="84"/>
        <v/>
      </c>
      <c r="X257" s="5">
        <v>34707</v>
      </c>
      <c r="Y257" s="4"/>
      <c r="Z257" s="4"/>
      <c r="AA257" s="14">
        <f t="shared" si="85"/>
        <v>37320.51</v>
      </c>
      <c r="AB257" s="4"/>
      <c r="AC257" s="4"/>
      <c r="AD257" s="14">
        <f t="shared" si="86"/>
        <v>0</v>
      </c>
      <c r="AE257" s="14">
        <f t="shared" si="87"/>
        <v>87117</v>
      </c>
      <c r="AF257" s="14" t="str">
        <f t="shared" si="88"/>
        <v/>
      </c>
      <c r="AG257" s="15">
        <f t="shared" si="89"/>
        <v>87117</v>
      </c>
      <c r="AH257" s="4">
        <v>2616564.7013099999</v>
      </c>
      <c r="AI257" s="17">
        <f t="shared" si="90"/>
        <v>-2529447.7013099999</v>
      </c>
      <c r="AJ257" s="7" t="str">
        <f t="shared" si="73"/>
        <v/>
      </c>
      <c r="AK257" s="7" t="str">
        <f t="shared" si="74"/>
        <v/>
      </c>
      <c r="AL257" s="7">
        <f t="shared" si="75"/>
        <v>2.8489750456572311</v>
      </c>
      <c r="AM257" s="7" t="str">
        <f t="shared" si="76"/>
        <v/>
      </c>
      <c r="AN257" s="4">
        <v>8521.677875704805</v>
      </c>
      <c r="AO257" s="4">
        <v>0</v>
      </c>
      <c r="AP257" s="14">
        <f t="shared" si="91"/>
        <v>2625086.3791857045</v>
      </c>
      <c r="AQ257" s="14">
        <f t="shared" si="92"/>
        <v>2616564.7013099999</v>
      </c>
      <c r="AR257" s="8">
        <v>59071.34</v>
      </c>
      <c r="AS257" s="20">
        <v>44.294994853849602</v>
      </c>
      <c r="AT257" s="8">
        <v>28288043.41</v>
      </c>
      <c r="AU257" s="8">
        <v>26141.360199999999</v>
      </c>
      <c r="AV257" s="8">
        <v>1317.9291000000001</v>
      </c>
      <c r="AW257" s="8"/>
      <c r="AX257" s="9">
        <v>431.59681393226163</v>
      </c>
      <c r="AY257" s="6">
        <f t="shared" si="77"/>
        <v>2.2107661977545403E-2</v>
      </c>
      <c r="AZ257" s="8">
        <v>422172192.03130001</v>
      </c>
      <c r="BA257" s="10">
        <v>60480066</v>
      </c>
      <c r="BB257" s="11">
        <v>28288043.41</v>
      </c>
      <c r="BC257" s="10">
        <v>2971324</v>
      </c>
      <c r="BD257" s="10">
        <f>1000000000-999645902.4138+64049.9756</f>
        <v>418147.56179999886</v>
      </c>
      <c r="BE257" s="12">
        <f t="shared" si="78"/>
        <v>485670226.9968999</v>
      </c>
      <c r="BF257" s="13">
        <v>238</v>
      </c>
      <c r="BG257" s="13">
        <f t="shared" si="79"/>
        <v>247.67022699689988</v>
      </c>
      <c r="BH257" s="14">
        <f>BE257*43.81</f>
        <v>21277212644.734184</v>
      </c>
    </row>
    <row r="258" spans="1:60" x14ac:dyDescent="0.25">
      <c r="A258" s="3">
        <v>45880</v>
      </c>
      <c r="B258" s="4">
        <v>16607625784</v>
      </c>
      <c r="C258" s="4"/>
      <c r="D258" s="4">
        <v>451736527</v>
      </c>
      <c r="E258" s="4"/>
      <c r="N258" s="4"/>
      <c r="O258" s="4"/>
      <c r="P258" s="5">
        <v>199959</v>
      </c>
      <c r="Q258" s="4"/>
      <c r="R258" s="14">
        <f t="shared" si="80"/>
        <v>199959</v>
      </c>
      <c r="S258" s="6">
        <v>0.03</v>
      </c>
      <c r="T258" s="14">
        <f t="shared" si="81"/>
        <v>0</v>
      </c>
      <c r="U258" s="14">
        <f t="shared" si="82"/>
        <v>0</v>
      </c>
      <c r="V258" s="14">
        <f t="shared" si="83"/>
        <v>4441.0199999999995</v>
      </c>
      <c r="W258" s="14" t="str">
        <f t="shared" si="84"/>
        <v/>
      </c>
      <c r="X258" s="5">
        <v>51925</v>
      </c>
      <c r="Y258" s="4"/>
      <c r="Z258" s="4"/>
      <c r="AA258" s="14">
        <f t="shared" si="85"/>
        <v>56366.02</v>
      </c>
      <c r="AB258" s="4"/>
      <c r="AC258" s="4"/>
      <c r="AD258" s="14">
        <f t="shared" si="86"/>
        <v>0</v>
      </c>
      <c r="AE258" s="14">
        <f t="shared" si="87"/>
        <v>148034</v>
      </c>
      <c r="AF258" s="14" t="str">
        <f t="shared" si="88"/>
        <v/>
      </c>
      <c r="AG258" s="15">
        <f t="shared" si="89"/>
        <v>148034</v>
      </c>
      <c r="AH258" s="4">
        <v>4537056.4779500002</v>
      </c>
      <c r="AI258" s="17">
        <f t="shared" si="90"/>
        <v>-4389022.4779500002</v>
      </c>
      <c r="AJ258" s="7" t="str">
        <f t="shared" si="73"/>
        <v/>
      </c>
      <c r="AK258" s="7" t="str">
        <f t="shared" si="74"/>
        <v/>
      </c>
      <c r="AL258" s="7">
        <f t="shared" si="75"/>
        <v>4.4264518817624863</v>
      </c>
      <c r="AM258" s="7" t="str">
        <f t="shared" si="76"/>
        <v/>
      </c>
      <c r="AN258" s="4">
        <v>23994.240893349881</v>
      </c>
      <c r="AO258" s="4">
        <v>23220.33</v>
      </c>
      <c r="AP258" s="14">
        <f t="shared" si="91"/>
        <v>4584271.0488433503</v>
      </c>
      <c r="AQ258" s="14">
        <f t="shared" si="92"/>
        <v>4537056.4779500002</v>
      </c>
      <c r="AR258" s="8">
        <v>101216.76</v>
      </c>
      <c r="AS258" s="20">
        <v>44.825150280941621</v>
      </c>
      <c r="AT258" s="8">
        <v>28388988.260000002</v>
      </c>
      <c r="AU258" s="8">
        <v>26376.425500000001</v>
      </c>
      <c r="AV258" s="8">
        <v>416.77859999999998</v>
      </c>
      <c r="AW258" s="8"/>
      <c r="AX258" s="9">
        <v>431.47237178298889</v>
      </c>
      <c r="AY258" s="6">
        <f t="shared" si="77"/>
        <v>2.2312889392468786E-2</v>
      </c>
      <c r="AZ258" s="8">
        <v>422145815.60579997</v>
      </c>
      <c r="BA258" s="10">
        <v>60480066</v>
      </c>
      <c r="BB258" s="11">
        <v>28388988.260000002</v>
      </c>
      <c r="BC258" s="10">
        <v>2971324</v>
      </c>
      <c r="BD258" s="10">
        <f>1000000000-999645485.6352+64579.5095</f>
        <v>419093.87429997633</v>
      </c>
      <c r="BE258" s="12">
        <f t="shared" si="78"/>
        <v>485594712.25990009</v>
      </c>
      <c r="BF258" s="13">
        <v>238</v>
      </c>
      <c r="BG258" s="13">
        <f t="shared" si="79"/>
        <v>247.59471225990012</v>
      </c>
      <c r="BH258" s="14">
        <f>BE258*45.22</f>
        <v>21958592888.392681</v>
      </c>
    </row>
    <row r="259" spans="1:60" x14ac:dyDescent="0.25">
      <c r="A259" s="3">
        <v>45881</v>
      </c>
      <c r="B259" s="4">
        <v>16065474194</v>
      </c>
      <c r="C259" s="4"/>
      <c r="D259" s="4">
        <v>675085879</v>
      </c>
      <c r="E259" s="4"/>
      <c r="N259" s="4"/>
      <c r="O259" s="4"/>
      <c r="P259" s="5">
        <v>233886</v>
      </c>
      <c r="Q259" s="4"/>
      <c r="R259" s="14">
        <f t="shared" si="80"/>
        <v>233886</v>
      </c>
      <c r="S259" s="6">
        <v>0.03</v>
      </c>
      <c r="T259" s="14">
        <f t="shared" si="81"/>
        <v>0</v>
      </c>
      <c r="U259" s="14">
        <f t="shared" si="82"/>
        <v>0</v>
      </c>
      <c r="V259" s="14">
        <f t="shared" si="83"/>
        <v>5109.6899999999996</v>
      </c>
      <c r="W259" s="14" t="str">
        <f t="shared" si="84"/>
        <v/>
      </c>
      <c r="X259" s="5">
        <v>63563</v>
      </c>
      <c r="Y259" s="4"/>
      <c r="Z259" s="4"/>
      <c r="AA259" s="14">
        <f t="shared" si="85"/>
        <v>68672.69</v>
      </c>
      <c r="AB259" s="4"/>
      <c r="AC259" s="4"/>
      <c r="AD259" s="14">
        <f t="shared" si="86"/>
        <v>0</v>
      </c>
      <c r="AE259" s="14">
        <f t="shared" si="87"/>
        <v>170323</v>
      </c>
      <c r="AF259" s="14" t="str">
        <f t="shared" si="88"/>
        <v/>
      </c>
      <c r="AG259" s="15">
        <f t="shared" si="89"/>
        <v>170323</v>
      </c>
      <c r="AH259" s="4">
        <v>4441446.2135100001</v>
      </c>
      <c r="AI259" s="17">
        <f t="shared" si="90"/>
        <v>-4271123.2135100001</v>
      </c>
      <c r="AJ259" s="7" t="str">
        <f t="shared" si="73"/>
        <v/>
      </c>
      <c r="AK259" s="7" t="str">
        <f t="shared" si="74"/>
        <v/>
      </c>
      <c r="AL259" s="7">
        <f t="shared" si="75"/>
        <v>3.4645369911522028</v>
      </c>
      <c r="AM259" s="7" t="str">
        <f t="shared" si="76"/>
        <v/>
      </c>
      <c r="AN259" s="4">
        <v>30295.03824612782</v>
      </c>
      <c r="AO259" s="4">
        <v>22162.84</v>
      </c>
      <c r="AP259" s="14">
        <f t="shared" si="91"/>
        <v>4493904.0917561278</v>
      </c>
      <c r="AQ259" s="14">
        <f t="shared" si="92"/>
        <v>4441446.2135100001</v>
      </c>
      <c r="AR259" s="8">
        <v>100791.05</v>
      </c>
      <c r="AS259" s="20">
        <v>44.065878999276222</v>
      </c>
      <c r="AT259" s="8">
        <v>28489779.309999999</v>
      </c>
      <c r="AU259" s="8">
        <v>26426.890200000002</v>
      </c>
      <c r="AV259" s="8">
        <v>1293.1775</v>
      </c>
      <c r="AW259" s="8"/>
      <c r="AX259" s="9">
        <v>431.94064855269409</v>
      </c>
      <c r="AY259" s="6">
        <f t="shared" si="77"/>
        <v>2.2331343334599987E-2</v>
      </c>
      <c r="AZ259" s="8">
        <v>422119388.71560001</v>
      </c>
      <c r="BA259" s="10">
        <v>60480066</v>
      </c>
      <c r="BB259" s="11">
        <v>28489779.309999999</v>
      </c>
      <c r="BC259" s="10">
        <v>2971324</v>
      </c>
      <c r="BD259" s="10">
        <f>1000000000-999644192.4577+65279.2286</f>
        <v>421086.77089998592</v>
      </c>
      <c r="BE259" s="12">
        <f t="shared" si="78"/>
        <v>485518355.20349997</v>
      </c>
      <c r="BF259" s="13">
        <v>238</v>
      </c>
      <c r="BG259" s="13">
        <f t="shared" si="79"/>
        <v>247.51835520349999</v>
      </c>
      <c r="BH259" s="14">
        <f>BE259*43.15</f>
        <v>20950117027.031025</v>
      </c>
    </row>
    <row r="260" spans="1:60" x14ac:dyDescent="0.25">
      <c r="A260" s="3">
        <v>45882</v>
      </c>
      <c r="B260" s="4">
        <v>19919714585</v>
      </c>
      <c r="C260" s="4"/>
      <c r="D260" s="4">
        <v>773925538</v>
      </c>
      <c r="E260" s="4"/>
      <c r="N260" s="4"/>
      <c r="O260" s="4"/>
      <c r="P260" s="5">
        <v>335687</v>
      </c>
      <c r="Q260" s="4"/>
      <c r="R260" s="14">
        <f t="shared" si="80"/>
        <v>335687</v>
      </c>
      <c r="S260" s="6">
        <v>0.03</v>
      </c>
      <c r="T260" s="14">
        <f t="shared" si="81"/>
        <v>0</v>
      </c>
      <c r="U260" s="14">
        <f t="shared" si="82"/>
        <v>0</v>
      </c>
      <c r="V260" s="14">
        <f t="shared" si="83"/>
        <v>7909.23</v>
      </c>
      <c r="W260" s="14" t="str">
        <f t="shared" si="84"/>
        <v/>
      </c>
      <c r="X260" s="5">
        <v>72046</v>
      </c>
      <c r="Y260" s="4"/>
      <c r="Z260" s="4"/>
      <c r="AA260" s="14">
        <f t="shared" si="85"/>
        <v>79955.23</v>
      </c>
      <c r="AB260" s="4"/>
      <c r="AC260" s="4"/>
      <c r="AD260" s="14">
        <f t="shared" si="86"/>
        <v>0</v>
      </c>
      <c r="AE260" s="14">
        <f t="shared" si="87"/>
        <v>263641</v>
      </c>
      <c r="AF260" s="14" t="str">
        <f t="shared" si="88"/>
        <v/>
      </c>
      <c r="AG260" s="15">
        <f t="shared" si="89"/>
        <v>263641</v>
      </c>
      <c r="AH260" s="4">
        <v>4994057.1602600003</v>
      </c>
      <c r="AI260" s="17">
        <f t="shared" si="90"/>
        <v>-4730416.1602600003</v>
      </c>
      <c r="AJ260" s="7" t="str">
        <f t="shared" ref="AJ260:AJ323" si="93">IF(OR(B260="",B260=0,N260=""),"",N260/B260*10000)</f>
        <v/>
      </c>
      <c r="AK260" s="7" t="str">
        <f t="shared" ref="AK260:AK323" si="94">IF(OR(C260="",C260=0),"",O260/C260*10000)</f>
        <v/>
      </c>
      <c r="AL260" s="7">
        <f t="shared" ref="AL260:AL323" si="95">IF(OR(D260="",D260=0),"",P260/D260*10000)</f>
        <v>4.3374586251216325</v>
      </c>
      <c r="AM260" s="7" t="str">
        <f t="shared" ref="AM260:AM323" si="96">IF(OR(E260="",E260=0),"",Q260/E260*10000)</f>
        <v/>
      </c>
      <c r="AN260" s="4">
        <v>38220.915805125202</v>
      </c>
      <c r="AO260" s="4">
        <v>24755.72</v>
      </c>
      <c r="AP260" s="14">
        <f t="shared" si="91"/>
        <v>5057033.7960651256</v>
      </c>
      <c r="AQ260" s="14">
        <f t="shared" si="92"/>
        <v>4994057.1602600003</v>
      </c>
      <c r="AR260" s="8">
        <v>109111.69</v>
      </c>
      <c r="AS260" s="20">
        <v>45.770138472422161</v>
      </c>
      <c r="AT260" s="8">
        <v>28599162.91</v>
      </c>
      <c r="AU260" s="8">
        <v>26337.768</v>
      </c>
      <c r="AV260" s="8">
        <v>1319.473</v>
      </c>
      <c r="AW260" s="8"/>
      <c r="AX260" s="9">
        <v>430.87860397602009</v>
      </c>
      <c r="AY260" s="6">
        <f t="shared" ref="AY260:AY323" si="97">IF(OR(AX260="",AX260=0,AU260=""),"",AU260*365/(AX260*1000000))</f>
        <v>2.2310890425496766E-2</v>
      </c>
      <c r="AZ260" s="8">
        <v>422093050.94760001</v>
      </c>
      <c r="BA260" s="10">
        <v>60480066</v>
      </c>
      <c r="BB260" s="11">
        <v>28599162.91</v>
      </c>
      <c r="BC260" s="10">
        <v>2971324</v>
      </c>
      <c r="BD260" s="10">
        <f>1000000000-999642872.9847+66128.0353</f>
        <v>423255.05060003547</v>
      </c>
      <c r="BE260" s="12">
        <f t="shared" ref="BE260:BE323" si="98">1000000000-AZ260-BA260-BB260-BC260-BD260</f>
        <v>485433141.09179991</v>
      </c>
      <c r="BF260" s="13">
        <v>238</v>
      </c>
      <c r="BG260" s="13">
        <f t="shared" ref="BG260:BG323" si="99">BE260/1000000-BF260</f>
        <v>247.43314109179994</v>
      </c>
      <c r="BH260" s="14">
        <f>BE260*44.87</f>
        <v>21781385040.789063</v>
      </c>
    </row>
    <row r="261" spans="1:60" x14ac:dyDescent="0.25">
      <c r="A261" s="3">
        <v>45883</v>
      </c>
      <c r="B261" s="4">
        <v>27376439346</v>
      </c>
      <c r="C261" s="4"/>
      <c r="D261" s="4">
        <v>569025735</v>
      </c>
      <c r="E261" s="4"/>
      <c r="N261" s="4"/>
      <c r="O261" s="4"/>
      <c r="P261" s="5">
        <v>352410</v>
      </c>
      <c r="Q261" s="4"/>
      <c r="R261" s="14">
        <f t="shared" si="80"/>
        <v>352410</v>
      </c>
      <c r="S261" s="6">
        <v>0.03</v>
      </c>
      <c r="T261" s="14">
        <f t="shared" si="81"/>
        <v>0</v>
      </c>
      <c r="U261" s="14">
        <f t="shared" si="82"/>
        <v>0</v>
      </c>
      <c r="V261" s="14">
        <f t="shared" si="83"/>
        <v>8994.6299999999992</v>
      </c>
      <c r="W261" s="14" t="str">
        <f t="shared" si="84"/>
        <v/>
      </c>
      <c r="X261" s="5">
        <v>52589</v>
      </c>
      <c r="Y261" s="4"/>
      <c r="Z261" s="4"/>
      <c r="AA261" s="14">
        <f t="shared" si="85"/>
        <v>61583.63</v>
      </c>
      <c r="AB261" s="4"/>
      <c r="AC261" s="4"/>
      <c r="AD261" s="14">
        <f t="shared" si="86"/>
        <v>0</v>
      </c>
      <c r="AE261" s="14">
        <f t="shared" si="87"/>
        <v>299821</v>
      </c>
      <c r="AF261" s="14" t="str">
        <f t="shared" si="88"/>
        <v/>
      </c>
      <c r="AG261" s="15">
        <f t="shared" si="89"/>
        <v>299821</v>
      </c>
      <c r="AH261" s="4">
        <v>7723090.9907</v>
      </c>
      <c r="AI261" s="17">
        <f t="shared" si="90"/>
        <v>-7423269.9907</v>
      </c>
      <c r="AJ261" s="7" t="str">
        <f t="shared" si="93"/>
        <v/>
      </c>
      <c r="AK261" s="7" t="str">
        <f t="shared" si="94"/>
        <v/>
      </c>
      <c r="AL261" s="7">
        <f t="shared" si="95"/>
        <v>6.1932172540491512</v>
      </c>
      <c r="AM261" s="7" t="str">
        <f t="shared" si="96"/>
        <v/>
      </c>
      <c r="AN261" s="4">
        <v>65478.198585568003</v>
      </c>
      <c r="AO261" s="4">
        <v>0</v>
      </c>
      <c r="AP261" s="14">
        <f t="shared" si="91"/>
        <v>7788569.189285568</v>
      </c>
      <c r="AQ261" s="14">
        <f t="shared" si="92"/>
        <v>7723090.9907</v>
      </c>
      <c r="AR261" s="8">
        <v>167809.16</v>
      </c>
      <c r="AS261" s="20">
        <v>46.023059710804823</v>
      </c>
      <c r="AT261" s="8">
        <v>28764050.719999999</v>
      </c>
      <c r="AU261" s="8">
        <v>26365.781800000001</v>
      </c>
      <c r="AV261" s="8">
        <v>1863.2942</v>
      </c>
      <c r="AW261" s="8"/>
      <c r="AX261" s="9">
        <v>429.63833587332527</v>
      </c>
      <c r="AY261" s="6">
        <f t="shared" si="97"/>
        <v>2.2399096061663827E-2</v>
      </c>
      <c r="AZ261" s="8">
        <v>422066685.16579998</v>
      </c>
      <c r="BA261" s="10">
        <v>60480066</v>
      </c>
      <c r="BB261" s="11">
        <v>28764050.719999999</v>
      </c>
      <c r="BC261" s="10">
        <v>2971324</v>
      </c>
      <c r="BD261" s="10">
        <f>1000000000-999641009.6905+67496.9843</f>
        <v>426487.29379997903</v>
      </c>
      <c r="BE261" s="12">
        <f t="shared" si="98"/>
        <v>485291386.8204</v>
      </c>
      <c r="BF261" s="13">
        <v>238</v>
      </c>
      <c r="BG261" s="13">
        <f t="shared" si="99"/>
        <v>247.29138682040002</v>
      </c>
      <c r="BH261" s="14">
        <f>BE261*47.77</f>
        <v>23182369548.410511</v>
      </c>
    </row>
    <row r="262" spans="1:60" x14ac:dyDescent="0.25">
      <c r="A262" s="3">
        <v>45884</v>
      </c>
      <c r="B262" s="4">
        <v>13585090719</v>
      </c>
      <c r="C262" s="4"/>
      <c r="D262" s="4">
        <v>196663923</v>
      </c>
      <c r="E262" s="4"/>
      <c r="N262" s="4"/>
      <c r="O262" s="4"/>
      <c r="P262" s="5">
        <v>277797</v>
      </c>
      <c r="Q262" s="4"/>
      <c r="R262" s="14">
        <f t="shared" si="80"/>
        <v>277797</v>
      </c>
      <c r="S262" s="6">
        <v>0.03</v>
      </c>
      <c r="T262" s="14">
        <f t="shared" si="81"/>
        <v>0</v>
      </c>
      <c r="U262" s="14">
        <f t="shared" si="82"/>
        <v>0</v>
      </c>
      <c r="V262" s="14">
        <f t="shared" si="83"/>
        <v>7202.3099999999995</v>
      </c>
      <c r="W262" s="14" t="str">
        <f t="shared" si="84"/>
        <v/>
      </c>
      <c r="X262" s="5">
        <v>37720</v>
      </c>
      <c r="Y262" s="4"/>
      <c r="Z262" s="4"/>
      <c r="AA262" s="14">
        <f t="shared" si="85"/>
        <v>44922.31</v>
      </c>
      <c r="AB262" s="4"/>
      <c r="AC262" s="4"/>
      <c r="AD262" s="14">
        <f t="shared" si="86"/>
        <v>0</v>
      </c>
      <c r="AE262" s="14">
        <f t="shared" si="87"/>
        <v>240077</v>
      </c>
      <c r="AF262" s="14" t="str">
        <f t="shared" si="88"/>
        <v/>
      </c>
      <c r="AG262" s="15">
        <f t="shared" si="89"/>
        <v>240077</v>
      </c>
      <c r="AH262" s="4">
        <v>3656083.6037599999</v>
      </c>
      <c r="AI262" s="17">
        <f t="shared" si="90"/>
        <v>-3416006.6037599999</v>
      </c>
      <c r="AJ262" s="7" t="str">
        <f t="shared" si="93"/>
        <v/>
      </c>
      <c r="AK262" s="7" t="str">
        <f t="shared" si="94"/>
        <v/>
      </c>
      <c r="AL262" s="7">
        <f t="shared" si="95"/>
        <v>14.125468248693483</v>
      </c>
      <c r="AM262" s="7" t="str">
        <f t="shared" si="96"/>
        <v/>
      </c>
      <c r="AN262" s="4">
        <v>38781.466035554709</v>
      </c>
      <c r="AO262" s="4">
        <v>27973.26</v>
      </c>
      <c r="AP262" s="14">
        <f t="shared" si="91"/>
        <v>3722838.3297955543</v>
      </c>
      <c r="AQ262" s="14">
        <f t="shared" si="92"/>
        <v>3656083.6037599999</v>
      </c>
      <c r="AR262" s="8">
        <v>77150.31</v>
      </c>
      <c r="AS262" s="20">
        <v>47.38909803162165</v>
      </c>
      <c r="AT262" s="8">
        <v>28843895.32</v>
      </c>
      <c r="AU262" s="8">
        <v>26256.5939</v>
      </c>
      <c r="AV262" s="8">
        <v>1373.4081000000001</v>
      </c>
      <c r="AW262" s="8"/>
      <c r="AX262" s="9">
        <v>429.61784806278052</v>
      </c>
      <c r="AY262" s="6">
        <f t="shared" si="97"/>
        <v>2.2307399044789056E-2</v>
      </c>
      <c r="AZ262" s="8">
        <v>422040428.57190001</v>
      </c>
      <c r="BA262" s="10">
        <v>60480066</v>
      </c>
      <c r="BB262" s="11">
        <v>28843895.32</v>
      </c>
      <c r="BC262" s="10">
        <v>2971324</v>
      </c>
      <c r="BD262" s="10">
        <f>1000000000-999639636.2825+68340.9402</f>
        <v>428704.6576999714</v>
      </c>
      <c r="BE262" s="12">
        <f t="shared" si="98"/>
        <v>485235581.45040005</v>
      </c>
      <c r="BF262" s="13">
        <v>238</v>
      </c>
      <c r="BG262" s="13">
        <f t="shared" si="99"/>
        <v>247.23558145040005</v>
      </c>
      <c r="BH262" s="14">
        <f>BE262*46</f>
        <v>22320836746.718403</v>
      </c>
    </row>
    <row r="263" spans="1:60" x14ac:dyDescent="0.25">
      <c r="A263" s="3">
        <v>45885</v>
      </c>
      <c r="B263" s="4">
        <v>4928430305</v>
      </c>
      <c r="C263" s="4"/>
      <c r="D263" s="4">
        <v>251740971</v>
      </c>
      <c r="E263" s="4"/>
      <c r="N263" s="4"/>
      <c r="O263" s="4"/>
      <c r="P263" s="5">
        <v>119204</v>
      </c>
      <c r="Q263" s="4"/>
      <c r="R263" s="14">
        <f t="shared" si="80"/>
        <v>119204</v>
      </c>
      <c r="S263" s="6">
        <v>0.03</v>
      </c>
      <c r="T263" s="14">
        <f t="shared" si="81"/>
        <v>0</v>
      </c>
      <c r="U263" s="14">
        <f t="shared" si="82"/>
        <v>0</v>
      </c>
      <c r="V263" s="14">
        <f t="shared" si="83"/>
        <v>2649.42</v>
      </c>
      <c r="W263" s="14" t="str">
        <f t="shared" si="84"/>
        <v/>
      </c>
      <c r="X263" s="5">
        <v>30890</v>
      </c>
      <c r="Y263" s="4"/>
      <c r="Z263" s="4"/>
      <c r="AA263" s="14">
        <f t="shared" si="85"/>
        <v>33539.42</v>
      </c>
      <c r="AB263" s="4"/>
      <c r="AC263" s="4"/>
      <c r="AD263" s="14">
        <f t="shared" si="86"/>
        <v>0</v>
      </c>
      <c r="AE263" s="14">
        <f t="shared" si="87"/>
        <v>88314</v>
      </c>
      <c r="AF263" s="14" t="str">
        <f t="shared" si="88"/>
        <v/>
      </c>
      <c r="AG263" s="15">
        <f t="shared" si="89"/>
        <v>88314</v>
      </c>
      <c r="AH263" s="4">
        <v>1365202.03208</v>
      </c>
      <c r="AI263" s="17">
        <f t="shared" si="90"/>
        <v>-1276888.03208</v>
      </c>
      <c r="AJ263" s="7" t="str">
        <f t="shared" si="93"/>
        <v/>
      </c>
      <c r="AK263" s="7" t="str">
        <f t="shared" si="94"/>
        <v/>
      </c>
      <c r="AL263" s="7">
        <f t="shared" si="95"/>
        <v>4.7351847228713515</v>
      </c>
      <c r="AM263" s="7" t="str">
        <f t="shared" si="96"/>
        <v/>
      </c>
      <c r="AN263" s="4">
        <v>7912.4545799921971</v>
      </c>
      <c r="AO263" s="4">
        <v>29808.92</v>
      </c>
      <c r="AP263" s="14">
        <f t="shared" si="91"/>
        <v>1402923.4066599922</v>
      </c>
      <c r="AQ263" s="14">
        <f t="shared" si="92"/>
        <v>1365202.03208</v>
      </c>
      <c r="AR263" s="8">
        <v>28971.85</v>
      </c>
      <c r="AS263" s="20">
        <v>47.121672660876001</v>
      </c>
      <c r="AT263" s="8">
        <v>28873094.23</v>
      </c>
      <c r="AU263" s="8">
        <v>26182.659899999999</v>
      </c>
      <c r="AV263" s="8">
        <v>1709.1627000000001</v>
      </c>
      <c r="AW263" s="8"/>
      <c r="AX263" s="9">
        <v>429.85730922449022</v>
      </c>
      <c r="AY263" s="6">
        <f t="shared" si="97"/>
        <v>2.223219347076192E-2</v>
      </c>
      <c r="AZ263" s="8">
        <v>422014245.912</v>
      </c>
      <c r="BA263" s="10">
        <v>60480066</v>
      </c>
      <c r="BB263" s="11">
        <v>28873094.23</v>
      </c>
      <c r="BC263" s="10">
        <v>2971324</v>
      </c>
      <c r="BD263" s="10">
        <f>1000000000-999637927.1197+68505.3173</f>
        <v>430578.19760004501</v>
      </c>
      <c r="BE263" s="12">
        <f t="shared" si="98"/>
        <v>485230691.66039997</v>
      </c>
      <c r="BF263" s="13">
        <v>238</v>
      </c>
      <c r="BG263" s="13">
        <f t="shared" si="99"/>
        <v>247.2306916604</v>
      </c>
      <c r="BH263" s="14">
        <f>BE263*48.24</f>
        <v>23407528565.697697</v>
      </c>
    </row>
    <row r="264" spans="1:60" x14ac:dyDescent="0.25">
      <c r="A264" s="3">
        <v>45886</v>
      </c>
      <c r="B264" s="4">
        <v>6272412053</v>
      </c>
      <c r="C264" s="4"/>
      <c r="D264" s="4">
        <v>367201250</v>
      </c>
      <c r="E264" s="4"/>
      <c r="N264" s="4">
        <v>1538885.77</v>
      </c>
      <c r="O264" s="4"/>
      <c r="P264" s="4">
        <v>99538.98</v>
      </c>
      <c r="Q264" s="4"/>
      <c r="R264" s="14">
        <f t="shared" si="80"/>
        <v>1638424.75</v>
      </c>
      <c r="S264" s="6">
        <v>0.03</v>
      </c>
      <c r="T264" s="14">
        <f t="shared" si="81"/>
        <v>46166.573100000001</v>
      </c>
      <c r="U264" s="14">
        <f t="shared" si="82"/>
        <v>0</v>
      </c>
      <c r="V264" s="14">
        <f t="shared" si="83"/>
        <v>2471.5041000000001</v>
      </c>
      <c r="W264" s="14" t="str">
        <f t="shared" si="84"/>
        <v/>
      </c>
      <c r="X264" s="4">
        <v>17155.509999999998</v>
      </c>
      <c r="Y264" s="4"/>
      <c r="Z264" s="4"/>
      <c r="AA264" s="14">
        <f t="shared" si="85"/>
        <v>65793.587199999994</v>
      </c>
      <c r="AB264" s="4"/>
      <c r="AC264" s="4">
        <v>1538885.77</v>
      </c>
      <c r="AD264" s="14">
        <f t="shared" si="86"/>
        <v>0</v>
      </c>
      <c r="AE264" s="14">
        <f t="shared" si="87"/>
        <v>82383.47</v>
      </c>
      <c r="AF264" s="14" t="str">
        <f t="shared" si="88"/>
        <v/>
      </c>
      <c r="AG264" s="15">
        <f t="shared" si="89"/>
        <v>1621269.24</v>
      </c>
      <c r="AH264" s="4">
        <v>1699981.1939399999</v>
      </c>
      <c r="AI264" s="17">
        <f t="shared" si="90"/>
        <v>-78711.953939999919</v>
      </c>
      <c r="AJ264" s="7">
        <f t="shared" si="93"/>
        <v>2.4534194453375786</v>
      </c>
      <c r="AK264" s="7" t="str">
        <f t="shared" si="94"/>
        <v/>
      </c>
      <c r="AL264" s="7">
        <f t="shared" si="95"/>
        <v>2.7107473081859061</v>
      </c>
      <c r="AM264" s="7" t="str">
        <f t="shared" si="96"/>
        <v/>
      </c>
      <c r="AN264" s="4">
        <v>7181.0227593607542</v>
      </c>
      <c r="AO264" s="4">
        <v>0</v>
      </c>
      <c r="AP264" s="14">
        <f t="shared" si="91"/>
        <v>1707162.2166993606</v>
      </c>
      <c r="AQ264" s="14">
        <f t="shared" si="92"/>
        <v>1699981.1939399999</v>
      </c>
      <c r="AR264" s="8">
        <v>36315.480000000003</v>
      </c>
      <c r="AS264" s="20">
        <v>46.811475270050131</v>
      </c>
      <c r="AT264" s="8">
        <v>28909605.98</v>
      </c>
      <c r="AU264" s="8">
        <v>26168.072499999998</v>
      </c>
      <c r="AV264" s="8">
        <v>924.19179999999994</v>
      </c>
      <c r="AW264" s="8"/>
      <c r="AX264" s="9">
        <v>429.66942686156511</v>
      </c>
      <c r="AY264" s="6">
        <f t="shared" si="97"/>
        <v>2.2229523129597351E-2</v>
      </c>
      <c r="AZ264" s="8">
        <v>421988077.83950001</v>
      </c>
      <c r="BA264" s="10">
        <v>60480066</v>
      </c>
      <c r="BB264" s="11">
        <v>28909605.98</v>
      </c>
      <c r="BC264" s="10">
        <v>2971324</v>
      </c>
      <c r="BD264" s="10">
        <f>1000000000-999637002.9279+68661.0271</f>
        <v>431658.0992000433</v>
      </c>
      <c r="BE264" s="12">
        <f t="shared" si="98"/>
        <v>485219268.08129996</v>
      </c>
      <c r="BF264" s="13">
        <v>238</v>
      </c>
      <c r="BG264" s="13">
        <f t="shared" si="99"/>
        <v>247.21926808129996</v>
      </c>
      <c r="BH264" s="14">
        <f>BE264*46.32</f>
        <v>22475356497.525814</v>
      </c>
    </row>
    <row r="265" spans="1:60" x14ac:dyDescent="0.25">
      <c r="A265" s="3">
        <v>45887</v>
      </c>
      <c r="B265" s="4">
        <v>15278357612</v>
      </c>
      <c r="C265" s="4"/>
      <c r="D265" s="4">
        <v>390244912</v>
      </c>
      <c r="E265" s="4"/>
      <c r="N265" s="4">
        <v>3304767.24</v>
      </c>
      <c r="O265" s="4"/>
      <c r="P265" s="4">
        <v>106088.82</v>
      </c>
      <c r="Q265" s="4"/>
      <c r="R265" s="14">
        <f t="shared" si="80"/>
        <v>3410856.06</v>
      </c>
      <c r="S265" s="6">
        <v>0.03</v>
      </c>
      <c r="T265" s="14">
        <f t="shared" si="81"/>
        <v>99143.017200000002</v>
      </c>
      <c r="U265" s="14">
        <f t="shared" si="82"/>
        <v>0</v>
      </c>
      <c r="V265" s="14">
        <f t="shared" si="83"/>
        <v>2692.1433000000002</v>
      </c>
      <c r="W265" s="14" t="str">
        <f t="shared" si="84"/>
        <v/>
      </c>
      <c r="X265" s="4">
        <v>16350.71</v>
      </c>
      <c r="Y265" s="4"/>
      <c r="Z265" s="4"/>
      <c r="AA265" s="14">
        <f t="shared" si="85"/>
        <v>118185.87049999999</v>
      </c>
      <c r="AB265" s="4"/>
      <c r="AC265" s="4">
        <v>3304767.24</v>
      </c>
      <c r="AD265" s="14">
        <f t="shared" si="86"/>
        <v>0</v>
      </c>
      <c r="AE265" s="14">
        <f t="shared" si="87"/>
        <v>89738.110000000015</v>
      </c>
      <c r="AF265" s="14" t="str">
        <f t="shared" si="88"/>
        <v/>
      </c>
      <c r="AG265" s="15">
        <f t="shared" si="89"/>
        <v>3394505.35</v>
      </c>
      <c r="AH265" s="4">
        <v>4068407.7964499998</v>
      </c>
      <c r="AI265" s="17">
        <f t="shared" si="90"/>
        <v>-673902.4464499997</v>
      </c>
      <c r="AJ265" s="7">
        <f t="shared" si="93"/>
        <v>2.1630382819448828</v>
      </c>
      <c r="AK265" s="7" t="str">
        <f t="shared" si="94"/>
        <v/>
      </c>
      <c r="AL265" s="7">
        <f t="shared" si="95"/>
        <v>2.7185189796913996</v>
      </c>
      <c r="AM265" s="7" t="str">
        <f t="shared" si="96"/>
        <v/>
      </c>
      <c r="AN265" s="4">
        <v>14146.97794252994</v>
      </c>
      <c r="AO265" s="4">
        <v>0</v>
      </c>
      <c r="AP265" s="14">
        <f t="shared" si="91"/>
        <v>4082554.7743925299</v>
      </c>
      <c r="AQ265" s="14">
        <f t="shared" si="92"/>
        <v>4068407.7964499998</v>
      </c>
      <c r="AR265" s="8">
        <v>92598.720000000001</v>
      </c>
      <c r="AS265" s="20">
        <v>43.935896699760001</v>
      </c>
      <c r="AT265" s="8">
        <v>29002008.43</v>
      </c>
      <c r="AU265" s="8">
        <v>26239.559700000002</v>
      </c>
      <c r="AV265" s="8">
        <v>413.52719999999999</v>
      </c>
      <c r="AW265" s="8"/>
      <c r="AX265" s="9">
        <v>429.77476772945249</v>
      </c>
      <c r="AY265" s="6">
        <f t="shared" si="97"/>
        <v>2.2284787311034261E-2</v>
      </c>
      <c r="AZ265" s="8">
        <v>421961838.2798</v>
      </c>
      <c r="BA265" s="10">
        <v>60480066</v>
      </c>
      <c r="BB265" s="11">
        <v>29002008.43</v>
      </c>
      <c r="BC265" s="10">
        <v>2971324</v>
      </c>
      <c r="BD265" s="10">
        <f>1000000000-999636589.4007+68967.6901</f>
        <v>432378.2894000269</v>
      </c>
      <c r="BE265" s="12">
        <f t="shared" si="98"/>
        <v>485152385.00080001</v>
      </c>
      <c r="BF265" s="13">
        <v>238</v>
      </c>
      <c r="BG265" s="13">
        <f t="shared" si="99"/>
        <v>247.1523850008</v>
      </c>
      <c r="BH265" s="14">
        <f>BE265*46.04</f>
        <v>22336415805.436832</v>
      </c>
    </row>
    <row r="266" spans="1:60" x14ac:dyDescent="0.25">
      <c r="A266" s="3">
        <v>45888</v>
      </c>
      <c r="B266" s="4">
        <v>16655285033</v>
      </c>
      <c r="C266" s="4"/>
      <c r="D266" s="4">
        <v>542977582</v>
      </c>
      <c r="E266" s="4"/>
      <c r="N266" s="4">
        <v>4649556.12</v>
      </c>
      <c r="O266" s="4"/>
      <c r="P266" s="4">
        <v>153945.53</v>
      </c>
      <c r="Q266" s="4"/>
      <c r="R266" s="14">
        <f t="shared" si="80"/>
        <v>4803501.6500000004</v>
      </c>
      <c r="S266" s="6">
        <v>0.03</v>
      </c>
      <c r="T266" s="14">
        <f t="shared" si="81"/>
        <v>139486.68359999999</v>
      </c>
      <c r="U266" s="14">
        <f t="shared" si="82"/>
        <v>0</v>
      </c>
      <c r="V266" s="14">
        <f t="shared" si="83"/>
        <v>3946.3728000000001</v>
      </c>
      <c r="W266" s="14" t="str">
        <f t="shared" si="84"/>
        <v/>
      </c>
      <c r="X266" s="4">
        <v>22399.77</v>
      </c>
      <c r="Y266" s="4"/>
      <c r="Z266" s="4"/>
      <c r="AA266" s="14">
        <f t="shared" si="85"/>
        <v>165832.82639999999</v>
      </c>
      <c r="AB266" s="4"/>
      <c r="AC266" s="4">
        <v>4649556.12</v>
      </c>
      <c r="AD266" s="14">
        <f t="shared" si="86"/>
        <v>0</v>
      </c>
      <c r="AE266" s="14">
        <f t="shared" si="87"/>
        <v>131545.76</v>
      </c>
      <c r="AF266" s="14" t="str">
        <f t="shared" si="88"/>
        <v/>
      </c>
      <c r="AG266" s="15">
        <f t="shared" si="89"/>
        <v>4781101.88</v>
      </c>
      <c r="AH266" s="4">
        <v>4196894.6165100001</v>
      </c>
      <c r="AI266" s="17">
        <f t="shared" si="90"/>
        <v>584207.26348999981</v>
      </c>
      <c r="AJ266" s="7">
        <f t="shared" si="93"/>
        <v>2.7916400774814645</v>
      </c>
      <c r="AK266" s="7" t="str">
        <f t="shared" si="94"/>
        <v/>
      </c>
      <c r="AL266" s="7">
        <f t="shared" si="95"/>
        <v>2.8352096864286378</v>
      </c>
      <c r="AM266" s="7" t="str">
        <f t="shared" si="96"/>
        <v/>
      </c>
      <c r="AN266" s="4">
        <v>21535.53296781837</v>
      </c>
      <c r="AO266" s="4">
        <v>21658.47</v>
      </c>
      <c r="AP266" s="14">
        <f t="shared" si="91"/>
        <v>4240088.6194778178</v>
      </c>
      <c r="AQ266" s="14">
        <f t="shared" si="92"/>
        <v>4196894.6165100001</v>
      </c>
      <c r="AR266" s="8">
        <v>98671.67</v>
      </c>
      <c r="AS266" s="20">
        <v>42.533937213285242</v>
      </c>
      <c r="AT266" s="8">
        <v>29100680.100000001</v>
      </c>
      <c r="AU266" s="8">
        <v>26295.105899999999</v>
      </c>
      <c r="AV266" s="8">
        <v>731.14350000000002</v>
      </c>
      <c r="AW266" s="8"/>
      <c r="AX266" s="9">
        <v>430.24101439414937</v>
      </c>
      <c r="AY266" s="6">
        <f t="shared" si="97"/>
        <v>2.2307760841943837E-2</v>
      </c>
      <c r="AZ266" s="8">
        <v>421935543.17390001</v>
      </c>
      <c r="BA266" s="10">
        <v>60480066</v>
      </c>
      <c r="BB266" s="11">
        <v>29100680.100000001</v>
      </c>
      <c r="BC266" s="10">
        <v>2971324</v>
      </c>
      <c r="BD266" s="10">
        <f>1000000000-999635858.2573+69469.298</f>
        <v>433611.04069998075</v>
      </c>
      <c r="BE266" s="12">
        <f t="shared" si="98"/>
        <v>485078775.68540001</v>
      </c>
      <c r="BF266" s="13">
        <v>238</v>
      </c>
      <c r="BG266" s="13">
        <f t="shared" si="99"/>
        <v>247.07877568539999</v>
      </c>
      <c r="BH266" s="14">
        <f>BE266*43.21</f>
        <v>20960253897.366135</v>
      </c>
    </row>
    <row r="267" spans="1:60" x14ac:dyDescent="0.25">
      <c r="A267" s="3">
        <v>45889</v>
      </c>
      <c r="B267" s="4">
        <v>15135209638</v>
      </c>
      <c r="C267" s="4"/>
      <c r="D267" s="4">
        <v>923204692</v>
      </c>
      <c r="E267" s="4"/>
      <c r="N267" s="4">
        <v>2882297.96</v>
      </c>
      <c r="O267" s="4"/>
      <c r="P267" s="4">
        <v>163173.34</v>
      </c>
      <c r="Q267" s="4"/>
      <c r="R267" s="14">
        <f t="shared" si="80"/>
        <v>3045471.3</v>
      </c>
      <c r="S267" s="6">
        <v>0.03</v>
      </c>
      <c r="T267" s="14">
        <f t="shared" si="81"/>
        <v>86468.938799999989</v>
      </c>
      <c r="U267" s="14">
        <f t="shared" si="82"/>
        <v>0</v>
      </c>
      <c r="V267" s="14">
        <f t="shared" si="83"/>
        <v>3798.8609999999999</v>
      </c>
      <c r="W267" s="14" t="str">
        <f t="shared" si="84"/>
        <v/>
      </c>
      <c r="X267" s="4">
        <v>36544.639999999999</v>
      </c>
      <c r="Y267" s="4"/>
      <c r="Z267" s="4"/>
      <c r="AA267" s="14">
        <f t="shared" si="85"/>
        <v>126812.43979999999</v>
      </c>
      <c r="AB267" s="4"/>
      <c r="AC267" s="4">
        <v>2882297.96</v>
      </c>
      <c r="AD267" s="14">
        <f t="shared" si="86"/>
        <v>0</v>
      </c>
      <c r="AE267" s="14">
        <f t="shared" si="87"/>
        <v>126628.7</v>
      </c>
      <c r="AF267" s="14" t="str">
        <f t="shared" si="88"/>
        <v/>
      </c>
      <c r="AG267" s="15">
        <f t="shared" si="89"/>
        <v>3008926.66</v>
      </c>
      <c r="AH267" s="4">
        <v>3873066.9445500001</v>
      </c>
      <c r="AI267" s="17">
        <f t="shared" si="90"/>
        <v>-864140.28454999998</v>
      </c>
      <c r="AJ267" s="7">
        <f t="shared" si="93"/>
        <v>1.9043660635947908</v>
      </c>
      <c r="AK267" s="7" t="str">
        <f t="shared" si="94"/>
        <v/>
      </c>
      <c r="AL267" s="7">
        <f t="shared" si="95"/>
        <v>1.767466537095979</v>
      </c>
      <c r="AM267" s="7" t="str">
        <f t="shared" si="96"/>
        <v/>
      </c>
      <c r="AN267" s="4">
        <v>19695.563863515439</v>
      </c>
      <c r="AO267" s="4">
        <v>35928.379999999997</v>
      </c>
      <c r="AP267" s="14">
        <f t="shared" si="91"/>
        <v>3928690.8884135154</v>
      </c>
      <c r="AQ267" s="14">
        <f t="shared" si="92"/>
        <v>3873066.9445500001</v>
      </c>
      <c r="AR267" s="8">
        <v>92180.89</v>
      </c>
      <c r="AS267" s="20">
        <v>42.015942182267928</v>
      </c>
      <c r="AT267" s="8">
        <v>29193133.719999999</v>
      </c>
      <c r="AU267" s="8">
        <v>26302.267</v>
      </c>
      <c r="AV267" s="8">
        <v>1238.6552999999999</v>
      </c>
      <c r="AW267" s="8"/>
      <c r="AX267" s="9">
        <v>429.68729041061749</v>
      </c>
      <c r="AY267" s="6">
        <f t="shared" si="97"/>
        <v>2.2342591156991731E-2</v>
      </c>
      <c r="AZ267" s="8">
        <v>421909240.90689999</v>
      </c>
      <c r="BA267" s="10">
        <v>60480066</v>
      </c>
      <c r="BB267" s="11">
        <v>29193133.719999999</v>
      </c>
      <c r="BC267" s="10">
        <v>2971324</v>
      </c>
      <c r="BD267" s="10">
        <f>1000000000-999634619.602+69945.2547</f>
        <v>435325.6527000019</v>
      </c>
      <c r="BE267" s="12">
        <f t="shared" si="98"/>
        <v>485010909.72040004</v>
      </c>
      <c r="BF267" s="13">
        <v>238</v>
      </c>
      <c r="BG267" s="13">
        <f t="shared" si="99"/>
        <v>247.01090972040004</v>
      </c>
      <c r="BH267" s="14">
        <f>BE267*41.52</f>
        <v>20137652971.591011</v>
      </c>
    </row>
    <row r="268" spans="1:60" x14ac:dyDescent="0.25">
      <c r="A268" s="3">
        <v>45890</v>
      </c>
      <c r="B268" s="4">
        <v>11826851576</v>
      </c>
      <c r="C268" s="4"/>
      <c r="D268" s="4">
        <v>1392685685</v>
      </c>
      <c r="E268" s="4"/>
      <c r="N268" s="4">
        <v>3104055.64</v>
      </c>
      <c r="O268" s="4"/>
      <c r="P268" s="4">
        <v>241343.79</v>
      </c>
      <c r="Q268" s="4"/>
      <c r="R268" s="14">
        <f t="shared" si="80"/>
        <v>3345399.43</v>
      </c>
      <c r="S268" s="6">
        <v>0.03</v>
      </c>
      <c r="T268" s="14">
        <f t="shared" si="81"/>
        <v>93121.669200000004</v>
      </c>
      <c r="U268" s="14">
        <f t="shared" si="82"/>
        <v>0</v>
      </c>
      <c r="V268" s="14">
        <f t="shared" si="83"/>
        <v>5344.7124000000003</v>
      </c>
      <c r="W268" s="14" t="str">
        <f t="shared" si="84"/>
        <v/>
      </c>
      <c r="X268" s="4">
        <v>63186.71</v>
      </c>
      <c r="Y268" s="4"/>
      <c r="Z268" s="4"/>
      <c r="AA268" s="14">
        <f t="shared" si="85"/>
        <v>161653.09160000001</v>
      </c>
      <c r="AB268" s="4"/>
      <c r="AC268" s="4">
        <v>3104055.64</v>
      </c>
      <c r="AD268" s="14">
        <f t="shared" si="86"/>
        <v>0</v>
      </c>
      <c r="AE268" s="14">
        <f t="shared" si="87"/>
        <v>178157.08000000002</v>
      </c>
      <c r="AF268" s="14" t="str">
        <f t="shared" si="88"/>
        <v/>
      </c>
      <c r="AG268" s="15">
        <f t="shared" si="89"/>
        <v>3282212.72</v>
      </c>
      <c r="AH268" s="4">
        <v>3184206.25233</v>
      </c>
      <c r="AI268" s="17">
        <f t="shared" si="90"/>
        <v>98006.467670000158</v>
      </c>
      <c r="AJ268" s="7">
        <f t="shared" si="93"/>
        <v>2.6245832376039959</v>
      </c>
      <c r="AK268" s="7" t="str">
        <f t="shared" si="94"/>
        <v/>
      </c>
      <c r="AL268" s="7">
        <f t="shared" si="95"/>
        <v>1.7329379672628717</v>
      </c>
      <c r="AM268" s="7" t="str">
        <f t="shared" si="96"/>
        <v/>
      </c>
      <c r="AN268" s="4">
        <v>10986.340439251289</v>
      </c>
      <c r="AO268" s="4">
        <v>0</v>
      </c>
      <c r="AP268" s="14">
        <f t="shared" si="91"/>
        <v>3195192.5927692512</v>
      </c>
      <c r="AQ268" s="14">
        <f t="shared" si="92"/>
        <v>3184206.25233</v>
      </c>
      <c r="AR268" s="8">
        <v>76866.149999999994</v>
      </c>
      <c r="AS268" s="20">
        <v>41.425338101752203</v>
      </c>
      <c r="AT268" s="8">
        <v>29269478.539999999</v>
      </c>
      <c r="AU268" s="8">
        <v>26232.691800000001</v>
      </c>
      <c r="AV268" s="8">
        <v>2110.2161999999998</v>
      </c>
      <c r="AW268" s="8"/>
      <c r="AX268" s="9">
        <v>429.99192963528299</v>
      </c>
      <c r="AY268" s="6">
        <f t="shared" si="97"/>
        <v>2.2267702826705163E-2</v>
      </c>
      <c r="AZ268" s="8">
        <v>421883008.21509999</v>
      </c>
      <c r="BA268" s="10">
        <v>60480066</v>
      </c>
      <c r="BB268" s="11">
        <v>29269478.539999999</v>
      </c>
      <c r="BC268" s="10">
        <v>2971324</v>
      </c>
      <c r="BD268" s="10">
        <f>1000000000-999632509.3858+70202.733</f>
        <v>437693.347199996</v>
      </c>
      <c r="BE268" s="12">
        <f t="shared" si="98"/>
        <v>484958429.89769995</v>
      </c>
      <c r="BF268" s="13">
        <v>238</v>
      </c>
      <c r="BG268" s="13">
        <f t="shared" si="99"/>
        <v>246.95842989769994</v>
      </c>
      <c r="BH268" s="14">
        <f>BE268*43.03</f>
        <v>20867761238.498028</v>
      </c>
    </row>
    <row r="269" spans="1:60" x14ac:dyDescent="0.25">
      <c r="A269" s="3">
        <v>45891</v>
      </c>
      <c r="B269" s="4">
        <v>21155470263</v>
      </c>
      <c r="C269" s="4"/>
      <c r="D269" s="4">
        <v>1292052219</v>
      </c>
      <c r="E269" s="4"/>
      <c r="N269" s="4">
        <v>5928607.4800000004</v>
      </c>
      <c r="O269" s="4"/>
      <c r="P269" s="4">
        <v>707453.42999999993</v>
      </c>
      <c r="Q269" s="4"/>
      <c r="R269" s="14">
        <f t="shared" si="80"/>
        <v>6636060.9100000001</v>
      </c>
      <c r="S269" s="6">
        <v>0.03</v>
      </c>
      <c r="T269" s="14">
        <f t="shared" si="81"/>
        <v>177858.22440000001</v>
      </c>
      <c r="U269" s="14">
        <f t="shared" si="82"/>
        <v>0</v>
      </c>
      <c r="V269" s="14">
        <f t="shared" si="83"/>
        <v>14991.242999999999</v>
      </c>
      <c r="W269" s="14" t="str">
        <f t="shared" si="84"/>
        <v/>
      </c>
      <c r="X269" s="4">
        <v>207745.33</v>
      </c>
      <c r="Y269" s="4"/>
      <c r="Z269" s="4"/>
      <c r="AA269" s="14">
        <f t="shared" si="85"/>
        <v>400594.79739999998</v>
      </c>
      <c r="AB269" s="4"/>
      <c r="AC269" s="4">
        <v>5928607.4800000004</v>
      </c>
      <c r="AD269" s="14">
        <f t="shared" si="86"/>
        <v>0</v>
      </c>
      <c r="AE269" s="14">
        <f t="shared" si="87"/>
        <v>499708.1</v>
      </c>
      <c r="AF269" s="14" t="str">
        <f t="shared" si="88"/>
        <v/>
      </c>
      <c r="AG269" s="15">
        <f t="shared" si="89"/>
        <v>6428315.5800000001</v>
      </c>
      <c r="AH269" s="4">
        <v>5659586.1319500003</v>
      </c>
      <c r="AI269" s="17">
        <f t="shared" si="90"/>
        <v>768729.44804999977</v>
      </c>
      <c r="AJ269" s="7">
        <f t="shared" si="93"/>
        <v>2.8023992878895623</v>
      </c>
      <c r="AK269" s="7" t="str">
        <f t="shared" si="94"/>
        <v/>
      </c>
      <c r="AL269" s="7">
        <f t="shared" si="95"/>
        <v>5.4754244418042362</v>
      </c>
      <c r="AM269" s="7" t="str">
        <f t="shared" si="96"/>
        <v/>
      </c>
      <c r="AN269" s="4">
        <v>41408.25254683449</v>
      </c>
      <c r="AO269" s="4">
        <v>43389.63</v>
      </c>
      <c r="AP269" s="14">
        <f t="shared" si="91"/>
        <v>5744384.0144968349</v>
      </c>
      <c r="AQ269" s="14">
        <f t="shared" si="92"/>
        <v>5659586.1319500003</v>
      </c>
      <c r="AR269" s="8">
        <v>130153.58</v>
      </c>
      <c r="AS269" s="20">
        <v>43.483906719661498</v>
      </c>
      <c r="AT269" s="8">
        <v>29399880.719999999</v>
      </c>
      <c r="AU269" s="8">
        <v>26316.953699999998</v>
      </c>
      <c r="AV269" s="8">
        <v>476.4692</v>
      </c>
      <c r="AW269" s="8"/>
      <c r="AX269" s="9">
        <v>431.43110298266367</v>
      </c>
      <c r="AY269" s="6">
        <f t="shared" si="97"/>
        <v>2.2264709322280796E-2</v>
      </c>
      <c r="AZ269" s="8">
        <v>421856691.26139998</v>
      </c>
      <c r="BA269" s="10">
        <v>60480066</v>
      </c>
      <c r="BB269" s="11">
        <v>29399880.719999999</v>
      </c>
      <c r="BC269" s="10">
        <v>2971324</v>
      </c>
      <c r="BD269" s="10">
        <f>1000000000-999632032.9166+71217.8153</f>
        <v>439184.89870001108</v>
      </c>
      <c r="BE269" s="12">
        <f t="shared" si="98"/>
        <v>484852853.11989999</v>
      </c>
      <c r="BF269" s="13">
        <v>238</v>
      </c>
      <c r="BG269" s="13">
        <f t="shared" si="99"/>
        <v>246.85285311989998</v>
      </c>
      <c r="BH269" s="14">
        <f>BE269*40.63</f>
        <v>19699571422.261539</v>
      </c>
    </row>
    <row r="270" spans="1:60" x14ac:dyDescent="0.25">
      <c r="A270" s="3">
        <v>45892</v>
      </c>
      <c r="B270" s="4">
        <v>8356300448</v>
      </c>
      <c r="C270" s="4"/>
      <c r="D270" s="4">
        <v>3357923728</v>
      </c>
      <c r="E270" s="4"/>
      <c r="N270" s="4">
        <v>2482611.19</v>
      </c>
      <c r="O270" s="4"/>
      <c r="P270" s="4">
        <v>480020.25</v>
      </c>
      <c r="Q270" s="4"/>
      <c r="R270" s="14">
        <f t="shared" si="80"/>
        <v>2962631.44</v>
      </c>
      <c r="S270" s="6">
        <v>0.03</v>
      </c>
      <c r="T270" s="14">
        <f t="shared" si="81"/>
        <v>74478.335699999996</v>
      </c>
      <c r="U270" s="14">
        <f t="shared" si="82"/>
        <v>0</v>
      </c>
      <c r="V270" s="14">
        <f t="shared" si="83"/>
        <v>9465.1911</v>
      </c>
      <c r="W270" s="14" t="str">
        <f t="shared" si="84"/>
        <v/>
      </c>
      <c r="X270" s="4">
        <v>164513.88</v>
      </c>
      <c r="Y270" s="4"/>
      <c r="Z270" s="4"/>
      <c r="AA270" s="14">
        <f t="shared" si="85"/>
        <v>248457.4068</v>
      </c>
      <c r="AB270" s="4"/>
      <c r="AC270" s="4">
        <v>2482611.19</v>
      </c>
      <c r="AD270" s="14">
        <f t="shared" si="86"/>
        <v>0</v>
      </c>
      <c r="AE270" s="14">
        <f t="shared" si="87"/>
        <v>315506.37</v>
      </c>
      <c r="AF270" s="14" t="str">
        <f t="shared" si="88"/>
        <v/>
      </c>
      <c r="AG270" s="15">
        <f t="shared" si="89"/>
        <v>2798117.56</v>
      </c>
      <c r="AH270" s="4">
        <v>2555181.6443400001</v>
      </c>
      <c r="AI270" s="17">
        <f t="shared" si="90"/>
        <v>242935.91565999994</v>
      </c>
      <c r="AJ270" s="7">
        <f t="shared" si="93"/>
        <v>2.9709453429168993</v>
      </c>
      <c r="AK270" s="7" t="str">
        <f t="shared" si="94"/>
        <v/>
      </c>
      <c r="AL270" s="7">
        <f t="shared" si="95"/>
        <v>1.4295150482345917</v>
      </c>
      <c r="AM270" s="7" t="str">
        <f t="shared" si="96"/>
        <v/>
      </c>
      <c r="AN270" s="4">
        <v>12653.392094632291</v>
      </c>
      <c r="AO270" s="4">
        <v>0</v>
      </c>
      <c r="AP270" s="14">
        <f t="shared" si="91"/>
        <v>2567835.0364346323</v>
      </c>
      <c r="AQ270" s="14">
        <f t="shared" si="92"/>
        <v>2555181.6443400001</v>
      </c>
      <c r="AR270" s="8">
        <v>57895.64</v>
      </c>
      <c r="AS270" s="20">
        <v>44.134267180395632</v>
      </c>
      <c r="AT270" s="8">
        <v>29457776.359999999</v>
      </c>
      <c r="AU270" s="8">
        <v>26337.2215</v>
      </c>
      <c r="AV270" s="8">
        <v>2213.6907000000001</v>
      </c>
      <c r="AW270" s="8"/>
      <c r="AX270" s="9">
        <v>431.60911576942402</v>
      </c>
      <c r="AY270" s="6">
        <f t="shared" si="97"/>
        <v>2.2272666392513223E-2</v>
      </c>
      <c r="AZ270" s="8">
        <v>421830354.0399</v>
      </c>
      <c r="BA270" s="10">
        <v>60480066</v>
      </c>
      <c r="BB270" s="11">
        <v>29457776.359999999</v>
      </c>
      <c r="BC270" s="10">
        <v>2971324</v>
      </c>
      <c r="BD270" s="10">
        <f>1000000000-999629819.2258+71498.7708</f>
        <v>441679.54499996261</v>
      </c>
      <c r="BE270" s="12">
        <f t="shared" si="98"/>
        <v>484818800.05509996</v>
      </c>
      <c r="BF270" s="13">
        <v>238</v>
      </c>
      <c r="BG270" s="13">
        <f t="shared" si="99"/>
        <v>246.81880005509998</v>
      </c>
      <c r="BH270" s="14">
        <f>BE270*44.98</f>
        <v>21807149626.478394</v>
      </c>
    </row>
    <row r="271" spans="1:60" x14ac:dyDescent="0.25">
      <c r="A271" s="3">
        <v>45893</v>
      </c>
      <c r="B271" s="4">
        <v>17185841113</v>
      </c>
      <c r="C271" s="4"/>
      <c r="D271" s="4">
        <v>3442644556</v>
      </c>
      <c r="E271" s="4"/>
      <c r="N271" s="4">
        <v>4902268.21</v>
      </c>
      <c r="O271" s="4"/>
      <c r="P271" s="4">
        <v>1522305.95</v>
      </c>
      <c r="Q271" s="4"/>
      <c r="R271" s="14">
        <f t="shared" si="80"/>
        <v>6424574.1600000001</v>
      </c>
      <c r="S271" s="6">
        <v>0.03</v>
      </c>
      <c r="T271" s="14">
        <f t="shared" si="81"/>
        <v>147068.04629999999</v>
      </c>
      <c r="U271" s="14">
        <f t="shared" si="82"/>
        <v>0</v>
      </c>
      <c r="V271" s="14">
        <f t="shared" si="83"/>
        <v>29406.634199999997</v>
      </c>
      <c r="W271" s="14" t="str">
        <f t="shared" si="84"/>
        <v/>
      </c>
      <c r="X271" s="4">
        <v>542084.81000000006</v>
      </c>
      <c r="Y271" s="4"/>
      <c r="Z271" s="4"/>
      <c r="AA271" s="14">
        <f t="shared" si="85"/>
        <v>718559.49050000007</v>
      </c>
      <c r="AB271" s="4"/>
      <c r="AC271" s="4">
        <v>4902268.21</v>
      </c>
      <c r="AD271" s="14">
        <f t="shared" si="86"/>
        <v>0</v>
      </c>
      <c r="AE271" s="14">
        <f t="shared" si="87"/>
        <v>980221.1399999999</v>
      </c>
      <c r="AF271" s="14" t="str">
        <f t="shared" si="88"/>
        <v/>
      </c>
      <c r="AG271" s="15">
        <f t="shared" si="89"/>
        <v>5882489.3499999996</v>
      </c>
      <c r="AH271" s="4">
        <v>5298039.7965799998</v>
      </c>
      <c r="AI271" s="17">
        <f t="shared" si="90"/>
        <v>584449.55341999978</v>
      </c>
      <c r="AJ271" s="7">
        <f t="shared" si="93"/>
        <v>2.8525040920410607</v>
      </c>
      <c r="AK271" s="7" t="str">
        <f t="shared" si="94"/>
        <v/>
      </c>
      <c r="AL271" s="7">
        <f t="shared" si="95"/>
        <v>4.4219085799806281</v>
      </c>
      <c r="AM271" s="7" t="str">
        <f t="shared" si="96"/>
        <v/>
      </c>
      <c r="AN271" s="4">
        <v>52789.303372148883</v>
      </c>
      <c r="AO271" s="4">
        <v>95363.92</v>
      </c>
      <c r="AP271" s="14">
        <f t="shared" si="91"/>
        <v>5446193.0199521482</v>
      </c>
      <c r="AQ271" s="14">
        <f t="shared" si="92"/>
        <v>5298039.7965799998</v>
      </c>
      <c r="AR271" s="8">
        <v>117446.82</v>
      </c>
      <c r="AS271" s="20">
        <v>45.110117043441441</v>
      </c>
      <c r="AT271" s="8">
        <v>29575440.539999999</v>
      </c>
      <c r="AU271" s="8">
        <v>25925.099300000002</v>
      </c>
      <c r="AV271" s="8">
        <v>374.11720000000003</v>
      </c>
      <c r="AW271" s="8"/>
      <c r="AX271" s="9">
        <v>432.00855025043558</v>
      </c>
      <c r="AY271" s="6">
        <f t="shared" si="97"/>
        <v>2.1903874909453738E-2</v>
      </c>
      <c r="AZ271" s="8">
        <v>421804428.94059998</v>
      </c>
      <c r="BA271" s="10">
        <v>60480066</v>
      </c>
      <c r="BB271" s="11">
        <v>29575440.539999999</v>
      </c>
      <c r="BC271" s="10">
        <v>2971324</v>
      </c>
      <c r="BD271" s="10">
        <f>1000000000-999629445.1086+72675.816</f>
        <v>443230.70739997958</v>
      </c>
      <c r="BE271" s="12">
        <f t="shared" si="98"/>
        <v>484725509.8120001</v>
      </c>
      <c r="BF271" s="13">
        <v>238</v>
      </c>
      <c r="BG271" s="13">
        <f t="shared" si="99"/>
        <v>246.7255098120001</v>
      </c>
      <c r="BH271" s="14">
        <f>BE271*44.83</f>
        <v>21730244604.871964</v>
      </c>
    </row>
    <row r="272" spans="1:60" x14ac:dyDescent="0.25">
      <c r="A272" s="3">
        <v>45894</v>
      </c>
      <c r="B272" s="4">
        <v>20948854171</v>
      </c>
      <c r="C272" s="4"/>
      <c r="D272" s="5">
        <v>1534795396</v>
      </c>
      <c r="E272" s="4"/>
      <c r="N272" s="4">
        <v>5860121.7199999997</v>
      </c>
      <c r="O272" s="4"/>
      <c r="P272" s="4">
        <v>451734.97</v>
      </c>
      <c r="Q272" s="4"/>
      <c r="R272" s="14">
        <f t="shared" si="80"/>
        <v>6311856.6899999995</v>
      </c>
      <c r="S272" s="6">
        <v>0.03</v>
      </c>
      <c r="T272" s="14">
        <f t="shared" si="81"/>
        <v>175803.65159999998</v>
      </c>
      <c r="U272" s="14">
        <f t="shared" si="82"/>
        <v>0</v>
      </c>
      <c r="V272" s="14">
        <f t="shared" si="83"/>
        <v>9717.8429999999989</v>
      </c>
      <c r="W272" s="14" t="str">
        <f t="shared" si="84"/>
        <v/>
      </c>
      <c r="X272" s="4">
        <v>127806.87</v>
      </c>
      <c r="Y272" s="4"/>
      <c r="Z272" s="4"/>
      <c r="AA272" s="14">
        <f t="shared" si="85"/>
        <v>313328.36459999997</v>
      </c>
      <c r="AB272" s="4"/>
      <c r="AC272" s="4">
        <v>5860121.7199999997</v>
      </c>
      <c r="AD272" s="14">
        <f t="shared" si="86"/>
        <v>0</v>
      </c>
      <c r="AE272" s="14">
        <f t="shared" si="87"/>
        <v>323928.09999999998</v>
      </c>
      <c r="AF272" s="14" t="str">
        <f t="shared" si="88"/>
        <v/>
      </c>
      <c r="AG272" s="15">
        <f t="shared" si="89"/>
        <v>6184049.8199999994</v>
      </c>
      <c r="AH272" s="4">
        <v>5591022.7350300001</v>
      </c>
      <c r="AI272" s="17">
        <f t="shared" si="90"/>
        <v>593027.08496999927</v>
      </c>
      <c r="AJ272" s="7">
        <f t="shared" si="93"/>
        <v>2.7973471351537245</v>
      </c>
      <c r="AK272" s="7" t="str">
        <f t="shared" si="94"/>
        <v/>
      </c>
      <c r="AL272" s="7">
        <f t="shared" si="95"/>
        <v>2.9432911460206128</v>
      </c>
      <c r="AM272" s="7" t="str">
        <f t="shared" si="96"/>
        <v/>
      </c>
      <c r="AN272" s="4">
        <v>57416.930842162503</v>
      </c>
      <c r="AO272" s="4">
        <v>0</v>
      </c>
      <c r="AP272" s="14">
        <f t="shared" si="91"/>
        <v>5648439.6658721622</v>
      </c>
      <c r="AQ272" s="14">
        <f t="shared" si="92"/>
        <v>5591022.7350300001</v>
      </c>
      <c r="AR272" s="8">
        <v>124431.35</v>
      </c>
      <c r="AS272" s="20">
        <v>44.932589215097323</v>
      </c>
      <c r="AT272" s="8">
        <v>29699945.260000002</v>
      </c>
      <c r="AU272" s="8">
        <v>26363.933400000002</v>
      </c>
      <c r="AV272" s="8">
        <v>2861.0985999999998</v>
      </c>
      <c r="AW272" s="8"/>
      <c r="AX272" s="9">
        <v>432.78419065997417</v>
      </c>
      <c r="AY272" s="6">
        <f t="shared" si="97"/>
        <v>2.2234720904027616E-2</v>
      </c>
      <c r="AZ272" s="8">
        <v>421778065.0072</v>
      </c>
      <c r="BA272" s="10">
        <v>60480066</v>
      </c>
      <c r="BB272" s="11">
        <v>29699945.260000002</v>
      </c>
      <c r="BC272" s="10">
        <v>2971324</v>
      </c>
      <c r="BD272" s="10">
        <f>1000000000-999626584.0101+73921.4918</f>
        <v>447337.48169999296</v>
      </c>
      <c r="BE272" s="12">
        <f t="shared" si="98"/>
        <v>484623262.2511</v>
      </c>
      <c r="BF272" s="13">
        <v>238</v>
      </c>
      <c r="BG272" s="13">
        <f t="shared" si="99"/>
        <v>246.62326225110002</v>
      </c>
      <c r="BH272" s="14">
        <f>BE272*46.28</f>
        <v>22428364576.980907</v>
      </c>
    </row>
    <row r="273" spans="1:60" x14ac:dyDescent="0.25">
      <c r="A273" s="3">
        <v>45895</v>
      </c>
      <c r="B273" s="4">
        <v>15388541326</v>
      </c>
      <c r="C273" s="4"/>
      <c r="D273" s="5">
        <v>1653313077</v>
      </c>
      <c r="E273" s="4"/>
      <c r="N273" s="4">
        <v>4431143.28</v>
      </c>
      <c r="O273" s="4"/>
      <c r="P273" s="4">
        <v>618368.71</v>
      </c>
      <c r="Q273" s="4"/>
      <c r="R273" s="14">
        <f t="shared" si="80"/>
        <v>5049511.99</v>
      </c>
      <c r="S273" s="6">
        <v>0.03</v>
      </c>
      <c r="T273" s="14">
        <f t="shared" si="81"/>
        <v>132934.2984</v>
      </c>
      <c r="U273" s="14">
        <f t="shared" si="82"/>
        <v>0</v>
      </c>
      <c r="V273" s="14">
        <f t="shared" si="83"/>
        <v>13225.323299999998</v>
      </c>
      <c r="W273" s="14" t="str">
        <f t="shared" si="84"/>
        <v/>
      </c>
      <c r="X273" s="4">
        <v>177524.6</v>
      </c>
      <c r="Y273" s="4"/>
      <c r="Z273" s="4"/>
      <c r="AA273" s="14">
        <f t="shared" si="85"/>
        <v>323684.22169999999</v>
      </c>
      <c r="AB273" s="4"/>
      <c r="AC273" s="4">
        <v>4431143.28</v>
      </c>
      <c r="AD273" s="14">
        <f t="shared" si="86"/>
        <v>0</v>
      </c>
      <c r="AE273" s="14">
        <f t="shared" si="87"/>
        <v>440844.11</v>
      </c>
      <c r="AF273" s="14" t="str">
        <f t="shared" si="88"/>
        <v/>
      </c>
      <c r="AG273" s="15">
        <f t="shared" si="89"/>
        <v>4871987.3900000006</v>
      </c>
      <c r="AH273" s="4">
        <v>5812626.0091599999</v>
      </c>
      <c r="AI273" s="17">
        <f t="shared" si="90"/>
        <v>-940638.6191599993</v>
      </c>
      <c r="AJ273" s="7">
        <f t="shared" si="93"/>
        <v>2.8795083212424291</v>
      </c>
      <c r="AK273" s="7" t="str">
        <f t="shared" si="94"/>
        <v/>
      </c>
      <c r="AL273" s="7">
        <f t="shared" si="95"/>
        <v>3.7401791505941131</v>
      </c>
      <c r="AM273" s="7" t="str">
        <f t="shared" si="96"/>
        <v/>
      </c>
      <c r="AN273" s="4">
        <v>43508.115394269378</v>
      </c>
      <c r="AO273" s="4">
        <v>49640.27</v>
      </c>
      <c r="AP273" s="14">
        <f t="shared" si="91"/>
        <v>5905774.3945542686</v>
      </c>
      <c r="AQ273" s="14">
        <f t="shared" si="92"/>
        <v>5812626.0091599999</v>
      </c>
      <c r="AR273" s="8">
        <v>124468.22</v>
      </c>
      <c r="AS273" s="20">
        <v>46.699679718726593</v>
      </c>
      <c r="AT273" s="8">
        <v>29824454.100000001</v>
      </c>
      <c r="AU273" s="8">
        <v>26366.0098</v>
      </c>
      <c r="AV273" s="8">
        <v>1538.1765</v>
      </c>
      <c r="AW273" s="8"/>
      <c r="AX273" s="9">
        <v>432.40095952940152</v>
      </c>
      <c r="AY273" s="6">
        <f t="shared" si="97"/>
        <v>2.2256179975811627E-2</v>
      </c>
      <c r="AZ273" s="8">
        <v>421751698.99739999</v>
      </c>
      <c r="BA273" s="10">
        <v>60480066</v>
      </c>
      <c r="BB273" s="11">
        <v>29824454.100000001</v>
      </c>
      <c r="BC273" s="10">
        <v>2971324</v>
      </c>
      <c r="BD273" s="10">
        <f>1000000000-999625045.8336+74935.7852</f>
        <v>449889.95159995573</v>
      </c>
      <c r="BE273" s="12">
        <f t="shared" si="98"/>
        <v>484522566.95099998</v>
      </c>
      <c r="BF273" s="13">
        <v>238</v>
      </c>
      <c r="BG273" s="13">
        <f t="shared" si="99"/>
        <v>246.52256695099999</v>
      </c>
      <c r="BH273" s="14">
        <f>BE273*42.81</f>
        <v>20742411091.17231</v>
      </c>
    </row>
    <row r="274" spans="1:60" x14ac:dyDescent="0.25">
      <c r="A274" s="3">
        <v>45896</v>
      </c>
      <c r="B274" s="4">
        <v>13058401010</v>
      </c>
      <c r="C274" s="4"/>
      <c r="D274" s="5">
        <v>567526114</v>
      </c>
      <c r="E274" s="4"/>
      <c r="N274" s="4">
        <v>3918367.82</v>
      </c>
      <c r="O274" s="4"/>
      <c r="P274" s="4">
        <v>205430.64</v>
      </c>
      <c r="Q274" s="4"/>
      <c r="R274" s="14">
        <f t="shared" si="80"/>
        <v>4123798.46</v>
      </c>
      <c r="S274" s="6">
        <v>0.03</v>
      </c>
      <c r="T274" s="14">
        <f t="shared" si="81"/>
        <v>117551.03459999998</v>
      </c>
      <c r="U274" s="14">
        <f t="shared" si="82"/>
        <v>0</v>
      </c>
      <c r="V274" s="14">
        <f t="shared" si="83"/>
        <v>5407.0938000000006</v>
      </c>
      <c r="W274" s="14" t="str">
        <f t="shared" si="84"/>
        <v/>
      </c>
      <c r="X274" s="4">
        <v>25194.18</v>
      </c>
      <c r="Y274" s="4"/>
      <c r="Z274" s="4"/>
      <c r="AA274" s="14">
        <f t="shared" si="85"/>
        <v>148152.30839999998</v>
      </c>
      <c r="AB274" s="4"/>
      <c r="AC274" s="4">
        <v>3918367.82</v>
      </c>
      <c r="AD274" s="14">
        <f t="shared" si="86"/>
        <v>0</v>
      </c>
      <c r="AE274" s="14">
        <f t="shared" si="87"/>
        <v>180236.46000000002</v>
      </c>
      <c r="AF274" s="14" t="str">
        <f t="shared" si="88"/>
        <v/>
      </c>
      <c r="AG274" s="15">
        <f t="shared" si="89"/>
        <v>4098604.28</v>
      </c>
      <c r="AH274" s="4">
        <v>3645666.3959900001</v>
      </c>
      <c r="AI274" s="17">
        <f t="shared" si="90"/>
        <v>452937.88400999969</v>
      </c>
      <c r="AJ274" s="7">
        <f t="shared" si="93"/>
        <v>3.0006490205036216</v>
      </c>
      <c r="AK274" s="7" t="str">
        <f t="shared" si="94"/>
        <v/>
      </c>
      <c r="AL274" s="7">
        <f t="shared" si="95"/>
        <v>3.6197566055964785</v>
      </c>
      <c r="AM274" s="7" t="str">
        <f t="shared" si="96"/>
        <v/>
      </c>
      <c r="AN274" s="4">
        <v>52325.087599902807</v>
      </c>
      <c r="AO274" s="4">
        <v>68993.61</v>
      </c>
      <c r="AP274" s="14">
        <f t="shared" si="91"/>
        <v>3766985.0935899029</v>
      </c>
      <c r="AQ274" s="14">
        <f t="shared" si="92"/>
        <v>3645666.3959900001</v>
      </c>
      <c r="AR274" s="8">
        <v>73824.09</v>
      </c>
      <c r="AS274" s="20">
        <v>49.383153872807647</v>
      </c>
      <c r="AT274" s="8">
        <v>29897946.84</v>
      </c>
      <c r="AU274" s="8">
        <v>26403.572199999999</v>
      </c>
      <c r="AV274" s="8">
        <v>2522.4985999999999</v>
      </c>
      <c r="AW274" s="8"/>
      <c r="AX274" s="9">
        <v>433.21405452841128</v>
      </c>
      <c r="AY274" s="6">
        <f t="shared" si="97"/>
        <v>2.2246055390541263E-2</v>
      </c>
      <c r="AZ274" s="8">
        <v>421725295.42519999</v>
      </c>
      <c r="BA274" s="10">
        <v>60480066</v>
      </c>
      <c r="BB274" s="11">
        <v>29897946.84</v>
      </c>
      <c r="BC274" s="10">
        <v>2971324</v>
      </c>
      <c r="BD274" s="10">
        <f>1000000000-999622523.335+76007.4715</f>
        <v>453484.13649996184</v>
      </c>
      <c r="BE274" s="12">
        <f t="shared" si="98"/>
        <v>484471883.5983001</v>
      </c>
      <c r="BF274" s="13">
        <v>238</v>
      </c>
      <c r="BG274" s="13">
        <f t="shared" si="99"/>
        <v>246.47188359830011</v>
      </c>
      <c r="BH274" s="14">
        <f>BE274*48.58</f>
        <v>23535644105.205418</v>
      </c>
    </row>
    <row r="275" spans="1:60" x14ac:dyDescent="0.25">
      <c r="A275" s="3">
        <v>45897</v>
      </c>
      <c r="B275" s="4">
        <v>10282718689</v>
      </c>
      <c r="C275" s="4"/>
      <c r="D275" s="5">
        <v>420001260</v>
      </c>
      <c r="E275" s="4"/>
      <c r="N275" s="4">
        <v>3040043.34</v>
      </c>
      <c r="O275" s="4"/>
      <c r="P275" s="4">
        <v>196610.9</v>
      </c>
      <c r="Q275" s="4"/>
      <c r="R275" s="14">
        <f t="shared" si="80"/>
        <v>3236654.2399999998</v>
      </c>
      <c r="S275" s="6">
        <v>0.03</v>
      </c>
      <c r="T275" s="14">
        <f t="shared" si="81"/>
        <v>91201.300199999998</v>
      </c>
      <c r="U275" s="14">
        <f t="shared" si="82"/>
        <v>0</v>
      </c>
      <c r="V275" s="14">
        <f t="shared" si="83"/>
        <v>5129.1671999999999</v>
      </c>
      <c r="W275" s="14" t="str">
        <f t="shared" si="84"/>
        <v/>
      </c>
      <c r="X275" s="4">
        <v>25638.66</v>
      </c>
      <c r="Y275" s="4"/>
      <c r="Z275" s="4"/>
      <c r="AA275" s="14">
        <f t="shared" si="85"/>
        <v>121969.1274</v>
      </c>
      <c r="AB275" s="4"/>
      <c r="AC275" s="4">
        <v>3040043.34</v>
      </c>
      <c r="AD275" s="14">
        <f t="shared" si="86"/>
        <v>0</v>
      </c>
      <c r="AE275" s="14">
        <f t="shared" si="87"/>
        <v>170972.24</v>
      </c>
      <c r="AF275" s="14" t="str">
        <f t="shared" si="88"/>
        <v/>
      </c>
      <c r="AG275" s="15">
        <f t="shared" si="89"/>
        <v>3211015.58</v>
      </c>
      <c r="AH275" s="4">
        <v>2852918.4323200001</v>
      </c>
      <c r="AI275" s="17">
        <f t="shared" si="90"/>
        <v>358097.14767999994</v>
      </c>
      <c r="AJ275" s="7">
        <f t="shared" si="93"/>
        <v>2.9564587264767872</v>
      </c>
      <c r="AK275" s="7" t="str">
        <f t="shared" si="94"/>
        <v/>
      </c>
      <c r="AL275" s="7">
        <f t="shared" si="95"/>
        <v>4.6811978611683216</v>
      </c>
      <c r="AM275" s="7" t="str">
        <f t="shared" si="96"/>
        <v/>
      </c>
      <c r="AN275" s="4">
        <v>26936.354599547649</v>
      </c>
      <c r="AO275" s="4">
        <v>0</v>
      </c>
      <c r="AP275" s="14">
        <f t="shared" si="91"/>
        <v>2879854.7869195477</v>
      </c>
      <c r="AQ275" s="14">
        <f t="shared" si="92"/>
        <v>2852918.4323200001</v>
      </c>
      <c r="AR275" s="8">
        <v>59964.639999999999</v>
      </c>
      <c r="AS275" s="20">
        <v>47.576679061526931</v>
      </c>
      <c r="AT275" s="8">
        <v>29957492.260000002</v>
      </c>
      <c r="AU275" s="8">
        <v>26384</v>
      </c>
      <c r="AV275" s="8">
        <v>2596.5886999999998</v>
      </c>
      <c r="AW275" s="8"/>
      <c r="AX275" s="9">
        <v>433.74429159329969</v>
      </c>
      <c r="AY275" s="6">
        <f t="shared" si="97"/>
        <v>2.2202390179303429E-2</v>
      </c>
      <c r="AZ275" s="8">
        <v>421698911.42519999</v>
      </c>
      <c r="BA275" s="10">
        <v>60480066</v>
      </c>
      <c r="BB275" s="11">
        <v>29957492.260000002</v>
      </c>
      <c r="BC275" s="10">
        <v>2971324</v>
      </c>
      <c r="BD275" s="10">
        <f>1000000000-999619926.7463+76583.601</f>
        <v>456656.85470001795</v>
      </c>
      <c r="BE275" s="12">
        <f t="shared" si="98"/>
        <v>484435549.4601</v>
      </c>
      <c r="BF275" s="13">
        <v>238</v>
      </c>
      <c r="BG275" s="13">
        <f t="shared" si="99"/>
        <v>246.43554946009999</v>
      </c>
      <c r="BH275" s="14">
        <f>BE275*47.12</f>
        <v>22826603090.55991</v>
      </c>
    </row>
    <row r="276" spans="1:60" x14ac:dyDescent="0.25">
      <c r="A276" s="3">
        <v>45898</v>
      </c>
      <c r="B276" s="4">
        <v>16727206705</v>
      </c>
      <c r="C276" s="4"/>
      <c r="D276" s="5">
        <v>1187391721</v>
      </c>
      <c r="E276" s="4"/>
      <c r="N276" s="4">
        <v>4661506.8099999996</v>
      </c>
      <c r="O276" s="4"/>
      <c r="P276" s="4">
        <v>495475.64</v>
      </c>
      <c r="Q276" s="4"/>
      <c r="R276" s="14">
        <f t="shared" si="80"/>
        <v>5156982.4499999993</v>
      </c>
      <c r="S276" s="6">
        <v>0.03</v>
      </c>
      <c r="T276" s="14">
        <f t="shared" si="81"/>
        <v>139845.20429999998</v>
      </c>
      <c r="U276" s="14">
        <f t="shared" si="82"/>
        <v>0</v>
      </c>
      <c r="V276" s="14">
        <f t="shared" si="83"/>
        <v>10483.5663</v>
      </c>
      <c r="W276" s="14" t="str">
        <f t="shared" si="84"/>
        <v/>
      </c>
      <c r="X276" s="4">
        <v>146023.43</v>
      </c>
      <c r="Y276" s="4"/>
      <c r="Z276" s="4"/>
      <c r="AA276" s="14">
        <f t="shared" si="85"/>
        <v>296352.20059999998</v>
      </c>
      <c r="AB276" s="4"/>
      <c r="AC276" s="4">
        <v>4661506.8099999996</v>
      </c>
      <c r="AD276" s="14">
        <f t="shared" si="86"/>
        <v>0</v>
      </c>
      <c r="AE276" s="14">
        <f t="shared" si="87"/>
        <v>349452.21</v>
      </c>
      <c r="AF276" s="14" t="str">
        <f t="shared" si="88"/>
        <v/>
      </c>
      <c r="AG276" s="15">
        <f t="shared" si="89"/>
        <v>5010959.0199999996</v>
      </c>
      <c r="AH276" s="4">
        <v>4517739.0955299996</v>
      </c>
      <c r="AI276" s="17">
        <f t="shared" si="90"/>
        <v>493219.92446999997</v>
      </c>
      <c r="AJ276" s="7">
        <f t="shared" si="93"/>
        <v>2.7867813749241281</v>
      </c>
      <c r="AK276" s="7" t="str">
        <f t="shared" si="94"/>
        <v/>
      </c>
      <c r="AL276" s="7">
        <f t="shared" si="95"/>
        <v>4.1728069283043281</v>
      </c>
      <c r="AM276" s="7" t="str">
        <f t="shared" si="96"/>
        <v/>
      </c>
      <c r="AN276" s="4">
        <v>28057.991424785279</v>
      </c>
      <c r="AO276" s="4">
        <v>34711.86</v>
      </c>
      <c r="AP276" s="14">
        <f t="shared" si="91"/>
        <v>4580508.9469547849</v>
      </c>
      <c r="AQ276" s="14">
        <f t="shared" si="92"/>
        <v>4517739.0955299996</v>
      </c>
      <c r="AR276" s="8">
        <v>101222.13</v>
      </c>
      <c r="AS276" s="20">
        <v>44.631930740145457</v>
      </c>
      <c r="AT276" s="8">
        <v>30059183.690000001</v>
      </c>
      <c r="AU276" s="8">
        <v>26324.201499999999</v>
      </c>
      <c r="AV276" s="8">
        <v>775.62969999999996</v>
      </c>
      <c r="AW276" s="8"/>
      <c r="AX276" s="9">
        <v>434.27153658648149</v>
      </c>
      <c r="AY276" s="6">
        <f t="shared" si="97"/>
        <v>2.2125174546378728E-2</v>
      </c>
      <c r="AZ276" s="8">
        <v>421672587.22369999</v>
      </c>
      <c r="BA276" s="10">
        <v>60480066</v>
      </c>
      <c r="BB276" s="11">
        <v>30059183.690000001</v>
      </c>
      <c r="BC276" s="10">
        <v>2971324</v>
      </c>
      <c r="BD276" s="10">
        <f>1000000000-999619151.1166+77198.5571</f>
        <v>458047.44049996336</v>
      </c>
      <c r="BE276" s="12">
        <f t="shared" si="98"/>
        <v>484358791.64579999</v>
      </c>
      <c r="BF276" s="13">
        <v>238</v>
      </c>
      <c r="BG276" s="13">
        <f t="shared" si="99"/>
        <v>246.35879164580001</v>
      </c>
      <c r="BH276" s="14">
        <f>BE276*45.57</f>
        <v>22072230135.299107</v>
      </c>
    </row>
    <row r="277" spans="1:60" x14ac:dyDescent="0.25">
      <c r="A277" s="3">
        <v>45899</v>
      </c>
      <c r="B277" s="4">
        <v>6799419658</v>
      </c>
      <c r="C277" s="4"/>
      <c r="D277" s="5">
        <v>815965664</v>
      </c>
      <c r="E277" s="4"/>
      <c r="N277" s="4">
        <v>1897302.17</v>
      </c>
      <c r="O277" s="4"/>
      <c r="P277" s="4">
        <v>280905.36</v>
      </c>
      <c r="Q277" s="4"/>
      <c r="R277" s="14">
        <f t="shared" si="80"/>
        <v>2178207.5299999998</v>
      </c>
      <c r="S277" s="6">
        <v>0.01</v>
      </c>
      <c r="T277" s="14">
        <f t="shared" si="81"/>
        <v>18973.021700000001</v>
      </c>
      <c r="U277" s="14">
        <f t="shared" si="82"/>
        <v>0</v>
      </c>
      <c r="V277" s="14">
        <f t="shared" si="83"/>
        <v>1968.1113999999998</v>
      </c>
      <c r="W277" s="14" t="str">
        <f t="shared" si="84"/>
        <v/>
      </c>
      <c r="X277" s="4">
        <v>84094.22</v>
      </c>
      <c r="Y277" s="4"/>
      <c r="Z277" s="4"/>
      <c r="AA277" s="14">
        <f t="shared" si="85"/>
        <v>105035.35310000001</v>
      </c>
      <c r="AB277" s="4"/>
      <c r="AC277" s="4">
        <v>1897302.17</v>
      </c>
      <c r="AD277" s="14">
        <f t="shared" si="86"/>
        <v>0</v>
      </c>
      <c r="AE277" s="14">
        <f t="shared" si="87"/>
        <v>196811.13999999998</v>
      </c>
      <c r="AF277" s="14" t="str">
        <f t="shared" si="88"/>
        <v/>
      </c>
      <c r="AG277" s="15">
        <f t="shared" si="89"/>
        <v>2094113.3099999998</v>
      </c>
      <c r="AH277" s="4">
        <v>1903289.3374399999</v>
      </c>
      <c r="AI277" s="17">
        <f t="shared" si="90"/>
        <v>190823.97255999991</v>
      </c>
      <c r="AJ277" s="7">
        <f t="shared" si="93"/>
        <v>2.7903883940560856</v>
      </c>
      <c r="AK277" s="7" t="str">
        <f t="shared" si="94"/>
        <v/>
      </c>
      <c r="AL277" s="7">
        <f t="shared" si="95"/>
        <v>3.442612506792933</v>
      </c>
      <c r="AM277" s="7" t="str">
        <f t="shared" si="96"/>
        <v/>
      </c>
      <c r="AN277" s="4">
        <v>7760.1101637310148</v>
      </c>
      <c r="AO277" s="4">
        <v>34696.839999999997</v>
      </c>
      <c r="AP277" s="14">
        <f t="shared" si="91"/>
        <v>1945746.287603731</v>
      </c>
      <c r="AQ277" s="14">
        <f t="shared" si="92"/>
        <v>1903289.3374399999</v>
      </c>
      <c r="AR277" s="8">
        <v>43251.17</v>
      </c>
      <c r="AS277" s="20">
        <v>44.005499445217318</v>
      </c>
      <c r="AT277" s="8">
        <v>30102384.780000001</v>
      </c>
      <c r="AU277" s="8">
        <v>26261.878100000002</v>
      </c>
      <c r="AV277" s="8">
        <v>1515.4212</v>
      </c>
      <c r="AW277" s="8"/>
      <c r="AX277" s="9">
        <v>435.0266212593537</v>
      </c>
      <c r="AY277" s="6">
        <f t="shared" si="97"/>
        <v>2.2034480277898387E-2</v>
      </c>
      <c r="AZ277" s="8">
        <v>421646325.34560001</v>
      </c>
      <c r="BA277" s="10">
        <v>60480066</v>
      </c>
      <c r="BB277" s="11">
        <v>30102384.780000001</v>
      </c>
      <c r="BC277" s="10">
        <v>2971324</v>
      </c>
      <c r="BD277" s="10">
        <f>1000000000-999617635.6954+77373.075</f>
        <v>459737.37960000039</v>
      </c>
      <c r="BE277" s="12">
        <f t="shared" si="98"/>
        <v>484340162.49480003</v>
      </c>
      <c r="BF277" s="13">
        <v>238</v>
      </c>
      <c r="BG277" s="13">
        <f t="shared" si="99"/>
        <v>246.34016249480004</v>
      </c>
      <c r="BH277" s="14">
        <f>BE277*44.41</f>
        <v>21509546616.394066</v>
      </c>
    </row>
    <row r="278" spans="1:60" x14ac:dyDescent="0.25">
      <c r="A278" s="3">
        <v>45900</v>
      </c>
      <c r="B278" s="4">
        <v>5766508405</v>
      </c>
      <c r="C278" s="4"/>
      <c r="D278" s="5">
        <v>1224472730</v>
      </c>
      <c r="E278" s="4"/>
      <c r="N278" s="4">
        <v>1721646.99</v>
      </c>
      <c r="O278" s="4"/>
      <c r="P278" s="4">
        <v>365389.59</v>
      </c>
      <c r="Q278" s="4"/>
      <c r="R278" s="14">
        <f t="shared" si="80"/>
        <v>2087036.58</v>
      </c>
      <c r="S278" s="6">
        <v>0.01</v>
      </c>
      <c r="T278" s="14">
        <f t="shared" si="81"/>
        <v>17216.4699</v>
      </c>
      <c r="U278" s="14">
        <f t="shared" si="82"/>
        <v>0</v>
      </c>
      <c r="V278" s="14">
        <f t="shared" si="83"/>
        <v>2382.2987000000003</v>
      </c>
      <c r="W278" s="14" t="str">
        <f t="shared" si="84"/>
        <v/>
      </c>
      <c r="X278" s="4">
        <v>127159.72</v>
      </c>
      <c r="Y278" s="4"/>
      <c r="Z278" s="4"/>
      <c r="AA278" s="14">
        <f t="shared" si="85"/>
        <v>146758.48860000001</v>
      </c>
      <c r="AB278" s="4"/>
      <c r="AC278" s="4">
        <v>1721646.99</v>
      </c>
      <c r="AD278" s="14">
        <f t="shared" si="86"/>
        <v>0</v>
      </c>
      <c r="AE278" s="14">
        <f t="shared" si="87"/>
        <v>238229.87000000002</v>
      </c>
      <c r="AF278" s="14" t="str">
        <f t="shared" si="88"/>
        <v/>
      </c>
      <c r="AG278" s="15">
        <f t="shared" si="89"/>
        <v>1959876.86</v>
      </c>
      <c r="AH278" s="4">
        <v>1781642.51828</v>
      </c>
      <c r="AI278" s="17">
        <f t="shared" si="90"/>
        <v>178234.34172000014</v>
      </c>
      <c r="AJ278" s="7">
        <f t="shared" si="93"/>
        <v>2.9855969489391563</v>
      </c>
      <c r="AK278" s="7" t="str">
        <f t="shared" si="94"/>
        <v/>
      </c>
      <c r="AL278" s="7">
        <f t="shared" si="95"/>
        <v>2.984056574293819</v>
      </c>
      <c r="AM278" s="7" t="str">
        <f t="shared" si="96"/>
        <v/>
      </c>
      <c r="AN278" s="4">
        <v>6506.9380580851448</v>
      </c>
      <c r="AO278" s="4">
        <v>28429.93</v>
      </c>
      <c r="AP278" s="14">
        <f t="shared" si="91"/>
        <v>1816579.3863380849</v>
      </c>
      <c r="AQ278" s="14">
        <f t="shared" si="92"/>
        <v>1781642.51828</v>
      </c>
      <c r="AR278" s="8">
        <v>39932.11</v>
      </c>
      <c r="AS278" s="20">
        <v>44.616788801793852</v>
      </c>
      <c r="AT278" s="8">
        <v>30142542.899999999</v>
      </c>
      <c r="AU278" s="8">
        <v>26548.2562</v>
      </c>
      <c r="AV278" s="8">
        <v>1051.6584</v>
      </c>
      <c r="AW278" s="8"/>
      <c r="AX278" s="9">
        <v>434.92585319387928</v>
      </c>
      <c r="AY278" s="6">
        <f t="shared" si="97"/>
        <v>2.2279920684964167E-2</v>
      </c>
      <c r="AZ278" s="8">
        <v>421619777.08950001</v>
      </c>
      <c r="BA278" s="10">
        <v>60480066</v>
      </c>
      <c r="BB278" s="11">
        <v>30142542.899999999</v>
      </c>
      <c r="BC278" s="10">
        <v>2971324</v>
      </c>
      <c r="BD278" s="10">
        <f>1000000000-999616584.037+77520.3241</f>
        <v>460936.2871000591</v>
      </c>
      <c r="BE278" s="12">
        <f t="shared" si="98"/>
        <v>484325353.7234</v>
      </c>
      <c r="BF278" s="13">
        <v>238</v>
      </c>
      <c r="BG278" s="13">
        <f t="shared" si="99"/>
        <v>246.32535372339999</v>
      </c>
      <c r="BH278" s="14">
        <f>BE278*44.1</f>
        <v>21358748099.201942</v>
      </c>
    </row>
    <row r="279" spans="1:60" x14ac:dyDescent="0.25">
      <c r="A279" s="3">
        <v>45901</v>
      </c>
      <c r="B279" s="4">
        <v>11587932834</v>
      </c>
      <c r="C279" s="4"/>
      <c r="D279" s="5">
        <v>830260769</v>
      </c>
      <c r="E279" s="4"/>
      <c r="N279" s="4">
        <v>3166730.77</v>
      </c>
      <c r="O279" s="4"/>
      <c r="P279" s="4">
        <v>240555.46</v>
      </c>
      <c r="Q279" s="4"/>
      <c r="R279" s="14">
        <f t="shared" si="80"/>
        <v>3407286.23</v>
      </c>
      <c r="S279" s="6">
        <v>0.01</v>
      </c>
      <c r="T279" s="14">
        <f t="shared" si="81"/>
        <v>31667.307700000001</v>
      </c>
      <c r="U279" s="14">
        <f t="shared" si="82"/>
        <v>0</v>
      </c>
      <c r="V279" s="14">
        <f t="shared" si="83"/>
        <v>1770.1072999999999</v>
      </c>
      <c r="W279" s="14" t="str">
        <f t="shared" si="84"/>
        <v/>
      </c>
      <c r="X279" s="4">
        <v>63544.73</v>
      </c>
      <c r="Y279" s="4"/>
      <c r="Z279" s="4"/>
      <c r="AA279" s="14">
        <f t="shared" si="85"/>
        <v>96982.145000000004</v>
      </c>
      <c r="AB279" s="4"/>
      <c r="AC279" s="4">
        <v>3166730.77</v>
      </c>
      <c r="AD279" s="14">
        <f t="shared" si="86"/>
        <v>0</v>
      </c>
      <c r="AE279" s="14">
        <f t="shared" si="87"/>
        <v>177010.72999999998</v>
      </c>
      <c r="AF279" s="14" t="str">
        <f t="shared" si="88"/>
        <v/>
      </c>
      <c r="AG279" s="15">
        <f t="shared" si="89"/>
        <v>3343741.5</v>
      </c>
      <c r="AH279" s="4">
        <v>3002689.84027</v>
      </c>
      <c r="AI279" s="17">
        <f t="shared" si="90"/>
        <v>341051.65972999996</v>
      </c>
      <c r="AJ279" s="7">
        <f t="shared" si="93"/>
        <v>2.7327831593125373</v>
      </c>
      <c r="AK279" s="7" t="str">
        <f t="shared" si="94"/>
        <v/>
      </c>
      <c r="AL279" s="7">
        <f t="shared" si="95"/>
        <v>2.897348266734737</v>
      </c>
      <c r="AM279" s="7" t="str">
        <f t="shared" si="96"/>
        <v/>
      </c>
      <c r="AN279" s="4">
        <v>18424.968667745328</v>
      </c>
      <c r="AO279" s="4">
        <v>0</v>
      </c>
      <c r="AP279" s="14">
        <f t="shared" si="91"/>
        <v>3021114.8089377452</v>
      </c>
      <c r="AQ279" s="14">
        <f t="shared" si="92"/>
        <v>3002689.84027</v>
      </c>
      <c r="AR279" s="8">
        <v>68021.86</v>
      </c>
      <c r="AS279" s="20">
        <v>44.143012853073998</v>
      </c>
      <c r="AT279" s="8">
        <v>30210338.75</v>
      </c>
      <c r="AU279" s="8">
        <v>26680.478899999998</v>
      </c>
      <c r="AV279" s="8">
        <v>996.22140000000002</v>
      </c>
      <c r="AW279" s="8"/>
      <c r="AX279" s="9">
        <v>433.94713134586658</v>
      </c>
      <c r="AY279" s="6">
        <f t="shared" si="97"/>
        <v>2.2441385355623598E-2</v>
      </c>
      <c r="AZ279" s="8">
        <v>421593096.61059999</v>
      </c>
      <c r="BA279" s="10">
        <v>60480066</v>
      </c>
      <c r="BB279" s="11">
        <v>30210338.75</v>
      </c>
      <c r="BC279" s="10">
        <v>2971324</v>
      </c>
      <c r="BD279" s="10">
        <f>1000000000-999615587.8156+77939.3591</f>
        <v>462351.54349996243</v>
      </c>
      <c r="BE279" s="12">
        <f t="shared" si="98"/>
        <v>484282823.09590006</v>
      </c>
      <c r="BF279" s="13">
        <v>238</v>
      </c>
      <c r="BG279" s="13">
        <f t="shared" si="99"/>
        <v>246.28282309590008</v>
      </c>
      <c r="BH279" s="14">
        <f>BE279*44.2</f>
        <v>21405300780.838783</v>
      </c>
    </row>
    <row r="280" spans="1:60" x14ac:dyDescent="0.25">
      <c r="A280" s="3">
        <v>45902</v>
      </c>
      <c r="B280" s="4">
        <v>11422881300</v>
      </c>
      <c r="C280" s="4"/>
      <c r="D280" s="5">
        <v>374820537</v>
      </c>
      <c r="E280" s="4"/>
      <c r="N280" s="4">
        <v>3167331.73</v>
      </c>
      <c r="O280" s="4"/>
      <c r="P280" s="4">
        <v>134150.32999999999</v>
      </c>
      <c r="Q280" s="4"/>
      <c r="R280" s="14">
        <f t="shared" si="80"/>
        <v>3301482.06</v>
      </c>
      <c r="S280" s="6">
        <v>0.01</v>
      </c>
      <c r="T280" s="14">
        <f t="shared" si="81"/>
        <v>31673.317299999999</v>
      </c>
      <c r="U280" s="14">
        <f t="shared" si="82"/>
        <v>0</v>
      </c>
      <c r="V280" s="14">
        <f t="shared" si="83"/>
        <v>1077.3781999999999</v>
      </c>
      <c r="W280" s="14" t="str">
        <f t="shared" si="84"/>
        <v/>
      </c>
      <c r="X280" s="4">
        <v>26412.51</v>
      </c>
      <c r="Y280" s="4"/>
      <c r="Z280" s="4"/>
      <c r="AA280" s="14">
        <f t="shared" si="85"/>
        <v>59163.205499999996</v>
      </c>
      <c r="AB280" s="4"/>
      <c r="AC280" s="4">
        <v>3167331.73</v>
      </c>
      <c r="AD280" s="14">
        <f t="shared" si="86"/>
        <v>0</v>
      </c>
      <c r="AE280" s="14">
        <f t="shared" si="87"/>
        <v>107737.81999999999</v>
      </c>
      <c r="AF280" s="14" t="str">
        <f t="shared" si="88"/>
        <v/>
      </c>
      <c r="AG280" s="15">
        <f t="shared" si="89"/>
        <v>3275069.55</v>
      </c>
      <c r="AH280" s="4">
        <v>3058785.5667300001</v>
      </c>
      <c r="AI280" s="17">
        <f t="shared" si="90"/>
        <v>216283.98326999974</v>
      </c>
      <c r="AJ280" s="7">
        <f t="shared" si="93"/>
        <v>2.7727958006532027</v>
      </c>
      <c r="AK280" s="7" t="str">
        <f t="shared" si="94"/>
        <v/>
      </c>
      <c r="AL280" s="7">
        <f t="shared" si="95"/>
        <v>3.5790549545048007</v>
      </c>
      <c r="AM280" s="7" t="str">
        <f t="shared" si="96"/>
        <v/>
      </c>
      <c r="AN280" s="4">
        <v>17147.428270309189</v>
      </c>
      <c r="AO280" s="4">
        <v>58373.17</v>
      </c>
      <c r="AP280" s="14">
        <f t="shared" si="91"/>
        <v>3134306.1650003092</v>
      </c>
      <c r="AQ280" s="14">
        <f t="shared" si="92"/>
        <v>3058785.5667300001</v>
      </c>
      <c r="AR280" s="8">
        <v>69292.78</v>
      </c>
      <c r="AS280" s="20">
        <v>44.142918883179462</v>
      </c>
      <c r="AT280" s="8">
        <v>30279631.530000001</v>
      </c>
      <c r="AU280" s="8">
        <v>26649.846000000001</v>
      </c>
      <c r="AV280" s="8">
        <v>470.2765</v>
      </c>
      <c r="AW280" s="8"/>
      <c r="AX280" s="9">
        <v>431.2876551678836</v>
      </c>
      <c r="AY280" s="6">
        <f t="shared" si="97"/>
        <v>2.2553842368183669E-2</v>
      </c>
      <c r="AZ280" s="8">
        <v>421566446.76459998</v>
      </c>
      <c r="BA280" s="10">
        <v>60480066</v>
      </c>
      <c r="BB280" s="11">
        <v>30279631.530000001</v>
      </c>
      <c r="BC280" s="10">
        <v>2971324</v>
      </c>
      <c r="BD280" s="10">
        <f>1000000000-999615117.5391+78335.8498</f>
        <v>463218.31069994904</v>
      </c>
      <c r="BE280" s="12">
        <f t="shared" si="98"/>
        <v>484239313.39470005</v>
      </c>
      <c r="BF280" s="13">
        <v>238</v>
      </c>
      <c r="BG280" s="13">
        <f t="shared" si="99"/>
        <v>246.23931339470005</v>
      </c>
      <c r="BH280" s="14">
        <f>BE280*42.98</f>
        <v>20812605689.704208</v>
      </c>
    </row>
    <row r="281" spans="1:60" x14ac:dyDescent="0.25">
      <c r="A281" s="3">
        <v>45903</v>
      </c>
      <c r="B281" s="4">
        <v>8200160965</v>
      </c>
      <c r="C281" s="4"/>
      <c r="D281" s="5">
        <v>304761980</v>
      </c>
      <c r="E281" s="4"/>
      <c r="N281" s="4">
        <v>2341088.5699999998</v>
      </c>
      <c r="O281" s="4"/>
      <c r="P281" s="4">
        <v>133347.01999999999</v>
      </c>
      <c r="Q281" s="4"/>
      <c r="R281" s="14">
        <f t="shared" si="80"/>
        <v>2474435.59</v>
      </c>
      <c r="S281" s="6">
        <v>0.01</v>
      </c>
      <c r="T281" s="14">
        <f t="shared" si="81"/>
        <v>23410.885699999999</v>
      </c>
      <c r="U281" s="14">
        <f t="shared" si="82"/>
        <v>0</v>
      </c>
      <c r="V281" s="14">
        <f t="shared" si="83"/>
        <v>1122.4635999999998</v>
      </c>
      <c r="W281" s="14" t="str">
        <f t="shared" si="84"/>
        <v/>
      </c>
      <c r="X281" s="4">
        <v>21100.66</v>
      </c>
      <c r="Y281" s="4"/>
      <c r="Z281" s="4"/>
      <c r="AA281" s="14">
        <f t="shared" si="85"/>
        <v>45634.009299999998</v>
      </c>
      <c r="AB281" s="4"/>
      <c r="AC281" s="4">
        <v>2341088.5699999998</v>
      </c>
      <c r="AD281" s="14">
        <f t="shared" si="86"/>
        <v>0</v>
      </c>
      <c r="AE281" s="14">
        <f t="shared" si="87"/>
        <v>112246.35999999999</v>
      </c>
      <c r="AF281" s="14" t="str">
        <f t="shared" si="88"/>
        <v/>
      </c>
      <c r="AG281" s="15">
        <f t="shared" si="89"/>
        <v>2453334.9299999997</v>
      </c>
      <c r="AH281" s="4">
        <v>2259297.5406599999</v>
      </c>
      <c r="AI281" s="17">
        <f t="shared" si="90"/>
        <v>194037.38933999976</v>
      </c>
      <c r="AJ281" s="7">
        <f t="shared" si="93"/>
        <v>2.8549300190474978</v>
      </c>
      <c r="AK281" s="7" t="str">
        <f t="shared" si="94"/>
        <v/>
      </c>
      <c r="AL281" s="7">
        <f t="shared" si="95"/>
        <v>4.3754480135612717</v>
      </c>
      <c r="AM281" s="7" t="str">
        <f t="shared" si="96"/>
        <v/>
      </c>
      <c r="AN281" s="4">
        <v>22000.40336266438</v>
      </c>
      <c r="AO281" s="4">
        <v>0</v>
      </c>
      <c r="AP281" s="14">
        <f t="shared" si="91"/>
        <v>2281297.9440226643</v>
      </c>
      <c r="AQ281" s="14">
        <f t="shared" si="92"/>
        <v>2259297.5406599999</v>
      </c>
      <c r="AR281" s="8">
        <v>49663.71</v>
      </c>
      <c r="AS281" s="20">
        <v>45.491920371232837</v>
      </c>
      <c r="AT281" s="8">
        <v>30329295.239999998</v>
      </c>
      <c r="AU281" s="8">
        <v>26600.414499999999</v>
      </c>
      <c r="AV281" s="8">
        <v>1849.0277000000001</v>
      </c>
      <c r="AW281" s="8"/>
      <c r="AX281" s="9">
        <v>431.61099433983492</v>
      </c>
      <c r="AY281" s="6">
        <f t="shared" si="97"/>
        <v>2.2495143589542958E-2</v>
      </c>
      <c r="AZ281" s="8">
        <v>421539846.35009998</v>
      </c>
      <c r="BA281" s="10">
        <v>60480066</v>
      </c>
      <c r="BB281" s="11">
        <v>30329295.239999998</v>
      </c>
      <c r="BC281" s="10">
        <v>2971324</v>
      </c>
      <c r="BD281" s="10">
        <f>1000000000-999613268.5114+78824.7585</f>
        <v>465556.24710001564</v>
      </c>
      <c r="BE281" s="12">
        <f t="shared" si="98"/>
        <v>484213912.16279995</v>
      </c>
      <c r="BF281" s="13">
        <v>238</v>
      </c>
      <c r="BG281" s="13">
        <f t="shared" si="99"/>
        <v>246.21391216279994</v>
      </c>
      <c r="BH281" s="14">
        <f>BE281*44.99</f>
        <v>21784783908.204372</v>
      </c>
    </row>
    <row r="282" spans="1:60" x14ac:dyDescent="0.25">
      <c r="A282" s="3">
        <v>45904</v>
      </c>
      <c r="B282" s="4">
        <v>9353334459</v>
      </c>
      <c r="C282" s="4"/>
      <c r="D282" s="5">
        <v>304771297</v>
      </c>
      <c r="E282" s="4"/>
      <c r="N282" s="4">
        <v>2710244.47</v>
      </c>
      <c r="O282" s="4"/>
      <c r="P282" s="4">
        <v>129808.14</v>
      </c>
      <c r="Q282" s="4"/>
      <c r="R282" s="14">
        <f t="shared" si="80"/>
        <v>2840052.6100000003</v>
      </c>
      <c r="S282" s="6">
        <v>0.01</v>
      </c>
      <c r="T282" s="14">
        <f t="shared" si="81"/>
        <v>27102.444700000004</v>
      </c>
      <c r="U282" s="14">
        <f t="shared" si="82"/>
        <v>0</v>
      </c>
      <c r="V282" s="14">
        <f t="shared" si="83"/>
        <v>1080.0115000000001</v>
      </c>
      <c r="W282" s="14" t="str">
        <f t="shared" si="84"/>
        <v/>
      </c>
      <c r="X282" s="4">
        <v>21806.99</v>
      </c>
      <c r="Y282" s="4"/>
      <c r="Z282" s="4"/>
      <c r="AA282" s="14">
        <f t="shared" si="85"/>
        <v>49989.446200000006</v>
      </c>
      <c r="AB282" s="4"/>
      <c r="AC282" s="4">
        <v>2710244.47</v>
      </c>
      <c r="AD282" s="14">
        <f t="shared" si="86"/>
        <v>0</v>
      </c>
      <c r="AE282" s="14">
        <f t="shared" si="87"/>
        <v>108001.15</v>
      </c>
      <c r="AF282" s="14" t="str">
        <f t="shared" si="88"/>
        <v/>
      </c>
      <c r="AG282" s="15">
        <f t="shared" si="89"/>
        <v>2818245.62</v>
      </c>
      <c r="AH282" s="4">
        <v>2588476.6351100001</v>
      </c>
      <c r="AI282" s="17">
        <f t="shared" si="90"/>
        <v>229768.98488999996</v>
      </c>
      <c r="AJ282" s="7">
        <f t="shared" si="93"/>
        <v>2.8976238173458437</v>
      </c>
      <c r="AK282" s="7" t="str">
        <f t="shared" si="94"/>
        <v/>
      </c>
      <c r="AL282" s="7">
        <f t="shared" si="95"/>
        <v>4.2591983325778866</v>
      </c>
      <c r="AM282" s="7" t="str">
        <f t="shared" si="96"/>
        <v/>
      </c>
      <c r="AN282" s="4">
        <v>20973.832931504949</v>
      </c>
      <c r="AO282" s="4">
        <v>23462.32</v>
      </c>
      <c r="AP282" s="14">
        <f t="shared" si="91"/>
        <v>2632912.788041505</v>
      </c>
      <c r="AQ282" s="14">
        <f t="shared" si="92"/>
        <v>2588476.6351100001</v>
      </c>
      <c r="AR282" s="8">
        <v>56982.19</v>
      </c>
      <c r="AS282" s="20">
        <v>45.426064444171068</v>
      </c>
      <c r="AT282" s="8">
        <v>30386453.73</v>
      </c>
      <c r="AU282" s="8">
        <v>26579.8812</v>
      </c>
      <c r="AV282" s="8">
        <v>500.69409999999999</v>
      </c>
      <c r="AW282" s="8"/>
      <c r="AX282" s="9">
        <v>430.52154759639677</v>
      </c>
      <c r="AY282" s="6">
        <f t="shared" si="97"/>
        <v>2.2534659861194829E-2</v>
      </c>
      <c r="AZ282" s="8">
        <v>421513266.46899998</v>
      </c>
      <c r="BA282" s="10">
        <v>60480066</v>
      </c>
      <c r="BB282" s="11">
        <v>30386453.73</v>
      </c>
      <c r="BC282" s="10">
        <v>2971324</v>
      </c>
      <c r="BD282" s="10">
        <f>1000000000-999612767.8173+79280.1866</f>
        <v>466512.36930003797</v>
      </c>
      <c r="BE282" s="12">
        <f t="shared" si="98"/>
        <v>484182377.43169993</v>
      </c>
      <c r="BF282" s="13">
        <v>238</v>
      </c>
      <c r="BG282" s="13">
        <f t="shared" si="99"/>
        <v>246.18237743169993</v>
      </c>
      <c r="BH282" s="14">
        <f>BE282*45.78</f>
        <v>22165869238.823223</v>
      </c>
    </row>
    <row r="283" spans="1:60" x14ac:dyDescent="0.25">
      <c r="A283" s="3">
        <v>45905</v>
      </c>
      <c r="B283" s="4">
        <v>13297495997</v>
      </c>
      <c r="C283" s="4"/>
      <c r="D283" s="5">
        <v>461258458</v>
      </c>
      <c r="E283" s="4"/>
      <c r="N283" s="4">
        <v>3618401.51</v>
      </c>
      <c r="O283" s="4"/>
      <c r="P283" s="4">
        <v>180060.32</v>
      </c>
      <c r="Q283" s="4"/>
      <c r="R283" s="14">
        <f t="shared" si="80"/>
        <v>3798461.8299999996</v>
      </c>
      <c r="S283" s="6">
        <v>0.01</v>
      </c>
      <c r="T283" s="14">
        <f t="shared" si="81"/>
        <v>36184.015099999997</v>
      </c>
      <c r="U283" s="14">
        <f t="shared" si="82"/>
        <v>0</v>
      </c>
      <c r="V283" s="14">
        <f t="shared" si="83"/>
        <v>1480.5792000000001</v>
      </c>
      <c r="W283" s="14" t="str">
        <f t="shared" si="84"/>
        <v/>
      </c>
      <c r="X283" s="4">
        <v>32002.400000000001</v>
      </c>
      <c r="Y283" s="4"/>
      <c r="Z283" s="4"/>
      <c r="AA283" s="14">
        <f t="shared" si="85"/>
        <v>69666.994299999991</v>
      </c>
      <c r="AB283" s="4"/>
      <c r="AC283" s="4">
        <v>3618401.51</v>
      </c>
      <c r="AD283" s="14">
        <f t="shared" si="86"/>
        <v>0</v>
      </c>
      <c r="AE283" s="14">
        <f t="shared" si="87"/>
        <v>148057.92000000001</v>
      </c>
      <c r="AF283" s="14" t="str">
        <f t="shared" si="88"/>
        <v/>
      </c>
      <c r="AG283" s="15">
        <f t="shared" si="89"/>
        <v>3766459.4299999997</v>
      </c>
      <c r="AH283" s="4">
        <v>3390576.2696000002</v>
      </c>
      <c r="AI283" s="17">
        <f t="shared" si="90"/>
        <v>375883.16039999947</v>
      </c>
      <c r="AJ283" s="7">
        <f t="shared" si="93"/>
        <v>2.7211149458637429</v>
      </c>
      <c r="AK283" s="7" t="str">
        <f t="shared" si="94"/>
        <v/>
      </c>
      <c r="AL283" s="7">
        <f t="shared" si="95"/>
        <v>3.9036751928785227</v>
      </c>
      <c r="AM283" s="7" t="str">
        <f t="shared" si="96"/>
        <v/>
      </c>
      <c r="AN283" s="4">
        <v>33820.502398227552</v>
      </c>
      <c r="AO283" s="4">
        <v>0</v>
      </c>
      <c r="AP283" s="14">
        <f t="shared" si="91"/>
        <v>3424396.7719982276</v>
      </c>
      <c r="AQ283" s="14">
        <f t="shared" si="92"/>
        <v>3390576.2696000002</v>
      </c>
      <c r="AR283" s="8">
        <v>72961.84</v>
      </c>
      <c r="AS283" s="20">
        <v>46.470542267026161</v>
      </c>
      <c r="AT283" s="8">
        <v>30459239.27</v>
      </c>
      <c r="AU283" s="8">
        <v>26477.556400000001</v>
      </c>
      <c r="AV283" s="8">
        <v>922.03210000000001</v>
      </c>
      <c r="AW283" s="8"/>
      <c r="AX283" s="9">
        <v>430.28965748233662</v>
      </c>
      <c r="AY283" s="6">
        <f t="shared" si="97"/>
        <v>2.2460005528709973E-2</v>
      </c>
      <c r="AZ283" s="8">
        <v>421486788.91259998</v>
      </c>
      <c r="BA283" s="10">
        <v>60480066</v>
      </c>
      <c r="BB283" s="11">
        <v>30459239.27</v>
      </c>
      <c r="BC283" s="10">
        <v>2971324</v>
      </c>
      <c r="BD283" s="10">
        <f>1000000000-999611845.7852+80025.3286</f>
        <v>468179.5434000002</v>
      </c>
      <c r="BE283" s="12">
        <f t="shared" si="98"/>
        <v>484134402.27399999</v>
      </c>
      <c r="BF283" s="13">
        <v>238</v>
      </c>
      <c r="BG283" s="13">
        <f t="shared" si="99"/>
        <v>246.13440227399997</v>
      </c>
      <c r="BH283" s="14">
        <f>BE283*45.37</f>
        <v>21965177831.171379</v>
      </c>
    </row>
    <row r="284" spans="1:60" x14ac:dyDescent="0.25">
      <c r="A284" s="3">
        <v>45906</v>
      </c>
      <c r="B284" s="4">
        <v>3331797735</v>
      </c>
      <c r="C284" s="4"/>
      <c r="D284" s="4">
        <v>228441598</v>
      </c>
      <c r="E284" s="4"/>
      <c r="N284" s="4">
        <v>1068220.6299999999</v>
      </c>
      <c r="O284" s="4"/>
      <c r="P284" s="4">
        <v>108316.29</v>
      </c>
      <c r="Q284" s="4"/>
      <c r="R284" s="14">
        <f t="shared" si="80"/>
        <v>1176536.92</v>
      </c>
      <c r="S284" s="6">
        <v>0.01</v>
      </c>
      <c r="T284" s="14">
        <f t="shared" si="81"/>
        <v>10682.2063</v>
      </c>
      <c r="U284" s="14">
        <f t="shared" si="82"/>
        <v>0</v>
      </c>
      <c r="V284" s="14">
        <f t="shared" si="83"/>
        <v>893.0154</v>
      </c>
      <c r="W284" s="14" t="str">
        <f t="shared" si="84"/>
        <v/>
      </c>
      <c r="X284" s="4">
        <v>19014.75</v>
      </c>
      <c r="Y284" s="4"/>
      <c r="Z284" s="4"/>
      <c r="AA284" s="14">
        <f t="shared" si="85"/>
        <v>30589.971700000002</v>
      </c>
      <c r="AB284" s="4"/>
      <c r="AC284" s="4">
        <v>1068220.6299999999</v>
      </c>
      <c r="AD284" s="14">
        <f t="shared" si="86"/>
        <v>0</v>
      </c>
      <c r="AE284" s="14">
        <f t="shared" si="87"/>
        <v>89301.54</v>
      </c>
      <c r="AF284" s="14" t="str">
        <f t="shared" si="88"/>
        <v/>
      </c>
      <c r="AG284" s="15">
        <f t="shared" si="89"/>
        <v>1157522.17</v>
      </c>
      <c r="AH284" s="4">
        <v>996785.99766999995</v>
      </c>
      <c r="AI284" s="17">
        <f t="shared" si="90"/>
        <v>160736.17232999997</v>
      </c>
      <c r="AJ284" s="7">
        <f t="shared" si="93"/>
        <v>3.2061388924619099</v>
      </c>
      <c r="AK284" s="7" t="str">
        <f t="shared" si="94"/>
        <v/>
      </c>
      <c r="AL284" s="7">
        <f t="shared" si="95"/>
        <v>4.741530918550132</v>
      </c>
      <c r="AM284" s="7" t="str">
        <f t="shared" si="96"/>
        <v/>
      </c>
      <c r="AN284" s="4">
        <v>9924.9660677398624</v>
      </c>
      <c r="AO284" s="4">
        <v>26613.93</v>
      </c>
      <c r="AP284" s="14">
        <f t="shared" si="91"/>
        <v>1033324.8937377399</v>
      </c>
      <c r="AQ284" s="14">
        <f t="shared" si="92"/>
        <v>996785.99766999995</v>
      </c>
      <c r="AR284" s="8">
        <v>21417.47</v>
      </c>
      <c r="AS284" s="20">
        <v>46.540791123788189</v>
      </c>
      <c r="AT284" s="8">
        <v>30480656.739999998</v>
      </c>
      <c r="AU284" s="8">
        <v>26466.128199999999</v>
      </c>
      <c r="AV284" s="8">
        <v>660.08019999999999</v>
      </c>
      <c r="AW284" s="8"/>
      <c r="AX284" s="9">
        <v>432.42533226953282</v>
      </c>
      <c r="AY284" s="6">
        <f t="shared" si="97"/>
        <v>2.2339433127795551E-2</v>
      </c>
      <c r="AZ284" s="8">
        <v>421460322.78430003</v>
      </c>
      <c r="BA284" s="10">
        <v>60480066</v>
      </c>
      <c r="BB284" s="11">
        <v>30480656.739999998</v>
      </c>
      <c r="BC284" s="10">
        <v>2971324</v>
      </c>
      <c r="BD284" s="10">
        <f>1000000000-999611185.705+80234.5659</f>
        <v>469048.86089995707</v>
      </c>
      <c r="BE284" s="12">
        <f t="shared" si="98"/>
        <v>484138581.61479992</v>
      </c>
      <c r="BF284" s="13">
        <v>238</v>
      </c>
      <c r="BG284" s="13">
        <f t="shared" si="99"/>
        <v>246.13858161479993</v>
      </c>
      <c r="BH284" s="14">
        <f>BE284*47.44</f>
        <v>22967534311.806107</v>
      </c>
    </row>
    <row r="285" spans="1:60" x14ac:dyDescent="0.25">
      <c r="A285" s="3">
        <v>45907</v>
      </c>
      <c r="B285" s="4">
        <v>3844405859</v>
      </c>
      <c r="C285" s="4"/>
      <c r="D285" s="4">
        <v>560130865</v>
      </c>
      <c r="E285" s="4"/>
      <c r="N285" s="4">
        <v>1156796.77</v>
      </c>
      <c r="O285" s="4"/>
      <c r="P285" s="4">
        <v>130909.57</v>
      </c>
      <c r="Q285" s="4"/>
      <c r="R285" s="14">
        <f t="shared" si="80"/>
        <v>1287706.3400000001</v>
      </c>
      <c r="S285" s="6">
        <v>0.01</v>
      </c>
      <c r="T285" s="14">
        <f t="shared" si="81"/>
        <v>11567.967700000001</v>
      </c>
      <c r="U285" s="14">
        <f t="shared" si="82"/>
        <v>0</v>
      </c>
      <c r="V285" s="14">
        <f t="shared" si="83"/>
        <v>1082.9174</v>
      </c>
      <c r="W285" s="14" t="str">
        <f t="shared" si="84"/>
        <v/>
      </c>
      <c r="X285" s="4">
        <v>22617.83</v>
      </c>
      <c r="Y285" s="4"/>
      <c r="Z285" s="4"/>
      <c r="AA285" s="14">
        <f t="shared" si="85"/>
        <v>35268.715100000001</v>
      </c>
      <c r="AB285" s="4"/>
      <c r="AC285" s="4">
        <v>1156796.77</v>
      </c>
      <c r="AD285" s="14">
        <f t="shared" si="86"/>
        <v>0</v>
      </c>
      <c r="AE285" s="14">
        <f t="shared" si="87"/>
        <v>108291.74</v>
      </c>
      <c r="AF285" s="14" t="str">
        <f t="shared" si="88"/>
        <v/>
      </c>
      <c r="AG285" s="15">
        <f t="shared" si="89"/>
        <v>1265088.51</v>
      </c>
      <c r="AH285" s="4">
        <v>1076047.8964</v>
      </c>
      <c r="AI285" s="17">
        <f t="shared" si="90"/>
        <v>189040.61360000004</v>
      </c>
      <c r="AJ285" s="7">
        <f t="shared" si="93"/>
        <v>3.0090391400581828</v>
      </c>
      <c r="AK285" s="7" t="str">
        <f t="shared" si="94"/>
        <v/>
      </c>
      <c r="AL285" s="7">
        <f t="shared" si="95"/>
        <v>2.3371247360203942</v>
      </c>
      <c r="AM285" s="7" t="str">
        <f t="shared" si="96"/>
        <v/>
      </c>
      <c r="AN285" s="4">
        <v>10078.663321373981</v>
      </c>
      <c r="AO285" s="4">
        <v>0</v>
      </c>
      <c r="AP285" s="14">
        <f t="shared" si="91"/>
        <v>1086126.559721374</v>
      </c>
      <c r="AQ285" s="14">
        <f t="shared" si="92"/>
        <v>1076047.8964</v>
      </c>
      <c r="AR285" s="8">
        <v>22861.040000000001</v>
      </c>
      <c r="AS285" s="20">
        <v>47.069070191032417</v>
      </c>
      <c r="AT285" s="8">
        <v>30503517.780000001</v>
      </c>
      <c r="AU285" s="8">
        <v>26495.0245</v>
      </c>
      <c r="AV285" s="8">
        <v>869.38300000000004</v>
      </c>
      <c r="AW285" s="8"/>
      <c r="AX285" s="9">
        <v>432.51909543824468</v>
      </c>
      <c r="AY285" s="6">
        <f t="shared" si="97"/>
        <v>2.2358975694937343E-2</v>
      </c>
      <c r="AZ285" s="8">
        <v>421433827.75980002</v>
      </c>
      <c r="BA285" s="10">
        <v>60480066</v>
      </c>
      <c r="BB285" s="11">
        <v>30503517.780000001</v>
      </c>
      <c r="BC285" s="10">
        <v>2971324</v>
      </c>
      <c r="BD285" s="10">
        <f>1000000000-999610316.322+80452.2994</f>
        <v>470135.97739997332</v>
      </c>
      <c r="BE285" s="12">
        <f t="shared" si="98"/>
        <v>484141128.48280013</v>
      </c>
      <c r="BF285" s="13">
        <v>238</v>
      </c>
      <c r="BG285" s="13">
        <f t="shared" si="99"/>
        <v>246.14112848280013</v>
      </c>
      <c r="BH285" s="14">
        <f>BE285*46.2</f>
        <v>22367320135.905369</v>
      </c>
    </row>
    <row r="286" spans="1:60" x14ac:dyDescent="0.25">
      <c r="A286" s="3">
        <v>45908</v>
      </c>
      <c r="B286" s="4">
        <v>9243638471</v>
      </c>
      <c r="C286" s="4"/>
      <c r="D286" s="4">
        <v>699243945</v>
      </c>
      <c r="E286" s="4"/>
      <c r="N286" s="4">
        <v>2820284.41</v>
      </c>
      <c r="O286" s="4"/>
      <c r="P286" s="4">
        <v>281505.13</v>
      </c>
      <c r="Q286" s="4"/>
      <c r="R286" s="14">
        <f t="shared" si="80"/>
        <v>3101789.54</v>
      </c>
      <c r="S286" s="6">
        <v>0.01</v>
      </c>
      <c r="T286" s="14">
        <f t="shared" si="81"/>
        <v>28202.844100000002</v>
      </c>
      <c r="U286" s="14">
        <f t="shared" si="82"/>
        <v>0</v>
      </c>
      <c r="V286" s="14">
        <f t="shared" si="83"/>
        <v>2440.1558</v>
      </c>
      <c r="W286" s="14" t="str">
        <f t="shared" si="84"/>
        <v/>
      </c>
      <c r="X286" s="4">
        <v>37489.550000000003</v>
      </c>
      <c r="Y286" s="4"/>
      <c r="Z286" s="4"/>
      <c r="AA286" s="14">
        <f t="shared" si="85"/>
        <v>68132.549900000013</v>
      </c>
      <c r="AB286" s="4"/>
      <c r="AC286" s="4">
        <v>2820284.41</v>
      </c>
      <c r="AD286" s="14">
        <f t="shared" si="86"/>
        <v>0</v>
      </c>
      <c r="AE286" s="14">
        <f t="shared" si="87"/>
        <v>244015.58000000002</v>
      </c>
      <c r="AF286" s="14" t="str">
        <f t="shared" si="88"/>
        <v/>
      </c>
      <c r="AG286" s="15">
        <f t="shared" si="89"/>
        <v>3064299.99</v>
      </c>
      <c r="AH286" s="4">
        <v>2646828.6424400001</v>
      </c>
      <c r="AI286" s="17">
        <f t="shared" si="90"/>
        <v>417471.34756000014</v>
      </c>
      <c r="AJ286" s="7">
        <f t="shared" si="93"/>
        <v>3.051054429322456</v>
      </c>
      <c r="AK286" s="7" t="str">
        <f t="shared" si="94"/>
        <v/>
      </c>
      <c r="AL286" s="7">
        <f t="shared" si="95"/>
        <v>4.0258500915585334</v>
      </c>
      <c r="AM286" s="7" t="str">
        <f t="shared" si="96"/>
        <v/>
      </c>
      <c r="AN286" s="4">
        <v>30522.43348773765</v>
      </c>
      <c r="AO286" s="4">
        <v>23537.22</v>
      </c>
      <c r="AP286" s="14">
        <f t="shared" si="91"/>
        <v>2700888.2959277378</v>
      </c>
      <c r="AQ286" s="14">
        <f t="shared" si="92"/>
        <v>2646828.6424400001</v>
      </c>
      <c r="AR286" s="8">
        <v>52527.18</v>
      </c>
      <c r="AS286" s="20">
        <v>50.389696199948297</v>
      </c>
      <c r="AT286" s="8">
        <v>30556044.960000001</v>
      </c>
      <c r="AU286" s="8">
        <v>26585.838100000001</v>
      </c>
      <c r="AV286" s="8">
        <v>393.83620000000002</v>
      </c>
      <c r="AW286" s="8"/>
      <c r="AX286" s="9">
        <v>432.98697737368337</v>
      </c>
      <c r="AY286" s="6">
        <f t="shared" si="97"/>
        <v>2.2411368963933628E-2</v>
      </c>
      <c r="AZ286" s="8">
        <v>421407241.92180002</v>
      </c>
      <c r="BA286" s="10">
        <v>60480066</v>
      </c>
      <c r="BB286" s="11">
        <v>30556044.960000001</v>
      </c>
      <c r="BC286" s="10">
        <v>2971324</v>
      </c>
      <c r="BD286" s="10">
        <f>1000000000-999609922.4858+81099.6057</f>
        <v>471177.11989997217</v>
      </c>
      <c r="BE286" s="12">
        <f t="shared" si="98"/>
        <v>484114145.99830002</v>
      </c>
      <c r="BF286" s="13">
        <v>238</v>
      </c>
      <c r="BG286" s="13">
        <f t="shared" si="99"/>
        <v>246.11414599829999</v>
      </c>
      <c r="BH286" s="14">
        <f>BE286*47.08</f>
        <v>22792093993.599964</v>
      </c>
    </row>
    <row r="287" spans="1:60" x14ac:dyDescent="0.25">
      <c r="A287" s="3">
        <v>45909</v>
      </c>
      <c r="B287" s="4">
        <v>10021381732</v>
      </c>
      <c r="C287" s="4"/>
      <c r="D287" s="4">
        <v>719104547</v>
      </c>
      <c r="E287" s="4"/>
      <c r="N287" s="4">
        <v>3085044.82</v>
      </c>
      <c r="O287" s="4"/>
      <c r="P287" s="4">
        <v>386052.91</v>
      </c>
      <c r="Q287" s="4"/>
      <c r="R287" s="14">
        <f t="shared" si="80"/>
        <v>3471097.73</v>
      </c>
      <c r="S287" s="6">
        <v>0.01</v>
      </c>
      <c r="T287" s="14">
        <f t="shared" si="81"/>
        <v>30850.448199999999</v>
      </c>
      <c r="U287" s="14">
        <f t="shared" si="82"/>
        <v>0</v>
      </c>
      <c r="V287" s="14">
        <f t="shared" si="83"/>
        <v>3346.3284999999996</v>
      </c>
      <c r="W287" s="14" t="str">
        <f t="shared" si="84"/>
        <v/>
      </c>
      <c r="X287" s="4">
        <v>51420.06</v>
      </c>
      <c r="Y287" s="4"/>
      <c r="Z287" s="4"/>
      <c r="AA287" s="14">
        <f t="shared" si="85"/>
        <v>85616.8367</v>
      </c>
      <c r="AB287" s="4"/>
      <c r="AC287" s="4">
        <v>3085044.82</v>
      </c>
      <c r="AD287" s="14">
        <f t="shared" si="86"/>
        <v>0</v>
      </c>
      <c r="AE287" s="14">
        <f t="shared" si="87"/>
        <v>334632.84999999998</v>
      </c>
      <c r="AF287" s="14" t="str">
        <f t="shared" si="88"/>
        <v/>
      </c>
      <c r="AG287" s="15">
        <f t="shared" si="89"/>
        <v>3419677.67</v>
      </c>
      <c r="AH287" s="4">
        <v>2868805.1337100002</v>
      </c>
      <c r="AI287" s="17">
        <f t="shared" si="90"/>
        <v>550872.53628999973</v>
      </c>
      <c r="AJ287" s="7">
        <f t="shared" si="93"/>
        <v>3.0784625339127838</v>
      </c>
      <c r="AK287" s="7" t="str">
        <f t="shared" si="94"/>
        <v/>
      </c>
      <c r="AL287" s="7">
        <f t="shared" si="95"/>
        <v>5.3685227219123668</v>
      </c>
      <c r="AM287" s="7" t="str">
        <f t="shared" si="96"/>
        <v/>
      </c>
      <c r="AN287" s="4">
        <v>44114.144668791043</v>
      </c>
      <c r="AO287" s="4">
        <v>32628.51</v>
      </c>
      <c r="AP287" s="14">
        <f t="shared" si="91"/>
        <v>2945547.788378791</v>
      </c>
      <c r="AQ287" s="14">
        <f t="shared" si="92"/>
        <v>2868805.1337100002</v>
      </c>
      <c r="AR287" s="8">
        <v>53818.18</v>
      </c>
      <c r="AS287" s="20">
        <v>53.305502596148742</v>
      </c>
      <c r="AT287" s="8">
        <v>30609863.140000001</v>
      </c>
      <c r="AU287" s="8">
        <v>26573.783500000001</v>
      </c>
      <c r="AV287" s="8">
        <v>1758.4763</v>
      </c>
      <c r="AW287" s="8"/>
      <c r="AX287" s="9">
        <v>431.81310111039352</v>
      </c>
      <c r="AY287" s="6">
        <f t="shared" si="97"/>
        <v>2.246210444416398E-2</v>
      </c>
      <c r="AZ287" s="8">
        <v>421380668.13819999</v>
      </c>
      <c r="BA287" s="10">
        <v>60480066</v>
      </c>
      <c r="BB287" s="11">
        <v>30609863.140000001</v>
      </c>
      <c r="BC287" s="10">
        <v>2971324</v>
      </c>
      <c r="BD287" s="10">
        <f>1000000000-999608164.0095+81970.4285</f>
        <v>473806.41899997328</v>
      </c>
      <c r="BE287" s="12">
        <f t="shared" si="98"/>
        <v>484084272.3028</v>
      </c>
      <c r="BF287" s="13">
        <v>238</v>
      </c>
      <c r="BG287" s="13">
        <f t="shared" si="99"/>
        <v>246.0842723028</v>
      </c>
      <c r="BH287" s="14">
        <f>BE287*50.83</f>
        <v>24606003561.151321</v>
      </c>
    </row>
    <row r="288" spans="1:60" x14ac:dyDescent="0.25">
      <c r="A288" s="3">
        <v>45910</v>
      </c>
      <c r="B288" s="4">
        <v>10548513641</v>
      </c>
      <c r="C288" s="4"/>
      <c r="D288" s="4">
        <v>1094741476</v>
      </c>
      <c r="E288" s="4"/>
      <c r="N288" s="4">
        <v>3292952.19</v>
      </c>
      <c r="O288" s="4"/>
      <c r="P288" s="4">
        <v>416098.93</v>
      </c>
      <c r="Q288" s="4"/>
      <c r="R288" s="14">
        <f t="shared" si="80"/>
        <v>3709051.12</v>
      </c>
      <c r="S288" s="6">
        <v>0.01</v>
      </c>
      <c r="T288" s="14">
        <f t="shared" si="81"/>
        <v>32929.5219</v>
      </c>
      <c r="U288" s="14">
        <f t="shared" si="82"/>
        <v>0</v>
      </c>
      <c r="V288" s="14">
        <f t="shared" si="83"/>
        <v>3469.8656000000001</v>
      </c>
      <c r="W288" s="14" t="str">
        <f t="shared" si="84"/>
        <v/>
      </c>
      <c r="X288" s="4">
        <v>69112.37</v>
      </c>
      <c r="Y288" s="4"/>
      <c r="Z288" s="4"/>
      <c r="AA288" s="14">
        <f t="shared" si="85"/>
        <v>105511.75749999999</v>
      </c>
      <c r="AB288" s="4"/>
      <c r="AC288" s="4">
        <v>3292952.19</v>
      </c>
      <c r="AD288" s="14">
        <f t="shared" si="86"/>
        <v>0</v>
      </c>
      <c r="AE288" s="14">
        <f t="shared" si="87"/>
        <v>346986.56</v>
      </c>
      <c r="AF288" s="14" t="str">
        <f t="shared" si="88"/>
        <v/>
      </c>
      <c r="AG288" s="15">
        <f t="shared" si="89"/>
        <v>3639938.75</v>
      </c>
      <c r="AH288" s="4">
        <v>3110976.3969999999</v>
      </c>
      <c r="AI288" s="17">
        <f t="shared" si="90"/>
        <v>528962.35300000012</v>
      </c>
      <c r="AJ288" s="7">
        <f t="shared" si="93"/>
        <v>3.1217215070007036</v>
      </c>
      <c r="AK288" s="7" t="str">
        <f t="shared" si="94"/>
        <v/>
      </c>
      <c r="AL288" s="7">
        <f t="shared" si="95"/>
        <v>3.8008875987813582</v>
      </c>
      <c r="AM288" s="7" t="str">
        <f t="shared" si="96"/>
        <v/>
      </c>
      <c r="AN288" s="4">
        <v>64920.658738674887</v>
      </c>
      <c r="AO288" s="4">
        <v>0</v>
      </c>
      <c r="AP288" s="14">
        <f t="shared" si="91"/>
        <v>3175897.0557386749</v>
      </c>
      <c r="AQ288" s="14">
        <f t="shared" si="92"/>
        <v>3110976.3969999999</v>
      </c>
      <c r="AR288" s="8">
        <v>56960.36</v>
      </c>
      <c r="AS288" s="20">
        <v>54.616515713734962</v>
      </c>
      <c r="AT288" s="8">
        <v>30667003.890000001</v>
      </c>
      <c r="AU288" s="8">
        <v>26497.9912</v>
      </c>
      <c r="AV288" s="8">
        <v>1883.9013</v>
      </c>
      <c r="AW288" s="8"/>
      <c r="AX288" s="9">
        <v>433.96761240769058</v>
      </c>
      <c r="AY288" s="6">
        <f t="shared" si="97"/>
        <v>2.2286840103896661E-2</v>
      </c>
      <c r="AZ288" s="8">
        <v>421354170.14700001</v>
      </c>
      <c r="BA288" s="10">
        <v>60480066</v>
      </c>
      <c r="BB288" s="11">
        <v>30667003.890000001</v>
      </c>
      <c r="BC288" s="10">
        <v>2971324</v>
      </c>
      <c r="BD288" s="10">
        <f>1000000000-999606280.1082+83204.3801</f>
        <v>476924.27190004598</v>
      </c>
      <c r="BE288" s="12">
        <f t="shared" si="98"/>
        <v>484050511.69109988</v>
      </c>
      <c r="BF288" s="13">
        <v>238</v>
      </c>
      <c r="BG288" s="13">
        <f t="shared" si="99"/>
        <v>246.05051169109987</v>
      </c>
      <c r="BH288" s="14">
        <f>BE288*53</f>
        <v>25654677119.628292</v>
      </c>
    </row>
    <row r="289" spans="1:60" x14ac:dyDescent="0.25">
      <c r="A289" s="3">
        <v>45911</v>
      </c>
      <c r="B289" s="4">
        <v>10439854515</v>
      </c>
      <c r="C289" s="4"/>
      <c r="D289" s="4">
        <v>1094479776</v>
      </c>
      <c r="E289" s="4"/>
      <c r="N289" s="4">
        <v>3287580.94</v>
      </c>
      <c r="O289" s="4"/>
      <c r="P289" s="4">
        <v>801493.59</v>
      </c>
      <c r="Q289" s="4"/>
      <c r="R289" s="14">
        <f t="shared" si="80"/>
        <v>4089074.53</v>
      </c>
      <c r="S289" s="6">
        <v>0.01</v>
      </c>
      <c r="T289" s="14">
        <f t="shared" si="81"/>
        <v>32875.809399999998</v>
      </c>
      <c r="U289" s="14">
        <f t="shared" si="82"/>
        <v>0</v>
      </c>
      <c r="V289" s="14">
        <f t="shared" si="83"/>
        <v>6681.4147000000003</v>
      </c>
      <c r="W289" s="14" t="str">
        <f t="shared" si="84"/>
        <v/>
      </c>
      <c r="X289" s="4">
        <v>133352.12</v>
      </c>
      <c r="Y289" s="4"/>
      <c r="Z289" s="4"/>
      <c r="AA289" s="14">
        <f t="shared" si="85"/>
        <v>172909.34409999999</v>
      </c>
      <c r="AB289" s="4"/>
      <c r="AC289" s="4">
        <v>3287580.94</v>
      </c>
      <c r="AD289" s="14">
        <f t="shared" si="86"/>
        <v>0</v>
      </c>
      <c r="AE289" s="14">
        <f t="shared" si="87"/>
        <v>668141.47</v>
      </c>
      <c r="AF289" s="14" t="str">
        <f t="shared" si="88"/>
        <v/>
      </c>
      <c r="AG289" s="15">
        <f t="shared" si="89"/>
        <v>3955722.41</v>
      </c>
      <c r="AH289" s="4">
        <v>2776718.36674</v>
      </c>
      <c r="AI289" s="17">
        <f t="shared" si="90"/>
        <v>1179004.0432600002</v>
      </c>
      <c r="AJ289" s="7">
        <f t="shared" si="93"/>
        <v>3.1490677722341807</v>
      </c>
      <c r="AK289" s="7" t="str">
        <f t="shared" si="94"/>
        <v/>
      </c>
      <c r="AL289" s="7">
        <f t="shared" si="95"/>
        <v>7.3230552777249303</v>
      </c>
      <c r="AM289" s="7" t="str">
        <f t="shared" si="96"/>
        <v/>
      </c>
      <c r="AN289" s="4">
        <v>49875.712399980752</v>
      </c>
      <c r="AO289" s="4">
        <v>38614.53</v>
      </c>
      <c r="AP289" s="14">
        <f t="shared" si="91"/>
        <v>2865208.6091399803</v>
      </c>
      <c r="AQ289" s="14">
        <f t="shared" si="92"/>
        <v>2776718.36674</v>
      </c>
      <c r="AR289" s="8">
        <v>50755.360000000001</v>
      </c>
      <c r="AS289" s="20">
        <v>54.707884383836507</v>
      </c>
      <c r="AT289" s="8">
        <v>30717578.859999999</v>
      </c>
      <c r="AU289" s="8">
        <v>26585.662899999999</v>
      </c>
      <c r="AV289" s="8">
        <v>962.37860000000001</v>
      </c>
      <c r="AW289" s="8"/>
      <c r="AX289" s="9">
        <v>432.81918327709519</v>
      </c>
      <c r="AY289" s="6">
        <f t="shared" si="97"/>
        <v>2.2419909591409101E-2</v>
      </c>
      <c r="AZ289" s="8">
        <v>421327584.4842</v>
      </c>
      <c r="BA289" s="10">
        <v>60480066</v>
      </c>
      <c r="BB289" s="11">
        <v>30717578.859999999</v>
      </c>
      <c r="BC289" s="10">
        <v>2971324</v>
      </c>
      <c r="BD289" s="10">
        <f>1000000000-999605317.7296+84096.643</f>
        <v>478778.91340004728</v>
      </c>
      <c r="BE289" s="12">
        <f t="shared" si="98"/>
        <v>484024667.74239993</v>
      </c>
      <c r="BF289" s="13">
        <v>238</v>
      </c>
      <c r="BG289" s="13">
        <f t="shared" si="99"/>
        <v>246.02466774239991</v>
      </c>
      <c r="BH289" s="14">
        <f>BE289*55.69</f>
        <v>26955333746.574249</v>
      </c>
    </row>
    <row r="290" spans="1:60" x14ac:dyDescent="0.25">
      <c r="A290" s="3">
        <v>45912</v>
      </c>
      <c r="B290" s="4">
        <v>11233080580</v>
      </c>
      <c r="C290" s="4"/>
      <c r="D290" s="4">
        <v>938167076</v>
      </c>
      <c r="E290" s="4"/>
      <c r="N290" s="4">
        <v>3681889.13</v>
      </c>
      <c r="O290" s="4"/>
      <c r="P290" s="4">
        <v>860531.41</v>
      </c>
      <c r="Q290" s="4"/>
      <c r="R290" s="14">
        <f t="shared" si="80"/>
        <v>4542420.54</v>
      </c>
      <c r="S290" s="6">
        <v>0.01</v>
      </c>
      <c r="T290" s="14">
        <f t="shared" si="81"/>
        <v>36818.891300000003</v>
      </c>
      <c r="U290" s="14">
        <f t="shared" si="82"/>
        <v>0</v>
      </c>
      <c r="V290" s="14">
        <f t="shared" si="83"/>
        <v>7180.6068000000005</v>
      </c>
      <c r="W290" s="14" t="str">
        <f t="shared" si="84"/>
        <v/>
      </c>
      <c r="X290" s="4">
        <v>142470.73000000001</v>
      </c>
      <c r="Y290" s="4"/>
      <c r="Z290" s="4"/>
      <c r="AA290" s="14">
        <f t="shared" si="85"/>
        <v>186470.22810000001</v>
      </c>
      <c r="AB290" s="4"/>
      <c r="AC290" s="4">
        <v>3681889.13</v>
      </c>
      <c r="AD290" s="14">
        <f t="shared" si="86"/>
        <v>0</v>
      </c>
      <c r="AE290" s="14">
        <f t="shared" si="87"/>
        <v>718060.68</v>
      </c>
      <c r="AF290" s="14" t="str">
        <f t="shared" si="88"/>
        <v/>
      </c>
      <c r="AG290" s="15">
        <f t="shared" si="89"/>
        <v>4399949.8099999996</v>
      </c>
      <c r="AH290" s="4">
        <v>3886527.3236699998</v>
      </c>
      <c r="AI290" s="17">
        <f t="shared" si="90"/>
        <v>513422.48632999975</v>
      </c>
      <c r="AJ290" s="7">
        <f t="shared" si="93"/>
        <v>3.2777198594617398</v>
      </c>
      <c r="AK290" s="7" t="str">
        <f t="shared" si="94"/>
        <v/>
      </c>
      <c r="AL290" s="7">
        <f t="shared" si="95"/>
        <v>9.172475052833768</v>
      </c>
      <c r="AM290" s="7" t="str">
        <f t="shared" si="96"/>
        <v/>
      </c>
      <c r="AN290" s="4">
        <v>27942.40777418232</v>
      </c>
      <c r="AO290" s="4">
        <v>40305.449999999997</v>
      </c>
      <c r="AP290" s="14">
        <f t="shared" si="91"/>
        <v>3954775.1814441825</v>
      </c>
      <c r="AQ290" s="14">
        <f t="shared" si="92"/>
        <v>3886527.3236699998</v>
      </c>
      <c r="AR290" s="8">
        <v>69085.899999999994</v>
      </c>
      <c r="AS290" s="20">
        <v>56.25644775084352</v>
      </c>
      <c r="AT290" s="8">
        <v>30786664.760000002</v>
      </c>
      <c r="AU290" s="8">
        <v>26596.985799999999</v>
      </c>
      <c r="AV290" s="8">
        <v>1764.2211</v>
      </c>
      <c r="AW290" s="8"/>
      <c r="AX290" s="9">
        <v>433.84445048182681</v>
      </c>
      <c r="AY290" s="6">
        <f t="shared" si="97"/>
        <v>2.2376452680720995E-2</v>
      </c>
      <c r="AZ290" s="8">
        <v>421300987.49830002</v>
      </c>
      <c r="BA290" s="10">
        <v>60480066</v>
      </c>
      <c r="BB290" s="11">
        <v>30786664.760000002</v>
      </c>
      <c r="BC290" s="10">
        <v>2971324</v>
      </c>
      <c r="BD290" s="10">
        <f>1000000000-999603553.5085+84585.4714</f>
        <v>481031.96290002001</v>
      </c>
      <c r="BE290" s="12">
        <f t="shared" si="98"/>
        <v>483979925.77879989</v>
      </c>
      <c r="BF290" s="13">
        <v>238</v>
      </c>
      <c r="BG290" s="13">
        <f t="shared" si="99"/>
        <v>245.9799257787999</v>
      </c>
      <c r="BH290" s="14">
        <f>BE290*56.93</f>
        <v>27552977174.587078</v>
      </c>
    </row>
    <row r="291" spans="1:60" x14ac:dyDescent="0.25">
      <c r="A291" s="3">
        <v>45913</v>
      </c>
      <c r="B291" s="4">
        <v>7135097960</v>
      </c>
      <c r="C291" s="4"/>
      <c r="D291" s="4">
        <v>1437490569</v>
      </c>
      <c r="E291" s="4"/>
      <c r="N291" s="4">
        <v>2403171.88</v>
      </c>
      <c r="O291" s="4"/>
      <c r="P291" s="4">
        <v>807622.95</v>
      </c>
      <c r="Q291" s="4"/>
      <c r="R291" s="14">
        <f t="shared" si="80"/>
        <v>3210794.83</v>
      </c>
      <c r="S291" s="6">
        <v>0.01</v>
      </c>
      <c r="T291" s="14">
        <f t="shared" si="81"/>
        <v>24031.718799999999</v>
      </c>
      <c r="U291" s="14">
        <f t="shared" si="82"/>
        <v>0</v>
      </c>
      <c r="V291" s="14">
        <f t="shared" si="83"/>
        <v>6763.5888999999988</v>
      </c>
      <c r="W291" s="14" t="str">
        <f t="shared" si="84"/>
        <v/>
      </c>
      <c r="X291" s="4">
        <v>131264.06</v>
      </c>
      <c r="Y291" s="4"/>
      <c r="Z291" s="4"/>
      <c r="AA291" s="14">
        <f t="shared" si="85"/>
        <v>162059.3677</v>
      </c>
      <c r="AB291" s="4">
        <v>316437.52750000003</v>
      </c>
      <c r="AC291" s="4">
        <v>2403171.88</v>
      </c>
      <c r="AD291" s="14">
        <f t="shared" si="86"/>
        <v>0</v>
      </c>
      <c r="AE291" s="14">
        <f t="shared" si="87"/>
        <v>676358.8899999999</v>
      </c>
      <c r="AF291" s="14" t="str">
        <f t="shared" si="88"/>
        <v/>
      </c>
      <c r="AG291" s="15">
        <f t="shared" si="89"/>
        <v>3079530.7699999996</v>
      </c>
      <c r="AH291" s="4">
        <v>2341465.7437</v>
      </c>
      <c r="AI291" s="17">
        <f t="shared" si="90"/>
        <v>738065.02629999956</v>
      </c>
      <c r="AJ291" s="7">
        <f t="shared" si="93"/>
        <v>3.368099349823082</v>
      </c>
      <c r="AK291" s="7" t="str">
        <f t="shared" si="94"/>
        <v/>
      </c>
      <c r="AL291" s="7">
        <f t="shared" si="95"/>
        <v>5.6182834685435763</v>
      </c>
      <c r="AM291" s="7" t="str">
        <f t="shared" si="96"/>
        <v/>
      </c>
      <c r="AN291" s="4">
        <v>27236.9357225555</v>
      </c>
      <c r="AO291" s="4">
        <v>35314.589999999997</v>
      </c>
      <c r="AP291" s="14">
        <f t="shared" si="91"/>
        <v>2404017.2694225553</v>
      </c>
      <c r="AQ291" s="14">
        <f t="shared" si="92"/>
        <v>2341465.7437</v>
      </c>
      <c r="AR291" s="8">
        <v>42254.53</v>
      </c>
      <c r="AS291" s="20">
        <v>55.413366181093487</v>
      </c>
      <c r="AT291" s="8">
        <v>30828919.289999999</v>
      </c>
      <c r="AU291" s="8">
        <v>26610.641199999998</v>
      </c>
      <c r="AV291" s="8">
        <v>1590.6385</v>
      </c>
      <c r="AW291" s="8"/>
      <c r="AX291" s="9">
        <v>433.62049140261001</v>
      </c>
      <c r="AY291" s="6">
        <f t="shared" si="97"/>
        <v>2.2399504245249641E-2</v>
      </c>
      <c r="AZ291" s="8">
        <v>421274376.85710001</v>
      </c>
      <c r="BA291" s="10">
        <v>60480066</v>
      </c>
      <c r="BB291" s="11">
        <v>30828919.289999999</v>
      </c>
      <c r="BC291" s="10">
        <v>2971324</v>
      </c>
      <c r="BD291" s="10">
        <f>1000000000-999601962.8699+85078.8494</f>
        <v>483115.97950001183</v>
      </c>
      <c r="BE291" s="12">
        <f t="shared" si="98"/>
        <v>483962197.87339997</v>
      </c>
      <c r="BF291" s="13">
        <v>238</v>
      </c>
      <c r="BG291" s="13">
        <f t="shared" si="99"/>
        <v>245.96219787339999</v>
      </c>
      <c r="BH291" s="14">
        <f>BE291*55.25</f>
        <v>26738911432.505348</v>
      </c>
    </row>
    <row r="292" spans="1:60" x14ac:dyDescent="0.25">
      <c r="A292" s="3">
        <v>45914</v>
      </c>
      <c r="B292" s="4">
        <v>7351240468</v>
      </c>
      <c r="C292" s="4"/>
      <c r="D292" s="4">
        <v>827742711</v>
      </c>
      <c r="E292" s="4"/>
      <c r="N292" s="4">
        <v>2430787.1800000002</v>
      </c>
      <c r="O292" s="4"/>
      <c r="P292" s="4">
        <v>1372655.07</v>
      </c>
      <c r="Q292" s="4"/>
      <c r="R292" s="14">
        <f t="shared" si="80"/>
        <v>3803442.25</v>
      </c>
      <c r="S292" s="6">
        <v>0.01</v>
      </c>
      <c r="T292" s="14">
        <f t="shared" si="81"/>
        <v>24307.871800000001</v>
      </c>
      <c r="U292" s="14">
        <f t="shared" si="82"/>
        <v>0</v>
      </c>
      <c r="V292" s="14">
        <f t="shared" si="83"/>
        <v>11736.324699999999</v>
      </c>
      <c r="W292" s="14" t="str">
        <f t="shared" si="84"/>
        <v/>
      </c>
      <c r="X292" s="4">
        <v>199022.6</v>
      </c>
      <c r="Y292" s="4"/>
      <c r="Z292" s="4"/>
      <c r="AA292" s="14">
        <f t="shared" si="85"/>
        <v>235066.7965</v>
      </c>
      <c r="AB292" s="4">
        <v>982990.26569999999</v>
      </c>
      <c r="AC292" s="4">
        <v>2430787.1800000002</v>
      </c>
      <c r="AD292" s="14">
        <f t="shared" si="86"/>
        <v>0</v>
      </c>
      <c r="AE292" s="14">
        <f t="shared" si="87"/>
        <v>1173632.47</v>
      </c>
      <c r="AF292" s="14" t="str">
        <f t="shared" si="88"/>
        <v/>
      </c>
      <c r="AG292" s="15">
        <f t="shared" si="89"/>
        <v>3604419.6500000004</v>
      </c>
      <c r="AH292" s="4">
        <v>2440513.6634499999</v>
      </c>
      <c r="AI292" s="17">
        <f t="shared" si="90"/>
        <v>1163905.9865500005</v>
      </c>
      <c r="AJ292" s="7">
        <f t="shared" si="93"/>
        <v>3.3066353775002102</v>
      </c>
      <c r="AK292" s="7" t="str">
        <f t="shared" si="94"/>
        <v/>
      </c>
      <c r="AL292" s="7">
        <f t="shared" si="95"/>
        <v>16.583112744559099</v>
      </c>
      <c r="AM292" s="7" t="str">
        <f t="shared" si="96"/>
        <v/>
      </c>
      <c r="AN292" s="4">
        <v>25193.24964935426</v>
      </c>
      <c r="AO292" s="4">
        <v>69584.460000000006</v>
      </c>
      <c r="AP292" s="14">
        <f t="shared" si="91"/>
        <v>2535291.3730993541</v>
      </c>
      <c r="AQ292" s="14">
        <f t="shared" si="92"/>
        <v>2440513.6634499999</v>
      </c>
      <c r="AR292" s="8">
        <v>44985.96</v>
      </c>
      <c r="AS292" s="20">
        <v>54.250563141255633</v>
      </c>
      <c r="AT292" s="8">
        <v>30873905.25</v>
      </c>
      <c r="AU292" s="8">
        <v>26575.8632</v>
      </c>
      <c r="AV292" s="8">
        <v>1322.6153999999999</v>
      </c>
      <c r="AW292" s="8"/>
      <c r="AX292" s="9">
        <v>433.98539050689789</v>
      </c>
      <c r="AY292" s="6">
        <f t="shared" si="97"/>
        <v>2.2351420762505653E-2</v>
      </c>
      <c r="AZ292" s="8">
        <v>421247800.99400002</v>
      </c>
      <c r="BA292" s="10">
        <v>60480066</v>
      </c>
      <c r="BB292" s="11">
        <v>30873905.25</v>
      </c>
      <c r="BC292" s="10">
        <v>2971324</v>
      </c>
      <c r="BD292" s="10">
        <f>1000000000-999600640.2546+85539.5134</f>
        <v>484899.25879995193</v>
      </c>
      <c r="BE292" s="12">
        <f t="shared" si="98"/>
        <v>483942004.49720007</v>
      </c>
      <c r="BF292" s="13">
        <v>238</v>
      </c>
      <c r="BG292" s="13">
        <f t="shared" si="99"/>
        <v>245.94200449720006</v>
      </c>
      <c r="BH292" s="14">
        <f>BE292*54.8</f>
        <v>26520021846.446564</v>
      </c>
    </row>
    <row r="293" spans="1:60" x14ac:dyDescent="0.25">
      <c r="A293" s="3">
        <v>45915</v>
      </c>
      <c r="B293" s="4">
        <v>10569922364</v>
      </c>
      <c r="C293" s="4"/>
      <c r="D293" s="4">
        <v>683449994</v>
      </c>
      <c r="E293" s="4"/>
      <c r="N293" s="4">
        <v>3373141.88</v>
      </c>
      <c r="O293" s="4"/>
      <c r="P293" s="4">
        <v>512282.46</v>
      </c>
      <c r="Q293" s="4"/>
      <c r="R293" s="14">
        <f t="shared" si="80"/>
        <v>3885424.34</v>
      </c>
      <c r="S293" s="6">
        <v>0.01</v>
      </c>
      <c r="T293" s="14">
        <f t="shared" si="81"/>
        <v>33731.418799999999</v>
      </c>
      <c r="U293" s="14">
        <f t="shared" si="82"/>
        <v>0</v>
      </c>
      <c r="V293" s="14">
        <f t="shared" si="83"/>
        <v>4570.1311999999998</v>
      </c>
      <c r="W293" s="14" t="str">
        <f t="shared" si="84"/>
        <v/>
      </c>
      <c r="X293" s="4">
        <v>55269.34</v>
      </c>
      <c r="Y293" s="4"/>
      <c r="Z293" s="4"/>
      <c r="AA293" s="14">
        <f t="shared" si="85"/>
        <v>93570.89</v>
      </c>
      <c r="AB293" s="4">
        <v>479501.10239999997</v>
      </c>
      <c r="AC293" s="4">
        <v>3373141.88</v>
      </c>
      <c r="AD293" s="14">
        <f t="shared" si="86"/>
        <v>0</v>
      </c>
      <c r="AE293" s="14">
        <f t="shared" si="87"/>
        <v>457013.12</v>
      </c>
      <c r="AF293" s="14" t="str">
        <f t="shared" si="88"/>
        <v/>
      </c>
      <c r="AG293" s="15">
        <f t="shared" si="89"/>
        <v>3830155</v>
      </c>
      <c r="AH293" s="4">
        <v>3082934.9049300002</v>
      </c>
      <c r="AI293" s="17">
        <f t="shared" si="90"/>
        <v>747220.09506999981</v>
      </c>
      <c r="AJ293" s="7">
        <f t="shared" si="93"/>
        <v>3.1912645749306088</v>
      </c>
      <c r="AK293" s="7" t="str">
        <f t="shared" si="94"/>
        <v/>
      </c>
      <c r="AL293" s="7">
        <f t="shared" si="95"/>
        <v>7.4955368278194765</v>
      </c>
      <c r="AM293" s="7" t="str">
        <f t="shared" si="96"/>
        <v/>
      </c>
      <c r="AN293" s="4">
        <v>39378.169826714919</v>
      </c>
      <c r="AO293" s="4">
        <v>137098.79</v>
      </c>
      <c r="AP293" s="14">
        <f t="shared" si="91"/>
        <v>3259411.864756715</v>
      </c>
      <c r="AQ293" s="14">
        <f t="shared" si="92"/>
        <v>3082934.9049300002</v>
      </c>
      <c r="AR293" s="8">
        <v>57922.8</v>
      </c>
      <c r="AS293" s="20">
        <v>53.224894254594048</v>
      </c>
      <c r="AT293" s="8">
        <v>30933107.91</v>
      </c>
      <c r="AU293" s="8">
        <v>26579.824100000002</v>
      </c>
      <c r="AV293" s="8">
        <v>2114.4974999999999</v>
      </c>
      <c r="AW293" s="8"/>
      <c r="AX293" s="9">
        <v>431.98106408234321</v>
      </c>
      <c r="AY293" s="6">
        <f t="shared" si="97"/>
        <v>2.2458474695202606E-2</v>
      </c>
      <c r="AZ293" s="8">
        <v>421221221.1699</v>
      </c>
      <c r="BA293" s="10">
        <v>60480066</v>
      </c>
      <c r="BB293" s="11">
        <v>30933107.91</v>
      </c>
      <c r="BC293" s="10">
        <v>2971324</v>
      </c>
      <c r="BD293" s="10">
        <f>1000000000-999598525.757+86269.8342</f>
        <v>487744.0772000305</v>
      </c>
      <c r="BE293" s="12">
        <f t="shared" si="98"/>
        <v>483906536.84289998</v>
      </c>
      <c r="BF293" s="13">
        <v>238</v>
      </c>
      <c r="BG293" s="13">
        <f t="shared" si="99"/>
        <v>245.90653684289998</v>
      </c>
      <c r="BH293" s="14">
        <f>BE293*53.92</f>
        <v>26092240466.569168</v>
      </c>
    </row>
    <row r="294" spans="1:60" x14ac:dyDescent="0.25">
      <c r="A294" s="3">
        <v>45916</v>
      </c>
      <c r="B294" s="4">
        <v>8683442696</v>
      </c>
      <c r="C294" s="4"/>
      <c r="D294" s="4">
        <v>969217221</v>
      </c>
      <c r="E294" s="4"/>
      <c r="N294" s="4">
        <v>2673593.08</v>
      </c>
      <c r="O294" s="4"/>
      <c r="P294" s="4">
        <v>487564.45</v>
      </c>
      <c r="Q294" s="4"/>
      <c r="R294" s="14">
        <f t="shared" si="80"/>
        <v>3161157.5300000003</v>
      </c>
      <c r="S294" s="6">
        <v>0.01</v>
      </c>
      <c r="T294" s="14">
        <f t="shared" si="81"/>
        <v>26735.930800000002</v>
      </c>
      <c r="U294" s="14">
        <f t="shared" si="82"/>
        <v>0</v>
      </c>
      <c r="V294" s="14">
        <f t="shared" si="83"/>
        <v>4415.5308000000005</v>
      </c>
      <c r="W294" s="14" t="str">
        <f t="shared" si="84"/>
        <v/>
      </c>
      <c r="X294" s="4">
        <v>46011.37</v>
      </c>
      <c r="Y294" s="4"/>
      <c r="Z294" s="4"/>
      <c r="AA294" s="14">
        <f t="shared" si="85"/>
        <v>77162.831600000005</v>
      </c>
      <c r="AB294" s="4">
        <v>414473.56310000009</v>
      </c>
      <c r="AC294" s="4">
        <v>2673593.08</v>
      </c>
      <c r="AD294" s="14">
        <f t="shared" si="86"/>
        <v>0</v>
      </c>
      <c r="AE294" s="14">
        <f t="shared" si="87"/>
        <v>441553.08</v>
      </c>
      <c r="AF294" s="14" t="str">
        <f t="shared" si="88"/>
        <v/>
      </c>
      <c r="AG294" s="15">
        <f t="shared" si="89"/>
        <v>3115146.16</v>
      </c>
      <c r="AH294" s="4">
        <v>2594690.2734599998</v>
      </c>
      <c r="AI294" s="17">
        <f t="shared" si="90"/>
        <v>520455.88654000033</v>
      </c>
      <c r="AJ294" s="7">
        <f t="shared" si="93"/>
        <v>3.078955172044358</v>
      </c>
      <c r="AK294" s="7" t="str">
        <f t="shared" si="94"/>
        <v/>
      </c>
      <c r="AL294" s="7">
        <f t="shared" si="95"/>
        <v>5.0304971830458225</v>
      </c>
      <c r="AM294" s="7" t="str">
        <f t="shared" si="96"/>
        <v/>
      </c>
      <c r="AN294" s="4">
        <v>40156.337608064729</v>
      </c>
      <c r="AO294" s="4">
        <v>0</v>
      </c>
      <c r="AP294" s="14">
        <f t="shared" si="91"/>
        <v>2634846.6110680643</v>
      </c>
      <c r="AQ294" s="14">
        <f t="shared" si="92"/>
        <v>2594690.2734599998</v>
      </c>
      <c r="AR294" s="8">
        <v>48484.79</v>
      </c>
      <c r="AS294" s="20">
        <v>53.515551443246423</v>
      </c>
      <c r="AT294" s="8">
        <v>30980292.850000001</v>
      </c>
      <c r="AU294" s="8">
        <v>26544.4866</v>
      </c>
      <c r="AV294" s="8">
        <v>3313.2701000000002</v>
      </c>
      <c r="AW294" s="8"/>
      <c r="AX294" s="9">
        <v>431.38014927909791</v>
      </c>
      <c r="AY294" s="6">
        <f t="shared" si="97"/>
        <v>2.2459859650916618E-2</v>
      </c>
      <c r="AZ294" s="8">
        <v>421194676.68330002</v>
      </c>
      <c r="BA294" s="10">
        <v>60480066</v>
      </c>
      <c r="BB294" s="11">
        <v>30980292.850000001</v>
      </c>
      <c r="BC294" s="10">
        <v>2971324</v>
      </c>
      <c r="BD294" s="10">
        <f>1000000000-999595212.487+87017.4853</f>
        <v>491804.99830001144</v>
      </c>
      <c r="BE294" s="12">
        <f t="shared" si="98"/>
        <v>483881835.46839994</v>
      </c>
      <c r="BF294" s="13">
        <v>238</v>
      </c>
      <c r="BG294" s="13">
        <f t="shared" si="99"/>
        <v>245.88183546839997</v>
      </c>
      <c r="BH294" s="14">
        <f>BE294*53.85</f>
        <v>26057036839.973339</v>
      </c>
    </row>
    <row r="295" spans="1:60" x14ac:dyDescent="0.25">
      <c r="A295" s="3">
        <v>45917</v>
      </c>
      <c r="B295" s="4">
        <v>12223979385</v>
      </c>
      <c r="C295" s="4"/>
      <c r="D295" s="4">
        <v>850496679</v>
      </c>
      <c r="E295" s="4"/>
      <c r="N295" s="4">
        <v>3803345.15</v>
      </c>
      <c r="O295" s="4"/>
      <c r="P295" s="4">
        <v>689204.05</v>
      </c>
      <c r="Q295" s="4"/>
      <c r="R295" s="14">
        <f t="shared" si="80"/>
        <v>4492549.2</v>
      </c>
      <c r="S295" s="6">
        <v>0.01</v>
      </c>
      <c r="T295" s="14">
        <f t="shared" si="81"/>
        <v>38033.451500000003</v>
      </c>
      <c r="U295" s="14">
        <f t="shared" si="82"/>
        <v>0</v>
      </c>
      <c r="V295" s="14">
        <f t="shared" si="83"/>
        <v>6269.1679000000004</v>
      </c>
      <c r="W295" s="14" t="str">
        <f t="shared" si="84"/>
        <v/>
      </c>
      <c r="X295" s="4">
        <v>62287.26</v>
      </c>
      <c r="Y295" s="4"/>
      <c r="Z295" s="4"/>
      <c r="AA295" s="14">
        <f t="shared" si="85"/>
        <v>106589.87940000001</v>
      </c>
      <c r="AB295" s="4">
        <v>620611.98</v>
      </c>
      <c r="AC295" s="4">
        <v>3803345.15</v>
      </c>
      <c r="AD295" s="14">
        <f t="shared" si="86"/>
        <v>0</v>
      </c>
      <c r="AE295" s="14">
        <f t="shared" si="87"/>
        <v>626916.79</v>
      </c>
      <c r="AF295" s="14" t="str">
        <f t="shared" si="88"/>
        <v/>
      </c>
      <c r="AG295" s="15">
        <f t="shared" si="89"/>
        <v>4430261.9399999995</v>
      </c>
      <c r="AH295" s="4">
        <v>3503801.8895899998</v>
      </c>
      <c r="AI295" s="17">
        <f t="shared" si="90"/>
        <v>926460.05040999968</v>
      </c>
      <c r="AJ295" s="7">
        <f t="shared" si="93"/>
        <v>3.1113805334677433</v>
      </c>
      <c r="AK295" s="7" t="str">
        <f t="shared" si="94"/>
        <v/>
      </c>
      <c r="AL295" s="7">
        <f t="shared" si="95"/>
        <v>8.1035478093853914</v>
      </c>
      <c r="AM295" s="7" t="str">
        <f t="shared" si="96"/>
        <v/>
      </c>
      <c r="AN295" s="4">
        <v>37998.550170010931</v>
      </c>
      <c r="AO295" s="4">
        <v>40771.54</v>
      </c>
      <c r="AP295" s="14">
        <f t="shared" si="91"/>
        <v>3582571.9797600107</v>
      </c>
      <c r="AQ295" s="14">
        <f t="shared" si="92"/>
        <v>3503801.8895899998</v>
      </c>
      <c r="AR295" s="8">
        <v>63294.81</v>
      </c>
      <c r="AS295" s="20">
        <v>55.356859268398154</v>
      </c>
      <c r="AT295" s="8">
        <v>31042329.239999998</v>
      </c>
      <c r="AU295" s="8">
        <v>26519.903200000001</v>
      </c>
      <c r="AV295" s="8">
        <v>697.10509999999999</v>
      </c>
      <c r="AW295" s="8"/>
      <c r="AX295" s="9">
        <v>430.52033009387202</v>
      </c>
      <c r="AY295" s="6">
        <f t="shared" si="97"/>
        <v>2.2483873562694226E-2</v>
      </c>
      <c r="AZ295" s="8">
        <v>421168156.78009999</v>
      </c>
      <c r="BA295" s="10">
        <v>60480066</v>
      </c>
      <c r="BB295" s="11">
        <v>31042329.239999998</v>
      </c>
      <c r="BC295" s="10">
        <v>2971324</v>
      </c>
      <c r="BD295" s="10">
        <f>1000000000-999594515.3819+87717.5194</f>
        <v>493202.1375000471</v>
      </c>
      <c r="BE295" s="12">
        <f t="shared" si="98"/>
        <v>483844921.84239995</v>
      </c>
      <c r="BF295" s="13">
        <v>238</v>
      </c>
      <c r="BG295" s="13">
        <f t="shared" si="99"/>
        <v>245.84492184239997</v>
      </c>
      <c r="BH295" s="14">
        <f>BE295*54.08</f>
        <v>26166333373.236988</v>
      </c>
    </row>
    <row r="296" spans="1:60" x14ac:dyDescent="0.25">
      <c r="A296" s="3">
        <v>45918</v>
      </c>
      <c r="B296" s="4">
        <v>9613850552</v>
      </c>
      <c r="C296" s="4"/>
      <c r="D296" s="4">
        <v>595975324</v>
      </c>
      <c r="E296" s="4"/>
      <c r="N296" s="4">
        <v>3119353.77</v>
      </c>
      <c r="O296" s="4"/>
      <c r="P296" s="4">
        <v>562143.4</v>
      </c>
      <c r="Q296" s="4"/>
      <c r="R296" s="14">
        <f t="shared" si="80"/>
        <v>3681497.17</v>
      </c>
      <c r="S296" s="6">
        <v>0.01</v>
      </c>
      <c r="T296" s="14">
        <f t="shared" si="81"/>
        <v>31193.537700000001</v>
      </c>
      <c r="U296" s="14">
        <f t="shared" si="82"/>
        <v>0</v>
      </c>
      <c r="V296" s="14">
        <f t="shared" si="83"/>
        <v>5181.513100000001</v>
      </c>
      <c r="W296" s="14" t="str">
        <f t="shared" si="84"/>
        <v/>
      </c>
      <c r="X296" s="4">
        <v>43992.09</v>
      </c>
      <c r="Y296" s="4"/>
      <c r="Z296" s="4"/>
      <c r="AA296" s="14">
        <f t="shared" si="85"/>
        <v>80367.140799999994</v>
      </c>
      <c r="AB296" s="4">
        <v>517879.41149999999</v>
      </c>
      <c r="AC296" s="4">
        <v>3119353.77</v>
      </c>
      <c r="AD296" s="14">
        <f t="shared" si="86"/>
        <v>0</v>
      </c>
      <c r="AE296" s="14">
        <f t="shared" si="87"/>
        <v>518151.31000000006</v>
      </c>
      <c r="AF296" s="14" t="str">
        <f t="shared" si="88"/>
        <v/>
      </c>
      <c r="AG296" s="15">
        <f t="shared" si="89"/>
        <v>3637505.08</v>
      </c>
      <c r="AH296" s="4">
        <v>2978630.8012700002</v>
      </c>
      <c r="AI296" s="17">
        <f t="shared" si="90"/>
        <v>658874.2787299999</v>
      </c>
      <c r="AJ296" s="7">
        <f t="shared" si="93"/>
        <v>3.2446455799659488</v>
      </c>
      <c r="AK296" s="7" t="str">
        <f t="shared" si="94"/>
        <v/>
      </c>
      <c r="AL296" s="7">
        <f t="shared" si="95"/>
        <v>9.4323267652605018</v>
      </c>
      <c r="AM296" s="7" t="str">
        <f t="shared" si="96"/>
        <v/>
      </c>
      <c r="AN296" s="4">
        <v>40751.902593622828</v>
      </c>
      <c r="AO296" s="4">
        <v>40404.160000000003</v>
      </c>
      <c r="AP296" s="14">
        <f t="shared" si="91"/>
        <v>3059786.8638636232</v>
      </c>
      <c r="AQ296" s="14">
        <f t="shared" si="92"/>
        <v>2978630.8012700002</v>
      </c>
      <c r="AR296" s="8">
        <v>51082.94</v>
      </c>
      <c r="AS296" s="20">
        <v>58.309697939664403</v>
      </c>
      <c r="AT296" s="8">
        <v>31094690.59</v>
      </c>
      <c r="AU296" s="8">
        <v>26535.393899999999</v>
      </c>
      <c r="AV296" s="8">
        <v>1522.8477</v>
      </c>
      <c r="AW296" s="8"/>
      <c r="AX296" s="9">
        <v>430.96277538651259</v>
      </c>
      <c r="AY296" s="6">
        <f t="shared" si="97"/>
        <v>2.2473910339039258E-2</v>
      </c>
      <c r="AZ296" s="8">
        <v>421141621.38620001</v>
      </c>
      <c r="BA296" s="10">
        <v>60480066</v>
      </c>
      <c r="BB296" s="11">
        <v>31094690.59</v>
      </c>
      <c r="BC296" s="10">
        <v>2971324</v>
      </c>
      <c r="BD296" s="10">
        <f>1000000000-999592992.5341+88417.5675</f>
        <v>495425.03339994431</v>
      </c>
      <c r="BE296" s="12">
        <f t="shared" si="98"/>
        <v>483816872.99040014</v>
      </c>
      <c r="BF296" s="13">
        <v>238</v>
      </c>
      <c r="BG296" s="13">
        <f t="shared" si="99"/>
        <v>245.81687299040016</v>
      </c>
      <c r="BH296" s="14">
        <f>BE296*57.9</f>
        <v>28012996946.144169</v>
      </c>
    </row>
    <row r="297" spans="1:60" x14ac:dyDescent="0.25">
      <c r="A297" s="3">
        <v>45919</v>
      </c>
      <c r="B297" s="4">
        <v>9088388320</v>
      </c>
      <c r="C297" s="4"/>
      <c r="D297" s="4">
        <v>462163180</v>
      </c>
      <c r="E297" s="4"/>
      <c r="N297" s="4">
        <v>2867690.63</v>
      </c>
      <c r="O297" s="4"/>
      <c r="P297" s="4">
        <v>366155.12</v>
      </c>
      <c r="Q297" s="4"/>
      <c r="R297" s="14">
        <f t="shared" si="80"/>
        <v>3233845.75</v>
      </c>
      <c r="S297" s="6">
        <v>0.01</v>
      </c>
      <c r="T297" s="14">
        <f t="shared" si="81"/>
        <v>28676.906299999999</v>
      </c>
      <c r="U297" s="14">
        <f t="shared" si="82"/>
        <v>0</v>
      </c>
      <c r="V297" s="14">
        <f t="shared" si="83"/>
        <v>3276.2044000000001</v>
      </c>
      <c r="W297" s="14" t="str">
        <f t="shared" si="84"/>
        <v/>
      </c>
      <c r="X297" s="4">
        <v>38534.68</v>
      </c>
      <c r="Y297" s="4"/>
      <c r="Z297" s="4"/>
      <c r="AA297" s="14">
        <f t="shared" si="85"/>
        <v>70487.790699999998</v>
      </c>
      <c r="AB297" s="4">
        <v>342236.25190000009</v>
      </c>
      <c r="AC297" s="4">
        <v>2867690.63</v>
      </c>
      <c r="AD297" s="14">
        <f t="shared" si="86"/>
        <v>0</v>
      </c>
      <c r="AE297" s="14">
        <f t="shared" si="87"/>
        <v>327620.44</v>
      </c>
      <c r="AF297" s="14" t="str">
        <f t="shared" si="88"/>
        <v/>
      </c>
      <c r="AG297" s="15">
        <f t="shared" si="89"/>
        <v>3195311.07</v>
      </c>
      <c r="AH297" s="4">
        <v>2702384.6483300002</v>
      </c>
      <c r="AI297" s="17">
        <f t="shared" si="90"/>
        <v>492926.4216699996</v>
      </c>
      <c r="AJ297" s="7">
        <f t="shared" si="93"/>
        <v>3.1553346193288534</v>
      </c>
      <c r="AK297" s="7" t="str">
        <f t="shared" si="94"/>
        <v/>
      </c>
      <c r="AL297" s="7">
        <f t="shared" si="95"/>
        <v>7.9226371949405401</v>
      </c>
      <c r="AM297" s="7" t="str">
        <f t="shared" si="96"/>
        <v/>
      </c>
      <c r="AN297" s="4">
        <v>38873.93532871858</v>
      </c>
      <c r="AO297" s="4">
        <v>61922.8</v>
      </c>
      <c r="AP297" s="14">
        <f t="shared" si="91"/>
        <v>2803181.3836587188</v>
      </c>
      <c r="AQ297" s="14">
        <f t="shared" si="92"/>
        <v>2702384.6483300002</v>
      </c>
      <c r="AR297" s="8">
        <v>47875.75</v>
      </c>
      <c r="AS297" s="20">
        <v>56.445792459230397</v>
      </c>
      <c r="AT297" s="8">
        <v>31142566.34</v>
      </c>
      <c r="AU297" s="8">
        <v>26519.148300000001</v>
      </c>
      <c r="AV297" s="8">
        <v>1422.2344000000001</v>
      </c>
      <c r="AW297" s="8"/>
      <c r="AX297" s="9">
        <v>430.77652090568279</v>
      </c>
      <c r="AY297" s="6">
        <f t="shared" si="97"/>
        <v>2.2469862352640372E-2</v>
      </c>
      <c r="AZ297" s="8">
        <v>421115102.23799998</v>
      </c>
      <c r="BA297" s="10">
        <v>60480066</v>
      </c>
      <c r="BB297" s="11">
        <v>31142566.34</v>
      </c>
      <c r="BC297" s="10">
        <v>2971324</v>
      </c>
      <c r="BD297" s="10">
        <f>1000000000-999591570.2998+89079.7249</f>
        <v>497509.42509996169</v>
      </c>
      <c r="BE297" s="12">
        <f t="shared" si="98"/>
        <v>483793431.99690014</v>
      </c>
      <c r="BF297" s="13">
        <v>238</v>
      </c>
      <c r="BG297" s="13">
        <f t="shared" si="99"/>
        <v>245.79343199690015</v>
      </c>
      <c r="BH297" s="14">
        <f>BE297*58.79</f>
        <v>28442215867.097759</v>
      </c>
    </row>
    <row r="298" spans="1:60" x14ac:dyDescent="0.25">
      <c r="A298" s="3">
        <v>45920</v>
      </c>
      <c r="B298" s="4">
        <v>4219380098</v>
      </c>
      <c r="C298" s="4"/>
      <c r="D298" s="4">
        <v>486691901</v>
      </c>
      <c r="E298" s="4"/>
      <c r="N298" s="4">
        <v>1527138.58</v>
      </c>
      <c r="O298" s="4"/>
      <c r="P298" s="4">
        <v>318367.3</v>
      </c>
      <c r="Q298" s="4"/>
      <c r="R298" s="14">
        <f t="shared" si="80"/>
        <v>1845505.8800000001</v>
      </c>
      <c r="S298" s="6">
        <v>0.01</v>
      </c>
      <c r="T298" s="14">
        <f t="shared" si="81"/>
        <v>15271.385800000002</v>
      </c>
      <c r="U298" s="14">
        <f t="shared" si="82"/>
        <v>0</v>
      </c>
      <c r="V298" s="14">
        <f t="shared" si="83"/>
        <v>2833.386</v>
      </c>
      <c r="W298" s="14" t="str">
        <f t="shared" si="84"/>
        <v/>
      </c>
      <c r="X298" s="4">
        <v>35028.699999999997</v>
      </c>
      <c r="Y298" s="4"/>
      <c r="Z298" s="4"/>
      <c r="AA298" s="14">
        <f t="shared" si="85"/>
        <v>53133.471799999999</v>
      </c>
      <c r="AB298" s="4">
        <v>287022.23499999993</v>
      </c>
      <c r="AC298" s="4">
        <v>1527138.58</v>
      </c>
      <c r="AD298" s="14">
        <f t="shared" si="86"/>
        <v>0</v>
      </c>
      <c r="AE298" s="14">
        <f t="shared" si="87"/>
        <v>283338.59999999998</v>
      </c>
      <c r="AF298" s="14" t="str">
        <f t="shared" si="88"/>
        <v/>
      </c>
      <c r="AG298" s="15">
        <f t="shared" si="89"/>
        <v>1810477.1800000002</v>
      </c>
      <c r="AH298" s="4">
        <v>1449428.03146</v>
      </c>
      <c r="AI298" s="17">
        <f t="shared" si="90"/>
        <v>361049.1485400002</v>
      </c>
      <c r="AJ298" s="7">
        <f t="shared" si="93"/>
        <v>3.6193434687808019</v>
      </c>
      <c r="AK298" s="7" t="str">
        <f t="shared" si="94"/>
        <v/>
      </c>
      <c r="AL298" s="7">
        <f t="shared" si="95"/>
        <v>6.5414546522318231</v>
      </c>
      <c r="AM298" s="7" t="str">
        <f t="shared" si="96"/>
        <v/>
      </c>
      <c r="AN298" s="4">
        <v>20787.054712638419</v>
      </c>
      <c r="AO298" s="4">
        <v>0</v>
      </c>
      <c r="AP298" s="14">
        <f t="shared" si="91"/>
        <v>1470215.0861726385</v>
      </c>
      <c r="AQ298" s="14">
        <f t="shared" si="92"/>
        <v>1449428.03146</v>
      </c>
      <c r="AR298" s="8">
        <v>26174.58</v>
      </c>
      <c r="AS298" s="20">
        <v>55.375407416661503</v>
      </c>
      <c r="AT298" s="8">
        <v>31168740.920000002</v>
      </c>
      <c r="AU298" s="8">
        <v>26520.645</v>
      </c>
      <c r="AV298" s="8">
        <v>1487.1558</v>
      </c>
      <c r="AW298" s="8"/>
      <c r="AX298" s="9">
        <v>430.78861720314183</v>
      </c>
      <c r="AY298" s="6">
        <f t="shared" si="97"/>
        <v>2.2470499540695393E-2</v>
      </c>
      <c r="AZ298" s="8">
        <v>421088581.59289998</v>
      </c>
      <c r="BA298" s="10">
        <v>60480066</v>
      </c>
      <c r="BB298" s="11">
        <v>31168740.920000002</v>
      </c>
      <c r="BC298" s="10">
        <v>2971324</v>
      </c>
      <c r="BD298" s="10">
        <f>1000000000-999590083.144+89450.611</f>
        <v>499367.46699994663</v>
      </c>
      <c r="BE298" s="12">
        <f t="shared" si="98"/>
        <v>483791920.0201</v>
      </c>
      <c r="BF298" s="13">
        <v>238</v>
      </c>
      <c r="BG298" s="13">
        <f t="shared" si="99"/>
        <v>245.79192002010001</v>
      </c>
      <c r="BH298" s="14">
        <f>BE298*56.09</f>
        <v>27135888793.92741</v>
      </c>
    </row>
    <row r="299" spans="1:60" x14ac:dyDescent="0.25">
      <c r="A299" s="3">
        <v>45921</v>
      </c>
      <c r="B299" s="4">
        <v>5311897299</v>
      </c>
      <c r="C299" s="4"/>
      <c r="D299" s="4">
        <v>800897189</v>
      </c>
      <c r="E299" s="4"/>
      <c r="N299" s="4">
        <v>1846069.39</v>
      </c>
      <c r="O299" s="4"/>
      <c r="P299" s="4">
        <v>258297.99</v>
      </c>
      <c r="Q299" s="4"/>
      <c r="R299" s="14">
        <f t="shared" si="80"/>
        <v>2104367.38</v>
      </c>
      <c r="S299" s="6">
        <v>0.01</v>
      </c>
      <c r="T299" s="14">
        <f t="shared" si="81"/>
        <v>18460.693899999998</v>
      </c>
      <c r="U299" s="14">
        <f t="shared" si="82"/>
        <v>0</v>
      </c>
      <c r="V299" s="14">
        <f t="shared" si="83"/>
        <v>2327.2276999999999</v>
      </c>
      <c r="W299" s="14" t="str">
        <f t="shared" si="84"/>
        <v/>
      </c>
      <c r="X299" s="4">
        <v>25575.22</v>
      </c>
      <c r="Y299" s="4"/>
      <c r="Z299" s="4"/>
      <c r="AA299" s="14">
        <f t="shared" si="85"/>
        <v>46363.141600000003</v>
      </c>
      <c r="AB299" s="4">
        <v>219475.68550000011</v>
      </c>
      <c r="AC299" s="4">
        <v>1846069.39</v>
      </c>
      <c r="AD299" s="14">
        <f t="shared" si="86"/>
        <v>0</v>
      </c>
      <c r="AE299" s="14">
        <f t="shared" si="87"/>
        <v>232722.77</v>
      </c>
      <c r="AF299" s="14" t="str">
        <f t="shared" si="88"/>
        <v/>
      </c>
      <c r="AG299" s="15">
        <f t="shared" si="89"/>
        <v>2078792.16</v>
      </c>
      <c r="AH299" s="4">
        <v>1731316.0049300001</v>
      </c>
      <c r="AI299" s="17">
        <f t="shared" si="90"/>
        <v>347476.15506999986</v>
      </c>
      <c r="AJ299" s="7">
        <f t="shared" si="93"/>
        <v>3.4753484227707765</v>
      </c>
      <c r="AK299" s="7" t="str">
        <f t="shared" si="94"/>
        <v/>
      </c>
      <c r="AL299" s="7">
        <f t="shared" si="95"/>
        <v>3.2251079607672342</v>
      </c>
      <c r="AM299" s="7" t="str">
        <f t="shared" si="96"/>
        <v/>
      </c>
      <c r="AN299" s="4">
        <v>24836.733025027901</v>
      </c>
      <c r="AO299" s="4">
        <v>53397.8</v>
      </c>
      <c r="AP299" s="14">
        <f t="shared" si="91"/>
        <v>1809550.537955028</v>
      </c>
      <c r="AQ299" s="14">
        <f t="shared" si="92"/>
        <v>1731316.0049300001</v>
      </c>
      <c r="AR299" s="8">
        <v>32969.480000000003</v>
      </c>
      <c r="AS299" s="20">
        <v>52.512687641115363</v>
      </c>
      <c r="AT299" s="8">
        <v>31202104.649999999</v>
      </c>
      <c r="AU299" s="8">
        <v>26520.614399999999</v>
      </c>
      <c r="AV299" s="8">
        <v>379.32409999999999</v>
      </c>
      <c r="AW299" s="8"/>
      <c r="AX299" s="9">
        <v>430.85756551463191</v>
      </c>
      <c r="AY299" s="6">
        <f t="shared" si="97"/>
        <v>2.2466877759098478E-2</v>
      </c>
      <c r="AZ299" s="8">
        <v>421062060.97860003</v>
      </c>
      <c r="BA299" s="10">
        <v>60480066</v>
      </c>
      <c r="BB299" s="11">
        <v>31202104.649999999</v>
      </c>
      <c r="BC299" s="10">
        <v>2971324</v>
      </c>
      <c r="BD299" s="10">
        <f>1000000000-999589703.8199+89908.7772</f>
        <v>500204.95729996415</v>
      </c>
      <c r="BE299" s="12">
        <f t="shared" si="98"/>
        <v>483784239.41410005</v>
      </c>
      <c r="BF299" s="13">
        <v>238</v>
      </c>
      <c r="BG299" s="13">
        <f t="shared" si="99"/>
        <v>245.78423941410006</v>
      </c>
      <c r="BH299" s="14">
        <f>BE299*54.19</f>
        <v>26216267933.850082</v>
      </c>
    </row>
    <row r="300" spans="1:60" x14ac:dyDescent="0.25">
      <c r="A300" s="3">
        <v>45922</v>
      </c>
      <c r="B300" s="4">
        <v>16410899804</v>
      </c>
      <c r="C300" s="4"/>
      <c r="D300" s="4">
        <v>525141560</v>
      </c>
      <c r="E300" s="4"/>
      <c r="N300" s="4">
        <v>5027749.43</v>
      </c>
      <c r="O300" s="4"/>
      <c r="P300" s="4">
        <v>347578.12</v>
      </c>
      <c r="Q300" s="4"/>
      <c r="R300" s="14">
        <f t="shared" si="80"/>
        <v>5375327.5499999998</v>
      </c>
      <c r="S300" s="6">
        <v>0.01</v>
      </c>
      <c r="T300" s="14">
        <f t="shared" si="81"/>
        <v>50277.494299999998</v>
      </c>
      <c r="U300" s="14">
        <f t="shared" si="82"/>
        <v>0</v>
      </c>
      <c r="V300" s="14">
        <f t="shared" si="83"/>
        <v>3000.5065999999997</v>
      </c>
      <c r="W300" s="14" t="str">
        <f t="shared" si="84"/>
        <v/>
      </c>
      <c r="X300" s="4">
        <v>47527.46</v>
      </c>
      <c r="Y300" s="4"/>
      <c r="Z300" s="4"/>
      <c r="AA300" s="14">
        <f t="shared" si="85"/>
        <v>100805.46090000001</v>
      </c>
      <c r="AB300" s="4">
        <v>236648.34539999999</v>
      </c>
      <c r="AC300" s="4">
        <v>5027749.43</v>
      </c>
      <c r="AD300" s="14">
        <f t="shared" si="86"/>
        <v>0</v>
      </c>
      <c r="AE300" s="14">
        <f t="shared" si="87"/>
        <v>300050.65999999997</v>
      </c>
      <c r="AF300" s="14" t="str">
        <f t="shared" si="88"/>
        <v/>
      </c>
      <c r="AG300" s="15">
        <f t="shared" si="89"/>
        <v>5327800.09</v>
      </c>
      <c r="AH300" s="4">
        <v>4825143.1140900003</v>
      </c>
      <c r="AI300" s="17">
        <f t="shared" si="90"/>
        <v>502656.97590999957</v>
      </c>
      <c r="AJ300" s="7">
        <f t="shared" si="93"/>
        <v>3.0636646923982398</v>
      </c>
      <c r="AK300" s="7" t="str">
        <f t="shared" si="94"/>
        <v/>
      </c>
      <c r="AL300" s="7">
        <f t="shared" si="95"/>
        <v>6.6187509516481615</v>
      </c>
      <c r="AM300" s="7" t="str">
        <f t="shared" si="96"/>
        <v/>
      </c>
      <c r="AN300" s="4">
        <v>83905.026734872095</v>
      </c>
      <c r="AO300" s="4">
        <v>31837.61</v>
      </c>
      <c r="AP300" s="14">
        <f t="shared" si="91"/>
        <v>4940885.7508248724</v>
      </c>
      <c r="AQ300" s="14">
        <f t="shared" si="92"/>
        <v>4825143.1140900003</v>
      </c>
      <c r="AR300" s="8">
        <v>99115.08</v>
      </c>
      <c r="AS300" s="20">
        <v>48.682229929996531</v>
      </c>
      <c r="AT300" s="8">
        <v>31301565.539999999</v>
      </c>
      <c r="AU300" s="8">
        <v>26481.251400000001</v>
      </c>
      <c r="AV300" s="8">
        <v>1654.3807999999999</v>
      </c>
      <c r="AW300" s="8"/>
      <c r="AX300" s="9">
        <v>430.45443383805679</v>
      </c>
      <c r="AY300" s="6">
        <f t="shared" si="97"/>
        <v>2.2454541064470392E-2</v>
      </c>
      <c r="AZ300" s="8">
        <v>421035579.72710001</v>
      </c>
      <c r="BA300" s="10">
        <v>60480066</v>
      </c>
      <c r="BB300" s="11">
        <v>31301565.539999999</v>
      </c>
      <c r="BC300" s="10">
        <v>2971324</v>
      </c>
      <c r="BD300" s="10">
        <f>1000000000-999588049.4392+91568.4225</f>
        <v>503518.98329995631</v>
      </c>
      <c r="BE300" s="12">
        <f t="shared" si="98"/>
        <v>483707945.74959999</v>
      </c>
      <c r="BF300" s="13">
        <v>238</v>
      </c>
      <c r="BG300" s="13">
        <f t="shared" si="99"/>
        <v>245.70794574960001</v>
      </c>
      <c r="BH300" s="14">
        <f>BE300*50.96</f>
        <v>24649756915.399616</v>
      </c>
    </row>
    <row r="301" spans="1:60" x14ac:dyDescent="0.25">
      <c r="A301" s="3">
        <v>45923</v>
      </c>
      <c r="B301" s="4">
        <v>9710818917</v>
      </c>
      <c r="C301" s="4"/>
      <c r="D301" s="4">
        <v>548805475</v>
      </c>
      <c r="E301" s="4"/>
      <c r="N301" s="4">
        <v>2987860.82</v>
      </c>
      <c r="O301" s="4"/>
      <c r="P301" s="4">
        <v>211422.77</v>
      </c>
      <c r="Q301" s="4"/>
      <c r="R301" s="14">
        <f t="shared" si="80"/>
        <v>3199283.59</v>
      </c>
      <c r="S301" s="6">
        <v>0.01</v>
      </c>
      <c r="T301" s="14">
        <f t="shared" si="81"/>
        <v>29878.608199999999</v>
      </c>
      <c r="U301" s="14">
        <f t="shared" si="82"/>
        <v>0</v>
      </c>
      <c r="V301" s="14">
        <f t="shared" si="83"/>
        <v>1841.1235999999999</v>
      </c>
      <c r="W301" s="14" t="str">
        <f t="shared" si="84"/>
        <v/>
      </c>
      <c r="X301" s="4">
        <v>27310.41</v>
      </c>
      <c r="Y301" s="4"/>
      <c r="Z301" s="4"/>
      <c r="AA301" s="14">
        <f t="shared" si="85"/>
        <v>59030.141799999998</v>
      </c>
      <c r="AB301" s="4">
        <v>186310.58749999999</v>
      </c>
      <c r="AC301" s="4">
        <v>2987860.82</v>
      </c>
      <c r="AD301" s="14">
        <f t="shared" si="86"/>
        <v>0</v>
      </c>
      <c r="AE301" s="14">
        <f t="shared" si="87"/>
        <v>184112.36</v>
      </c>
      <c r="AF301" s="14" t="str">
        <f t="shared" si="88"/>
        <v/>
      </c>
      <c r="AG301" s="15">
        <f t="shared" si="89"/>
        <v>3171973.1799999997</v>
      </c>
      <c r="AH301" s="4">
        <v>2814059.0902800001</v>
      </c>
      <c r="AI301" s="17">
        <f t="shared" si="90"/>
        <v>357914.08971999958</v>
      </c>
      <c r="AJ301" s="7">
        <f t="shared" si="93"/>
        <v>3.0768371293273491</v>
      </c>
      <c r="AK301" s="7" t="str">
        <f t="shared" si="94"/>
        <v/>
      </c>
      <c r="AL301" s="7">
        <f t="shared" si="95"/>
        <v>3.8524172886576973</v>
      </c>
      <c r="AM301" s="7" t="str">
        <f t="shared" si="96"/>
        <v/>
      </c>
      <c r="AN301" s="4">
        <v>53833.427669940931</v>
      </c>
      <c r="AO301" s="4">
        <v>0</v>
      </c>
      <c r="AP301" s="14">
        <f t="shared" si="91"/>
        <v>2867892.5179499411</v>
      </c>
      <c r="AQ301" s="14">
        <f t="shared" si="92"/>
        <v>2814059.0902800001</v>
      </c>
      <c r="AR301" s="8">
        <v>60343.93</v>
      </c>
      <c r="AS301" s="20">
        <v>46.633672852928207</v>
      </c>
      <c r="AT301" s="8">
        <v>31361169.41</v>
      </c>
      <c r="AU301" s="8">
        <v>26550.389800000001</v>
      </c>
      <c r="AV301" s="8">
        <v>1779.5668000000001</v>
      </c>
      <c r="AW301" s="8"/>
      <c r="AX301" s="9">
        <v>431.42200933392002</v>
      </c>
      <c r="AY301" s="6">
        <f t="shared" si="97"/>
        <v>2.2462674753107609E-2</v>
      </c>
      <c r="AZ301" s="8">
        <v>421009029.33740002</v>
      </c>
      <c r="BA301" s="10">
        <v>60480066</v>
      </c>
      <c r="BB301" s="11">
        <v>31361169.41</v>
      </c>
      <c r="BC301" s="10">
        <v>2971324</v>
      </c>
      <c r="BD301" s="10">
        <f>1000000000-999586269.8724+92716.5261</f>
        <v>506446.65369995462</v>
      </c>
      <c r="BE301" s="12">
        <f t="shared" si="98"/>
        <v>483671964.59890008</v>
      </c>
      <c r="BF301" s="13">
        <v>238</v>
      </c>
      <c r="BG301" s="13">
        <f t="shared" si="99"/>
        <v>245.6719645989001</v>
      </c>
      <c r="BH301" s="14">
        <f>BE301*46.88</f>
        <v>22674541700.396439</v>
      </c>
    </row>
    <row r="302" spans="1:60" x14ac:dyDescent="0.25">
      <c r="A302" s="3">
        <v>45924</v>
      </c>
      <c r="B302" s="4">
        <v>9364843438</v>
      </c>
      <c r="C302" s="4"/>
      <c r="D302" s="4">
        <v>1272071931</v>
      </c>
      <c r="E302" s="4"/>
      <c r="N302" s="4">
        <v>2832885.55</v>
      </c>
      <c r="O302" s="4"/>
      <c r="P302" s="4">
        <v>214095.5</v>
      </c>
      <c r="Q302" s="4"/>
      <c r="R302" s="14">
        <f t="shared" si="80"/>
        <v>3046981.05</v>
      </c>
      <c r="S302" s="6">
        <v>0.01</v>
      </c>
      <c r="T302" s="14">
        <f t="shared" si="81"/>
        <v>28328.855499999998</v>
      </c>
      <c r="U302" s="14">
        <f t="shared" si="82"/>
        <v>0</v>
      </c>
      <c r="V302" s="14">
        <f t="shared" si="83"/>
        <v>1887.8632</v>
      </c>
      <c r="W302" s="14" t="str">
        <f t="shared" si="84"/>
        <v/>
      </c>
      <c r="X302" s="4">
        <v>25309.18</v>
      </c>
      <c r="Y302" s="4"/>
      <c r="Z302" s="4"/>
      <c r="AA302" s="14">
        <f t="shared" si="85"/>
        <v>55525.898699999998</v>
      </c>
      <c r="AB302" s="4">
        <v>169719.33679999999</v>
      </c>
      <c r="AC302" s="4">
        <v>2832885.55</v>
      </c>
      <c r="AD302" s="14">
        <f t="shared" si="86"/>
        <v>0</v>
      </c>
      <c r="AE302" s="14">
        <f t="shared" si="87"/>
        <v>188786.32</v>
      </c>
      <c r="AF302" s="14" t="str">
        <f t="shared" si="88"/>
        <v/>
      </c>
      <c r="AG302" s="15">
        <f t="shared" si="89"/>
        <v>3021671.8699999996</v>
      </c>
      <c r="AH302" s="4">
        <v>2663425.8305899999</v>
      </c>
      <c r="AI302" s="17">
        <f t="shared" si="90"/>
        <v>358246.03940999974</v>
      </c>
      <c r="AJ302" s="7">
        <f t="shared" si="93"/>
        <v>3.0250217942831985</v>
      </c>
      <c r="AK302" s="7" t="str">
        <f t="shared" si="94"/>
        <v/>
      </c>
      <c r="AL302" s="7">
        <f t="shared" si="95"/>
        <v>1.6830455478385995</v>
      </c>
      <c r="AM302" s="7" t="str">
        <f t="shared" si="96"/>
        <v/>
      </c>
      <c r="AN302" s="4">
        <v>145666.61829708729</v>
      </c>
      <c r="AO302" s="4">
        <v>26262.080000000002</v>
      </c>
      <c r="AP302" s="14">
        <f t="shared" si="91"/>
        <v>2835354.5288870875</v>
      </c>
      <c r="AQ302" s="14">
        <f t="shared" si="92"/>
        <v>2663425.8305899999</v>
      </c>
      <c r="AR302" s="8">
        <v>59159.16</v>
      </c>
      <c r="AS302" s="20">
        <v>45.021359846725339</v>
      </c>
      <c r="AT302" s="8">
        <v>31420547.02</v>
      </c>
      <c r="AU302" s="8">
        <v>26333.995999999999</v>
      </c>
      <c r="AV302" s="8">
        <v>1059.8152</v>
      </c>
      <c r="AW302" s="8"/>
      <c r="AX302" s="9">
        <v>430.53640789848441</v>
      </c>
      <c r="AY302" s="6">
        <f t="shared" si="97"/>
        <v>2.2325425593893972E-2</v>
      </c>
      <c r="AZ302" s="8">
        <v>420982695.34130001</v>
      </c>
      <c r="BA302" s="10">
        <v>60480066</v>
      </c>
      <c r="BB302" s="11">
        <v>31420547.02</v>
      </c>
      <c r="BC302" s="10">
        <v>2971324</v>
      </c>
      <c r="BD302" s="10">
        <f>1000000000-999585210.0572+95951.9802</f>
        <v>510741.923000045</v>
      </c>
      <c r="BE302" s="12">
        <f t="shared" si="98"/>
        <v>483634625.71569997</v>
      </c>
      <c r="BF302" s="13">
        <v>238</v>
      </c>
      <c r="BG302" s="13">
        <f t="shared" si="99"/>
        <v>245.6346257157</v>
      </c>
      <c r="BH302" s="14">
        <f>BE302*44.74</f>
        <v>21637813154.520416</v>
      </c>
    </row>
    <row r="303" spans="1:60" x14ac:dyDescent="0.25">
      <c r="A303" s="3">
        <v>45925</v>
      </c>
      <c r="B303" s="4">
        <v>17338409015</v>
      </c>
      <c r="C303" s="4"/>
      <c r="D303" s="4">
        <v>1070183296</v>
      </c>
      <c r="E303" s="4"/>
      <c r="N303" s="4">
        <v>5101196.34</v>
      </c>
      <c r="O303" s="4"/>
      <c r="P303" s="4">
        <v>530829.6</v>
      </c>
      <c r="Q303" s="4"/>
      <c r="R303" s="14">
        <f t="shared" si="80"/>
        <v>5632025.9399999995</v>
      </c>
      <c r="S303" s="6">
        <v>0.01</v>
      </c>
      <c r="T303" s="14">
        <f t="shared" si="81"/>
        <v>51011.963400000001</v>
      </c>
      <c r="U303" s="14">
        <f t="shared" si="82"/>
        <v>0</v>
      </c>
      <c r="V303" s="14">
        <f t="shared" si="83"/>
        <v>4586.0167000000001</v>
      </c>
      <c r="W303" s="14" t="str">
        <f t="shared" si="84"/>
        <v/>
      </c>
      <c r="X303" s="4">
        <v>72227.929999999993</v>
      </c>
      <c r="Y303" s="4"/>
      <c r="Z303" s="4"/>
      <c r="AA303" s="14">
        <f t="shared" si="85"/>
        <v>127825.91009999999</v>
      </c>
      <c r="AB303" s="4">
        <v>230754.87789999999</v>
      </c>
      <c r="AC303" s="4">
        <v>5101196.34</v>
      </c>
      <c r="AD303" s="14">
        <f t="shared" si="86"/>
        <v>0</v>
      </c>
      <c r="AE303" s="14">
        <f t="shared" si="87"/>
        <v>458601.67</v>
      </c>
      <c r="AF303" s="14" t="str">
        <f t="shared" si="88"/>
        <v/>
      </c>
      <c r="AG303" s="15">
        <f t="shared" si="89"/>
        <v>5559798.0099999998</v>
      </c>
      <c r="AH303" s="4">
        <v>5027352.3554100003</v>
      </c>
      <c r="AI303" s="17">
        <f t="shared" si="90"/>
        <v>532445.65458999947</v>
      </c>
      <c r="AJ303" s="7">
        <f t="shared" si="93"/>
        <v>2.9421363491810553</v>
      </c>
      <c r="AK303" s="7" t="str">
        <f t="shared" si="94"/>
        <v/>
      </c>
      <c r="AL303" s="7">
        <f t="shared" si="95"/>
        <v>4.9601745979784004</v>
      </c>
      <c r="AM303" s="7" t="str">
        <f t="shared" si="96"/>
        <v/>
      </c>
      <c r="AN303" s="4">
        <v>111412.3042617545</v>
      </c>
      <c r="AO303" s="4">
        <v>32497.54</v>
      </c>
      <c r="AP303" s="14">
        <f t="shared" si="91"/>
        <v>5171262.1996717546</v>
      </c>
      <c r="AQ303" s="14">
        <f t="shared" si="92"/>
        <v>5027352.3554100003</v>
      </c>
      <c r="AR303" s="8">
        <v>119037.7</v>
      </c>
      <c r="AS303" s="20">
        <v>42.233278662222141</v>
      </c>
      <c r="AT303" s="8">
        <v>31539671.170000002</v>
      </c>
      <c r="AU303" s="8">
        <v>26490.240600000001</v>
      </c>
      <c r="AV303" s="8">
        <v>1835.6658</v>
      </c>
      <c r="AW303" s="8"/>
      <c r="AX303" s="9">
        <v>429.41050040397818</v>
      </c>
      <c r="AY303" s="6">
        <f t="shared" si="97"/>
        <v>2.2516770805333628E-2</v>
      </c>
      <c r="AZ303" s="8">
        <v>420956205.10070002</v>
      </c>
      <c r="BA303" s="10">
        <v>60480066</v>
      </c>
      <c r="BB303" s="11">
        <v>31539671.170000002</v>
      </c>
      <c r="BC303" s="10">
        <v>2971324</v>
      </c>
      <c r="BD303" s="10">
        <f>1000000000-999583374.3914+98395.179</f>
        <v>515020.78760002041</v>
      </c>
      <c r="BE303" s="12">
        <f t="shared" si="98"/>
        <v>483537712.94169992</v>
      </c>
      <c r="BF303" s="13">
        <v>238</v>
      </c>
      <c r="BG303" s="13">
        <f t="shared" si="99"/>
        <v>245.53771294169991</v>
      </c>
      <c r="BH303" s="14">
        <f>BE303*45.8</f>
        <v>22146027252.729855</v>
      </c>
    </row>
    <row r="304" spans="1:60" x14ac:dyDescent="0.25">
      <c r="A304" s="3">
        <v>45926</v>
      </c>
      <c r="B304" s="4">
        <v>9099654715</v>
      </c>
      <c r="C304" s="4"/>
      <c r="D304" s="4">
        <v>655504682</v>
      </c>
      <c r="E304" s="4"/>
      <c r="N304" s="4">
        <v>2989687.02</v>
      </c>
      <c r="O304" s="4"/>
      <c r="P304" s="4">
        <v>383389.36</v>
      </c>
      <c r="Q304" s="4"/>
      <c r="R304" s="14">
        <f t="shared" si="80"/>
        <v>3373076.38</v>
      </c>
      <c r="S304" s="6">
        <v>0.01</v>
      </c>
      <c r="T304" s="14">
        <f t="shared" si="81"/>
        <v>29896.870200000001</v>
      </c>
      <c r="U304" s="14">
        <f t="shared" si="82"/>
        <v>0</v>
      </c>
      <c r="V304" s="14">
        <f t="shared" si="83"/>
        <v>3251.1678999999999</v>
      </c>
      <c r="W304" s="14" t="str">
        <f t="shared" si="84"/>
        <v/>
      </c>
      <c r="X304" s="4">
        <v>58272.57</v>
      </c>
      <c r="Y304" s="4"/>
      <c r="Z304" s="4"/>
      <c r="AA304" s="14">
        <f t="shared" si="85"/>
        <v>91420.608099999998</v>
      </c>
      <c r="AB304" s="4">
        <v>193052.88860000009</v>
      </c>
      <c r="AC304" s="4">
        <v>2989687.02</v>
      </c>
      <c r="AD304" s="14">
        <f t="shared" si="86"/>
        <v>0</v>
      </c>
      <c r="AE304" s="14">
        <f t="shared" si="87"/>
        <v>325116.78999999998</v>
      </c>
      <c r="AF304" s="14" t="str">
        <f t="shared" si="88"/>
        <v/>
      </c>
      <c r="AG304" s="15">
        <f t="shared" si="89"/>
        <v>3314803.81</v>
      </c>
      <c r="AH304" s="4">
        <v>2846935.39964</v>
      </c>
      <c r="AI304" s="17">
        <f t="shared" si="90"/>
        <v>467868.4103600001</v>
      </c>
      <c r="AJ304" s="7">
        <f t="shared" si="93"/>
        <v>3.2854950145215485</v>
      </c>
      <c r="AK304" s="7" t="str">
        <f t="shared" si="94"/>
        <v/>
      </c>
      <c r="AL304" s="7">
        <f t="shared" si="95"/>
        <v>5.8487661572492016</v>
      </c>
      <c r="AM304" s="7" t="str">
        <f t="shared" si="96"/>
        <v/>
      </c>
      <c r="AN304" s="4">
        <v>95150.7246555686</v>
      </c>
      <c r="AO304" s="4">
        <v>0</v>
      </c>
      <c r="AP304" s="14">
        <f t="shared" si="91"/>
        <v>2942086.1242955686</v>
      </c>
      <c r="AQ304" s="14">
        <f t="shared" si="92"/>
        <v>2846935.39964</v>
      </c>
      <c r="AR304" s="8">
        <v>65870.34</v>
      </c>
      <c r="AS304" s="20">
        <v>43.220293073331639</v>
      </c>
      <c r="AT304" s="8">
        <v>31605236.609999999</v>
      </c>
      <c r="AU304" s="8">
        <v>26434.054199999999</v>
      </c>
      <c r="AV304" s="8">
        <v>2653.1531</v>
      </c>
      <c r="AW304" s="8"/>
      <c r="AX304" s="9">
        <v>427.39289955375489</v>
      </c>
      <c r="AY304" s="6">
        <f t="shared" si="97"/>
        <v>2.257508206868673E-2</v>
      </c>
      <c r="AZ304" s="8">
        <v>420929771.04650003</v>
      </c>
      <c r="BA304" s="10">
        <v>60480066</v>
      </c>
      <c r="BB304" s="11">
        <v>31605236.609999999</v>
      </c>
      <c r="BC304" s="10">
        <v>2971324</v>
      </c>
      <c r="BD304" s="10">
        <f>1000000000-999580721.2383+100690.5671</f>
        <v>519969.32880003413</v>
      </c>
      <c r="BE304" s="12">
        <f t="shared" si="98"/>
        <v>483493633.0147</v>
      </c>
      <c r="BF304" s="13">
        <v>238</v>
      </c>
      <c r="BG304" s="13">
        <f t="shared" si="99"/>
        <v>245.49363301469998</v>
      </c>
      <c r="BH304" s="14">
        <f>BE304*41.15</f>
        <v>19895762998.554905</v>
      </c>
    </row>
    <row r="305" spans="1:60" x14ac:dyDescent="0.25">
      <c r="A305" s="3">
        <v>45927</v>
      </c>
      <c r="B305" s="4">
        <v>4181427582</v>
      </c>
      <c r="C305" s="4"/>
      <c r="D305" s="4">
        <v>529511395</v>
      </c>
      <c r="E305" s="4"/>
      <c r="N305" s="4">
        <v>1422988.81</v>
      </c>
      <c r="O305" s="4"/>
      <c r="P305" s="4">
        <v>211794.07</v>
      </c>
      <c r="Q305" s="4"/>
      <c r="R305" s="14">
        <f t="shared" ref="R305:R368" si="100">N305+O305+P305+N(Q305)</f>
        <v>1634782.8800000001</v>
      </c>
      <c r="S305" s="6">
        <v>0.01</v>
      </c>
      <c r="T305" s="14">
        <f t="shared" ref="T305:T368" si="101">N(AC305)*S305</f>
        <v>14229.8881</v>
      </c>
      <c r="U305" s="14">
        <f t="shared" ref="U305:U368" si="102">N(AD305)*S305</f>
        <v>0</v>
      </c>
      <c r="V305" s="14">
        <f t="shared" ref="V305:V368" si="103">N(AE305)*S305</f>
        <v>1804.8508000000002</v>
      </c>
      <c r="W305" s="14" t="str">
        <f t="shared" ref="W305:W368" si="104">IF(Q305="","",N(AF305)*S305)</f>
        <v/>
      </c>
      <c r="X305" s="4">
        <v>31308.99</v>
      </c>
      <c r="Y305" s="4"/>
      <c r="Z305" s="4"/>
      <c r="AA305" s="14">
        <f t="shared" ref="AA305:AA368" si="105">T305+U305+V305+N(W305)+X305+Y305+N(Z305)</f>
        <v>47343.728900000002</v>
      </c>
      <c r="AB305" s="4">
        <v>96119.577900000004</v>
      </c>
      <c r="AC305" s="4">
        <v>1422988.81</v>
      </c>
      <c r="AD305" s="14">
        <f t="shared" ref="AD305:AD368" si="106">O305-Y305</f>
        <v>0</v>
      </c>
      <c r="AE305" s="14">
        <f t="shared" ref="AE305:AE368" si="107">P305-X305</f>
        <v>180485.08000000002</v>
      </c>
      <c r="AF305" s="14" t="str">
        <f t="shared" ref="AF305:AF368" si="108">IF(Q305="","",Q305-Z305)</f>
        <v/>
      </c>
      <c r="AG305" s="15">
        <f t="shared" ref="AG305:AG368" si="109">AC305+AD305+AE305+N(AF305)</f>
        <v>1603473.8900000001</v>
      </c>
      <c r="AH305" s="4">
        <v>1460827.7240299999</v>
      </c>
      <c r="AI305" s="17">
        <f t="shared" ref="AI305:AI368" si="110">AG305-AH305</f>
        <v>142646.16597000021</v>
      </c>
      <c r="AJ305" s="7">
        <f t="shared" si="93"/>
        <v>3.4031171940549947</v>
      </c>
      <c r="AK305" s="7" t="str">
        <f t="shared" si="94"/>
        <v/>
      </c>
      <c r="AL305" s="7">
        <f t="shared" si="95"/>
        <v>3.9998019306081223</v>
      </c>
      <c r="AM305" s="7" t="str">
        <f t="shared" si="96"/>
        <v/>
      </c>
      <c r="AN305" s="4">
        <v>34516.324365848137</v>
      </c>
      <c r="AO305" s="4">
        <v>22423.3</v>
      </c>
      <c r="AP305" s="14">
        <f t="shared" ref="AP305:AP368" si="111">AH305+AN305+AO305</f>
        <v>1517767.3483958482</v>
      </c>
      <c r="AQ305" s="14">
        <f t="shared" ref="AQ305:AQ368" si="112">AH305</f>
        <v>1460827.7240299999</v>
      </c>
      <c r="AR305" s="8">
        <v>32624.52</v>
      </c>
      <c r="AS305" s="20">
        <v>44.776987493762363</v>
      </c>
      <c r="AT305" s="8">
        <v>31675614.219999999</v>
      </c>
      <c r="AU305" s="8">
        <v>26395.275000000001</v>
      </c>
      <c r="AV305" s="8">
        <v>1489.1977999999999</v>
      </c>
      <c r="AW305" s="8"/>
      <c r="AX305" s="9">
        <v>425.61499308098672</v>
      </c>
      <c r="AY305" s="6">
        <f t="shared" si="97"/>
        <v>2.2636127795354177E-2</v>
      </c>
      <c r="AZ305" s="8">
        <v>420903375.77149999</v>
      </c>
      <c r="BA305" s="10">
        <v>60480066</v>
      </c>
      <c r="BB305" s="11">
        <v>31675614.219999999</v>
      </c>
      <c r="BC305" s="10">
        <v>2971324</v>
      </c>
      <c r="BD305" s="10">
        <f>1000000000-999579232.0404+101458.3302</f>
        <v>522226.28979997174</v>
      </c>
      <c r="BE305" s="12">
        <f t="shared" si="98"/>
        <v>483447393.71869999</v>
      </c>
      <c r="BF305" s="13">
        <v>238</v>
      </c>
      <c r="BG305" s="13">
        <f t="shared" si="99"/>
        <v>245.44739371869997</v>
      </c>
      <c r="BH305" s="14">
        <f>BE305*44.89</f>
        <v>21701953504.032444</v>
      </c>
    </row>
    <row r="306" spans="1:60" x14ac:dyDescent="0.25">
      <c r="A306" s="3">
        <v>45928</v>
      </c>
      <c r="B306" s="4">
        <v>5697862969</v>
      </c>
      <c r="C306" s="4"/>
      <c r="D306" s="4">
        <v>704831792</v>
      </c>
      <c r="E306" s="4"/>
      <c r="N306" s="4">
        <v>1837676.84</v>
      </c>
      <c r="O306" s="4"/>
      <c r="P306" s="4">
        <v>176353.28</v>
      </c>
      <c r="Q306" s="4"/>
      <c r="R306" s="14">
        <f t="shared" si="100"/>
        <v>2014030.12</v>
      </c>
      <c r="S306" s="6">
        <v>0.01</v>
      </c>
      <c r="T306" s="14">
        <f t="shared" si="101"/>
        <v>18376.768400000001</v>
      </c>
      <c r="U306" s="14">
        <f t="shared" si="102"/>
        <v>0</v>
      </c>
      <c r="V306" s="14">
        <f t="shared" si="103"/>
        <v>1535.7186999999999</v>
      </c>
      <c r="W306" s="14" t="str">
        <f t="shared" si="104"/>
        <v/>
      </c>
      <c r="X306" s="4">
        <v>22781.41</v>
      </c>
      <c r="Y306" s="4"/>
      <c r="Z306" s="4"/>
      <c r="AA306" s="14">
        <f t="shared" si="105"/>
        <v>42693.897100000002</v>
      </c>
      <c r="AB306" s="4">
        <v>112039.829</v>
      </c>
      <c r="AC306" s="4">
        <v>1837676.84</v>
      </c>
      <c r="AD306" s="14">
        <f t="shared" si="106"/>
        <v>0</v>
      </c>
      <c r="AE306" s="14">
        <f t="shared" si="107"/>
        <v>153571.87</v>
      </c>
      <c r="AF306" s="14" t="str">
        <f t="shared" si="108"/>
        <v/>
      </c>
      <c r="AG306" s="15">
        <f t="shared" si="109"/>
        <v>1991248.71</v>
      </c>
      <c r="AH306" s="4">
        <v>1713778.62968</v>
      </c>
      <c r="AI306" s="17">
        <f t="shared" si="110"/>
        <v>277470.08031999995</v>
      </c>
      <c r="AJ306" s="7">
        <f t="shared" si="93"/>
        <v>3.2252036421341326</v>
      </c>
      <c r="AK306" s="7" t="str">
        <f t="shared" si="94"/>
        <v/>
      </c>
      <c r="AL306" s="7">
        <f t="shared" si="95"/>
        <v>2.5020619387724778</v>
      </c>
      <c r="AM306" s="7" t="str">
        <f t="shared" si="96"/>
        <v/>
      </c>
      <c r="AN306" s="4">
        <v>42291.041193734731</v>
      </c>
      <c r="AO306" s="4">
        <v>0</v>
      </c>
      <c r="AP306" s="14">
        <f t="shared" si="111"/>
        <v>1756069.6708737346</v>
      </c>
      <c r="AQ306" s="14">
        <f t="shared" si="112"/>
        <v>1713778.62968</v>
      </c>
      <c r="AR306" s="8">
        <v>37753.089999999997</v>
      </c>
      <c r="AS306" s="20">
        <v>45.394393668968561</v>
      </c>
      <c r="AT306" s="8">
        <v>31675614.219999999</v>
      </c>
      <c r="AU306" s="8">
        <v>26313.777600000001</v>
      </c>
      <c r="AV306" s="8">
        <v>1177.5400999999999</v>
      </c>
      <c r="AW306" s="8"/>
      <c r="AX306" s="9">
        <v>425.51682315558952</v>
      </c>
      <c r="AY306" s="6">
        <f t="shared" si="97"/>
        <v>2.257144324582467E-2</v>
      </c>
      <c r="AZ306" s="8">
        <v>420877061.99379998</v>
      </c>
      <c r="BA306" s="10">
        <v>60480066</v>
      </c>
      <c r="BB306" s="11">
        <v>31675614.219999999</v>
      </c>
      <c r="BC306" s="10">
        <v>2971324</v>
      </c>
      <c r="BD306" s="10">
        <f>1000000000-999578054.5003+102380.8291</f>
        <v>524326.32879995019</v>
      </c>
      <c r="BE306" s="12">
        <f t="shared" si="98"/>
        <v>483471607.45740008</v>
      </c>
      <c r="BF306" s="13">
        <v>238</v>
      </c>
      <c r="BG306" s="13">
        <f t="shared" si="99"/>
        <v>245.47160745740007</v>
      </c>
      <c r="BH306" s="14">
        <f>BE306*45.62</f>
        <v>22055974732.206589</v>
      </c>
    </row>
    <row r="307" spans="1:60" x14ac:dyDescent="0.25">
      <c r="A307" s="3">
        <v>45929</v>
      </c>
      <c r="B307" s="4">
        <v>7934780754</v>
      </c>
      <c r="C307" s="4"/>
      <c r="D307" s="5">
        <v>548722349</v>
      </c>
      <c r="E307" s="4"/>
      <c r="N307" s="4">
        <v>2544183.39</v>
      </c>
      <c r="O307" s="4"/>
      <c r="P307" s="4">
        <v>231192.84</v>
      </c>
      <c r="Q307" s="4"/>
      <c r="R307" s="14">
        <f t="shared" si="100"/>
        <v>2775376.23</v>
      </c>
      <c r="S307" s="6">
        <v>0.01</v>
      </c>
      <c r="T307" s="14">
        <f t="shared" si="101"/>
        <v>25441.833900000001</v>
      </c>
      <c r="U307" s="14">
        <f t="shared" si="102"/>
        <v>0</v>
      </c>
      <c r="V307" s="14">
        <f t="shared" si="103"/>
        <v>1924.7275</v>
      </c>
      <c r="W307" s="14" t="str">
        <f t="shared" si="104"/>
        <v/>
      </c>
      <c r="X307" s="4">
        <v>38720.089999999997</v>
      </c>
      <c r="Y307" s="4"/>
      <c r="Z307" s="4"/>
      <c r="AA307" s="14">
        <f t="shared" si="105"/>
        <v>66086.651400000002</v>
      </c>
      <c r="AB307" s="4">
        <v>161408.0436</v>
      </c>
      <c r="AC307" s="4">
        <v>2544183.39</v>
      </c>
      <c r="AD307" s="14">
        <f t="shared" si="106"/>
        <v>0</v>
      </c>
      <c r="AE307" s="14">
        <f t="shared" si="107"/>
        <v>192472.75</v>
      </c>
      <c r="AF307" s="14" t="str">
        <f t="shared" si="108"/>
        <v/>
      </c>
      <c r="AG307" s="15">
        <f t="shared" si="109"/>
        <v>2736656.14</v>
      </c>
      <c r="AH307" s="4">
        <v>2482196.6276199999</v>
      </c>
      <c r="AI307" s="17">
        <f t="shared" si="110"/>
        <v>254459.5123800002</v>
      </c>
      <c r="AJ307" s="7">
        <f t="shared" si="93"/>
        <v>3.2063688574097684</v>
      </c>
      <c r="AK307" s="7" t="str">
        <f t="shared" si="94"/>
        <v/>
      </c>
      <c r="AL307" s="7">
        <f t="shared" si="95"/>
        <v>4.2132936706756956</v>
      </c>
      <c r="AM307" s="7" t="str">
        <f t="shared" si="96"/>
        <v/>
      </c>
      <c r="AN307" s="4">
        <v>62226.71507096495</v>
      </c>
      <c r="AO307" s="4">
        <v>31773.84</v>
      </c>
      <c r="AP307" s="14">
        <f t="shared" si="111"/>
        <v>2576197.1826909645</v>
      </c>
      <c r="AQ307" s="14">
        <f t="shared" si="112"/>
        <v>2482196.6276199999</v>
      </c>
      <c r="AR307" s="8">
        <v>53114.97</v>
      </c>
      <c r="AS307" s="20">
        <v>46.732524326381053</v>
      </c>
      <c r="AT307" s="8">
        <v>31728729.190000001</v>
      </c>
      <c r="AU307" s="8">
        <v>26353.242200000001</v>
      </c>
      <c r="AV307" s="8">
        <v>1419.9657</v>
      </c>
      <c r="AW307" s="8"/>
      <c r="AX307" s="9">
        <v>425.56704423595909</v>
      </c>
      <c r="AY307" s="6">
        <f t="shared" si="97"/>
        <v>2.2602627560762683E-2</v>
      </c>
      <c r="AZ307" s="8">
        <v>420850708.75160003</v>
      </c>
      <c r="BA307" s="10">
        <v>60480066</v>
      </c>
      <c r="BB307" s="11">
        <v>31728729.190000001</v>
      </c>
      <c r="BC307" s="10">
        <v>2971324</v>
      </c>
      <c r="BD307" s="10">
        <f>1000000000-999576634.5346+103711.3695</f>
        <v>527076.83489998057</v>
      </c>
      <c r="BE307" s="12">
        <f t="shared" si="98"/>
        <v>483442095.22350001</v>
      </c>
      <c r="BF307" s="13">
        <v>238</v>
      </c>
      <c r="BG307" s="13">
        <f t="shared" si="99"/>
        <v>245.44209522350002</v>
      </c>
      <c r="BH307" s="14">
        <f>BE307*46.84</f>
        <v>22644427740.268742</v>
      </c>
    </row>
    <row r="308" spans="1:60" x14ac:dyDescent="0.25">
      <c r="A308" s="3">
        <v>45930</v>
      </c>
      <c r="B308" s="4">
        <v>8498007774</v>
      </c>
      <c r="C308" s="4"/>
      <c r="D308" s="4">
        <v>631435672</v>
      </c>
      <c r="E308" s="4"/>
      <c r="N308" s="4">
        <v>2655725.9700000002</v>
      </c>
      <c r="O308" s="4"/>
      <c r="P308" s="4">
        <v>238482.17</v>
      </c>
      <c r="Q308" s="4"/>
      <c r="R308" s="14">
        <f t="shared" si="100"/>
        <v>2894208.14</v>
      </c>
      <c r="S308" s="6">
        <v>0.01</v>
      </c>
      <c r="T308" s="14">
        <f t="shared" si="101"/>
        <v>26557.259700000002</v>
      </c>
      <c r="U308" s="14">
        <f t="shared" si="102"/>
        <v>0</v>
      </c>
      <c r="V308" s="14">
        <f t="shared" si="103"/>
        <v>1986.1953000000003</v>
      </c>
      <c r="W308" s="14" t="str">
        <f t="shared" si="104"/>
        <v/>
      </c>
      <c r="X308" s="4">
        <v>39862.639999999999</v>
      </c>
      <c r="Y308" s="4"/>
      <c r="Z308" s="4"/>
      <c r="AA308" s="14">
        <f t="shared" si="105"/>
        <v>68406.095000000001</v>
      </c>
      <c r="AB308" s="4">
        <v>160837.6728</v>
      </c>
      <c r="AC308" s="4">
        <v>2655725.9700000002</v>
      </c>
      <c r="AD308" s="14">
        <f t="shared" si="106"/>
        <v>0</v>
      </c>
      <c r="AE308" s="14">
        <f t="shared" si="107"/>
        <v>198619.53000000003</v>
      </c>
      <c r="AF308" s="14" t="str">
        <f t="shared" si="108"/>
        <v/>
      </c>
      <c r="AG308" s="15">
        <f t="shared" si="109"/>
        <v>2854345.5</v>
      </c>
      <c r="AH308" s="4">
        <v>2530245.33311</v>
      </c>
      <c r="AI308" s="17">
        <f t="shared" si="110"/>
        <v>324100.16688999999</v>
      </c>
      <c r="AJ308" s="7">
        <f t="shared" si="93"/>
        <v>3.125115957325082</v>
      </c>
      <c r="AK308" s="7" t="str">
        <f t="shared" si="94"/>
        <v/>
      </c>
      <c r="AL308" s="7">
        <f t="shared" si="95"/>
        <v>3.7768244743702097</v>
      </c>
      <c r="AM308" s="7" t="str">
        <f t="shared" si="96"/>
        <v/>
      </c>
      <c r="AN308" s="4">
        <v>52354.82103129055</v>
      </c>
      <c r="AO308" s="4">
        <v>36039.14</v>
      </c>
      <c r="AP308" s="14">
        <f t="shared" si="111"/>
        <v>2618639.2941412907</v>
      </c>
      <c r="AQ308" s="14">
        <f t="shared" si="112"/>
        <v>2530245.33311</v>
      </c>
      <c r="AR308" s="8">
        <v>56329.96</v>
      </c>
      <c r="AS308" s="20">
        <v>44.918287410642577</v>
      </c>
      <c r="AT308" s="8">
        <v>31785059.149999999</v>
      </c>
      <c r="AU308" s="8">
        <v>26353.044600000001</v>
      </c>
      <c r="AV308" s="8">
        <v>1560.4482</v>
      </c>
      <c r="AW308" s="8"/>
      <c r="AX308" s="9">
        <v>425.49310029783493</v>
      </c>
      <c r="AY308" s="6">
        <f t="shared" si="97"/>
        <v>2.2606386031329369E-2</v>
      </c>
      <c r="AZ308" s="8">
        <v>420824355.7069</v>
      </c>
      <c r="BA308" s="10">
        <v>60480066</v>
      </c>
      <c r="BB308" s="11">
        <v>31785059.149999999</v>
      </c>
      <c r="BC308" s="10">
        <v>2971324</v>
      </c>
      <c r="BD308" s="10">
        <f>1000000000-999575074.0864+104851.2524</f>
        <v>529777.16599996795</v>
      </c>
      <c r="BE308" s="12">
        <f t="shared" si="98"/>
        <v>483409417.97710007</v>
      </c>
      <c r="BF308" s="13">
        <v>238</v>
      </c>
      <c r="BG308" s="13">
        <f t="shared" si="99"/>
        <v>245.40941797710008</v>
      </c>
      <c r="BH308" s="14">
        <f>BE308*46.11</f>
        <v>22290008262.924084</v>
      </c>
    </row>
    <row r="309" spans="1:60" x14ac:dyDescent="0.25">
      <c r="A309" s="3">
        <v>45931</v>
      </c>
      <c r="B309" s="4">
        <v>9824233176</v>
      </c>
      <c r="C309" s="4"/>
      <c r="D309" s="5">
        <v>558541161</v>
      </c>
      <c r="E309" s="4"/>
      <c r="N309" s="4">
        <v>3087265.91</v>
      </c>
      <c r="O309" s="4"/>
      <c r="P309" s="4">
        <v>217248.88</v>
      </c>
      <c r="Q309" s="4"/>
      <c r="R309" s="14">
        <f t="shared" si="100"/>
        <v>3304514.79</v>
      </c>
      <c r="S309" s="6">
        <v>0.01</v>
      </c>
      <c r="T309" s="14">
        <f t="shared" si="101"/>
        <v>30872.659100000001</v>
      </c>
      <c r="U309" s="14">
        <f t="shared" si="102"/>
        <v>0</v>
      </c>
      <c r="V309" s="14">
        <f t="shared" si="103"/>
        <v>1720.4294</v>
      </c>
      <c r="W309" s="14" t="str">
        <f t="shared" si="104"/>
        <v/>
      </c>
      <c r="X309" s="4">
        <v>45205.94</v>
      </c>
      <c r="Y309" s="4"/>
      <c r="Z309" s="4"/>
      <c r="AA309" s="14">
        <f t="shared" si="105"/>
        <v>77799.0285</v>
      </c>
      <c r="AB309" s="4">
        <v>179772.1251</v>
      </c>
      <c r="AC309" s="4">
        <v>3087265.91</v>
      </c>
      <c r="AD309" s="14">
        <f t="shared" si="106"/>
        <v>0</v>
      </c>
      <c r="AE309" s="14">
        <f t="shared" si="107"/>
        <v>172042.94</v>
      </c>
      <c r="AF309" s="14" t="str">
        <f t="shared" si="108"/>
        <v/>
      </c>
      <c r="AG309" s="15">
        <f t="shared" si="109"/>
        <v>3259308.85</v>
      </c>
      <c r="AH309" s="4">
        <v>2829098.65173</v>
      </c>
      <c r="AI309" s="17">
        <f t="shared" si="110"/>
        <v>430210.19827000005</v>
      </c>
      <c r="AJ309" s="7">
        <f t="shared" si="93"/>
        <v>3.142500645792897</v>
      </c>
      <c r="AK309" s="7" t="str">
        <f t="shared" si="94"/>
        <v/>
      </c>
      <c r="AL309" s="7">
        <f t="shared" si="95"/>
        <v>3.8895769044315789</v>
      </c>
      <c r="AM309" s="7" t="str">
        <f t="shared" si="96"/>
        <v/>
      </c>
      <c r="AN309" s="4">
        <v>51778.886438265363</v>
      </c>
      <c r="AO309" s="4">
        <v>40225.35</v>
      </c>
      <c r="AP309" s="14">
        <f t="shared" si="111"/>
        <v>2921102.8881682656</v>
      </c>
      <c r="AQ309" s="14">
        <f t="shared" si="112"/>
        <v>2829098.65173</v>
      </c>
      <c r="AR309" s="8">
        <v>60619.99</v>
      </c>
      <c r="AS309" s="20">
        <v>46.669401491653169</v>
      </c>
      <c r="AT309" s="8">
        <v>31845679.140000001</v>
      </c>
      <c r="AU309" s="8">
        <v>26351.695</v>
      </c>
      <c r="AV309" s="8">
        <v>1559.7080000000001</v>
      </c>
      <c r="AW309" s="8"/>
      <c r="AX309" s="9">
        <v>425.48178154406821</v>
      </c>
      <c r="AY309" s="6">
        <f t="shared" si="97"/>
        <v>2.2605829655255878E-2</v>
      </c>
      <c r="AZ309" s="8">
        <v>420798004.01200002</v>
      </c>
      <c r="BA309" s="10">
        <v>60480066</v>
      </c>
      <c r="BB309" s="11">
        <v>31845679.140000001</v>
      </c>
      <c r="BC309" s="10">
        <v>2971324</v>
      </c>
      <c r="BD309" s="10">
        <f>1000000000-999573514.3785+105999.9034</f>
        <v>532485.52490001521</v>
      </c>
      <c r="BE309" s="12">
        <f t="shared" si="98"/>
        <v>483372441.32309991</v>
      </c>
      <c r="BF309" s="13">
        <v>238</v>
      </c>
      <c r="BG309" s="13">
        <f t="shared" si="99"/>
        <v>245.37244132309991</v>
      </c>
      <c r="BH309" s="14">
        <f>BE309*45.26</f>
        <v>21877436694.283501</v>
      </c>
    </row>
    <row r="310" spans="1:60" x14ac:dyDescent="0.25">
      <c r="A310" s="3">
        <v>45932</v>
      </c>
      <c r="B310" s="4">
        <v>10644493010</v>
      </c>
      <c r="C310" s="4"/>
      <c r="D310" s="5">
        <v>490069503</v>
      </c>
      <c r="E310" s="4"/>
      <c r="N310" s="4">
        <v>3423768.93</v>
      </c>
      <c r="O310" s="4"/>
      <c r="P310" s="4">
        <v>215929.67</v>
      </c>
      <c r="Q310" s="4"/>
      <c r="R310" s="14">
        <f t="shared" si="100"/>
        <v>3639698.6</v>
      </c>
      <c r="S310" s="6">
        <v>0.01</v>
      </c>
      <c r="T310" s="14">
        <f t="shared" si="101"/>
        <v>34237.689300000005</v>
      </c>
      <c r="U310" s="14">
        <f t="shared" si="102"/>
        <v>0</v>
      </c>
      <c r="V310" s="14">
        <f t="shared" si="103"/>
        <v>1823.8680000000002</v>
      </c>
      <c r="W310" s="14" t="str">
        <f t="shared" si="104"/>
        <v/>
      </c>
      <c r="X310" s="4">
        <v>33542.870000000003</v>
      </c>
      <c r="Y310" s="4"/>
      <c r="Z310" s="4"/>
      <c r="AA310" s="14">
        <f t="shared" si="105"/>
        <v>69604.42730000001</v>
      </c>
      <c r="AB310" s="4">
        <v>219390.22029999999</v>
      </c>
      <c r="AC310" s="4">
        <v>3423768.93</v>
      </c>
      <c r="AD310" s="14">
        <f t="shared" si="106"/>
        <v>0</v>
      </c>
      <c r="AE310" s="14">
        <f t="shared" si="107"/>
        <v>182386.80000000002</v>
      </c>
      <c r="AF310" s="14" t="str">
        <f t="shared" si="108"/>
        <v/>
      </c>
      <c r="AG310" s="15">
        <f t="shared" si="109"/>
        <v>3606155.73</v>
      </c>
      <c r="AH310" s="4">
        <v>3179744.99493</v>
      </c>
      <c r="AI310" s="17">
        <f t="shared" si="110"/>
        <v>426410.73506999994</v>
      </c>
      <c r="AJ310" s="7">
        <f t="shared" si="93"/>
        <v>3.2164697057751184</v>
      </c>
      <c r="AK310" s="7" t="str">
        <f t="shared" si="94"/>
        <v/>
      </c>
      <c r="AL310" s="7">
        <f t="shared" si="95"/>
        <v>4.4061029849474229</v>
      </c>
      <c r="AM310" s="7" t="str">
        <f t="shared" si="96"/>
        <v/>
      </c>
      <c r="AN310" s="4">
        <v>59032.679235973766</v>
      </c>
      <c r="AO310" s="4">
        <v>0</v>
      </c>
      <c r="AP310" s="14">
        <f t="shared" si="111"/>
        <v>3238777.6741659739</v>
      </c>
      <c r="AQ310" s="14">
        <f t="shared" si="112"/>
        <v>3179744.99493</v>
      </c>
      <c r="AR310" s="8">
        <v>64602.58</v>
      </c>
      <c r="AS310" s="20">
        <v>49.220092989010652</v>
      </c>
      <c r="AT310" s="8">
        <v>31910281.719999999</v>
      </c>
      <c r="AU310" s="8">
        <v>26326.891299999999</v>
      </c>
      <c r="AV310" s="8">
        <v>2228.7202000000002</v>
      </c>
      <c r="AW310" s="8"/>
      <c r="AX310" s="9">
        <v>425.75356600325529</v>
      </c>
      <c r="AY310" s="6">
        <f t="shared" si="97"/>
        <v>2.2570134678394044E-2</v>
      </c>
      <c r="AZ310" s="8">
        <v>420771677.1207</v>
      </c>
      <c r="BA310" s="10">
        <v>60480066</v>
      </c>
      <c r="BB310" s="11">
        <v>31910281.719999999</v>
      </c>
      <c r="BC310" s="10">
        <v>2971324</v>
      </c>
      <c r="BD310" s="10">
        <f>1000000000-999571285.6582+107242.6966</f>
        <v>535957.03839997447</v>
      </c>
      <c r="BE310" s="12">
        <f t="shared" si="98"/>
        <v>483330694.12089998</v>
      </c>
      <c r="BF310" s="13">
        <v>238</v>
      </c>
      <c r="BG310" s="13">
        <f t="shared" si="99"/>
        <v>245.33069412089998</v>
      </c>
      <c r="BH310" s="14">
        <f>BE310*47.92</f>
        <v>23161206862.273529</v>
      </c>
    </row>
    <row r="311" spans="1:60" x14ac:dyDescent="0.25">
      <c r="A311" s="3">
        <v>45933</v>
      </c>
      <c r="B311" s="4">
        <v>10408189866</v>
      </c>
      <c r="C311" s="4"/>
      <c r="D311" s="5">
        <v>447594957</v>
      </c>
      <c r="E311" s="4"/>
      <c r="N311" s="4">
        <v>3310091.84</v>
      </c>
      <c r="O311" s="4"/>
      <c r="P311" s="4">
        <v>225358.18</v>
      </c>
      <c r="Q311" s="4"/>
      <c r="R311" s="14">
        <f t="shared" si="100"/>
        <v>3535450.02</v>
      </c>
      <c r="S311" s="6">
        <v>0.01</v>
      </c>
      <c r="T311" s="14">
        <f t="shared" si="101"/>
        <v>33100.918400000002</v>
      </c>
      <c r="U311" s="14">
        <f t="shared" si="102"/>
        <v>0</v>
      </c>
      <c r="V311" s="14">
        <f t="shared" si="103"/>
        <v>1888.7954999999999</v>
      </c>
      <c r="W311" s="14" t="str">
        <f t="shared" si="104"/>
        <v/>
      </c>
      <c r="X311" s="4">
        <v>36478.629999999997</v>
      </c>
      <c r="Y311" s="4"/>
      <c r="Z311" s="4"/>
      <c r="AA311" s="14">
        <f t="shared" si="105"/>
        <v>71468.343900000007</v>
      </c>
      <c r="AB311" s="4">
        <v>210295.3982</v>
      </c>
      <c r="AC311" s="4">
        <v>3310091.84</v>
      </c>
      <c r="AD311" s="14">
        <f t="shared" si="106"/>
        <v>0</v>
      </c>
      <c r="AE311" s="14">
        <f t="shared" si="107"/>
        <v>188879.55</v>
      </c>
      <c r="AF311" s="14" t="str">
        <f t="shared" si="108"/>
        <v/>
      </c>
      <c r="AG311" s="15">
        <f t="shared" si="109"/>
        <v>3498971.3899999997</v>
      </c>
      <c r="AH311" s="4">
        <v>3194278.76779</v>
      </c>
      <c r="AI311" s="17">
        <f t="shared" si="110"/>
        <v>304692.62220999971</v>
      </c>
      <c r="AJ311" s="7">
        <f t="shared" si="93"/>
        <v>3.1802761888625217</v>
      </c>
      <c r="AK311" s="7" t="str">
        <f t="shared" si="94"/>
        <v/>
      </c>
      <c r="AL311" s="7">
        <f t="shared" si="95"/>
        <v>5.0348686122484612</v>
      </c>
      <c r="AM311" s="7" t="str">
        <f t="shared" si="96"/>
        <v/>
      </c>
      <c r="AN311" s="4">
        <v>37391.425070130193</v>
      </c>
      <c r="AO311" s="4">
        <v>34703.599999999999</v>
      </c>
      <c r="AP311" s="14">
        <f t="shared" si="111"/>
        <v>3266373.7928601303</v>
      </c>
      <c r="AQ311" s="14">
        <f t="shared" si="112"/>
        <v>3194278.76779</v>
      </c>
      <c r="AR311" s="8">
        <v>63968.63</v>
      </c>
      <c r="AS311" s="20">
        <v>49.935081739127448</v>
      </c>
      <c r="AT311" s="8">
        <v>31974250.350000001</v>
      </c>
      <c r="AU311" s="8">
        <v>26375.115699999998</v>
      </c>
      <c r="AV311" s="8">
        <v>2052.1028999999999</v>
      </c>
      <c r="AW311" s="8"/>
      <c r="AX311" s="9">
        <v>427.09624387234538</v>
      </c>
      <c r="AY311" s="6">
        <f t="shared" si="97"/>
        <v>2.2540393104879153E-2</v>
      </c>
      <c r="AZ311" s="8">
        <v>420745302.005</v>
      </c>
      <c r="BA311" s="10">
        <v>60480066</v>
      </c>
      <c r="BB311" s="11">
        <v>31974250.350000001</v>
      </c>
      <c r="BC311" s="10">
        <v>2971324</v>
      </c>
      <c r="BD311" s="10">
        <f>1000000000-999569233.5553+107980.3601</f>
        <v>538746.80480000272</v>
      </c>
      <c r="BE311" s="12">
        <f t="shared" si="98"/>
        <v>483290310.84020001</v>
      </c>
      <c r="BF311" s="13">
        <v>238</v>
      </c>
      <c r="BG311" s="13">
        <f t="shared" si="99"/>
        <v>245.29031084019999</v>
      </c>
      <c r="BH311" s="14">
        <f>BE311*50.45</f>
        <v>24381996181.888092</v>
      </c>
    </row>
    <row r="312" spans="1:60" x14ac:dyDescent="0.25">
      <c r="A312" s="3">
        <v>45934</v>
      </c>
      <c r="B312" s="4">
        <v>4766544219</v>
      </c>
      <c r="C312" s="4"/>
      <c r="D312" s="5">
        <v>290369030</v>
      </c>
      <c r="E312" s="4"/>
      <c r="N312" s="4">
        <v>1601109.08</v>
      </c>
      <c r="O312" s="4"/>
      <c r="P312" s="4">
        <v>163351.93</v>
      </c>
      <c r="Q312" s="4"/>
      <c r="R312" s="14">
        <f t="shared" si="100"/>
        <v>1764461.01</v>
      </c>
      <c r="S312" s="6">
        <v>0.01</v>
      </c>
      <c r="T312" s="14">
        <f t="shared" si="101"/>
        <v>16011.090800000002</v>
      </c>
      <c r="U312" s="14">
        <f t="shared" si="102"/>
        <v>0</v>
      </c>
      <c r="V312" s="14">
        <f t="shared" si="103"/>
        <v>1382.5169999999998</v>
      </c>
      <c r="W312" s="14" t="str">
        <f t="shared" si="104"/>
        <v/>
      </c>
      <c r="X312" s="4">
        <v>25100.23</v>
      </c>
      <c r="Y312" s="4"/>
      <c r="Z312" s="4"/>
      <c r="AA312" s="14">
        <f t="shared" si="105"/>
        <v>42493.837800000001</v>
      </c>
      <c r="AB312" s="4">
        <v>183191.21369999999</v>
      </c>
      <c r="AC312" s="4">
        <v>1601109.08</v>
      </c>
      <c r="AD312" s="14">
        <f t="shared" si="106"/>
        <v>0</v>
      </c>
      <c r="AE312" s="14">
        <f t="shared" si="107"/>
        <v>138251.69999999998</v>
      </c>
      <c r="AF312" s="14" t="str">
        <f t="shared" si="108"/>
        <v/>
      </c>
      <c r="AG312" s="15">
        <f t="shared" si="109"/>
        <v>1739360.78</v>
      </c>
      <c r="AH312" s="4">
        <v>1423501.12628</v>
      </c>
      <c r="AI312" s="17">
        <f t="shared" si="110"/>
        <v>315859.65372000006</v>
      </c>
      <c r="AJ312" s="7">
        <f t="shared" si="93"/>
        <v>3.359056386423088</v>
      </c>
      <c r="AK312" s="7" t="str">
        <f t="shared" si="94"/>
        <v/>
      </c>
      <c r="AL312" s="7">
        <f t="shared" si="95"/>
        <v>5.6256664149065756</v>
      </c>
      <c r="AM312" s="7" t="str">
        <f t="shared" si="96"/>
        <v/>
      </c>
      <c r="AN312" s="4">
        <v>18861.854938151489</v>
      </c>
      <c r="AO312" s="4">
        <v>44339.89</v>
      </c>
      <c r="AP312" s="14">
        <f t="shared" si="111"/>
        <v>1486702.8712181514</v>
      </c>
      <c r="AQ312" s="14">
        <f t="shared" si="112"/>
        <v>1423501.12628</v>
      </c>
      <c r="AR312" s="8">
        <v>29332</v>
      </c>
      <c r="AS312" s="20">
        <v>48.530653425610247</v>
      </c>
      <c r="AT312" s="8">
        <v>32003582.350000001</v>
      </c>
      <c r="AU312" s="8">
        <v>26401.1862</v>
      </c>
      <c r="AV312" s="8">
        <v>1300.9187999999999</v>
      </c>
      <c r="AW312" s="8"/>
      <c r="AX312" s="9">
        <v>427.03275636015928</v>
      </c>
      <c r="AY312" s="6">
        <f t="shared" si="97"/>
        <v>2.2566027592676369E-2</v>
      </c>
      <c r="AZ312" s="8">
        <v>420718900.81879997</v>
      </c>
      <c r="BA312" s="10">
        <v>60480066</v>
      </c>
      <c r="BB312" s="11">
        <v>32003582.350000001</v>
      </c>
      <c r="BC312" s="10">
        <v>2971324</v>
      </c>
      <c r="BD312" s="10">
        <f>1000000000-999567932.6365+108364.2695</f>
        <v>540431.63299999898</v>
      </c>
      <c r="BE312" s="12">
        <f t="shared" si="98"/>
        <v>483285695.19819999</v>
      </c>
      <c r="BF312" s="13">
        <v>238</v>
      </c>
      <c r="BG312" s="13">
        <f t="shared" si="99"/>
        <v>245.28569519819996</v>
      </c>
      <c r="BH312" s="14">
        <f>BE312*49.28</f>
        <v>23816319059.367294</v>
      </c>
    </row>
    <row r="313" spans="1:60" x14ac:dyDescent="0.25">
      <c r="A313" s="3">
        <v>45935</v>
      </c>
      <c r="B313" s="4">
        <v>9544080331</v>
      </c>
      <c r="C313" s="4"/>
      <c r="D313" s="5">
        <v>388743024</v>
      </c>
      <c r="E313" s="4"/>
      <c r="N313" s="4">
        <v>3081203.99</v>
      </c>
      <c r="O313" s="4"/>
      <c r="P313" s="4">
        <v>174727.86</v>
      </c>
      <c r="Q313" s="4"/>
      <c r="R313" s="14">
        <f t="shared" si="100"/>
        <v>3255931.85</v>
      </c>
      <c r="S313" s="6">
        <v>0.01</v>
      </c>
      <c r="T313" s="14">
        <f t="shared" si="101"/>
        <v>30812.039900000003</v>
      </c>
      <c r="U313" s="14">
        <f t="shared" si="102"/>
        <v>0</v>
      </c>
      <c r="V313" s="14">
        <f t="shared" si="103"/>
        <v>1346.9022999999997</v>
      </c>
      <c r="W313" s="14" t="str">
        <f t="shared" si="104"/>
        <v/>
      </c>
      <c r="X313" s="4">
        <v>40037.629999999997</v>
      </c>
      <c r="Y313" s="4"/>
      <c r="Z313" s="4"/>
      <c r="AA313" s="14">
        <f t="shared" si="105"/>
        <v>72196.572199999995</v>
      </c>
      <c r="AB313" s="4">
        <v>246019.1876</v>
      </c>
      <c r="AC313" s="4">
        <v>3081203.99</v>
      </c>
      <c r="AD313" s="14">
        <f t="shared" si="106"/>
        <v>0</v>
      </c>
      <c r="AE313" s="14">
        <f t="shared" si="107"/>
        <v>134690.22999999998</v>
      </c>
      <c r="AF313" s="14" t="str">
        <f t="shared" si="108"/>
        <v/>
      </c>
      <c r="AG313" s="15">
        <f t="shared" si="109"/>
        <v>3215894.22</v>
      </c>
      <c r="AH313" s="4">
        <v>2806654.3861699998</v>
      </c>
      <c r="AI313" s="17">
        <f t="shared" si="110"/>
        <v>409239.83383000037</v>
      </c>
      <c r="AJ313" s="7">
        <f t="shared" si="93"/>
        <v>3.2283927661337706</v>
      </c>
      <c r="AK313" s="7" t="str">
        <f t="shared" si="94"/>
        <v/>
      </c>
      <c r="AL313" s="7">
        <f t="shared" si="95"/>
        <v>4.4946879869926617</v>
      </c>
      <c r="AM313" s="7" t="str">
        <f t="shared" si="96"/>
        <v/>
      </c>
      <c r="AN313" s="4">
        <v>26824.584242278481</v>
      </c>
      <c r="AO313" s="4">
        <v>40217.980000000003</v>
      </c>
      <c r="AP313" s="14">
        <f t="shared" si="111"/>
        <v>2873696.9504122785</v>
      </c>
      <c r="AQ313" s="14">
        <f t="shared" si="112"/>
        <v>2806654.3861699998</v>
      </c>
      <c r="AR313" s="8">
        <v>56599.12</v>
      </c>
      <c r="AS313" s="20">
        <v>49.588304308794903</v>
      </c>
      <c r="AT313" s="8">
        <v>32060736.699999999</v>
      </c>
      <c r="AU313" s="8">
        <v>26408.6283</v>
      </c>
      <c r="AV313" s="8">
        <v>1245.0726999999999</v>
      </c>
      <c r="AW313" s="8"/>
      <c r="AX313" s="9">
        <v>427.48371639256351</v>
      </c>
      <c r="AY313" s="6">
        <f t="shared" si="97"/>
        <v>2.254857661209311E-2</v>
      </c>
      <c r="AZ313" s="8">
        <v>420692492.19050002</v>
      </c>
      <c r="BA313" s="10">
        <v>60480066</v>
      </c>
      <c r="BB313" s="11">
        <v>32060736.699999999</v>
      </c>
      <c r="BC313" s="10">
        <v>2971324</v>
      </c>
      <c r="BD313" s="10">
        <f>1000000000-999566687.5639+108903.8585</f>
        <v>542216.29460000608</v>
      </c>
      <c r="BE313" s="12">
        <f t="shared" si="98"/>
        <v>483253164.81489998</v>
      </c>
      <c r="BF313" s="13">
        <v>238</v>
      </c>
      <c r="BG313" s="13">
        <f t="shared" si="99"/>
        <v>245.2531648149</v>
      </c>
      <c r="BH313" s="14">
        <f>BE313*49.46</f>
        <v>23901701531.744953</v>
      </c>
    </row>
    <row r="314" spans="1:60" x14ac:dyDescent="0.25">
      <c r="A314" s="3">
        <v>45936</v>
      </c>
      <c r="B314" s="4">
        <v>10603772427</v>
      </c>
      <c r="C314" s="4"/>
      <c r="D314" s="5">
        <v>538793113</v>
      </c>
      <c r="E314" s="4"/>
      <c r="N314" s="4">
        <v>3319585.79</v>
      </c>
      <c r="O314" s="4"/>
      <c r="P314" s="4">
        <v>351725.42</v>
      </c>
      <c r="Q314" s="4"/>
      <c r="R314" s="14">
        <f t="shared" si="100"/>
        <v>3671311.21</v>
      </c>
      <c r="S314" s="6">
        <v>0.01</v>
      </c>
      <c r="T314" s="14">
        <f t="shared" si="101"/>
        <v>33195.857900000003</v>
      </c>
      <c r="U314" s="14">
        <f t="shared" si="102"/>
        <v>0</v>
      </c>
      <c r="V314" s="14">
        <f t="shared" si="103"/>
        <v>2969.5022999999997</v>
      </c>
      <c r="W314" s="14" t="str">
        <f t="shared" si="104"/>
        <v/>
      </c>
      <c r="X314" s="4">
        <v>54775.19</v>
      </c>
      <c r="Y314" s="4"/>
      <c r="Z314" s="4"/>
      <c r="AA314" s="14">
        <f t="shared" si="105"/>
        <v>90940.550199999998</v>
      </c>
      <c r="AB314" s="4">
        <v>300565.80540000001</v>
      </c>
      <c r="AC314" s="4">
        <v>3319585.79</v>
      </c>
      <c r="AD314" s="14">
        <f t="shared" si="106"/>
        <v>0</v>
      </c>
      <c r="AE314" s="14">
        <f t="shared" si="107"/>
        <v>296950.23</v>
      </c>
      <c r="AF314" s="14" t="str">
        <f t="shared" si="108"/>
        <v/>
      </c>
      <c r="AG314" s="15">
        <f t="shared" si="109"/>
        <v>3616536.02</v>
      </c>
      <c r="AH314" s="4">
        <v>3123698.8557500001</v>
      </c>
      <c r="AI314" s="17">
        <f t="shared" si="110"/>
        <v>492837.16424999991</v>
      </c>
      <c r="AJ314" s="7">
        <f t="shared" si="93"/>
        <v>3.1305705708540668</v>
      </c>
      <c r="AK314" s="7" t="str">
        <f t="shared" si="94"/>
        <v/>
      </c>
      <c r="AL314" s="7">
        <f t="shared" si="95"/>
        <v>6.5280236794711959</v>
      </c>
      <c r="AM314" s="7" t="str">
        <f t="shared" si="96"/>
        <v/>
      </c>
      <c r="AN314" s="4">
        <v>25002.139148336541</v>
      </c>
      <c r="AO314" s="4">
        <v>0</v>
      </c>
      <c r="AP314" s="14">
        <f t="shared" si="111"/>
        <v>3148700.9948983365</v>
      </c>
      <c r="AQ314" s="14">
        <f t="shared" si="112"/>
        <v>3123698.8557500001</v>
      </c>
      <c r="AR314" s="8">
        <v>64194.16</v>
      </c>
      <c r="AS314" s="20">
        <v>48.660171824820203</v>
      </c>
      <c r="AT314" s="8">
        <v>32124587.41</v>
      </c>
      <c r="AU314" s="8">
        <v>26412.451099999998</v>
      </c>
      <c r="AV314" s="8">
        <v>1265.7452000000001</v>
      </c>
      <c r="AW314" s="8"/>
      <c r="AX314" s="9">
        <v>427.34285848635977</v>
      </c>
      <c r="AY314" s="6">
        <f t="shared" si="97"/>
        <v>2.2559274035014003E-2</v>
      </c>
      <c r="AZ314" s="8">
        <v>420666079.73940003</v>
      </c>
      <c r="BA314" s="10">
        <v>60480066</v>
      </c>
      <c r="BB314" s="11">
        <v>32124587.41</v>
      </c>
      <c r="BC314" s="10">
        <v>2971324</v>
      </c>
      <c r="BD314" s="10">
        <f>1000000000-999565421.8186+109420.9551</f>
        <v>543999.13649994147</v>
      </c>
      <c r="BE314" s="12">
        <f t="shared" si="98"/>
        <v>483213943.7141</v>
      </c>
      <c r="BF314" s="13">
        <v>238</v>
      </c>
      <c r="BG314" s="13">
        <f t="shared" si="99"/>
        <v>245.21394371410003</v>
      </c>
      <c r="BH314" s="14">
        <f>BE314*48.21</f>
        <v>23295744226.45676</v>
      </c>
    </row>
    <row r="315" spans="1:60" x14ac:dyDescent="0.25">
      <c r="A315" s="3">
        <v>45937</v>
      </c>
      <c r="B315" s="4">
        <v>14676247652</v>
      </c>
      <c r="C315" s="4"/>
      <c r="D315" s="5">
        <v>738528778</v>
      </c>
      <c r="E315" s="4"/>
      <c r="N315" s="4">
        <v>4550639.6399999997</v>
      </c>
      <c r="O315" s="4"/>
      <c r="P315" s="4">
        <v>384890.57</v>
      </c>
      <c r="Q315" s="4"/>
      <c r="R315" s="14">
        <f t="shared" si="100"/>
        <v>4935530.21</v>
      </c>
      <c r="S315" s="6">
        <v>0.01</v>
      </c>
      <c r="T315" s="14">
        <f t="shared" si="101"/>
        <v>45506.396399999998</v>
      </c>
      <c r="U315" s="14">
        <f t="shared" si="102"/>
        <v>0</v>
      </c>
      <c r="V315" s="14">
        <f t="shared" si="103"/>
        <v>3293.1170000000002</v>
      </c>
      <c r="W315" s="14" t="str">
        <f t="shared" si="104"/>
        <v/>
      </c>
      <c r="X315" s="4">
        <v>55578.87</v>
      </c>
      <c r="Y315" s="4"/>
      <c r="Z315" s="4"/>
      <c r="AA315" s="14">
        <f t="shared" si="105"/>
        <v>104378.38339999999</v>
      </c>
      <c r="AB315" s="4">
        <v>306200.97259999998</v>
      </c>
      <c r="AC315" s="4">
        <v>4550639.6399999997</v>
      </c>
      <c r="AD315" s="14">
        <f t="shared" si="106"/>
        <v>0</v>
      </c>
      <c r="AE315" s="14">
        <f t="shared" si="107"/>
        <v>329311.7</v>
      </c>
      <c r="AF315" s="14" t="str">
        <f t="shared" si="108"/>
        <v/>
      </c>
      <c r="AG315" s="15">
        <f t="shared" si="109"/>
        <v>4879951.34</v>
      </c>
      <c r="AH315" s="4">
        <v>4300251.9719900005</v>
      </c>
      <c r="AI315" s="17">
        <f t="shared" si="110"/>
        <v>579699.36800999939</v>
      </c>
      <c r="AJ315" s="7">
        <f t="shared" si="93"/>
        <v>3.1006833271717538</v>
      </c>
      <c r="AK315" s="7" t="str">
        <f t="shared" si="94"/>
        <v/>
      </c>
      <c r="AL315" s="7">
        <f t="shared" si="95"/>
        <v>5.2115852687869122</v>
      </c>
      <c r="AM315" s="7" t="str">
        <f t="shared" si="96"/>
        <v/>
      </c>
      <c r="AN315" s="4">
        <v>36955.931646833553</v>
      </c>
      <c r="AO315" s="4">
        <v>23719.19</v>
      </c>
      <c r="AP315" s="14">
        <f t="shared" si="111"/>
        <v>4360927.0936368341</v>
      </c>
      <c r="AQ315" s="14">
        <f t="shared" si="112"/>
        <v>4300251.9719900005</v>
      </c>
      <c r="AR315" s="8">
        <v>94377.52</v>
      </c>
      <c r="AS315" s="20">
        <v>45.564367150037427</v>
      </c>
      <c r="AT315" s="8">
        <v>32218974.670000002</v>
      </c>
      <c r="AU315" s="8">
        <v>26417.411499999998</v>
      </c>
      <c r="AV315" s="8">
        <v>488.57209999999998</v>
      </c>
      <c r="AW315" s="8"/>
      <c r="AX315" s="9">
        <v>427.4653912335101</v>
      </c>
      <c r="AY315" s="6">
        <f t="shared" si="97"/>
        <v>2.255704296826384E-2</v>
      </c>
      <c r="AZ315" s="8">
        <v>420639662.32779998</v>
      </c>
      <c r="BA315" s="10">
        <v>60480066</v>
      </c>
      <c r="BB315" s="11">
        <v>32218974.670000002</v>
      </c>
      <c r="BC315" s="10">
        <v>2971324</v>
      </c>
      <c r="BD315" s="10">
        <f>1000000000-999564933.2465+110197.6992</f>
        <v>545264.45269998477</v>
      </c>
      <c r="BE315" s="12">
        <f t="shared" si="98"/>
        <v>483144708.54949999</v>
      </c>
      <c r="BF315" s="13">
        <v>238</v>
      </c>
      <c r="BG315" s="13">
        <f t="shared" si="99"/>
        <v>245.14470854949997</v>
      </c>
      <c r="BH315" s="14">
        <f>BE315*47.59</f>
        <v>22992856679.870705</v>
      </c>
    </row>
    <row r="316" spans="1:60" x14ac:dyDescent="0.25">
      <c r="A316" s="3">
        <v>45938</v>
      </c>
      <c r="B316" s="4">
        <v>8887739221</v>
      </c>
      <c r="C316" s="4"/>
      <c r="D316" s="5">
        <v>654600179</v>
      </c>
      <c r="E316" s="4"/>
      <c r="N316" s="4">
        <v>2824578.39</v>
      </c>
      <c r="O316" s="4"/>
      <c r="P316" s="4">
        <v>297618.26</v>
      </c>
      <c r="Q316" s="4"/>
      <c r="R316" s="14">
        <f t="shared" si="100"/>
        <v>3122196.6500000004</v>
      </c>
      <c r="S316" s="6">
        <v>0.01</v>
      </c>
      <c r="T316" s="14">
        <f t="shared" si="101"/>
        <v>28245.783900000002</v>
      </c>
      <c r="U316" s="14">
        <f t="shared" si="102"/>
        <v>0</v>
      </c>
      <c r="V316" s="14">
        <f t="shared" si="103"/>
        <v>2551.1323000000002</v>
      </c>
      <c r="W316" s="14" t="str">
        <f t="shared" si="104"/>
        <v/>
      </c>
      <c r="X316" s="4">
        <v>42505.03</v>
      </c>
      <c r="Y316" s="4"/>
      <c r="Z316" s="4"/>
      <c r="AA316" s="14">
        <f t="shared" si="105"/>
        <v>73301.946200000006</v>
      </c>
      <c r="AB316" s="4">
        <v>233159.9896</v>
      </c>
      <c r="AC316" s="4">
        <v>2824578.39</v>
      </c>
      <c r="AD316" s="14">
        <f t="shared" si="106"/>
        <v>0</v>
      </c>
      <c r="AE316" s="14">
        <f t="shared" si="107"/>
        <v>255113.23</v>
      </c>
      <c r="AF316" s="14" t="str">
        <f t="shared" si="108"/>
        <v/>
      </c>
      <c r="AG316" s="15">
        <f t="shared" si="109"/>
        <v>3079691.62</v>
      </c>
      <c r="AH316" s="4">
        <v>2673956.65827</v>
      </c>
      <c r="AI316" s="17">
        <f t="shared" si="110"/>
        <v>405734.9617300001</v>
      </c>
      <c r="AJ316" s="7">
        <f t="shared" si="93"/>
        <v>3.1780617317462134</v>
      </c>
      <c r="AK316" s="7" t="str">
        <f t="shared" si="94"/>
        <v/>
      </c>
      <c r="AL316" s="7">
        <f t="shared" si="95"/>
        <v>4.5465655150699247</v>
      </c>
      <c r="AM316" s="7" t="str">
        <f t="shared" si="96"/>
        <v/>
      </c>
      <c r="AN316" s="4">
        <v>23104.137373938131</v>
      </c>
      <c r="AO316" s="4">
        <v>0</v>
      </c>
      <c r="AP316" s="14">
        <f t="shared" si="111"/>
        <v>2697060.7956439382</v>
      </c>
      <c r="AQ316" s="14">
        <f t="shared" si="112"/>
        <v>2673956.65827</v>
      </c>
      <c r="AR316" s="8">
        <v>57969.57</v>
      </c>
      <c r="AS316" s="20">
        <v>46.126901722231167</v>
      </c>
      <c r="AT316" s="8">
        <v>32235953.870000001</v>
      </c>
      <c r="AU316" s="8">
        <v>26421.941800000001</v>
      </c>
      <c r="AV316" s="8">
        <v>1239.5163</v>
      </c>
      <c r="AW316" s="8"/>
      <c r="AX316" s="9">
        <v>427.96536367947101</v>
      </c>
      <c r="AY316" s="6">
        <f t="shared" si="97"/>
        <v>2.2534554371607927E-2</v>
      </c>
      <c r="AZ316" s="8">
        <v>420613240.38599998</v>
      </c>
      <c r="BA316" s="10">
        <v>60480066</v>
      </c>
      <c r="BB316" s="11">
        <v>32235953.870000001</v>
      </c>
      <c r="BC316" s="10">
        <v>2971324</v>
      </c>
      <c r="BD316" s="10">
        <f>1000000000-999563693.7302+110710.475</f>
        <v>547016.74479994772</v>
      </c>
      <c r="BE316" s="12">
        <f t="shared" si="98"/>
        <v>483152398.99920011</v>
      </c>
      <c r="BF316" s="13">
        <v>238</v>
      </c>
      <c r="BG316" s="13">
        <f t="shared" si="99"/>
        <v>245.1523989992001</v>
      </c>
      <c r="BH316" s="14">
        <f>BE316*44.97</f>
        <v>21727363382.99403</v>
      </c>
    </row>
    <row r="317" spans="1:60" x14ac:dyDescent="0.25">
      <c r="A317" s="3">
        <v>45939</v>
      </c>
      <c r="B317" s="4">
        <v>12273094487</v>
      </c>
      <c r="C317" s="4"/>
      <c r="D317" s="5">
        <v>454122989</v>
      </c>
      <c r="E317" s="4"/>
      <c r="N317" s="4">
        <v>3747815.75</v>
      </c>
      <c r="O317" s="4"/>
      <c r="P317" s="4">
        <v>255954.24</v>
      </c>
      <c r="Q317" s="4"/>
      <c r="R317" s="14">
        <f t="shared" si="100"/>
        <v>4003769.99</v>
      </c>
      <c r="S317" s="6">
        <v>0.01</v>
      </c>
      <c r="T317" s="14">
        <f t="shared" si="101"/>
        <v>37478.157500000001</v>
      </c>
      <c r="U317" s="14">
        <f t="shared" si="102"/>
        <v>0</v>
      </c>
      <c r="V317" s="14">
        <f t="shared" si="103"/>
        <v>2137.5778</v>
      </c>
      <c r="W317" s="14" t="str">
        <f t="shared" si="104"/>
        <v/>
      </c>
      <c r="X317" s="4">
        <v>42196.46</v>
      </c>
      <c r="Y317" s="4"/>
      <c r="Z317" s="4"/>
      <c r="AA317" s="14">
        <f t="shared" si="105"/>
        <v>81812.195299999992</v>
      </c>
      <c r="AB317" s="4">
        <v>264087.72989999998</v>
      </c>
      <c r="AC317" s="4">
        <v>3747815.75</v>
      </c>
      <c r="AD317" s="14">
        <f t="shared" si="106"/>
        <v>0</v>
      </c>
      <c r="AE317" s="14">
        <f t="shared" si="107"/>
        <v>213757.78</v>
      </c>
      <c r="AF317" s="14" t="str">
        <f t="shared" si="108"/>
        <v/>
      </c>
      <c r="AG317" s="15">
        <f t="shared" si="109"/>
        <v>3961573.53</v>
      </c>
      <c r="AH317" s="4">
        <v>3500214.9785000002</v>
      </c>
      <c r="AI317" s="17">
        <f t="shared" si="110"/>
        <v>461358.55149999959</v>
      </c>
      <c r="AJ317" s="7">
        <f t="shared" si="93"/>
        <v>3.0536844265069329</v>
      </c>
      <c r="AK317" s="7" t="str">
        <f t="shared" si="94"/>
        <v/>
      </c>
      <c r="AL317" s="7">
        <f t="shared" si="95"/>
        <v>5.6362317301668243</v>
      </c>
      <c r="AM317" s="7" t="str">
        <f t="shared" si="96"/>
        <v/>
      </c>
      <c r="AN317" s="4">
        <v>37636.687054379523</v>
      </c>
      <c r="AO317" s="4">
        <v>23241.29</v>
      </c>
      <c r="AP317" s="14">
        <f t="shared" si="111"/>
        <v>3561092.9555543796</v>
      </c>
      <c r="AQ317" s="14">
        <f t="shared" si="112"/>
        <v>3500214.9785000002</v>
      </c>
      <c r="AR317" s="8">
        <v>79211.56</v>
      </c>
      <c r="AS317" s="20">
        <v>44.188183877454257</v>
      </c>
      <c r="AT317" s="8">
        <v>32294369.120000001</v>
      </c>
      <c r="AU317" s="8">
        <v>26430.8063</v>
      </c>
      <c r="AV317" s="8">
        <v>400.02839999999998</v>
      </c>
      <c r="AW317" s="8"/>
      <c r="AX317" s="9">
        <v>428.07917162617179</v>
      </c>
      <c r="AY317" s="6">
        <f t="shared" si="97"/>
        <v>2.2536121677801783E-2</v>
      </c>
      <c r="AZ317" s="8">
        <v>420586809.57969999</v>
      </c>
      <c r="BA317" s="10">
        <v>60480066</v>
      </c>
      <c r="BB317" s="11">
        <v>32294369.120000001</v>
      </c>
      <c r="BC317" s="10">
        <v>2971324</v>
      </c>
      <c r="BD317" s="10">
        <f>1000000000-999563293.7018+111521.5231</f>
        <v>548227.82130001124</v>
      </c>
      <c r="BE317" s="12">
        <f t="shared" si="98"/>
        <v>483119203.47899997</v>
      </c>
      <c r="BF317" s="13">
        <v>238</v>
      </c>
      <c r="BG317" s="13">
        <f t="shared" si="99"/>
        <v>245.11920347899996</v>
      </c>
      <c r="BH317" s="14">
        <f>BE317*46.6</f>
        <v>22513354882.121399</v>
      </c>
    </row>
    <row r="318" spans="1:60" x14ac:dyDescent="0.25">
      <c r="A318" s="3">
        <v>45940</v>
      </c>
      <c r="B318" s="4">
        <v>28724586157</v>
      </c>
      <c r="C318" s="4"/>
      <c r="D318" s="5">
        <v>984610585</v>
      </c>
      <c r="E318" s="4"/>
      <c r="N318" s="4">
        <v>8871516.4600000009</v>
      </c>
      <c r="O318" s="4"/>
      <c r="P318" s="4">
        <v>483012.67</v>
      </c>
      <c r="Q318" s="4"/>
      <c r="R318" s="14">
        <f t="shared" si="100"/>
        <v>9354529.1300000008</v>
      </c>
      <c r="S318" s="6">
        <v>0.01</v>
      </c>
      <c r="T318" s="14">
        <f t="shared" si="101"/>
        <v>88715.164600000004</v>
      </c>
      <c r="U318" s="14">
        <f t="shared" si="102"/>
        <v>0</v>
      </c>
      <c r="V318" s="14">
        <f t="shared" si="103"/>
        <v>3754.2633999999998</v>
      </c>
      <c r="W318" s="14" t="str">
        <f t="shared" si="104"/>
        <v/>
      </c>
      <c r="X318" s="4">
        <v>107586.33</v>
      </c>
      <c r="Y318" s="4"/>
      <c r="Z318" s="4"/>
      <c r="AA318" s="14">
        <f t="shared" si="105"/>
        <v>200055.758</v>
      </c>
      <c r="AB318" s="4">
        <v>434914.3616</v>
      </c>
      <c r="AC318" s="4">
        <v>8871516.4600000009</v>
      </c>
      <c r="AD318" s="14">
        <f t="shared" si="106"/>
        <v>0</v>
      </c>
      <c r="AE318" s="14">
        <f t="shared" si="107"/>
        <v>375426.33999999997</v>
      </c>
      <c r="AF318" s="14" t="str">
        <f t="shared" si="108"/>
        <v/>
      </c>
      <c r="AG318" s="15">
        <f t="shared" si="109"/>
        <v>9246942.8000000007</v>
      </c>
      <c r="AH318" s="4">
        <v>20134654.76808</v>
      </c>
      <c r="AI318" s="17">
        <f t="shared" si="110"/>
        <v>-10887711.968079999</v>
      </c>
      <c r="AJ318" s="7">
        <f t="shared" si="93"/>
        <v>3.0884749432109984</v>
      </c>
      <c r="AK318" s="7" t="str">
        <f t="shared" si="94"/>
        <v/>
      </c>
      <c r="AL318" s="7">
        <f t="shared" si="95"/>
        <v>4.9056213426752864</v>
      </c>
      <c r="AM318" s="7" t="str">
        <f t="shared" si="96"/>
        <v/>
      </c>
      <c r="AN318" s="4">
        <v>391730.17307583819</v>
      </c>
      <c r="AO318" s="4">
        <v>0</v>
      </c>
      <c r="AP318" s="14">
        <f t="shared" si="111"/>
        <v>20526384.94115584</v>
      </c>
      <c r="AQ318" s="14">
        <f t="shared" si="112"/>
        <v>20134654.76808</v>
      </c>
      <c r="AR318" s="8">
        <v>507262.99</v>
      </c>
      <c r="AS318" s="20">
        <v>39.692733680570697</v>
      </c>
      <c r="AT318" s="8">
        <v>32371984.129999999</v>
      </c>
      <c r="AU318" s="8">
        <v>26390.5465</v>
      </c>
      <c r="AV318" s="8">
        <v>1105.4204</v>
      </c>
      <c r="AW318" s="8"/>
      <c r="AX318" s="9">
        <v>426.30864882920741</v>
      </c>
      <c r="AY318" s="6">
        <f t="shared" si="97"/>
        <v>2.259524759573691E-2</v>
      </c>
      <c r="AZ318" s="8">
        <v>420560419.03329998</v>
      </c>
      <c r="BA318" s="10">
        <v>60480066</v>
      </c>
      <c r="BB318" s="11">
        <v>32371984.129999999</v>
      </c>
      <c r="BC318" s="10">
        <v>2971324</v>
      </c>
      <c r="BD318" s="10">
        <f>1000000000-999562188.2814+120408.9286</f>
        <v>558220.6472000347</v>
      </c>
      <c r="BE318" s="12">
        <f t="shared" si="98"/>
        <v>483057986.18950003</v>
      </c>
      <c r="BF318" s="13">
        <v>238</v>
      </c>
      <c r="BG318" s="13">
        <f t="shared" si="99"/>
        <v>245.05798618950001</v>
      </c>
      <c r="BH318" s="14">
        <f>BE318*44.08</f>
        <v>21293196031.233162</v>
      </c>
    </row>
    <row r="319" spans="1:60" x14ac:dyDescent="0.25">
      <c r="A319" s="3">
        <v>45941</v>
      </c>
      <c r="B319" s="4">
        <v>10333348904</v>
      </c>
      <c r="C319" s="4"/>
      <c r="D319" s="5">
        <v>704628551</v>
      </c>
      <c r="E319" s="4"/>
      <c r="N319" s="4">
        <v>2885530.39</v>
      </c>
      <c r="O319" s="4"/>
      <c r="P319" s="4">
        <v>309237.8</v>
      </c>
      <c r="Q319" s="4"/>
      <c r="R319" s="14">
        <f t="shared" si="100"/>
        <v>3194768.19</v>
      </c>
      <c r="S319" s="6">
        <v>0.01</v>
      </c>
      <c r="T319" s="14">
        <f t="shared" si="101"/>
        <v>28855.303900000003</v>
      </c>
      <c r="U319" s="14">
        <f t="shared" si="102"/>
        <v>0</v>
      </c>
      <c r="V319" s="14">
        <f t="shared" si="103"/>
        <v>2558.1478000000002</v>
      </c>
      <c r="W319" s="14" t="str">
        <f t="shared" si="104"/>
        <v/>
      </c>
      <c r="X319" s="4">
        <v>53423.02</v>
      </c>
      <c r="Y319" s="4"/>
      <c r="Z319" s="4"/>
      <c r="AA319" s="14">
        <f t="shared" si="105"/>
        <v>84836.471699999995</v>
      </c>
      <c r="AB319" s="4">
        <v>216111.42170000001</v>
      </c>
      <c r="AC319" s="4">
        <v>2885530.39</v>
      </c>
      <c r="AD319" s="14">
        <f t="shared" si="106"/>
        <v>0</v>
      </c>
      <c r="AE319" s="14">
        <f t="shared" si="107"/>
        <v>255814.78</v>
      </c>
      <c r="AF319" s="14" t="str">
        <f t="shared" si="108"/>
        <v/>
      </c>
      <c r="AG319" s="15">
        <f t="shared" si="109"/>
        <v>3141345.17</v>
      </c>
      <c r="AH319" s="4">
        <v>2999479.4880599999</v>
      </c>
      <c r="AI319" s="17">
        <f t="shared" si="110"/>
        <v>141865.68194000004</v>
      </c>
      <c r="AJ319" s="7">
        <f t="shared" si="93"/>
        <v>2.7924445567525762</v>
      </c>
      <c r="AK319" s="7" t="str">
        <f t="shared" si="94"/>
        <v/>
      </c>
      <c r="AL319" s="7">
        <f t="shared" si="95"/>
        <v>4.3886640636564271</v>
      </c>
      <c r="AM319" s="7" t="str">
        <f t="shared" si="96"/>
        <v/>
      </c>
      <c r="AN319" s="4">
        <v>105794.8433546484</v>
      </c>
      <c r="AO319" s="4">
        <v>28908.720000000001</v>
      </c>
      <c r="AP319" s="14">
        <f t="shared" si="111"/>
        <v>3134183.0514146485</v>
      </c>
      <c r="AQ319" s="14">
        <f t="shared" si="112"/>
        <v>2999479.4880599999</v>
      </c>
      <c r="AR319" s="8">
        <v>78616.25</v>
      </c>
      <c r="AS319" s="20">
        <v>38.153428687580487</v>
      </c>
      <c r="AT319" s="8">
        <v>32894296</v>
      </c>
      <c r="AU319" s="8">
        <v>26366.724200000001</v>
      </c>
      <c r="AV319" s="8">
        <v>1896.0689</v>
      </c>
      <c r="AW319" s="8"/>
      <c r="AX319" s="9">
        <v>425.63003105626387</v>
      </c>
      <c r="AY319" s="6">
        <f t="shared" si="97"/>
        <v>2.261084423276474E-2</v>
      </c>
      <c r="AZ319" s="8">
        <v>420534052.30900002</v>
      </c>
      <c r="BA319" s="10">
        <v>60480066</v>
      </c>
      <c r="BB319" s="11">
        <v>32894296</v>
      </c>
      <c r="BC319" s="10">
        <v>2971324</v>
      </c>
      <c r="BD319" s="10">
        <f>1000000000-999560292.2125+123281.8368</f>
        <v>562989.62430002389</v>
      </c>
      <c r="BE319" s="12">
        <f t="shared" si="98"/>
        <v>482557272.06669998</v>
      </c>
      <c r="BF319" s="13">
        <v>238</v>
      </c>
      <c r="BG319" s="13">
        <f t="shared" si="99"/>
        <v>244.55727206669997</v>
      </c>
      <c r="BH319" s="14">
        <f>BE319*38.23</f>
        <v>18448164511.10994</v>
      </c>
    </row>
    <row r="320" spans="1:60" x14ac:dyDescent="0.25">
      <c r="A320" s="3">
        <v>45942</v>
      </c>
      <c r="B320" s="4">
        <v>11787564657</v>
      </c>
      <c r="C320" s="4"/>
      <c r="D320" s="5">
        <v>484211693</v>
      </c>
      <c r="E320" s="4"/>
      <c r="N320" s="4">
        <v>3589240.17</v>
      </c>
      <c r="O320" s="4"/>
      <c r="P320" s="4">
        <v>242549.54</v>
      </c>
      <c r="Q320" s="4"/>
      <c r="R320" s="14">
        <f t="shared" si="100"/>
        <v>3831789.71</v>
      </c>
      <c r="S320" s="6">
        <v>0.01</v>
      </c>
      <c r="T320" s="14">
        <f t="shared" si="101"/>
        <v>35892.401700000002</v>
      </c>
      <c r="U320" s="14">
        <f t="shared" si="102"/>
        <v>0</v>
      </c>
      <c r="V320" s="14">
        <f t="shared" si="103"/>
        <v>1860.5311999999999</v>
      </c>
      <c r="W320" s="14" t="str">
        <f t="shared" si="104"/>
        <v/>
      </c>
      <c r="X320" s="4">
        <v>56496.42</v>
      </c>
      <c r="Y320" s="4"/>
      <c r="Z320" s="4"/>
      <c r="AA320" s="14">
        <f t="shared" si="105"/>
        <v>94249.352899999998</v>
      </c>
      <c r="AB320" s="4">
        <v>288561.50929999998</v>
      </c>
      <c r="AC320" s="4">
        <v>3589240.17</v>
      </c>
      <c r="AD320" s="14">
        <f t="shared" si="106"/>
        <v>0</v>
      </c>
      <c r="AE320" s="14">
        <f t="shared" si="107"/>
        <v>186053.12</v>
      </c>
      <c r="AF320" s="14" t="str">
        <f t="shared" si="108"/>
        <v/>
      </c>
      <c r="AG320" s="15">
        <f t="shared" si="109"/>
        <v>3775293.29</v>
      </c>
      <c r="AH320" s="4">
        <v>3279132.3973500002</v>
      </c>
      <c r="AI320" s="17">
        <f t="shared" si="110"/>
        <v>496160.89264999982</v>
      </c>
      <c r="AJ320" s="7">
        <f t="shared" si="93"/>
        <v>3.0449378429229172</v>
      </c>
      <c r="AK320" s="7" t="str">
        <f t="shared" si="94"/>
        <v/>
      </c>
      <c r="AL320" s="7">
        <f t="shared" si="95"/>
        <v>5.0091632132477235</v>
      </c>
      <c r="AM320" s="7" t="str">
        <f t="shared" si="96"/>
        <v/>
      </c>
      <c r="AN320" s="4">
        <v>49128.074553423437</v>
      </c>
      <c r="AO320" s="4">
        <v>0</v>
      </c>
      <c r="AP320" s="14">
        <f t="shared" si="111"/>
        <v>3328260.4719034238</v>
      </c>
      <c r="AQ320" s="14">
        <f t="shared" si="112"/>
        <v>3279132.3973500002</v>
      </c>
      <c r="AR320" s="8">
        <v>84192.56</v>
      </c>
      <c r="AS320" s="20">
        <v>38.948006775776868</v>
      </c>
      <c r="AT320" s="8">
        <v>32964950.57</v>
      </c>
      <c r="AU320" s="8">
        <v>26327.219799999999</v>
      </c>
      <c r="AV320" s="8">
        <v>2730.5779000000002</v>
      </c>
      <c r="AW320" s="8"/>
      <c r="AX320" s="9">
        <v>424.16994219449822</v>
      </c>
      <c r="AY320" s="6">
        <f t="shared" si="97"/>
        <v>2.2654682171217366E-2</v>
      </c>
      <c r="AZ320" s="8">
        <v>420507725.08920002</v>
      </c>
      <c r="BA320" s="10">
        <v>60480066</v>
      </c>
      <c r="BB320" s="11">
        <v>32964950.57</v>
      </c>
      <c r="BC320" s="10">
        <v>2971324</v>
      </c>
      <c r="BD320" s="10">
        <f>1000000000-999557561.6346+124521.9437</f>
        <v>566960.30909995665</v>
      </c>
      <c r="BE320" s="12">
        <f t="shared" si="98"/>
        <v>482508974.03170002</v>
      </c>
      <c r="BF320" s="13">
        <v>238</v>
      </c>
      <c r="BG320" s="13">
        <f t="shared" si="99"/>
        <v>244.50897403170001</v>
      </c>
      <c r="BH320" s="14">
        <f>BE320*36.72</f>
        <v>17717729526.444023</v>
      </c>
    </row>
    <row r="321" spans="1:60" x14ac:dyDescent="0.25">
      <c r="A321" s="3">
        <v>45943</v>
      </c>
      <c r="B321" s="4">
        <v>9594655311</v>
      </c>
      <c r="C321" s="4">
        <v>24047820</v>
      </c>
      <c r="D321" s="5">
        <v>433769946</v>
      </c>
      <c r="E321" s="4"/>
      <c r="F321" s="5"/>
      <c r="G321" s="5"/>
      <c r="H321" s="5"/>
      <c r="I321" s="5">
        <v>24047820</v>
      </c>
      <c r="J321" s="5"/>
      <c r="K321" s="5"/>
      <c r="L321" s="14">
        <f t="shared" ref="L321:L384" si="113">SUM(F321:K321)</f>
        <v>24047820</v>
      </c>
      <c r="M321" s="21">
        <v>1.0009040739961741</v>
      </c>
      <c r="N321" s="4">
        <v>2951264.33</v>
      </c>
      <c r="O321" s="4">
        <v>28736.639999999999</v>
      </c>
      <c r="P321" s="4">
        <v>230749.44</v>
      </c>
      <c r="Q321" s="4"/>
      <c r="R321" s="14">
        <f t="shared" si="100"/>
        <v>3210750.41</v>
      </c>
      <c r="S321" s="6">
        <v>0.01</v>
      </c>
      <c r="T321" s="14">
        <f t="shared" si="101"/>
        <v>29512.6433</v>
      </c>
      <c r="U321" s="14">
        <f t="shared" si="102"/>
        <v>143.6832</v>
      </c>
      <c r="V321" s="14">
        <f t="shared" si="103"/>
        <v>1906.8114000000003</v>
      </c>
      <c r="W321" s="14" t="str">
        <f t="shared" si="104"/>
        <v/>
      </c>
      <c r="X321" s="4">
        <v>40068.300000000003</v>
      </c>
      <c r="Y321" s="4">
        <v>14368.32</v>
      </c>
      <c r="Z321" s="4"/>
      <c r="AA321" s="14">
        <f t="shared" si="105"/>
        <v>85999.757899999997</v>
      </c>
      <c r="AB321" s="4">
        <v>249712.78709999999</v>
      </c>
      <c r="AC321" s="4">
        <v>2951264.33</v>
      </c>
      <c r="AD321" s="14">
        <f t="shared" si="106"/>
        <v>14368.32</v>
      </c>
      <c r="AE321" s="14">
        <f t="shared" si="107"/>
        <v>190681.14</v>
      </c>
      <c r="AF321" s="14" t="str">
        <f t="shared" si="108"/>
        <v/>
      </c>
      <c r="AG321" s="15">
        <f t="shared" si="109"/>
        <v>3156313.79</v>
      </c>
      <c r="AH321" s="4">
        <v>2737513.0548100001</v>
      </c>
      <c r="AI321" s="17">
        <f t="shared" si="110"/>
        <v>418800.73518999992</v>
      </c>
      <c r="AJ321" s="7">
        <f t="shared" si="93"/>
        <v>3.0759461745503867</v>
      </c>
      <c r="AK321" s="7">
        <f t="shared" si="94"/>
        <v>11.949790043338647</v>
      </c>
      <c r="AL321" s="7">
        <f t="shared" si="95"/>
        <v>5.3196271924288645</v>
      </c>
      <c r="AM321" s="7" t="str">
        <f t="shared" si="96"/>
        <v/>
      </c>
      <c r="AN321" s="4">
        <v>54909.757175491402</v>
      </c>
      <c r="AO321" s="4">
        <v>0</v>
      </c>
      <c r="AP321" s="14">
        <f t="shared" si="111"/>
        <v>2792422.8119854913</v>
      </c>
      <c r="AQ321" s="14">
        <f t="shared" si="112"/>
        <v>2737513.0548100001</v>
      </c>
      <c r="AR321" s="8">
        <v>66844.14</v>
      </c>
      <c r="AS321" s="20">
        <v>40.953673049125918</v>
      </c>
      <c r="AT321" s="8">
        <v>33052999.620000001</v>
      </c>
      <c r="AU321" s="8">
        <v>26292.372299999999</v>
      </c>
      <c r="AV321" s="8">
        <v>1146.203</v>
      </c>
      <c r="AW321" s="8"/>
      <c r="AX321" s="9">
        <v>423.48586929386897</v>
      </c>
      <c r="AY321" s="6">
        <f t="shared" si="97"/>
        <v>2.266124228773396E-2</v>
      </c>
      <c r="AZ321" s="8">
        <v>420481432.71689999</v>
      </c>
      <c r="BA321" s="10">
        <v>60480066</v>
      </c>
      <c r="BB321" s="11">
        <v>33052999.620000001</v>
      </c>
      <c r="BC321" s="10">
        <v>2971324</v>
      </c>
      <c r="BD321" s="10">
        <f>1000000000-999556415.4316+125816.283</f>
        <v>569400.85140002542</v>
      </c>
      <c r="BE321" s="12">
        <f t="shared" si="98"/>
        <v>482444776.81169999</v>
      </c>
      <c r="BF321" s="13">
        <v>238</v>
      </c>
      <c r="BG321" s="13">
        <f t="shared" si="99"/>
        <v>244.44477681169997</v>
      </c>
      <c r="BH321" s="14">
        <f>BE321*39.64</f>
        <v>19124110952.815788</v>
      </c>
    </row>
    <row r="322" spans="1:60" x14ac:dyDescent="0.25">
      <c r="A322" s="3">
        <v>45944</v>
      </c>
      <c r="B322" s="4">
        <v>16153886831</v>
      </c>
      <c r="C322" s="4">
        <v>21857347</v>
      </c>
      <c r="D322" s="5">
        <v>421373162</v>
      </c>
      <c r="E322" s="4"/>
      <c r="F322" s="5"/>
      <c r="G322" s="5"/>
      <c r="H322" s="5"/>
      <c r="I322" s="5">
        <v>21857347</v>
      </c>
      <c r="J322" s="5"/>
      <c r="K322" s="5"/>
      <c r="L322" s="14">
        <f t="shared" si="113"/>
        <v>21857347</v>
      </c>
      <c r="M322" s="21">
        <v>0.99864623879524428</v>
      </c>
      <c r="N322" s="4">
        <v>2386676.44</v>
      </c>
      <c r="O322" s="4">
        <v>13367.96</v>
      </c>
      <c r="P322" s="4">
        <v>104715.67</v>
      </c>
      <c r="Q322" s="4"/>
      <c r="R322" s="14">
        <f t="shared" si="100"/>
        <v>2504760.0699999998</v>
      </c>
      <c r="S322" s="6">
        <v>0.01</v>
      </c>
      <c r="T322" s="14">
        <f t="shared" si="101"/>
        <v>23866.7644</v>
      </c>
      <c r="U322" s="14">
        <f t="shared" si="102"/>
        <v>66.839799999999997</v>
      </c>
      <c r="V322" s="14">
        <f t="shared" si="103"/>
        <v>863.11720000000003</v>
      </c>
      <c r="W322" s="14" t="str">
        <f t="shared" si="104"/>
        <v/>
      </c>
      <c r="X322" s="4">
        <v>18403.95</v>
      </c>
      <c r="Y322" s="4">
        <v>6683.98</v>
      </c>
      <c r="Z322" s="4"/>
      <c r="AA322" s="14">
        <f t="shared" si="105"/>
        <v>49884.651400000002</v>
      </c>
      <c r="AB322" s="4">
        <v>326781.94109999988</v>
      </c>
      <c r="AC322" s="4">
        <v>2386676.44</v>
      </c>
      <c r="AD322" s="14">
        <f t="shared" si="106"/>
        <v>6683.98</v>
      </c>
      <c r="AE322" s="14">
        <f t="shared" si="107"/>
        <v>86311.72</v>
      </c>
      <c r="AF322" s="14" t="str">
        <f t="shared" si="108"/>
        <v/>
      </c>
      <c r="AG322" s="15">
        <f t="shared" si="109"/>
        <v>2479672.14</v>
      </c>
      <c r="AH322" s="4">
        <v>4368313.1085099997</v>
      </c>
      <c r="AI322" s="17">
        <f t="shared" si="110"/>
        <v>-1888640.9685099996</v>
      </c>
      <c r="AJ322" s="7">
        <f t="shared" si="93"/>
        <v>1.4774626472062846</v>
      </c>
      <c r="AK322" s="7">
        <f t="shared" si="94"/>
        <v>6.1160030080503356</v>
      </c>
      <c r="AL322" s="7">
        <f t="shared" si="95"/>
        <v>2.485105351821149</v>
      </c>
      <c r="AM322" s="7" t="str">
        <f t="shared" si="96"/>
        <v/>
      </c>
      <c r="AN322" s="4">
        <v>50001.733010257209</v>
      </c>
      <c r="AO322" s="4">
        <v>0</v>
      </c>
      <c r="AP322" s="14">
        <f t="shared" si="111"/>
        <v>4418314.8415202573</v>
      </c>
      <c r="AQ322" s="14">
        <f t="shared" si="112"/>
        <v>4368313.1085099997</v>
      </c>
      <c r="AR322" s="8">
        <v>110239.28</v>
      </c>
      <c r="AS322" s="20">
        <v>39.625740557358498</v>
      </c>
      <c r="AT322" s="8">
        <v>33139257.460000001</v>
      </c>
      <c r="AU322" s="8">
        <v>26269.274799999999</v>
      </c>
      <c r="AV322" s="8">
        <v>1747.98</v>
      </c>
      <c r="AW322" s="8"/>
      <c r="AX322" s="9">
        <v>422.70043580305543</v>
      </c>
      <c r="AY322" s="6">
        <f t="shared" si="97"/>
        <v>2.2683405290992824E-2</v>
      </c>
      <c r="AZ322" s="8">
        <v>420455163.44209999</v>
      </c>
      <c r="BA322" s="10">
        <v>60480066</v>
      </c>
      <c r="BB322" s="11">
        <v>33139257.460000001</v>
      </c>
      <c r="BC322" s="10">
        <v>2971324</v>
      </c>
      <c r="BD322" s="10">
        <f>1000000000-999554667.4516+127060.5405</f>
        <v>572393.08890004444</v>
      </c>
      <c r="BE322" s="12">
        <f t="shared" si="98"/>
        <v>482381796.00899994</v>
      </c>
      <c r="BF322" s="13">
        <v>238</v>
      </c>
      <c r="BG322" s="13">
        <f t="shared" si="99"/>
        <v>244.38179600899997</v>
      </c>
      <c r="BH322" s="14">
        <f>BE322*42.57</f>
        <v>20534993056.103127</v>
      </c>
    </row>
    <row r="323" spans="1:60" x14ac:dyDescent="0.25">
      <c r="A323" s="3">
        <v>45945</v>
      </c>
      <c r="B323" s="4">
        <v>10747314916</v>
      </c>
      <c r="C323" s="4">
        <v>20629520</v>
      </c>
      <c r="D323" s="5">
        <v>285617603</v>
      </c>
      <c r="E323" s="4"/>
      <c r="F323" s="5"/>
      <c r="G323" s="5"/>
      <c r="H323" s="5"/>
      <c r="I323" s="5">
        <v>20629520</v>
      </c>
      <c r="J323" s="5"/>
      <c r="K323" s="5"/>
      <c r="L323" s="14">
        <f t="shared" si="113"/>
        <v>20629520</v>
      </c>
      <c r="M323" s="21">
        <v>0.99946689014882595</v>
      </c>
      <c r="N323" s="4">
        <v>3235886.22</v>
      </c>
      <c r="O323" s="4">
        <v>24999.14</v>
      </c>
      <c r="P323" s="4">
        <v>177780.86</v>
      </c>
      <c r="Q323" s="4"/>
      <c r="R323" s="14">
        <f t="shared" si="100"/>
        <v>3438666.22</v>
      </c>
      <c r="S323" s="6">
        <v>0.01</v>
      </c>
      <c r="T323" s="14">
        <f t="shared" si="101"/>
        <v>32358.862200000003</v>
      </c>
      <c r="U323" s="14">
        <f t="shared" si="102"/>
        <v>124.9957</v>
      </c>
      <c r="V323" s="14">
        <f t="shared" si="103"/>
        <v>1478.6562999999999</v>
      </c>
      <c r="W323" s="14" t="str">
        <f t="shared" si="104"/>
        <v/>
      </c>
      <c r="X323" s="4">
        <v>29915.23</v>
      </c>
      <c r="Y323" s="4">
        <v>12499.57</v>
      </c>
      <c r="Z323" s="4"/>
      <c r="AA323" s="14">
        <f t="shared" si="105"/>
        <v>76377.314199999993</v>
      </c>
      <c r="AB323" s="4">
        <v>239303.00049999999</v>
      </c>
      <c r="AC323" s="4">
        <v>3235886.22</v>
      </c>
      <c r="AD323" s="14">
        <f t="shared" si="106"/>
        <v>12499.57</v>
      </c>
      <c r="AE323" s="14">
        <f t="shared" si="107"/>
        <v>147865.62999999998</v>
      </c>
      <c r="AF323" s="14" t="str">
        <f t="shared" si="108"/>
        <v/>
      </c>
      <c r="AG323" s="15">
        <f t="shared" si="109"/>
        <v>3396251.42</v>
      </c>
      <c r="AH323" s="4">
        <v>2972554.26511</v>
      </c>
      <c r="AI323" s="17">
        <f t="shared" si="110"/>
        <v>423697.15488999989</v>
      </c>
      <c r="AJ323" s="7">
        <f t="shared" si="93"/>
        <v>3.0108787592913968</v>
      </c>
      <c r="AK323" s="7">
        <f t="shared" si="94"/>
        <v>12.118139442895423</v>
      </c>
      <c r="AL323" s="7">
        <f t="shared" si="95"/>
        <v>6.2244363839157337</v>
      </c>
      <c r="AM323" s="7" t="str">
        <f t="shared" si="96"/>
        <v/>
      </c>
      <c r="AN323" s="4">
        <v>32231.031636781081</v>
      </c>
      <c r="AO323" s="4">
        <v>19753.05</v>
      </c>
      <c r="AP323" s="14">
        <f t="shared" si="111"/>
        <v>3024538.3467467809</v>
      </c>
      <c r="AQ323" s="14">
        <f t="shared" si="112"/>
        <v>2972554.26511</v>
      </c>
      <c r="AR323" s="8">
        <v>75913.649999999994</v>
      </c>
      <c r="AS323" s="20">
        <v>39.157045736965621</v>
      </c>
      <c r="AT323" s="8">
        <v>33225824.739999998</v>
      </c>
      <c r="AU323" s="8">
        <v>32330.616600000001</v>
      </c>
      <c r="AV323" s="8">
        <v>1658.0976000000001</v>
      </c>
      <c r="AW323" s="8"/>
      <c r="AX323" s="9">
        <v>422.46040132363339</v>
      </c>
      <c r="AY323" s="6">
        <f t="shared" si="97"/>
        <v>2.7933209886717599E-2</v>
      </c>
      <c r="AZ323" s="8">
        <v>420422832.82550001</v>
      </c>
      <c r="BA323" s="10">
        <v>60480066</v>
      </c>
      <c r="BB323" s="11">
        <v>33225824.739999998</v>
      </c>
      <c r="BC323" s="10">
        <v>2971324</v>
      </c>
      <c r="BD323" s="10">
        <f>1000000000-999553009.354+127922.1485</f>
        <v>574912.79450002767</v>
      </c>
      <c r="BE323" s="12">
        <f t="shared" si="98"/>
        <v>482325039.63999993</v>
      </c>
      <c r="BF323" s="13">
        <v>238</v>
      </c>
      <c r="BG323" s="13">
        <f t="shared" si="99"/>
        <v>244.32503963999994</v>
      </c>
      <c r="BH323" s="14">
        <f>BE323*39.08</f>
        <v>18849262549.131195</v>
      </c>
    </row>
    <row r="324" spans="1:60" x14ac:dyDescent="0.25">
      <c r="A324" s="3">
        <v>45946</v>
      </c>
      <c r="B324" s="4">
        <v>11475520240</v>
      </c>
      <c r="C324" s="4">
        <v>19168299</v>
      </c>
      <c r="D324" s="5">
        <v>366551346</v>
      </c>
      <c r="E324" s="4"/>
      <c r="F324" s="5"/>
      <c r="G324" s="5"/>
      <c r="H324" s="5"/>
      <c r="I324" s="5">
        <v>19168299</v>
      </c>
      <c r="J324" s="5"/>
      <c r="K324" s="5"/>
      <c r="L324" s="14">
        <f t="shared" si="113"/>
        <v>19168299</v>
      </c>
      <c r="M324" s="21">
        <v>1.006156518005298</v>
      </c>
      <c r="N324" s="4">
        <v>3447655.82</v>
      </c>
      <c r="O324" s="4">
        <v>23088.06</v>
      </c>
      <c r="P324" s="4">
        <v>183780.39</v>
      </c>
      <c r="Q324" s="4"/>
      <c r="R324" s="14">
        <f t="shared" si="100"/>
        <v>3654524.27</v>
      </c>
      <c r="S324" s="6">
        <v>0.01</v>
      </c>
      <c r="T324" s="14">
        <f t="shared" si="101"/>
        <v>34476.558199999999</v>
      </c>
      <c r="U324" s="14">
        <f t="shared" si="102"/>
        <v>115.44030000000001</v>
      </c>
      <c r="V324" s="14">
        <f t="shared" si="103"/>
        <v>1455.1239000000003</v>
      </c>
      <c r="W324" s="14" t="str">
        <f t="shared" si="104"/>
        <v/>
      </c>
      <c r="X324" s="4">
        <v>38268</v>
      </c>
      <c r="Y324" s="4">
        <v>11544.03</v>
      </c>
      <c r="Z324" s="4"/>
      <c r="AA324" s="14">
        <f t="shared" si="105"/>
        <v>85859.152399999992</v>
      </c>
      <c r="AB324" s="4">
        <v>229678.86199999999</v>
      </c>
      <c r="AC324" s="4">
        <v>3447655.82</v>
      </c>
      <c r="AD324" s="14">
        <f t="shared" si="106"/>
        <v>11544.03</v>
      </c>
      <c r="AE324" s="14">
        <f t="shared" si="107"/>
        <v>145512.39000000001</v>
      </c>
      <c r="AF324" s="14" t="str">
        <f t="shared" si="108"/>
        <v/>
      </c>
      <c r="AG324" s="15">
        <f t="shared" si="109"/>
        <v>3604712.2399999998</v>
      </c>
      <c r="AH324" s="4">
        <v>3135849.8911700002</v>
      </c>
      <c r="AI324" s="17">
        <f t="shared" si="110"/>
        <v>468862.34882999957</v>
      </c>
      <c r="AJ324" s="7">
        <f t="shared" ref="AJ324:AJ387" si="114">IF(OR(B324="",B324=0,N324=""),"",N324/B324*10000)</f>
        <v>3.0043568813399606</v>
      </c>
      <c r="AK324" s="7">
        <f t="shared" ref="AK324:AK387" si="115">IF(OR(C324="",C324=0),"",O324/C324*10000)</f>
        <v>12.044918539720191</v>
      </c>
      <c r="AL324" s="7">
        <f t="shared" ref="AL324:AL387" si="116">IF(OR(D324="",D324=0),"",P324/D324*10000)</f>
        <v>5.013769339698456</v>
      </c>
      <c r="AM324" s="7" t="str">
        <f t="shared" ref="AM324:AM387" si="117">IF(OR(E324="",E324=0),"",Q324/E324*10000)</f>
        <v/>
      </c>
      <c r="AN324" s="4">
        <v>33093.788495918408</v>
      </c>
      <c r="AO324" s="4">
        <v>28051.040000000001</v>
      </c>
      <c r="AP324" s="14">
        <f t="shared" si="111"/>
        <v>3196994.7196659185</v>
      </c>
      <c r="AQ324" s="14">
        <f t="shared" si="112"/>
        <v>3135849.8911700002</v>
      </c>
      <c r="AR324" s="8">
        <v>83220.56</v>
      </c>
      <c r="AS324" s="20">
        <v>37.681191897410933</v>
      </c>
      <c r="AT324" s="8">
        <v>33297567.25</v>
      </c>
      <c r="AU324" s="8">
        <v>30483.491999999998</v>
      </c>
      <c r="AV324" s="8">
        <v>869.1431</v>
      </c>
      <c r="AW324" s="8"/>
      <c r="AX324" s="9">
        <v>421.88176929292018</v>
      </c>
      <c r="AY324" s="6">
        <f t="shared" ref="AY324:AY387" si="118">IF(OR(AX324="",AX324=0,AU324=""),"",AU324*365/(AX324*1000000))</f>
        <v>2.6373442489937712E-2</v>
      </c>
      <c r="AZ324" s="8">
        <v>420392349.33340001</v>
      </c>
      <c r="BA324" s="10">
        <v>60480066</v>
      </c>
      <c r="BB324" s="11">
        <v>33297567.25</v>
      </c>
      <c r="BC324" s="10">
        <v>2971324</v>
      </c>
      <c r="BD324" s="10">
        <f>1000000000-999552140.2109+128821.1187</f>
        <v>576680.90780005092</v>
      </c>
      <c r="BE324" s="12">
        <f t="shared" ref="BE324:BE387" si="119">1000000000-AZ324-BA324-BB324-BC324-BD324</f>
        <v>482282012.50879991</v>
      </c>
      <c r="BF324" s="13">
        <v>238</v>
      </c>
      <c r="BG324" s="13">
        <f t="shared" ref="BG324:BG387" si="120">BE324/1000000-BF324</f>
        <v>244.28201250879994</v>
      </c>
      <c r="BH324" s="14">
        <f>BE324*37.3</f>
        <v>17989119066.578236</v>
      </c>
    </row>
    <row r="325" spans="1:60" x14ac:dyDescent="0.25">
      <c r="A325" s="3">
        <v>45947</v>
      </c>
      <c r="B325" s="4">
        <v>11953817621</v>
      </c>
      <c r="C325" s="4">
        <v>15072187</v>
      </c>
      <c r="D325" s="5">
        <v>440603237</v>
      </c>
      <c r="E325" s="4"/>
      <c r="F325" s="5"/>
      <c r="G325" s="5"/>
      <c r="H325" s="5"/>
      <c r="I325" s="5">
        <v>15072187</v>
      </c>
      <c r="J325" s="5"/>
      <c r="K325" s="5"/>
      <c r="L325" s="14">
        <f t="shared" si="113"/>
        <v>15072187</v>
      </c>
      <c r="M325" s="21">
        <v>0.99018291024101968</v>
      </c>
      <c r="N325" s="4">
        <v>3307421.9</v>
      </c>
      <c r="O325" s="4">
        <v>17524.54</v>
      </c>
      <c r="P325" s="4">
        <v>225791.48</v>
      </c>
      <c r="Q325" s="4"/>
      <c r="R325" s="14">
        <f t="shared" si="100"/>
        <v>3550737.92</v>
      </c>
      <c r="S325" s="6">
        <v>0.01</v>
      </c>
      <c r="T325" s="14">
        <f t="shared" si="101"/>
        <v>33074.218999999997</v>
      </c>
      <c r="U325" s="14">
        <f t="shared" si="102"/>
        <v>87.622700000000009</v>
      </c>
      <c r="V325" s="14">
        <f t="shared" si="103"/>
        <v>1816.2320000000002</v>
      </c>
      <c r="W325" s="14" t="str">
        <f t="shared" si="104"/>
        <v/>
      </c>
      <c r="X325" s="4">
        <v>44168.28</v>
      </c>
      <c r="Y325" s="4">
        <v>8762.27</v>
      </c>
      <c r="Z325" s="4"/>
      <c r="AA325" s="14">
        <f t="shared" si="105"/>
        <v>87908.623700000011</v>
      </c>
      <c r="AB325" s="4">
        <v>279423.21830000001</v>
      </c>
      <c r="AC325" s="4">
        <v>3307421.9</v>
      </c>
      <c r="AD325" s="14">
        <f t="shared" si="106"/>
        <v>8762.27</v>
      </c>
      <c r="AE325" s="14">
        <f t="shared" si="107"/>
        <v>181623.2</v>
      </c>
      <c r="AF325" s="14" t="str">
        <f t="shared" si="108"/>
        <v/>
      </c>
      <c r="AG325" s="15">
        <f t="shared" si="109"/>
        <v>3497807.37</v>
      </c>
      <c r="AH325" s="4">
        <v>3355088.3408300001</v>
      </c>
      <c r="AI325" s="17">
        <f t="shared" si="110"/>
        <v>142719.02916999999</v>
      </c>
      <c r="AJ325" s="7">
        <f t="shared" si="114"/>
        <v>2.7668331614744153</v>
      </c>
      <c r="AK325" s="7">
        <f t="shared" si="115"/>
        <v>11.627071771336171</v>
      </c>
      <c r="AL325" s="7">
        <f t="shared" si="116"/>
        <v>5.1245987555012</v>
      </c>
      <c r="AM325" s="7" t="str">
        <f t="shared" si="117"/>
        <v/>
      </c>
      <c r="AN325" s="4">
        <v>60611.989774993039</v>
      </c>
      <c r="AO325" s="4">
        <v>0</v>
      </c>
      <c r="AP325" s="14">
        <f t="shared" si="111"/>
        <v>3415700.3306049933</v>
      </c>
      <c r="AQ325" s="14">
        <f t="shared" si="112"/>
        <v>3355088.3408300001</v>
      </c>
      <c r="AR325" s="8">
        <v>95672.62</v>
      </c>
      <c r="AS325" s="20">
        <v>35.068427527436803</v>
      </c>
      <c r="AT325" s="8">
        <v>33399150.809999999</v>
      </c>
      <c r="AU325" s="8">
        <v>24464.490300000001</v>
      </c>
      <c r="AV325" s="8">
        <v>1905.645</v>
      </c>
      <c r="AW325" s="8"/>
      <c r="AX325" s="9">
        <v>418.70571020235769</v>
      </c>
      <c r="AY325" s="6">
        <f t="shared" si="118"/>
        <v>2.1326527778148554E-2</v>
      </c>
      <c r="AZ325" s="8">
        <v>420367884.84310001</v>
      </c>
      <c r="BA325" s="10">
        <v>60480066</v>
      </c>
      <c r="BB325" s="11">
        <v>33399150.809999999</v>
      </c>
      <c r="BC325" s="10">
        <v>2971324</v>
      </c>
      <c r="BD325" s="10">
        <f>1000000000-999550234.5658+130528.691</f>
        <v>580294.12520004844</v>
      </c>
      <c r="BE325" s="12">
        <f t="shared" si="119"/>
        <v>482201280.22169989</v>
      </c>
      <c r="BF325" s="13">
        <v>238</v>
      </c>
      <c r="BG325" s="13">
        <f t="shared" si="120"/>
        <v>244.2012802216999</v>
      </c>
      <c r="BH325" s="14">
        <f>BE325*34.08</f>
        <v>16433419629.955532</v>
      </c>
    </row>
    <row r="326" spans="1:60" x14ac:dyDescent="0.25">
      <c r="A326" s="3">
        <v>45948</v>
      </c>
      <c r="B326" s="4">
        <v>3467672712</v>
      </c>
      <c r="C326" s="4">
        <v>6244622</v>
      </c>
      <c r="D326" s="5">
        <v>175437722</v>
      </c>
      <c r="E326" s="4"/>
      <c r="F326" s="5"/>
      <c r="G326" s="5"/>
      <c r="H326" s="5"/>
      <c r="I326" s="5">
        <v>6244622</v>
      </c>
      <c r="J326" s="5"/>
      <c r="K326" s="5"/>
      <c r="L326" s="14">
        <f t="shared" si="113"/>
        <v>6244622</v>
      </c>
      <c r="M326" s="21">
        <v>1.0000770209216241</v>
      </c>
      <c r="N326" s="4">
        <v>1134554.44</v>
      </c>
      <c r="O326" s="4">
        <v>8080.92</v>
      </c>
      <c r="P326" s="4">
        <v>122636.63</v>
      </c>
      <c r="Q326" s="4"/>
      <c r="R326" s="14">
        <f t="shared" si="100"/>
        <v>1265271.9899999998</v>
      </c>
      <c r="S326" s="6">
        <v>0.01</v>
      </c>
      <c r="T326" s="14">
        <f t="shared" si="101"/>
        <v>11345.544399999999</v>
      </c>
      <c r="U326" s="14">
        <f t="shared" si="102"/>
        <v>40.404600000000002</v>
      </c>
      <c r="V326" s="14">
        <f t="shared" si="103"/>
        <v>1002.8569</v>
      </c>
      <c r="W326" s="14" t="str">
        <f t="shared" si="104"/>
        <v/>
      </c>
      <c r="X326" s="4">
        <v>22350.94</v>
      </c>
      <c r="Y326" s="4">
        <v>4040.46</v>
      </c>
      <c r="Z326" s="4"/>
      <c r="AA326" s="14">
        <f t="shared" si="105"/>
        <v>38780.205899999994</v>
      </c>
      <c r="AB326" s="4">
        <v>137452.33900000001</v>
      </c>
      <c r="AC326" s="4">
        <v>1134554.44</v>
      </c>
      <c r="AD326" s="14">
        <f t="shared" si="106"/>
        <v>4040.46</v>
      </c>
      <c r="AE326" s="14">
        <f t="shared" si="107"/>
        <v>100285.69</v>
      </c>
      <c r="AF326" s="14" t="str">
        <f t="shared" si="108"/>
        <v/>
      </c>
      <c r="AG326" s="15">
        <f t="shared" si="109"/>
        <v>1238880.5899999999</v>
      </c>
      <c r="AH326" s="4">
        <v>993444.07290000003</v>
      </c>
      <c r="AI326" s="17">
        <f t="shared" si="110"/>
        <v>245436.51709999982</v>
      </c>
      <c r="AJ326" s="7">
        <f t="shared" si="114"/>
        <v>3.2718036972573437</v>
      </c>
      <c r="AK326" s="7">
        <f t="shared" si="115"/>
        <v>12.940607133626342</v>
      </c>
      <c r="AL326" s="7">
        <f t="shared" si="116"/>
        <v>6.9903227539627997</v>
      </c>
      <c r="AM326" s="7" t="str">
        <f t="shared" si="117"/>
        <v/>
      </c>
      <c r="AN326" s="4">
        <v>15340.98794640204</v>
      </c>
      <c r="AO326" s="4">
        <v>23289.360000000001</v>
      </c>
      <c r="AP326" s="14">
        <f t="shared" si="111"/>
        <v>1032074.4208464021</v>
      </c>
      <c r="AQ326" s="14">
        <f t="shared" si="112"/>
        <v>993444.07290000003</v>
      </c>
      <c r="AR326" s="8">
        <v>27890.23</v>
      </c>
      <c r="AS326" s="20">
        <v>35.619787750047237</v>
      </c>
      <c r="AT326" s="8">
        <v>33470022.260000002</v>
      </c>
      <c r="AU326" s="8">
        <v>18294.0242</v>
      </c>
      <c r="AV326" s="8">
        <v>715.65419999999995</v>
      </c>
      <c r="AW326" s="8"/>
      <c r="AX326" s="9">
        <v>419.7188635083657</v>
      </c>
      <c r="AY326" s="6">
        <f t="shared" si="118"/>
        <v>1.5909027240723263E-2</v>
      </c>
      <c r="AZ326" s="8">
        <v>420349590.81889999</v>
      </c>
      <c r="BA326" s="10">
        <v>60480066</v>
      </c>
      <c r="BB326" s="11">
        <v>33470022.260000002</v>
      </c>
      <c r="BC326" s="10">
        <v>2971324</v>
      </c>
      <c r="BD326" s="10">
        <f>1000000000-999549518.9116+130944.6276</f>
        <v>581425.7160000063</v>
      </c>
      <c r="BE326" s="12">
        <f t="shared" si="119"/>
        <v>482147571.2051</v>
      </c>
      <c r="BF326" s="13">
        <v>238</v>
      </c>
      <c r="BG326" s="13">
        <f t="shared" si="120"/>
        <v>244.14757120510001</v>
      </c>
      <c r="BH326" s="14">
        <f>BE326*35.21</f>
        <v>16976415982.131571</v>
      </c>
    </row>
    <row r="327" spans="1:60" x14ac:dyDescent="0.25">
      <c r="A327" s="3">
        <v>45949</v>
      </c>
      <c r="B327" s="4">
        <v>5254604470</v>
      </c>
      <c r="C327" s="4">
        <v>7839092</v>
      </c>
      <c r="D327" s="5">
        <v>196378165</v>
      </c>
      <c r="E327" s="4"/>
      <c r="F327" s="5"/>
      <c r="G327" s="5"/>
      <c r="H327" s="5"/>
      <c r="I327" s="5">
        <v>7839092.0000000009</v>
      </c>
      <c r="J327" s="5"/>
      <c r="K327" s="5"/>
      <c r="L327" s="14">
        <f t="shared" si="113"/>
        <v>7839092.0000000009</v>
      </c>
      <c r="M327" s="21">
        <v>1.0006362520528349</v>
      </c>
      <c r="N327" s="4">
        <v>1670827.32</v>
      </c>
      <c r="O327" s="4">
        <v>11149.52</v>
      </c>
      <c r="P327" s="4">
        <v>114243.21</v>
      </c>
      <c r="Q327" s="4"/>
      <c r="R327" s="14">
        <f t="shared" si="100"/>
        <v>1796220.05</v>
      </c>
      <c r="S327" s="6">
        <v>0.01</v>
      </c>
      <c r="T327" s="14">
        <f t="shared" si="101"/>
        <v>16708.2732</v>
      </c>
      <c r="U327" s="14">
        <f t="shared" si="102"/>
        <v>55.747600000000006</v>
      </c>
      <c r="V327" s="14">
        <f t="shared" si="103"/>
        <v>930.21469999999999</v>
      </c>
      <c r="W327" s="14" t="str">
        <f t="shared" si="104"/>
        <v/>
      </c>
      <c r="X327" s="4">
        <v>21221.74</v>
      </c>
      <c r="Y327" s="4">
        <v>5574.76</v>
      </c>
      <c r="Z327" s="4"/>
      <c r="AA327" s="14">
        <f t="shared" si="105"/>
        <v>44490.735500000003</v>
      </c>
      <c r="AB327" s="4">
        <v>162204.1257</v>
      </c>
      <c r="AC327" s="4">
        <v>1670827.32</v>
      </c>
      <c r="AD327" s="14">
        <f t="shared" si="106"/>
        <v>5574.76</v>
      </c>
      <c r="AE327" s="14">
        <f t="shared" si="107"/>
        <v>93021.47</v>
      </c>
      <c r="AF327" s="14" t="str">
        <f t="shared" si="108"/>
        <v/>
      </c>
      <c r="AG327" s="15">
        <f t="shared" si="109"/>
        <v>1769423.55</v>
      </c>
      <c r="AH327" s="4">
        <v>1540345.5889600001</v>
      </c>
      <c r="AI327" s="17">
        <f t="shared" si="110"/>
        <v>229077.96103999997</v>
      </c>
      <c r="AJ327" s="7">
        <f t="shared" si="114"/>
        <v>3.1797394638154377</v>
      </c>
      <c r="AK327" s="7">
        <f t="shared" si="115"/>
        <v>14.222973783188156</v>
      </c>
      <c r="AL327" s="7">
        <f t="shared" si="116"/>
        <v>5.8175108215315081</v>
      </c>
      <c r="AM327" s="7" t="str">
        <f t="shared" si="117"/>
        <v/>
      </c>
      <c r="AN327" s="4">
        <v>13247.193891617721</v>
      </c>
      <c r="AO327" s="4">
        <v>0</v>
      </c>
      <c r="AP327" s="14">
        <f t="shared" si="111"/>
        <v>1553592.7828516178</v>
      </c>
      <c r="AQ327" s="14">
        <f t="shared" si="112"/>
        <v>1540345.5889600001</v>
      </c>
      <c r="AR327" s="8">
        <v>41256.26</v>
      </c>
      <c r="AS327" s="20">
        <v>37.33604521980422</v>
      </c>
      <c r="AT327" s="8">
        <v>33495735.449999999</v>
      </c>
      <c r="AU327" s="8">
        <v>26082.6342</v>
      </c>
      <c r="AV327" s="8">
        <v>1077.1713999999999</v>
      </c>
      <c r="AW327" s="8"/>
      <c r="AX327" s="9">
        <v>418.78207889219948</v>
      </c>
      <c r="AY327" s="6">
        <f t="shared" si="118"/>
        <v>2.2732972500121306E-2</v>
      </c>
      <c r="AZ327" s="8">
        <v>420323508.18470001</v>
      </c>
      <c r="BA327" s="10">
        <v>60480066</v>
      </c>
      <c r="BB327" s="11">
        <v>33495735.449999999</v>
      </c>
      <c r="BC327" s="10">
        <v>2971324</v>
      </c>
      <c r="BD327" s="10">
        <f>1000000000-999548441.7402+131298.9254</f>
        <v>582857.18519995734</v>
      </c>
      <c r="BE327" s="12">
        <f t="shared" si="119"/>
        <v>482146509.18010002</v>
      </c>
      <c r="BF327" s="13">
        <v>238</v>
      </c>
      <c r="BG327" s="13">
        <f t="shared" si="120"/>
        <v>244.1465091801</v>
      </c>
      <c r="BH327" s="14">
        <f>BE327*36.48</f>
        <v>17588704654.890049</v>
      </c>
    </row>
    <row r="328" spans="1:60" x14ac:dyDescent="0.25">
      <c r="A328" s="3">
        <v>45950</v>
      </c>
      <c r="B328" s="4">
        <v>8373540529</v>
      </c>
      <c r="C328" s="4">
        <v>10611401</v>
      </c>
      <c r="D328" s="5">
        <v>262337970</v>
      </c>
      <c r="E328" s="4"/>
      <c r="F328" s="5"/>
      <c r="G328" s="5"/>
      <c r="H328" s="5"/>
      <c r="I328" s="5">
        <v>10611401</v>
      </c>
      <c r="J328" s="5"/>
      <c r="K328" s="5"/>
      <c r="L328" s="14">
        <f t="shared" si="113"/>
        <v>10611401</v>
      </c>
      <c r="M328" s="21">
        <v>0.99547920153560587</v>
      </c>
      <c r="N328" s="4">
        <v>2573622.31</v>
      </c>
      <c r="O328" s="4">
        <v>14081.86</v>
      </c>
      <c r="P328" s="4">
        <v>156265.65</v>
      </c>
      <c r="Q328" s="4"/>
      <c r="R328" s="14">
        <f t="shared" si="100"/>
        <v>2743969.82</v>
      </c>
      <c r="S328" s="6">
        <v>0.01</v>
      </c>
      <c r="T328" s="14">
        <f t="shared" si="101"/>
        <v>25736.223100000003</v>
      </c>
      <c r="U328" s="14">
        <f t="shared" si="102"/>
        <v>70.409300000000002</v>
      </c>
      <c r="V328" s="14">
        <f t="shared" si="103"/>
        <v>1283.1922</v>
      </c>
      <c r="W328" s="14" t="str">
        <f t="shared" si="104"/>
        <v/>
      </c>
      <c r="X328" s="4">
        <v>27946.43</v>
      </c>
      <c r="Y328" s="4">
        <v>7040.93</v>
      </c>
      <c r="Z328" s="4"/>
      <c r="AA328" s="14">
        <f t="shared" si="105"/>
        <v>62077.184600000001</v>
      </c>
      <c r="AB328" s="4">
        <v>190412.40839999999</v>
      </c>
      <c r="AC328" s="4">
        <v>2573622.31</v>
      </c>
      <c r="AD328" s="14">
        <f t="shared" si="106"/>
        <v>7040.93</v>
      </c>
      <c r="AE328" s="14">
        <f t="shared" si="107"/>
        <v>128319.22</v>
      </c>
      <c r="AF328" s="14" t="str">
        <f t="shared" si="108"/>
        <v/>
      </c>
      <c r="AG328" s="15">
        <f t="shared" si="109"/>
        <v>2708982.4600000004</v>
      </c>
      <c r="AH328" s="4">
        <v>2356209.4458499998</v>
      </c>
      <c r="AI328" s="17">
        <f t="shared" si="110"/>
        <v>352773.01415000064</v>
      </c>
      <c r="AJ328" s="7">
        <f t="shared" si="114"/>
        <v>3.0735174698047967</v>
      </c>
      <c r="AK328" s="7">
        <f t="shared" si="115"/>
        <v>13.270500285494819</v>
      </c>
      <c r="AL328" s="7">
        <f t="shared" si="116"/>
        <v>5.9566539300429904</v>
      </c>
      <c r="AM328" s="7" t="str">
        <f t="shared" si="117"/>
        <v/>
      </c>
      <c r="AN328" s="4">
        <v>31866.825520817889</v>
      </c>
      <c r="AO328" s="4">
        <v>0</v>
      </c>
      <c r="AP328" s="14">
        <f t="shared" si="111"/>
        <v>2388076.2713708179</v>
      </c>
      <c r="AQ328" s="14">
        <f t="shared" si="112"/>
        <v>2356209.4458499998</v>
      </c>
      <c r="AR328" s="8">
        <v>61726.58</v>
      </c>
      <c r="AS328" s="20">
        <v>38.171715423890319</v>
      </c>
      <c r="AT328" s="8">
        <v>33552212.800000001</v>
      </c>
      <c r="AU328" s="8">
        <v>26081.396700000001</v>
      </c>
      <c r="AV328" s="8">
        <v>412.6558</v>
      </c>
      <c r="AW328" s="8"/>
      <c r="AX328" s="9">
        <v>418.32919593994808</v>
      </c>
      <c r="AY328" s="6">
        <f t="shared" si="118"/>
        <v>2.2756503461610105E-2</v>
      </c>
      <c r="AZ328" s="8">
        <v>420297426.78799999</v>
      </c>
      <c r="BA328" s="10">
        <v>60480066</v>
      </c>
      <c r="BB328" s="11">
        <v>33552212.800000001</v>
      </c>
      <c r="BC328" s="10">
        <v>2971324</v>
      </c>
      <c r="BD328" s="10">
        <f>1000000000-999548029.0844+132138.808</f>
        <v>584109.72359994217</v>
      </c>
      <c r="BE328" s="12">
        <f t="shared" si="119"/>
        <v>482114860.68840003</v>
      </c>
      <c r="BF328" s="13">
        <v>238</v>
      </c>
      <c r="BG328" s="13">
        <f t="shared" si="120"/>
        <v>244.11486068840003</v>
      </c>
      <c r="BH328" s="14">
        <f>BE328*37.23</f>
        <v>17949136263.429131</v>
      </c>
    </row>
    <row r="329" spans="1:60" x14ac:dyDescent="0.25">
      <c r="A329" s="3">
        <v>45951</v>
      </c>
      <c r="B329" s="4">
        <v>14652836609</v>
      </c>
      <c r="C329" s="4">
        <v>23310245</v>
      </c>
      <c r="D329" s="5">
        <v>354661810</v>
      </c>
      <c r="E329" s="4"/>
      <c r="F329" s="5"/>
      <c r="G329" s="5"/>
      <c r="H329" s="5"/>
      <c r="I329" s="5">
        <v>23310245</v>
      </c>
      <c r="J329" s="5"/>
      <c r="K329" s="5"/>
      <c r="L329" s="14">
        <f t="shared" si="113"/>
        <v>23310245</v>
      </c>
      <c r="M329" s="21">
        <v>1.001496849066799</v>
      </c>
      <c r="N329" s="4">
        <v>4325916.57</v>
      </c>
      <c r="O329" s="4">
        <v>28537.64</v>
      </c>
      <c r="P329" s="4">
        <v>193154.58</v>
      </c>
      <c r="Q329" s="4"/>
      <c r="R329" s="14">
        <f t="shared" si="100"/>
        <v>4547608.79</v>
      </c>
      <c r="S329" s="6">
        <v>0.01</v>
      </c>
      <c r="T329" s="14">
        <f t="shared" si="101"/>
        <v>43259.165700000005</v>
      </c>
      <c r="U329" s="14">
        <f t="shared" si="102"/>
        <v>142.68819999999999</v>
      </c>
      <c r="V329" s="14">
        <f t="shared" si="103"/>
        <v>1571.7332999999999</v>
      </c>
      <c r="W329" s="14" t="str">
        <f t="shared" si="104"/>
        <v/>
      </c>
      <c r="X329" s="4">
        <v>35981.25</v>
      </c>
      <c r="Y329" s="4">
        <v>14268.82</v>
      </c>
      <c r="Z329" s="4"/>
      <c r="AA329" s="14">
        <f t="shared" si="105"/>
        <v>95223.657200000016</v>
      </c>
      <c r="AB329" s="4">
        <v>289308.75020000001</v>
      </c>
      <c r="AC329" s="4">
        <v>4325916.57</v>
      </c>
      <c r="AD329" s="14">
        <f t="shared" si="106"/>
        <v>14268.82</v>
      </c>
      <c r="AE329" s="14">
        <f t="shared" si="107"/>
        <v>157173.32999999999</v>
      </c>
      <c r="AF329" s="14" t="str">
        <f t="shared" si="108"/>
        <v/>
      </c>
      <c r="AG329" s="15">
        <f t="shared" si="109"/>
        <v>4497358.7200000007</v>
      </c>
      <c r="AH329" s="4">
        <v>3988911.6060899999</v>
      </c>
      <c r="AI329" s="17">
        <f t="shared" si="110"/>
        <v>508447.11391000077</v>
      </c>
      <c r="AJ329" s="7">
        <f t="shared" si="114"/>
        <v>2.9522724407797973</v>
      </c>
      <c r="AK329" s="7">
        <f t="shared" si="115"/>
        <v>12.242531127407712</v>
      </c>
      <c r="AL329" s="7">
        <f t="shared" si="116"/>
        <v>5.4461623595729121</v>
      </c>
      <c r="AM329" s="7" t="str">
        <f t="shared" si="117"/>
        <v/>
      </c>
      <c r="AN329" s="4">
        <v>28143.9850891633</v>
      </c>
      <c r="AO329" s="4">
        <v>0</v>
      </c>
      <c r="AP329" s="14">
        <f t="shared" si="111"/>
        <v>4017055.5911791632</v>
      </c>
      <c r="AQ329" s="14">
        <f t="shared" si="112"/>
        <v>3988911.6060899999</v>
      </c>
      <c r="AR329" s="8">
        <v>108263.5</v>
      </c>
      <c r="AS329" s="20">
        <v>36.844473031908258</v>
      </c>
      <c r="AT329" s="8">
        <v>33610247.32</v>
      </c>
      <c r="AU329" s="8">
        <v>26075.515100000001</v>
      </c>
      <c r="AV329" s="8">
        <v>1955.7853</v>
      </c>
      <c r="AW329" s="8"/>
      <c r="AX329" s="9">
        <v>418.51485801077263</v>
      </c>
      <c r="AY329" s="6">
        <f t="shared" si="118"/>
        <v>2.2741278665081507E-2</v>
      </c>
      <c r="AZ329" s="8">
        <v>420271351.27289999</v>
      </c>
      <c r="BA329" s="10">
        <v>60480066</v>
      </c>
      <c r="BB329" s="11">
        <v>33610247.32</v>
      </c>
      <c r="BC329" s="10">
        <v>2971324</v>
      </c>
      <c r="BD329" s="10">
        <f>1000000000-999546073.2991+132934.1728</f>
        <v>586860.87369995867</v>
      </c>
      <c r="BE329" s="12">
        <f t="shared" si="119"/>
        <v>482080150.53340006</v>
      </c>
      <c r="BF329" s="13">
        <v>238</v>
      </c>
      <c r="BG329" s="13">
        <f t="shared" si="120"/>
        <v>244.08015053340006</v>
      </c>
      <c r="BH329" s="14">
        <f>BE329*38.01</f>
        <v>18323866521.774536</v>
      </c>
    </row>
    <row r="330" spans="1:60" x14ac:dyDescent="0.25">
      <c r="A330" s="3">
        <v>45952</v>
      </c>
      <c r="B330" s="4">
        <v>11769029272</v>
      </c>
      <c r="C330" s="4">
        <v>36699372</v>
      </c>
      <c r="D330" s="5">
        <v>292734754</v>
      </c>
      <c r="E330" s="4"/>
      <c r="F330" s="5"/>
      <c r="G330" s="5"/>
      <c r="H330" s="5"/>
      <c r="I330" s="5">
        <v>36699372</v>
      </c>
      <c r="J330" s="5"/>
      <c r="K330" s="5"/>
      <c r="L330" s="14">
        <f t="shared" si="113"/>
        <v>36699372</v>
      </c>
      <c r="M330" s="21">
        <v>1.002516893416471</v>
      </c>
      <c r="N330" s="4">
        <v>3410884.02</v>
      </c>
      <c r="O330" s="4">
        <v>43235.42</v>
      </c>
      <c r="P330" s="4">
        <v>154607.54999999999</v>
      </c>
      <c r="Q330" s="4"/>
      <c r="R330" s="14">
        <f t="shared" si="100"/>
        <v>3608726.9899999998</v>
      </c>
      <c r="S330" s="6">
        <v>0.01</v>
      </c>
      <c r="T330" s="14">
        <f t="shared" si="101"/>
        <v>34108.840199999999</v>
      </c>
      <c r="U330" s="14">
        <f t="shared" si="102"/>
        <v>216.1771</v>
      </c>
      <c r="V330" s="14">
        <f t="shared" si="103"/>
        <v>1279.0131999999999</v>
      </c>
      <c r="W330" s="14" t="str">
        <f t="shared" si="104"/>
        <v/>
      </c>
      <c r="X330" s="4">
        <v>26706.23</v>
      </c>
      <c r="Y330" s="4">
        <v>21617.71</v>
      </c>
      <c r="Z330" s="4"/>
      <c r="AA330" s="14">
        <f t="shared" si="105"/>
        <v>83927.970499999996</v>
      </c>
      <c r="AB330" s="4">
        <v>175325.83730000001</v>
      </c>
      <c r="AC330" s="4">
        <v>3410884.02</v>
      </c>
      <c r="AD330" s="14">
        <f t="shared" si="106"/>
        <v>21617.71</v>
      </c>
      <c r="AE330" s="14">
        <f t="shared" si="107"/>
        <v>127901.31999999999</v>
      </c>
      <c r="AF330" s="14" t="str">
        <f t="shared" si="108"/>
        <v/>
      </c>
      <c r="AG330" s="15">
        <f t="shared" si="109"/>
        <v>3560403.05</v>
      </c>
      <c r="AH330" s="4">
        <v>3088332.6768700001</v>
      </c>
      <c r="AI330" s="17">
        <f t="shared" si="110"/>
        <v>472070.37312999973</v>
      </c>
      <c r="AJ330" s="7">
        <f t="shared" si="114"/>
        <v>2.898186367940236</v>
      </c>
      <c r="AK330" s="7">
        <f t="shared" si="115"/>
        <v>11.780969984990477</v>
      </c>
      <c r="AL330" s="7">
        <f t="shared" si="116"/>
        <v>5.2814893991029166</v>
      </c>
      <c r="AM330" s="7" t="str">
        <f t="shared" si="117"/>
        <v/>
      </c>
      <c r="AN330" s="4">
        <v>34572.358435989103</v>
      </c>
      <c r="AO330" s="4">
        <v>0</v>
      </c>
      <c r="AP330" s="14">
        <f t="shared" si="111"/>
        <v>3122905.035305989</v>
      </c>
      <c r="AQ330" s="14">
        <f t="shared" si="112"/>
        <v>3088332.6768700001</v>
      </c>
      <c r="AR330" s="8">
        <v>86754.65</v>
      </c>
      <c r="AS330" s="20">
        <v>35.598468518632721</v>
      </c>
      <c r="AT330" s="8">
        <v>33714407.270000003</v>
      </c>
      <c r="AU330" s="8">
        <v>26042.037400000001</v>
      </c>
      <c r="AV330" s="8">
        <v>852.70090000000005</v>
      </c>
      <c r="AW330" s="8"/>
      <c r="AX330" s="9">
        <v>418.09920265506679</v>
      </c>
      <c r="AY330" s="6">
        <f t="shared" si="118"/>
        <v>2.2734661034122899E-2</v>
      </c>
      <c r="AZ330" s="8">
        <v>420245309.23549998</v>
      </c>
      <c r="BA330" s="10">
        <v>60480066</v>
      </c>
      <c r="BB330" s="11">
        <v>33714407.270000003</v>
      </c>
      <c r="BC330" s="10">
        <v>2971324</v>
      </c>
      <c r="BD330" s="10">
        <f>1000000000-999545220.5981+133913.2824</f>
        <v>588692.68430005305</v>
      </c>
      <c r="BE330" s="12">
        <f t="shared" si="119"/>
        <v>482000200.81019998</v>
      </c>
      <c r="BF330" s="13">
        <v>238</v>
      </c>
      <c r="BG330" s="13">
        <f t="shared" si="120"/>
        <v>244.0002008102</v>
      </c>
      <c r="BH330" s="14">
        <f>BE330*34.9</f>
        <v>16821807008.275978</v>
      </c>
    </row>
    <row r="331" spans="1:60" x14ac:dyDescent="0.25">
      <c r="A331" s="3">
        <v>45953</v>
      </c>
      <c r="B331" s="4">
        <v>8799210965</v>
      </c>
      <c r="C331" s="4">
        <v>30172562</v>
      </c>
      <c r="D331" s="5">
        <v>277126381</v>
      </c>
      <c r="E331" s="4"/>
      <c r="F331" s="5"/>
      <c r="G331" s="5"/>
      <c r="H331" s="5"/>
      <c r="I331" s="5">
        <v>30172562</v>
      </c>
      <c r="J331" s="5"/>
      <c r="K331" s="5"/>
      <c r="L331" s="14">
        <f t="shared" si="113"/>
        <v>30172562</v>
      </c>
      <c r="M331" s="21">
        <v>0.99373814612555178</v>
      </c>
      <c r="N331" s="4">
        <v>2652339.12</v>
      </c>
      <c r="O331" s="4">
        <v>35686.58</v>
      </c>
      <c r="P331" s="4">
        <v>167987.89</v>
      </c>
      <c r="Q331" s="4"/>
      <c r="R331" s="14">
        <f t="shared" si="100"/>
        <v>2856013.5900000003</v>
      </c>
      <c r="S331" s="6">
        <v>0.01</v>
      </c>
      <c r="T331" s="14">
        <f t="shared" si="101"/>
        <v>26523.391200000002</v>
      </c>
      <c r="U331" s="14">
        <f t="shared" si="102"/>
        <v>178.43290000000002</v>
      </c>
      <c r="V331" s="14">
        <f t="shared" si="103"/>
        <v>1444.1124000000002</v>
      </c>
      <c r="W331" s="14" t="str">
        <f t="shared" si="104"/>
        <v/>
      </c>
      <c r="X331" s="4">
        <v>23576.65</v>
      </c>
      <c r="Y331" s="4">
        <v>17843.29</v>
      </c>
      <c r="Z331" s="4"/>
      <c r="AA331" s="14">
        <f t="shared" si="105"/>
        <v>69565.876500000013</v>
      </c>
      <c r="AB331" s="4">
        <v>185231.77059999999</v>
      </c>
      <c r="AC331" s="4">
        <v>2652339.12</v>
      </c>
      <c r="AD331" s="14">
        <f t="shared" si="106"/>
        <v>17843.29</v>
      </c>
      <c r="AE331" s="14">
        <f t="shared" si="107"/>
        <v>144411.24000000002</v>
      </c>
      <c r="AF331" s="14" t="str">
        <f t="shared" si="108"/>
        <v/>
      </c>
      <c r="AG331" s="15">
        <f t="shared" si="109"/>
        <v>2814593.6500000004</v>
      </c>
      <c r="AH331" s="4">
        <v>2477734.2713700002</v>
      </c>
      <c r="AI331" s="17">
        <f t="shared" si="110"/>
        <v>336859.37863000017</v>
      </c>
      <c r="AJ331" s="7">
        <f t="shared" si="114"/>
        <v>3.0142919979416587</v>
      </c>
      <c r="AK331" s="7">
        <f t="shared" si="115"/>
        <v>11.827494131920254</v>
      </c>
      <c r="AL331" s="7">
        <f t="shared" si="116"/>
        <v>6.0617790841067576</v>
      </c>
      <c r="AM331" s="7" t="str">
        <f t="shared" si="117"/>
        <v/>
      </c>
      <c r="AN331" s="4">
        <v>119622.50943015941</v>
      </c>
      <c r="AO331" s="4">
        <v>23626.25</v>
      </c>
      <c r="AP331" s="14">
        <f t="shared" si="111"/>
        <v>2620983.0308001596</v>
      </c>
      <c r="AQ331" s="14">
        <f t="shared" si="112"/>
        <v>2477734.2713700002</v>
      </c>
      <c r="AR331" s="8">
        <v>63430.91</v>
      </c>
      <c r="AS331" s="20">
        <v>39.061937963210688</v>
      </c>
      <c r="AT331" s="8">
        <v>33798678.780000001</v>
      </c>
      <c r="AU331" s="8">
        <v>26080.153200000001</v>
      </c>
      <c r="AV331" s="8">
        <v>2114.4850999999999</v>
      </c>
      <c r="AW331" s="8"/>
      <c r="AX331" s="9">
        <v>417.82765109941192</v>
      </c>
      <c r="AY331" s="6">
        <f t="shared" si="118"/>
        <v>2.2782733246477085E-2</v>
      </c>
      <c r="AZ331" s="8">
        <v>420219229.08230001</v>
      </c>
      <c r="BA331" s="10">
        <v>60480066</v>
      </c>
      <c r="BB331" s="11">
        <v>33798678.780000001</v>
      </c>
      <c r="BC331" s="10">
        <v>2971324</v>
      </c>
      <c r="BD331" s="10">
        <f>1000000000-999543106.113+136885.344</f>
        <v>593779.23099996476</v>
      </c>
      <c r="BE331" s="12">
        <f t="shared" si="119"/>
        <v>481936922.90670013</v>
      </c>
      <c r="BF331" s="13">
        <v>238</v>
      </c>
      <c r="BG331" s="13">
        <f t="shared" si="120"/>
        <v>243.93692290670015</v>
      </c>
      <c r="BH331" s="14">
        <f>BE331*36.79</f>
        <v>17730459393.737499</v>
      </c>
    </row>
    <row r="332" spans="1:60" x14ac:dyDescent="0.25">
      <c r="A332" s="3">
        <v>45954</v>
      </c>
      <c r="B332" s="4">
        <v>6800341602</v>
      </c>
      <c r="C332" s="4">
        <v>27345918</v>
      </c>
      <c r="D332" s="5">
        <v>183360265</v>
      </c>
      <c r="E332" s="4"/>
      <c r="F332" s="5"/>
      <c r="G332" s="5"/>
      <c r="H332" s="5"/>
      <c r="I332" s="5">
        <v>27345918</v>
      </c>
      <c r="J332" s="5"/>
      <c r="K332" s="5"/>
      <c r="L332" s="14">
        <f t="shared" si="113"/>
        <v>27345918</v>
      </c>
      <c r="M332" s="21">
        <v>0.99836180673241703</v>
      </c>
      <c r="N332" s="4">
        <v>2089041.3</v>
      </c>
      <c r="O332" s="4">
        <v>31009.119999999999</v>
      </c>
      <c r="P332" s="4">
        <v>105063.14</v>
      </c>
      <c r="Q332" s="4"/>
      <c r="R332" s="14">
        <f t="shared" si="100"/>
        <v>2225113.56</v>
      </c>
      <c r="S332" s="6">
        <v>0.01</v>
      </c>
      <c r="T332" s="14">
        <f t="shared" si="101"/>
        <v>20890.413</v>
      </c>
      <c r="U332" s="14">
        <f t="shared" si="102"/>
        <v>155.04560000000001</v>
      </c>
      <c r="V332" s="14">
        <f t="shared" si="103"/>
        <v>837.01690000000008</v>
      </c>
      <c r="W332" s="14" t="str">
        <f t="shared" si="104"/>
        <v/>
      </c>
      <c r="X332" s="4">
        <v>21361.45</v>
      </c>
      <c r="Y332" s="4">
        <v>15504.56</v>
      </c>
      <c r="Z332" s="4"/>
      <c r="AA332" s="14">
        <f t="shared" si="105"/>
        <v>58748.485499999995</v>
      </c>
      <c r="AB332" s="4">
        <v>191444.36420000001</v>
      </c>
      <c r="AC332" s="4">
        <v>2089041.3</v>
      </c>
      <c r="AD332" s="14">
        <f t="shared" si="106"/>
        <v>15504.56</v>
      </c>
      <c r="AE332" s="14">
        <f t="shared" si="107"/>
        <v>83701.69</v>
      </c>
      <c r="AF332" s="14" t="str">
        <f t="shared" si="108"/>
        <v/>
      </c>
      <c r="AG332" s="15">
        <f t="shared" si="109"/>
        <v>2188247.5499999998</v>
      </c>
      <c r="AH332" s="4">
        <v>2006758.3182000001</v>
      </c>
      <c r="AI332" s="17">
        <f t="shared" si="110"/>
        <v>181489.23179999972</v>
      </c>
      <c r="AJ332" s="7">
        <f t="shared" si="114"/>
        <v>3.0719652368428183</v>
      </c>
      <c r="AK332" s="7">
        <f t="shared" si="115"/>
        <v>11.339579091841058</v>
      </c>
      <c r="AL332" s="7">
        <f t="shared" si="116"/>
        <v>5.7298750086339583</v>
      </c>
      <c r="AM332" s="7" t="str">
        <f t="shared" si="117"/>
        <v/>
      </c>
      <c r="AN332" s="4">
        <v>16159.275818266429</v>
      </c>
      <c r="AO332" s="4">
        <v>0</v>
      </c>
      <c r="AP332" s="14">
        <f t="shared" si="111"/>
        <v>2022917.5940182665</v>
      </c>
      <c r="AQ332" s="14">
        <f t="shared" si="112"/>
        <v>2006758.3182000001</v>
      </c>
      <c r="AR332" s="8">
        <v>50463.82</v>
      </c>
      <c r="AS332" s="20">
        <v>39.7662784585075</v>
      </c>
      <c r="AT332" s="8">
        <v>33858352.090000004</v>
      </c>
      <c r="AU332" s="8">
        <v>26111.718400000002</v>
      </c>
      <c r="AV332" s="8">
        <v>1712.4665</v>
      </c>
      <c r="AW332" s="8"/>
      <c r="AX332" s="9">
        <v>417.76837513935209</v>
      </c>
      <c r="AY332" s="6">
        <f t="shared" si="118"/>
        <v>2.2813544019029408E-2</v>
      </c>
      <c r="AZ332" s="8">
        <v>420193117.36379999</v>
      </c>
      <c r="BA332" s="10">
        <v>60480066</v>
      </c>
      <c r="BB332" s="11">
        <v>33858352.090000004</v>
      </c>
      <c r="BC332" s="10">
        <v>2971324</v>
      </c>
      <c r="BD332" s="10">
        <f>1000000000-999541393.6465+137296.2601</f>
        <v>595902.61360000866</v>
      </c>
      <c r="BE332" s="12">
        <f t="shared" si="119"/>
        <v>481901237.9325999</v>
      </c>
      <c r="BF332" s="13">
        <v>238</v>
      </c>
      <c r="BG332" s="13">
        <f t="shared" si="120"/>
        <v>243.90123793259988</v>
      </c>
      <c r="BH332" s="14">
        <f>BE332*40.28</f>
        <v>19410981863.925125</v>
      </c>
    </row>
    <row r="333" spans="1:60" x14ac:dyDescent="0.25">
      <c r="A333" s="3">
        <v>45955</v>
      </c>
      <c r="B333" s="4">
        <v>3249386503</v>
      </c>
      <c r="C333" s="4">
        <v>48997606</v>
      </c>
      <c r="D333" s="5">
        <v>174559654</v>
      </c>
      <c r="E333" s="4"/>
      <c r="F333" s="5"/>
      <c r="G333" s="5"/>
      <c r="H333" s="5"/>
      <c r="I333" s="5">
        <v>48997606</v>
      </c>
      <c r="J333" s="5"/>
      <c r="K333" s="5"/>
      <c r="L333" s="14">
        <f t="shared" si="113"/>
        <v>48997606</v>
      </c>
      <c r="M333" s="21">
        <v>1.0003334828368251</v>
      </c>
      <c r="N333" s="4">
        <v>1074441.72</v>
      </c>
      <c r="O333" s="4">
        <v>55163.38</v>
      </c>
      <c r="P333" s="4">
        <v>103150.78</v>
      </c>
      <c r="Q333" s="4"/>
      <c r="R333" s="14">
        <f t="shared" si="100"/>
        <v>1232755.8799999999</v>
      </c>
      <c r="S333" s="6">
        <v>0.01</v>
      </c>
      <c r="T333" s="14">
        <f t="shared" si="101"/>
        <v>10744.4172</v>
      </c>
      <c r="U333" s="14">
        <f t="shared" si="102"/>
        <v>275.81689999999998</v>
      </c>
      <c r="V333" s="14">
        <f t="shared" si="103"/>
        <v>861.91179999999997</v>
      </c>
      <c r="W333" s="14" t="str">
        <f t="shared" si="104"/>
        <v/>
      </c>
      <c r="X333" s="4">
        <v>16959.599999999999</v>
      </c>
      <c r="Y333" s="4">
        <v>27581.69</v>
      </c>
      <c r="Z333" s="4"/>
      <c r="AA333" s="14">
        <f t="shared" si="105"/>
        <v>56423.435899999997</v>
      </c>
      <c r="AB333" s="4">
        <v>112960.774</v>
      </c>
      <c r="AC333" s="4">
        <v>1074441.72</v>
      </c>
      <c r="AD333" s="14">
        <f t="shared" si="106"/>
        <v>27581.69</v>
      </c>
      <c r="AE333" s="14">
        <f t="shared" si="107"/>
        <v>86191.18</v>
      </c>
      <c r="AF333" s="14" t="str">
        <f t="shared" si="108"/>
        <v/>
      </c>
      <c r="AG333" s="15">
        <f t="shared" si="109"/>
        <v>1188214.5899999999</v>
      </c>
      <c r="AH333" s="4">
        <v>989708.01428999996</v>
      </c>
      <c r="AI333" s="17">
        <f t="shared" si="110"/>
        <v>198506.57570999989</v>
      </c>
      <c r="AJ333" s="7">
        <f t="shared" si="114"/>
        <v>3.306598704118517</v>
      </c>
      <c r="AK333" s="7">
        <f t="shared" si="115"/>
        <v>11.258382705473405</v>
      </c>
      <c r="AL333" s="7">
        <f t="shared" si="116"/>
        <v>5.90919938464131</v>
      </c>
      <c r="AM333" s="7" t="str">
        <f t="shared" si="117"/>
        <v/>
      </c>
      <c r="AN333" s="4">
        <v>18716.721028994929</v>
      </c>
      <c r="AO333" s="4">
        <v>28822.11</v>
      </c>
      <c r="AP333" s="14">
        <f t="shared" si="111"/>
        <v>1037246.8453189948</v>
      </c>
      <c r="AQ333" s="14">
        <f t="shared" si="112"/>
        <v>989708.01428999996</v>
      </c>
      <c r="AR333" s="8">
        <v>23900.16</v>
      </c>
      <c r="AS333" s="20">
        <v>41.410099944519203</v>
      </c>
      <c r="AT333" s="8">
        <v>33906947.560000002</v>
      </c>
      <c r="AU333" s="8">
        <v>26119.636500000001</v>
      </c>
      <c r="AV333" s="8">
        <v>1123.6321</v>
      </c>
      <c r="AW333" s="8"/>
      <c r="AX333" s="9">
        <v>417.48273910038711</v>
      </c>
      <c r="AY333" s="6">
        <f t="shared" si="118"/>
        <v>2.2836075434025434E-2</v>
      </c>
      <c r="AZ333" s="8">
        <v>420166997.7274</v>
      </c>
      <c r="BA333" s="10">
        <v>60480066</v>
      </c>
      <c r="BB333" s="11">
        <v>33906947.560000002</v>
      </c>
      <c r="BC333" s="10">
        <v>2971324</v>
      </c>
      <c r="BD333" s="10">
        <f>1000000000-999540270.0144+137719.0076</f>
        <v>597448.99319999467</v>
      </c>
      <c r="BE333" s="12">
        <f t="shared" si="119"/>
        <v>481877215.71939993</v>
      </c>
      <c r="BF333" s="13">
        <v>238</v>
      </c>
      <c r="BG333" s="13">
        <f t="shared" si="120"/>
        <v>243.87721571939994</v>
      </c>
      <c r="BH333" s="14">
        <f>BE333*38.98</f>
        <v>18783573868.742207</v>
      </c>
    </row>
    <row r="334" spans="1:60" x14ac:dyDescent="0.25">
      <c r="A334" s="3">
        <v>45956</v>
      </c>
      <c r="B334" s="4">
        <v>6198381579</v>
      </c>
      <c r="C334" s="4">
        <v>47016155</v>
      </c>
      <c r="D334" s="5">
        <v>250980235</v>
      </c>
      <c r="E334" s="4"/>
      <c r="F334" s="5"/>
      <c r="G334" s="5"/>
      <c r="H334" s="5"/>
      <c r="I334" s="5">
        <v>47016155</v>
      </c>
      <c r="J334" s="5"/>
      <c r="K334" s="5"/>
      <c r="L334" s="14">
        <f t="shared" si="113"/>
        <v>47016155</v>
      </c>
      <c r="M334" s="21">
        <v>0.99582887583111779</v>
      </c>
      <c r="N334" s="4">
        <v>1955665.44</v>
      </c>
      <c r="O334" s="4">
        <v>50033.74</v>
      </c>
      <c r="P334" s="4">
        <v>131635.98000000001</v>
      </c>
      <c r="Q334" s="4"/>
      <c r="R334" s="14">
        <f t="shared" si="100"/>
        <v>2137335.16</v>
      </c>
      <c r="S334" s="6">
        <v>0.01</v>
      </c>
      <c r="T334" s="14">
        <f t="shared" si="101"/>
        <v>19556.654399999999</v>
      </c>
      <c r="U334" s="14">
        <f t="shared" si="102"/>
        <v>250.1687</v>
      </c>
      <c r="V334" s="14">
        <f t="shared" si="103"/>
        <v>1140.5492000000002</v>
      </c>
      <c r="W334" s="14" t="str">
        <f t="shared" si="104"/>
        <v/>
      </c>
      <c r="X334" s="4">
        <v>17581.060000000001</v>
      </c>
      <c r="Y334" s="4">
        <v>25016.87</v>
      </c>
      <c r="Z334" s="4"/>
      <c r="AA334" s="14">
        <f t="shared" si="105"/>
        <v>63545.302299999996</v>
      </c>
      <c r="AB334" s="4">
        <v>175760.07939999999</v>
      </c>
      <c r="AC334" s="4">
        <v>1955665.44</v>
      </c>
      <c r="AD334" s="14">
        <f t="shared" si="106"/>
        <v>25016.87</v>
      </c>
      <c r="AE334" s="14">
        <f t="shared" si="107"/>
        <v>114054.92000000001</v>
      </c>
      <c r="AF334" s="14" t="str">
        <f t="shared" si="108"/>
        <v/>
      </c>
      <c r="AG334" s="15">
        <f t="shared" si="109"/>
        <v>2094737.23</v>
      </c>
      <c r="AH334" s="4">
        <v>1881476.2541100001</v>
      </c>
      <c r="AI334" s="17">
        <f t="shared" si="110"/>
        <v>213260.97588999989</v>
      </c>
      <c r="AJ334" s="7">
        <f t="shared" si="114"/>
        <v>3.1551226962627754</v>
      </c>
      <c r="AK334" s="7">
        <f t="shared" si="115"/>
        <v>10.641818753575235</v>
      </c>
      <c r="AL334" s="7">
        <f t="shared" si="116"/>
        <v>5.2448743623178142</v>
      </c>
      <c r="AM334" s="7" t="str">
        <f t="shared" si="117"/>
        <v/>
      </c>
      <c r="AN334" s="4">
        <v>34682.10361590769</v>
      </c>
      <c r="AO334" s="4">
        <v>42638.05</v>
      </c>
      <c r="AP334" s="14">
        <f t="shared" si="111"/>
        <v>1958796.4077259079</v>
      </c>
      <c r="AQ334" s="14">
        <f t="shared" si="112"/>
        <v>1881476.2541100001</v>
      </c>
      <c r="AR334" s="8">
        <v>40200.85</v>
      </c>
      <c r="AS334" s="20">
        <v>46.801902300821993</v>
      </c>
      <c r="AT334" s="8">
        <v>33930325.960000001</v>
      </c>
      <c r="AU334" s="8">
        <v>26119.243999999999</v>
      </c>
      <c r="AV334" s="8">
        <v>1153.0696</v>
      </c>
      <c r="AW334" s="8"/>
      <c r="AX334" s="9">
        <v>417.7311095112392</v>
      </c>
      <c r="AY334" s="6">
        <f t="shared" si="118"/>
        <v>2.2822154833415625E-2</v>
      </c>
      <c r="AZ334" s="8">
        <v>420140878.48339999</v>
      </c>
      <c r="BA334" s="10">
        <v>60480066</v>
      </c>
      <c r="BB334" s="11">
        <v>33930325.960000001</v>
      </c>
      <c r="BC334" s="10">
        <v>2971324</v>
      </c>
      <c r="BD334" s="10">
        <f>1000000000-999539116.9448+138451.7333</f>
        <v>599334.7884999807</v>
      </c>
      <c r="BE334" s="12">
        <f t="shared" si="119"/>
        <v>481878070.76810008</v>
      </c>
      <c r="BF334" s="13">
        <v>238</v>
      </c>
      <c r="BG334" s="13">
        <f t="shared" si="120"/>
        <v>243.87807076810009</v>
      </c>
      <c r="BH334" s="14">
        <f>BE334*44.21</f>
        <v>21303829508.657703</v>
      </c>
    </row>
    <row r="335" spans="1:60" x14ac:dyDescent="0.25">
      <c r="A335" s="3">
        <v>45957</v>
      </c>
      <c r="B335" s="4">
        <v>8411267596</v>
      </c>
      <c r="C335" s="4">
        <v>65446643</v>
      </c>
      <c r="D335" s="5">
        <v>299657027</v>
      </c>
      <c r="E335" s="4"/>
      <c r="F335" s="5"/>
      <c r="G335" s="5"/>
      <c r="H335" s="5"/>
      <c r="I335" s="5">
        <v>65446643</v>
      </c>
      <c r="J335" s="5"/>
      <c r="K335" s="5"/>
      <c r="L335" s="14">
        <f t="shared" si="113"/>
        <v>65446643</v>
      </c>
      <c r="M335" s="21">
        <v>0.99530001075886465</v>
      </c>
      <c r="N335" s="4">
        <v>2470047.2000000002</v>
      </c>
      <c r="O335" s="4">
        <v>65939.100000000006</v>
      </c>
      <c r="P335" s="4">
        <v>157763.26</v>
      </c>
      <c r="Q335" s="4"/>
      <c r="R335" s="14">
        <f t="shared" si="100"/>
        <v>2693749.5600000005</v>
      </c>
      <c r="S335" s="6">
        <v>0.01</v>
      </c>
      <c r="T335" s="14">
        <f t="shared" si="101"/>
        <v>24700.472000000002</v>
      </c>
      <c r="U335" s="14">
        <f t="shared" si="102"/>
        <v>329.69550000000004</v>
      </c>
      <c r="V335" s="14">
        <f t="shared" si="103"/>
        <v>1337.4965000000002</v>
      </c>
      <c r="W335" s="14" t="str">
        <f t="shared" si="104"/>
        <v/>
      </c>
      <c r="X335" s="4">
        <v>24013.61</v>
      </c>
      <c r="Y335" s="4">
        <v>32969.550000000003</v>
      </c>
      <c r="Z335" s="4"/>
      <c r="AA335" s="14">
        <f t="shared" si="105"/>
        <v>83350.824000000008</v>
      </c>
      <c r="AB335" s="4">
        <v>223909.53330000001</v>
      </c>
      <c r="AC335" s="4">
        <v>2470047.2000000002</v>
      </c>
      <c r="AD335" s="14">
        <f t="shared" si="106"/>
        <v>32969.550000000003</v>
      </c>
      <c r="AE335" s="14">
        <f t="shared" si="107"/>
        <v>133749.65000000002</v>
      </c>
      <c r="AF335" s="14" t="str">
        <f t="shared" si="108"/>
        <v/>
      </c>
      <c r="AG335" s="15">
        <f t="shared" si="109"/>
        <v>2636766.4</v>
      </c>
      <c r="AH335" s="4">
        <v>2485119.65814</v>
      </c>
      <c r="AI335" s="17">
        <f t="shared" si="110"/>
        <v>151646.74185999995</v>
      </c>
      <c r="AJ335" s="7">
        <f t="shared" si="114"/>
        <v>2.9365932920439213</v>
      </c>
      <c r="AK335" s="7">
        <f t="shared" si="115"/>
        <v>10.075245570655168</v>
      </c>
      <c r="AL335" s="7">
        <f t="shared" si="116"/>
        <v>5.2647942742887857</v>
      </c>
      <c r="AM335" s="7" t="str">
        <f t="shared" si="117"/>
        <v/>
      </c>
      <c r="AN335" s="4">
        <v>53328.086332959843</v>
      </c>
      <c r="AO335" s="4">
        <v>0</v>
      </c>
      <c r="AP335" s="14">
        <f t="shared" si="111"/>
        <v>2538447.74447296</v>
      </c>
      <c r="AQ335" s="14">
        <f t="shared" si="112"/>
        <v>2485119.65814</v>
      </c>
      <c r="AR335" s="8">
        <v>52411.15</v>
      </c>
      <c r="AS335" s="20">
        <v>47.415858231311468</v>
      </c>
      <c r="AT335" s="8">
        <v>33981239.810000002</v>
      </c>
      <c r="AU335" s="8">
        <v>30771.367600000001</v>
      </c>
      <c r="AV335" s="8">
        <v>1937.3233</v>
      </c>
      <c r="AW335" s="8"/>
      <c r="AX335" s="9">
        <v>417.82753124637708</v>
      </c>
      <c r="AY335" s="6">
        <f t="shared" si="118"/>
        <v>2.6880826020478726E-2</v>
      </c>
      <c r="AZ335" s="8">
        <v>420110107.11570001</v>
      </c>
      <c r="BA335" s="10">
        <v>60480066</v>
      </c>
      <c r="BB335" s="11">
        <v>33981239.810000002</v>
      </c>
      <c r="BC335" s="10">
        <v>2971324</v>
      </c>
      <c r="BD335" s="10">
        <f>1000000000-999537179.6215+139596.0146</f>
        <v>602416.39309998474</v>
      </c>
      <c r="BE335" s="12">
        <f t="shared" si="119"/>
        <v>481854846.68120003</v>
      </c>
      <c r="BF335" s="13">
        <v>238</v>
      </c>
      <c r="BG335" s="13">
        <f t="shared" si="120"/>
        <v>243.8548466812</v>
      </c>
      <c r="BH335" s="14">
        <f>BE335*49.16</f>
        <v>23687984262.847794</v>
      </c>
    </row>
    <row r="336" spans="1:60" x14ac:dyDescent="0.25">
      <c r="A336" s="3">
        <v>45958</v>
      </c>
      <c r="B336" s="4">
        <v>9800694355</v>
      </c>
      <c r="C336" s="4">
        <v>80478854</v>
      </c>
      <c r="D336" s="5">
        <v>309914355</v>
      </c>
      <c r="E336" s="4"/>
      <c r="F336" s="5"/>
      <c r="G336" s="5"/>
      <c r="H336" s="5"/>
      <c r="I336" s="5">
        <v>80478854</v>
      </c>
      <c r="J336" s="5"/>
      <c r="K336" s="5"/>
      <c r="L336" s="14">
        <f t="shared" si="113"/>
        <v>80478854</v>
      </c>
      <c r="M336" s="21">
        <v>0.99590716611698837</v>
      </c>
      <c r="N336" s="4">
        <v>3023627.58</v>
      </c>
      <c r="O336" s="4">
        <v>86648.8</v>
      </c>
      <c r="P336" s="4">
        <v>179183.35</v>
      </c>
      <c r="Q336" s="4"/>
      <c r="R336" s="14">
        <f t="shared" si="100"/>
        <v>3289459.73</v>
      </c>
      <c r="S336" s="6">
        <v>0.01</v>
      </c>
      <c r="T336" s="14">
        <f t="shared" si="101"/>
        <v>30236.275800000003</v>
      </c>
      <c r="U336" s="14">
        <f t="shared" si="102"/>
        <v>433.24400000000003</v>
      </c>
      <c r="V336" s="14">
        <f t="shared" si="103"/>
        <v>1446.2548000000002</v>
      </c>
      <c r="W336" s="14" t="str">
        <f t="shared" si="104"/>
        <v/>
      </c>
      <c r="X336" s="4">
        <v>34557.870000000003</v>
      </c>
      <c r="Y336" s="4">
        <v>43324.4</v>
      </c>
      <c r="Z336" s="4"/>
      <c r="AA336" s="14">
        <f t="shared" si="105"/>
        <v>109998.04459999999</v>
      </c>
      <c r="AB336" s="4">
        <v>282229.54190000001</v>
      </c>
      <c r="AC336" s="4">
        <v>3023627.58</v>
      </c>
      <c r="AD336" s="14">
        <f t="shared" si="106"/>
        <v>43324.4</v>
      </c>
      <c r="AE336" s="14">
        <f t="shared" si="107"/>
        <v>144625.48000000001</v>
      </c>
      <c r="AF336" s="14" t="str">
        <f t="shared" si="108"/>
        <v/>
      </c>
      <c r="AG336" s="15">
        <f t="shared" si="109"/>
        <v>3211577.46</v>
      </c>
      <c r="AH336" s="4">
        <v>2746596.5519099999</v>
      </c>
      <c r="AI336" s="17">
        <f t="shared" si="110"/>
        <v>464980.90809000004</v>
      </c>
      <c r="AJ336" s="7">
        <f t="shared" si="114"/>
        <v>3.0851156769902146</v>
      </c>
      <c r="AK336" s="7">
        <f t="shared" si="115"/>
        <v>10.766654306484037</v>
      </c>
      <c r="AL336" s="7">
        <f t="shared" si="116"/>
        <v>5.7817054005129904</v>
      </c>
      <c r="AM336" s="7" t="str">
        <f t="shared" si="117"/>
        <v/>
      </c>
      <c r="AN336" s="4">
        <v>41219.043811327123</v>
      </c>
      <c r="AO336" s="4">
        <v>0</v>
      </c>
      <c r="AP336" s="14">
        <f t="shared" si="111"/>
        <v>2787815.5957213272</v>
      </c>
      <c r="AQ336" s="14">
        <f t="shared" si="112"/>
        <v>2746596.5519099999</v>
      </c>
      <c r="AR336" s="8">
        <v>57848.3</v>
      </c>
      <c r="AS336" s="20">
        <v>47.479295880950687</v>
      </c>
      <c r="AT336" s="8">
        <v>34026899.079999998</v>
      </c>
      <c r="AU336" s="8">
        <v>21505.215199999999</v>
      </c>
      <c r="AV336" s="8">
        <v>2987.1464000000001</v>
      </c>
      <c r="AW336" s="8"/>
      <c r="AX336" s="9">
        <v>417.69057249164149</v>
      </c>
      <c r="AY336" s="6">
        <f t="shared" si="118"/>
        <v>1.87923885884618E-2</v>
      </c>
      <c r="AZ336" s="8">
        <v>420088601.9005</v>
      </c>
      <c r="BA336" s="10">
        <v>60480066</v>
      </c>
      <c r="BB336" s="11">
        <v>34026899.079999998</v>
      </c>
      <c r="BC336" s="10">
        <v>2971324</v>
      </c>
      <c r="BD336" s="10">
        <f>1000000000-999534192.4751+140460.7074</f>
        <v>606268.23229995952</v>
      </c>
      <c r="BE336" s="12">
        <f t="shared" si="119"/>
        <v>481826840.78719997</v>
      </c>
      <c r="BF336" s="13">
        <v>238</v>
      </c>
      <c r="BG336" s="13">
        <f t="shared" si="120"/>
        <v>243.82684078719996</v>
      </c>
      <c r="BH336" s="14">
        <f>BE336*46.81</f>
        <v>22554314417.248833</v>
      </c>
    </row>
    <row r="337" spans="1:60" x14ac:dyDescent="0.25">
      <c r="A337" s="3">
        <v>45959</v>
      </c>
      <c r="B337" s="4">
        <v>11021600474</v>
      </c>
      <c r="C337" s="4">
        <v>94293418</v>
      </c>
      <c r="D337" s="5">
        <v>299660704</v>
      </c>
      <c r="E337" s="4"/>
      <c r="F337" s="5"/>
      <c r="G337" s="5"/>
      <c r="H337" s="5"/>
      <c r="I337" s="5">
        <v>94293418</v>
      </c>
      <c r="J337" s="5"/>
      <c r="K337" s="5"/>
      <c r="L337" s="14">
        <f t="shared" si="113"/>
        <v>94293418</v>
      </c>
      <c r="M337" s="21">
        <v>0.99954249849088583</v>
      </c>
      <c r="N337" s="4">
        <v>3305880.37</v>
      </c>
      <c r="O337" s="4">
        <v>96796.96</v>
      </c>
      <c r="P337" s="4">
        <v>182310.84</v>
      </c>
      <c r="Q337" s="4"/>
      <c r="R337" s="14">
        <f t="shared" si="100"/>
        <v>3584988.17</v>
      </c>
      <c r="S337" s="6">
        <v>0.01</v>
      </c>
      <c r="T337" s="14">
        <f t="shared" si="101"/>
        <v>33058.803700000004</v>
      </c>
      <c r="U337" s="14">
        <f t="shared" si="102"/>
        <v>483.98480000000006</v>
      </c>
      <c r="V337" s="14">
        <f t="shared" si="103"/>
        <v>1486.8322999999998</v>
      </c>
      <c r="W337" s="14" t="str">
        <f t="shared" si="104"/>
        <v/>
      </c>
      <c r="X337" s="4">
        <v>33627.61</v>
      </c>
      <c r="Y337" s="4">
        <v>48398.48</v>
      </c>
      <c r="Z337" s="4"/>
      <c r="AA337" s="14">
        <f t="shared" si="105"/>
        <v>117055.7108</v>
      </c>
      <c r="AB337" s="4">
        <v>273926.66480000003</v>
      </c>
      <c r="AC337" s="4">
        <v>3305880.37</v>
      </c>
      <c r="AD337" s="14">
        <f t="shared" si="106"/>
        <v>48398.48</v>
      </c>
      <c r="AE337" s="14">
        <f t="shared" si="107"/>
        <v>148683.22999999998</v>
      </c>
      <c r="AF337" s="14" t="str">
        <f t="shared" si="108"/>
        <v/>
      </c>
      <c r="AG337" s="15">
        <f t="shared" si="109"/>
        <v>3502962.08</v>
      </c>
      <c r="AH337" s="4">
        <v>3030139.75</v>
      </c>
      <c r="AI337" s="17">
        <f t="shared" si="110"/>
        <v>472822.33000000007</v>
      </c>
      <c r="AJ337" s="7">
        <f t="shared" si="114"/>
        <v>2.9994558211383047</v>
      </c>
      <c r="AK337" s="7">
        <f t="shared" si="115"/>
        <v>10.265505488410655</v>
      </c>
      <c r="AL337" s="7">
        <f t="shared" si="116"/>
        <v>6.0839088197563598</v>
      </c>
      <c r="AM337" s="7" t="str">
        <f t="shared" si="117"/>
        <v/>
      </c>
      <c r="AN337" s="4">
        <v>64687.938684207671</v>
      </c>
      <c r="AO337" s="4">
        <v>0</v>
      </c>
      <c r="AP337" s="14">
        <f t="shared" si="111"/>
        <v>3094827.6886842079</v>
      </c>
      <c r="AQ337" s="14">
        <f t="shared" si="112"/>
        <v>3030139.75</v>
      </c>
      <c r="AR337" s="8">
        <v>63421.84</v>
      </c>
      <c r="AS337" s="20">
        <v>47.777543999999999</v>
      </c>
      <c r="AT337" s="8">
        <v>34136793.689999998</v>
      </c>
      <c r="AU337" s="8">
        <v>26132.4928</v>
      </c>
      <c r="AV337" s="8">
        <v>643.32389999999998</v>
      </c>
      <c r="AW337" s="8"/>
      <c r="AX337" s="9">
        <v>417.46784853742872</v>
      </c>
      <c r="AY337" s="6">
        <f t="shared" si="118"/>
        <v>2.2848130473800601E-2</v>
      </c>
      <c r="AZ337" s="8">
        <v>420062469.4077</v>
      </c>
      <c r="BA337" s="10">
        <v>60480066</v>
      </c>
      <c r="BB337" s="11">
        <v>34136793.689999998</v>
      </c>
      <c r="BC337" s="10">
        <v>2971324</v>
      </c>
      <c r="BD337" s="10">
        <f>1000000000-999533549.1512+141806.6063</f>
        <v>608257.45509994391</v>
      </c>
      <c r="BE337" s="12">
        <f t="shared" si="119"/>
        <v>481741089.4472</v>
      </c>
      <c r="BF337" s="13">
        <v>238</v>
      </c>
      <c r="BG337" s="13">
        <f t="shared" si="120"/>
        <v>243.74108944720001</v>
      </c>
      <c r="BH337" s="14">
        <f>BE337*47.54</f>
        <v>22901971392.319889</v>
      </c>
    </row>
    <row r="338" spans="1:60" x14ac:dyDescent="0.25">
      <c r="A338" s="3">
        <v>45960</v>
      </c>
      <c r="B338" s="4">
        <v>12251475490</v>
      </c>
      <c r="C338" s="4">
        <v>116073044</v>
      </c>
      <c r="D338" s="5">
        <v>433695347</v>
      </c>
      <c r="E338" s="4"/>
      <c r="F338" s="5"/>
      <c r="G338" s="5"/>
      <c r="H338" s="5"/>
      <c r="I338" s="5">
        <v>116073044</v>
      </c>
      <c r="J338" s="5"/>
      <c r="K338" s="5"/>
      <c r="L338" s="14">
        <f t="shared" si="113"/>
        <v>116073044</v>
      </c>
      <c r="M338" s="21">
        <v>0.99974701993452031</v>
      </c>
      <c r="N338" s="4">
        <v>3827493.75</v>
      </c>
      <c r="O338" s="4">
        <v>112508.32</v>
      </c>
      <c r="P338" s="4">
        <v>230257.02</v>
      </c>
      <c r="Q338" s="4"/>
      <c r="R338" s="14">
        <f t="shared" si="100"/>
        <v>4170259.09</v>
      </c>
      <c r="S338" s="6">
        <v>0.01</v>
      </c>
      <c r="T338" s="14">
        <f t="shared" si="101"/>
        <v>38274.9375</v>
      </c>
      <c r="U338" s="14">
        <f t="shared" si="102"/>
        <v>562.54160000000002</v>
      </c>
      <c r="V338" s="14">
        <f t="shared" si="103"/>
        <v>1974.7638000000002</v>
      </c>
      <c r="W338" s="14" t="str">
        <f t="shared" si="104"/>
        <v/>
      </c>
      <c r="X338" s="4">
        <v>32780.639999999999</v>
      </c>
      <c r="Y338" s="4">
        <v>56254.16</v>
      </c>
      <c r="Z338" s="4"/>
      <c r="AA338" s="14">
        <f t="shared" si="105"/>
        <v>129847.0429</v>
      </c>
      <c r="AB338" s="4">
        <v>317220.89750000002</v>
      </c>
      <c r="AC338" s="4">
        <v>3827493.75</v>
      </c>
      <c r="AD338" s="14">
        <f t="shared" si="106"/>
        <v>56254.16</v>
      </c>
      <c r="AE338" s="14">
        <f t="shared" si="107"/>
        <v>197476.38</v>
      </c>
      <c r="AF338" s="14" t="str">
        <f t="shared" si="108"/>
        <v/>
      </c>
      <c r="AG338" s="15">
        <f t="shared" si="109"/>
        <v>4081224.29</v>
      </c>
      <c r="AH338" s="4">
        <v>3350689.9</v>
      </c>
      <c r="AI338" s="17">
        <f t="shared" si="110"/>
        <v>730534.39000000013</v>
      </c>
      <c r="AJ338" s="7">
        <f t="shared" si="114"/>
        <v>3.1241084007588382</v>
      </c>
      <c r="AK338" s="7">
        <f t="shared" si="115"/>
        <v>9.6928895911440041</v>
      </c>
      <c r="AL338" s="7">
        <f t="shared" si="116"/>
        <v>5.3091881569114454</v>
      </c>
      <c r="AM338" s="7" t="str">
        <f t="shared" si="117"/>
        <v/>
      </c>
      <c r="AN338" s="4">
        <v>77902.030540131615</v>
      </c>
      <c r="AO338" s="4">
        <v>49061.95</v>
      </c>
      <c r="AP338" s="14">
        <f t="shared" si="111"/>
        <v>3477653.8805401316</v>
      </c>
      <c r="AQ338" s="14">
        <f t="shared" si="112"/>
        <v>3350689.9</v>
      </c>
      <c r="AR338" s="8">
        <v>72418.740000000005</v>
      </c>
      <c r="AS338" s="20">
        <v>46.268270999999999</v>
      </c>
      <c r="AT338" s="8">
        <v>34207883.32</v>
      </c>
      <c r="AU338" s="8">
        <v>25584.523399999998</v>
      </c>
      <c r="AV338" s="8">
        <v>777.14750000000004</v>
      </c>
      <c r="AW338" s="8"/>
      <c r="AX338" s="9">
        <v>417.91380467679488</v>
      </c>
      <c r="AY338" s="6">
        <f t="shared" si="118"/>
        <v>2.2345160500792906E-2</v>
      </c>
      <c r="AZ338" s="8">
        <v>420036884.88429999</v>
      </c>
      <c r="BA338" s="10">
        <v>60480066</v>
      </c>
      <c r="BB338" s="11">
        <v>34207883.32</v>
      </c>
      <c r="BC338" s="10">
        <v>2971324</v>
      </c>
      <c r="BD338" s="10">
        <f>1000000000-999532772.0037+143437.2429</f>
        <v>610665.23919998202</v>
      </c>
      <c r="BE338" s="12">
        <f t="shared" si="119"/>
        <v>481693176.55650002</v>
      </c>
      <c r="BF338" s="13">
        <v>238</v>
      </c>
      <c r="BG338" s="13">
        <f t="shared" si="120"/>
        <v>243.69317655650002</v>
      </c>
      <c r="BH338" s="14">
        <f>BE338*47.76</f>
        <v>23005666112.33844</v>
      </c>
    </row>
    <row r="339" spans="1:60" x14ac:dyDescent="0.25">
      <c r="A339" s="3">
        <v>45961</v>
      </c>
      <c r="B339" s="4">
        <v>7199511724</v>
      </c>
      <c r="C339" s="4">
        <v>60260348</v>
      </c>
      <c r="D339" s="5">
        <v>271790520</v>
      </c>
      <c r="E339" s="4"/>
      <c r="F339" s="5"/>
      <c r="G339" s="5"/>
      <c r="H339" s="5"/>
      <c r="I339" s="5">
        <v>60260348</v>
      </c>
      <c r="J339" s="5"/>
      <c r="K339" s="5"/>
      <c r="L339" s="14">
        <f t="shared" si="113"/>
        <v>60260348</v>
      </c>
      <c r="M339" s="21">
        <v>1.005231036069929</v>
      </c>
      <c r="N339" s="4">
        <v>2282078.79</v>
      </c>
      <c r="O339" s="4">
        <v>61422.3</v>
      </c>
      <c r="P339" s="4">
        <v>142058.39000000001</v>
      </c>
      <c r="Q339" s="4"/>
      <c r="R339" s="14">
        <f t="shared" si="100"/>
        <v>2485559.48</v>
      </c>
      <c r="S339" s="6">
        <v>0.01</v>
      </c>
      <c r="T339" s="14">
        <f t="shared" si="101"/>
        <v>22820.787899999999</v>
      </c>
      <c r="U339" s="14">
        <f t="shared" si="102"/>
        <v>307.11150000000004</v>
      </c>
      <c r="V339" s="14">
        <f t="shared" si="103"/>
        <v>1212.9650000000001</v>
      </c>
      <c r="W339" s="14" t="str">
        <f t="shared" si="104"/>
        <v/>
      </c>
      <c r="X339" s="4">
        <v>20761.89</v>
      </c>
      <c r="Y339" s="4">
        <v>30711.15</v>
      </c>
      <c r="Z339" s="4"/>
      <c r="AA339" s="14">
        <f t="shared" si="105"/>
        <v>75813.904399999999</v>
      </c>
      <c r="AB339" s="4">
        <v>206207.6213</v>
      </c>
      <c r="AC339" s="4">
        <v>2282078.79</v>
      </c>
      <c r="AD339" s="14">
        <f t="shared" si="106"/>
        <v>30711.15</v>
      </c>
      <c r="AE339" s="14">
        <f t="shared" si="107"/>
        <v>121296.50000000001</v>
      </c>
      <c r="AF339" s="14" t="str">
        <f t="shared" si="108"/>
        <v/>
      </c>
      <c r="AG339" s="15">
        <f t="shared" si="109"/>
        <v>2434086.44</v>
      </c>
      <c r="AH339" s="4">
        <v>2259013.2999999998</v>
      </c>
      <c r="AI339" s="17">
        <f t="shared" si="110"/>
        <v>175073.14000000013</v>
      </c>
      <c r="AJ339" s="7">
        <f t="shared" si="114"/>
        <v>3.1697688363956056</v>
      </c>
      <c r="AK339" s="7">
        <f t="shared" si="115"/>
        <v>10.192821986358261</v>
      </c>
      <c r="AL339" s="7">
        <f t="shared" si="116"/>
        <v>5.2267603005432273</v>
      </c>
      <c r="AM339" s="7" t="str">
        <f t="shared" si="117"/>
        <v/>
      </c>
      <c r="AN339" s="4">
        <v>40723.511985121193</v>
      </c>
      <c r="AO339" s="4">
        <v>29671.19</v>
      </c>
      <c r="AP339" s="14">
        <f t="shared" si="111"/>
        <v>2329408.0019851211</v>
      </c>
      <c r="AQ339" s="14">
        <f t="shared" si="112"/>
        <v>2259013.2999999998</v>
      </c>
      <c r="AR339" s="8">
        <v>50976.52</v>
      </c>
      <c r="AS339" s="20">
        <v>44.314781000000004</v>
      </c>
      <c r="AT339" s="8">
        <v>34259513.439999998</v>
      </c>
      <c r="AU339" s="8">
        <v>26132.091700000001</v>
      </c>
      <c r="AV339" s="8">
        <v>2710.6255000000001</v>
      </c>
      <c r="AW339" s="8"/>
      <c r="AX339" s="9">
        <v>417.6769943968747</v>
      </c>
      <c r="AY339" s="6">
        <f t="shared" si="118"/>
        <v>2.283633908128738E-2</v>
      </c>
      <c r="AZ339" s="8">
        <v>420010752.79259998</v>
      </c>
      <c r="BA339" s="10">
        <v>60480066</v>
      </c>
      <c r="BB339" s="11">
        <v>34259513.439999998</v>
      </c>
      <c r="BC339" s="10">
        <v>2971324</v>
      </c>
      <c r="BD339" s="10">
        <f>1000000000-999530061.3782+144331.3612</f>
        <v>614269.98299994587</v>
      </c>
      <c r="BE339" s="12">
        <f t="shared" si="119"/>
        <v>481664073.78440017</v>
      </c>
      <c r="BF339" s="13">
        <v>238</v>
      </c>
      <c r="BG339" s="13">
        <f t="shared" si="120"/>
        <v>243.66407378440016</v>
      </c>
      <c r="BH339" s="14">
        <f>BE339*45.53</f>
        <v>21930165279.40374</v>
      </c>
    </row>
    <row r="340" spans="1:60" x14ac:dyDescent="0.25">
      <c r="A340" s="3">
        <v>45962</v>
      </c>
      <c r="B340" s="4">
        <v>2965686251</v>
      </c>
      <c r="C340" s="4">
        <v>44942141</v>
      </c>
      <c r="D340" s="5">
        <v>160757118</v>
      </c>
      <c r="E340" s="4"/>
      <c r="F340" s="5"/>
      <c r="G340" s="5"/>
      <c r="H340" s="5"/>
      <c r="I340" s="5">
        <v>44942141</v>
      </c>
      <c r="J340" s="5"/>
      <c r="K340" s="5"/>
      <c r="L340" s="14">
        <f t="shared" si="113"/>
        <v>44942141</v>
      </c>
      <c r="M340" s="21">
        <v>1.0000550950746401</v>
      </c>
      <c r="N340" s="4">
        <v>1009191</v>
      </c>
      <c r="O340" s="4">
        <v>48459.86</v>
      </c>
      <c r="P340" s="4">
        <v>94051.38</v>
      </c>
      <c r="Q340" s="4"/>
      <c r="R340" s="14">
        <f t="shared" si="100"/>
        <v>1151702.2400000002</v>
      </c>
      <c r="S340" s="6">
        <v>0.01</v>
      </c>
      <c r="T340" s="14">
        <f t="shared" si="101"/>
        <v>10091.91</v>
      </c>
      <c r="U340" s="14">
        <f t="shared" si="102"/>
        <v>242.29930000000002</v>
      </c>
      <c r="V340" s="14">
        <f t="shared" si="103"/>
        <v>806.53859999999997</v>
      </c>
      <c r="W340" s="14" t="str">
        <f t="shared" si="104"/>
        <v/>
      </c>
      <c r="X340" s="4">
        <v>13397.52</v>
      </c>
      <c r="Y340" s="4">
        <v>24229.93</v>
      </c>
      <c r="Z340" s="4"/>
      <c r="AA340" s="14">
        <f t="shared" si="105"/>
        <v>48768.197899999999</v>
      </c>
      <c r="AB340" s="4">
        <v>133458.9975</v>
      </c>
      <c r="AC340" s="4">
        <v>1009191</v>
      </c>
      <c r="AD340" s="14">
        <f t="shared" si="106"/>
        <v>24229.93</v>
      </c>
      <c r="AE340" s="14">
        <f t="shared" si="107"/>
        <v>80653.86</v>
      </c>
      <c r="AF340" s="14" t="str">
        <f t="shared" si="108"/>
        <v/>
      </c>
      <c r="AG340" s="15">
        <f t="shared" si="109"/>
        <v>1114074.79</v>
      </c>
      <c r="AH340" s="4">
        <v>905975.09</v>
      </c>
      <c r="AI340" s="17">
        <f t="shared" si="110"/>
        <v>208099.70000000007</v>
      </c>
      <c r="AJ340" s="7">
        <f t="shared" si="114"/>
        <v>3.4028919939178017</v>
      </c>
      <c r="AK340" s="7">
        <f t="shared" si="115"/>
        <v>10.782721722136024</v>
      </c>
      <c r="AL340" s="7">
        <f t="shared" si="116"/>
        <v>5.8505266311131559</v>
      </c>
      <c r="AM340" s="7" t="str">
        <f t="shared" si="117"/>
        <v/>
      </c>
      <c r="AN340" s="4">
        <v>20884.866853402891</v>
      </c>
      <c r="AO340" s="4">
        <v>27212.54</v>
      </c>
      <c r="AP340" s="14">
        <f t="shared" si="111"/>
        <v>954072.49685340293</v>
      </c>
      <c r="AQ340" s="14">
        <f t="shared" si="112"/>
        <v>905975.09</v>
      </c>
      <c r="AR340" s="8">
        <v>20798.349999999999</v>
      </c>
      <c r="AS340" s="20">
        <v>43.559950000000001</v>
      </c>
      <c r="AT340" s="8">
        <v>34280139.130000003</v>
      </c>
      <c r="AU340" s="8">
        <v>26112.4247</v>
      </c>
      <c r="AV340" s="8">
        <v>1407.0011999999999</v>
      </c>
      <c r="AW340" s="8"/>
      <c r="AX340" s="9">
        <v>418.44443182374778</v>
      </c>
      <c r="AY340" s="6">
        <f t="shared" si="118"/>
        <v>2.2777301573735722E-2</v>
      </c>
      <c r="AZ340" s="8">
        <v>419984640.3678</v>
      </c>
      <c r="BA340" s="10">
        <v>60480066</v>
      </c>
      <c r="BB340" s="11">
        <v>34280139.130000003</v>
      </c>
      <c r="BC340" s="10">
        <v>2971324</v>
      </c>
      <c r="BD340" s="10">
        <f>1000000000-999528654.377+144811.8928</f>
        <v>616157.51580002578</v>
      </c>
      <c r="BE340" s="12">
        <f t="shared" si="119"/>
        <v>481667672.98640001</v>
      </c>
      <c r="BF340" s="13">
        <v>238</v>
      </c>
      <c r="BG340" s="13">
        <f t="shared" si="120"/>
        <v>243.66767298640002</v>
      </c>
      <c r="BH340" s="14">
        <f>BE340*43.43</f>
        <v>20918827037.799351</v>
      </c>
    </row>
    <row r="341" spans="1:60" x14ac:dyDescent="0.25">
      <c r="A341" s="3">
        <v>45963</v>
      </c>
      <c r="B341" s="4">
        <v>4109923136</v>
      </c>
      <c r="C341" s="4">
        <v>32898300</v>
      </c>
      <c r="D341" s="5">
        <v>182378150</v>
      </c>
      <c r="E341" s="4"/>
      <c r="F341" s="5"/>
      <c r="G341" s="5"/>
      <c r="H341" s="5"/>
      <c r="I341" s="5">
        <v>32898300</v>
      </c>
      <c r="J341" s="5"/>
      <c r="K341" s="5"/>
      <c r="L341" s="14">
        <f t="shared" si="113"/>
        <v>32898300</v>
      </c>
      <c r="M341" s="21">
        <v>0.99711553677194265</v>
      </c>
      <c r="N341" s="4">
        <v>1391731.13</v>
      </c>
      <c r="O341" s="4">
        <v>37050.5</v>
      </c>
      <c r="P341" s="4">
        <v>113690.45</v>
      </c>
      <c r="Q341" s="4"/>
      <c r="R341" s="14">
        <f t="shared" si="100"/>
        <v>1542472.0799999998</v>
      </c>
      <c r="S341" s="6">
        <v>0.01</v>
      </c>
      <c r="T341" s="14">
        <f t="shared" si="101"/>
        <v>13917.311299999999</v>
      </c>
      <c r="U341" s="14">
        <f t="shared" si="102"/>
        <v>185.2525</v>
      </c>
      <c r="V341" s="14">
        <f t="shared" si="103"/>
        <v>927.56669999999997</v>
      </c>
      <c r="W341" s="14" t="str">
        <f t="shared" si="104"/>
        <v/>
      </c>
      <c r="X341" s="4">
        <v>20933.78</v>
      </c>
      <c r="Y341" s="4">
        <v>18525.25</v>
      </c>
      <c r="Z341" s="4"/>
      <c r="AA341" s="14">
        <f t="shared" si="105"/>
        <v>54489.160499999998</v>
      </c>
      <c r="AB341" s="4">
        <v>157349.37849999999</v>
      </c>
      <c r="AC341" s="4">
        <v>1391731.13</v>
      </c>
      <c r="AD341" s="14">
        <f t="shared" si="106"/>
        <v>18525.25</v>
      </c>
      <c r="AE341" s="14">
        <f t="shared" si="107"/>
        <v>92756.67</v>
      </c>
      <c r="AF341" s="14" t="str">
        <f t="shared" si="108"/>
        <v/>
      </c>
      <c r="AG341" s="15">
        <f t="shared" si="109"/>
        <v>1503013.0499999998</v>
      </c>
      <c r="AH341" s="4">
        <v>1131973.02</v>
      </c>
      <c r="AI341" s="17">
        <f t="shared" si="110"/>
        <v>371040.0299999998</v>
      </c>
      <c r="AJ341" s="7">
        <f t="shared" si="114"/>
        <v>3.3862704579787057</v>
      </c>
      <c r="AK341" s="7">
        <f t="shared" si="115"/>
        <v>11.262132085852461</v>
      </c>
      <c r="AL341" s="7">
        <f t="shared" si="116"/>
        <v>6.2337758114116193</v>
      </c>
      <c r="AM341" s="7" t="str">
        <f t="shared" si="117"/>
        <v/>
      </c>
      <c r="AN341" s="4">
        <v>21561.40035412545</v>
      </c>
      <c r="AO341" s="4">
        <v>0</v>
      </c>
      <c r="AP341" s="14">
        <f t="shared" si="111"/>
        <v>1153534.4203541256</v>
      </c>
      <c r="AQ341" s="14">
        <f t="shared" si="112"/>
        <v>1131973.02</v>
      </c>
      <c r="AR341" s="8">
        <v>26840.13</v>
      </c>
      <c r="AS341" s="20">
        <v>42.174647</v>
      </c>
      <c r="AT341" s="8">
        <v>34310312.420000002</v>
      </c>
      <c r="AU341" s="8">
        <v>26085.211599999999</v>
      </c>
      <c r="AV341" s="8">
        <v>1000.5355</v>
      </c>
      <c r="AW341" s="8"/>
      <c r="AX341" s="9">
        <v>418.08210449740898</v>
      </c>
      <c r="AY341" s="6">
        <f t="shared" si="118"/>
        <v>2.2773283361280549E-2</v>
      </c>
      <c r="AZ341" s="8">
        <v>419958555.15619999</v>
      </c>
      <c r="BA341" s="10">
        <v>60480066</v>
      </c>
      <c r="BB341" s="11">
        <v>34310312.420000002</v>
      </c>
      <c r="BC341" s="10">
        <v>2971324</v>
      </c>
      <c r="BD341" s="10">
        <f>1000000000-999527653.8415+145318.3143</f>
        <v>617664.4727999561</v>
      </c>
      <c r="BE341" s="12">
        <f t="shared" si="119"/>
        <v>481662077.95100009</v>
      </c>
      <c r="BF341" s="13">
        <v>238</v>
      </c>
      <c r="BG341" s="13">
        <f t="shared" si="120"/>
        <v>243.66207795100007</v>
      </c>
      <c r="BH341" s="14">
        <f>BE341*42.59</f>
        <v>20513987899.933094</v>
      </c>
    </row>
    <row r="342" spans="1:60" x14ac:dyDescent="0.25">
      <c r="A342" s="3">
        <v>45964</v>
      </c>
      <c r="B342" s="4">
        <v>12395113798</v>
      </c>
      <c r="C342" s="4">
        <v>76786337</v>
      </c>
      <c r="D342" s="5">
        <v>372136175</v>
      </c>
      <c r="E342" s="4"/>
      <c r="F342" s="5"/>
      <c r="G342" s="5"/>
      <c r="H342" s="5"/>
      <c r="I342" s="5">
        <v>76786336.999999985</v>
      </c>
      <c r="J342" s="5"/>
      <c r="K342" s="5"/>
      <c r="L342" s="14">
        <f t="shared" si="113"/>
        <v>76786336.999999985</v>
      </c>
      <c r="M342" s="21">
        <v>1.0024744110848871</v>
      </c>
      <c r="N342" s="4">
        <v>3734788.88</v>
      </c>
      <c r="O342" s="4">
        <v>69945.3</v>
      </c>
      <c r="P342" s="4">
        <v>196639.91</v>
      </c>
      <c r="Q342" s="4"/>
      <c r="R342" s="14">
        <f t="shared" si="100"/>
        <v>4001374.09</v>
      </c>
      <c r="S342" s="6">
        <v>0.01</v>
      </c>
      <c r="T342" s="14">
        <f t="shared" si="101"/>
        <v>37347.888800000001</v>
      </c>
      <c r="U342" s="14">
        <f t="shared" si="102"/>
        <v>349.72650000000004</v>
      </c>
      <c r="V342" s="14">
        <f t="shared" si="103"/>
        <v>1575.1505</v>
      </c>
      <c r="W342" s="14" t="str">
        <f t="shared" si="104"/>
        <v/>
      </c>
      <c r="X342" s="4">
        <v>39124.86</v>
      </c>
      <c r="Y342" s="4">
        <v>34972.65</v>
      </c>
      <c r="Z342" s="4"/>
      <c r="AA342" s="14">
        <f t="shared" si="105"/>
        <v>113370.2758</v>
      </c>
      <c r="AB342" s="4">
        <v>328361.69119999988</v>
      </c>
      <c r="AC342" s="4">
        <v>3734788.88</v>
      </c>
      <c r="AD342" s="14">
        <f t="shared" si="106"/>
        <v>34972.65</v>
      </c>
      <c r="AE342" s="14">
        <f t="shared" si="107"/>
        <v>157515.04999999999</v>
      </c>
      <c r="AF342" s="14" t="str">
        <f t="shared" si="108"/>
        <v/>
      </c>
      <c r="AG342" s="15">
        <f t="shared" si="109"/>
        <v>3927276.5799999996</v>
      </c>
      <c r="AH342" s="4">
        <v>3442991.47</v>
      </c>
      <c r="AI342" s="17">
        <f t="shared" si="110"/>
        <v>484285.1099999994</v>
      </c>
      <c r="AJ342" s="7">
        <f t="shared" si="114"/>
        <v>3.0131138292595772</v>
      </c>
      <c r="AK342" s="7">
        <f t="shared" si="115"/>
        <v>9.1090814763048282</v>
      </c>
      <c r="AL342" s="7">
        <f t="shared" si="116"/>
        <v>5.2840847842862901</v>
      </c>
      <c r="AM342" s="7" t="str">
        <f t="shared" si="117"/>
        <v/>
      </c>
      <c r="AN342" s="4">
        <v>45857.578704535648</v>
      </c>
      <c r="AO342" s="4">
        <v>23998.61</v>
      </c>
      <c r="AP342" s="14">
        <f t="shared" si="111"/>
        <v>3512847.6587045356</v>
      </c>
      <c r="AQ342" s="14">
        <f t="shared" si="112"/>
        <v>3442991.47</v>
      </c>
      <c r="AR342" s="8">
        <v>84946.33</v>
      </c>
      <c r="AS342" s="20">
        <v>40.531374</v>
      </c>
      <c r="AT342" s="8">
        <v>34393309.460000001</v>
      </c>
      <c r="AU342" s="8">
        <v>26120.7791</v>
      </c>
      <c r="AV342" s="8">
        <v>838.5616</v>
      </c>
      <c r="AW342" s="8"/>
      <c r="AX342" s="9">
        <v>418.29533057408952</v>
      </c>
      <c r="AY342" s="6">
        <f t="shared" si="118"/>
        <v>2.2792710495751756E-2</v>
      </c>
      <c r="AZ342" s="8">
        <v>419932434.37709999</v>
      </c>
      <c r="BA342" s="10">
        <v>60480066</v>
      </c>
      <c r="BB342" s="11">
        <v>34393309.460000001</v>
      </c>
      <c r="BC342" s="10">
        <v>2971324</v>
      </c>
      <c r="BD342" s="10">
        <f>1000000000-999526815.2799+146402.828</f>
        <v>619587.54810004518</v>
      </c>
      <c r="BE342" s="12">
        <f t="shared" si="119"/>
        <v>481603278.61479998</v>
      </c>
      <c r="BF342" s="13">
        <v>238</v>
      </c>
      <c r="BG342" s="13">
        <f t="shared" si="120"/>
        <v>243.60327861479999</v>
      </c>
      <c r="BH342" s="14">
        <f>BE342*42.3</f>
        <v>20371818685.406036</v>
      </c>
    </row>
    <row r="343" spans="1:60" x14ac:dyDescent="0.25">
      <c r="A343" s="3">
        <v>45965</v>
      </c>
      <c r="B343" s="4">
        <v>18754986135</v>
      </c>
      <c r="C343" s="4">
        <v>76973279</v>
      </c>
      <c r="D343" s="5">
        <v>621682800</v>
      </c>
      <c r="E343" s="4"/>
      <c r="F343" s="5"/>
      <c r="G343" s="5"/>
      <c r="H343" s="5"/>
      <c r="I343" s="5">
        <v>76973279</v>
      </c>
      <c r="J343" s="5"/>
      <c r="K343" s="5"/>
      <c r="L343" s="14">
        <f t="shared" si="113"/>
        <v>76973279</v>
      </c>
      <c r="M343" s="21">
        <v>1.008654664446349</v>
      </c>
      <c r="N343" s="4">
        <v>5591311.2300000004</v>
      </c>
      <c r="O343" s="4">
        <v>65023.72</v>
      </c>
      <c r="P343" s="4">
        <v>329590.86</v>
      </c>
      <c r="Q343" s="4"/>
      <c r="R343" s="14">
        <f t="shared" si="100"/>
        <v>5985925.8100000005</v>
      </c>
      <c r="S343" s="6">
        <v>0.01</v>
      </c>
      <c r="T343" s="14">
        <f t="shared" si="101"/>
        <v>55913.112300000008</v>
      </c>
      <c r="U343" s="14">
        <f t="shared" si="102"/>
        <v>325.11860000000001</v>
      </c>
      <c r="V343" s="14">
        <f t="shared" si="103"/>
        <v>2677.2556</v>
      </c>
      <c r="W343" s="14" t="str">
        <f t="shared" si="104"/>
        <v/>
      </c>
      <c r="X343" s="4">
        <v>61865.3</v>
      </c>
      <c r="Y343" s="4">
        <v>32511.86</v>
      </c>
      <c r="Z343" s="4"/>
      <c r="AA343" s="14">
        <f t="shared" si="105"/>
        <v>153292.64650000003</v>
      </c>
      <c r="AB343" s="4">
        <v>333368.56479999999</v>
      </c>
      <c r="AC343" s="4">
        <v>5591311.2300000004</v>
      </c>
      <c r="AD343" s="14">
        <f t="shared" si="106"/>
        <v>32511.86</v>
      </c>
      <c r="AE343" s="14">
        <f t="shared" si="107"/>
        <v>267725.56</v>
      </c>
      <c r="AF343" s="14" t="str">
        <f t="shared" si="108"/>
        <v/>
      </c>
      <c r="AG343" s="15">
        <f t="shared" si="109"/>
        <v>5891548.6500000004</v>
      </c>
      <c r="AH343" s="4">
        <v>4842096.4000000004</v>
      </c>
      <c r="AI343" s="17">
        <f t="shared" si="110"/>
        <v>1049452.25</v>
      </c>
      <c r="AJ343" s="7">
        <f t="shared" si="114"/>
        <v>2.9812398632306429</v>
      </c>
      <c r="AK343" s="7">
        <f t="shared" si="115"/>
        <v>8.4475704874155095</v>
      </c>
      <c r="AL343" s="7">
        <f t="shared" si="116"/>
        <v>5.3015920659217208</v>
      </c>
      <c r="AM343" s="7" t="str">
        <f t="shared" si="117"/>
        <v/>
      </c>
      <c r="AN343" s="4">
        <v>86012.912749793599</v>
      </c>
      <c r="AO343" s="4">
        <v>22358.29</v>
      </c>
      <c r="AP343" s="14">
        <f t="shared" si="111"/>
        <v>4950467.6027497938</v>
      </c>
      <c r="AQ343" s="14">
        <f t="shared" si="112"/>
        <v>4842096.4000000004</v>
      </c>
      <c r="AR343" s="8">
        <v>128295.39</v>
      </c>
      <c r="AS343" s="20">
        <v>37.741779999999999</v>
      </c>
      <c r="AT343" s="8">
        <v>34530179.100000001</v>
      </c>
      <c r="AU343" s="8">
        <v>26102.2179</v>
      </c>
      <c r="AV343" s="8">
        <v>1420.4196999999999</v>
      </c>
      <c r="AW343" s="8"/>
      <c r="AX343" s="9">
        <v>416.94407362402723</v>
      </c>
      <c r="AY343" s="6">
        <f t="shared" si="118"/>
        <v>2.2850329663376148E-2</v>
      </c>
      <c r="AZ343" s="8">
        <v>419906332.15920001</v>
      </c>
      <c r="BA343" s="10">
        <v>60480066</v>
      </c>
      <c r="BB343" s="11">
        <v>34530179.100000001</v>
      </c>
      <c r="BC343" s="10">
        <v>2971324</v>
      </c>
      <c r="BD343" s="10">
        <f>1000000000-999525394.8602+148591.6188</f>
        <v>623196.75859995256</v>
      </c>
      <c r="BE343" s="12">
        <f t="shared" si="119"/>
        <v>481488901.98220009</v>
      </c>
      <c r="BF343" s="13">
        <v>238</v>
      </c>
      <c r="BG343" s="13">
        <f t="shared" si="120"/>
        <v>243.4889019822001</v>
      </c>
      <c r="BH343" s="14">
        <f>BE343*39.25</f>
        <v>18898439402.801353</v>
      </c>
    </row>
    <row r="344" spans="1:60" x14ac:dyDescent="0.25">
      <c r="A344" s="3">
        <v>45966</v>
      </c>
      <c r="B344" s="4">
        <v>9049643783</v>
      </c>
      <c r="C344" s="4">
        <v>74172106</v>
      </c>
      <c r="D344" s="5">
        <v>297872465</v>
      </c>
      <c r="E344" s="4"/>
      <c r="F344" s="5"/>
      <c r="G344" s="5"/>
      <c r="H344" s="5"/>
      <c r="I344" s="5">
        <v>74172106</v>
      </c>
      <c r="J344" s="5"/>
      <c r="K344" s="5"/>
      <c r="L344" s="14">
        <f t="shared" si="113"/>
        <v>74172106</v>
      </c>
      <c r="M344" s="21">
        <v>0.99311369723372289</v>
      </c>
      <c r="N344" s="4">
        <v>2926738.9</v>
      </c>
      <c r="O344" s="4">
        <v>65163.5</v>
      </c>
      <c r="P344" s="4">
        <v>159187.03</v>
      </c>
      <c r="Q344" s="4"/>
      <c r="R344" s="14">
        <f t="shared" si="100"/>
        <v>3151089.4299999997</v>
      </c>
      <c r="S344" s="6">
        <v>0.01</v>
      </c>
      <c r="T344" s="14">
        <f t="shared" si="101"/>
        <v>29267.388999999999</v>
      </c>
      <c r="U344" s="14">
        <f t="shared" si="102"/>
        <v>325.8175</v>
      </c>
      <c r="V344" s="14">
        <f t="shared" si="103"/>
        <v>1255.2242000000001</v>
      </c>
      <c r="W344" s="14" t="str">
        <f t="shared" si="104"/>
        <v/>
      </c>
      <c r="X344" s="4">
        <v>33664.61</v>
      </c>
      <c r="Y344" s="4">
        <v>32581.75</v>
      </c>
      <c r="Z344" s="4"/>
      <c r="AA344" s="14">
        <f t="shared" si="105"/>
        <v>97094.790699999998</v>
      </c>
      <c r="AB344" s="4">
        <v>242899.97010000001</v>
      </c>
      <c r="AC344" s="4">
        <v>2926738.9</v>
      </c>
      <c r="AD344" s="14">
        <f t="shared" si="106"/>
        <v>32581.75</v>
      </c>
      <c r="AE344" s="14">
        <f t="shared" si="107"/>
        <v>125522.42</v>
      </c>
      <c r="AF344" s="14" t="str">
        <f t="shared" si="108"/>
        <v/>
      </c>
      <c r="AG344" s="15">
        <f t="shared" si="109"/>
        <v>3084843.07</v>
      </c>
      <c r="AH344" s="4">
        <v>3095161.4</v>
      </c>
      <c r="AI344" s="17">
        <f t="shared" si="110"/>
        <v>-10318.330000000075</v>
      </c>
      <c r="AJ344" s="7">
        <f t="shared" si="114"/>
        <v>3.2340929324731631</v>
      </c>
      <c r="AK344" s="7">
        <f t="shared" si="115"/>
        <v>8.7854455689851925</v>
      </c>
      <c r="AL344" s="7">
        <f t="shared" si="116"/>
        <v>5.3441337721497693</v>
      </c>
      <c r="AM344" s="7" t="str">
        <f t="shared" si="117"/>
        <v/>
      </c>
      <c r="AN344" s="4">
        <v>36274.733475619447</v>
      </c>
      <c r="AO344" s="4">
        <v>37119.42</v>
      </c>
      <c r="AP344" s="14">
        <f t="shared" si="111"/>
        <v>3168555.5534756193</v>
      </c>
      <c r="AQ344" s="14">
        <f t="shared" si="112"/>
        <v>3095161.4</v>
      </c>
      <c r="AR344" s="8">
        <v>76813.03</v>
      </c>
      <c r="AS344" s="20">
        <v>40.294744000000001</v>
      </c>
      <c r="AT344" s="8">
        <v>34598550</v>
      </c>
      <c r="AU344" s="8">
        <v>25985.334699999999</v>
      </c>
      <c r="AV344" s="8">
        <v>2903.9061000000002</v>
      </c>
      <c r="AW344" s="8"/>
      <c r="AX344" s="9">
        <v>413.60158389533541</v>
      </c>
      <c r="AY344" s="6">
        <f t="shared" si="118"/>
        <v>2.2931844400045025E-2</v>
      </c>
      <c r="AZ344" s="8">
        <v>419880346.82450002</v>
      </c>
      <c r="BA344" s="10">
        <v>60480066</v>
      </c>
      <c r="BB344" s="11">
        <v>34598550</v>
      </c>
      <c r="BC344" s="10">
        <v>2971324</v>
      </c>
      <c r="BD344" s="10">
        <f>1000000000-999522490.9541+149519.4326</f>
        <v>627028.47849998716</v>
      </c>
      <c r="BE344" s="12">
        <f t="shared" si="119"/>
        <v>481442684.69699991</v>
      </c>
      <c r="BF344" s="13">
        <v>238</v>
      </c>
      <c r="BG344" s="13">
        <f t="shared" si="120"/>
        <v>243.44268469699989</v>
      </c>
      <c r="BH344" s="14">
        <f>BE344*39.09</f>
        <v>18819594544.805729</v>
      </c>
    </row>
    <row r="345" spans="1:60" x14ac:dyDescent="0.25">
      <c r="A345" s="3">
        <v>45967</v>
      </c>
      <c r="B345" s="4">
        <v>10025511124</v>
      </c>
      <c r="C345" s="4">
        <v>72408906</v>
      </c>
      <c r="D345" s="5">
        <v>307467328</v>
      </c>
      <c r="E345" s="4"/>
      <c r="F345" s="5"/>
      <c r="G345" s="5"/>
      <c r="H345" s="5"/>
      <c r="I345" s="5">
        <v>72408906</v>
      </c>
      <c r="J345" s="5"/>
      <c r="K345" s="5"/>
      <c r="L345" s="14">
        <f t="shared" si="113"/>
        <v>72408906</v>
      </c>
      <c r="M345" s="21">
        <v>1.006322094654893</v>
      </c>
      <c r="N345" s="4">
        <v>3102603.61</v>
      </c>
      <c r="O345" s="4">
        <v>65246.84</v>
      </c>
      <c r="P345" s="4">
        <v>176877.14</v>
      </c>
      <c r="Q345" s="4"/>
      <c r="R345" s="14">
        <f t="shared" si="100"/>
        <v>3344727.59</v>
      </c>
      <c r="S345" s="6">
        <v>0.01</v>
      </c>
      <c r="T345" s="14">
        <f t="shared" si="101"/>
        <v>31026.036099999998</v>
      </c>
      <c r="U345" s="14">
        <f t="shared" si="102"/>
        <v>326.23419999999999</v>
      </c>
      <c r="V345" s="14">
        <f t="shared" si="103"/>
        <v>1411.8461000000002</v>
      </c>
      <c r="W345" s="14" t="str">
        <f t="shared" si="104"/>
        <v/>
      </c>
      <c r="X345" s="4">
        <v>35692.53</v>
      </c>
      <c r="Y345" s="4">
        <v>32623.42</v>
      </c>
      <c r="Z345" s="4"/>
      <c r="AA345" s="14">
        <f t="shared" si="105"/>
        <v>101080.0664</v>
      </c>
      <c r="AB345" s="4">
        <v>281533.41719999991</v>
      </c>
      <c r="AC345" s="4">
        <v>3102603.61</v>
      </c>
      <c r="AD345" s="14">
        <f t="shared" si="106"/>
        <v>32623.42</v>
      </c>
      <c r="AE345" s="14">
        <f t="shared" si="107"/>
        <v>141184.61000000002</v>
      </c>
      <c r="AF345" s="14" t="str">
        <f t="shared" si="108"/>
        <v/>
      </c>
      <c r="AG345" s="15">
        <f t="shared" si="109"/>
        <v>3276411.6399999997</v>
      </c>
      <c r="AH345" s="4">
        <v>2820403.43</v>
      </c>
      <c r="AI345" s="17">
        <f t="shared" si="110"/>
        <v>456008.2099999995</v>
      </c>
      <c r="AJ345" s="7">
        <f t="shared" si="114"/>
        <v>3.0947086603621625</v>
      </c>
      <c r="AK345" s="7">
        <f t="shared" si="115"/>
        <v>9.0108860365878183</v>
      </c>
      <c r="AL345" s="7">
        <f t="shared" si="116"/>
        <v>5.7527133419522221</v>
      </c>
      <c r="AM345" s="7" t="str">
        <f t="shared" si="117"/>
        <v/>
      </c>
      <c r="AN345" s="4">
        <v>28589.394593816909</v>
      </c>
      <c r="AO345" s="4">
        <v>0</v>
      </c>
      <c r="AP345" s="14">
        <f t="shared" si="111"/>
        <v>2848992.8245938169</v>
      </c>
      <c r="AQ345" s="14">
        <f t="shared" si="112"/>
        <v>2820403.43</v>
      </c>
      <c r="AR345" s="8">
        <v>71839.509999999995</v>
      </c>
      <c r="AS345" s="20">
        <v>39.259780999999997</v>
      </c>
      <c r="AT345" s="8">
        <v>34669690.210000001</v>
      </c>
      <c r="AU345" s="8">
        <v>25961.949199999999</v>
      </c>
      <c r="AV345" s="8">
        <v>1791.5839000000001</v>
      </c>
      <c r="AW345" s="8">
        <v>1745746</v>
      </c>
      <c r="AX345" s="9">
        <v>412.29164164494267</v>
      </c>
      <c r="AY345" s="6">
        <f t="shared" si="118"/>
        <v>2.2984000888770475E-2</v>
      </c>
      <c r="AZ345" s="8">
        <v>419854384.87529999</v>
      </c>
      <c r="BA345" s="10">
        <v>60480066</v>
      </c>
      <c r="BB345" s="11">
        <v>34669690.210000001</v>
      </c>
      <c r="BC345" s="10">
        <v>2971324</v>
      </c>
      <c r="BD345" s="10">
        <f>1000000000-999520699.3702+150216.1911</f>
        <v>629516.82089996198</v>
      </c>
      <c r="BE345" s="12">
        <f t="shared" si="119"/>
        <v>481395018.09380013</v>
      </c>
      <c r="BF345" s="13">
        <v>236.254254</v>
      </c>
      <c r="BG345" s="13">
        <f t="shared" si="120"/>
        <v>245.1407640938001</v>
      </c>
      <c r="BH345" s="14">
        <f>BE345*41.04</f>
        <v>19756451542.569557</v>
      </c>
    </row>
    <row r="346" spans="1:60" x14ac:dyDescent="0.25">
      <c r="A346" s="3">
        <v>45968</v>
      </c>
      <c r="B346" s="4">
        <v>11452867117</v>
      </c>
      <c r="C346" s="4">
        <v>86339593</v>
      </c>
      <c r="D346" s="5">
        <v>269387178</v>
      </c>
      <c r="E346" s="4"/>
      <c r="F346" s="5"/>
      <c r="G346" s="5"/>
      <c r="H346" s="5"/>
      <c r="I346" s="5">
        <v>86339593</v>
      </c>
      <c r="J346" s="5"/>
      <c r="K346" s="5"/>
      <c r="L346" s="14">
        <f t="shared" si="113"/>
        <v>86339593</v>
      </c>
      <c r="M346" s="21">
        <v>0.99392602470357616</v>
      </c>
      <c r="N346" s="4">
        <v>3378286.83</v>
      </c>
      <c r="O346" s="4">
        <v>71780.639999999999</v>
      </c>
      <c r="P346" s="4">
        <v>156211.81</v>
      </c>
      <c r="Q346" s="4"/>
      <c r="R346" s="14">
        <f t="shared" si="100"/>
        <v>3606279.2800000003</v>
      </c>
      <c r="S346" s="6">
        <v>0.01</v>
      </c>
      <c r="T346" s="14">
        <f t="shared" si="101"/>
        <v>33782.868300000002</v>
      </c>
      <c r="U346" s="14">
        <f t="shared" si="102"/>
        <v>358.90320000000003</v>
      </c>
      <c r="V346" s="14">
        <f t="shared" si="103"/>
        <v>1257.4735000000001</v>
      </c>
      <c r="W346" s="14" t="str">
        <f t="shared" si="104"/>
        <v/>
      </c>
      <c r="X346" s="4">
        <v>30464.46</v>
      </c>
      <c r="Y346" s="4">
        <v>35890.32</v>
      </c>
      <c r="Z346" s="4"/>
      <c r="AA346" s="14">
        <f t="shared" si="105"/>
        <v>101754.02499999999</v>
      </c>
      <c r="AB346" s="4">
        <v>232792.31890000001</v>
      </c>
      <c r="AC346" s="4">
        <v>3378286.83</v>
      </c>
      <c r="AD346" s="14">
        <f t="shared" si="106"/>
        <v>35890.32</v>
      </c>
      <c r="AE346" s="14">
        <f t="shared" si="107"/>
        <v>125747.35</v>
      </c>
      <c r="AF346" s="14" t="str">
        <f t="shared" si="108"/>
        <v/>
      </c>
      <c r="AG346" s="15">
        <f t="shared" si="109"/>
        <v>3539924.5</v>
      </c>
      <c r="AH346" s="4">
        <v>3221804.45</v>
      </c>
      <c r="AI346" s="17">
        <f t="shared" si="110"/>
        <v>318120.04999999981</v>
      </c>
      <c r="AJ346" s="7">
        <f t="shared" si="114"/>
        <v>2.9497302251813071</v>
      </c>
      <c r="AK346" s="7">
        <f t="shared" si="115"/>
        <v>8.3137570500245452</v>
      </c>
      <c r="AL346" s="7">
        <f t="shared" si="116"/>
        <v>5.7987841574256365</v>
      </c>
      <c r="AM346" s="7" t="str">
        <f t="shared" si="117"/>
        <v/>
      </c>
      <c r="AN346" s="4">
        <v>44091.687899682518</v>
      </c>
      <c r="AO346" s="4">
        <v>23098.240000000002</v>
      </c>
      <c r="AP346" s="14">
        <f t="shared" si="111"/>
        <v>3288994.3778996831</v>
      </c>
      <c r="AQ346" s="14">
        <f t="shared" si="112"/>
        <v>3221804.45</v>
      </c>
      <c r="AR346" s="8">
        <v>79550.84</v>
      </c>
      <c r="AS346" s="20">
        <v>40.499943000000002</v>
      </c>
      <c r="AT346" s="8">
        <v>34749096.649999999</v>
      </c>
      <c r="AU346" s="8">
        <v>25933.0357</v>
      </c>
      <c r="AV346" s="8">
        <v>769.22059999999999</v>
      </c>
      <c r="AW346" s="8"/>
      <c r="AX346" s="9">
        <v>412.38067395828199</v>
      </c>
      <c r="AY346" s="6">
        <f t="shared" si="118"/>
        <v>2.2953447210907786E-2</v>
      </c>
      <c r="AZ346" s="8">
        <v>419828451.83960003</v>
      </c>
      <c r="BA346" s="10">
        <v>60480066</v>
      </c>
      <c r="BB346" s="11">
        <v>34749096.649999999</v>
      </c>
      <c r="BC346" s="10">
        <v>2971324</v>
      </c>
      <c r="BD346" s="10">
        <f>1000000000-999519930.1496+151363.1875</f>
        <v>631433.03789997101</v>
      </c>
      <c r="BE346" s="12">
        <f t="shared" si="119"/>
        <v>481339628.47249997</v>
      </c>
      <c r="BF346" s="13">
        <v>236.254254</v>
      </c>
      <c r="BG346" s="13">
        <f t="shared" si="120"/>
        <v>245.08537447249995</v>
      </c>
      <c r="BH346" s="14">
        <f>BE346*38.44</f>
        <v>18502695318.482899</v>
      </c>
    </row>
    <row r="347" spans="1:60" x14ac:dyDescent="0.25">
      <c r="A347" s="3">
        <v>45969</v>
      </c>
      <c r="B347" s="4">
        <v>5598834970</v>
      </c>
      <c r="C347" s="4">
        <v>17353200</v>
      </c>
      <c r="D347" s="5">
        <v>269222630</v>
      </c>
      <c r="E347" s="4"/>
      <c r="F347" s="5"/>
      <c r="G347" s="5"/>
      <c r="H347" s="5"/>
      <c r="I347" s="5">
        <v>17353200</v>
      </c>
      <c r="J347" s="5"/>
      <c r="K347" s="5"/>
      <c r="L347" s="14">
        <f t="shared" si="113"/>
        <v>17353200</v>
      </c>
      <c r="M347" s="21">
        <v>1.000674783841623</v>
      </c>
      <c r="N347" s="4">
        <v>1835513.57</v>
      </c>
      <c r="O347" s="4">
        <v>19184.82</v>
      </c>
      <c r="P347" s="4">
        <v>189109.43</v>
      </c>
      <c r="Q347" s="4"/>
      <c r="R347" s="14">
        <f t="shared" si="100"/>
        <v>2043807.82</v>
      </c>
      <c r="S347" s="6">
        <v>0.01</v>
      </c>
      <c r="T347" s="14">
        <f t="shared" si="101"/>
        <v>18355.135700000003</v>
      </c>
      <c r="U347" s="14">
        <f t="shared" si="102"/>
        <v>95.924099999999996</v>
      </c>
      <c r="V347" s="14">
        <f t="shared" si="103"/>
        <v>1536.3601000000001</v>
      </c>
      <c r="W347" s="14" t="str">
        <f t="shared" si="104"/>
        <v/>
      </c>
      <c r="X347" s="4">
        <v>35473.42</v>
      </c>
      <c r="Y347" s="4">
        <v>9592.41</v>
      </c>
      <c r="Z347" s="4"/>
      <c r="AA347" s="14">
        <f t="shared" si="105"/>
        <v>65053.24990000001</v>
      </c>
      <c r="AB347" s="4">
        <v>246509.0123</v>
      </c>
      <c r="AC347" s="4">
        <v>1835513.57</v>
      </c>
      <c r="AD347" s="14">
        <f t="shared" si="106"/>
        <v>9592.41</v>
      </c>
      <c r="AE347" s="14">
        <f t="shared" si="107"/>
        <v>153636.01</v>
      </c>
      <c r="AF347" s="14" t="str">
        <f t="shared" si="108"/>
        <v/>
      </c>
      <c r="AG347" s="15">
        <f t="shared" si="109"/>
        <v>1998741.99</v>
      </c>
      <c r="AH347" s="4">
        <v>1626720.04</v>
      </c>
      <c r="AI347" s="17">
        <f t="shared" si="110"/>
        <v>372021.94999999995</v>
      </c>
      <c r="AJ347" s="7">
        <f t="shared" si="114"/>
        <v>3.2783848422665693</v>
      </c>
      <c r="AK347" s="7">
        <f t="shared" si="115"/>
        <v>11.055494087545814</v>
      </c>
      <c r="AL347" s="7">
        <f t="shared" si="116"/>
        <v>7.0242768967824132</v>
      </c>
      <c r="AM347" s="7" t="str">
        <f t="shared" si="117"/>
        <v/>
      </c>
      <c r="AN347" s="4">
        <v>17413.2966265166</v>
      </c>
      <c r="AO347" s="4">
        <v>21111.32</v>
      </c>
      <c r="AP347" s="14">
        <f t="shared" si="111"/>
        <v>1665244.6566265167</v>
      </c>
      <c r="AQ347" s="14">
        <f t="shared" si="112"/>
        <v>1626720.04</v>
      </c>
      <c r="AR347" s="8">
        <v>39496.339999999997</v>
      </c>
      <c r="AS347" s="20">
        <v>41.186602000000001</v>
      </c>
      <c r="AT347" s="8">
        <v>34788699.689999998</v>
      </c>
      <c r="AU347" s="8">
        <v>25923.3665</v>
      </c>
      <c r="AV347" s="8">
        <v>2190.7271000000001</v>
      </c>
      <c r="AW347" s="8"/>
      <c r="AX347" s="9">
        <v>412.45675514380008</v>
      </c>
      <c r="AY347" s="6">
        <f t="shared" si="118"/>
        <v>2.2940656576714649E-2</v>
      </c>
      <c r="AZ347" s="8">
        <v>419802528.47310001</v>
      </c>
      <c r="BA347" s="10">
        <v>60480066</v>
      </c>
      <c r="BB347" s="11">
        <v>34788699.689999998</v>
      </c>
      <c r="BC347" s="10">
        <v>2971324</v>
      </c>
      <c r="BD347" s="10">
        <f>1000000000-999517739.4225+151776.6871</f>
        <v>634037.26459998568</v>
      </c>
      <c r="BE347" s="12">
        <f t="shared" si="119"/>
        <v>481323344.57230008</v>
      </c>
      <c r="BF347" s="13">
        <v>236.254254</v>
      </c>
      <c r="BG347" s="13">
        <f t="shared" si="120"/>
        <v>245.06909057230007</v>
      </c>
      <c r="BH347" s="14">
        <f>BE347*42.09</f>
        <v>20258899573.048111</v>
      </c>
    </row>
    <row r="348" spans="1:60" x14ac:dyDescent="0.25">
      <c r="A348" s="3">
        <v>45970</v>
      </c>
      <c r="B348" s="4">
        <v>6118478812</v>
      </c>
      <c r="C348" s="4">
        <v>35940775</v>
      </c>
      <c r="D348" s="4">
        <v>294063499</v>
      </c>
      <c r="E348" s="4"/>
      <c r="F348" s="5"/>
      <c r="G348" s="5"/>
      <c r="H348" s="5"/>
      <c r="I348" s="5">
        <v>35940775</v>
      </c>
      <c r="J348" s="5"/>
      <c r="K348" s="5"/>
      <c r="L348" s="14">
        <f t="shared" si="113"/>
        <v>35940775</v>
      </c>
      <c r="M348" s="21">
        <v>0.99753118034652166</v>
      </c>
      <c r="N348" s="4">
        <v>1971179.95</v>
      </c>
      <c r="O348" s="4">
        <v>34992</v>
      </c>
      <c r="P348" s="4">
        <v>105639.43</v>
      </c>
      <c r="Q348" s="4"/>
      <c r="R348" s="14">
        <f t="shared" si="100"/>
        <v>2111811.38</v>
      </c>
      <c r="S348" s="6">
        <v>0.01</v>
      </c>
      <c r="T348" s="14">
        <f t="shared" si="101"/>
        <v>19711.799500000001</v>
      </c>
      <c r="U348" s="14">
        <f t="shared" si="102"/>
        <v>174.96</v>
      </c>
      <c r="V348" s="14">
        <f t="shared" si="103"/>
        <v>846.64840000000004</v>
      </c>
      <c r="W348" s="14" t="str">
        <f t="shared" si="104"/>
        <v/>
      </c>
      <c r="X348" s="4">
        <v>20974.59</v>
      </c>
      <c r="Y348" s="4">
        <v>17496</v>
      </c>
      <c r="Z348" s="4"/>
      <c r="AA348" s="14">
        <f t="shared" si="105"/>
        <v>59203.997900000002</v>
      </c>
      <c r="AB348" s="4">
        <v>206304.4173</v>
      </c>
      <c r="AC348" s="4">
        <v>1971179.95</v>
      </c>
      <c r="AD348" s="14">
        <f t="shared" si="106"/>
        <v>17496</v>
      </c>
      <c r="AE348" s="14">
        <f t="shared" si="107"/>
        <v>84664.84</v>
      </c>
      <c r="AF348" s="14" t="str">
        <f t="shared" si="108"/>
        <v/>
      </c>
      <c r="AG348" s="15">
        <f t="shared" si="109"/>
        <v>2073340.79</v>
      </c>
      <c r="AH348" s="4">
        <v>1728449.96</v>
      </c>
      <c r="AI348" s="17">
        <f t="shared" si="110"/>
        <v>344890.83000000007</v>
      </c>
      <c r="AJ348" s="7">
        <f t="shared" si="114"/>
        <v>3.221683053202669</v>
      </c>
      <c r="AK348" s="7">
        <f t="shared" si="115"/>
        <v>9.7360171003546814</v>
      </c>
      <c r="AL348" s="7">
        <f t="shared" si="116"/>
        <v>3.5924019934211553</v>
      </c>
      <c r="AM348" s="7" t="str">
        <f t="shared" si="117"/>
        <v/>
      </c>
      <c r="AN348" s="4">
        <v>17823.698438619718</v>
      </c>
      <c r="AO348" s="4">
        <v>0</v>
      </c>
      <c r="AP348" s="14">
        <f t="shared" si="111"/>
        <v>1746273.6584386197</v>
      </c>
      <c r="AQ348" s="14">
        <f t="shared" si="112"/>
        <v>1728449.96</v>
      </c>
      <c r="AR348" s="8">
        <v>42278.57</v>
      </c>
      <c r="AS348" s="20">
        <v>40.882413</v>
      </c>
      <c r="AT348" s="8">
        <v>34831432.509999998</v>
      </c>
      <c r="AU348" s="8">
        <v>25894.772099999998</v>
      </c>
      <c r="AV348" s="8">
        <v>972.62130000000002</v>
      </c>
      <c r="AW348" s="8"/>
      <c r="AX348" s="9">
        <v>411.88966495098367</v>
      </c>
      <c r="AY348" s="6">
        <f t="shared" si="118"/>
        <v>2.2946902097251632E-2</v>
      </c>
      <c r="AZ348" s="8">
        <v>419776633.70099998</v>
      </c>
      <c r="BA348" s="10">
        <v>60480066</v>
      </c>
      <c r="BB348" s="11">
        <v>34831432.509999998</v>
      </c>
      <c r="BC348" s="10">
        <v>2971324</v>
      </c>
      <c r="BD348" s="10">
        <f>1000000000-999516766.8012+152221.9456</f>
        <v>635455.14439996774</v>
      </c>
      <c r="BE348" s="12">
        <f t="shared" si="119"/>
        <v>481305088.64460009</v>
      </c>
      <c r="BF348" s="13">
        <v>236.254254</v>
      </c>
      <c r="BG348" s="13">
        <f t="shared" si="120"/>
        <v>245.05083464460012</v>
      </c>
      <c r="BH348" s="14">
        <f>BE348*40.06</f>
        <v>19281081851.10268</v>
      </c>
    </row>
    <row r="349" spans="1:60" x14ac:dyDescent="0.25">
      <c r="A349" s="3">
        <v>45971</v>
      </c>
      <c r="B349" s="4">
        <v>8805762772</v>
      </c>
      <c r="C349" s="4">
        <v>48277276</v>
      </c>
      <c r="D349" s="4">
        <v>336158013</v>
      </c>
      <c r="E349" s="4"/>
      <c r="F349" s="5"/>
      <c r="G349" s="5"/>
      <c r="H349" s="5"/>
      <c r="I349" s="5">
        <v>48277276</v>
      </c>
      <c r="J349" s="5"/>
      <c r="K349" s="5"/>
      <c r="L349" s="14">
        <f t="shared" si="113"/>
        <v>48277276</v>
      </c>
      <c r="M349" s="21">
        <v>0.99239803448825359</v>
      </c>
      <c r="N349" s="4">
        <v>2775951.2</v>
      </c>
      <c r="O349" s="4">
        <v>43486.58</v>
      </c>
      <c r="P349" s="4">
        <v>134380.07999999999</v>
      </c>
      <c r="Q349" s="4"/>
      <c r="R349" s="14">
        <f t="shared" si="100"/>
        <v>2953817.8600000003</v>
      </c>
      <c r="S349" s="6">
        <v>0.01</v>
      </c>
      <c r="T349" s="14">
        <f t="shared" si="101"/>
        <v>27759.512000000002</v>
      </c>
      <c r="U349" s="14">
        <f t="shared" si="102"/>
        <v>217.43290000000002</v>
      </c>
      <c r="V349" s="14">
        <f t="shared" si="103"/>
        <v>1073.5020999999999</v>
      </c>
      <c r="W349" s="14" t="str">
        <f t="shared" si="104"/>
        <v/>
      </c>
      <c r="X349" s="4">
        <v>27029.87</v>
      </c>
      <c r="Y349" s="4">
        <v>21743.29</v>
      </c>
      <c r="Z349" s="4"/>
      <c r="AA349" s="14">
        <f t="shared" si="105"/>
        <v>77823.607000000004</v>
      </c>
      <c r="AB349" s="4">
        <v>253266.9706</v>
      </c>
      <c r="AC349" s="4">
        <v>2775951.2</v>
      </c>
      <c r="AD349" s="14">
        <f t="shared" si="106"/>
        <v>21743.29</v>
      </c>
      <c r="AE349" s="14">
        <f t="shared" si="107"/>
        <v>107350.20999999999</v>
      </c>
      <c r="AF349" s="14" t="str">
        <f t="shared" si="108"/>
        <v/>
      </c>
      <c r="AG349" s="15">
        <f t="shared" si="109"/>
        <v>2905044.7</v>
      </c>
      <c r="AH349" s="4">
        <v>2462236.88</v>
      </c>
      <c r="AI349" s="17">
        <f t="shared" si="110"/>
        <v>442807.8200000003</v>
      </c>
      <c r="AJ349" s="7">
        <f t="shared" si="114"/>
        <v>3.1524256011379186</v>
      </c>
      <c r="AK349" s="7">
        <f t="shared" si="115"/>
        <v>9.0076706067674568</v>
      </c>
      <c r="AL349" s="7">
        <f t="shared" si="116"/>
        <v>3.997527198615372</v>
      </c>
      <c r="AM349" s="7" t="str">
        <f t="shared" si="117"/>
        <v/>
      </c>
      <c r="AN349" s="4">
        <v>21912.367099614359</v>
      </c>
      <c r="AO349" s="4">
        <v>28690.77</v>
      </c>
      <c r="AP349" s="14">
        <f t="shared" si="111"/>
        <v>2512840.0170996143</v>
      </c>
      <c r="AQ349" s="14">
        <f t="shared" si="112"/>
        <v>2462236.88</v>
      </c>
      <c r="AR349" s="8">
        <v>58760.44</v>
      </c>
      <c r="AS349" s="20">
        <v>41.902968999999999</v>
      </c>
      <c r="AT349" s="8">
        <v>34889688.909999996</v>
      </c>
      <c r="AU349" s="8">
        <v>25893.858800000002</v>
      </c>
      <c r="AV349" s="8">
        <v>1115.5039999999999</v>
      </c>
      <c r="AW349" s="8"/>
      <c r="AX349" s="9">
        <v>411.54099585010403</v>
      </c>
      <c r="AY349" s="6">
        <f t="shared" si="118"/>
        <v>2.2965533342497041E-2</v>
      </c>
      <c r="AZ349" s="8">
        <v>419750739.84219998</v>
      </c>
      <c r="BA349" s="10">
        <v>60480066</v>
      </c>
      <c r="BB349" s="11">
        <v>34889688.909999996</v>
      </c>
      <c r="BC349" s="10">
        <v>2971324</v>
      </c>
      <c r="BD349" s="10">
        <f>1000000000-999515651.2972+152744.054</f>
        <v>637092.75680003548</v>
      </c>
      <c r="BE349" s="12">
        <f t="shared" si="119"/>
        <v>481271088.49099994</v>
      </c>
      <c r="BF349" s="13">
        <v>236.254254</v>
      </c>
      <c r="BG349" s="13">
        <f t="shared" si="120"/>
        <v>245.01683449099994</v>
      </c>
      <c r="BH349" s="14">
        <f>BE349*41.98</f>
        <v>20203760294.852177</v>
      </c>
    </row>
    <row r="350" spans="1:60" x14ac:dyDescent="0.25">
      <c r="A350" s="3">
        <v>45972</v>
      </c>
      <c r="B350" s="4">
        <v>9377492722</v>
      </c>
      <c r="C350" s="4">
        <v>51882733</v>
      </c>
      <c r="D350" s="4">
        <v>262212552</v>
      </c>
      <c r="E350" s="4"/>
      <c r="F350" s="5"/>
      <c r="G350" s="5"/>
      <c r="H350" s="5"/>
      <c r="I350" s="5">
        <v>51882733</v>
      </c>
      <c r="J350" s="5"/>
      <c r="K350" s="5"/>
      <c r="L350" s="14">
        <f t="shared" si="113"/>
        <v>51882733</v>
      </c>
      <c r="M350" s="21">
        <v>0.99857545921457858</v>
      </c>
      <c r="N350" s="4">
        <v>2885985.51</v>
      </c>
      <c r="O350" s="4">
        <v>45789.72</v>
      </c>
      <c r="P350" s="4">
        <v>180428.08</v>
      </c>
      <c r="Q350" s="4"/>
      <c r="R350" s="14">
        <f t="shared" si="100"/>
        <v>3112203.31</v>
      </c>
      <c r="S350" s="6">
        <v>0.01</v>
      </c>
      <c r="T350" s="14">
        <f t="shared" si="101"/>
        <v>28859.855099999997</v>
      </c>
      <c r="U350" s="14">
        <f t="shared" si="102"/>
        <v>228.9486</v>
      </c>
      <c r="V350" s="14">
        <f t="shared" si="103"/>
        <v>1526.8515999999997</v>
      </c>
      <c r="W350" s="14" t="str">
        <f t="shared" si="104"/>
        <v/>
      </c>
      <c r="X350" s="4">
        <v>27742.92</v>
      </c>
      <c r="Y350" s="4">
        <v>22894.86</v>
      </c>
      <c r="Z350" s="4"/>
      <c r="AA350" s="14">
        <f t="shared" si="105"/>
        <v>81253.435299999997</v>
      </c>
      <c r="AB350" s="4">
        <v>239391.85430000001</v>
      </c>
      <c r="AC350" s="4">
        <v>2885985.51</v>
      </c>
      <c r="AD350" s="14">
        <f t="shared" si="106"/>
        <v>22894.86</v>
      </c>
      <c r="AE350" s="14">
        <f t="shared" si="107"/>
        <v>152685.15999999997</v>
      </c>
      <c r="AF350" s="14" t="str">
        <f t="shared" si="108"/>
        <v/>
      </c>
      <c r="AG350" s="15">
        <f t="shared" si="109"/>
        <v>3061565.53</v>
      </c>
      <c r="AH350" s="4">
        <v>2630949.04</v>
      </c>
      <c r="AI350" s="17">
        <f t="shared" si="110"/>
        <v>430616.48999999976</v>
      </c>
      <c r="AJ350" s="7">
        <f t="shared" si="114"/>
        <v>3.0775662488432052</v>
      </c>
      <c r="AK350" s="7">
        <f t="shared" si="115"/>
        <v>8.8256183420406948</v>
      </c>
      <c r="AL350" s="7">
        <f t="shared" si="116"/>
        <v>6.8809856211612628</v>
      </c>
      <c r="AM350" s="7" t="str">
        <f t="shared" si="117"/>
        <v/>
      </c>
      <c r="AN350" s="4">
        <v>21951.803370227</v>
      </c>
      <c r="AO350" s="4">
        <v>0</v>
      </c>
      <c r="AP350" s="14">
        <f t="shared" si="111"/>
        <v>2652900.8433702271</v>
      </c>
      <c r="AQ350" s="14">
        <f t="shared" si="112"/>
        <v>2630949.04</v>
      </c>
      <c r="AR350" s="8">
        <v>65665.929999999993</v>
      </c>
      <c r="AS350" s="20">
        <v>40.065663000000001</v>
      </c>
      <c r="AT350" s="8">
        <v>34955480.729999997</v>
      </c>
      <c r="AU350" s="8">
        <v>25897.845000000001</v>
      </c>
      <c r="AV350" s="8">
        <v>1227.8531</v>
      </c>
      <c r="AW350" s="8"/>
      <c r="AX350" s="9">
        <v>413.43024384696361</v>
      </c>
      <c r="AY350" s="6">
        <f t="shared" si="118"/>
        <v>2.2864107224093266E-2</v>
      </c>
      <c r="AZ350" s="8">
        <v>419724841.99730003</v>
      </c>
      <c r="BA350" s="10">
        <v>60480066</v>
      </c>
      <c r="BB350" s="11">
        <v>34955480.729999997</v>
      </c>
      <c r="BC350" s="10">
        <v>2971324</v>
      </c>
      <c r="BD350" s="10">
        <f>1000000000-999514423.4441+153279.9474</f>
        <v>638856.50329997763</v>
      </c>
      <c r="BE350" s="12">
        <f t="shared" si="119"/>
        <v>481229430.7694</v>
      </c>
      <c r="BF350" s="13">
        <v>236.254254</v>
      </c>
      <c r="BG350" s="13">
        <f t="shared" si="120"/>
        <v>244.97517676939998</v>
      </c>
      <c r="BH350" s="14">
        <f>BE350*40.99</f>
        <v>19725594367.237705</v>
      </c>
    </row>
    <row r="351" spans="1:60" x14ac:dyDescent="0.25">
      <c r="A351" s="3">
        <v>45973</v>
      </c>
      <c r="B351" s="4">
        <v>7870620922</v>
      </c>
      <c r="C351" s="4">
        <v>55323534</v>
      </c>
      <c r="D351" s="4">
        <v>296326626</v>
      </c>
      <c r="E351" s="4"/>
      <c r="F351" s="5"/>
      <c r="G351" s="5"/>
      <c r="H351" s="5"/>
      <c r="I351" s="5">
        <v>48442635.213817239</v>
      </c>
      <c r="J351" s="5"/>
      <c r="K351" s="5">
        <v>6880898.7861827565</v>
      </c>
      <c r="L351" s="14">
        <f t="shared" si="113"/>
        <v>55323533.999999993</v>
      </c>
      <c r="M351" s="21">
        <v>1.0049555608291261</v>
      </c>
      <c r="N351" s="4">
        <v>2479062.12</v>
      </c>
      <c r="O351" s="4">
        <v>49971.74</v>
      </c>
      <c r="P351" s="4">
        <v>132403.74</v>
      </c>
      <c r="Q351" s="4"/>
      <c r="R351" s="14">
        <f t="shared" si="100"/>
        <v>2661437.6000000006</v>
      </c>
      <c r="S351" s="6">
        <v>0.01</v>
      </c>
      <c r="T351" s="14">
        <f t="shared" si="101"/>
        <v>24790.621200000001</v>
      </c>
      <c r="U351" s="14">
        <f t="shared" si="102"/>
        <v>249.8587</v>
      </c>
      <c r="V351" s="14">
        <f t="shared" si="103"/>
        <v>1068.9202</v>
      </c>
      <c r="W351" s="14" t="str">
        <f t="shared" si="104"/>
        <v/>
      </c>
      <c r="X351" s="4">
        <v>25511.72</v>
      </c>
      <c r="Y351" s="4">
        <v>24985.87</v>
      </c>
      <c r="Z351" s="4"/>
      <c r="AA351" s="14">
        <f t="shared" si="105"/>
        <v>76606.990099999995</v>
      </c>
      <c r="AB351" s="4">
        <v>212202.5705</v>
      </c>
      <c r="AC351" s="4">
        <v>2479062.12</v>
      </c>
      <c r="AD351" s="14">
        <f t="shared" si="106"/>
        <v>24985.87</v>
      </c>
      <c r="AE351" s="14">
        <f t="shared" si="107"/>
        <v>106892.01999999999</v>
      </c>
      <c r="AF351" s="14" t="str">
        <f t="shared" si="108"/>
        <v/>
      </c>
      <c r="AG351" s="15">
        <f t="shared" si="109"/>
        <v>2610940.0100000002</v>
      </c>
      <c r="AH351" s="4">
        <v>2222071.34</v>
      </c>
      <c r="AI351" s="17">
        <f t="shared" si="110"/>
        <v>388868.67000000039</v>
      </c>
      <c r="AJ351" s="7">
        <f t="shared" si="114"/>
        <v>3.1497668920510615</v>
      </c>
      <c r="AK351" s="7">
        <f t="shared" si="115"/>
        <v>9.0326369967616316</v>
      </c>
      <c r="AL351" s="7">
        <f t="shared" si="116"/>
        <v>4.4681688509489526</v>
      </c>
      <c r="AM351" s="7" t="str">
        <f t="shared" si="117"/>
        <v/>
      </c>
      <c r="AN351" s="4">
        <v>23955.716294336369</v>
      </c>
      <c r="AO351" s="4">
        <v>19323.27</v>
      </c>
      <c r="AP351" s="14">
        <f t="shared" si="111"/>
        <v>2265350.3262943365</v>
      </c>
      <c r="AQ351" s="14">
        <f t="shared" si="112"/>
        <v>2222071.34</v>
      </c>
      <c r="AR351" s="8">
        <v>57050.12</v>
      </c>
      <c r="AS351" s="20">
        <v>38.949460000000002</v>
      </c>
      <c r="AT351" s="8">
        <v>35011836.539999999</v>
      </c>
      <c r="AU351" s="8">
        <v>25950.145</v>
      </c>
      <c r="AV351" s="8">
        <v>1130.4074000000001</v>
      </c>
      <c r="AW351" s="8"/>
      <c r="AX351" s="9">
        <v>413.26986834904397</v>
      </c>
      <c r="AY351" s="6">
        <f t="shared" si="118"/>
        <v>2.2919171346409903E-2</v>
      </c>
      <c r="AZ351" s="8">
        <v>419698891.85229999</v>
      </c>
      <c r="BA351" s="10">
        <v>60480066</v>
      </c>
      <c r="BB351" s="11">
        <v>35011836.539999999</v>
      </c>
      <c r="BC351" s="10">
        <v>2971324</v>
      </c>
      <c r="BD351" s="10">
        <f>1000000000-999513293.0366+153897.9043</f>
        <v>640604.86770000635</v>
      </c>
      <c r="BE351" s="12">
        <f t="shared" si="119"/>
        <v>481197276.74000007</v>
      </c>
      <c r="BF351" s="13">
        <v>236.254254</v>
      </c>
      <c r="BG351" s="13">
        <f t="shared" si="120"/>
        <v>244.94302274000006</v>
      </c>
      <c r="BH351" s="14">
        <f>BE351*38.76</f>
        <v>18651206446.442402</v>
      </c>
    </row>
    <row r="352" spans="1:60" x14ac:dyDescent="0.25">
      <c r="A352" s="3">
        <v>45974</v>
      </c>
      <c r="B352" s="4">
        <v>13169557696</v>
      </c>
      <c r="C352" s="4">
        <v>77882779</v>
      </c>
      <c r="D352" s="5">
        <v>265738556</v>
      </c>
      <c r="E352" s="4"/>
      <c r="F352" s="5"/>
      <c r="G352" s="5"/>
      <c r="H352" s="5"/>
      <c r="I352" s="5">
        <v>48070256.583587363</v>
      </c>
      <c r="J352" s="5">
        <v>236956.21697372061</v>
      </c>
      <c r="K352" s="5">
        <v>29575566.199438918</v>
      </c>
      <c r="L352" s="14">
        <f t="shared" si="113"/>
        <v>77882779</v>
      </c>
      <c r="M352" s="21">
        <v>1.0109802544580579</v>
      </c>
      <c r="N352" s="4">
        <v>4008874.82</v>
      </c>
      <c r="O352" s="4">
        <v>72404.58</v>
      </c>
      <c r="P352" s="4">
        <v>141769.85</v>
      </c>
      <c r="Q352" s="4"/>
      <c r="R352" s="14">
        <f t="shared" si="100"/>
        <v>4223049.25</v>
      </c>
      <c r="S352" s="6">
        <v>0.01</v>
      </c>
      <c r="T352" s="14">
        <f t="shared" si="101"/>
        <v>40088.748200000002</v>
      </c>
      <c r="U352" s="14">
        <f t="shared" si="102"/>
        <v>362.02289999999999</v>
      </c>
      <c r="V352" s="14">
        <f t="shared" si="103"/>
        <v>1130.1664000000001</v>
      </c>
      <c r="W352" s="14" t="str">
        <f t="shared" si="104"/>
        <v/>
      </c>
      <c r="X352" s="4">
        <v>28753.21</v>
      </c>
      <c r="Y352" s="4">
        <v>36202.29</v>
      </c>
      <c r="Z352" s="4"/>
      <c r="AA352" s="14">
        <f t="shared" si="105"/>
        <v>106536.4375</v>
      </c>
      <c r="AB352" s="4">
        <v>280334.85519999987</v>
      </c>
      <c r="AC352" s="4">
        <v>4008874.82</v>
      </c>
      <c r="AD352" s="14">
        <f t="shared" si="106"/>
        <v>36202.29</v>
      </c>
      <c r="AE352" s="14">
        <f t="shared" si="107"/>
        <v>113016.64000000001</v>
      </c>
      <c r="AF352" s="14" t="str">
        <f t="shared" si="108"/>
        <v/>
      </c>
      <c r="AG352" s="15">
        <f t="shared" si="109"/>
        <v>4158093.75</v>
      </c>
      <c r="AH352" s="4">
        <v>3637329.07</v>
      </c>
      <c r="AI352" s="17">
        <f t="shared" si="110"/>
        <v>520764.68000000017</v>
      </c>
      <c r="AJ352" s="7">
        <f t="shared" si="114"/>
        <v>3.0440466662123504</v>
      </c>
      <c r="AK352" s="7">
        <f t="shared" si="115"/>
        <v>9.2966097165074206</v>
      </c>
      <c r="AL352" s="7">
        <f t="shared" si="116"/>
        <v>5.3349371703517496</v>
      </c>
      <c r="AM352" s="7" t="str">
        <f t="shared" si="117"/>
        <v/>
      </c>
      <c r="AN352" s="4">
        <v>24421.98486641538</v>
      </c>
      <c r="AO352" s="4">
        <v>0</v>
      </c>
      <c r="AP352" s="14">
        <f t="shared" si="111"/>
        <v>3661751.054866415</v>
      </c>
      <c r="AQ352" s="14">
        <f t="shared" si="112"/>
        <v>3637329.07</v>
      </c>
      <c r="AR352" s="8">
        <v>95270.13</v>
      </c>
      <c r="AS352" s="20">
        <v>38.179113000000001</v>
      </c>
      <c r="AT352" s="8">
        <v>35109691.560000002</v>
      </c>
      <c r="AU352" s="8">
        <v>25638.1525</v>
      </c>
      <c r="AV352" s="8">
        <v>1508.7647999999999</v>
      </c>
      <c r="AW352" s="8"/>
      <c r="AX352" s="9">
        <v>426.49632399291221</v>
      </c>
      <c r="AY352" s="6">
        <f t="shared" si="118"/>
        <v>2.1941398169367375E-2</v>
      </c>
      <c r="AZ352" s="8">
        <v>419673253.6997</v>
      </c>
      <c r="BA352" s="10">
        <v>60480066</v>
      </c>
      <c r="BB352" s="11">
        <v>35109691.560000002</v>
      </c>
      <c r="BC352" s="10">
        <v>2971324</v>
      </c>
      <c r="BD352" s="10">
        <f>1000000000-999511784.2719+154537.1396</f>
        <v>642752.8676999422</v>
      </c>
      <c r="BE352" s="12">
        <f t="shared" si="119"/>
        <v>481122911.87260008</v>
      </c>
      <c r="BF352" s="13">
        <v>236.254254</v>
      </c>
      <c r="BG352" s="13">
        <f t="shared" si="120"/>
        <v>244.86865787260007</v>
      </c>
      <c r="BH352" s="14">
        <f>BE352*38.17</f>
        <v>18364461546.177147</v>
      </c>
    </row>
    <row r="353" spans="1:60" x14ac:dyDescent="0.25">
      <c r="A353" s="3">
        <v>45975</v>
      </c>
      <c r="B353" s="4">
        <v>13613954644</v>
      </c>
      <c r="C353" s="4">
        <v>82876660</v>
      </c>
      <c r="D353" s="5">
        <v>351021796</v>
      </c>
      <c r="E353" s="4"/>
      <c r="F353" s="5"/>
      <c r="G353" s="5"/>
      <c r="H353" s="5"/>
      <c r="I353" s="5">
        <v>46288744.078892857</v>
      </c>
      <c r="J353" s="5">
        <v>272048.06121745962</v>
      </c>
      <c r="K353" s="5">
        <v>36315867.859889679</v>
      </c>
      <c r="L353" s="14">
        <f t="shared" si="113"/>
        <v>82876660</v>
      </c>
      <c r="M353" s="21">
        <v>0.98982720792914247</v>
      </c>
      <c r="N353" s="4">
        <v>4116710.01</v>
      </c>
      <c r="O353" s="4">
        <v>72842.02</v>
      </c>
      <c r="P353" s="4">
        <v>213498.67</v>
      </c>
      <c r="Q353" s="4"/>
      <c r="R353" s="14">
        <f t="shared" si="100"/>
        <v>4403050.7</v>
      </c>
      <c r="S353" s="6">
        <v>0.01</v>
      </c>
      <c r="T353" s="14">
        <f t="shared" si="101"/>
        <v>41167.100099999996</v>
      </c>
      <c r="U353" s="14">
        <f t="shared" si="102"/>
        <v>364.21010000000001</v>
      </c>
      <c r="V353" s="14">
        <f t="shared" si="103"/>
        <v>1754.8233000000002</v>
      </c>
      <c r="W353" s="14" t="str">
        <f t="shared" si="104"/>
        <v/>
      </c>
      <c r="X353" s="4">
        <v>38016.339999999997</v>
      </c>
      <c r="Y353" s="4">
        <v>36421.01</v>
      </c>
      <c r="Z353" s="4"/>
      <c r="AA353" s="14">
        <f t="shared" si="105"/>
        <v>117723.4835</v>
      </c>
      <c r="AB353" s="4">
        <v>277650.54770000011</v>
      </c>
      <c r="AC353" s="4">
        <v>4116710.01</v>
      </c>
      <c r="AD353" s="14">
        <f t="shared" si="106"/>
        <v>36421.01</v>
      </c>
      <c r="AE353" s="14">
        <f t="shared" si="107"/>
        <v>175482.33000000002</v>
      </c>
      <c r="AF353" s="14" t="str">
        <f t="shared" si="108"/>
        <v/>
      </c>
      <c r="AG353" s="15">
        <f t="shared" si="109"/>
        <v>4328613.3499999996</v>
      </c>
      <c r="AH353" s="4">
        <v>3778626.52</v>
      </c>
      <c r="AI353" s="17">
        <f t="shared" si="110"/>
        <v>549986.82999999961</v>
      </c>
      <c r="AJ353" s="7">
        <f t="shared" si="114"/>
        <v>3.0238899112348179</v>
      </c>
      <c r="AK353" s="7">
        <f t="shared" si="115"/>
        <v>8.7892079627726307</v>
      </c>
      <c r="AL353" s="7">
        <f t="shared" si="116"/>
        <v>6.0822055049823751</v>
      </c>
      <c r="AM353" s="7" t="str">
        <f t="shared" si="117"/>
        <v/>
      </c>
      <c r="AN353" s="4">
        <v>27479.265147307549</v>
      </c>
      <c r="AO353" s="4">
        <v>20036.490000000002</v>
      </c>
      <c r="AP353" s="14">
        <f t="shared" si="111"/>
        <v>3826142.2751473077</v>
      </c>
      <c r="AQ353" s="14">
        <f t="shared" si="112"/>
        <v>3778626.52</v>
      </c>
      <c r="AR353" s="8">
        <v>101425.41</v>
      </c>
      <c r="AS353" s="20">
        <v>37.255225000000003</v>
      </c>
      <c r="AT353" s="8">
        <v>35207988.450000003</v>
      </c>
      <c r="AU353" s="8">
        <v>25446.186399999999</v>
      </c>
      <c r="AV353" s="8">
        <v>705.13720000000001</v>
      </c>
      <c r="AW353" s="8"/>
      <c r="AX353" s="9">
        <v>425.52587698247538</v>
      </c>
      <c r="AY353" s="6">
        <f t="shared" si="118"/>
        <v>2.1826776086716123E-2</v>
      </c>
      <c r="AZ353" s="8">
        <v>419647807.5133</v>
      </c>
      <c r="BA353" s="10">
        <v>60480066</v>
      </c>
      <c r="BB353" s="11">
        <v>35207988.450000003</v>
      </c>
      <c r="BC353" s="10">
        <v>2971324</v>
      </c>
      <c r="BD353" s="10">
        <f>1000000000-999511079.1346+155255.364</f>
        <v>644176.22939995676</v>
      </c>
      <c r="BE353" s="12">
        <f t="shared" si="119"/>
        <v>481048637.80730009</v>
      </c>
      <c r="BF353" s="13">
        <v>236.254254</v>
      </c>
      <c r="BG353" s="13">
        <f t="shared" si="120"/>
        <v>244.79438380730011</v>
      </c>
      <c r="BH353" s="14">
        <f>BE353*38.24</f>
        <v>18395299909.751156</v>
      </c>
    </row>
    <row r="354" spans="1:60" x14ac:dyDescent="0.25">
      <c r="A354" s="3">
        <v>45976</v>
      </c>
      <c r="B354" s="4">
        <v>4625959537</v>
      </c>
      <c r="C354" s="4">
        <v>28938456</v>
      </c>
      <c r="D354" s="5">
        <v>162637502</v>
      </c>
      <c r="E354" s="4"/>
      <c r="F354" s="5"/>
      <c r="G354" s="5"/>
      <c r="H354" s="5"/>
      <c r="I354" s="5">
        <v>17794962.352781311</v>
      </c>
      <c r="J354" s="5">
        <v>266134.13679156482</v>
      </c>
      <c r="K354" s="5">
        <v>10877359.51042713</v>
      </c>
      <c r="L354" s="14">
        <f t="shared" si="113"/>
        <v>28938456.000000007</v>
      </c>
      <c r="M354" s="21">
        <v>0.99971765310832494</v>
      </c>
      <c r="N354" s="4">
        <v>1492781.21</v>
      </c>
      <c r="O354" s="4">
        <v>36664.1</v>
      </c>
      <c r="P354" s="4">
        <v>108788.99</v>
      </c>
      <c r="Q354" s="4"/>
      <c r="R354" s="14">
        <f t="shared" si="100"/>
        <v>1638234.3</v>
      </c>
      <c r="S354" s="6">
        <v>0.01</v>
      </c>
      <c r="T354" s="14">
        <f t="shared" si="101"/>
        <v>14927.812099999999</v>
      </c>
      <c r="U354" s="14">
        <f t="shared" si="102"/>
        <v>183.32050000000001</v>
      </c>
      <c r="V354" s="14">
        <f t="shared" si="103"/>
        <v>875.08890000000019</v>
      </c>
      <c r="W354" s="14" t="str">
        <f t="shared" si="104"/>
        <v/>
      </c>
      <c r="X354" s="4">
        <v>21280.1</v>
      </c>
      <c r="Y354" s="4">
        <v>18332.05</v>
      </c>
      <c r="Z354" s="4"/>
      <c r="AA354" s="14">
        <f t="shared" si="105"/>
        <v>55598.371499999994</v>
      </c>
      <c r="AB354" s="4">
        <v>148238.23060000001</v>
      </c>
      <c r="AC354" s="4">
        <v>1492781.21</v>
      </c>
      <c r="AD354" s="14">
        <f t="shared" si="106"/>
        <v>18332.05</v>
      </c>
      <c r="AE354" s="14">
        <f t="shared" si="107"/>
        <v>87508.890000000014</v>
      </c>
      <c r="AF354" s="14" t="str">
        <f t="shared" si="108"/>
        <v/>
      </c>
      <c r="AG354" s="15">
        <f t="shared" si="109"/>
        <v>1598622.15</v>
      </c>
      <c r="AH354" s="4">
        <v>1346765.12</v>
      </c>
      <c r="AI354" s="17">
        <f t="shared" si="110"/>
        <v>251857.0299999998</v>
      </c>
      <c r="AJ354" s="7">
        <f t="shared" si="114"/>
        <v>3.2269655583025045</v>
      </c>
      <c r="AK354" s="7">
        <f t="shared" si="115"/>
        <v>12.669680787392389</v>
      </c>
      <c r="AL354" s="7">
        <f t="shared" si="116"/>
        <v>6.6890470317233479</v>
      </c>
      <c r="AM354" s="7" t="str">
        <f t="shared" si="117"/>
        <v/>
      </c>
      <c r="AN354" s="4">
        <v>9172.0389542767844</v>
      </c>
      <c r="AO354" s="4">
        <v>0</v>
      </c>
      <c r="AP354" s="14">
        <f t="shared" si="111"/>
        <v>1355937.1589542769</v>
      </c>
      <c r="AQ354" s="14">
        <f t="shared" si="112"/>
        <v>1346765.12</v>
      </c>
      <c r="AR354" s="8">
        <v>34839.660000000003</v>
      </c>
      <c r="AS354" s="20">
        <v>38.656092999999998</v>
      </c>
      <c r="AT354" s="8">
        <v>35243905.509999998</v>
      </c>
      <c r="AU354" s="8">
        <v>25324.602299999999</v>
      </c>
      <c r="AV354" s="8">
        <v>2028.2637999999999</v>
      </c>
      <c r="AW354" s="8"/>
      <c r="AX354" s="9">
        <v>422.86543283410299</v>
      </c>
      <c r="AY354" s="6">
        <f t="shared" si="118"/>
        <v>2.1859152159941074E-2</v>
      </c>
      <c r="AZ354" s="8">
        <v>419622482.91100001</v>
      </c>
      <c r="BA354" s="10">
        <v>60480066</v>
      </c>
      <c r="BB354" s="11">
        <v>35243905.509999998</v>
      </c>
      <c r="BC354" s="10">
        <v>2971324</v>
      </c>
      <c r="BD354" s="10">
        <f>1000000000-999509050.8708+155498.5832</f>
        <v>646447.71239998168</v>
      </c>
      <c r="BE354" s="12">
        <f t="shared" si="119"/>
        <v>481035773.86660004</v>
      </c>
      <c r="BF354" s="13">
        <v>236.254254</v>
      </c>
      <c r="BG354" s="13">
        <f t="shared" si="120"/>
        <v>244.78151986660004</v>
      </c>
      <c r="BH354" s="14">
        <f>BE354*37.67</f>
        <v>18120617601.554825</v>
      </c>
    </row>
    <row r="355" spans="1:60" x14ac:dyDescent="0.25">
      <c r="A355" s="3">
        <v>45977</v>
      </c>
      <c r="B355" s="4">
        <v>7048418409</v>
      </c>
      <c r="C355" s="4">
        <v>39021395</v>
      </c>
      <c r="D355" s="5">
        <v>221753668</v>
      </c>
      <c r="E355" s="4"/>
      <c r="F355" s="5"/>
      <c r="G355" s="5"/>
      <c r="H355" s="5"/>
      <c r="I355" s="5">
        <v>27884667.42684814</v>
      </c>
      <c r="J355" s="5">
        <v>555716.98474623845</v>
      </c>
      <c r="K355" s="5">
        <v>10581010.58840562</v>
      </c>
      <c r="L355" s="14">
        <f t="shared" si="113"/>
        <v>39021395</v>
      </c>
      <c r="M355" s="21">
        <v>0.99938839521886946</v>
      </c>
      <c r="N355" s="4">
        <v>2265351.31</v>
      </c>
      <c r="O355" s="4">
        <v>45901.26</v>
      </c>
      <c r="P355" s="4">
        <v>128340.14</v>
      </c>
      <c r="Q355" s="4"/>
      <c r="R355" s="14">
        <f t="shared" si="100"/>
        <v>2439592.71</v>
      </c>
      <c r="S355" s="6">
        <v>0.01</v>
      </c>
      <c r="T355" s="14">
        <f t="shared" si="101"/>
        <v>22653.5131</v>
      </c>
      <c r="U355" s="14">
        <f t="shared" si="102"/>
        <v>229.50630000000001</v>
      </c>
      <c r="V355" s="14">
        <f t="shared" si="103"/>
        <v>1037.0941</v>
      </c>
      <c r="W355" s="14" t="str">
        <f t="shared" si="104"/>
        <v/>
      </c>
      <c r="X355" s="4">
        <v>24630.73</v>
      </c>
      <c r="Y355" s="4">
        <v>22950.63</v>
      </c>
      <c r="Z355" s="4"/>
      <c r="AA355" s="14">
        <f t="shared" si="105"/>
        <v>71501.473500000007</v>
      </c>
      <c r="AB355" s="4">
        <v>220160.16089999999</v>
      </c>
      <c r="AC355" s="4">
        <v>2265351.31</v>
      </c>
      <c r="AD355" s="14">
        <f t="shared" si="106"/>
        <v>22950.63</v>
      </c>
      <c r="AE355" s="14">
        <f t="shared" si="107"/>
        <v>103709.41</v>
      </c>
      <c r="AF355" s="14" t="str">
        <f t="shared" si="108"/>
        <v/>
      </c>
      <c r="AG355" s="15">
        <f t="shared" si="109"/>
        <v>2392011.35</v>
      </c>
      <c r="AH355" s="4">
        <v>1936066.5</v>
      </c>
      <c r="AI355" s="17">
        <f t="shared" si="110"/>
        <v>455944.85000000009</v>
      </c>
      <c r="AJ355" s="7">
        <f t="shared" si="114"/>
        <v>3.2139852922286982</v>
      </c>
      <c r="AK355" s="7">
        <f t="shared" si="115"/>
        <v>11.763100729740698</v>
      </c>
      <c r="AL355" s="7">
        <f t="shared" si="116"/>
        <v>5.7875092284832013</v>
      </c>
      <c r="AM355" s="7" t="str">
        <f t="shared" si="117"/>
        <v/>
      </c>
      <c r="AN355" s="4">
        <v>17703.582096227241</v>
      </c>
      <c r="AO355" s="4">
        <v>0</v>
      </c>
      <c r="AP355" s="14">
        <f t="shared" si="111"/>
        <v>1953770.0820962272</v>
      </c>
      <c r="AQ355" s="14">
        <f t="shared" si="112"/>
        <v>1936066.5</v>
      </c>
      <c r="AR355" s="8">
        <v>50364.81</v>
      </c>
      <c r="AS355" s="20">
        <v>38.440857999999999</v>
      </c>
      <c r="AT355" s="8">
        <v>35296567.109999999</v>
      </c>
      <c r="AU355" s="8">
        <v>25348.0065</v>
      </c>
      <c r="AV355" s="8">
        <v>368.38209999999998</v>
      </c>
      <c r="AW355" s="8"/>
      <c r="AX355" s="9">
        <v>422.69321454932373</v>
      </c>
      <c r="AY355" s="6">
        <f t="shared" si="118"/>
        <v>2.1888268025226105E-2</v>
      </c>
      <c r="AZ355" s="8">
        <v>419597134.90450001</v>
      </c>
      <c r="BA355" s="10">
        <v>60480066</v>
      </c>
      <c r="BB355" s="11">
        <v>35296567.109999999</v>
      </c>
      <c r="BC355" s="10">
        <v>2971324</v>
      </c>
      <c r="BD355" s="10">
        <f>1000000000-999508682.4887+155959.434</f>
        <v>647276.94529996777</v>
      </c>
      <c r="BE355" s="12">
        <f t="shared" si="119"/>
        <v>481007631.0402</v>
      </c>
      <c r="BF355" s="13">
        <v>236.254254</v>
      </c>
      <c r="BG355" s="13">
        <f t="shared" si="120"/>
        <v>244.75337704020001</v>
      </c>
      <c r="BH355" s="14">
        <f>BE355*38.39</f>
        <v>18465882955.633278</v>
      </c>
    </row>
    <row r="356" spans="1:60" x14ac:dyDescent="0.25">
      <c r="A356" s="3">
        <v>45978</v>
      </c>
      <c r="B356" s="4">
        <v>9790644280</v>
      </c>
      <c r="C356" s="4">
        <v>124865202</v>
      </c>
      <c r="D356" s="5">
        <v>291667475</v>
      </c>
      <c r="E356" s="4"/>
      <c r="F356" s="5"/>
      <c r="G356" s="5"/>
      <c r="H356" s="5"/>
      <c r="I356" s="5">
        <v>68421418.01494202</v>
      </c>
      <c r="J356" s="5">
        <v>157299.73416936479</v>
      </c>
      <c r="K356" s="5">
        <v>56286484.250888601</v>
      </c>
      <c r="L356" s="14">
        <f t="shared" si="113"/>
        <v>124865201.99999999</v>
      </c>
      <c r="M356" s="21">
        <v>1.006273212160123</v>
      </c>
      <c r="N356" s="4">
        <v>3090540.87</v>
      </c>
      <c r="O356" s="4">
        <v>112938.02</v>
      </c>
      <c r="P356" s="4">
        <v>162655.84</v>
      </c>
      <c r="Q356" s="4"/>
      <c r="R356" s="14">
        <f t="shared" si="100"/>
        <v>3366134.73</v>
      </c>
      <c r="S356" s="6">
        <v>0.01</v>
      </c>
      <c r="T356" s="14">
        <f t="shared" si="101"/>
        <v>30905.4087</v>
      </c>
      <c r="U356" s="14">
        <f t="shared" si="102"/>
        <v>564.69010000000003</v>
      </c>
      <c r="V356" s="14">
        <f t="shared" si="103"/>
        <v>1277.8454999999999</v>
      </c>
      <c r="W356" s="14" t="str">
        <f t="shared" si="104"/>
        <v/>
      </c>
      <c r="X356" s="4">
        <v>34871.29</v>
      </c>
      <c r="Y356" s="4">
        <v>56469.01</v>
      </c>
      <c r="Z356" s="4"/>
      <c r="AA356" s="14">
        <f t="shared" si="105"/>
        <v>124088.24429999999</v>
      </c>
      <c r="AB356" s="4">
        <v>267779.56719999999</v>
      </c>
      <c r="AC356" s="4">
        <v>3090540.87</v>
      </c>
      <c r="AD356" s="14">
        <f t="shared" si="106"/>
        <v>56469.01</v>
      </c>
      <c r="AE356" s="14">
        <f t="shared" si="107"/>
        <v>127784.54999999999</v>
      </c>
      <c r="AF356" s="14" t="str">
        <f t="shared" si="108"/>
        <v/>
      </c>
      <c r="AG356" s="15">
        <f t="shared" si="109"/>
        <v>3274794.4299999997</v>
      </c>
      <c r="AH356" s="4">
        <v>2814222.59</v>
      </c>
      <c r="AI356" s="17">
        <f t="shared" si="110"/>
        <v>460571.83999999985</v>
      </c>
      <c r="AJ356" s="7">
        <f t="shared" si="114"/>
        <v>3.1566266546045938</v>
      </c>
      <c r="AK356" s="7">
        <f t="shared" si="115"/>
        <v>9.0447953626023043</v>
      </c>
      <c r="AL356" s="7">
        <f t="shared" si="116"/>
        <v>5.576756201561385</v>
      </c>
      <c r="AM356" s="7" t="str">
        <f t="shared" si="117"/>
        <v/>
      </c>
      <c r="AN356" s="4">
        <v>25585.711638477289</v>
      </c>
      <c r="AO356" s="4">
        <v>0</v>
      </c>
      <c r="AP356" s="14">
        <f t="shared" si="111"/>
        <v>2839808.301638477</v>
      </c>
      <c r="AQ356" s="14">
        <f t="shared" si="112"/>
        <v>2814222.59</v>
      </c>
      <c r="AR356" s="8">
        <v>73999.240000000005</v>
      </c>
      <c r="AS356" s="20">
        <v>38.030425999999999</v>
      </c>
      <c r="AT356" s="8">
        <v>35367094.07</v>
      </c>
      <c r="AU356" s="8">
        <v>25332.246800000001</v>
      </c>
      <c r="AV356" s="8">
        <v>1015.1872</v>
      </c>
      <c r="AW356" s="8"/>
      <c r="AX356" s="9">
        <v>421.88679330305592</v>
      </c>
      <c r="AY356" s="6">
        <f t="shared" si="118"/>
        <v>2.1916471974883753E-2</v>
      </c>
      <c r="AZ356" s="8">
        <v>419571802.65780002</v>
      </c>
      <c r="BA356" s="10">
        <v>60480066</v>
      </c>
      <c r="BB356" s="11">
        <v>35367094.07</v>
      </c>
      <c r="BC356" s="10">
        <v>2971324</v>
      </c>
      <c r="BD356" s="10">
        <f>1000000000-999507667.3015+156619.949</f>
        <v>648952.64750003722</v>
      </c>
      <c r="BE356" s="12">
        <f t="shared" si="119"/>
        <v>480960760.62470001</v>
      </c>
      <c r="BF356" s="13">
        <v>236.254254</v>
      </c>
      <c r="BG356" s="13">
        <f t="shared" si="120"/>
        <v>244.70650662470001</v>
      </c>
      <c r="BH356" s="14">
        <f>BE356*38.69</f>
        <v>18608371828.569641</v>
      </c>
    </row>
    <row r="357" spans="1:60" x14ac:dyDescent="0.25">
      <c r="A357" s="3">
        <v>45979</v>
      </c>
      <c r="B357" s="4">
        <v>9827374789</v>
      </c>
      <c r="C357" s="4">
        <v>143664863</v>
      </c>
      <c r="D357" s="5">
        <v>249683320</v>
      </c>
      <c r="E357" s="4"/>
      <c r="F357" s="5"/>
      <c r="G357" s="5"/>
      <c r="H357" s="5"/>
      <c r="I357" s="5">
        <v>80104300.508261368</v>
      </c>
      <c r="J357" s="5">
        <v>422889.2890922908</v>
      </c>
      <c r="K357" s="5">
        <v>63137673.202646337</v>
      </c>
      <c r="L357" s="14">
        <f t="shared" si="113"/>
        <v>143664863</v>
      </c>
      <c r="M357" s="21">
        <v>1.005355882991436</v>
      </c>
      <c r="N357" s="4">
        <v>3083718.15</v>
      </c>
      <c r="O357" s="4">
        <v>126729.32</v>
      </c>
      <c r="P357" s="4">
        <v>173951.95</v>
      </c>
      <c r="Q357" s="4"/>
      <c r="R357" s="14">
        <f t="shared" si="100"/>
        <v>3384399.42</v>
      </c>
      <c r="S357" s="6">
        <v>0.01</v>
      </c>
      <c r="T357" s="14">
        <f t="shared" si="101"/>
        <v>30837.181499999999</v>
      </c>
      <c r="U357" s="14">
        <f t="shared" si="102"/>
        <v>633.64660000000003</v>
      </c>
      <c r="V357" s="14">
        <f t="shared" si="103"/>
        <v>1363.4678000000004</v>
      </c>
      <c r="W357" s="14" t="str">
        <f t="shared" si="104"/>
        <v/>
      </c>
      <c r="X357" s="4">
        <v>37605.17</v>
      </c>
      <c r="Y357" s="4">
        <v>63364.66</v>
      </c>
      <c r="Z357" s="4"/>
      <c r="AA357" s="14">
        <f t="shared" si="105"/>
        <v>133804.12589999998</v>
      </c>
      <c r="AB357" s="4">
        <v>256189.46710000001</v>
      </c>
      <c r="AC357" s="4">
        <v>3083718.15</v>
      </c>
      <c r="AD357" s="14">
        <f t="shared" si="106"/>
        <v>63364.66</v>
      </c>
      <c r="AE357" s="14">
        <f t="shared" si="107"/>
        <v>136346.78000000003</v>
      </c>
      <c r="AF357" s="14" t="str">
        <f t="shared" si="108"/>
        <v/>
      </c>
      <c r="AG357" s="15">
        <f t="shared" si="109"/>
        <v>3283429.59</v>
      </c>
      <c r="AH357" s="4">
        <v>2891591.59</v>
      </c>
      <c r="AI357" s="17">
        <f t="shared" si="110"/>
        <v>391838</v>
      </c>
      <c r="AJ357" s="7">
        <f t="shared" si="114"/>
        <v>3.1378859728151149</v>
      </c>
      <c r="AK357" s="7">
        <f t="shared" si="115"/>
        <v>8.8211771029914257</v>
      </c>
      <c r="AL357" s="7">
        <f t="shared" si="116"/>
        <v>6.9669031155144854</v>
      </c>
      <c r="AM357" s="7" t="str">
        <f t="shared" si="117"/>
        <v/>
      </c>
      <c r="AN357" s="4">
        <v>48591.656243826081</v>
      </c>
      <c r="AO357" s="4">
        <v>19513.88</v>
      </c>
      <c r="AP357" s="14">
        <f t="shared" si="111"/>
        <v>2959697.126243826</v>
      </c>
      <c r="AQ357" s="14">
        <f t="shared" si="112"/>
        <v>2891591.59</v>
      </c>
      <c r="AR357" s="8">
        <v>73038.41</v>
      </c>
      <c r="AS357" s="20">
        <v>39.590012999999999</v>
      </c>
      <c r="AT357" s="8">
        <v>35441466.600000001</v>
      </c>
      <c r="AU357" s="8">
        <v>25303.995299999999</v>
      </c>
      <c r="AV357" s="8">
        <v>689.89760000000001</v>
      </c>
      <c r="AW357" s="8"/>
      <c r="AX357" s="9">
        <v>420.34400089713142</v>
      </c>
      <c r="AY357" s="6">
        <f t="shared" si="118"/>
        <v>2.1972380395076142E-2</v>
      </c>
      <c r="AZ357" s="8">
        <v>419546498.66250002</v>
      </c>
      <c r="BA357" s="10">
        <v>60480066</v>
      </c>
      <c r="BB357" s="11">
        <v>35441466.600000001</v>
      </c>
      <c r="BC357" s="10">
        <v>2971324</v>
      </c>
      <c r="BD357" s="10">
        <f>1000000000-999506977.4039+157863.0839</f>
        <v>650885.67999997269</v>
      </c>
      <c r="BE357" s="12">
        <f t="shared" si="119"/>
        <v>480909759.0575</v>
      </c>
      <c r="BF357" s="13">
        <v>236.254254</v>
      </c>
      <c r="BG357" s="13">
        <f t="shared" si="120"/>
        <v>244.65550505750002</v>
      </c>
      <c r="BH357" s="14">
        <f>BE357*39.07</f>
        <v>18789144286.376526</v>
      </c>
    </row>
    <row r="358" spans="1:60" x14ac:dyDescent="0.25">
      <c r="A358" s="3">
        <v>45980</v>
      </c>
      <c r="B358" s="4">
        <v>9741184863</v>
      </c>
      <c r="C358" s="4">
        <v>230705185</v>
      </c>
      <c r="D358" s="5">
        <v>289563221</v>
      </c>
      <c r="E358" s="4"/>
      <c r="F358" s="5"/>
      <c r="G358" s="5"/>
      <c r="H358" s="5"/>
      <c r="I358" s="5">
        <v>82006823.928421617</v>
      </c>
      <c r="J358" s="5">
        <v>731409.04232873803</v>
      </c>
      <c r="K358" s="5">
        <v>147966952.0292497</v>
      </c>
      <c r="L358" s="14">
        <f t="shared" si="113"/>
        <v>230705185.00000006</v>
      </c>
      <c r="M358" s="21">
        <v>0.97680236290337896</v>
      </c>
      <c r="N358" s="4">
        <v>3117175.69</v>
      </c>
      <c r="O358" s="4">
        <v>217524.72</v>
      </c>
      <c r="P358" s="4">
        <v>152193.87</v>
      </c>
      <c r="Q358" s="4"/>
      <c r="R358" s="14">
        <f t="shared" si="100"/>
        <v>3486894.2800000003</v>
      </c>
      <c r="S358" s="6">
        <v>0.01</v>
      </c>
      <c r="T358" s="14">
        <f t="shared" si="101"/>
        <v>31171.7569</v>
      </c>
      <c r="U358" s="14">
        <f t="shared" si="102"/>
        <v>1087.6236000000001</v>
      </c>
      <c r="V358" s="14">
        <f t="shared" si="103"/>
        <v>1131.7523999999999</v>
      </c>
      <c r="W358" s="14" t="str">
        <f t="shared" si="104"/>
        <v/>
      </c>
      <c r="X358" s="4">
        <v>39018.629999999997</v>
      </c>
      <c r="Y358" s="4">
        <v>108762.36</v>
      </c>
      <c r="Z358" s="4"/>
      <c r="AA358" s="14">
        <f t="shared" si="105"/>
        <v>181172.12290000002</v>
      </c>
      <c r="AB358" s="4">
        <v>300293.3346</v>
      </c>
      <c r="AC358" s="4">
        <v>3117175.69</v>
      </c>
      <c r="AD358" s="14">
        <f t="shared" si="106"/>
        <v>108762.36</v>
      </c>
      <c r="AE358" s="14">
        <f t="shared" si="107"/>
        <v>113175.23999999999</v>
      </c>
      <c r="AF358" s="14" t="str">
        <f t="shared" si="108"/>
        <v/>
      </c>
      <c r="AG358" s="15">
        <f t="shared" si="109"/>
        <v>3339113.29</v>
      </c>
      <c r="AH358" s="4">
        <v>2713751.03</v>
      </c>
      <c r="AI358" s="17">
        <f t="shared" si="110"/>
        <v>625362.26000000024</v>
      </c>
      <c r="AJ358" s="7">
        <f t="shared" si="114"/>
        <v>3.199996441747027</v>
      </c>
      <c r="AK358" s="7">
        <f t="shared" si="115"/>
        <v>9.4286879594838755</v>
      </c>
      <c r="AL358" s="7">
        <f t="shared" si="116"/>
        <v>5.2559806965263727</v>
      </c>
      <c r="AM358" s="7" t="str">
        <f t="shared" si="117"/>
        <v/>
      </c>
      <c r="AN358" s="4">
        <v>26710.858236324872</v>
      </c>
      <c r="AO358" s="4">
        <v>0</v>
      </c>
      <c r="AP358" s="14">
        <f t="shared" si="111"/>
        <v>2740461.8882363248</v>
      </c>
      <c r="AQ358" s="14">
        <f t="shared" si="112"/>
        <v>2713751.03</v>
      </c>
      <c r="AR358" s="8">
        <v>71425.929999999993</v>
      </c>
      <c r="AS358" s="20">
        <v>37.993918999999998</v>
      </c>
      <c r="AT358" s="8">
        <v>35515086.060000002</v>
      </c>
      <c r="AU358" s="8">
        <v>25266.509900000001</v>
      </c>
      <c r="AV358" s="8">
        <v>1970.3837000000001</v>
      </c>
      <c r="AW358" s="8"/>
      <c r="AX358" s="9">
        <v>420.32408724342213</v>
      </c>
      <c r="AY358" s="6">
        <f t="shared" si="118"/>
        <v>2.1940869898705348E-2</v>
      </c>
      <c r="AZ358" s="8">
        <v>419521232.15259999</v>
      </c>
      <c r="BA358" s="10">
        <v>60480066</v>
      </c>
      <c r="BB358" s="11">
        <v>35515086.060000002</v>
      </c>
      <c r="BC358" s="10">
        <v>2971324</v>
      </c>
      <c r="BD358" s="10">
        <f>1000000000-999505007.0202+158557.5399</f>
        <v>653550.51969998586</v>
      </c>
      <c r="BE358" s="12">
        <f t="shared" si="119"/>
        <v>480858741.26769996</v>
      </c>
      <c r="BF358" s="13">
        <v>236.254254</v>
      </c>
      <c r="BG358" s="13">
        <f t="shared" si="120"/>
        <v>244.60448726769994</v>
      </c>
      <c r="BH358" s="14">
        <f>BE358*38.46</f>
        <v>18493827189.155743</v>
      </c>
    </row>
    <row r="359" spans="1:60" x14ac:dyDescent="0.25">
      <c r="A359" s="3">
        <v>45981</v>
      </c>
      <c r="B359" s="4">
        <v>10905595007</v>
      </c>
      <c r="C359" s="4">
        <v>316335677</v>
      </c>
      <c r="D359" s="5">
        <v>314646044</v>
      </c>
      <c r="E359" s="4"/>
      <c r="F359" s="5"/>
      <c r="G359" s="5"/>
      <c r="H359" s="5"/>
      <c r="I359" s="5">
        <v>150942501.89382741</v>
      </c>
      <c r="J359" s="5">
        <v>1739421.7989029731</v>
      </c>
      <c r="K359" s="5">
        <v>163653753.3072696</v>
      </c>
      <c r="L359" s="14">
        <f t="shared" si="113"/>
        <v>316335677</v>
      </c>
      <c r="M359" s="21">
        <v>1.0341407743157589</v>
      </c>
      <c r="N359" s="4">
        <v>3435919.27</v>
      </c>
      <c r="O359" s="4">
        <v>290760.09999999998</v>
      </c>
      <c r="P359" s="4">
        <v>189464.35</v>
      </c>
      <c r="Q359" s="4"/>
      <c r="R359" s="14">
        <f t="shared" si="100"/>
        <v>3916143.72</v>
      </c>
      <c r="S359" s="6">
        <v>0.01</v>
      </c>
      <c r="T359" s="14">
        <f t="shared" si="101"/>
        <v>34359.1927</v>
      </c>
      <c r="U359" s="14">
        <f t="shared" si="102"/>
        <v>1453.8004999999998</v>
      </c>
      <c r="V359" s="14">
        <f t="shared" si="103"/>
        <v>1408.7522000000001</v>
      </c>
      <c r="W359" s="14" t="str">
        <f t="shared" si="104"/>
        <v/>
      </c>
      <c r="X359" s="4">
        <v>48589.13</v>
      </c>
      <c r="Y359" s="4">
        <v>145380.04999999999</v>
      </c>
      <c r="Z359" s="4"/>
      <c r="AA359" s="14">
        <f t="shared" si="105"/>
        <v>231190.92539999998</v>
      </c>
      <c r="AB359" s="4">
        <v>312210.45870000002</v>
      </c>
      <c r="AC359" s="4">
        <v>3435919.27</v>
      </c>
      <c r="AD359" s="14">
        <f t="shared" si="106"/>
        <v>145380.04999999999</v>
      </c>
      <c r="AE359" s="14">
        <f t="shared" si="107"/>
        <v>140875.22</v>
      </c>
      <c r="AF359" s="14" t="str">
        <f t="shared" si="108"/>
        <v/>
      </c>
      <c r="AG359" s="15">
        <f t="shared" si="109"/>
        <v>3722174.54</v>
      </c>
      <c r="AH359" s="4">
        <v>3297836.79</v>
      </c>
      <c r="AI359" s="17">
        <f t="shared" si="110"/>
        <v>424337.75</v>
      </c>
      <c r="AJ359" s="7">
        <f t="shared" si="114"/>
        <v>3.1506022989067342</v>
      </c>
      <c r="AK359" s="7">
        <f t="shared" si="115"/>
        <v>9.1915051364882867</v>
      </c>
      <c r="AL359" s="7">
        <f t="shared" si="116"/>
        <v>6.0215074561687487</v>
      </c>
      <c r="AM359" s="7" t="str">
        <f t="shared" si="117"/>
        <v/>
      </c>
      <c r="AN359" s="4">
        <v>21755.972472487141</v>
      </c>
      <c r="AO359" s="4">
        <v>19372.669999999998</v>
      </c>
      <c r="AP359" s="14">
        <f t="shared" si="111"/>
        <v>3338965.432472487</v>
      </c>
      <c r="AQ359" s="14">
        <f t="shared" si="112"/>
        <v>3297836.79</v>
      </c>
      <c r="AR359" s="8">
        <v>86002.89</v>
      </c>
      <c r="AS359" s="20">
        <v>38.345650999999997</v>
      </c>
      <c r="AT359" s="8">
        <v>35598549</v>
      </c>
      <c r="AU359" s="8">
        <v>25302.035100000001</v>
      </c>
      <c r="AV359" s="8">
        <v>746.98530000000005</v>
      </c>
      <c r="AW359" s="8"/>
      <c r="AX359" s="9">
        <v>420.1003872280333</v>
      </c>
      <c r="AY359" s="6">
        <f t="shared" si="118"/>
        <v>2.1983418945260454E-2</v>
      </c>
      <c r="AZ359" s="8">
        <v>419495930.11750001</v>
      </c>
      <c r="BA359" s="10">
        <v>60480066</v>
      </c>
      <c r="BB359" s="11">
        <v>35598549</v>
      </c>
      <c r="BC359" s="10">
        <v>2971324</v>
      </c>
      <c r="BD359" s="10">
        <f>1000000000-999504260.0349+159118.8974</f>
        <v>654858.86250004999</v>
      </c>
      <c r="BE359" s="12">
        <f t="shared" si="119"/>
        <v>480799272.01999986</v>
      </c>
      <c r="BF359" s="13">
        <v>236.254254</v>
      </c>
      <c r="BG359" s="13">
        <f t="shared" si="120"/>
        <v>244.54501801999987</v>
      </c>
      <c r="BH359" s="14">
        <f>BE359*38.76</f>
        <v>18635779783.495193</v>
      </c>
    </row>
    <row r="360" spans="1:60" x14ac:dyDescent="0.25">
      <c r="A360" s="3">
        <v>45982</v>
      </c>
      <c r="B360" s="4">
        <v>15870077046</v>
      </c>
      <c r="C360" s="4">
        <v>320977746</v>
      </c>
      <c r="D360" s="5">
        <v>433843212</v>
      </c>
      <c r="E360" s="4"/>
      <c r="F360" s="5"/>
      <c r="G360" s="5"/>
      <c r="H360" s="5"/>
      <c r="I360" s="5">
        <v>128336309.7025885</v>
      </c>
      <c r="J360" s="5">
        <v>1704992.251616902</v>
      </c>
      <c r="K360" s="5">
        <v>190936444.04579461</v>
      </c>
      <c r="L360" s="14">
        <f t="shared" si="113"/>
        <v>320977746</v>
      </c>
      <c r="M360" s="21">
        <v>0.99367761010969391</v>
      </c>
      <c r="N360" s="4">
        <v>4887068.2</v>
      </c>
      <c r="O360" s="4">
        <v>262198.32</v>
      </c>
      <c r="P360" s="4">
        <v>236750.58</v>
      </c>
      <c r="Q360" s="4"/>
      <c r="R360" s="14">
        <f t="shared" si="100"/>
        <v>5386017.1000000006</v>
      </c>
      <c r="S360" s="6">
        <v>0.01</v>
      </c>
      <c r="T360" s="14">
        <f t="shared" si="101"/>
        <v>48870.682000000001</v>
      </c>
      <c r="U360" s="14">
        <f t="shared" si="102"/>
        <v>1310.9916000000001</v>
      </c>
      <c r="V360" s="14">
        <f t="shared" si="103"/>
        <v>1879.9358</v>
      </c>
      <c r="W360" s="14" t="str">
        <f t="shared" si="104"/>
        <v/>
      </c>
      <c r="X360" s="4">
        <v>48757</v>
      </c>
      <c r="Y360" s="4">
        <v>131099.16</v>
      </c>
      <c r="Z360" s="4"/>
      <c r="AA360" s="14">
        <f t="shared" si="105"/>
        <v>231917.76939999999</v>
      </c>
      <c r="AB360" s="4">
        <v>354913.0466</v>
      </c>
      <c r="AC360" s="4">
        <v>4887068.2</v>
      </c>
      <c r="AD360" s="14">
        <f t="shared" si="106"/>
        <v>131099.16</v>
      </c>
      <c r="AE360" s="14">
        <f t="shared" si="107"/>
        <v>187993.58</v>
      </c>
      <c r="AF360" s="14" t="str">
        <f t="shared" si="108"/>
        <v/>
      </c>
      <c r="AG360" s="15">
        <f t="shared" si="109"/>
        <v>5206160.9400000004</v>
      </c>
      <c r="AH360" s="4">
        <v>4477366.0199999996</v>
      </c>
      <c r="AI360" s="17">
        <f t="shared" si="110"/>
        <v>728794.92000000086</v>
      </c>
      <c r="AJ360" s="7">
        <f t="shared" si="114"/>
        <v>3.0794231091850741</v>
      </c>
      <c r="AK360" s="7">
        <f t="shared" si="115"/>
        <v>8.1687382775751693</v>
      </c>
      <c r="AL360" s="7">
        <f t="shared" si="116"/>
        <v>5.457053918363485</v>
      </c>
      <c r="AM360" s="7" t="str">
        <f t="shared" si="117"/>
        <v/>
      </c>
      <c r="AN360" s="4">
        <v>139853.14283437881</v>
      </c>
      <c r="AO360" s="4">
        <v>0</v>
      </c>
      <c r="AP360" s="14">
        <f t="shared" si="111"/>
        <v>4617219.162834378</v>
      </c>
      <c r="AQ360" s="14">
        <f t="shared" si="112"/>
        <v>4477366.0199999996</v>
      </c>
      <c r="AR360" s="8">
        <v>131495.54</v>
      </c>
      <c r="AS360" s="20">
        <v>34.049565999999999</v>
      </c>
      <c r="AT360" s="8">
        <v>35732484.140000001</v>
      </c>
      <c r="AU360" s="8">
        <v>25458.280999999999</v>
      </c>
      <c r="AV360" s="8">
        <v>1603.7265</v>
      </c>
      <c r="AW360" s="8"/>
      <c r="AX360" s="9">
        <v>420.05903129745411</v>
      </c>
      <c r="AY360" s="6">
        <f t="shared" si="118"/>
        <v>2.2121349316781891E-2</v>
      </c>
      <c r="AZ360" s="8">
        <v>419470471.83639997</v>
      </c>
      <c r="BA360" s="10">
        <v>60480066</v>
      </c>
      <c r="BB360" s="11">
        <v>35732484.140000001</v>
      </c>
      <c r="BC360" s="10">
        <v>2971324</v>
      </c>
      <c r="BD360" s="10">
        <f>1000000000-999502656.3083+162782.276</f>
        <v>660125.96769998176</v>
      </c>
      <c r="BE360" s="12">
        <f t="shared" si="119"/>
        <v>480685528.05589998</v>
      </c>
      <c r="BF360" s="13">
        <v>236.254254</v>
      </c>
      <c r="BG360" s="13">
        <f t="shared" si="120"/>
        <v>244.43127405589996</v>
      </c>
      <c r="BH360" s="14">
        <f>BE360*38.16</f>
        <v>18342959750.61314</v>
      </c>
    </row>
    <row r="361" spans="1:60" x14ac:dyDescent="0.25">
      <c r="A361" s="3">
        <v>45983</v>
      </c>
      <c r="B361" s="4">
        <v>4616700092</v>
      </c>
      <c r="C361" s="4">
        <v>56501925</v>
      </c>
      <c r="D361" s="5">
        <v>235858539</v>
      </c>
      <c r="E361" s="4"/>
      <c r="F361" s="5"/>
      <c r="G361" s="5"/>
      <c r="H361" s="5"/>
      <c r="I361" s="5">
        <v>34555991.293237753</v>
      </c>
      <c r="J361" s="5">
        <v>2341285.1659097271</v>
      </c>
      <c r="K361" s="5">
        <v>19604648.540852521</v>
      </c>
      <c r="L361" s="14">
        <f t="shared" si="113"/>
        <v>56501925</v>
      </c>
      <c r="M361" s="21">
        <v>1.001552699984211</v>
      </c>
      <c r="N361" s="4">
        <v>1438881.83</v>
      </c>
      <c r="O361" s="4">
        <v>67068.7</v>
      </c>
      <c r="P361" s="4">
        <v>124481.65</v>
      </c>
      <c r="Q361" s="4"/>
      <c r="R361" s="14">
        <f t="shared" si="100"/>
        <v>1630432.18</v>
      </c>
      <c r="S361" s="6">
        <v>0.01</v>
      </c>
      <c r="T361" s="14">
        <f t="shared" si="101"/>
        <v>14388.818300000001</v>
      </c>
      <c r="U361" s="14">
        <f t="shared" si="102"/>
        <v>335.34350000000001</v>
      </c>
      <c r="V361" s="14">
        <f t="shared" si="103"/>
        <v>1060.8835999999999</v>
      </c>
      <c r="W361" s="14" t="str">
        <f t="shared" si="104"/>
        <v/>
      </c>
      <c r="X361" s="4">
        <v>18393.29</v>
      </c>
      <c r="Y361" s="4">
        <v>33534.35</v>
      </c>
      <c r="Z361" s="4"/>
      <c r="AA361" s="14">
        <f t="shared" si="105"/>
        <v>67712.685400000002</v>
      </c>
      <c r="AB361" s="4">
        <v>133807.9443</v>
      </c>
      <c r="AC361" s="4">
        <v>1438881.83</v>
      </c>
      <c r="AD361" s="14">
        <f t="shared" si="106"/>
        <v>33534.35</v>
      </c>
      <c r="AE361" s="14">
        <f t="shared" si="107"/>
        <v>106088.35999999999</v>
      </c>
      <c r="AF361" s="14" t="str">
        <f t="shared" si="108"/>
        <v/>
      </c>
      <c r="AG361" s="15">
        <f t="shared" si="109"/>
        <v>1578504.54</v>
      </c>
      <c r="AH361" s="4">
        <v>1463002.28</v>
      </c>
      <c r="AI361" s="17">
        <f t="shared" si="110"/>
        <v>115502.26000000001</v>
      </c>
      <c r="AJ361" s="7">
        <f t="shared" si="114"/>
        <v>3.1166889798480764</v>
      </c>
      <c r="AK361" s="7">
        <f t="shared" si="115"/>
        <v>11.87016194580981</v>
      </c>
      <c r="AL361" s="7">
        <f t="shared" si="116"/>
        <v>5.2778097637584365</v>
      </c>
      <c r="AM361" s="7" t="str">
        <f t="shared" si="117"/>
        <v/>
      </c>
      <c r="AN361" s="4">
        <v>61625.825170377153</v>
      </c>
      <c r="AO361" s="4">
        <v>0</v>
      </c>
      <c r="AP361" s="14">
        <f t="shared" si="111"/>
        <v>1524628.1051703771</v>
      </c>
      <c r="AQ361" s="14">
        <f t="shared" si="112"/>
        <v>1463002.28</v>
      </c>
      <c r="AR361" s="8">
        <v>45248.9</v>
      </c>
      <c r="AS361" s="20">
        <v>32.332327999999997</v>
      </c>
      <c r="AT361" s="8">
        <v>35775635.350000001</v>
      </c>
      <c r="AU361" s="8">
        <v>26093.275099999999</v>
      </c>
      <c r="AV361" s="8">
        <v>1923.115</v>
      </c>
      <c r="AW361" s="8"/>
      <c r="AX361" s="9">
        <v>420.64184491101628</v>
      </c>
      <c r="AY361" s="6">
        <f t="shared" si="118"/>
        <v>2.2641697507566661E-2</v>
      </c>
      <c r="AZ361" s="8">
        <v>419444378.56129998</v>
      </c>
      <c r="BA361" s="10">
        <v>60480066</v>
      </c>
      <c r="BB361" s="11">
        <v>35775635.350000001</v>
      </c>
      <c r="BC361" s="10">
        <v>2971324</v>
      </c>
      <c r="BD361" s="10">
        <f>1000000000-999500733.1934+164620.3714</f>
        <v>663887.17799997469</v>
      </c>
      <c r="BE361" s="12">
        <f t="shared" si="119"/>
        <v>480664708.91069996</v>
      </c>
      <c r="BF361" s="13">
        <v>236.254254</v>
      </c>
      <c r="BG361" s="13">
        <f t="shared" si="120"/>
        <v>244.41045491069997</v>
      </c>
      <c r="BH361" s="14">
        <f>BE361*33.53</f>
        <v>16116687689.77577</v>
      </c>
    </row>
    <row r="362" spans="1:60" x14ac:dyDescent="0.25">
      <c r="A362" s="3">
        <v>45984</v>
      </c>
      <c r="B362" s="4">
        <v>6272448068</v>
      </c>
      <c r="C362" s="4">
        <v>54397551</v>
      </c>
      <c r="D362" s="5">
        <v>207505994</v>
      </c>
      <c r="E362" s="4"/>
      <c r="F362" s="5"/>
      <c r="G362" s="5"/>
      <c r="H362" s="5"/>
      <c r="I362" s="5">
        <v>32400279.111411929</v>
      </c>
      <c r="J362" s="5">
        <v>1891724.229599081</v>
      </c>
      <c r="K362" s="5">
        <v>20105547.65898899</v>
      </c>
      <c r="L362" s="14">
        <f t="shared" si="113"/>
        <v>54397551</v>
      </c>
      <c r="M362" s="21">
        <v>0.99761340708554413</v>
      </c>
      <c r="N362" s="4">
        <v>1940719.15</v>
      </c>
      <c r="O362" s="4">
        <v>37651.980000000003</v>
      </c>
      <c r="P362" s="4">
        <v>123364.73</v>
      </c>
      <c r="Q362" s="4"/>
      <c r="R362" s="14">
        <f t="shared" si="100"/>
        <v>2101735.86</v>
      </c>
      <c r="S362" s="6">
        <v>0.01</v>
      </c>
      <c r="T362" s="14">
        <f t="shared" si="101"/>
        <v>19407.191500000001</v>
      </c>
      <c r="U362" s="14">
        <f t="shared" si="102"/>
        <v>188.25990000000002</v>
      </c>
      <c r="V362" s="14">
        <f t="shared" si="103"/>
        <v>1003.3217</v>
      </c>
      <c r="W362" s="14" t="str">
        <f t="shared" si="104"/>
        <v/>
      </c>
      <c r="X362" s="4">
        <v>23032.560000000001</v>
      </c>
      <c r="Y362" s="4">
        <v>18825.990000000002</v>
      </c>
      <c r="Z362" s="4"/>
      <c r="AA362" s="14">
        <f t="shared" si="105"/>
        <v>62457.323100000009</v>
      </c>
      <c r="AB362" s="4">
        <v>155957.6496</v>
      </c>
      <c r="AC362" s="4">
        <v>1940719.15</v>
      </c>
      <c r="AD362" s="14">
        <f t="shared" si="106"/>
        <v>18825.990000000002</v>
      </c>
      <c r="AE362" s="14">
        <f t="shared" si="107"/>
        <v>100332.17</v>
      </c>
      <c r="AF362" s="14" t="str">
        <f t="shared" si="108"/>
        <v/>
      </c>
      <c r="AG362" s="15">
        <f t="shared" si="109"/>
        <v>2059877.3099999998</v>
      </c>
      <c r="AH362" s="4">
        <v>1788087.04</v>
      </c>
      <c r="AI362" s="17">
        <f t="shared" si="110"/>
        <v>271790.26999999979</v>
      </c>
      <c r="AJ362" s="7">
        <f t="shared" si="114"/>
        <v>3.0940378126060875</v>
      </c>
      <c r="AK362" s="7">
        <f t="shared" si="115"/>
        <v>6.921631453592461</v>
      </c>
      <c r="AL362" s="7">
        <f t="shared" si="116"/>
        <v>5.945116457696157</v>
      </c>
      <c r="AM362" s="7" t="str">
        <f t="shared" si="117"/>
        <v/>
      </c>
      <c r="AN362" s="4">
        <v>32712.503878906871</v>
      </c>
      <c r="AO362" s="4">
        <v>0</v>
      </c>
      <c r="AP362" s="14">
        <f t="shared" si="111"/>
        <v>1820799.5438789069</v>
      </c>
      <c r="AQ362" s="14">
        <f t="shared" si="112"/>
        <v>1788087.04</v>
      </c>
      <c r="AR362" s="8">
        <v>57272.67</v>
      </c>
      <c r="AS362" s="20">
        <v>31.220599</v>
      </c>
      <c r="AT362" s="8">
        <v>35834603.259999998</v>
      </c>
      <c r="AU362" s="8">
        <v>25985.419600000001</v>
      </c>
      <c r="AV362" s="8">
        <v>996.90570000000002</v>
      </c>
      <c r="AW362" s="8"/>
      <c r="AX362" s="9">
        <v>414.90920666227032</v>
      </c>
      <c r="AY362" s="6">
        <f t="shared" si="118"/>
        <v>2.2859647367912909E-2</v>
      </c>
      <c r="AZ362" s="8">
        <v>419418393.14170003</v>
      </c>
      <c r="BA362" s="10">
        <v>60480066</v>
      </c>
      <c r="BB362" s="11">
        <v>35834603.259999998</v>
      </c>
      <c r="BC362" s="10">
        <v>2971324</v>
      </c>
      <c r="BD362" s="10">
        <f>1000000000-999499736.2876+165717.1128</f>
        <v>665980.82519995957</v>
      </c>
      <c r="BE362" s="12">
        <f t="shared" si="119"/>
        <v>480629632.77310002</v>
      </c>
      <c r="BF362" s="13">
        <v>236.254254</v>
      </c>
      <c r="BG362" s="13">
        <f t="shared" si="120"/>
        <v>244.37537877310001</v>
      </c>
      <c r="BH362" s="14">
        <f>BE362*29.81</f>
        <v>14327569352.96611</v>
      </c>
    </row>
    <row r="363" spans="1:60" x14ac:dyDescent="0.25">
      <c r="A363" s="3">
        <v>45985</v>
      </c>
      <c r="B363" s="4">
        <v>9833081076</v>
      </c>
      <c r="C363" s="4">
        <v>446733398</v>
      </c>
      <c r="D363" s="5">
        <v>279378464</v>
      </c>
      <c r="E363" s="4"/>
      <c r="F363" s="5"/>
      <c r="G363" s="5"/>
      <c r="H363" s="5"/>
      <c r="I363" s="5">
        <v>285903005.24236548</v>
      </c>
      <c r="J363" s="5">
        <v>3297864.3629883868</v>
      </c>
      <c r="K363" s="5">
        <v>157532528.39464611</v>
      </c>
      <c r="L363" s="14">
        <f t="shared" si="113"/>
        <v>446733398</v>
      </c>
      <c r="M363" s="21">
        <v>0.98845660302700655</v>
      </c>
      <c r="N363" s="4">
        <v>2770525.66</v>
      </c>
      <c r="O363" s="4">
        <v>62036.26</v>
      </c>
      <c r="P363" s="4">
        <v>140108.54</v>
      </c>
      <c r="Q363" s="4"/>
      <c r="R363" s="14">
        <f t="shared" si="100"/>
        <v>2972670.46</v>
      </c>
      <c r="S363" s="6">
        <v>0.01</v>
      </c>
      <c r="T363" s="14">
        <f t="shared" si="101"/>
        <v>27705.256600000001</v>
      </c>
      <c r="U363" s="14">
        <f t="shared" si="102"/>
        <v>310.18130000000002</v>
      </c>
      <c r="V363" s="14">
        <f t="shared" si="103"/>
        <v>1098.0174000000002</v>
      </c>
      <c r="W363" s="14" t="str">
        <f t="shared" si="104"/>
        <v/>
      </c>
      <c r="X363" s="4">
        <v>30306.799999999999</v>
      </c>
      <c r="Y363" s="4">
        <v>31018.13</v>
      </c>
      <c r="Z363" s="4"/>
      <c r="AA363" s="14">
        <f t="shared" si="105"/>
        <v>90438.385300000009</v>
      </c>
      <c r="AB363" s="4">
        <v>201400.4417</v>
      </c>
      <c r="AC363" s="4">
        <v>2770525.66</v>
      </c>
      <c r="AD363" s="14">
        <f t="shared" si="106"/>
        <v>31018.13</v>
      </c>
      <c r="AE363" s="14">
        <f t="shared" si="107"/>
        <v>109801.74</v>
      </c>
      <c r="AF363" s="14" t="str">
        <f t="shared" si="108"/>
        <v/>
      </c>
      <c r="AG363" s="15">
        <f t="shared" si="109"/>
        <v>2911345.5300000003</v>
      </c>
      <c r="AH363" s="4">
        <v>2548486.5099999998</v>
      </c>
      <c r="AI363" s="17">
        <f t="shared" si="110"/>
        <v>362859.02000000048</v>
      </c>
      <c r="AJ363" s="7">
        <f t="shared" si="114"/>
        <v>2.8175560016098462</v>
      </c>
      <c r="AK363" s="7">
        <f t="shared" si="115"/>
        <v>1.3886640282041327</v>
      </c>
      <c r="AL363" s="7">
        <f t="shared" si="116"/>
        <v>5.0150086013788098</v>
      </c>
      <c r="AM363" s="7" t="str">
        <f t="shared" si="117"/>
        <v/>
      </c>
      <c r="AN363" s="4">
        <v>29059.74762739236</v>
      </c>
      <c r="AO363" s="4">
        <v>0</v>
      </c>
      <c r="AP363" s="14">
        <f t="shared" si="111"/>
        <v>2577546.2576273922</v>
      </c>
      <c r="AQ363" s="14">
        <f t="shared" si="112"/>
        <v>2548486.5099999998</v>
      </c>
      <c r="AR363" s="8">
        <v>79513.279999999999</v>
      </c>
      <c r="AS363" s="20">
        <v>32.051079999999999</v>
      </c>
      <c r="AT363" s="8">
        <v>35912351.159999996</v>
      </c>
      <c r="AU363" s="8">
        <v>25930.867999999999</v>
      </c>
      <c r="AV363" s="8">
        <v>781.66470000000004</v>
      </c>
      <c r="AW363" s="8"/>
      <c r="AX363" s="9">
        <v>414.00711394458239</v>
      </c>
      <c r="AY363" s="6">
        <f t="shared" si="118"/>
        <v>2.2861362766985985E-2</v>
      </c>
      <c r="AZ363" s="8">
        <v>419392462.2737</v>
      </c>
      <c r="BA363" s="10">
        <v>60480066</v>
      </c>
      <c r="BB363" s="11">
        <v>35912351.159999996</v>
      </c>
      <c r="BC363" s="10">
        <v>2971324</v>
      </c>
      <c r="BD363" s="10">
        <f>1000000000-999498954.623+166629.5927</f>
        <v>667674.96969997429</v>
      </c>
      <c r="BE363" s="12">
        <f t="shared" si="119"/>
        <v>480576121.59660006</v>
      </c>
      <c r="BF363" s="13">
        <v>236.254254</v>
      </c>
      <c r="BG363" s="13">
        <f t="shared" si="120"/>
        <v>244.32186759660004</v>
      </c>
      <c r="BH363" s="14">
        <f>BE363*31.85</f>
        <v>15306349472.851713</v>
      </c>
    </row>
    <row r="364" spans="1:60" x14ac:dyDescent="0.25">
      <c r="A364" s="3">
        <v>45986</v>
      </c>
      <c r="B364" s="4">
        <v>8046994889</v>
      </c>
      <c r="C364" s="4">
        <v>525535456</v>
      </c>
      <c r="D364" s="5">
        <v>253234221</v>
      </c>
      <c r="E364" s="4"/>
      <c r="F364" s="5"/>
      <c r="G364" s="5"/>
      <c r="H364" s="5"/>
      <c r="I364" s="5">
        <v>313426066.16579151</v>
      </c>
      <c r="J364" s="5">
        <v>2411733.7880995339</v>
      </c>
      <c r="K364" s="5">
        <v>209697656.04610899</v>
      </c>
      <c r="L364" s="14">
        <f t="shared" si="113"/>
        <v>525535456</v>
      </c>
      <c r="M364" s="21">
        <v>0.99150877545835137</v>
      </c>
      <c r="N364" s="4">
        <v>2375524.6</v>
      </c>
      <c r="O364" s="4">
        <v>74147.08</v>
      </c>
      <c r="P364" s="4">
        <v>135557.57999999999</v>
      </c>
      <c r="Q364" s="4"/>
      <c r="R364" s="14">
        <f t="shared" si="100"/>
        <v>2585229.2600000002</v>
      </c>
      <c r="S364" s="6">
        <v>0.01</v>
      </c>
      <c r="T364" s="14">
        <f t="shared" si="101"/>
        <v>23755.246000000003</v>
      </c>
      <c r="U364" s="14">
        <f t="shared" si="102"/>
        <v>370.73540000000003</v>
      </c>
      <c r="V364" s="14">
        <f t="shared" si="103"/>
        <v>1075.0899999999999</v>
      </c>
      <c r="W364" s="14" t="str">
        <f t="shared" si="104"/>
        <v/>
      </c>
      <c r="X364" s="4">
        <v>28048.58</v>
      </c>
      <c r="Y364" s="4">
        <v>37073.54</v>
      </c>
      <c r="Z364" s="4"/>
      <c r="AA364" s="14">
        <f t="shared" si="105"/>
        <v>90323.191400000011</v>
      </c>
      <c r="AB364" s="4">
        <v>174724.01670000001</v>
      </c>
      <c r="AC364" s="4">
        <v>2375524.6</v>
      </c>
      <c r="AD364" s="14">
        <f t="shared" si="106"/>
        <v>37073.54</v>
      </c>
      <c r="AE364" s="14">
        <f t="shared" si="107"/>
        <v>107508.99999999999</v>
      </c>
      <c r="AF364" s="14" t="str">
        <f t="shared" si="108"/>
        <v/>
      </c>
      <c r="AG364" s="15">
        <f t="shared" si="109"/>
        <v>2520107.14</v>
      </c>
      <c r="AH364" s="4">
        <v>1965765.79</v>
      </c>
      <c r="AI364" s="17">
        <f t="shared" si="110"/>
        <v>554341.35000000009</v>
      </c>
      <c r="AJ364" s="7">
        <f t="shared" si="114"/>
        <v>2.9520642584814745</v>
      </c>
      <c r="AK364" s="7">
        <f t="shared" si="115"/>
        <v>1.4108863475045916</v>
      </c>
      <c r="AL364" s="7">
        <f t="shared" si="116"/>
        <v>5.3530513950561209</v>
      </c>
      <c r="AM364" s="7" t="str">
        <f t="shared" si="117"/>
        <v/>
      </c>
      <c r="AN364" s="4">
        <v>40906.318536221537</v>
      </c>
      <c r="AO364" s="4">
        <v>0</v>
      </c>
      <c r="AP364" s="14">
        <f t="shared" si="111"/>
        <v>2006672.1085362216</v>
      </c>
      <c r="AQ364" s="14">
        <f t="shared" si="112"/>
        <v>1965765.79</v>
      </c>
      <c r="AR364" s="8">
        <v>60402.47</v>
      </c>
      <c r="AS364" s="20">
        <v>32.544460000000001</v>
      </c>
      <c r="AT364" s="8">
        <v>35971494.159999996</v>
      </c>
      <c r="AU364" s="8">
        <v>25908.100399999999</v>
      </c>
      <c r="AV364" s="8">
        <v>1412.2144000000001</v>
      </c>
      <c r="AW364" s="8"/>
      <c r="AX364" s="9">
        <v>414.52993316855247</v>
      </c>
      <c r="AY364" s="6">
        <f t="shared" si="118"/>
        <v>2.2812482017203085E-2</v>
      </c>
      <c r="AZ364" s="8">
        <v>419366554.17330003</v>
      </c>
      <c r="BA364" s="10">
        <v>60480066</v>
      </c>
      <c r="BB364" s="11">
        <v>35971494.159999996</v>
      </c>
      <c r="BC364" s="10">
        <v>2971324</v>
      </c>
      <c r="BD364" s="10">
        <f>1000000000-999497542.4085+167861.7849</f>
        <v>670319.37640004384</v>
      </c>
      <c r="BE364" s="12">
        <f t="shared" si="119"/>
        <v>480540242.29029995</v>
      </c>
      <c r="BF364" s="13">
        <v>236.254254</v>
      </c>
      <c r="BG364" s="13">
        <f t="shared" si="120"/>
        <v>244.28598829029994</v>
      </c>
      <c r="BH364" s="14">
        <f>BE364*33.15</f>
        <v>15929909031.923443</v>
      </c>
    </row>
    <row r="365" spans="1:60" x14ac:dyDescent="0.25">
      <c r="A365" s="3">
        <v>45987</v>
      </c>
      <c r="B365" s="4">
        <v>7216393410</v>
      </c>
      <c r="C365" s="4">
        <v>398953790</v>
      </c>
      <c r="D365" s="4">
        <v>292702230</v>
      </c>
      <c r="E365" s="4"/>
      <c r="F365" s="5"/>
      <c r="G365" s="5"/>
      <c r="H365" s="5"/>
      <c r="I365" s="5">
        <v>229203964.68288809</v>
      </c>
      <c r="J365" s="5">
        <v>3343927.477594167</v>
      </c>
      <c r="K365" s="5">
        <v>166405897.8395178</v>
      </c>
      <c r="L365" s="14">
        <f t="shared" si="113"/>
        <v>398953790.00000006</v>
      </c>
      <c r="M365" s="21">
        <v>0.99626069694424446</v>
      </c>
      <c r="N365" s="4">
        <v>2106149.41</v>
      </c>
      <c r="O365" s="4">
        <v>63161.26</v>
      </c>
      <c r="P365" s="4">
        <v>131125.73000000001</v>
      </c>
      <c r="Q365" s="4"/>
      <c r="R365" s="14">
        <f t="shared" si="100"/>
        <v>2300436.4</v>
      </c>
      <c r="S365" s="6">
        <v>0.01</v>
      </c>
      <c r="T365" s="14">
        <f t="shared" si="101"/>
        <v>21061.494100000004</v>
      </c>
      <c r="U365" s="14">
        <f t="shared" si="102"/>
        <v>315.80630000000002</v>
      </c>
      <c r="V365" s="14">
        <f t="shared" si="103"/>
        <v>1025.1267000000003</v>
      </c>
      <c r="W365" s="14" t="str">
        <f t="shared" si="104"/>
        <v/>
      </c>
      <c r="X365" s="4">
        <v>28613.06</v>
      </c>
      <c r="Y365" s="4">
        <v>31580.63</v>
      </c>
      <c r="Z365" s="4"/>
      <c r="AA365" s="14">
        <f t="shared" si="105"/>
        <v>82596.117100000003</v>
      </c>
      <c r="AB365" s="4">
        <v>181989.38440000001</v>
      </c>
      <c r="AC365" s="4">
        <v>2106149.41</v>
      </c>
      <c r="AD365" s="14">
        <f t="shared" si="106"/>
        <v>31580.63</v>
      </c>
      <c r="AE365" s="14">
        <f t="shared" si="107"/>
        <v>102512.67000000001</v>
      </c>
      <c r="AF365" s="14" t="str">
        <f t="shared" si="108"/>
        <v/>
      </c>
      <c r="AG365" s="15">
        <f t="shared" si="109"/>
        <v>2240242.71</v>
      </c>
      <c r="AH365" s="4">
        <v>2161625.9300000002</v>
      </c>
      <c r="AI365" s="17">
        <f t="shared" si="110"/>
        <v>78616.779999999795</v>
      </c>
      <c r="AJ365" s="7">
        <f t="shared" si="114"/>
        <v>2.9185623487231691</v>
      </c>
      <c r="AK365" s="7">
        <f t="shared" si="115"/>
        <v>1.5831723268000539</v>
      </c>
      <c r="AL365" s="7">
        <f t="shared" si="116"/>
        <v>4.4798336521043929</v>
      </c>
      <c r="AM365" s="7" t="str">
        <f t="shared" si="117"/>
        <v/>
      </c>
      <c r="AN365" s="4">
        <v>23744.548846459889</v>
      </c>
      <c r="AO365" s="4">
        <v>0</v>
      </c>
      <c r="AP365" s="14">
        <f t="shared" si="111"/>
        <v>2185370.4788464601</v>
      </c>
      <c r="AQ365" s="14">
        <f t="shared" si="112"/>
        <v>2161625.9300000002</v>
      </c>
      <c r="AR365" s="8">
        <v>62475.15</v>
      </c>
      <c r="AS365" s="20">
        <v>34.599772000000002</v>
      </c>
      <c r="AT365" s="8">
        <v>36035251.030000001</v>
      </c>
      <c r="AU365" s="8">
        <v>25927.273399999998</v>
      </c>
      <c r="AV365" s="8">
        <v>1074.1511</v>
      </c>
      <c r="AW365" s="8"/>
      <c r="AX365" s="9">
        <v>414.65935059396787</v>
      </c>
      <c r="AY365" s="6">
        <f t="shared" si="118"/>
        <v>2.2822238971445651E-2</v>
      </c>
      <c r="AZ365" s="8">
        <v>419340626.89990002</v>
      </c>
      <c r="BA365" s="10">
        <v>60480066</v>
      </c>
      <c r="BB365" s="11">
        <v>36035251.030000001</v>
      </c>
      <c r="BC365" s="10">
        <v>2971324</v>
      </c>
      <c r="BD365" s="10">
        <f>1000000000-999496468.2574+168561.2444</f>
        <v>672092.98699996411</v>
      </c>
      <c r="BE365" s="12">
        <f t="shared" si="119"/>
        <v>480500639.08310008</v>
      </c>
      <c r="BF365" s="13">
        <v>236.254254</v>
      </c>
      <c r="BG365" s="13">
        <f t="shared" si="120"/>
        <v>244.24638508310005</v>
      </c>
      <c r="BH365" s="14">
        <f>BE365*33.94</f>
        <v>16308191690.480415</v>
      </c>
    </row>
    <row r="366" spans="1:60" x14ac:dyDescent="0.25">
      <c r="A366" s="3">
        <v>45988</v>
      </c>
      <c r="B366" s="4">
        <v>4539272018</v>
      </c>
      <c r="C366" s="4">
        <v>188848707.05000001</v>
      </c>
      <c r="D366" s="4">
        <v>255721445</v>
      </c>
      <c r="E366" s="4"/>
      <c r="F366" s="17">
        <v>0</v>
      </c>
      <c r="G366" s="17">
        <v>0</v>
      </c>
      <c r="H366" s="17">
        <v>0</v>
      </c>
      <c r="I366" s="17">
        <v>139522547.69079429</v>
      </c>
      <c r="J366" s="17">
        <v>2659905.175802818</v>
      </c>
      <c r="K366" s="17">
        <v>46666254.183402859</v>
      </c>
      <c r="L366" s="14">
        <f t="shared" si="113"/>
        <v>188848707.04999998</v>
      </c>
      <c r="M366" s="21">
        <v>1.010572160655449</v>
      </c>
      <c r="N366" s="4">
        <v>1470547.53</v>
      </c>
      <c r="O366" s="4">
        <v>49363.72</v>
      </c>
      <c r="P366" s="4">
        <v>147683.42000000001</v>
      </c>
      <c r="Q366" s="4"/>
      <c r="R366" s="14">
        <f t="shared" si="100"/>
        <v>1667594.67</v>
      </c>
      <c r="S366" s="6">
        <v>0.01</v>
      </c>
      <c r="T366" s="14">
        <f t="shared" si="101"/>
        <v>14705.4753</v>
      </c>
      <c r="U366" s="14">
        <f t="shared" si="102"/>
        <v>246.8186</v>
      </c>
      <c r="V366" s="14">
        <f t="shared" si="103"/>
        <v>1256.6435000000001</v>
      </c>
      <c r="W366" s="14" t="str">
        <f t="shared" si="104"/>
        <v/>
      </c>
      <c r="X366" s="4">
        <v>22019.07</v>
      </c>
      <c r="Y366" s="4">
        <v>24681.86</v>
      </c>
      <c r="Z366" s="4"/>
      <c r="AA366" s="14">
        <f t="shared" si="105"/>
        <v>62909.867400000003</v>
      </c>
      <c r="AB366" s="4">
        <v>162877.0724</v>
      </c>
      <c r="AC366" s="4">
        <v>1470547.53</v>
      </c>
      <c r="AD366" s="14">
        <f t="shared" si="106"/>
        <v>24681.86</v>
      </c>
      <c r="AE366" s="14">
        <f t="shared" si="107"/>
        <v>125664.35</v>
      </c>
      <c r="AF366" s="14" t="str">
        <f t="shared" si="108"/>
        <v/>
      </c>
      <c r="AG366" s="15">
        <f t="shared" si="109"/>
        <v>1620893.7400000002</v>
      </c>
      <c r="AH366" s="4">
        <v>1351706.04</v>
      </c>
      <c r="AI366" s="17">
        <f t="shared" si="110"/>
        <v>269187.70000000019</v>
      </c>
      <c r="AJ366" s="7">
        <f t="shared" si="114"/>
        <v>3.2396109423905428</v>
      </c>
      <c r="AK366" s="7">
        <f t="shared" si="115"/>
        <v>2.6139294661376926</v>
      </c>
      <c r="AL366" s="7">
        <f t="shared" si="116"/>
        <v>5.7751675851823849</v>
      </c>
      <c r="AM366" s="7" t="str">
        <f t="shared" si="117"/>
        <v/>
      </c>
      <c r="AN366" s="4">
        <v>15709.05536838144</v>
      </c>
      <c r="AO366" s="4">
        <v>0</v>
      </c>
      <c r="AP366" s="14">
        <f t="shared" si="111"/>
        <v>1367415.0953683816</v>
      </c>
      <c r="AQ366" s="14">
        <f t="shared" si="112"/>
        <v>1351706.04</v>
      </c>
      <c r="AR366" s="8">
        <v>38174.870000000003</v>
      </c>
      <c r="AS366" s="20">
        <v>35.408268</v>
      </c>
      <c r="AT366" s="8">
        <v>36078643.780000001</v>
      </c>
      <c r="AU366" s="8">
        <v>25939.771100000002</v>
      </c>
      <c r="AV366" s="8">
        <v>1501.4621</v>
      </c>
      <c r="AW366" s="8"/>
      <c r="AX366" s="9">
        <v>415.71851175603882</v>
      </c>
      <c r="AY366" s="6">
        <f t="shared" si="118"/>
        <v>2.2775065780703631E-2</v>
      </c>
      <c r="AZ366" s="8">
        <v>419314687.12879997</v>
      </c>
      <c r="BA366" s="10">
        <v>60480066</v>
      </c>
      <c r="BB366" s="11">
        <v>36078643.780000001</v>
      </c>
      <c r="BC366" s="10">
        <v>2971324</v>
      </c>
      <c r="BD366" s="10">
        <f>1000000000-999494966.7953+168999.3961</f>
        <v>674032.60079999315</v>
      </c>
      <c r="BE366" s="12">
        <f t="shared" si="119"/>
        <v>480481246.49040014</v>
      </c>
      <c r="BF366" s="13">
        <v>236.254254</v>
      </c>
      <c r="BG366" s="13">
        <f t="shared" si="120"/>
        <v>244.22699249040011</v>
      </c>
      <c r="BH366" s="14">
        <f>BE366*35.86</f>
        <v>17230057499.145748</v>
      </c>
    </row>
    <row r="367" spans="1:60" x14ac:dyDescent="0.25">
      <c r="A367" s="3">
        <v>45989</v>
      </c>
      <c r="B367" s="4">
        <v>5251008726</v>
      </c>
      <c r="C367" s="4">
        <v>256558055.38999999</v>
      </c>
      <c r="D367" s="4">
        <v>265118911</v>
      </c>
      <c r="E367" s="4"/>
      <c r="F367" s="17">
        <v>0</v>
      </c>
      <c r="G367" s="17">
        <v>0</v>
      </c>
      <c r="H367" s="17">
        <v>0</v>
      </c>
      <c r="I367" s="17">
        <v>156457324.53123799</v>
      </c>
      <c r="J367" s="17">
        <v>1431816.2930673091</v>
      </c>
      <c r="K367" s="17">
        <v>98668914.56569472</v>
      </c>
      <c r="L367" s="14">
        <f t="shared" si="113"/>
        <v>256558055.39000002</v>
      </c>
      <c r="M367" s="21">
        <v>0.97608396640669659</v>
      </c>
      <c r="N367" s="4">
        <v>1699795.37</v>
      </c>
      <c r="O367" s="4">
        <v>59174.5</v>
      </c>
      <c r="P367" s="4">
        <v>143845.45000000001</v>
      </c>
      <c r="Q367" s="4"/>
      <c r="R367" s="14">
        <f t="shared" si="100"/>
        <v>1902815.32</v>
      </c>
      <c r="S367" s="6">
        <v>0.01</v>
      </c>
      <c r="T367" s="14">
        <f t="shared" si="101"/>
        <v>16997.953700000002</v>
      </c>
      <c r="U367" s="14">
        <f t="shared" si="102"/>
        <v>295.8725</v>
      </c>
      <c r="V367" s="14">
        <f t="shared" si="103"/>
        <v>1160.1335000000001</v>
      </c>
      <c r="W367" s="14" t="str">
        <f t="shared" si="104"/>
        <v/>
      </c>
      <c r="X367" s="4">
        <v>27832.1</v>
      </c>
      <c r="Y367" s="4">
        <v>29587.25</v>
      </c>
      <c r="Z367" s="4"/>
      <c r="AA367" s="14">
        <f t="shared" si="105"/>
        <v>75873.309699999998</v>
      </c>
      <c r="AB367" s="4">
        <v>205315.74179999999</v>
      </c>
      <c r="AC367" s="4">
        <v>1699795.37</v>
      </c>
      <c r="AD367" s="14">
        <f t="shared" si="106"/>
        <v>29587.25</v>
      </c>
      <c r="AE367" s="14">
        <f t="shared" si="107"/>
        <v>116013.35</v>
      </c>
      <c r="AF367" s="14" t="str">
        <f t="shared" si="108"/>
        <v/>
      </c>
      <c r="AG367" s="15">
        <f t="shared" si="109"/>
        <v>1845395.9700000002</v>
      </c>
      <c r="AH367" s="4">
        <v>1510697.17</v>
      </c>
      <c r="AI367" s="17">
        <f t="shared" si="110"/>
        <v>334698.80000000028</v>
      </c>
      <c r="AJ367" s="7">
        <f t="shared" si="114"/>
        <v>3.2370834989924568</v>
      </c>
      <c r="AK367" s="7">
        <f t="shared" si="115"/>
        <v>2.3064760102756252</v>
      </c>
      <c r="AL367" s="7">
        <f t="shared" si="116"/>
        <v>5.4256955664697948</v>
      </c>
      <c r="AM367" s="7" t="str">
        <f t="shared" si="117"/>
        <v/>
      </c>
      <c r="AN367" s="4">
        <v>26450.57931753065</v>
      </c>
      <c r="AO367" s="4">
        <v>0</v>
      </c>
      <c r="AP367" s="14">
        <f t="shared" si="111"/>
        <v>1537147.7493175305</v>
      </c>
      <c r="AQ367" s="14">
        <f t="shared" si="112"/>
        <v>1510697.17</v>
      </c>
      <c r="AR367" s="8">
        <v>42843.73</v>
      </c>
      <c r="AS367" s="20">
        <v>35.260635999999998</v>
      </c>
      <c r="AT367" s="8">
        <v>36115330.700000003</v>
      </c>
      <c r="AU367" s="8">
        <v>31338.842799999999</v>
      </c>
      <c r="AV367" s="8">
        <v>1305.9097999999999</v>
      </c>
      <c r="AW367" s="8"/>
      <c r="AX367" s="9">
        <v>416.05423911558381</v>
      </c>
      <c r="AY367" s="6">
        <f t="shared" si="118"/>
        <v>2.749323657010553E-2</v>
      </c>
      <c r="AZ367" s="8">
        <v>419283348.28600001</v>
      </c>
      <c r="BA367" s="10">
        <v>60480066</v>
      </c>
      <c r="BB367" s="11">
        <v>36115330.700000003</v>
      </c>
      <c r="BC367" s="10">
        <v>2971324</v>
      </c>
      <c r="BD367" s="10">
        <f>1000000000-999493660.8855+169751.6451</f>
        <v>676090.75960004574</v>
      </c>
      <c r="BE367" s="12">
        <f t="shared" si="119"/>
        <v>480473840.25439996</v>
      </c>
      <c r="BF367" s="13">
        <v>236.254254</v>
      </c>
      <c r="BG367" s="13">
        <f t="shared" si="120"/>
        <v>244.21958625439993</v>
      </c>
      <c r="BH367" s="14">
        <f>BE367*35.15</f>
        <v>16888655484.942158</v>
      </c>
    </row>
    <row r="368" spans="1:60" x14ac:dyDescent="0.25">
      <c r="A368" s="3">
        <v>45990</v>
      </c>
      <c r="B368" s="4">
        <v>2750876746</v>
      </c>
      <c r="C368" s="4">
        <v>137966437.47</v>
      </c>
      <c r="D368" s="4">
        <v>180198119</v>
      </c>
      <c r="E368" s="4"/>
      <c r="F368" s="17">
        <v>0</v>
      </c>
      <c r="G368" s="17">
        <v>0</v>
      </c>
      <c r="H368" s="17">
        <v>0</v>
      </c>
      <c r="I368" s="17">
        <v>116152015.8264515</v>
      </c>
      <c r="J368" s="17">
        <v>1831149.8405996659</v>
      </c>
      <c r="K368" s="17">
        <v>19983271.802948888</v>
      </c>
      <c r="L368" s="14">
        <f t="shared" si="113"/>
        <v>137966437.47000006</v>
      </c>
      <c r="M368" s="21">
        <v>0.99118747811916652</v>
      </c>
      <c r="N368" s="4">
        <v>880967.12</v>
      </c>
      <c r="O368" s="4">
        <v>32990.339999999997</v>
      </c>
      <c r="P368" s="4">
        <v>100178.16</v>
      </c>
      <c r="Q368" s="4"/>
      <c r="R368" s="14">
        <f t="shared" si="100"/>
        <v>1014135.62</v>
      </c>
      <c r="S368" s="6">
        <v>0.01</v>
      </c>
      <c r="T368" s="14">
        <f t="shared" si="101"/>
        <v>8809.6712000000007</v>
      </c>
      <c r="U368" s="14">
        <f t="shared" si="102"/>
        <v>164.95169999999999</v>
      </c>
      <c r="V368" s="14">
        <f t="shared" si="103"/>
        <v>798.85980000000018</v>
      </c>
      <c r="W368" s="14" t="str">
        <f t="shared" si="104"/>
        <v/>
      </c>
      <c r="X368" s="4">
        <v>20292.18</v>
      </c>
      <c r="Y368" s="4">
        <v>16495.169999999998</v>
      </c>
      <c r="Z368" s="4"/>
      <c r="AA368" s="14">
        <f t="shared" si="105"/>
        <v>46560.832699999999</v>
      </c>
      <c r="AB368" s="4">
        <v>99604.132799999992</v>
      </c>
      <c r="AC368" s="4">
        <v>880967.12</v>
      </c>
      <c r="AD368" s="14">
        <f t="shared" si="106"/>
        <v>16495.169999999998</v>
      </c>
      <c r="AE368" s="14">
        <f t="shared" si="107"/>
        <v>79885.98000000001</v>
      </c>
      <c r="AF368" s="14" t="str">
        <f t="shared" si="108"/>
        <v/>
      </c>
      <c r="AG368" s="15">
        <f t="shared" si="109"/>
        <v>977348.27</v>
      </c>
      <c r="AH368" s="4">
        <v>804884.51</v>
      </c>
      <c r="AI368" s="17">
        <f t="shared" si="110"/>
        <v>172463.76</v>
      </c>
      <c r="AJ368" s="7">
        <f t="shared" si="114"/>
        <v>3.2024957907728813</v>
      </c>
      <c r="AK368" s="7">
        <f t="shared" si="115"/>
        <v>2.3911859003515659</v>
      </c>
      <c r="AL368" s="7">
        <f t="shared" si="116"/>
        <v>5.5593343901664154</v>
      </c>
      <c r="AM368" s="7" t="str">
        <f t="shared" si="117"/>
        <v/>
      </c>
      <c r="AN368" s="4">
        <v>29658.644277593161</v>
      </c>
      <c r="AO368" s="4">
        <v>0</v>
      </c>
      <c r="AP368" s="14">
        <f t="shared" si="111"/>
        <v>834543.15427759313</v>
      </c>
      <c r="AQ368" s="14">
        <f t="shared" si="112"/>
        <v>804884.51</v>
      </c>
      <c r="AR368" s="8">
        <v>23024.51</v>
      </c>
      <c r="AS368" s="20">
        <v>34.957726000000001</v>
      </c>
      <c r="AT368" s="8">
        <v>36138304.140000001</v>
      </c>
      <c r="AU368" s="8">
        <v>20590.3069</v>
      </c>
      <c r="AV368" s="8">
        <v>1064.5581</v>
      </c>
      <c r="AW368" s="8"/>
      <c r="AX368" s="9">
        <v>415.86272854080369</v>
      </c>
      <c r="AY368" s="6">
        <f t="shared" si="118"/>
        <v>1.8071977849206548E-2</v>
      </c>
      <c r="AZ368" s="8">
        <v>419262757.97909999</v>
      </c>
      <c r="BA368" s="10">
        <v>60480066</v>
      </c>
      <c r="BB368" s="11">
        <v>36138304.140000001</v>
      </c>
      <c r="BC368" s="10">
        <v>2971324</v>
      </c>
      <c r="BD368" s="10">
        <f>1000000000-999492596.3274+170595.9232</f>
        <v>677999.59580003086</v>
      </c>
      <c r="BE368" s="12">
        <f t="shared" si="119"/>
        <v>480469548.28509998</v>
      </c>
      <c r="BF368" s="13">
        <v>236.254254</v>
      </c>
      <c r="BG368" s="13">
        <f t="shared" si="120"/>
        <v>244.21529428509996</v>
      </c>
      <c r="BH368" s="14">
        <f>BE368*35.1</f>
        <v>16864481144.807011</v>
      </c>
    </row>
    <row r="369" spans="1:60" x14ac:dyDescent="0.25">
      <c r="A369" s="3">
        <v>45991</v>
      </c>
      <c r="B369" s="4">
        <v>2624750722</v>
      </c>
      <c r="C369" s="4">
        <v>105422188.34999999</v>
      </c>
      <c r="D369" s="4">
        <v>189426713</v>
      </c>
      <c r="E369" s="4"/>
      <c r="F369" s="17">
        <v>0</v>
      </c>
      <c r="G369" s="17">
        <v>0</v>
      </c>
      <c r="H369" s="17">
        <v>0</v>
      </c>
      <c r="I369" s="17">
        <v>80504286.144949287</v>
      </c>
      <c r="J369" s="17">
        <v>2232015.7250887491</v>
      </c>
      <c r="K369" s="17">
        <v>22685886.479961939</v>
      </c>
      <c r="L369" s="14">
        <f t="shared" si="113"/>
        <v>105422188.34999996</v>
      </c>
      <c r="M369" s="21">
        <v>1.106240130914826</v>
      </c>
      <c r="N369" s="4">
        <v>895541.27</v>
      </c>
      <c r="O369" s="4">
        <v>23276.32</v>
      </c>
      <c r="P369" s="4">
        <v>86441.77</v>
      </c>
      <c r="Q369" s="4"/>
      <c r="R369" s="14">
        <f t="shared" ref="R369:R432" si="121">N369+O369+P369+N(Q369)</f>
        <v>1005259.36</v>
      </c>
      <c r="S369" s="6">
        <v>0.01</v>
      </c>
      <c r="T369" s="14">
        <f t="shared" ref="T369:T432" si="122">N(AC369)*S369</f>
        <v>8955.4127000000008</v>
      </c>
      <c r="U369" s="14">
        <f t="shared" ref="U369:U432" si="123">N(AD369)*S369</f>
        <v>116.38160000000001</v>
      </c>
      <c r="V369" s="14">
        <f t="shared" ref="V369:V432" si="124">N(AE369)*S369</f>
        <v>717.67610000000002</v>
      </c>
      <c r="W369" s="14" t="str">
        <f t="shared" ref="W369:W432" si="125">IF(Q369="","",N(AF369)*S369)</f>
        <v/>
      </c>
      <c r="X369" s="4">
        <v>14674.16</v>
      </c>
      <c r="Y369" s="4">
        <v>11638.16</v>
      </c>
      <c r="Z369" s="4"/>
      <c r="AA369" s="14">
        <f t="shared" ref="AA369:AA432" si="126">T369+U369+V369+N(W369)+X369+Y369+N(Z369)</f>
        <v>36101.790399999998</v>
      </c>
      <c r="AB369" s="4">
        <v>111756.9206</v>
      </c>
      <c r="AC369" s="4">
        <v>895541.27</v>
      </c>
      <c r="AD369" s="14">
        <f t="shared" ref="AD369:AD432" si="127">O369-Y369</f>
        <v>11638.16</v>
      </c>
      <c r="AE369" s="14">
        <f t="shared" ref="AE369:AE432" si="128">P369-X369</f>
        <v>71767.61</v>
      </c>
      <c r="AF369" s="14" t="str">
        <f t="shared" ref="AF369:AF432" si="129">IF(Q369="","",Q369-Z369)</f>
        <v/>
      </c>
      <c r="AG369" s="15">
        <f t="shared" ref="AG369:AG432" si="130">AC369+AD369+AE369+N(AF369)</f>
        <v>978947.04</v>
      </c>
      <c r="AH369" s="4">
        <v>791553.71</v>
      </c>
      <c r="AI369" s="17">
        <f t="shared" ref="AI369:AI432" si="131">AG369-AH369</f>
        <v>187393.33000000007</v>
      </c>
      <c r="AJ369" s="7">
        <f t="shared" si="114"/>
        <v>3.4119097958286035</v>
      </c>
      <c r="AK369" s="7">
        <f t="shared" si="115"/>
        <v>2.2079147060316173</v>
      </c>
      <c r="AL369" s="7">
        <f t="shared" si="116"/>
        <v>4.5633357952001203</v>
      </c>
      <c r="AM369" s="7" t="str">
        <f t="shared" si="117"/>
        <v/>
      </c>
      <c r="AN369" s="4">
        <v>11668.0672943883</v>
      </c>
      <c r="AO369" s="4">
        <v>0</v>
      </c>
      <c r="AP369" s="14">
        <f t="shared" ref="AP369:AP432" si="132">AH369+AN369+AO369</f>
        <v>803221.77729438827</v>
      </c>
      <c r="AQ369" s="14">
        <f t="shared" ref="AQ369:AQ432" si="133">AH369</f>
        <v>791553.71</v>
      </c>
      <c r="AR369" s="8">
        <v>23691.4</v>
      </c>
      <c r="AS369" s="20">
        <v>33.411014999999999</v>
      </c>
      <c r="AT369" s="8">
        <v>36170343.659999996</v>
      </c>
      <c r="AU369" s="8">
        <v>25920.784500000002</v>
      </c>
      <c r="AV369" s="8">
        <v>407.83150000000001</v>
      </c>
      <c r="AW369" s="8"/>
      <c r="AX369" s="9">
        <v>417.56316734295831</v>
      </c>
      <c r="AY369" s="6">
        <f t="shared" si="118"/>
        <v>2.2657856541090225E-2</v>
      </c>
      <c r="AZ369" s="8">
        <v>419236837.19459999</v>
      </c>
      <c r="BA369" s="10">
        <v>60480066</v>
      </c>
      <c r="BB369" s="11">
        <v>36170343.659999996</v>
      </c>
      <c r="BC369" s="10">
        <v>2971324</v>
      </c>
      <c r="BD369" s="10">
        <f>1000000000-999492188.4959+170935.1901</f>
        <v>678746.6941999651</v>
      </c>
      <c r="BE369" s="12">
        <f t="shared" si="119"/>
        <v>480462682.45120007</v>
      </c>
      <c r="BF369" s="13">
        <v>236.254254</v>
      </c>
      <c r="BG369" s="13">
        <f t="shared" si="120"/>
        <v>244.20842845120006</v>
      </c>
      <c r="BH369" s="14">
        <f>BE369*34.39</f>
        <v>16523111649.496771</v>
      </c>
    </row>
    <row r="370" spans="1:60" x14ac:dyDescent="0.25">
      <c r="A370" s="3">
        <v>45992</v>
      </c>
      <c r="B370" s="4">
        <v>10016982472</v>
      </c>
      <c r="C370" s="4">
        <v>395456166.87</v>
      </c>
      <c r="D370" s="4">
        <v>326729098</v>
      </c>
      <c r="E370" s="4"/>
      <c r="F370" s="17">
        <v>0</v>
      </c>
      <c r="G370" s="17">
        <v>0</v>
      </c>
      <c r="H370" s="17">
        <v>0</v>
      </c>
      <c r="I370" s="17">
        <v>236700738.9116379</v>
      </c>
      <c r="J370" s="17">
        <v>519421.05934286671</v>
      </c>
      <c r="K370" s="17">
        <v>158236006.89901921</v>
      </c>
      <c r="L370" s="14">
        <f t="shared" si="113"/>
        <v>395456166.87</v>
      </c>
      <c r="M370" s="21">
        <v>0.98499650895704494</v>
      </c>
      <c r="N370" s="4">
        <v>3301055.72</v>
      </c>
      <c r="O370" s="4">
        <v>59511.86</v>
      </c>
      <c r="P370" s="4">
        <v>192756.04</v>
      </c>
      <c r="Q370" s="4"/>
      <c r="R370" s="14">
        <f t="shared" si="121"/>
        <v>3553323.62</v>
      </c>
      <c r="S370" s="6">
        <v>0.01</v>
      </c>
      <c r="T370" s="14">
        <f t="shared" si="122"/>
        <v>33010.557200000003</v>
      </c>
      <c r="U370" s="14">
        <f t="shared" si="123"/>
        <v>297.55930000000001</v>
      </c>
      <c r="V370" s="14">
        <f t="shared" si="124"/>
        <v>1490.586</v>
      </c>
      <c r="W370" s="14" t="str">
        <f t="shared" si="125"/>
        <v/>
      </c>
      <c r="X370" s="4">
        <v>43697.440000000002</v>
      </c>
      <c r="Y370" s="4">
        <v>29755.93</v>
      </c>
      <c r="Z370" s="4"/>
      <c r="AA370" s="14">
        <f t="shared" si="126"/>
        <v>108252.07250000001</v>
      </c>
      <c r="AB370" s="4">
        <v>416797.15299999999</v>
      </c>
      <c r="AC370" s="4">
        <v>3301055.72</v>
      </c>
      <c r="AD370" s="14">
        <f t="shared" si="127"/>
        <v>29755.93</v>
      </c>
      <c r="AE370" s="14">
        <f t="shared" si="128"/>
        <v>149058.6</v>
      </c>
      <c r="AF370" s="14" t="str">
        <f t="shared" si="129"/>
        <v/>
      </c>
      <c r="AG370" s="15">
        <f t="shared" si="130"/>
        <v>3479870.2500000005</v>
      </c>
      <c r="AH370" s="4">
        <v>2849206.8</v>
      </c>
      <c r="AI370" s="17">
        <f t="shared" si="131"/>
        <v>630663.45000000065</v>
      </c>
      <c r="AJ370" s="7">
        <f t="shared" si="114"/>
        <v>3.2954592156143692</v>
      </c>
      <c r="AK370" s="7">
        <f t="shared" si="115"/>
        <v>1.5048914389433099</v>
      </c>
      <c r="AL370" s="7">
        <f t="shared" si="116"/>
        <v>5.8995675983533005</v>
      </c>
      <c r="AM370" s="7" t="str">
        <f t="shared" si="117"/>
        <v/>
      </c>
      <c r="AN370" s="4">
        <v>34588.228264126999</v>
      </c>
      <c r="AO370" s="4">
        <v>0</v>
      </c>
      <c r="AP370" s="14">
        <f t="shared" si="132"/>
        <v>2883795.0282641267</v>
      </c>
      <c r="AQ370" s="14">
        <f t="shared" si="133"/>
        <v>2849206.8</v>
      </c>
      <c r="AR370" s="8">
        <v>93343.039999999994</v>
      </c>
      <c r="AS370" s="20">
        <v>30.524041</v>
      </c>
      <c r="AT370" s="8">
        <v>36256264.960000001</v>
      </c>
      <c r="AU370" s="8">
        <v>26009.996899999998</v>
      </c>
      <c r="AV370" s="8">
        <v>1190.3492000000001</v>
      </c>
      <c r="AW370" s="8"/>
      <c r="AX370" s="9">
        <v>417.23496247657312</v>
      </c>
      <c r="AY370" s="6">
        <f t="shared" si="118"/>
        <v>2.2753723254994598E-2</v>
      </c>
      <c r="AZ370" s="8">
        <v>419210827.19770002</v>
      </c>
      <c r="BA370" s="10">
        <v>60480066</v>
      </c>
      <c r="BB370" s="11">
        <v>36256264.960000001</v>
      </c>
      <c r="BC370" s="10">
        <v>2971324</v>
      </c>
      <c r="BD370" s="10">
        <f>1000000000-999490998.1467+172044.1781</f>
        <v>681046.03139997541</v>
      </c>
      <c r="BE370" s="12">
        <f t="shared" si="119"/>
        <v>480400471.81090003</v>
      </c>
      <c r="BF370" s="13">
        <v>236.254254</v>
      </c>
      <c r="BG370" s="13">
        <f t="shared" si="120"/>
        <v>244.14621781090005</v>
      </c>
      <c r="BH370" s="14">
        <f>BE370*31.17</f>
        <v>14974082706.345755</v>
      </c>
    </row>
    <row r="371" spans="1:60" x14ac:dyDescent="0.25">
      <c r="A371" s="3">
        <v>45993</v>
      </c>
      <c r="B371" s="4">
        <v>7552386592</v>
      </c>
      <c r="C371" s="4">
        <v>380315270.55000001</v>
      </c>
      <c r="D371" s="4">
        <v>303272605</v>
      </c>
      <c r="E371" s="4"/>
      <c r="F371" s="17">
        <v>0</v>
      </c>
      <c r="G371" s="17">
        <v>0</v>
      </c>
      <c r="H371" s="17">
        <v>0</v>
      </c>
      <c r="I371" s="17">
        <v>217302104.20114601</v>
      </c>
      <c r="J371" s="17">
        <v>1362889.3840155259</v>
      </c>
      <c r="K371" s="17">
        <v>161650276.9648385</v>
      </c>
      <c r="L371" s="14">
        <f t="shared" si="113"/>
        <v>380315270.55000007</v>
      </c>
      <c r="M371" s="21">
        <v>1.004883404656886</v>
      </c>
      <c r="N371" s="4">
        <v>2461686.88</v>
      </c>
      <c r="O371" s="4">
        <v>62392.08</v>
      </c>
      <c r="P371" s="4">
        <v>147652.49</v>
      </c>
      <c r="Q371" s="4"/>
      <c r="R371" s="14">
        <f t="shared" si="121"/>
        <v>2671731.4500000002</v>
      </c>
      <c r="S371" s="6">
        <v>0.01</v>
      </c>
      <c r="T371" s="14">
        <f t="shared" si="122"/>
        <v>24616.8688</v>
      </c>
      <c r="U371" s="14">
        <f t="shared" si="123"/>
        <v>311.96039999999999</v>
      </c>
      <c r="V371" s="14">
        <f t="shared" si="124"/>
        <v>1127.07</v>
      </c>
      <c r="W371" s="14" t="str">
        <f t="shared" si="125"/>
        <v/>
      </c>
      <c r="X371" s="4">
        <v>34945.49</v>
      </c>
      <c r="Y371" s="4">
        <v>31196.04</v>
      </c>
      <c r="Z371" s="4"/>
      <c r="AA371" s="14">
        <f t="shared" si="126"/>
        <v>92197.429199999999</v>
      </c>
      <c r="AB371" s="4">
        <v>293970.72230000002</v>
      </c>
      <c r="AC371" s="4">
        <v>2461686.88</v>
      </c>
      <c r="AD371" s="14">
        <f t="shared" si="127"/>
        <v>31196.04</v>
      </c>
      <c r="AE371" s="14">
        <f t="shared" si="128"/>
        <v>112707</v>
      </c>
      <c r="AF371" s="14" t="str">
        <f t="shared" si="129"/>
        <v/>
      </c>
      <c r="AG371" s="15">
        <f t="shared" si="130"/>
        <v>2605589.92</v>
      </c>
      <c r="AH371" s="4">
        <v>2194924.87</v>
      </c>
      <c r="AI371" s="17">
        <f t="shared" si="131"/>
        <v>410665.04999999981</v>
      </c>
      <c r="AJ371" s="7">
        <f t="shared" si="114"/>
        <v>3.2594820855801867</v>
      </c>
      <c r="AK371" s="7">
        <f t="shared" si="115"/>
        <v>1.6405357562890004</v>
      </c>
      <c r="AL371" s="7">
        <f t="shared" si="116"/>
        <v>4.868639223117432</v>
      </c>
      <c r="AM371" s="7" t="str">
        <f t="shared" si="117"/>
        <v/>
      </c>
      <c r="AN371" s="4">
        <v>37473.698308585626</v>
      </c>
      <c r="AO371" s="4">
        <v>0</v>
      </c>
      <c r="AP371" s="14">
        <f t="shared" si="132"/>
        <v>2232398.5683085858</v>
      </c>
      <c r="AQ371" s="14">
        <f t="shared" si="133"/>
        <v>2194924.87</v>
      </c>
      <c r="AR371" s="8">
        <v>67716.160000000003</v>
      </c>
      <c r="AS371" s="20">
        <v>32.413604999999997</v>
      </c>
      <c r="AT371" s="8">
        <v>36323946.130000003</v>
      </c>
      <c r="AU371" s="8">
        <v>25997.610199999999</v>
      </c>
      <c r="AV371" s="8">
        <v>1385.634</v>
      </c>
      <c r="AW371" s="8"/>
      <c r="AX371" s="9">
        <v>416.71131852592129</v>
      </c>
      <c r="AY371" s="6">
        <f t="shared" si="118"/>
        <v>2.2771466243266279E-2</v>
      </c>
      <c r="AZ371" s="8">
        <v>419184829.58749998</v>
      </c>
      <c r="BA371" s="10">
        <v>60480066</v>
      </c>
      <c r="BB371" s="11">
        <v>36323946.130000003</v>
      </c>
      <c r="BC371" s="10">
        <v>2971324</v>
      </c>
      <c r="BD371" s="10">
        <f>1000000000-999489612.5128+173245.4507</f>
        <v>683632.93790002167</v>
      </c>
      <c r="BE371" s="12">
        <f t="shared" si="119"/>
        <v>480356201.34460002</v>
      </c>
      <c r="BF371" s="13">
        <v>236.254254</v>
      </c>
      <c r="BG371" s="13">
        <f t="shared" si="120"/>
        <v>244.10194734460003</v>
      </c>
      <c r="BH371" s="14">
        <f>BE371*31.19</f>
        <v>14982309919.938076</v>
      </c>
    </row>
    <row r="372" spans="1:60" x14ac:dyDescent="0.25">
      <c r="A372" s="3">
        <v>45994</v>
      </c>
      <c r="B372" s="4">
        <v>6887438166</v>
      </c>
      <c r="C372" s="4">
        <v>407911152.35000002</v>
      </c>
      <c r="D372" s="4">
        <v>217351900</v>
      </c>
      <c r="E372" s="4"/>
      <c r="F372" s="17">
        <v>0</v>
      </c>
      <c r="G372" s="17">
        <v>91.56126748013952</v>
      </c>
      <c r="H372" s="17">
        <v>0</v>
      </c>
      <c r="I372" s="17">
        <v>244346398.33445171</v>
      </c>
      <c r="J372" s="17">
        <v>3041137.4896980398</v>
      </c>
      <c r="K372" s="17">
        <v>160523524.96458271</v>
      </c>
      <c r="L372" s="14">
        <f t="shared" si="113"/>
        <v>407911152.3499999</v>
      </c>
      <c r="M372" s="21">
        <v>0.99913736093609795</v>
      </c>
      <c r="N372" s="4">
        <v>2275868.75</v>
      </c>
      <c r="O372" s="4">
        <v>58834.94</v>
      </c>
      <c r="P372" s="4">
        <v>106820.59</v>
      </c>
      <c r="Q372" s="4"/>
      <c r="R372" s="14">
        <f t="shared" si="121"/>
        <v>2441524.2799999998</v>
      </c>
      <c r="S372" s="6">
        <v>0.01</v>
      </c>
      <c r="T372" s="14">
        <f t="shared" si="122"/>
        <v>22758.6875</v>
      </c>
      <c r="U372" s="14">
        <f t="shared" si="123"/>
        <v>294.17470000000003</v>
      </c>
      <c r="V372" s="14">
        <f t="shared" si="124"/>
        <v>862.97580000000005</v>
      </c>
      <c r="W372" s="14" t="str">
        <f t="shared" si="125"/>
        <v/>
      </c>
      <c r="X372" s="4">
        <v>20523.009999999998</v>
      </c>
      <c r="Y372" s="4">
        <v>29417.47</v>
      </c>
      <c r="Z372" s="4"/>
      <c r="AA372" s="14">
        <f t="shared" si="126"/>
        <v>73856.317999999999</v>
      </c>
      <c r="AB372" s="4">
        <v>267308.99349999998</v>
      </c>
      <c r="AC372" s="4">
        <v>2275868.75</v>
      </c>
      <c r="AD372" s="14">
        <f t="shared" si="127"/>
        <v>29417.47</v>
      </c>
      <c r="AE372" s="14">
        <f t="shared" si="128"/>
        <v>86297.58</v>
      </c>
      <c r="AF372" s="14" t="str">
        <f t="shared" si="129"/>
        <v/>
      </c>
      <c r="AG372" s="15">
        <f t="shared" si="130"/>
        <v>2391583.8000000003</v>
      </c>
      <c r="AH372" s="4">
        <v>2079489.72</v>
      </c>
      <c r="AI372" s="17">
        <f t="shared" si="131"/>
        <v>312094.08000000031</v>
      </c>
      <c r="AJ372" s="7">
        <f t="shared" si="114"/>
        <v>3.3043763082112005</v>
      </c>
      <c r="AK372" s="7">
        <f t="shared" si="115"/>
        <v>1.4423469341558441</v>
      </c>
      <c r="AL372" s="7">
        <f t="shared" si="116"/>
        <v>4.9146379672779492</v>
      </c>
      <c r="AM372" s="7" t="str">
        <f t="shared" si="117"/>
        <v/>
      </c>
      <c r="AN372" s="4">
        <v>25092.22544406612</v>
      </c>
      <c r="AO372" s="4">
        <v>0</v>
      </c>
      <c r="AP372" s="14">
        <f t="shared" si="132"/>
        <v>2104581.9454440661</v>
      </c>
      <c r="AQ372" s="14">
        <f t="shared" si="133"/>
        <v>2079489.72</v>
      </c>
      <c r="AR372" s="8">
        <v>60797.55</v>
      </c>
      <c r="AS372" s="20">
        <v>34.203512000000003</v>
      </c>
      <c r="AT372" s="8">
        <v>36384895.82</v>
      </c>
      <c r="AU372" s="8">
        <v>25968.524399999998</v>
      </c>
      <c r="AV372" s="8">
        <v>1964.9548</v>
      </c>
      <c r="AW372" s="8"/>
      <c r="AX372" s="9">
        <v>415.89776210375322</v>
      </c>
      <c r="AY372" s="6">
        <f t="shared" si="118"/>
        <v>2.2790484272034658E-2</v>
      </c>
      <c r="AZ372" s="8">
        <v>419158861.06309998</v>
      </c>
      <c r="BA372" s="10">
        <v>60480066</v>
      </c>
      <c r="BB372" s="11">
        <v>36384895.82</v>
      </c>
      <c r="BC372" s="10">
        <v>2971324</v>
      </c>
      <c r="BD372" s="10">
        <f>1000000000-999487647.558+173990.9341</f>
        <v>686343.37610003143</v>
      </c>
      <c r="BE372" s="12">
        <f t="shared" si="119"/>
        <v>480318509.74080002</v>
      </c>
      <c r="BF372" s="13">
        <v>236.254254</v>
      </c>
      <c r="BG372" s="13">
        <f t="shared" si="120"/>
        <v>244.06425574080004</v>
      </c>
      <c r="BH372" s="14">
        <f>BE372*33.65</f>
        <v>16162717852.77792</v>
      </c>
    </row>
    <row r="373" spans="1:60" x14ac:dyDescent="0.25">
      <c r="A373" s="3">
        <v>45995</v>
      </c>
      <c r="B373" s="4">
        <v>5796923544</v>
      </c>
      <c r="C373" s="4">
        <v>513771371.33999997</v>
      </c>
      <c r="D373" s="4">
        <v>189081894</v>
      </c>
      <c r="E373" s="4"/>
      <c r="F373" s="17">
        <v>0</v>
      </c>
      <c r="G373" s="17">
        <v>14.124356749469889</v>
      </c>
      <c r="H373" s="17">
        <v>0</v>
      </c>
      <c r="I373" s="17">
        <v>343529968.13408911</v>
      </c>
      <c r="J373" s="17">
        <v>1932858.0028055881</v>
      </c>
      <c r="K373" s="17">
        <v>168308531.07874849</v>
      </c>
      <c r="L373" s="14">
        <f t="shared" si="113"/>
        <v>513771371.33999991</v>
      </c>
      <c r="M373" s="21">
        <v>1.0029224004111199</v>
      </c>
      <c r="N373" s="4">
        <v>1922057.45</v>
      </c>
      <c r="O373" s="4">
        <v>74183.62</v>
      </c>
      <c r="P373" s="4">
        <v>100008.31</v>
      </c>
      <c r="Q373" s="4"/>
      <c r="R373" s="14">
        <f t="shared" si="121"/>
        <v>2096249.38</v>
      </c>
      <c r="S373" s="6">
        <v>0.01</v>
      </c>
      <c r="T373" s="14">
        <f t="shared" si="122"/>
        <v>19220.574499999999</v>
      </c>
      <c r="U373" s="14">
        <f t="shared" si="123"/>
        <v>370.91809999999998</v>
      </c>
      <c r="V373" s="14">
        <f t="shared" si="124"/>
        <v>807.89279999999997</v>
      </c>
      <c r="W373" s="14" t="str">
        <f t="shared" si="125"/>
        <v/>
      </c>
      <c r="X373" s="4">
        <v>19219.03</v>
      </c>
      <c r="Y373" s="4">
        <v>37091.81</v>
      </c>
      <c r="Z373" s="4"/>
      <c r="AA373" s="14">
        <f t="shared" si="126"/>
        <v>76710.225399999996</v>
      </c>
      <c r="AB373" s="4">
        <v>249977.533</v>
      </c>
      <c r="AC373" s="4">
        <v>1922057.45</v>
      </c>
      <c r="AD373" s="14">
        <f t="shared" si="127"/>
        <v>37091.81</v>
      </c>
      <c r="AE373" s="14">
        <f t="shared" si="128"/>
        <v>80789.279999999999</v>
      </c>
      <c r="AF373" s="14" t="str">
        <f t="shared" si="129"/>
        <v/>
      </c>
      <c r="AG373" s="15">
        <f t="shared" si="130"/>
        <v>2039938.54</v>
      </c>
      <c r="AH373" s="4">
        <v>1663937.63</v>
      </c>
      <c r="AI373" s="17">
        <f t="shared" si="131"/>
        <v>376000.91000000015</v>
      </c>
      <c r="AJ373" s="7">
        <f t="shared" si="114"/>
        <v>3.3156508541317411</v>
      </c>
      <c r="AK373" s="7">
        <f t="shared" si="115"/>
        <v>1.4439033418019567</v>
      </c>
      <c r="AL373" s="7">
        <f t="shared" si="116"/>
        <v>5.2891531750787308</v>
      </c>
      <c r="AM373" s="7" t="str">
        <f t="shared" si="117"/>
        <v/>
      </c>
      <c r="AN373" s="4">
        <v>19057.203215924801</v>
      </c>
      <c r="AO373" s="4">
        <v>0</v>
      </c>
      <c r="AP373" s="14">
        <f t="shared" si="132"/>
        <v>1682994.8332159247</v>
      </c>
      <c r="AQ373" s="14">
        <f t="shared" si="133"/>
        <v>1663937.63</v>
      </c>
      <c r="AR373" s="8">
        <v>48186.92</v>
      </c>
      <c r="AS373" s="20">
        <v>34.530898000000001</v>
      </c>
      <c r="AT373" s="8">
        <v>36432787.689999998</v>
      </c>
      <c r="AU373" s="8">
        <v>25970.202700000002</v>
      </c>
      <c r="AV373" s="8">
        <v>630.43759999999997</v>
      </c>
      <c r="AW373" s="8"/>
      <c r="AX373" s="9">
        <v>416.07983965947278</v>
      </c>
      <c r="AY373" s="6">
        <f t="shared" si="118"/>
        <v>2.2781983364678005E-2</v>
      </c>
      <c r="AZ373" s="8">
        <v>419132890.86040002</v>
      </c>
      <c r="BA373" s="10">
        <v>60480066</v>
      </c>
      <c r="BB373" s="11">
        <v>36432787.689999998</v>
      </c>
      <c r="BC373" s="10">
        <v>2971324</v>
      </c>
      <c r="BD373" s="10">
        <f>1000000000-999487017.1204+174542.4695</f>
        <v>687525.34910004807</v>
      </c>
      <c r="BE373" s="12">
        <f t="shared" si="119"/>
        <v>480295406.10049999</v>
      </c>
      <c r="BF373" s="13">
        <v>236.254254</v>
      </c>
      <c r="BG373" s="13">
        <f t="shared" si="120"/>
        <v>244.04115210049997</v>
      </c>
      <c r="BH373" s="14">
        <f>BE373*34.56</f>
        <v>16599009234.833281</v>
      </c>
    </row>
    <row r="374" spans="1:60" x14ac:dyDescent="0.25">
      <c r="A374" s="3">
        <v>45996</v>
      </c>
      <c r="B374" s="4">
        <v>7062828513</v>
      </c>
      <c r="C374" s="4">
        <v>336262128.31999999</v>
      </c>
      <c r="D374" s="4">
        <v>209195208</v>
      </c>
      <c r="E374" s="4"/>
      <c r="F374" s="17">
        <v>0</v>
      </c>
      <c r="G374" s="17">
        <v>266.80886257962243</v>
      </c>
      <c r="H374" s="17">
        <v>0</v>
      </c>
      <c r="I374" s="17">
        <v>184705302.38232231</v>
      </c>
      <c r="J374" s="17">
        <v>1342960.6782912959</v>
      </c>
      <c r="K374" s="17">
        <v>150213598.45052379</v>
      </c>
      <c r="L374" s="14">
        <f t="shared" si="113"/>
        <v>336262128.31999993</v>
      </c>
      <c r="M374" s="21">
        <v>0.98572669558708881</v>
      </c>
      <c r="N374" s="4">
        <v>2234827.25</v>
      </c>
      <c r="O374" s="4">
        <v>49265.120000000003</v>
      </c>
      <c r="P374" s="4">
        <v>104292.82</v>
      </c>
      <c r="Q374" s="4"/>
      <c r="R374" s="14">
        <f t="shared" si="121"/>
        <v>2388385.19</v>
      </c>
      <c r="S374" s="6">
        <v>0.01</v>
      </c>
      <c r="T374" s="14">
        <f t="shared" si="122"/>
        <v>22348.272499999999</v>
      </c>
      <c r="U374" s="14">
        <f t="shared" si="123"/>
        <v>246.32560000000001</v>
      </c>
      <c r="V374" s="14">
        <f t="shared" si="124"/>
        <v>866.10249999999996</v>
      </c>
      <c r="W374" s="14" t="str">
        <f t="shared" si="125"/>
        <v/>
      </c>
      <c r="X374" s="4">
        <v>17682.57</v>
      </c>
      <c r="Y374" s="4">
        <v>24632.560000000001</v>
      </c>
      <c r="Z374" s="4"/>
      <c r="AA374" s="14">
        <f t="shared" si="126"/>
        <v>65775.830600000001</v>
      </c>
      <c r="AB374" s="4">
        <v>225389.7421</v>
      </c>
      <c r="AC374" s="4">
        <v>2234827.25</v>
      </c>
      <c r="AD374" s="14">
        <f t="shared" si="127"/>
        <v>24632.560000000001</v>
      </c>
      <c r="AE374" s="14">
        <f t="shared" si="128"/>
        <v>86610.25</v>
      </c>
      <c r="AF374" s="14" t="str">
        <f t="shared" si="129"/>
        <v/>
      </c>
      <c r="AG374" s="15">
        <f t="shared" si="130"/>
        <v>2346070.06</v>
      </c>
      <c r="AH374" s="4">
        <v>2000314.57</v>
      </c>
      <c r="AI374" s="17">
        <f t="shared" si="131"/>
        <v>345755.49</v>
      </c>
      <c r="AJ374" s="7">
        <f t="shared" si="114"/>
        <v>3.1642099845501375</v>
      </c>
      <c r="AK374" s="7">
        <f t="shared" si="115"/>
        <v>1.4650808357793244</v>
      </c>
      <c r="AL374" s="7">
        <f t="shared" si="116"/>
        <v>4.9854306414131635</v>
      </c>
      <c r="AM374" s="7" t="str">
        <f t="shared" si="117"/>
        <v/>
      </c>
      <c r="AN374" s="4">
        <v>17560.316350410481</v>
      </c>
      <c r="AO374" s="4">
        <v>0</v>
      </c>
      <c r="AP374" s="14">
        <f t="shared" si="132"/>
        <v>2017874.8863504105</v>
      </c>
      <c r="AQ374" s="14">
        <f t="shared" si="133"/>
        <v>2000314.57</v>
      </c>
      <c r="AR374" s="8">
        <v>63142.73</v>
      </c>
      <c r="AS374" s="20">
        <v>31.679254</v>
      </c>
      <c r="AT374" s="8">
        <v>36495511.640000001</v>
      </c>
      <c r="AU374" s="8">
        <v>26286.838800000001</v>
      </c>
      <c r="AV374" s="8">
        <v>1171.0210999999999</v>
      </c>
      <c r="AW374" s="8"/>
      <c r="AX374" s="9">
        <v>430.72448577945801</v>
      </c>
      <c r="AY374" s="6">
        <f t="shared" si="118"/>
        <v>2.2275715634408423E-2</v>
      </c>
      <c r="AZ374" s="8">
        <v>419106604.02160001</v>
      </c>
      <c r="BA374" s="10">
        <v>60480066</v>
      </c>
      <c r="BB374" s="11">
        <v>36495511.640000001</v>
      </c>
      <c r="BC374" s="10">
        <v>2971324</v>
      </c>
      <c r="BD374" s="10">
        <f>1000000000-999485846.0993+175066.9712</f>
        <v>689220.87189997314</v>
      </c>
      <c r="BE374" s="12">
        <f t="shared" si="119"/>
        <v>480257273.46650004</v>
      </c>
      <c r="BF374" s="13">
        <v>236.254254</v>
      </c>
      <c r="BG374" s="13">
        <f t="shared" si="120"/>
        <v>244.00301946650006</v>
      </c>
      <c r="BH374" s="14">
        <f>BE374*33.49</f>
        <v>16083816088.393087</v>
      </c>
    </row>
    <row r="375" spans="1:60" x14ac:dyDescent="0.25">
      <c r="A375" s="3">
        <v>45997</v>
      </c>
      <c r="B375" s="4">
        <v>2331427886</v>
      </c>
      <c r="C375" s="4">
        <v>60203119.210000001</v>
      </c>
      <c r="D375" s="4">
        <v>108083988</v>
      </c>
      <c r="E375" s="4"/>
      <c r="F375" s="17">
        <v>0</v>
      </c>
      <c r="G375" s="17">
        <v>1586.170937316311</v>
      </c>
      <c r="H375" s="17">
        <v>0</v>
      </c>
      <c r="I375" s="17">
        <v>45622348.880127713</v>
      </c>
      <c r="J375" s="17">
        <v>1629536.496580523</v>
      </c>
      <c r="K375" s="17">
        <v>12949647.66235446</v>
      </c>
      <c r="L375" s="14">
        <f t="shared" si="113"/>
        <v>60203119.210000016</v>
      </c>
      <c r="M375" s="21">
        <v>0.96468476125956892</v>
      </c>
      <c r="N375" s="4">
        <v>785801.63</v>
      </c>
      <c r="O375" s="4">
        <v>13793.02</v>
      </c>
      <c r="P375" s="4">
        <v>59451.32</v>
      </c>
      <c r="Q375" s="4"/>
      <c r="R375" s="14">
        <f t="shared" si="121"/>
        <v>859045.97</v>
      </c>
      <c r="S375" s="6">
        <v>0.01</v>
      </c>
      <c r="T375" s="14">
        <f t="shared" si="122"/>
        <v>7858.0163000000002</v>
      </c>
      <c r="U375" s="14">
        <f t="shared" si="123"/>
        <v>68.965100000000007</v>
      </c>
      <c r="V375" s="14">
        <f t="shared" si="124"/>
        <v>468.18949999999995</v>
      </c>
      <c r="W375" s="14" t="str">
        <f t="shared" si="125"/>
        <v/>
      </c>
      <c r="X375" s="4">
        <v>12632.37</v>
      </c>
      <c r="Y375" s="4">
        <v>6896.51</v>
      </c>
      <c r="Z375" s="4"/>
      <c r="AA375" s="14">
        <f t="shared" si="126"/>
        <v>27924.050900000002</v>
      </c>
      <c r="AB375" s="4">
        <v>100599.79029999999</v>
      </c>
      <c r="AC375" s="4">
        <v>785801.63</v>
      </c>
      <c r="AD375" s="14">
        <f t="shared" si="127"/>
        <v>6896.51</v>
      </c>
      <c r="AE375" s="14">
        <f t="shared" si="128"/>
        <v>46818.95</v>
      </c>
      <c r="AF375" s="14" t="str">
        <f t="shared" si="129"/>
        <v/>
      </c>
      <c r="AG375" s="15">
        <f t="shared" si="130"/>
        <v>839517.09</v>
      </c>
      <c r="AH375" s="4">
        <v>673471.5</v>
      </c>
      <c r="AI375" s="17">
        <f t="shared" si="131"/>
        <v>166045.58999999997</v>
      </c>
      <c r="AJ375" s="7">
        <f t="shared" si="114"/>
        <v>3.370473668598815</v>
      </c>
      <c r="AK375" s="7">
        <f t="shared" si="115"/>
        <v>2.2910806252226412</v>
      </c>
      <c r="AL375" s="7">
        <f t="shared" si="116"/>
        <v>5.5004743163251888</v>
      </c>
      <c r="AM375" s="7" t="str">
        <f t="shared" si="117"/>
        <v/>
      </c>
      <c r="AN375" s="4">
        <v>6180.491115620589</v>
      </c>
      <c r="AO375" s="4">
        <v>0</v>
      </c>
      <c r="AP375" s="14">
        <f t="shared" si="132"/>
        <v>679651.99111562059</v>
      </c>
      <c r="AQ375" s="14">
        <f t="shared" si="133"/>
        <v>673471.5</v>
      </c>
      <c r="AR375" s="8">
        <v>21702.43</v>
      </c>
      <c r="AS375" s="20">
        <v>31.032077999999998</v>
      </c>
      <c r="AT375" s="8">
        <v>36516646.109999999</v>
      </c>
      <c r="AU375" s="8">
        <v>26453.385300000002</v>
      </c>
      <c r="AV375" s="8">
        <v>1209.6382000000001</v>
      </c>
      <c r="AW375" s="8">
        <v>0</v>
      </c>
      <c r="AX375" s="9">
        <v>431.36973532168378</v>
      </c>
      <c r="AY375" s="6">
        <f t="shared" si="118"/>
        <v>2.2383317242457103E-2</v>
      </c>
      <c r="AZ375" s="8">
        <v>419080150.63630003</v>
      </c>
      <c r="BA375" s="10">
        <v>60480066</v>
      </c>
      <c r="BB375" s="11">
        <v>36516646.109999999</v>
      </c>
      <c r="BC375" s="10">
        <v>2971324</v>
      </c>
      <c r="BD375" s="10">
        <f>1000000000-999484636.4611+175268.612</f>
        <v>690632.1509000177</v>
      </c>
      <c r="BE375" s="12">
        <f t="shared" si="119"/>
        <v>480261181.10279989</v>
      </c>
      <c r="BF375" s="13">
        <v>236.254254</v>
      </c>
      <c r="BG375" s="13">
        <f t="shared" si="120"/>
        <v>244.00692710279986</v>
      </c>
      <c r="BH375" s="14">
        <f>BE375*30.66</f>
        <v>14724807812.611845</v>
      </c>
    </row>
    <row r="376" spans="1:60" x14ac:dyDescent="0.25">
      <c r="A376" s="3">
        <v>45998</v>
      </c>
      <c r="B376" s="4">
        <v>6050637351</v>
      </c>
      <c r="C376" s="4">
        <v>102735686.84</v>
      </c>
      <c r="D376" s="4">
        <v>179695169</v>
      </c>
      <c r="E376" s="4"/>
      <c r="F376" s="17">
        <v>0</v>
      </c>
      <c r="G376" s="17">
        <v>105.9747420871936</v>
      </c>
      <c r="H376" s="17">
        <v>0</v>
      </c>
      <c r="I376" s="17">
        <v>89218263.899833813</v>
      </c>
      <c r="J376" s="17">
        <v>791616.98663552071</v>
      </c>
      <c r="K376" s="17">
        <v>12725699.97878856</v>
      </c>
      <c r="L376" s="14">
        <f t="shared" si="113"/>
        <v>102735686.83999997</v>
      </c>
      <c r="M376" s="21">
        <v>1.052049783019539</v>
      </c>
      <c r="N376" s="4">
        <v>2132672.38</v>
      </c>
      <c r="O376" s="4">
        <v>23116.68</v>
      </c>
      <c r="P376" s="4">
        <v>102840.56</v>
      </c>
      <c r="Q376" s="4"/>
      <c r="R376" s="14">
        <f t="shared" si="121"/>
        <v>2258629.62</v>
      </c>
      <c r="S376" s="6">
        <v>0.01</v>
      </c>
      <c r="T376" s="14">
        <f t="shared" si="122"/>
        <v>21326.7238</v>
      </c>
      <c r="U376" s="14">
        <f t="shared" si="123"/>
        <v>115.5834</v>
      </c>
      <c r="V376" s="14">
        <f t="shared" si="124"/>
        <v>900.52819999999997</v>
      </c>
      <c r="W376" s="14" t="str">
        <f t="shared" si="125"/>
        <v/>
      </c>
      <c r="X376" s="4">
        <v>12787.74</v>
      </c>
      <c r="Y376" s="4">
        <v>11558.34</v>
      </c>
      <c r="Z376" s="4"/>
      <c r="AA376" s="14">
        <f t="shared" si="126"/>
        <v>46688.915399999998</v>
      </c>
      <c r="AB376" s="4">
        <v>167923.61470000001</v>
      </c>
      <c r="AC376" s="4">
        <v>2132672.38</v>
      </c>
      <c r="AD376" s="14">
        <f t="shared" si="127"/>
        <v>11558.34</v>
      </c>
      <c r="AE376" s="14">
        <f t="shared" si="128"/>
        <v>90052.819999999992</v>
      </c>
      <c r="AF376" s="14" t="str">
        <f t="shared" si="129"/>
        <v/>
      </c>
      <c r="AG376" s="15">
        <f t="shared" si="130"/>
        <v>2234283.5399999996</v>
      </c>
      <c r="AH376" s="4">
        <v>1720821.46</v>
      </c>
      <c r="AI376" s="17">
        <f t="shared" si="131"/>
        <v>513462.07999999961</v>
      </c>
      <c r="AJ376" s="7">
        <f t="shared" si="114"/>
        <v>3.5247069957804182</v>
      </c>
      <c r="AK376" s="7">
        <f t="shared" si="115"/>
        <v>2.250111982606569</v>
      </c>
      <c r="AL376" s="7">
        <f t="shared" si="116"/>
        <v>5.7230564723751698</v>
      </c>
      <c r="AM376" s="7" t="str">
        <f t="shared" si="117"/>
        <v/>
      </c>
      <c r="AN376" s="4">
        <v>25409.581170238631</v>
      </c>
      <c r="AO376" s="4">
        <v>0</v>
      </c>
      <c r="AP376" s="14">
        <f t="shared" si="132"/>
        <v>1746231.0411702385</v>
      </c>
      <c r="AQ376" s="14">
        <f t="shared" si="133"/>
        <v>1720821.46</v>
      </c>
      <c r="AR376" s="8">
        <v>58504.27</v>
      </c>
      <c r="AS376" s="20">
        <v>29.413603999999999</v>
      </c>
      <c r="AT376" s="8">
        <v>36575096.920000002</v>
      </c>
      <c r="AU376" s="8">
        <v>26424.926599999999</v>
      </c>
      <c r="AV376" s="8">
        <v>969.93989999999997</v>
      </c>
      <c r="AW376" s="8"/>
      <c r="AX376" s="9">
        <v>431.40791837572777</v>
      </c>
      <c r="AY376" s="6">
        <f t="shared" si="118"/>
        <v>2.2357258172993839E-2</v>
      </c>
      <c r="AZ376" s="8">
        <v>419053725.70969999</v>
      </c>
      <c r="BA376" s="10">
        <v>60480066</v>
      </c>
      <c r="BB376" s="11">
        <v>36575096.920000002</v>
      </c>
      <c r="BC376" s="10">
        <v>2971324</v>
      </c>
      <c r="BD376" s="10">
        <f>1000000000-999483666.5211+176084.7219</f>
        <v>692418.20079995575</v>
      </c>
      <c r="BE376" s="12">
        <f t="shared" si="119"/>
        <v>480227369.16950005</v>
      </c>
      <c r="BF376" s="13">
        <v>236.254254</v>
      </c>
      <c r="BG376" s="13">
        <f t="shared" si="120"/>
        <v>243.97311516950003</v>
      </c>
      <c r="BH376" s="14">
        <f>BE376*31.12</f>
        <v>14944675728.554842</v>
      </c>
    </row>
    <row r="377" spans="1:60" x14ac:dyDescent="0.25">
      <c r="A377" s="3">
        <v>45999</v>
      </c>
      <c r="B377" s="4">
        <v>6029441636</v>
      </c>
      <c r="C377" s="4">
        <v>301730454.89999998</v>
      </c>
      <c r="D377" s="4">
        <v>277300000</v>
      </c>
      <c r="E377" s="4"/>
      <c r="F377" s="17">
        <v>0</v>
      </c>
      <c r="G377" s="17">
        <v>6219.1734286144147</v>
      </c>
      <c r="H377" s="17">
        <v>0</v>
      </c>
      <c r="I377" s="17">
        <v>172652531.3266094</v>
      </c>
      <c r="J377" s="17">
        <v>458718.29712279612</v>
      </c>
      <c r="K377" s="17">
        <v>128612986.1028392</v>
      </c>
      <c r="L377" s="14">
        <f t="shared" si="113"/>
        <v>301730454.90000004</v>
      </c>
      <c r="M377" s="21">
        <v>1.0069996308118161</v>
      </c>
      <c r="N377" s="4">
        <v>1961447.32</v>
      </c>
      <c r="O377" s="4">
        <v>38271.620000000003</v>
      </c>
      <c r="P377" s="4">
        <v>91086.73000000001</v>
      </c>
      <c r="Q377" s="4"/>
      <c r="R377" s="14">
        <f t="shared" si="121"/>
        <v>2090805.6700000002</v>
      </c>
      <c r="S377" s="6">
        <v>0.01</v>
      </c>
      <c r="T377" s="14">
        <f t="shared" si="122"/>
        <v>19614.4732</v>
      </c>
      <c r="U377" s="14">
        <f t="shared" si="123"/>
        <v>191.35810000000001</v>
      </c>
      <c r="V377" s="14">
        <f t="shared" si="124"/>
        <v>765.37910000000011</v>
      </c>
      <c r="W377" s="14" t="str">
        <f t="shared" si="125"/>
        <v/>
      </c>
      <c r="X377" s="4">
        <v>14548.82</v>
      </c>
      <c r="Y377" s="4">
        <v>19135.810000000001</v>
      </c>
      <c r="Z377" s="4"/>
      <c r="AA377" s="14">
        <f t="shared" si="126"/>
        <v>54255.840400000001</v>
      </c>
      <c r="AB377" s="4">
        <v>213820.02189999999</v>
      </c>
      <c r="AC377" s="4">
        <v>1961447.32</v>
      </c>
      <c r="AD377" s="14">
        <f t="shared" si="127"/>
        <v>19135.810000000001</v>
      </c>
      <c r="AE377" s="14">
        <f t="shared" si="128"/>
        <v>76537.91</v>
      </c>
      <c r="AF377" s="14" t="str">
        <f t="shared" si="129"/>
        <v/>
      </c>
      <c r="AG377" s="15">
        <f t="shared" si="130"/>
        <v>2057121.04</v>
      </c>
      <c r="AH377" s="4">
        <v>1747203.22</v>
      </c>
      <c r="AI377" s="17">
        <f t="shared" si="131"/>
        <v>309917.82000000007</v>
      </c>
      <c r="AJ377" s="7">
        <f t="shared" si="114"/>
        <v>3.2531160236941052</v>
      </c>
      <c r="AK377" s="7">
        <f t="shared" si="115"/>
        <v>1.2684042786693193</v>
      </c>
      <c r="AL377" s="7">
        <f t="shared" si="116"/>
        <v>3.2847720879913456</v>
      </c>
      <c r="AM377" s="7" t="str">
        <f t="shared" si="117"/>
        <v/>
      </c>
      <c r="AN377" s="4">
        <v>15677.358136742519</v>
      </c>
      <c r="AO377" s="4">
        <v>0</v>
      </c>
      <c r="AP377" s="14">
        <f t="shared" si="132"/>
        <v>1762880.5781367426</v>
      </c>
      <c r="AQ377" s="14">
        <f t="shared" si="133"/>
        <v>1747203.22</v>
      </c>
      <c r="AR377" s="8">
        <v>58433.15</v>
      </c>
      <c r="AS377" s="20">
        <v>29.900891000000001</v>
      </c>
      <c r="AT377" s="8">
        <v>36821105.390000001</v>
      </c>
      <c r="AU377" s="8">
        <v>0</v>
      </c>
      <c r="AV377" s="8">
        <v>-4131.1616999999997</v>
      </c>
      <c r="AW377" s="8"/>
      <c r="AX377" s="9">
        <v>430.97943094198251</v>
      </c>
      <c r="AY377" s="6">
        <f t="shared" si="118"/>
        <v>0</v>
      </c>
      <c r="AZ377" s="8">
        <v>419027266.0316</v>
      </c>
      <c r="BA377" s="10">
        <v>60480066</v>
      </c>
      <c r="BB377" s="11">
        <v>36821105.390000001</v>
      </c>
      <c r="BC377" s="10">
        <v>2971324</v>
      </c>
      <c r="BD377" s="10">
        <f>1000000000-999482193.398+176609.0833</f>
        <v>694415.68529999815</v>
      </c>
      <c r="BE377" s="12">
        <f t="shared" si="119"/>
        <v>480005822.89310002</v>
      </c>
      <c r="BF377" s="13">
        <v>236.254254</v>
      </c>
      <c r="BG377" s="13">
        <f t="shared" si="120"/>
        <v>243.7515688931</v>
      </c>
      <c r="BH377" s="14">
        <f>BE377*29.91</f>
        <v>14356974162.732622</v>
      </c>
    </row>
    <row r="378" spans="1:60" x14ac:dyDescent="0.25">
      <c r="A378" s="3">
        <v>46000</v>
      </c>
      <c r="B378" s="4">
        <v>8400921013</v>
      </c>
      <c r="C378" s="4">
        <v>288232283.60000002</v>
      </c>
      <c r="D378" s="4">
        <v>236600000</v>
      </c>
      <c r="E378" s="4"/>
      <c r="F378" s="17">
        <v>0</v>
      </c>
      <c r="G378" s="17">
        <v>14446293.10331675</v>
      </c>
      <c r="H378" s="17">
        <v>0</v>
      </c>
      <c r="I378" s="17">
        <v>158828864.62763321</v>
      </c>
      <c r="J378" s="17">
        <v>624734.52253149566</v>
      </c>
      <c r="K378" s="17">
        <v>114332391.3465187</v>
      </c>
      <c r="L378" s="14">
        <f t="shared" si="113"/>
        <v>288232283.60000014</v>
      </c>
      <c r="M378" s="21">
        <v>0.98859245419783059</v>
      </c>
      <c r="N378" s="4">
        <v>2735933.17</v>
      </c>
      <c r="O378" s="4">
        <v>51522.26</v>
      </c>
      <c r="P378" s="4">
        <v>136528.35999999999</v>
      </c>
      <c r="Q378" s="4"/>
      <c r="R378" s="14">
        <f t="shared" si="121"/>
        <v>2923983.7899999996</v>
      </c>
      <c r="S378" s="6">
        <v>0.01</v>
      </c>
      <c r="T378" s="14">
        <f t="shared" si="122"/>
        <v>27359.331699999999</v>
      </c>
      <c r="U378" s="14">
        <f t="shared" si="123"/>
        <v>257.61130000000003</v>
      </c>
      <c r="V378" s="14">
        <f t="shared" si="124"/>
        <v>1111.4975999999999</v>
      </c>
      <c r="W378" s="14" t="str">
        <f t="shared" si="125"/>
        <v/>
      </c>
      <c r="X378" s="4">
        <v>25378.6</v>
      </c>
      <c r="Y378" s="4">
        <v>25761.13</v>
      </c>
      <c r="Z378" s="4"/>
      <c r="AA378" s="14">
        <f t="shared" si="126"/>
        <v>79868.170599999998</v>
      </c>
      <c r="AB378" s="4">
        <v>219032.68150000001</v>
      </c>
      <c r="AC378" s="4">
        <v>2735933.17</v>
      </c>
      <c r="AD378" s="14">
        <f t="shared" si="127"/>
        <v>25761.13</v>
      </c>
      <c r="AE378" s="14">
        <f t="shared" si="128"/>
        <v>111149.75999999998</v>
      </c>
      <c r="AF378" s="14" t="str">
        <f t="shared" si="129"/>
        <v/>
      </c>
      <c r="AG378" s="15">
        <f t="shared" si="130"/>
        <v>2872844.0599999996</v>
      </c>
      <c r="AH378" s="4">
        <v>2415499.2400000002</v>
      </c>
      <c r="AI378" s="17">
        <f t="shared" si="131"/>
        <v>457344.81999999937</v>
      </c>
      <c r="AJ378" s="7">
        <f t="shared" si="114"/>
        <v>3.2567062180042896</v>
      </c>
      <c r="AK378" s="7">
        <f t="shared" si="115"/>
        <v>1.7875256496770857</v>
      </c>
      <c r="AL378" s="7">
        <f t="shared" si="116"/>
        <v>5.7704294167371089</v>
      </c>
      <c r="AM378" s="7" t="str">
        <f t="shared" si="117"/>
        <v/>
      </c>
      <c r="AN378" s="4">
        <v>34351.518354781583</v>
      </c>
      <c r="AO378" s="4">
        <v>0</v>
      </c>
      <c r="AP378" s="14">
        <f t="shared" si="132"/>
        <v>2449850.7583547817</v>
      </c>
      <c r="AQ378" s="14">
        <f t="shared" si="133"/>
        <v>2415499.2400000002</v>
      </c>
      <c r="AR378" s="8">
        <v>84868.58</v>
      </c>
      <c r="AS378" s="20">
        <v>28.461642999999999</v>
      </c>
      <c r="AT378" s="8">
        <v>36821105.390000001</v>
      </c>
      <c r="AU378" s="8">
        <v>88711.8459</v>
      </c>
      <c r="AV378" s="8">
        <v>4131.1616999999997</v>
      </c>
      <c r="AW378" s="8"/>
      <c r="AX378" s="9">
        <v>431.03518333860069</v>
      </c>
      <c r="AY378" s="6">
        <f t="shared" si="118"/>
        <v>7.5121069010424507E-2</v>
      </c>
      <c r="AZ378" s="8">
        <v>418938554.1857</v>
      </c>
      <c r="BA378" s="10">
        <v>60480066</v>
      </c>
      <c r="BB378" s="11">
        <v>36821105.390000001</v>
      </c>
      <c r="BC378" s="10">
        <v>2971324</v>
      </c>
      <c r="BD378" s="10">
        <f>1000000000-999478062.2363+177839.703</f>
        <v>699777.46670000837</v>
      </c>
      <c r="BE378" s="12">
        <f t="shared" si="119"/>
        <v>480089172.95760006</v>
      </c>
      <c r="BF378" s="13">
        <v>236.254254</v>
      </c>
      <c r="BG378" s="13">
        <f t="shared" si="120"/>
        <v>243.83491895760005</v>
      </c>
      <c r="BH378" s="14">
        <f>BE378*27.95</f>
        <v>13418492384.164921</v>
      </c>
    </row>
    <row r="379" spans="1:60" x14ac:dyDescent="0.25">
      <c r="A379" s="3">
        <v>46001</v>
      </c>
      <c r="B379" s="4">
        <v>7965257027</v>
      </c>
      <c r="C379" s="4">
        <v>398003137.94</v>
      </c>
      <c r="D379" s="4">
        <v>248371283</v>
      </c>
      <c r="E379" s="4"/>
      <c r="F379" s="17">
        <v>0</v>
      </c>
      <c r="G379" s="17">
        <v>20790371.187742569</v>
      </c>
      <c r="H379" s="17">
        <v>0</v>
      </c>
      <c r="I379" s="17">
        <v>214243613.1147202</v>
      </c>
      <c r="J379" s="17">
        <v>1125419.8071028369</v>
      </c>
      <c r="K379" s="17">
        <v>161843733.83043441</v>
      </c>
      <c r="L379" s="14">
        <f t="shared" si="113"/>
        <v>398003137.94</v>
      </c>
      <c r="M379" s="21">
        <v>1.0037517724461551</v>
      </c>
      <c r="N379" s="4">
        <v>2641120.9700000002</v>
      </c>
      <c r="O379" s="4">
        <v>64372.82</v>
      </c>
      <c r="P379" s="4">
        <v>133335.71</v>
      </c>
      <c r="Q379" s="4"/>
      <c r="R379" s="14">
        <f t="shared" si="121"/>
        <v>2838829.5</v>
      </c>
      <c r="S379" s="6">
        <v>0.01</v>
      </c>
      <c r="T379" s="14">
        <f t="shared" si="122"/>
        <v>26411.209700000003</v>
      </c>
      <c r="U379" s="14">
        <f t="shared" si="123"/>
        <v>321.86410000000001</v>
      </c>
      <c r="V379" s="14">
        <f t="shared" si="124"/>
        <v>829.58819999999992</v>
      </c>
      <c r="W379" s="14" t="str">
        <f t="shared" si="125"/>
        <v/>
      </c>
      <c r="X379" s="4">
        <v>50376.89</v>
      </c>
      <c r="Y379" s="4">
        <v>32186.41</v>
      </c>
      <c r="Z379" s="4"/>
      <c r="AA379" s="14">
        <f t="shared" si="126"/>
        <v>110125.962</v>
      </c>
      <c r="AB379" s="4">
        <v>220282.41620000001</v>
      </c>
      <c r="AC379" s="4">
        <v>2641120.9700000002</v>
      </c>
      <c r="AD379" s="14">
        <f t="shared" si="127"/>
        <v>32186.41</v>
      </c>
      <c r="AE379" s="14">
        <f t="shared" si="128"/>
        <v>82958.819999999992</v>
      </c>
      <c r="AF379" s="14" t="str">
        <f t="shared" si="129"/>
        <v/>
      </c>
      <c r="AG379" s="15">
        <f t="shared" si="130"/>
        <v>2756266.2</v>
      </c>
      <c r="AH379" s="4">
        <v>2249508.9300000002</v>
      </c>
      <c r="AI379" s="17">
        <f t="shared" si="131"/>
        <v>506757.27</v>
      </c>
      <c r="AJ379" s="7">
        <f t="shared" si="114"/>
        <v>3.3158013119317262</v>
      </c>
      <c r="AK379" s="7">
        <f t="shared" si="115"/>
        <v>1.6173947857090607</v>
      </c>
      <c r="AL379" s="7">
        <f t="shared" si="116"/>
        <v>5.3684028358463651</v>
      </c>
      <c r="AM379" s="7" t="str">
        <f t="shared" si="117"/>
        <v/>
      </c>
      <c r="AN379" s="4">
        <v>21105.4547747176</v>
      </c>
      <c r="AO379" s="4">
        <v>0</v>
      </c>
      <c r="AP379" s="14">
        <f t="shared" si="132"/>
        <v>2270614.384774718</v>
      </c>
      <c r="AQ379" s="14">
        <f t="shared" si="133"/>
        <v>2249508.9300000002</v>
      </c>
      <c r="AR379" s="8">
        <v>77372.820000000007</v>
      </c>
      <c r="AS379" s="20">
        <v>29.073632</v>
      </c>
      <c r="AT379" s="8">
        <v>36819849.909999996</v>
      </c>
      <c r="AU379" s="8">
        <v>275.58</v>
      </c>
      <c r="AV379" s="8">
        <v>0.50849999999999995</v>
      </c>
      <c r="AW379" s="8"/>
      <c r="AX379" s="9">
        <v>431.03518333860069</v>
      </c>
      <c r="AY379" s="6">
        <f t="shared" si="118"/>
        <v>2.3336076470811869E-4</v>
      </c>
      <c r="AZ379" s="8">
        <v>418938278.60570002</v>
      </c>
      <c r="BA379" s="10">
        <v>60480066</v>
      </c>
      <c r="BB379" s="11">
        <v>36819849.909999996</v>
      </c>
      <c r="BC379" s="10">
        <v>2971324</v>
      </c>
      <c r="BD379" s="10">
        <f>1000000000-999478061.7279+178571.4388</f>
        <v>700509.71089997177</v>
      </c>
      <c r="BE379" s="12">
        <f t="shared" si="119"/>
        <v>480089971.77340007</v>
      </c>
      <c r="BF379" s="13">
        <v>236.254254</v>
      </c>
      <c r="BG379" s="13">
        <f t="shared" si="120"/>
        <v>243.83571777340006</v>
      </c>
      <c r="BH379" s="14">
        <f>BE379*27.9</f>
        <v>13394510212.477861</v>
      </c>
    </row>
    <row r="380" spans="1:60" x14ac:dyDescent="0.25">
      <c r="A380" s="3">
        <v>46002</v>
      </c>
      <c r="B380" s="4">
        <v>7713018416</v>
      </c>
      <c r="C380" s="4">
        <v>476177396.06</v>
      </c>
      <c r="D380" s="4">
        <v>194008244</v>
      </c>
      <c r="E380" s="4"/>
      <c r="F380" s="17">
        <v>0</v>
      </c>
      <c r="G380" s="17">
        <v>20267217.358561661</v>
      </c>
      <c r="H380" s="17">
        <v>0</v>
      </c>
      <c r="I380" s="17">
        <v>320360505.52583307</v>
      </c>
      <c r="J380" s="17">
        <v>252136.17674181229</v>
      </c>
      <c r="K380" s="17">
        <v>135297536.9988634</v>
      </c>
      <c r="L380" s="14">
        <f t="shared" si="113"/>
        <v>476177396.05999994</v>
      </c>
      <c r="M380" s="21">
        <v>1.019230248605199</v>
      </c>
      <c r="N380" s="4">
        <v>2495346.17</v>
      </c>
      <c r="O380" s="4">
        <v>61648.36</v>
      </c>
      <c r="P380" s="4">
        <v>91721.77</v>
      </c>
      <c r="Q380" s="4"/>
      <c r="R380" s="14">
        <f t="shared" si="121"/>
        <v>2648716.2999999998</v>
      </c>
      <c r="S380" s="6">
        <v>0.01</v>
      </c>
      <c r="T380" s="14">
        <f t="shared" si="122"/>
        <v>24953.4617</v>
      </c>
      <c r="U380" s="14">
        <f t="shared" si="123"/>
        <v>308.24180000000001</v>
      </c>
      <c r="V380" s="14">
        <f t="shared" si="124"/>
        <v>694.87250000000006</v>
      </c>
      <c r="W380" s="14" t="str">
        <f t="shared" si="125"/>
        <v/>
      </c>
      <c r="X380" s="4">
        <v>22234.52</v>
      </c>
      <c r="Y380" s="4">
        <v>30824.18</v>
      </c>
      <c r="Z380" s="4"/>
      <c r="AA380" s="14">
        <f t="shared" si="126"/>
        <v>79015.276000000013</v>
      </c>
      <c r="AB380" s="4">
        <v>209175.5295</v>
      </c>
      <c r="AC380" s="4">
        <v>2495346.17</v>
      </c>
      <c r="AD380" s="14">
        <f t="shared" si="127"/>
        <v>30824.18</v>
      </c>
      <c r="AE380" s="14">
        <f t="shared" si="128"/>
        <v>69487.25</v>
      </c>
      <c r="AF380" s="14" t="str">
        <f t="shared" si="129"/>
        <v/>
      </c>
      <c r="AG380" s="15">
        <f t="shared" si="130"/>
        <v>2595657.6</v>
      </c>
      <c r="AH380" s="4">
        <v>2154234.31</v>
      </c>
      <c r="AI380" s="17">
        <f t="shared" si="131"/>
        <v>441423.29000000004</v>
      </c>
      <c r="AJ380" s="7">
        <f t="shared" si="114"/>
        <v>3.235239481372969</v>
      </c>
      <c r="AK380" s="7">
        <f t="shared" si="115"/>
        <v>1.2946511218317489</v>
      </c>
      <c r="AL380" s="7">
        <f t="shared" si="116"/>
        <v>4.7277253847006628</v>
      </c>
      <c r="AM380" s="7" t="str">
        <f t="shared" si="117"/>
        <v/>
      </c>
      <c r="AN380" s="4">
        <v>21132.651774632312</v>
      </c>
      <c r="AO380" s="4">
        <v>0</v>
      </c>
      <c r="AP380" s="14">
        <f t="shared" si="132"/>
        <v>2175366.9617746323</v>
      </c>
      <c r="AQ380" s="14">
        <f t="shared" si="133"/>
        <v>2154234.31</v>
      </c>
      <c r="AR380" s="8">
        <v>76238.06</v>
      </c>
      <c r="AS380" s="20">
        <v>28.256678000000001</v>
      </c>
      <c r="AT380" s="8">
        <v>36874341.049999997</v>
      </c>
      <c r="AU380" s="8">
        <v>0</v>
      </c>
      <c r="AV380" s="8">
        <v>-4.9549000000000003</v>
      </c>
      <c r="AW380" s="8"/>
      <c r="AX380" s="9">
        <v>431.03742618935661</v>
      </c>
      <c r="AY380" s="6">
        <f t="shared" si="118"/>
        <v>0</v>
      </c>
      <c r="AZ380" s="8">
        <v>418939527.90289998</v>
      </c>
      <c r="BA380" s="10">
        <v>60480066</v>
      </c>
      <c r="BB380" s="11">
        <v>36874341.049999997</v>
      </c>
      <c r="BC380" s="10">
        <v>2971324</v>
      </c>
      <c r="BD380" s="10">
        <f>1000000000-999478066.6827+179325.0459</f>
        <v>701258.36319996207</v>
      </c>
      <c r="BE380" s="12">
        <f t="shared" si="119"/>
        <v>480033482.68390006</v>
      </c>
      <c r="BF380" s="13">
        <v>236.254254</v>
      </c>
      <c r="BG380" s="13">
        <f t="shared" si="120"/>
        <v>243.77922868390004</v>
      </c>
      <c r="BH380" s="14">
        <f>BE380*28.03</f>
        <v>13455338519.629719</v>
      </c>
    </row>
    <row r="381" spans="1:60" x14ac:dyDescent="0.25">
      <c r="A381" s="3">
        <v>46003</v>
      </c>
      <c r="B381" s="4">
        <v>5894675307</v>
      </c>
      <c r="C381" s="4">
        <v>487185771.69</v>
      </c>
      <c r="D381" s="4">
        <v>166999844</v>
      </c>
      <c r="E381" s="4"/>
      <c r="F381" s="17">
        <v>474511.38377033809</v>
      </c>
      <c r="G381" s="17">
        <v>15672771.812462971</v>
      </c>
      <c r="H381" s="17">
        <v>0</v>
      </c>
      <c r="I381" s="17">
        <v>343362367.25232989</v>
      </c>
      <c r="J381" s="17">
        <v>216165.5582373426</v>
      </c>
      <c r="K381" s="17">
        <v>127459955.68319941</v>
      </c>
      <c r="L381" s="14">
        <f t="shared" si="113"/>
        <v>487185771.68999994</v>
      </c>
      <c r="M381" s="21">
        <v>0.97404702905013463</v>
      </c>
      <c r="N381" s="4">
        <v>1881590.62</v>
      </c>
      <c r="O381" s="4">
        <v>57187.16</v>
      </c>
      <c r="P381" s="4">
        <v>80068</v>
      </c>
      <c r="Q381" s="4"/>
      <c r="R381" s="14">
        <f t="shared" si="121"/>
        <v>2018845.78</v>
      </c>
      <c r="S381" s="6">
        <v>0.01</v>
      </c>
      <c r="T381" s="14">
        <f t="shared" si="122"/>
        <v>18815.906200000001</v>
      </c>
      <c r="U381" s="14">
        <f t="shared" si="123"/>
        <v>285.93580000000003</v>
      </c>
      <c r="V381" s="14">
        <f t="shared" si="124"/>
        <v>644.80820000000006</v>
      </c>
      <c r="W381" s="14" t="str">
        <f t="shared" si="125"/>
        <v/>
      </c>
      <c r="X381" s="4">
        <v>15587.18</v>
      </c>
      <c r="Y381" s="4">
        <v>28593.58</v>
      </c>
      <c r="Z381" s="4"/>
      <c r="AA381" s="14">
        <f t="shared" si="126"/>
        <v>63927.410199999998</v>
      </c>
      <c r="AB381" s="4">
        <v>159088.2066</v>
      </c>
      <c r="AC381" s="4">
        <v>1881590.62</v>
      </c>
      <c r="AD381" s="14">
        <f t="shared" si="127"/>
        <v>28593.58</v>
      </c>
      <c r="AE381" s="14">
        <f t="shared" si="128"/>
        <v>64480.82</v>
      </c>
      <c r="AF381" s="14" t="str">
        <f t="shared" si="129"/>
        <v/>
      </c>
      <c r="AG381" s="15">
        <f t="shared" si="130"/>
        <v>1974665.0200000003</v>
      </c>
      <c r="AH381" s="4">
        <v>1718146.17</v>
      </c>
      <c r="AI381" s="17">
        <f t="shared" si="131"/>
        <v>256518.85000000033</v>
      </c>
      <c r="AJ381" s="7">
        <f t="shared" si="114"/>
        <v>3.1920174089412319</v>
      </c>
      <c r="AK381" s="7">
        <f t="shared" si="115"/>
        <v>1.173826563153175</v>
      </c>
      <c r="AL381" s="7">
        <f t="shared" si="116"/>
        <v>4.7944954966544762</v>
      </c>
      <c r="AM381" s="7" t="str">
        <f t="shared" si="117"/>
        <v/>
      </c>
      <c r="AN381" s="4">
        <v>25152.257066714279</v>
      </c>
      <c r="AO381" s="4">
        <v>0</v>
      </c>
      <c r="AP381" s="14">
        <f t="shared" si="132"/>
        <v>1743298.4270667143</v>
      </c>
      <c r="AQ381" s="14">
        <f t="shared" si="133"/>
        <v>1718146.17</v>
      </c>
      <c r="AR381" s="8">
        <v>58888.81</v>
      </c>
      <c r="AS381" s="20">
        <v>29.176106000000001</v>
      </c>
      <c r="AT381" s="8">
        <v>36931525.93</v>
      </c>
      <c r="AU381" s="8">
        <v>18059.735000000001</v>
      </c>
      <c r="AV381" s="8">
        <v>1445.5574999999999</v>
      </c>
      <c r="AW381" s="8"/>
      <c r="AX381" s="9">
        <v>431.04862039728198</v>
      </c>
      <c r="AY381" s="6">
        <f t="shared" si="118"/>
        <v>1.5292482014962888E-2</v>
      </c>
      <c r="AZ381" s="8">
        <v>418921468.16780001</v>
      </c>
      <c r="BA381" s="10">
        <v>60480066</v>
      </c>
      <c r="BB381" s="11">
        <v>36931525.93</v>
      </c>
      <c r="BC381" s="10">
        <v>2971324</v>
      </c>
      <c r="BD381" s="10">
        <f>1000000000-999476621.1252+180188.6724</f>
        <v>703567.54719996685</v>
      </c>
      <c r="BE381" s="12">
        <f t="shared" si="119"/>
        <v>479992048.35500008</v>
      </c>
      <c r="BF381" s="13">
        <v>236.254254</v>
      </c>
      <c r="BG381" s="13">
        <f t="shared" si="120"/>
        <v>243.73779435500006</v>
      </c>
      <c r="BH381" s="14">
        <f>BE381*29.13</f>
        <v>13982168368.581152</v>
      </c>
    </row>
    <row r="382" spans="1:60" x14ac:dyDescent="0.25">
      <c r="A382" s="3">
        <v>46004</v>
      </c>
      <c r="B382" s="4">
        <v>1446059017</v>
      </c>
      <c r="C382" s="4">
        <v>45758915.149999999</v>
      </c>
      <c r="D382" s="4">
        <v>91510944</v>
      </c>
      <c r="E382" s="4"/>
      <c r="F382" s="17">
        <v>194619.67180703449</v>
      </c>
      <c r="G382" s="17">
        <v>8106131.9266540864</v>
      </c>
      <c r="H382" s="17">
        <v>0</v>
      </c>
      <c r="I382" s="17">
        <v>31258563.973708559</v>
      </c>
      <c r="J382" s="17">
        <v>179468.08431736549</v>
      </c>
      <c r="K382" s="17">
        <v>6020131.4935129546</v>
      </c>
      <c r="L382" s="14">
        <f t="shared" si="113"/>
        <v>45758915.149999991</v>
      </c>
      <c r="M382" s="21">
        <v>0.98885874622268455</v>
      </c>
      <c r="N382" s="4">
        <v>522060.1</v>
      </c>
      <c r="O382" s="4">
        <v>16808.5</v>
      </c>
      <c r="P382" s="4">
        <v>49049.350000000013</v>
      </c>
      <c r="Q382" s="4"/>
      <c r="R382" s="14">
        <f t="shared" si="121"/>
        <v>587917.94999999995</v>
      </c>
      <c r="S382" s="6">
        <v>0.01</v>
      </c>
      <c r="T382" s="14">
        <f t="shared" si="122"/>
        <v>5220.6009999999997</v>
      </c>
      <c r="U382" s="14">
        <f t="shared" si="123"/>
        <v>84.042500000000004</v>
      </c>
      <c r="V382" s="14">
        <f t="shared" si="124"/>
        <v>375.02160000000009</v>
      </c>
      <c r="W382" s="14" t="str">
        <f t="shared" si="125"/>
        <v/>
      </c>
      <c r="X382" s="4">
        <v>11547.19</v>
      </c>
      <c r="Y382" s="4">
        <v>8404.25</v>
      </c>
      <c r="Z382" s="4"/>
      <c r="AA382" s="14">
        <f t="shared" si="126"/>
        <v>25631.105100000001</v>
      </c>
      <c r="AB382" s="4">
        <v>67215.931900000011</v>
      </c>
      <c r="AC382" s="4">
        <v>522060.1</v>
      </c>
      <c r="AD382" s="14">
        <f t="shared" si="127"/>
        <v>8404.25</v>
      </c>
      <c r="AE382" s="14">
        <f t="shared" si="128"/>
        <v>37502.160000000011</v>
      </c>
      <c r="AF382" s="14" t="str">
        <f t="shared" si="129"/>
        <v/>
      </c>
      <c r="AG382" s="15">
        <f t="shared" si="130"/>
        <v>567966.51</v>
      </c>
      <c r="AH382" s="4">
        <v>439809.46</v>
      </c>
      <c r="AI382" s="17">
        <f t="shared" si="131"/>
        <v>128157.04999999999</v>
      </c>
      <c r="AJ382" s="7">
        <f t="shared" si="114"/>
        <v>3.6102267878600696</v>
      </c>
      <c r="AK382" s="7">
        <f t="shared" si="115"/>
        <v>3.6732732725198796</v>
      </c>
      <c r="AL382" s="7">
        <f t="shared" si="116"/>
        <v>5.3599436150500219</v>
      </c>
      <c r="AM382" s="7" t="str">
        <f t="shared" si="117"/>
        <v/>
      </c>
      <c r="AN382" s="4">
        <v>12208.76308990984</v>
      </c>
      <c r="AO382" s="4">
        <v>0</v>
      </c>
      <c r="AP382" s="14">
        <f t="shared" si="132"/>
        <v>452018.22308990988</v>
      </c>
      <c r="AQ382" s="14">
        <f t="shared" si="133"/>
        <v>439809.46</v>
      </c>
      <c r="AR382" s="8">
        <v>15306.92</v>
      </c>
      <c r="AS382" s="20">
        <v>28.732721000000002</v>
      </c>
      <c r="AT382" s="8">
        <v>36946205.259999998</v>
      </c>
      <c r="AU382" s="8">
        <v>26452.146799999999</v>
      </c>
      <c r="AV382" s="8">
        <v>480.8023</v>
      </c>
      <c r="AW382" s="8"/>
      <c r="AX382" s="9">
        <v>431.22463961949308</v>
      </c>
      <c r="AY382" s="6">
        <f t="shared" si="118"/>
        <v>2.2389800338216932E-2</v>
      </c>
      <c r="AZ382" s="8">
        <v>418895016.02100003</v>
      </c>
      <c r="BA382" s="10">
        <v>60480066</v>
      </c>
      <c r="BB382" s="11">
        <v>36946205.259999998</v>
      </c>
      <c r="BC382" s="10">
        <v>2971324</v>
      </c>
      <c r="BD382" s="10">
        <f>1000000000-999476140.3229+180613.3841</f>
        <v>704473.06119994319</v>
      </c>
      <c r="BE382" s="12">
        <f t="shared" si="119"/>
        <v>480002915.65780002</v>
      </c>
      <c r="BF382" s="13">
        <v>236.254254</v>
      </c>
      <c r="BG382" s="13">
        <f t="shared" si="120"/>
        <v>243.74866165780003</v>
      </c>
      <c r="BH382" s="14">
        <f>BE382*28.74</f>
        <v>13795283796.005173</v>
      </c>
    </row>
    <row r="383" spans="1:60" x14ac:dyDescent="0.25">
      <c r="A383" s="3">
        <v>46005</v>
      </c>
      <c r="B383" s="4">
        <v>3164834142</v>
      </c>
      <c r="C383" s="4">
        <v>143586776.16999999</v>
      </c>
      <c r="D383" s="4">
        <v>149228127</v>
      </c>
      <c r="E383" s="4"/>
      <c r="F383" s="17">
        <v>151036.10931071639</v>
      </c>
      <c r="G383" s="17">
        <v>13352987.63599257</v>
      </c>
      <c r="H383" s="17">
        <v>0</v>
      </c>
      <c r="I383" s="17">
        <v>117539899.6614818</v>
      </c>
      <c r="J383" s="17">
        <v>740554.04266281519</v>
      </c>
      <c r="K383" s="17">
        <v>11802298.720552109</v>
      </c>
      <c r="L383" s="14">
        <f t="shared" si="113"/>
        <v>143586776.17000002</v>
      </c>
      <c r="M383" s="21">
        <v>1.1048244066147079</v>
      </c>
      <c r="N383" s="4">
        <v>1092787.1100000001</v>
      </c>
      <c r="O383" s="4">
        <v>29419.759999999998</v>
      </c>
      <c r="P383" s="4">
        <v>82162.87</v>
      </c>
      <c r="Q383" s="4"/>
      <c r="R383" s="14">
        <f t="shared" si="121"/>
        <v>1204369.7400000002</v>
      </c>
      <c r="S383" s="6">
        <v>0.01</v>
      </c>
      <c r="T383" s="14">
        <f t="shared" si="122"/>
        <v>10927.871100000002</v>
      </c>
      <c r="U383" s="14">
        <f t="shared" si="123"/>
        <v>147.09879999999998</v>
      </c>
      <c r="V383" s="14">
        <f t="shared" si="124"/>
        <v>643.24619999999993</v>
      </c>
      <c r="W383" s="14" t="str">
        <f t="shared" si="125"/>
        <v/>
      </c>
      <c r="X383" s="4">
        <v>17838.25</v>
      </c>
      <c r="Y383" s="4">
        <v>14709.88</v>
      </c>
      <c r="Z383" s="4"/>
      <c r="AA383" s="14">
        <f t="shared" si="126"/>
        <v>44266.346100000002</v>
      </c>
      <c r="AB383" s="4">
        <v>135858.98490000001</v>
      </c>
      <c r="AC383" s="4">
        <v>1092787.1100000001</v>
      </c>
      <c r="AD383" s="14">
        <f t="shared" si="127"/>
        <v>14709.88</v>
      </c>
      <c r="AE383" s="14">
        <f t="shared" si="128"/>
        <v>64324.619999999995</v>
      </c>
      <c r="AF383" s="14" t="str">
        <f t="shared" si="129"/>
        <v/>
      </c>
      <c r="AG383" s="15">
        <f t="shared" si="130"/>
        <v>1171821.6099999999</v>
      </c>
      <c r="AH383" s="4">
        <v>952893.99</v>
      </c>
      <c r="AI383" s="17">
        <f t="shared" si="131"/>
        <v>218927.61999999988</v>
      </c>
      <c r="AJ383" s="7">
        <f t="shared" si="114"/>
        <v>3.4529048315606805</v>
      </c>
      <c r="AK383" s="7">
        <f t="shared" si="115"/>
        <v>2.048918485722417</v>
      </c>
      <c r="AL383" s="7">
        <f t="shared" si="116"/>
        <v>5.5058568147813043</v>
      </c>
      <c r="AM383" s="7" t="str">
        <f t="shared" si="117"/>
        <v/>
      </c>
      <c r="AN383" s="4">
        <v>17200.141761668969</v>
      </c>
      <c r="AO383" s="4">
        <v>0</v>
      </c>
      <c r="AP383" s="14">
        <f t="shared" si="132"/>
        <v>970094.13176166895</v>
      </c>
      <c r="AQ383" s="14">
        <f t="shared" si="133"/>
        <v>952893.99</v>
      </c>
      <c r="AR383" s="8">
        <v>32806.199999999997</v>
      </c>
      <c r="AS383" s="20">
        <v>29.046156</v>
      </c>
      <c r="AT383" s="8">
        <v>36980133.740000002</v>
      </c>
      <c r="AU383" s="8">
        <v>26457.322199999999</v>
      </c>
      <c r="AV383" s="8">
        <v>1187.8445999999999</v>
      </c>
      <c r="AW383" s="8"/>
      <c r="AX383" s="9">
        <v>431.17729559068749</v>
      </c>
      <c r="AY383" s="6">
        <f t="shared" si="118"/>
        <v>2.2396639855005781E-2</v>
      </c>
      <c r="AZ383" s="8">
        <v>418868558.69889998</v>
      </c>
      <c r="BA383" s="10">
        <v>60480066</v>
      </c>
      <c r="BB383" s="11">
        <v>36980133.740000002</v>
      </c>
      <c r="BC383" s="10">
        <v>2971324</v>
      </c>
      <c r="BD383" s="10">
        <f>1000000000-999474952.4783+181189.6419</f>
        <v>706237.16360002453</v>
      </c>
      <c r="BE383" s="12">
        <f t="shared" si="119"/>
        <v>479993680.39749998</v>
      </c>
      <c r="BF383" s="13">
        <v>236.254254</v>
      </c>
      <c r="BG383" s="13">
        <f t="shared" si="120"/>
        <v>243.73942639749998</v>
      </c>
      <c r="BH383" s="14">
        <f>BE383*29.82</f>
        <v>14313411549.453449</v>
      </c>
    </row>
    <row r="384" spans="1:60" x14ac:dyDescent="0.25">
      <c r="A384" s="3">
        <v>46006</v>
      </c>
      <c r="B384" s="4">
        <v>7487679745</v>
      </c>
      <c r="C384" s="4">
        <v>343728284.25999999</v>
      </c>
      <c r="D384" s="4">
        <v>204867473</v>
      </c>
      <c r="E384" s="4"/>
      <c r="F384" s="17">
        <v>896442.39061377046</v>
      </c>
      <c r="G384" s="17">
        <v>17851194.41694805</v>
      </c>
      <c r="H384" s="17">
        <v>0</v>
      </c>
      <c r="I384" s="17">
        <v>228425182.29347309</v>
      </c>
      <c r="J384" s="17">
        <v>331889.38836209429</v>
      </c>
      <c r="K384" s="17">
        <v>96223575.770602971</v>
      </c>
      <c r="L384" s="14">
        <f t="shared" si="113"/>
        <v>343728284.25999999</v>
      </c>
      <c r="M384" s="21">
        <v>0.99781708661446356</v>
      </c>
      <c r="N384" s="4">
        <v>2345609.98</v>
      </c>
      <c r="O384" s="4">
        <v>46273.22</v>
      </c>
      <c r="P384" s="4">
        <v>103903.2</v>
      </c>
      <c r="Q384" s="4"/>
      <c r="R384" s="14">
        <f t="shared" si="121"/>
        <v>2495786.4000000004</v>
      </c>
      <c r="S384" s="6">
        <v>0.01</v>
      </c>
      <c r="T384" s="14">
        <f t="shared" si="122"/>
        <v>23456.0998</v>
      </c>
      <c r="U384" s="14">
        <f t="shared" si="123"/>
        <v>231.36610000000002</v>
      </c>
      <c r="V384" s="14">
        <f t="shared" si="124"/>
        <v>832.88470000000007</v>
      </c>
      <c r="W384" s="14" t="str">
        <f t="shared" si="125"/>
        <v/>
      </c>
      <c r="X384" s="4">
        <v>20614.73</v>
      </c>
      <c r="Y384" s="4">
        <v>23136.61</v>
      </c>
      <c r="Z384" s="4"/>
      <c r="AA384" s="14">
        <f t="shared" si="126"/>
        <v>68271.690600000002</v>
      </c>
      <c r="AB384" s="4">
        <v>203199.476</v>
      </c>
      <c r="AC384" s="4">
        <v>2345609.98</v>
      </c>
      <c r="AD384" s="14">
        <f t="shared" si="127"/>
        <v>23136.61</v>
      </c>
      <c r="AE384" s="14">
        <f t="shared" si="128"/>
        <v>83288.47</v>
      </c>
      <c r="AF384" s="14" t="str">
        <f t="shared" si="129"/>
        <v/>
      </c>
      <c r="AG384" s="15">
        <f t="shared" si="130"/>
        <v>2452035.06</v>
      </c>
      <c r="AH384" s="4">
        <v>2085901.23</v>
      </c>
      <c r="AI384" s="17">
        <f t="shared" si="131"/>
        <v>366133.83000000007</v>
      </c>
      <c r="AJ384" s="7">
        <f t="shared" si="114"/>
        <v>3.1326259400534764</v>
      </c>
      <c r="AK384" s="7">
        <f t="shared" si="115"/>
        <v>1.3462150808921622</v>
      </c>
      <c r="AL384" s="7">
        <f t="shared" si="116"/>
        <v>5.0717275162563258</v>
      </c>
      <c r="AM384" s="7" t="str">
        <f t="shared" si="117"/>
        <v/>
      </c>
      <c r="AN384" s="4">
        <v>24348.31314929279</v>
      </c>
      <c r="AO384" s="4">
        <v>0</v>
      </c>
      <c r="AP384" s="14">
        <f t="shared" si="132"/>
        <v>2110249.5431492929</v>
      </c>
      <c r="AQ384" s="14">
        <f t="shared" si="133"/>
        <v>2085901.23</v>
      </c>
      <c r="AR384" s="8">
        <v>73873.39</v>
      </c>
      <c r="AS384" s="20">
        <v>28.236165</v>
      </c>
      <c r="AT384" s="8">
        <v>37054037.490000002</v>
      </c>
      <c r="AU384" s="8">
        <v>26379.945199999998</v>
      </c>
      <c r="AV384" s="8">
        <v>1342.3667</v>
      </c>
      <c r="AW384" s="8"/>
      <c r="AX384" s="9">
        <v>431.21211314112082</v>
      </c>
      <c r="AY384" s="6">
        <f t="shared" si="118"/>
        <v>2.2329335620608747E-2</v>
      </c>
      <c r="AZ384" s="8">
        <v>418842178.7536</v>
      </c>
      <c r="BA384" s="10">
        <v>60480066</v>
      </c>
      <c r="BB384" s="11">
        <v>37054037.490000002</v>
      </c>
      <c r="BC384" s="10">
        <v>2971324</v>
      </c>
      <c r="BD384" s="10">
        <f>1000000000-999473610.1116+182027.7361</f>
        <v>708417.62449995859</v>
      </c>
      <c r="BE384" s="12">
        <f t="shared" si="119"/>
        <v>479943976.13190001</v>
      </c>
      <c r="BF384" s="13">
        <v>236.254254</v>
      </c>
      <c r="BG384" s="13">
        <f t="shared" si="120"/>
        <v>243.6897221319</v>
      </c>
      <c r="BH384" s="14">
        <f>BE384*29.04</f>
        <v>13937573066.870377</v>
      </c>
    </row>
    <row r="385" spans="1:60" x14ac:dyDescent="0.25">
      <c r="A385" s="3">
        <v>46007</v>
      </c>
      <c r="B385" s="4">
        <v>5155244183</v>
      </c>
      <c r="C385" s="4">
        <v>376409388.00999999</v>
      </c>
      <c r="D385" s="4">
        <v>239600242</v>
      </c>
      <c r="E385" s="4"/>
      <c r="F385" s="17">
        <v>1466261.250627493</v>
      </c>
      <c r="G385" s="17">
        <v>14419593.897570061</v>
      </c>
      <c r="H385" s="17">
        <v>0</v>
      </c>
      <c r="I385" s="17">
        <v>249648617.63557819</v>
      </c>
      <c r="J385" s="17">
        <v>136730.56860383699</v>
      </c>
      <c r="K385" s="17">
        <v>110738184.6576204</v>
      </c>
      <c r="L385" s="14">
        <f t="shared" ref="L385:L448" si="134">SUM(F385:K385)</f>
        <v>376409388.00999999</v>
      </c>
      <c r="M385" s="21">
        <v>1.005628452593512</v>
      </c>
      <c r="N385" s="4">
        <v>1670540.86</v>
      </c>
      <c r="O385" s="4">
        <v>51417.7</v>
      </c>
      <c r="P385" s="4">
        <v>121803.6</v>
      </c>
      <c r="Q385" s="4"/>
      <c r="R385" s="14">
        <f t="shared" si="121"/>
        <v>1843762.1600000001</v>
      </c>
      <c r="S385" s="6">
        <v>0.01</v>
      </c>
      <c r="T385" s="14">
        <f t="shared" si="122"/>
        <v>16705.408600000002</v>
      </c>
      <c r="U385" s="14">
        <f t="shared" si="123"/>
        <v>257.08850000000001</v>
      </c>
      <c r="V385" s="14">
        <f t="shared" si="124"/>
        <v>946.08870000000013</v>
      </c>
      <c r="W385" s="14" t="str">
        <f t="shared" si="125"/>
        <v/>
      </c>
      <c r="X385" s="4">
        <v>27194.73</v>
      </c>
      <c r="Y385" s="4">
        <v>25708.85</v>
      </c>
      <c r="Z385" s="4"/>
      <c r="AA385" s="14">
        <f t="shared" si="126"/>
        <v>70812.165800000002</v>
      </c>
      <c r="AB385" s="4">
        <v>169103.1054</v>
      </c>
      <c r="AC385" s="4">
        <v>1670540.86</v>
      </c>
      <c r="AD385" s="14">
        <f t="shared" si="127"/>
        <v>25708.85</v>
      </c>
      <c r="AE385" s="14">
        <f t="shared" si="128"/>
        <v>94608.87000000001</v>
      </c>
      <c r="AF385" s="14" t="str">
        <f t="shared" si="129"/>
        <v/>
      </c>
      <c r="AG385" s="15">
        <f t="shared" si="130"/>
        <v>1790858.5800000003</v>
      </c>
      <c r="AH385" s="4">
        <v>1517389.42</v>
      </c>
      <c r="AI385" s="17">
        <f t="shared" si="131"/>
        <v>273469.16000000038</v>
      </c>
      <c r="AJ385" s="7">
        <f t="shared" si="114"/>
        <v>3.2404689296945377</v>
      </c>
      <c r="AK385" s="7">
        <f t="shared" si="115"/>
        <v>1.3660047182094723</v>
      </c>
      <c r="AL385" s="7">
        <f t="shared" si="116"/>
        <v>5.083617569968899</v>
      </c>
      <c r="AM385" s="7" t="str">
        <f t="shared" si="117"/>
        <v/>
      </c>
      <c r="AN385" s="4">
        <v>21083.938197408861</v>
      </c>
      <c r="AO385" s="4">
        <v>0</v>
      </c>
      <c r="AP385" s="14">
        <f t="shared" si="132"/>
        <v>1538473.3581974087</v>
      </c>
      <c r="AQ385" s="14">
        <f t="shared" si="133"/>
        <v>1517389.42</v>
      </c>
      <c r="AR385" s="8">
        <v>56352.5</v>
      </c>
      <c r="AS385" s="20">
        <v>26.926745</v>
      </c>
      <c r="AT385" s="8">
        <v>37110589.780000001</v>
      </c>
      <c r="AU385" s="8">
        <v>26460.0854</v>
      </c>
      <c r="AV385" s="8">
        <v>1653.3904</v>
      </c>
      <c r="AW385" s="8"/>
      <c r="AX385" s="9">
        <v>431.09136718263198</v>
      </c>
      <c r="AY385" s="6">
        <f t="shared" si="118"/>
        <v>2.2403443692502464E-2</v>
      </c>
      <c r="AZ385" s="8">
        <v>418815718.66820002</v>
      </c>
      <c r="BA385" s="10">
        <v>60480066</v>
      </c>
      <c r="BB385" s="11">
        <v>37110589.780000001</v>
      </c>
      <c r="BC385" s="10">
        <v>2971324</v>
      </c>
      <c r="BD385" s="10">
        <f>1000000000-999471956.7212+182794.1461</f>
        <v>710837.42490001069</v>
      </c>
      <c r="BE385" s="12">
        <f t="shared" si="119"/>
        <v>479911464.12690002</v>
      </c>
      <c r="BF385" s="13">
        <v>236.254254</v>
      </c>
      <c r="BG385" s="13">
        <f t="shared" si="120"/>
        <v>243.6572101269</v>
      </c>
      <c r="BH385" s="14">
        <f>BE385*27.49</f>
        <v>13192766148.84848</v>
      </c>
    </row>
    <row r="386" spans="1:60" x14ac:dyDescent="0.25">
      <c r="A386" s="3">
        <v>46008</v>
      </c>
      <c r="B386" s="4">
        <v>7761393850</v>
      </c>
      <c r="C386" s="4">
        <v>375523264.19999999</v>
      </c>
      <c r="D386" s="4">
        <v>333119055</v>
      </c>
      <c r="E386" s="4"/>
      <c r="F386" s="17">
        <v>1758723.712846745</v>
      </c>
      <c r="G386" s="17">
        <v>18976521.05521749</v>
      </c>
      <c r="H386" s="17">
        <v>0</v>
      </c>
      <c r="I386" s="17">
        <v>213351948.1952213</v>
      </c>
      <c r="J386" s="17">
        <v>260998.541155268</v>
      </c>
      <c r="K386" s="17">
        <v>141175072.6955592</v>
      </c>
      <c r="L386" s="14">
        <f t="shared" si="134"/>
        <v>375523264.20000005</v>
      </c>
      <c r="M386" s="21">
        <v>0.98174163546757165</v>
      </c>
      <c r="N386" s="4">
        <v>2436868.86</v>
      </c>
      <c r="O386" s="4">
        <v>56309.16</v>
      </c>
      <c r="P386" s="4">
        <v>180362.71</v>
      </c>
      <c r="Q386" s="4"/>
      <c r="R386" s="14">
        <f t="shared" si="121"/>
        <v>2673540.73</v>
      </c>
      <c r="S386" s="6">
        <v>0.01</v>
      </c>
      <c r="T386" s="14">
        <f t="shared" si="122"/>
        <v>24368.688599999998</v>
      </c>
      <c r="U386" s="14">
        <f t="shared" si="123"/>
        <v>281.54580000000004</v>
      </c>
      <c r="V386" s="14">
        <f t="shared" si="124"/>
        <v>1589.4670999999998</v>
      </c>
      <c r="W386" s="14" t="str">
        <f t="shared" si="125"/>
        <v/>
      </c>
      <c r="X386" s="4">
        <v>21416</v>
      </c>
      <c r="Y386" s="4">
        <v>28154.58</v>
      </c>
      <c r="Z386" s="4"/>
      <c r="AA386" s="14">
        <f t="shared" si="126"/>
        <v>75810.281499999997</v>
      </c>
      <c r="AB386" s="4">
        <v>229048.74110000001</v>
      </c>
      <c r="AC386" s="4">
        <v>2436868.86</v>
      </c>
      <c r="AD386" s="14">
        <f t="shared" si="127"/>
        <v>28154.58</v>
      </c>
      <c r="AE386" s="14">
        <f t="shared" si="128"/>
        <v>158946.71</v>
      </c>
      <c r="AF386" s="14" t="str">
        <f t="shared" si="129"/>
        <v/>
      </c>
      <c r="AG386" s="15">
        <f t="shared" si="130"/>
        <v>2623970.15</v>
      </c>
      <c r="AH386" s="4">
        <v>2218531.25</v>
      </c>
      <c r="AI386" s="17">
        <f t="shared" si="131"/>
        <v>405438.89999999991</v>
      </c>
      <c r="AJ386" s="7">
        <f t="shared" si="114"/>
        <v>3.13973096469006</v>
      </c>
      <c r="AK386" s="7">
        <f t="shared" si="115"/>
        <v>1.4994852614513465</v>
      </c>
      <c r="AL386" s="7">
        <f t="shared" si="116"/>
        <v>5.414361841294248</v>
      </c>
      <c r="AM386" s="7" t="str">
        <f t="shared" si="117"/>
        <v/>
      </c>
      <c r="AN386" s="4">
        <v>50748.687703020652</v>
      </c>
      <c r="AO386" s="4">
        <v>13390.12</v>
      </c>
      <c r="AP386" s="14">
        <f t="shared" si="132"/>
        <v>2282670.057703021</v>
      </c>
      <c r="AQ386" s="14">
        <f t="shared" si="133"/>
        <v>2218531.25</v>
      </c>
      <c r="AR386" s="8">
        <v>84365.17</v>
      </c>
      <c r="AS386" s="20">
        <v>26.296766999999999</v>
      </c>
      <c r="AT386" s="8">
        <v>37194424.759999998</v>
      </c>
      <c r="AU386" s="8">
        <v>26428.4254</v>
      </c>
      <c r="AV386" s="8">
        <v>1593.7828999999999</v>
      </c>
      <c r="AW386" s="8"/>
      <c r="AX386" s="9">
        <v>431.70320164946781</v>
      </c>
      <c r="AY386" s="6">
        <f t="shared" si="118"/>
        <v>2.234492409169718E-2</v>
      </c>
      <c r="AZ386" s="8">
        <v>418789290.24290001</v>
      </c>
      <c r="BA386" s="10">
        <v>60480066</v>
      </c>
      <c r="BB386" s="11">
        <v>37194424.759999998</v>
      </c>
      <c r="BC386" s="10">
        <v>2971324</v>
      </c>
      <c r="BD386" s="10">
        <f>1000000000-999470362.9383+184710.782</f>
        <v>714347.84369998646</v>
      </c>
      <c r="BE386" s="12">
        <f t="shared" si="119"/>
        <v>479850547.1534</v>
      </c>
      <c r="BF386" s="13">
        <v>236.254254</v>
      </c>
      <c r="BG386" s="13">
        <f t="shared" si="120"/>
        <v>243.59629315339998</v>
      </c>
      <c r="BH386" s="14">
        <f>BE386*26.45</f>
        <v>12692046972.20743</v>
      </c>
    </row>
    <row r="387" spans="1:60" x14ac:dyDescent="0.25">
      <c r="A387" s="3">
        <v>46009</v>
      </c>
      <c r="B387" s="4">
        <v>8258496359</v>
      </c>
      <c r="C387" s="4">
        <v>381511519.32999998</v>
      </c>
      <c r="D387" s="4">
        <v>324184203</v>
      </c>
      <c r="E387" s="4"/>
      <c r="F387" s="17">
        <v>5653540.5976645276</v>
      </c>
      <c r="G387" s="17">
        <v>16612582.937039761</v>
      </c>
      <c r="H387" s="17">
        <v>0</v>
      </c>
      <c r="I387" s="17">
        <v>238384062.2414836</v>
      </c>
      <c r="J387" s="17">
        <v>251889.36811727341</v>
      </c>
      <c r="K387" s="17">
        <v>120609444.1856949</v>
      </c>
      <c r="L387" s="14">
        <f t="shared" si="134"/>
        <v>381511519.33000004</v>
      </c>
      <c r="M387" s="21">
        <v>1.011420858296832</v>
      </c>
      <c r="N387" s="4">
        <v>2646336.29</v>
      </c>
      <c r="O387" s="4">
        <v>71040.639999999999</v>
      </c>
      <c r="P387" s="4">
        <v>158807.94</v>
      </c>
      <c r="Q387" s="4"/>
      <c r="R387" s="14">
        <f t="shared" si="121"/>
        <v>2876184.87</v>
      </c>
      <c r="S387" s="6">
        <v>0.01</v>
      </c>
      <c r="T387" s="14">
        <f t="shared" si="122"/>
        <v>26463.3629</v>
      </c>
      <c r="U387" s="14">
        <f t="shared" si="123"/>
        <v>355.20319999999998</v>
      </c>
      <c r="V387" s="14">
        <f t="shared" si="124"/>
        <v>1281.5441000000001</v>
      </c>
      <c r="W387" s="14" t="str">
        <f t="shared" si="125"/>
        <v/>
      </c>
      <c r="X387" s="4">
        <v>30653.53</v>
      </c>
      <c r="Y387" s="4">
        <v>35520.32</v>
      </c>
      <c r="Z387" s="4"/>
      <c r="AA387" s="14">
        <f t="shared" si="126"/>
        <v>94273.960200000001</v>
      </c>
      <c r="AB387" s="4">
        <v>234498.5361</v>
      </c>
      <c r="AC387" s="4">
        <v>2646336.29</v>
      </c>
      <c r="AD387" s="14">
        <f t="shared" si="127"/>
        <v>35520.32</v>
      </c>
      <c r="AE387" s="14">
        <f t="shared" si="128"/>
        <v>128154.41</v>
      </c>
      <c r="AF387" s="14" t="str">
        <f t="shared" si="129"/>
        <v/>
      </c>
      <c r="AG387" s="15">
        <f t="shared" si="130"/>
        <v>2810011.02</v>
      </c>
      <c r="AH387" s="4">
        <v>2410570.41</v>
      </c>
      <c r="AI387" s="17">
        <f t="shared" si="131"/>
        <v>399440.60999999987</v>
      </c>
      <c r="AJ387" s="7">
        <f t="shared" si="114"/>
        <v>3.2043802829991659</v>
      </c>
      <c r="AK387" s="7">
        <f t="shared" si="115"/>
        <v>1.8620837484739545</v>
      </c>
      <c r="AL387" s="7">
        <f t="shared" si="116"/>
        <v>4.8986945856828195</v>
      </c>
      <c r="AM387" s="7" t="str">
        <f t="shared" si="117"/>
        <v/>
      </c>
      <c r="AN387" s="4">
        <v>46706.368351891651</v>
      </c>
      <c r="AO387" s="4">
        <v>0</v>
      </c>
      <c r="AP387" s="14">
        <f t="shared" si="132"/>
        <v>2457276.7783518918</v>
      </c>
      <c r="AQ387" s="14">
        <f t="shared" si="133"/>
        <v>2410570.41</v>
      </c>
      <c r="AR387" s="8">
        <v>100632.9</v>
      </c>
      <c r="AS387" s="20">
        <v>23.954098999999999</v>
      </c>
      <c r="AT387" s="8">
        <v>37295349.990000002</v>
      </c>
      <c r="AU387" s="8">
        <v>26437.158299999999</v>
      </c>
      <c r="AV387" s="8">
        <v>2179.0652</v>
      </c>
      <c r="AW387" s="8"/>
      <c r="AX387" s="9">
        <v>433.36037244255073</v>
      </c>
      <c r="AY387" s="6">
        <f t="shared" si="118"/>
        <v>2.2266832394277614E-2</v>
      </c>
      <c r="AZ387" s="8">
        <v>418762853.08459997</v>
      </c>
      <c r="BA387" s="10">
        <v>60480066</v>
      </c>
      <c r="BB387" s="11">
        <v>37295349.990000002</v>
      </c>
      <c r="BC387" s="10">
        <v>2971324</v>
      </c>
      <c r="BD387" s="10">
        <f>1000000000-999468183.8731+186612.7395</f>
        <v>718428.86639995768</v>
      </c>
      <c r="BE387" s="12">
        <f t="shared" si="119"/>
        <v>479771978.05900007</v>
      </c>
      <c r="BF387" s="13">
        <v>236.254254</v>
      </c>
      <c r="BG387" s="13">
        <f t="shared" si="120"/>
        <v>243.51772405900005</v>
      </c>
      <c r="BH387" s="14">
        <f>BE387*24.56</f>
        <v>11783199781.129042</v>
      </c>
    </row>
    <row r="388" spans="1:60" x14ac:dyDescent="0.25">
      <c r="A388" s="3">
        <v>46010</v>
      </c>
      <c r="B388" s="4">
        <v>7043735255</v>
      </c>
      <c r="C388" s="4">
        <v>275904390.10000002</v>
      </c>
      <c r="D388" s="4">
        <v>175131503</v>
      </c>
      <c r="E388" s="4"/>
      <c r="F388" s="17">
        <v>5422057.4209669372</v>
      </c>
      <c r="G388" s="17">
        <v>12090312.482751369</v>
      </c>
      <c r="H388" s="17">
        <v>0</v>
      </c>
      <c r="I388" s="17">
        <v>169752639.87511301</v>
      </c>
      <c r="J388" s="17">
        <v>262363.22888258938</v>
      </c>
      <c r="K388" s="17">
        <v>88377017.09228614</v>
      </c>
      <c r="L388" s="14">
        <f t="shared" si="134"/>
        <v>275904390.10000002</v>
      </c>
      <c r="M388" s="21">
        <v>0.9538492573215992</v>
      </c>
      <c r="N388" s="4">
        <v>2202157.1</v>
      </c>
      <c r="O388" s="4">
        <v>63494.48</v>
      </c>
      <c r="P388" s="4">
        <v>95008.86</v>
      </c>
      <c r="Q388" s="4"/>
      <c r="R388" s="14">
        <f t="shared" si="121"/>
        <v>2360660.44</v>
      </c>
      <c r="S388" s="6">
        <v>0.01</v>
      </c>
      <c r="T388" s="14">
        <f t="shared" si="122"/>
        <v>22021.571</v>
      </c>
      <c r="U388" s="14">
        <f t="shared" si="123"/>
        <v>317.47240000000005</v>
      </c>
      <c r="V388" s="14">
        <f t="shared" si="124"/>
        <v>727.58600000000013</v>
      </c>
      <c r="W388" s="14" t="str">
        <f t="shared" si="125"/>
        <v/>
      </c>
      <c r="X388" s="4">
        <v>22250.26</v>
      </c>
      <c r="Y388" s="4">
        <v>31747.24</v>
      </c>
      <c r="Z388" s="4"/>
      <c r="AA388" s="14">
        <f t="shared" si="126"/>
        <v>77064.129400000005</v>
      </c>
      <c r="AB388" s="4">
        <v>202550.5723</v>
      </c>
      <c r="AC388" s="4">
        <v>2202157.1</v>
      </c>
      <c r="AD388" s="14">
        <f t="shared" si="127"/>
        <v>31747.24</v>
      </c>
      <c r="AE388" s="14">
        <f t="shared" si="128"/>
        <v>72758.600000000006</v>
      </c>
      <c r="AF388" s="14" t="str">
        <f t="shared" si="129"/>
        <v/>
      </c>
      <c r="AG388" s="15">
        <f t="shared" si="130"/>
        <v>2306662.9400000004</v>
      </c>
      <c r="AH388" s="4">
        <v>1974369.74</v>
      </c>
      <c r="AI388" s="17">
        <f t="shared" si="131"/>
        <v>332293.20000000042</v>
      </c>
      <c r="AJ388" s="7">
        <f t="shared" ref="AJ388:AJ451" si="135">IF(OR(B388="",B388=0,N388=""),"",N388/B388*10000)</f>
        <v>3.1264052669168638</v>
      </c>
      <c r="AK388" s="7">
        <f t="shared" ref="AK388:AK451" si="136">IF(OR(C388="",C388=0),"",O388/C388*10000)</f>
        <v>2.3013218447516106</v>
      </c>
      <c r="AL388" s="7">
        <f t="shared" ref="AL388:AL451" si="137">IF(OR(D388="",D388=0),"",P388/D388*10000)</f>
        <v>5.4250011204437616</v>
      </c>
      <c r="AM388" s="7" t="str">
        <f t="shared" ref="AM388:AM451" si="138">IF(OR(E388="",E388=0),"",Q388/E388*10000)</f>
        <v/>
      </c>
      <c r="AN388" s="4">
        <v>17739.36918162803</v>
      </c>
      <c r="AO388" s="4">
        <v>0</v>
      </c>
      <c r="AP388" s="14">
        <f t="shared" si="132"/>
        <v>1992109.1091816281</v>
      </c>
      <c r="AQ388" s="14">
        <f t="shared" si="133"/>
        <v>1974369.74</v>
      </c>
      <c r="AR388" s="8">
        <v>82489.649999999994</v>
      </c>
      <c r="AS388" s="20">
        <v>23.934757000000001</v>
      </c>
      <c r="AT388" s="8">
        <v>37378176.689999998</v>
      </c>
      <c r="AU388" s="8">
        <v>26418.939600000002</v>
      </c>
      <c r="AV388" s="8">
        <v>2138.5104000000001</v>
      </c>
      <c r="AW388" s="8"/>
      <c r="AX388" s="9">
        <v>433.8697908615033</v>
      </c>
      <c r="AY388" s="6">
        <f t="shared" ref="AY388:AY451" si="139">IF(OR(AX388="",AX388=0,AU388=""),"",AU388*365/(AX388*1000000))</f>
        <v>2.2225361518839044E-2</v>
      </c>
      <c r="AZ388" s="8">
        <v>418736434.14499998</v>
      </c>
      <c r="BA388" s="10">
        <v>60480066</v>
      </c>
      <c r="BB388" s="11">
        <v>37378176.689999998</v>
      </c>
      <c r="BC388" s="10">
        <v>2971324</v>
      </c>
      <c r="BD388" s="10">
        <f>1000000000-999466045.3627+187403.7927</f>
        <v>721358.43000001449</v>
      </c>
      <c r="BE388" s="12">
        <f t="shared" ref="BE388:BE451" si="140">1000000000-AZ388-BA388-BB388-BC388-BD388</f>
        <v>479712640.73500001</v>
      </c>
      <c r="BF388" s="13">
        <v>236.254254</v>
      </c>
      <c r="BG388" s="13">
        <f t="shared" ref="BG388:BG451" si="141">BE388/1000000-BF388</f>
        <v>243.45838673500003</v>
      </c>
      <c r="BH388" s="14">
        <f>BE388*22.42</f>
        <v>10755157405.278702</v>
      </c>
    </row>
    <row r="389" spans="1:60" x14ac:dyDescent="0.25">
      <c r="A389" s="3">
        <v>46011</v>
      </c>
      <c r="B389" s="4">
        <v>1595882244</v>
      </c>
      <c r="C389" s="4">
        <v>63203884.549999997</v>
      </c>
      <c r="D389" s="4">
        <v>80232171</v>
      </c>
      <c r="E389" s="4"/>
      <c r="F389" s="17">
        <v>335417.06104969821</v>
      </c>
      <c r="G389" s="17">
        <v>15790355.848463921</v>
      </c>
      <c r="H389" s="17">
        <v>0</v>
      </c>
      <c r="I389" s="17">
        <v>33577586.097461239</v>
      </c>
      <c r="J389" s="17">
        <v>1441997.3796149469</v>
      </c>
      <c r="K389" s="17">
        <v>12058528.16341019</v>
      </c>
      <c r="L389" s="14">
        <f t="shared" si="134"/>
        <v>63203884.549999997</v>
      </c>
      <c r="M389" s="21">
        <v>1.010164024090535</v>
      </c>
      <c r="N389" s="4">
        <v>540655.88</v>
      </c>
      <c r="O389" s="4">
        <v>24101</v>
      </c>
      <c r="P389" s="4">
        <v>56512.81</v>
      </c>
      <c r="Q389" s="4"/>
      <c r="R389" s="14">
        <f t="shared" si="121"/>
        <v>621269.68999999994</v>
      </c>
      <c r="S389" s="6">
        <v>0.01</v>
      </c>
      <c r="T389" s="14">
        <f t="shared" si="122"/>
        <v>5406.5587999999998</v>
      </c>
      <c r="U389" s="14">
        <f t="shared" si="123"/>
        <v>120.505</v>
      </c>
      <c r="V389" s="14">
        <f t="shared" si="124"/>
        <v>443.38399999999996</v>
      </c>
      <c r="W389" s="14" t="str">
        <f t="shared" si="125"/>
        <v/>
      </c>
      <c r="X389" s="4">
        <v>12174.41</v>
      </c>
      <c r="Y389" s="4">
        <v>12050.5</v>
      </c>
      <c r="Z389" s="4"/>
      <c r="AA389" s="14">
        <f t="shared" si="126"/>
        <v>30195.357799999998</v>
      </c>
      <c r="AB389" s="4">
        <v>76049.832900000009</v>
      </c>
      <c r="AC389" s="4">
        <v>540655.88</v>
      </c>
      <c r="AD389" s="14">
        <f t="shared" si="127"/>
        <v>12050.5</v>
      </c>
      <c r="AE389" s="14">
        <f t="shared" si="128"/>
        <v>44338.399999999994</v>
      </c>
      <c r="AF389" s="14" t="str">
        <f t="shared" si="129"/>
        <v/>
      </c>
      <c r="AG389" s="15">
        <f t="shared" si="130"/>
        <v>597044.78</v>
      </c>
      <c r="AH389" s="4">
        <v>498643.46</v>
      </c>
      <c r="AI389" s="17">
        <f t="shared" si="131"/>
        <v>98401.32</v>
      </c>
      <c r="AJ389" s="7">
        <f t="shared" si="135"/>
        <v>3.387818130270519</v>
      </c>
      <c r="AK389" s="7">
        <f t="shared" si="136"/>
        <v>3.8132149901219958</v>
      </c>
      <c r="AL389" s="7">
        <f t="shared" si="137"/>
        <v>7.0436595813916085</v>
      </c>
      <c r="AM389" s="7" t="str">
        <f t="shared" si="138"/>
        <v/>
      </c>
      <c r="AN389" s="4">
        <v>9913.6655010029954</v>
      </c>
      <c r="AO389" s="4">
        <v>0</v>
      </c>
      <c r="AP389" s="14">
        <f t="shared" si="132"/>
        <v>508557.125501003</v>
      </c>
      <c r="AQ389" s="14">
        <f t="shared" si="133"/>
        <v>498643.46</v>
      </c>
      <c r="AR389" s="8">
        <v>20165.54</v>
      </c>
      <c r="AS389" s="20">
        <v>24.727502999999999</v>
      </c>
      <c r="AT389" s="8">
        <v>37397363.992555119</v>
      </c>
      <c r="AU389" s="8">
        <v>26487.66</v>
      </c>
      <c r="AV389" s="8">
        <v>1719.4939999999999</v>
      </c>
      <c r="AW389" s="8"/>
      <c r="AX389" s="9">
        <v>433.3818294790907</v>
      </c>
      <c r="AY389" s="6">
        <f t="shared" si="139"/>
        <v>2.2308263158196048E-2</v>
      </c>
      <c r="AZ389" s="8">
        <v>418709946.48500001</v>
      </c>
      <c r="BA389" s="10">
        <v>60480066</v>
      </c>
      <c r="BB389" s="11">
        <v>37397363.992555119</v>
      </c>
      <c r="BC389" s="10">
        <v>2971324</v>
      </c>
      <c r="BD389" s="10">
        <f>1000000000-999464325.8687+187803.6663</f>
        <v>723477.79759997257</v>
      </c>
      <c r="BE389" s="12">
        <f t="shared" si="140"/>
        <v>479717821.72484487</v>
      </c>
      <c r="BF389" s="13">
        <v>236.254254</v>
      </c>
      <c r="BG389" s="13">
        <f t="shared" si="141"/>
        <v>243.46356772484489</v>
      </c>
      <c r="BH389" s="14">
        <f>BE389*24.8</f>
        <v>11897001978.776154</v>
      </c>
    </row>
    <row r="390" spans="1:60" x14ac:dyDescent="0.25">
      <c r="A390" s="3">
        <v>46012</v>
      </c>
      <c r="B390" s="4">
        <v>2410566326</v>
      </c>
      <c r="C390" s="4">
        <v>58000536.240000002</v>
      </c>
      <c r="D390" s="4">
        <v>82086140</v>
      </c>
      <c r="E390" s="4"/>
      <c r="F390" s="17">
        <v>1089357.1536203851</v>
      </c>
      <c r="G390" s="17">
        <v>13260676.19452315</v>
      </c>
      <c r="H390" s="17">
        <v>0</v>
      </c>
      <c r="I390" s="17">
        <v>38161858.878085963</v>
      </c>
      <c r="J390" s="17">
        <v>1110870.4598879761</v>
      </c>
      <c r="K390" s="17">
        <v>4377773.553882529</v>
      </c>
      <c r="L390" s="14">
        <f t="shared" si="134"/>
        <v>58000536.240000002</v>
      </c>
      <c r="M390" s="21">
        <v>1.0446198421003769</v>
      </c>
      <c r="N390" s="4">
        <v>798820.35</v>
      </c>
      <c r="O390" s="4">
        <v>22197.8</v>
      </c>
      <c r="P390" s="4">
        <v>52472.9</v>
      </c>
      <c r="Q390" s="4"/>
      <c r="R390" s="14">
        <f t="shared" si="121"/>
        <v>873491.05</v>
      </c>
      <c r="S390" s="6">
        <v>0.01</v>
      </c>
      <c r="T390" s="14">
        <f t="shared" si="122"/>
        <v>7988.2034999999996</v>
      </c>
      <c r="U390" s="14">
        <f t="shared" si="123"/>
        <v>110.989</v>
      </c>
      <c r="V390" s="14">
        <f t="shared" si="124"/>
        <v>415.29930000000002</v>
      </c>
      <c r="W390" s="14" t="str">
        <f t="shared" si="125"/>
        <v/>
      </c>
      <c r="X390" s="4">
        <v>10942.97</v>
      </c>
      <c r="Y390" s="4">
        <v>11098.9</v>
      </c>
      <c r="Z390" s="4"/>
      <c r="AA390" s="14">
        <f t="shared" si="126"/>
        <v>30556.361799999999</v>
      </c>
      <c r="AB390" s="4">
        <v>94897.201399999991</v>
      </c>
      <c r="AC390" s="4">
        <v>798820.35</v>
      </c>
      <c r="AD390" s="14">
        <f t="shared" si="127"/>
        <v>11098.9</v>
      </c>
      <c r="AE390" s="14">
        <f t="shared" si="128"/>
        <v>41529.93</v>
      </c>
      <c r="AF390" s="14" t="str">
        <f t="shared" si="129"/>
        <v/>
      </c>
      <c r="AG390" s="15">
        <f t="shared" si="130"/>
        <v>851449.18</v>
      </c>
      <c r="AH390" s="4">
        <v>614571.29</v>
      </c>
      <c r="AI390" s="17">
        <f t="shared" si="131"/>
        <v>236877.89</v>
      </c>
      <c r="AJ390" s="7">
        <f t="shared" si="135"/>
        <v>3.3138285447035654</v>
      </c>
      <c r="AK390" s="7">
        <f t="shared" si="136"/>
        <v>3.8271715123715206</v>
      </c>
      <c r="AL390" s="7">
        <f t="shared" si="137"/>
        <v>6.3924189881507401</v>
      </c>
      <c r="AM390" s="7" t="str">
        <f t="shared" si="138"/>
        <v/>
      </c>
      <c r="AN390" s="4">
        <v>8537.9963741911488</v>
      </c>
      <c r="AO390" s="4">
        <v>0</v>
      </c>
      <c r="AP390" s="14">
        <f t="shared" si="132"/>
        <v>623109.28637419117</v>
      </c>
      <c r="AQ390" s="14">
        <f t="shared" si="133"/>
        <v>614571.29</v>
      </c>
      <c r="AR390" s="8">
        <v>25490.35</v>
      </c>
      <c r="AS390" s="20">
        <v>24.109959</v>
      </c>
      <c r="AT390" s="8">
        <v>37430045.182555117</v>
      </c>
      <c r="AU390" s="8">
        <v>26425.369500000001</v>
      </c>
      <c r="AV390" s="8">
        <v>257.27159999999998</v>
      </c>
      <c r="AW390" s="8"/>
      <c r="AX390" s="9">
        <v>433.36751649524359</v>
      </c>
      <c r="AY390" s="6">
        <f t="shared" si="139"/>
        <v>2.2256536312420777E-2</v>
      </c>
      <c r="AZ390" s="8">
        <v>418683521.11559999</v>
      </c>
      <c r="BA390" s="10">
        <v>60480066</v>
      </c>
      <c r="BB390" s="11">
        <v>37430045.182555117</v>
      </c>
      <c r="BC390" s="10">
        <v>2971324</v>
      </c>
      <c r="BD390" s="10">
        <f>1000000000-999464068.5971+188158.1459</f>
        <v>724089.54879998055</v>
      </c>
      <c r="BE390" s="12">
        <f t="shared" si="140"/>
        <v>479710954.15304488</v>
      </c>
      <c r="BF390" s="13">
        <v>236.254254</v>
      </c>
      <c r="BG390" s="13">
        <f t="shared" si="141"/>
        <v>243.45670015304489</v>
      </c>
      <c r="BH390" s="14">
        <f>BE390*24.07</f>
        <v>11546642666.463791</v>
      </c>
    </row>
    <row r="391" spans="1:60" x14ac:dyDescent="0.25">
      <c r="A391" s="3">
        <v>46013</v>
      </c>
      <c r="B391" s="4">
        <v>6062565800</v>
      </c>
      <c r="C391" s="4">
        <v>200135146.56999999</v>
      </c>
      <c r="D391" s="4">
        <v>131313939</v>
      </c>
      <c r="E391" s="4"/>
      <c r="F391" s="17">
        <v>6279140.6451199995</v>
      </c>
      <c r="G391" s="17">
        <v>17607695.18520144</v>
      </c>
      <c r="H391" s="17">
        <v>0</v>
      </c>
      <c r="I391" s="17">
        <v>98752046.942693055</v>
      </c>
      <c r="J391" s="17">
        <v>238454.30334569269</v>
      </c>
      <c r="K391" s="17">
        <v>77257809.493639782</v>
      </c>
      <c r="L391" s="14">
        <f t="shared" si="134"/>
        <v>200135146.56999996</v>
      </c>
      <c r="M391" s="21">
        <v>0.99329764994951264</v>
      </c>
      <c r="N391" s="4">
        <v>1919310.31</v>
      </c>
      <c r="O391" s="4">
        <v>54593.2</v>
      </c>
      <c r="P391" s="4">
        <v>71141.84</v>
      </c>
      <c r="Q391" s="4"/>
      <c r="R391" s="14">
        <f t="shared" si="121"/>
        <v>2045045.35</v>
      </c>
      <c r="S391" s="6">
        <v>0.01</v>
      </c>
      <c r="T391" s="14">
        <f t="shared" si="122"/>
        <v>19193.1031</v>
      </c>
      <c r="U391" s="14">
        <f t="shared" si="123"/>
        <v>272.96600000000001</v>
      </c>
      <c r="V391" s="14">
        <f t="shared" si="124"/>
        <v>562.66009999999994</v>
      </c>
      <c r="W391" s="14" t="str">
        <f t="shared" si="125"/>
        <v/>
      </c>
      <c r="X391" s="4">
        <v>14875.83</v>
      </c>
      <c r="Y391" s="4">
        <v>27296.6</v>
      </c>
      <c r="Z391" s="4"/>
      <c r="AA391" s="14">
        <f t="shared" si="126"/>
        <v>62201.159200000002</v>
      </c>
      <c r="AB391" s="4">
        <v>195006.72210000001</v>
      </c>
      <c r="AC391" s="4">
        <v>1919310.31</v>
      </c>
      <c r="AD391" s="14">
        <f t="shared" si="127"/>
        <v>27296.6</v>
      </c>
      <c r="AE391" s="14">
        <f t="shared" si="128"/>
        <v>56266.009999999995</v>
      </c>
      <c r="AF391" s="14" t="str">
        <f t="shared" si="129"/>
        <v/>
      </c>
      <c r="AG391" s="15">
        <f t="shared" si="130"/>
        <v>2002872.9200000002</v>
      </c>
      <c r="AH391" s="4">
        <v>1753928.69</v>
      </c>
      <c r="AI391" s="17">
        <f t="shared" si="131"/>
        <v>248944.23000000021</v>
      </c>
      <c r="AJ391" s="7">
        <f t="shared" si="135"/>
        <v>3.1658383155198089</v>
      </c>
      <c r="AK391" s="7">
        <f t="shared" si="136"/>
        <v>2.7278167246303879</v>
      </c>
      <c r="AL391" s="7">
        <f t="shared" si="137"/>
        <v>5.4176914150751347</v>
      </c>
      <c r="AM391" s="7" t="str">
        <f t="shared" si="138"/>
        <v/>
      </c>
      <c r="AN391" s="4">
        <v>12155.066796950039</v>
      </c>
      <c r="AO391" s="4">
        <v>23635.93</v>
      </c>
      <c r="AP391" s="14">
        <f t="shared" si="132"/>
        <v>1789719.6867969499</v>
      </c>
      <c r="AQ391" s="14">
        <f t="shared" si="133"/>
        <v>1753928.69</v>
      </c>
      <c r="AR391" s="8">
        <v>70611.64</v>
      </c>
      <c r="AS391" s="20">
        <v>24.839086999999999</v>
      </c>
      <c r="AT391" s="8">
        <v>37494236.912555121</v>
      </c>
      <c r="AU391" s="8">
        <v>26443.411</v>
      </c>
      <c r="AV391" s="8">
        <v>1666.3489</v>
      </c>
      <c r="AW391" s="8"/>
      <c r="AX391" s="9">
        <v>433.28130155847259</v>
      </c>
      <c r="AY391" s="6">
        <f t="shared" si="139"/>
        <v>2.2276163269181502E-2</v>
      </c>
      <c r="AZ391" s="8">
        <v>418657077.70450002</v>
      </c>
      <c r="BA391" s="10">
        <v>60480066</v>
      </c>
      <c r="BB391" s="11">
        <v>37494236.912555121</v>
      </c>
      <c r="BC391" s="10">
        <v>2971324</v>
      </c>
      <c r="BD391" s="10">
        <f>1000000000-999462402.2482+188651.8329</f>
        <v>726249.5846999411</v>
      </c>
      <c r="BE391" s="12">
        <f t="shared" si="140"/>
        <v>479671045.79824501</v>
      </c>
      <c r="BF391" s="13">
        <v>236.254254</v>
      </c>
      <c r="BG391" s="13">
        <f t="shared" si="141"/>
        <v>243.41679179824501</v>
      </c>
      <c r="BH391" s="14">
        <f>BE391*24.62</f>
        <v>11809501147.552794</v>
      </c>
    </row>
    <row r="392" spans="1:60" x14ac:dyDescent="0.25">
      <c r="A392" s="3">
        <v>46014</v>
      </c>
      <c r="B392" s="4">
        <v>5129999887</v>
      </c>
      <c r="C392" s="4">
        <v>273953290.24000001</v>
      </c>
      <c r="D392" s="4">
        <v>114039289</v>
      </c>
      <c r="E392" s="4"/>
      <c r="F392" s="17">
        <v>8697649.7929398958</v>
      </c>
      <c r="G392" s="17">
        <v>15644600.904619619</v>
      </c>
      <c r="H392" s="17">
        <v>720827.68991941225</v>
      </c>
      <c r="I392" s="17">
        <v>187248020.56822029</v>
      </c>
      <c r="J392" s="17">
        <v>876791.30429717805</v>
      </c>
      <c r="K392" s="17">
        <v>60765399.980003603</v>
      </c>
      <c r="L392" s="14">
        <f t="shared" si="134"/>
        <v>273953290.24000001</v>
      </c>
      <c r="M392" s="21">
        <v>0.99745727904892167</v>
      </c>
      <c r="N392" s="4">
        <v>1703136.33</v>
      </c>
      <c r="O392" s="4">
        <v>61952.14</v>
      </c>
      <c r="P392" s="4">
        <v>72913.08</v>
      </c>
      <c r="Q392" s="4"/>
      <c r="R392" s="14">
        <f t="shared" si="121"/>
        <v>1838001.55</v>
      </c>
      <c r="S392" s="6">
        <v>0.01</v>
      </c>
      <c r="T392" s="14">
        <f t="shared" si="122"/>
        <v>17031.363300000001</v>
      </c>
      <c r="U392" s="14">
        <f t="shared" si="123"/>
        <v>309.76069999999999</v>
      </c>
      <c r="V392" s="14">
        <f t="shared" si="124"/>
        <v>600.47990000000004</v>
      </c>
      <c r="W392" s="14" t="str">
        <f t="shared" si="125"/>
        <v/>
      </c>
      <c r="X392" s="4">
        <v>12865.09</v>
      </c>
      <c r="Y392" s="4">
        <v>30976.07</v>
      </c>
      <c r="Z392" s="4"/>
      <c r="AA392" s="14">
        <f t="shared" si="126"/>
        <v>61782.763899999998</v>
      </c>
      <c r="AB392" s="4">
        <v>169671.14019999999</v>
      </c>
      <c r="AC392" s="4">
        <v>1703136.33</v>
      </c>
      <c r="AD392" s="14">
        <f t="shared" si="127"/>
        <v>30976.07</v>
      </c>
      <c r="AE392" s="14">
        <f t="shared" si="128"/>
        <v>60047.990000000005</v>
      </c>
      <c r="AF392" s="14" t="str">
        <f t="shared" si="129"/>
        <v/>
      </c>
      <c r="AG392" s="15">
        <f t="shared" si="130"/>
        <v>1794160.3900000001</v>
      </c>
      <c r="AH392" s="4">
        <v>1416162.2</v>
      </c>
      <c r="AI392" s="17">
        <f t="shared" si="131"/>
        <v>377998.19000000018</v>
      </c>
      <c r="AJ392" s="7">
        <f t="shared" si="135"/>
        <v>3.3199539327787124</v>
      </c>
      <c r="AK392" s="7">
        <f t="shared" si="136"/>
        <v>2.2614125183795419</v>
      </c>
      <c r="AL392" s="7">
        <f t="shared" si="137"/>
        <v>6.3936806901698588</v>
      </c>
      <c r="AM392" s="7" t="str">
        <f t="shared" si="138"/>
        <v/>
      </c>
      <c r="AN392" s="4">
        <v>10662.854344404401</v>
      </c>
      <c r="AO392" s="4">
        <v>0</v>
      </c>
      <c r="AP392" s="14">
        <f t="shared" si="132"/>
        <v>1426825.0543444043</v>
      </c>
      <c r="AQ392" s="14">
        <f t="shared" si="133"/>
        <v>1416162.2</v>
      </c>
      <c r="AR392" s="8">
        <v>58235.51</v>
      </c>
      <c r="AS392" s="20">
        <v>24.317847</v>
      </c>
      <c r="AT392" s="8">
        <v>37552103.112555116</v>
      </c>
      <c r="AU392" s="8">
        <v>26422.6463</v>
      </c>
      <c r="AV392" s="8">
        <v>3692.6651999999999</v>
      </c>
      <c r="AW392" s="8"/>
      <c r="AX392" s="9">
        <v>434.54898635393829</v>
      </c>
      <c r="AY392" s="6">
        <f t="shared" si="139"/>
        <v>2.2193736960290103E-2</v>
      </c>
      <c r="AZ392" s="8">
        <v>418630655.0582</v>
      </c>
      <c r="BA392" s="10">
        <v>60480066</v>
      </c>
      <c r="BB392" s="11">
        <v>37552103.112555116</v>
      </c>
      <c r="BC392" s="10">
        <v>2971324</v>
      </c>
      <c r="BD392" s="10">
        <f>1000000000-999458709.583+189080.8698</f>
        <v>730371.2868000553</v>
      </c>
      <c r="BE392" s="12">
        <f t="shared" si="140"/>
        <v>479635480.54244483</v>
      </c>
      <c r="BF392" s="13">
        <v>236.254254</v>
      </c>
      <c r="BG392" s="13">
        <f t="shared" si="141"/>
        <v>243.38122654244484</v>
      </c>
      <c r="BH392" s="14">
        <f>BE392*24.85</f>
        <v>11918941691.479755</v>
      </c>
    </row>
    <row r="393" spans="1:60" x14ac:dyDescent="0.25">
      <c r="A393" s="3">
        <v>46015</v>
      </c>
      <c r="B393" s="4">
        <v>3387920830</v>
      </c>
      <c r="C393" s="4">
        <v>153561537.58000001</v>
      </c>
      <c r="D393" s="4">
        <v>82508878</v>
      </c>
      <c r="E393" s="4"/>
      <c r="F393" s="17">
        <v>8505750.5371262226</v>
      </c>
      <c r="G393" s="17">
        <v>9353767.3273440283</v>
      </c>
      <c r="H393" s="17">
        <v>986656.64128979878</v>
      </c>
      <c r="I393" s="17">
        <v>78806173.875522435</v>
      </c>
      <c r="J393" s="17">
        <v>606333.66705407016</v>
      </c>
      <c r="K393" s="17">
        <v>55302855.53166347</v>
      </c>
      <c r="L393" s="14">
        <f t="shared" si="134"/>
        <v>153561537.58000001</v>
      </c>
      <c r="M393" s="21">
        <v>1.000595878667516</v>
      </c>
      <c r="N393" s="4">
        <v>1049992.3600000001</v>
      </c>
      <c r="O393" s="4">
        <v>33875.46</v>
      </c>
      <c r="P393" s="4">
        <v>49342.22</v>
      </c>
      <c r="Q393" s="4"/>
      <c r="R393" s="14">
        <f t="shared" si="121"/>
        <v>1133210.04</v>
      </c>
      <c r="S393" s="6">
        <v>0.01</v>
      </c>
      <c r="T393" s="14">
        <f t="shared" si="122"/>
        <v>10499.923600000002</v>
      </c>
      <c r="U393" s="14">
        <f t="shared" si="123"/>
        <v>169.37729999999999</v>
      </c>
      <c r="V393" s="14">
        <f t="shared" si="124"/>
        <v>390.86880000000008</v>
      </c>
      <c r="W393" s="14" t="str">
        <f t="shared" si="125"/>
        <v/>
      </c>
      <c r="X393" s="4">
        <v>10255.34</v>
      </c>
      <c r="Y393" s="4">
        <v>16937.73</v>
      </c>
      <c r="Z393" s="4"/>
      <c r="AA393" s="14">
        <f t="shared" si="126"/>
        <v>38253.239700000006</v>
      </c>
      <c r="AB393" s="4">
        <v>105350.633</v>
      </c>
      <c r="AC393" s="4">
        <v>1049992.3600000001</v>
      </c>
      <c r="AD393" s="14">
        <f t="shared" si="127"/>
        <v>16937.73</v>
      </c>
      <c r="AE393" s="14">
        <f t="shared" si="128"/>
        <v>39086.880000000005</v>
      </c>
      <c r="AF393" s="14" t="str">
        <f t="shared" si="129"/>
        <v/>
      </c>
      <c r="AG393" s="15">
        <f t="shared" si="130"/>
        <v>1106016.9700000002</v>
      </c>
      <c r="AH393" s="4">
        <v>871000.51</v>
      </c>
      <c r="AI393" s="17">
        <f t="shared" si="131"/>
        <v>235016.4600000002</v>
      </c>
      <c r="AJ393" s="7">
        <f t="shared" si="135"/>
        <v>3.099223425477744</v>
      </c>
      <c r="AK393" s="7">
        <f t="shared" si="136"/>
        <v>2.2059859867157234</v>
      </c>
      <c r="AL393" s="7">
        <f t="shared" si="137"/>
        <v>5.9802316061066785</v>
      </c>
      <c r="AM393" s="7" t="str">
        <f t="shared" si="138"/>
        <v/>
      </c>
      <c r="AN393" s="4">
        <v>7482.6051588717937</v>
      </c>
      <c r="AO393" s="4">
        <v>0</v>
      </c>
      <c r="AP393" s="14">
        <f t="shared" si="132"/>
        <v>878483.11515887175</v>
      </c>
      <c r="AQ393" s="14">
        <f t="shared" si="133"/>
        <v>871000.51</v>
      </c>
      <c r="AR393" s="8">
        <v>36158.160000000003</v>
      </c>
      <c r="AS393" s="20">
        <v>24.088629000000001</v>
      </c>
      <c r="AT393" s="8">
        <v>37591271.922555119</v>
      </c>
      <c r="AU393" s="8">
        <v>26479.0906</v>
      </c>
      <c r="AV393" s="8">
        <v>315.62380000000002</v>
      </c>
      <c r="AW393" s="8"/>
      <c r="AX393" s="9">
        <v>434.03281765839722</v>
      </c>
      <c r="AY393" s="6">
        <f t="shared" si="139"/>
        <v>2.2267597462196219E-2</v>
      </c>
      <c r="AZ393" s="8">
        <v>418604175.96759999</v>
      </c>
      <c r="BA393" s="10">
        <v>60480066</v>
      </c>
      <c r="BB393" s="11">
        <v>37591271.922555119</v>
      </c>
      <c r="BC393" s="10">
        <v>2971324</v>
      </c>
      <c r="BD393" s="10">
        <f>1000000000-999458393.9592+189392.671</f>
        <v>730998.71179997537</v>
      </c>
      <c r="BE393" s="12">
        <f t="shared" si="140"/>
        <v>479622163.39804494</v>
      </c>
      <c r="BF393" s="13">
        <v>236.254254</v>
      </c>
      <c r="BG393" s="13">
        <f t="shared" si="141"/>
        <v>243.36790939804496</v>
      </c>
      <c r="BH393" s="14">
        <f>BE393*24</f>
        <v>11510931921.553078</v>
      </c>
    </row>
    <row r="394" spans="1:60" x14ac:dyDescent="0.25">
      <c r="A394" s="3">
        <v>46016</v>
      </c>
      <c r="B394" s="4">
        <v>2451148344</v>
      </c>
      <c r="C394" s="4">
        <v>62808152.68</v>
      </c>
      <c r="D394" s="4">
        <v>71520234</v>
      </c>
      <c r="E394" s="4"/>
      <c r="F394" s="17">
        <v>2876114.3671460911</v>
      </c>
      <c r="G394" s="17">
        <v>12887980.26552375</v>
      </c>
      <c r="H394" s="17">
        <v>284842.97565092437</v>
      </c>
      <c r="I394" s="17">
        <v>36179546.997867733</v>
      </c>
      <c r="J394" s="17">
        <v>1680969.4926202579</v>
      </c>
      <c r="K394" s="17">
        <v>8898698.5811912492</v>
      </c>
      <c r="L394" s="14">
        <f t="shared" si="134"/>
        <v>62808152.680000007</v>
      </c>
      <c r="M394" s="21">
        <v>1.0875360713004201</v>
      </c>
      <c r="N394" s="4">
        <v>738396</v>
      </c>
      <c r="O394" s="4">
        <v>25572.880000000001</v>
      </c>
      <c r="P394" s="4">
        <v>51359.37</v>
      </c>
      <c r="Q394" s="4"/>
      <c r="R394" s="14">
        <f t="shared" si="121"/>
        <v>815328.25</v>
      </c>
      <c r="S394" s="6">
        <v>0.01</v>
      </c>
      <c r="T394" s="14">
        <f t="shared" si="122"/>
        <v>7383.96</v>
      </c>
      <c r="U394" s="14">
        <f t="shared" si="123"/>
        <v>127.8644</v>
      </c>
      <c r="V394" s="14">
        <f t="shared" si="124"/>
        <v>397.45770000000005</v>
      </c>
      <c r="W394" s="14" t="str">
        <f t="shared" si="125"/>
        <v/>
      </c>
      <c r="X394" s="4">
        <v>11613.6</v>
      </c>
      <c r="Y394" s="4">
        <v>12786.44</v>
      </c>
      <c r="Z394" s="4"/>
      <c r="AA394" s="14">
        <f t="shared" si="126"/>
        <v>32309.322100000005</v>
      </c>
      <c r="AB394" s="4">
        <v>82763.176699999996</v>
      </c>
      <c r="AC394" s="4">
        <v>738396</v>
      </c>
      <c r="AD394" s="14">
        <f t="shared" si="127"/>
        <v>12786.44</v>
      </c>
      <c r="AE394" s="14">
        <f t="shared" si="128"/>
        <v>39745.770000000004</v>
      </c>
      <c r="AF394" s="14" t="str">
        <f t="shared" si="129"/>
        <v/>
      </c>
      <c r="AG394" s="15">
        <f t="shared" si="130"/>
        <v>790928.21</v>
      </c>
      <c r="AH394" s="4">
        <v>733221.58</v>
      </c>
      <c r="AI394" s="17">
        <f t="shared" si="131"/>
        <v>57706.630000000005</v>
      </c>
      <c r="AJ394" s="7">
        <f t="shared" si="135"/>
        <v>3.0124492538669458</v>
      </c>
      <c r="AK394" s="7">
        <f t="shared" si="136"/>
        <v>4.0715860774143051</v>
      </c>
      <c r="AL394" s="7">
        <f t="shared" si="137"/>
        <v>7.1810964712447669</v>
      </c>
      <c r="AM394" s="7" t="str">
        <f t="shared" si="138"/>
        <v/>
      </c>
      <c r="AN394" s="4">
        <v>6447.7996934850526</v>
      </c>
      <c r="AO394" s="4">
        <v>13148.67</v>
      </c>
      <c r="AP394" s="14">
        <f t="shared" si="132"/>
        <v>752818.04969348502</v>
      </c>
      <c r="AQ394" s="14">
        <f t="shared" si="133"/>
        <v>733221.58</v>
      </c>
      <c r="AR394" s="8">
        <v>29555.9</v>
      </c>
      <c r="AS394" s="20">
        <v>24.807960000000001</v>
      </c>
      <c r="AT394" s="8">
        <v>37617994.682555117</v>
      </c>
      <c r="AU394" s="8">
        <v>26460.758999999998</v>
      </c>
      <c r="AV394" s="8">
        <v>1101.0662</v>
      </c>
      <c r="AW394" s="8"/>
      <c r="AX394" s="9">
        <v>433.84643771793731</v>
      </c>
      <c r="AY394" s="6">
        <f t="shared" si="139"/>
        <v>2.2261741010950072E-2</v>
      </c>
      <c r="AZ394" s="8">
        <v>418577715.20850003</v>
      </c>
      <c r="BA394" s="10">
        <v>60480066</v>
      </c>
      <c r="BB394" s="11">
        <v>37617994.682555117</v>
      </c>
      <c r="BC394" s="10">
        <v>2971324</v>
      </c>
      <c r="BD394" s="10">
        <f>1000000000-999457292.893+189652.5581</f>
        <v>732359.66509999335</v>
      </c>
      <c r="BE394" s="12">
        <f t="shared" si="140"/>
        <v>479620540.44384485</v>
      </c>
      <c r="BF394" s="13">
        <v>236.254254</v>
      </c>
      <c r="BG394" s="13">
        <f t="shared" si="141"/>
        <v>243.36628644384484</v>
      </c>
      <c r="BH394" s="14">
        <f>BE394*24.81</f>
        <v>11899385608.411791</v>
      </c>
    </row>
    <row r="395" spans="1:60" x14ac:dyDescent="0.25">
      <c r="A395" s="3">
        <v>46017</v>
      </c>
      <c r="B395" s="4">
        <v>4703285597</v>
      </c>
      <c r="C395" s="4">
        <v>229032647.81</v>
      </c>
      <c r="D395" s="4">
        <v>122485182</v>
      </c>
      <c r="E395" s="4"/>
      <c r="F395" s="17">
        <v>24123552.576572191</v>
      </c>
      <c r="G395" s="17">
        <v>13707308.30386767</v>
      </c>
      <c r="H395" s="17">
        <v>515137.60140603437</v>
      </c>
      <c r="I395" s="17">
        <v>149822033.98419181</v>
      </c>
      <c r="J395" s="17">
        <v>867595.97891314095</v>
      </c>
      <c r="K395" s="17">
        <v>39997019.365049154</v>
      </c>
      <c r="L395" s="14">
        <f t="shared" si="134"/>
        <v>229032647.80999997</v>
      </c>
      <c r="M395" s="21">
        <v>0.98085357062122969</v>
      </c>
      <c r="N395" s="4">
        <v>1494305.62</v>
      </c>
      <c r="O395" s="4">
        <v>58340.34</v>
      </c>
      <c r="P395" s="4">
        <v>90404.6</v>
      </c>
      <c r="Q395" s="4"/>
      <c r="R395" s="14">
        <f t="shared" si="121"/>
        <v>1643050.5600000003</v>
      </c>
      <c r="S395" s="6">
        <v>0.01</v>
      </c>
      <c r="T395" s="14">
        <f t="shared" si="122"/>
        <v>14943.056200000001</v>
      </c>
      <c r="U395" s="14">
        <f t="shared" si="123"/>
        <v>291.70170000000002</v>
      </c>
      <c r="V395" s="14">
        <f t="shared" si="124"/>
        <v>696.70690000000002</v>
      </c>
      <c r="W395" s="14" t="str">
        <f t="shared" si="125"/>
        <v/>
      </c>
      <c r="X395" s="4">
        <v>20733.91</v>
      </c>
      <c r="Y395" s="4">
        <v>29170.17</v>
      </c>
      <c r="Z395" s="4"/>
      <c r="AA395" s="14">
        <f t="shared" si="126"/>
        <v>65835.544800000003</v>
      </c>
      <c r="AB395" s="4">
        <v>151732.09479999999</v>
      </c>
      <c r="AC395" s="4">
        <v>1494305.62</v>
      </c>
      <c r="AD395" s="14">
        <f t="shared" si="127"/>
        <v>29170.17</v>
      </c>
      <c r="AE395" s="14">
        <f t="shared" si="128"/>
        <v>69670.69</v>
      </c>
      <c r="AF395" s="14" t="str">
        <f t="shared" si="129"/>
        <v/>
      </c>
      <c r="AG395" s="15">
        <f t="shared" si="130"/>
        <v>1593146.48</v>
      </c>
      <c r="AH395" s="4">
        <v>1214449.5900000001</v>
      </c>
      <c r="AI395" s="17">
        <f t="shared" si="131"/>
        <v>378696.8899999999</v>
      </c>
      <c r="AJ395" s="7">
        <f t="shared" si="135"/>
        <v>3.1771526291177086</v>
      </c>
      <c r="AK395" s="7">
        <f t="shared" si="136"/>
        <v>2.5472499470205547</v>
      </c>
      <c r="AL395" s="7">
        <f t="shared" si="137"/>
        <v>7.3808601598844827</v>
      </c>
      <c r="AM395" s="7" t="str">
        <f t="shared" si="138"/>
        <v/>
      </c>
      <c r="AN395" s="4">
        <v>7434.6332919013776</v>
      </c>
      <c r="AO395" s="4">
        <v>12191.14</v>
      </c>
      <c r="AP395" s="14">
        <f t="shared" si="132"/>
        <v>1234075.3632919013</v>
      </c>
      <c r="AQ395" s="14">
        <f t="shared" si="133"/>
        <v>1214449.5900000001</v>
      </c>
      <c r="AR395" s="8">
        <v>48626.65</v>
      </c>
      <c r="AS395" s="20">
        <v>24.974979000000001</v>
      </c>
      <c r="AT395" s="8">
        <v>37668066.45255512</v>
      </c>
      <c r="AU395" s="8">
        <v>26461.324700000001</v>
      </c>
      <c r="AV395" s="8">
        <v>1906.2574</v>
      </c>
      <c r="AW395" s="8"/>
      <c r="AX395" s="9">
        <v>433.78600215642149</v>
      </c>
      <c r="AY395" s="6">
        <f t="shared" si="139"/>
        <v>2.2265318538372811E-2</v>
      </c>
      <c r="AZ395" s="8">
        <v>418551253.88389999</v>
      </c>
      <c r="BA395" s="10">
        <v>60480066</v>
      </c>
      <c r="BB395" s="11">
        <v>37668066.45255512</v>
      </c>
      <c r="BC395" s="10">
        <v>2971324</v>
      </c>
      <c r="BD395" s="10">
        <f>1000000000-999455386.6356+189954.6562</f>
        <v>734568.02060002915</v>
      </c>
      <c r="BE395" s="12">
        <f t="shared" si="140"/>
        <v>479594721.64294493</v>
      </c>
      <c r="BF395" s="13">
        <v>236.254254</v>
      </c>
      <c r="BG395" s="13">
        <f t="shared" si="141"/>
        <v>243.34046764294493</v>
      </c>
      <c r="BH395" s="14">
        <f>BE395*24.6</f>
        <v>11798030152.416447</v>
      </c>
    </row>
    <row r="396" spans="1:60" x14ac:dyDescent="0.25">
      <c r="A396" s="3">
        <v>46018</v>
      </c>
      <c r="B396" s="4">
        <v>1337033522</v>
      </c>
      <c r="C396" s="4">
        <v>63480687.539999999</v>
      </c>
      <c r="D396" s="4">
        <v>84032700</v>
      </c>
      <c r="E396" s="4"/>
      <c r="F396" s="17">
        <v>10030232.87184334</v>
      </c>
      <c r="G396" s="17">
        <v>14289763.029896259</v>
      </c>
      <c r="H396" s="17">
        <v>79503.218209218598</v>
      </c>
      <c r="I396" s="17">
        <v>31348046.138336658</v>
      </c>
      <c r="J396" s="17">
        <v>880963.54358704283</v>
      </c>
      <c r="K396" s="17">
        <v>6852178.7381274765</v>
      </c>
      <c r="L396" s="14">
        <f t="shared" si="134"/>
        <v>63480687.539999999</v>
      </c>
      <c r="M396" s="21">
        <v>1.006491026536021</v>
      </c>
      <c r="N396" s="4">
        <v>463938.63</v>
      </c>
      <c r="O396" s="4">
        <v>29373.94</v>
      </c>
      <c r="P396" s="4">
        <v>64534.539999999994</v>
      </c>
      <c r="Q396" s="4"/>
      <c r="R396" s="14">
        <f t="shared" si="121"/>
        <v>557847.11</v>
      </c>
      <c r="S396" s="6">
        <v>0.01</v>
      </c>
      <c r="T396" s="14">
        <f t="shared" si="122"/>
        <v>4639.3863000000001</v>
      </c>
      <c r="U396" s="14">
        <f t="shared" si="123"/>
        <v>146.86969999999999</v>
      </c>
      <c r="V396" s="14">
        <f t="shared" si="124"/>
        <v>517.0009</v>
      </c>
      <c r="W396" s="14" t="str">
        <f t="shared" si="125"/>
        <v/>
      </c>
      <c r="X396" s="4">
        <v>12834.45</v>
      </c>
      <c r="Y396" s="4">
        <v>14686.97</v>
      </c>
      <c r="Z396" s="4"/>
      <c r="AA396" s="14">
        <f t="shared" si="126"/>
        <v>32824.676899999999</v>
      </c>
      <c r="AB396" s="4">
        <v>63318.396400000012</v>
      </c>
      <c r="AC396" s="4">
        <v>463938.63</v>
      </c>
      <c r="AD396" s="14">
        <f t="shared" si="127"/>
        <v>14686.97</v>
      </c>
      <c r="AE396" s="14">
        <f t="shared" si="128"/>
        <v>51700.09</v>
      </c>
      <c r="AF396" s="14" t="str">
        <f t="shared" si="129"/>
        <v/>
      </c>
      <c r="AG396" s="15">
        <f t="shared" si="130"/>
        <v>530325.68999999994</v>
      </c>
      <c r="AH396" s="4">
        <v>442768.92</v>
      </c>
      <c r="AI396" s="17">
        <f t="shared" si="131"/>
        <v>87556.76999999996</v>
      </c>
      <c r="AJ396" s="7">
        <f t="shared" si="135"/>
        <v>3.4699102331108196</v>
      </c>
      <c r="AK396" s="7">
        <f t="shared" si="136"/>
        <v>4.6272246155952708</v>
      </c>
      <c r="AL396" s="7">
        <f t="shared" si="137"/>
        <v>7.6796937382709336</v>
      </c>
      <c r="AM396" s="7" t="str">
        <f t="shared" si="138"/>
        <v/>
      </c>
      <c r="AN396" s="4">
        <v>6914.0444994064874</v>
      </c>
      <c r="AO396" s="4">
        <v>0</v>
      </c>
      <c r="AP396" s="14">
        <f t="shared" si="132"/>
        <v>449682.96449940646</v>
      </c>
      <c r="AQ396" s="14">
        <f t="shared" si="133"/>
        <v>442768.92</v>
      </c>
      <c r="AR396" s="8">
        <v>17114.12</v>
      </c>
      <c r="AS396" s="20">
        <v>25.871556000000002</v>
      </c>
      <c r="AT396" s="8">
        <v>37683708.122555122</v>
      </c>
      <c r="AU396" s="8">
        <v>26462.3171</v>
      </c>
      <c r="AV396" s="8">
        <v>822.31679999999994</v>
      </c>
      <c r="AW396" s="8"/>
      <c r="AX396" s="9">
        <v>433.91059617181082</v>
      </c>
      <c r="AY396" s="6">
        <f t="shared" si="139"/>
        <v>2.2259760021337512E-2</v>
      </c>
      <c r="AZ396" s="8">
        <v>418524791.5668</v>
      </c>
      <c r="BA396" s="10">
        <v>60480066</v>
      </c>
      <c r="BB396" s="11">
        <v>37683708.122555122</v>
      </c>
      <c r="BC396" s="10">
        <v>2971324</v>
      </c>
      <c r="BD396" s="10">
        <f>1000000000-999454564.3189+190224.8521</f>
        <v>735660.53320001089</v>
      </c>
      <c r="BE396" s="12">
        <f t="shared" si="140"/>
        <v>479604449.77744484</v>
      </c>
      <c r="BF396" s="13">
        <v>236.254254</v>
      </c>
      <c r="BG396" s="13">
        <f t="shared" si="141"/>
        <v>243.35019577744481</v>
      </c>
      <c r="BH396" s="14">
        <f>BE396*25.59</f>
        <v>12273077869.804813</v>
      </c>
    </row>
    <row r="397" spans="1:60" x14ac:dyDescent="0.25">
      <c r="A397" s="3">
        <v>46019</v>
      </c>
      <c r="B397" s="4">
        <v>1862120382</v>
      </c>
      <c r="C397" s="4">
        <v>76443668.010000005</v>
      </c>
      <c r="D397" s="4">
        <v>109197976</v>
      </c>
      <c r="E397" s="4"/>
      <c r="F397" s="17">
        <v>21626710.905721541</v>
      </c>
      <c r="G397" s="17">
        <v>9819019.1601594463</v>
      </c>
      <c r="H397" s="17">
        <v>72345.531087250842</v>
      </c>
      <c r="I397" s="17">
        <v>30935604.842474461</v>
      </c>
      <c r="J397" s="17">
        <v>89077.754659150814</v>
      </c>
      <c r="K397" s="17">
        <v>13900909.81589815</v>
      </c>
      <c r="L397" s="14">
        <f t="shared" si="134"/>
        <v>76443668.00999999</v>
      </c>
      <c r="M397" s="21">
        <v>1.170776111962377</v>
      </c>
      <c r="N397" s="4">
        <v>596385.93000000005</v>
      </c>
      <c r="O397" s="4">
        <v>25828.76</v>
      </c>
      <c r="P397" s="4">
        <v>76843.58</v>
      </c>
      <c r="Q397" s="4"/>
      <c r="R397" s="14">
        <f t="shared" si="121"/>
        <v>699058.27</v>
      </c>
      <c r="S397" s="6">
        <v>0.01</v>
      </c>
      <c r="T397" s="14">
        <f t="shared" si="122"/>
        <v>5963.859300000001</v>
      </c>
      <c r="U397" s="14">
        <f t="shared" si="123"/>
        <v>129.1438</v>
      </c>
      <c r="V397" s="14">
        <f t="shared" si="124"/>
        <v>570.23850000000004</v>
      </c>
      <c r="W397" s="14" t="str">
        <f t="shared" si="125"/>
        <v/>
      </c>
      <c r="X397" s="4">
        <v>19819.73</v>
      </c>
      <c r="Y397" s="4">
        <v>12914.38</v>
      </c>
      <c r="Z397" s="4"/>
      <c r="AA397" s="14">
        <f t="shared" si="126"/>
        <v>39397.351600000002</v>
      </c>
      <c r="AB397" s="4">
        <v>68190.010899999994</v>
      </c>
      <c r="AC397" s="4">
        <v>596385.93000000005</v>
      </c>
      <c r="AD397" s="14">
        <f t="shared" si="127"/>
        <v>12914.38</v>
      </c>
      <c r="AE397" s="14">
        <f t="shared" si="128"/>
        <v>57023.850000000006</v>
      </c>
      <c r="AF397" s="14" t="str">
        <f t="shared" si="129"/>
        <v/>
      </c>
      <c r="AG397" s="15">
        <f t="shared" si="130"/>
        <v>666324.16</v>
      </c>
      <c r="AH397" s="4">
        <v>475895.45</v>
      </c>
      <c r="AI397" s="17">
        <f t="shared" si="131"/>
        <v>190428.71000000002</v>
      </c>
      <c r="AJ397" s="7">
        <f t="shared" si="135"/>
        <v>3.2027248923587583</v>
      </c>
      <c r="AK397" s="7">
        <f t="shared" si="136"/>
        <v>3.3787965272180815</v>
      </c>
      <c r="AL397" s="7">
        <f t="shared" si="137"/>
        <v>7.0370883064719072</v>
      </c>
      <c r="AM397" s="7" t="str">
        <f t="shared" si="138"/>
        <v/>
      </c>
      <c r="AN397" s="4">
        <v>7072.4025569060186</v>
      </c>
      <c r="AO397" s="4">
        <v>17124.900000000001</v>
      </c>
      <c r="AP397" s="14">
        <f t="shared" si="132"/>
        <v>500092.75255690608</v>
      </c>
      <c r="AQ397" s="14">
        <f t="shared" si="133"/>
        <v>475895.45</v>
      </c>
      <c r="AR397" s="8">
        <v>18579.37</v>
      </c>
      <c r="AS397" s="20">
        <v>25.614187000000001</v>
      </c>
      <c r="AT397" s="8">
        <v>37705705.992555119</v>
      </c>
      <c r="AU397" s="8">
        <v>26467.907200000001</v>
      </c>
      <c r="AV397" s="8">
        <v>1294.7145</v>
      </c>
      <c r="AW397" s="8"/>
      <c r="AX397" s="9">
        <v>434.12433458569552</v>
      </c>
      <c r="AY397" s="6">
        <f t="shared" si="139"/>
        <v>2.2253500571949567E-2</v>
      </c>
      <c r="AZ397" s="8">
        <v>418498323.65969998</v>
      </c>
      <c r="BA397" s="10">
        <v>60480066</v>
      </c>
      <c r="BB397" s="11">
        <v>37705705.992555119</v>
      </c>
      <c r="BC397" s="10">
        <v>2971324</v>
      </c>
      <c r="BD397" s="10">
        <f>1000000000-999453269.6043+190497.8125</f>
        <v>737228.20819997787</v>
      </c>
      <c r="BE397" s="12">
        <f t="shared" si="140"/>
        <v>479607352.13954496</v>
      </c>
      <c r="BF397" s="13">
        <v>236.254254</v>
      </c>
      <c r="BG397" s="13">
        <f t="shared" si="141"/>
        <v>243.35309813954495</v>
      </c>
      <c r="BH397" s="14">
        <f>BE397*25.9</f>
        <v>12421830420.414213</v>
      </c>
    </row>
    <row r="398" spans="1:60" x14ac:dyDescent="0.25">
      <c r="A398" s="3">
        <v>46020</v>
      </c>
      <c r="B398" s="4">
        <v>6669017442</v>
      </c>
      <c r="C398" s="4">
        <v>297968898.31999999</v>
      </c>
      <c r="D398" s="4">
        <v>138636841</v>
      </c>
      <c r="E398" s="4"/>
      <c r="F398" s="17">
        <v>93440911.021555319</v>
      </c>
      <c r="G398" s="17">
        <v>14055284.112500239</v>
      </c>
      <c r="H398" s="17">
        <v>1162617.788543887</v>
      </c>
      <c r="I398" s="17">
        <v>127932766.9773546</v>
      </c>
      <c r="J398" s="17">
        <v>71686.063943728426</v>
      </c>
      <c r="K398" s="17">
        <v>61305632.356102183</v>
      </c>
      <c r="L398" s="14">
        <f t="shared" si="134"/>
        <v>297968898.31999993</v>
      </c>
      <c r="M398" s="21">
        <v>0.96517548614330462</v>
      </c>
      <c r="N398" s="4">
        <v>2055082.84</v>
      </c>
      <c r="O398" s="4">
        <v>76938.58</v>
      </c>
      <c r="P398" s="4">
        <v>96661.97</v>
      </c>
      <c r="Q398" s="4"/>
      <c r="R398" s="14">
        <f t="shared" si="121"/>
        <v>2228683.39</v>
      </c>
      <c r="S398" s="6">
        <v>0.01</v>
      </c>
      <c r="T398" s="14">
        <f t="shared" si="122"/>
        <v>20550.828400000002</v>
      </c>
      <c r="U398" s="14">
        <f t="shared" si="123"/>
        <v>384.69290000000001</v>
      </c>
      <c r="V398" s="14">
        <f t="shared" si="124"/>
        <v>747.57790000000011</v>
      </c>
      <c r="W398" s="14" t="str">
        <f t="shared" si="125"/>
        <v/>
      </c>
      <c r="X398" s="4">
        <v>21904.18</v>
      </c>
      <c r="Y398" s="4">
        <v>38469.29</v>
      </c>
      <c r="Z398" s="4"/>
      <c r="AA398" s="14">
        <f t="shared" si="126"/>
        <v>82056.569199999998</v>
      </c>
      <c r="AB398" s="4">
        <v>179739.65470000001</v>
      </c>
      <c r="AC398" s="4">
        <v>2055082.84</v>
      </c>
      <c r="AD398" s="14">
        <f t="shared" si="127"/>
        <v>38469.29</v>
      </c>
      <c r="AE398" s="14">
        <f t="shared" si="128"/>
        <v>74757.790000000008</v>
      </c>
      <c r="AF398" s="14" t="str">
        <f t="shared" si="129"/>
        <v/>
      </c>
      <c r="AG398" s="15">
        <f t="shared" si="130"/>
        <v>2168309.92</v>
      </c>
      <c r="AH398" s="4">
        <v>1939785.77</v>
      </c>
      <c r="AI398" s="17">
        <f t="shared" si="131"/>
        <v>228524.14999999991</v>
      </c>
      <c r="AJ398" s="7">
        <f t="shared" si="135"/>
        <v>3.081537659592164</v>
      </c>
      <c r="AK398" s="7">
        <f t="shared" si="136"/>
        <v>2.5821010324833558</v>
      </c>
      <c r="AL398" s="7">
        <f t="shared" si="137"/>
        <v>6.9723148120491292</v>
      </c>
      <c r="AM398" s="7" t="str">
        <f t="shared" si="138"/>
        <v/>
      </c>
      <c r="AN398" s="4">
        <v>13996.47333149521</v>
      </c>
      <c r="AO398" s="4">
        <v>18205.8</v>
      </c>
      <c r="AP398" s="14">
        <f t="shared" si="132"/>
        <v>1971988.0433314953</v>
      </c>
      <c r="AQ398" s="14">
        <f t="shared" si="133"/>
        <v>1939785.77</v>
      </c>
      <c r="AR398" s="8">
        <v>75103.94</v>
      </c>
      <c r="AS398" s="20">
        <v>25.828016000000002</v>
      </c>
      <c r="AT398" s="8">
        <v>37777472.312555119</v>
      </c>
      <c r="AU398" s="8">
        <v>26457.111400000002</v>
      </c>
      <c r="AV398" s="8">
        <v>2123.1129000000001</v>
      </c>
      <c r="AW398" s="8"/>
      <c r="AX398" s="9">
        <v>432.7750798851838</v>
      </c>
      <c r="AY398" s="6">
        <f t="shared" si="139"/>
        <v>2.2313774775483797E-2</v>
      </c>
      <c r="AZ398" s="8">
        <v>418471866.54830003</v>
      </c>
      <c r="BA398" s="10">
        <v>60480066</v>
      </c>
      <c r="BB398" s="11">
        <v>37777472.312555119</v>
      </c>
      <c r="BC398" s="10">
        <v>2971324</v>
      </c>
      <c r="BD398" s="10">
        <f>1000000000-999451146.4914+191043.5691</f>
        <v>739897.07769999653</v>
      </c>
      <c r="BE398" s="12">
        <f t="shared" si="140"/>
        <v>479559374.06144482</v>
      </c>
      <c r="BF398" s="13">
        <v>236.254254</v>
      </c>
      <c r="BG398" s="13">
        <f t="shared" si="141"/>
        <v>243.30512006144482</v>
      </c>
      <c r="BH398" s="14">
        <f>BE398*25.59</f>
        <v>12271924382.232372</v>
      </c>
    </row>
    <row r="399" spans="1:60" x14ac:dyDescent="0.25">
      <c r="A399" s="3">
        <v>46021</v>
      </c>
      <c r="B399" s="4">
        <v>3762294520</v>
      </c>
      <c r="C399" s="4">
        <v>317454938.75999999</v>
      </c>
      <c r="D399" s="4">
        <v>149349790</v>
      </c>
      <c r="E399" s="4"/>
      <c r="F399" s="17">
        <v>55934317.03021989</v>
      </c>
      <c r="G399" s="17">
        <v>12010179.537316879</v>
      </c>
      <c r="H399" s="17">
        <v>1127804.4195313009</v>
      </c>
      <c r="I399" s="17">
        <v>192232576.23139191</v>
      </c>
      <c r="J399" s="17">
        <v>42030.691174314918</v>
      </c>
      <c r="K399" s="17">
        <v>56108030.850365758</v>
      </c>
      <c r="L399" s="14">
        <f t="shared" si="134"/>
        <v>317454938.76000005</v>
      </c>
      <c r="M399" s="21">
        <v>1.022313041630291</v>
      </c>
      <c r="N399" s="4">
        <v>1283297.95</v>
      </c>
      <c r="O399" s="4">
        <v>55231.839999999997</v>
      </c>
      <c r="P399" s="4">
        <v>108838.15</v>
      </c>
      <c r="Q399" s="4"/>
      <c r="R399" s="14">
        <f t="shared" si="121"/>
        <v>1447367.94</v>
      </c>
      <c r="S399" s="6">
        <v>0.01</v>
      </c>
      <c r="T399" s="14">
        <f t="shared" si="122"/>
        <v>12832.979499999999</v>
      </c>
      <c r="U399" s="14">
        <f t="shared" si="123"/>
        <v>276.1592</v>
      </c>
      <c r="V399" s="14">
        <f t="shared" si="124"/>
        <v>841.23429999999996</v>
      </c>
      <c r="W399" s="14" t="str">
        <f t="shared" si="125"/>
        <v/>
      </c>
      <c r="X399" s="4">
        <v>24714.720000000001</v>
      </c>
      <c r="Y399" s="4">
        <v>27615.919999999998</v>
      </c>
      <c r="Z399" s="4"/>
      <c r="AA399" s="14">
        <f t="shared" si="126"/>
        <v>66281.013000000006</v>
      </c>
      <c r="AB399" s="4">
        <v>144842.04029999999</v>
      </c>
      <c r="AC399" s="4">
        <v>1283297.95</v>
      </c>
      <c r="AD399" s="14">
        <f t="shared" si="127"/>
        <v>27615.919999999998</v>
      </c>
      <c r="AE399" s="14">
        <f t="shared" si="128"/>
        <v>84123.43</v>
      </c>
      <c r="AF399" s="14" t="str">
        <f t="shared" si="129"/>
        <v/>
      </c>
      <c r="AG399" s="15">
        <f t="shared" si="130"/>
        <v>1395037.2999999998</v>
      </c>
      <c r="AH399" s="4">
        <v>1094242.8</v>
      </c>
      <c r="AI399" s="17">
        <f t="shared" si="131"/>
        <v>300794.49999999977</v>
      </c>
      <c r="AJ399" s="7">
        <f t="shared" si="135"/>
        <v>3.4109449517524744</v>
      </c>
      <c r="AK399" s="7">
        <f t="shared" si="136"/>
        <v>1.7398324378174497</v>
      </c>
      <c r="AL399" s="7">
        <f t="shared" si="137"/>
        <v>7.2874658879667651</v>
      </c>
      <c r="AM399" s="7" t="str">
        <f t="shared" si="138"/>
        <v/>
      </c>
      <c r="AN399" s="4">
        <v>8739.8769686689429</v>
      </c>
      <c r="AO399" s="4">
        <v>0</v>
      </c>
      <c r="AP399" s="14">
        <f t="shared" si="132"/>
        <v>1102982.6769686691</v>
      </c>
      <c r="AQ399" s="14">
        <f t="shared" si="133"/>
        <v>1094242.8</v>
      </c>
      <c r="AR399" s="8">
        <v>42418.7</v>
      </c>
      <c r="AS399" s="20">
        <v>25.796236</v>
      </c>
      <c r="AT399" s="8">
        <v>37820327.282555118</v>
      </c>
      <c r="AU399" s="8">
        <v>26422.748599999999</v>
      </c>
      <c r="AV399" s="8">
        <v>2325.3604999999998</v>
      </c>
      <c r="AW399" s="8"/>
      <c r="AX399" s="9">
        <v>432.70625091063732</v>
      </c>
      <c r="AY399" s="6">
        <f t="shared" si="139"/>
        <v>2.2288338147885334E-2</v>
      </c>
      <c r="AZ399" s="8">
        <v>418445443.79970002</v>
      </c>
      <c r="BA399" s="10">
        <v>60480066</v>
      </c>
      <c r="BB399" s="11">
        <v>37820327.282555118</v>
      </c>
      <c r="BC399" s="10">
        <v>2971324</v>
      </c>
      <c r="BD399" s="10">
        <f>1000000000-999448821.1309+191383.6421</f>
        <v>742562.51119997469</v>
      </c>
      <c r="BE399" s="12">
        <f t="shared" si="140"/>
        <v>479540276.40654492</v>
      </c>
      <c r="BF399" s="13">
        <v>236.254254</v>
      </c>
      <c r="BG399" s="13">
        <f t="shared" si="141"/>
        <v>243.28602240654493</v>
      </c>
      <c r="BH399" s="14">
        <f>BE399*25.73</f>
        <v>12338571311.940401</v>
      </c>
    </row>
    <row r="400" spans="1:60" x14ac:dyDescent="0.25">
      <c r="A400" s="3">
        <v>46022</v>
      </c>
      <c r="B400" s="4">
        <v>3106935602</v>
      </c>
      <c r="C400" s="4">
        <v>232077353.71000001</v>
      </c>
      <c r="D400" s="4">
        <v>158618904</v>
      </c>
      <c r="E400" s="4"/>
      <c r="F400" s="17">
        <v>56566350.639367253</v>
      </c>
      <c r="G400" s="17">
        <v>8584631.9059030488</v>
      </c>
      <c r="H400" s="17">
        <v>1135546.981526393</v>
      </c>
      <c r="I400" s="17">
        <v>105168864.756584</v>
      </c>
      <c r="J400" s="17">
        <v>250668.52219363951</v>
      </c>
      <c r="K400" s="17">
        <v>60371290.904425673</v>
      </c>
      <c r="L400" s="14">
        <f t="shared" si="134"/>
        <v>232077353.71000001</v>
      </c>
      <c r="M400" s="21">
        <v>0.96880853530528699</v>
      </c>
      <c r="N400" s="4">
        <v>1043136.13</v>
      </c>
      <c r="O400" s="4">
        <v>47119.88</v>
      </c>
      <c r="P400" s="4">
        <v>117587.05</v>
      </c>
      <c r="Q400" s="4"/>
      <c r="R400" s="14">
        <f t="shared" si="121"/>
        <v>1207843.06</v>
      </c>
      <c r="S400" s="6">
        <v>0.01</v>
      </c>
      <c r="T400" s="14">
        <f t="shared" si="122"/>
        <v>10431.3613</v>
      </c>
      <c r="U400" s="14">
        <f t="shared" si="123"/>
        <v>235.5994</v>
      </c>
      <c r="V400" s="14">
        <f t="shared" si="124"/>
        <v>925.87610000000006</v>
      </c>
      <c r="W400" s="14" t="str">
        <f t="shared" si="125"/>
        <v/>
      </c>
      <c r="X400" s="4">
        <v>24999.439999999999</v>
      </c>
      <c r="Y400" s="4">
        <v>23559.94</v>
      </c>
      <c r="Z400" s="4"/>
      <c r="AA400" s="14">
        <f t="shared" si="126"/>
        <v>60152.216799999995</v>
      </c>
      <c r="AB400" s="4">
        <v>134476.57569999999</v>
      </c>
      <c r="AC400" s="4">
        <v>1043136.13</v>
      </c>
      <c r="AD400" s="14">
        <f t="shared" si="127"/>
        <v>23559.94</v>
      </c>
      <c r="AE400" s="14">
        <f t="shared" si="128"/>
        <v>92587.61</v>
      </c>
      <c r="AF400" s="14" t="str">
        <f t="shared" si="129"/>
        <v/>
      </c>
      <c r="AG400" s="15">
        <f t="shared" si="130"/>
        <v>1159283.6800000002</v>
      </c>
      <c r="AH400" s="4">
        <v>925782.04</v>
      </c>
      <c r="AI400" s="17">
        <f t="shared" si="131"/>
        <v>233501.64000000013</v>
      </c>
      <c r="AJ400" s="7">
        <f t="shared" si="135"/>
        <v>3.3574436796453435</v>
      </c>
      <c r="AK400" s="7">
        <f t="shared" si="136"/>
        <v>2.0303523479020797</v>
      </c>
      <c r="AL400" s="7">
        <f t="shared" si="137"/>
        <v>7.413180083503792</v>
      </c>
      <c r="AM400" s="7" t="str">
        <f t="shared" si="138"/>
        <v/>
      </c>
      <c r="AN400" s="4">
        <v>5715.6166332794464</v>
      </c>
      <c r="AO400" s="4">
        <v>14290.87</v>
      </c>
      <c r="AP400" s="14">
        <f t="shared" si="132"/>
        <v>945788.52663327951</v>
      </c>
      <c r="AQ400" s="14">
        <f t="shared" si="133"/>
        <v>925782.04</v>
      </c>
      <c r="AR400" s="8">
        <v>35871.89</v>
      </c>
      <c r="AS400" s="20">
        <v>25.808008999999998</v>
      </c>
      <c r="AT400" s="8">
        <v>37855111.822555117</v>
      </c>
      <c r="AU400" s="8">
        <v>26413.051200000002</v>
      </c>
      <c r="AV400" s="8">
        <v>1757.3829000000001</v>
      </c>
      <c r="AW400" s="8"/>
      <c r="AX400" s="9">
        <v>432.32165369876918</v>
      </c>
      <c r="AY400" s="6">
        <f t="shared" si="139"/>
        <v>2.2299978743876292E-2</v>
      </c>
      <c r="AZ400" s="8">
        <v>418419030.74849999</v>
      </c>
      <c r="BA400" s="10">
        <v>60480066</v>
      </c>
      <c r="BB400" s="11">
        <v>37855111.822555117</v>
      </c>
      <c r="BC400" s="10">
        <v>2971324</v>
      </c>
      <c r="BD400" s="10">
        <f>1000000000-999447063.7481+191604.6038</f>
        <v>744540.8556999577</v>
      </c>
      <c r="BE400" s="12">
        <f t="shared" si="140"/>
        <v>479529926.57324493</v>
      </c>
      <c r="BF400" s="13">
        <v>236.254254</v>
      </c>
      <c r="BG400" s="13">
        <f t="shared" si="141"/>
        <v>243.27567257324495</v>
      </c>
      <c r="BH400" s="14">
        <f>BE400*25.86</f>
        <v>12400643901.184114</v>
      </c>
    </row>
    <row r="401" spans="1:60" x14ac:dyDescent="0.25">
      <c r="A401" s="3">
        <v>46023</v>
      </c>
      <c r="B401" s="4">
        <v>2213556784</v>
      </c>
      <c r="C401" s="4">
        <v>61687444.490000002</v>
      </c>
      <c r="D401" s="4">
        <v>150350090</v>
      </c>
      <c r="E401" s="4"/>
      <c r="F401" s="17">
        <v>7233694.5925619751</v>
      </c>
      <c r="G401" s="17">
        <v>7930199.8138537621</v>
      </c>
      <c r="H401" s="17">
        <v>305076.37542332237</v>
      </c>
      <c r="I401" s="17">
        <v>36196787.954991907</v>
      </c>
      <c r="J401" s="17">
        <v>137281.57173820789</v>
      </c>
      <c r="K401" s="17">
        <v>9884404.1814308316</v>
      </c>
      <c r="L401" s="14">
        <f t="shared" si="134"/>
        <v>61687444.490000002</v>
      </c>
      <c r="M401" s="21">
        <v>1.02848547520848</v>
      </c>
      <c r="N401" s="4">
        <v>770769.55</v>
      </c>
      <c r="O401" s="4">
        <v>21964.720000000001</v>
      </c>
      <c r="P401" s="4">
        <v>106040.41</v>
      </c>
      <c r="Q401" s="4"/>
      <c r="R401" s="14">
        <f t="shared" si="121"/>
        <v>898774.68</v>
      </c>
      <c r="S401" s="6">
        <v>0.01</v>
      </c>
      <c r="T401" s="14">
        <f t="shared" si="122"/>
        <v>7707.6955000000007</v>
      </c>
      <c r="U401" s="14">
        <f t="shared" si="123"/>
        <v>109.82360000000001</v>
      </c>
      <c r="V401" s="14">
        <f t="shared" si="124"/>
        <v>820.74540000000013</v>
      </c>
      <c r="W401" s="14" t="str">
        <f t="shared" si="125"/>
        <v/>
      </c>
      <c r="X401" s="4">
        <v>23965.87</v>
      </c>
      <c r="Y401" s="4">
        <v>10982.36</v>
      </c>
      <c r="Z401" s="4"/>
      <c r="AA401" s="14">
        <f t="shared" si="126"/>
        <v>43586.494500000001</v>
      </c>
      <c r="AB401" s="4">
        <v>91907.078500000003</v>
      </c>
      <c r="AC401" s="4">
        <v>770769.55</v>
      </c>
      <c r="AD401" s="14">
        <f t="shared" si="127"/>
        <v>10982.36</v>
      </c>
      <c r="AE401" s="14">
        <f t="shared" si="128"/>
        <v>82074.540000000008</v>
      </c>
      <c r="AF401" s="14" t="str">
        <f t="shared" si="129"/>
        <v/>
      </c>
      <c r="AG401" s="15">
        <f t="shared" si="130"/>
        <v>863826.45000000007</v>
      </c>
      <c r="AH401" s="4">
        <v>705293.7</v>
      </c>
      <c r="AI401" s="17">
        <f t="shared" si="131"/>
        <v>158532.75000000012</v>
      </c>
      <c r="AJ401" s="7">
        <f t="shared" si="135"/>
        <v>3.482041010066991</v>
      </c>
      <c r="AK401" s="7">
        <f t="shared" si="136"/>
        <v>3.5606467704397526</v>
      </c>
      <c r="AL401" s="7">
        <f t="shared" si="137"/>
        <v>7.0528996690324561</v>
      </c>
      <c r="AM401" s="7" t="str">
        <f t="shared" si="138"/>
        <v/>
      </c>
      <c r="AN401" s="4">
        <v>12253.04253594799</v>
      </c>
      <c r="AO401" s="4">
        <v>12901.52</v>
      </c>
      <c r="AP401" s="14">
        <f t="shared" si="132"/>
        <v>730448.26253594796</v>
      </c>
      <c r="AQ401" s="14">
        <f t="shared" si="133"/>
        <v>705293.7</v>
      </c>
      <c r="AR401" s="8">
        <v>28382.23</v>
      </c>
      <c r="AS401" s="20">
        <v>24.849834000000001</v>
      </c>
      <c r="AT401" s="8">
        <v>37884623.352555119</v>
      </c>
      <c r="AU401" s="8">
        <v>26402.706399999999</v>
      </c>
      <c r="AV401" s="8">
        <v>1053.6984</v>
      </c>
      <c r="AW401" s="8"/>
      <c r="AX401" s="9">
        <v>432.14481581551922</v>
      </c>
      <c r="AY401" s="6">
        <f t="shared" si="139"/>
        <v>2.2300366644023305E-2</v>
      </c>
      <c r="AZ401" s="8">
        <v>418392628.04210001</v>
      </c>
      <c r="BA401" s="10">
        <v>60480066</v>
      </c>
      <c r="BB401" s="11">
        <v>37884623.352555119</v>
      </c>
      <c r="BC401" s="10">
        <v>2971324</v>
      </c>
      <c r="BD401" s="10">
        <f>1000000000-999446010.0497+192084.1937</f>
        <v>746074.1439999782</v>
      </c>
      <c r="BE401" s="12">
        <f t="shared" si="140"/>
        <v>479525284.46134496</v>
      </c>
      <c r="BF401" s="13">
        <v>236.254254</v>
      </c>
      <c r="BG401" s="13">
        <f t="shared" si="141"/>
        <v>243.27103046134494</v>
      </c>
      <c r="BH401" s="14">
        <f>BE401*25.53</f>
        <v>12242280512.298138</v>
      </c>
    </row>
    <row r="402" spans="1:60" x14ac:dyDescent="0.25">
      <c r="A402" s="3">
        <v>46024</v>
      </c>
      <c r="B402" s="4">
        <v>6739696641</v>
      </c>
      <c r="C402" s="4">
        <v>323138854.17000002</v>
      </c>
      <c r="D402" s="4">
        <v>167935583</v>
      </c>
      <c r="E402" s="4"/>
      <c r="F402" s="17">
        <v>41037299.442623772</v>
      </c>
      <c r="G402" s="17">
        <v>15716283.90566181</v>
      </c>
      <c r="H402" s="17">
        <v>1561988.338302823</v>
      </c>
      <c r="I402" s="17">
        <v>190020070.7248435</v>
      </c>
      <c r="J402" s="17">
        <v>83812.269592276818</v>
      </c>
      <c r="K402" s="17">
        <v>74719399.488975778</v>
      </c>
      <c r="L402" s="14">
        <f t="shared" si="134"/>
        <v>323138854.16999996</v>
      </c>
      <c r="M402" s="21">
        <v>0.98468877525354648</v>
      </c>
      <c r="N402" s="4">
        <v>2193543.42</v>
      </c>
      <c r="O402" s="4">
        <v>60130.42</v>
      </c>
      <c r="P402" s="4">
        <v>111227.67</v>
      </c>
      <c r="Q402" s="4"/>
      <c r="R402" s="14">
        <f t="shared" si="121"/>
        <v>2364901.5099999998</v>
      </c>
      <c r="S402" s="6">
        <v>0.01</v>
      </c>
      <c r="T402" s="14">
        <f t="shared" si="122"/>
        <v>21935.4342</v>
      </c>
      <c r="U402" s="14">
        <f t="shared" si="123"/>
        <v>300.65210000000002</v>
      </c>
      <c r="V402" s="14">
        <f t="shared" si="124"/>
        <v>828.15589999999997</v>
      </c>
      <c r="W402" s="14" t="str">
        <f t="shared" si="125"/>
        <v/>
      </c>
      <c r="X402" s="4">
        <v>28412.080000000002</v>
      </c>
      <c r="Y402" s="4">
        <v>30065.21</v>
      </c>
      <c r="Z402" s="4"/>
      <c r="AA402" s="14">
        <f t="shared" si="126"/>
        <v>81541.532200000001</v>
      </c>
      <c r="AB402" s="4">
        <v>216762.63620000001</v>
      </c>
      <c r="AC402" s="4">
        <v>2193543.42</v>
      </c>
      <c r="AD402" s="14">
        <f t="shared" si="127"/>
        <v>30065.21</v>
      </c>
      <c r="AE402" s="14">
        <f t="shared" si="128"/>
        <v>82815.59</v>
      </c>
      <c r="AF402" s="14" t="str">
        <f t="shared" si="129"/>
        <v/>
      </c>
      <c r="AG402" s="15">
        <f t="shared" si="130"/>
        <v>2306424.2199999997</v>
      </c>
      <c r="AH402" s="4">
        <v>1898721.29</v>
      </c>
      <c r="AI402" s="17">
        <f t="shared" si="131"/>
        <v>407702.9299999997</v>
      </c>
      <c r="AJ402" s="7">
        <f t="shared" si="135"/>
        <v>3.2546619482186867</v>
      </c>
      <c r="AK402" s="7">
        <f t="shared" si="136"/>
        <v>1.8608229627615751</v>
      </c>
      <c r="AL402" s="7">
        <f t="shared" si="137"/>
        <v>6.6232342195161822</v>
      </c>
      <c r="AM402" s="7" t="str">
        <f t="shared" si="138"/>
        <v/>
      </c>
      <c r="AN402" s="4">
        <v>12554.25972530847</v>
      </c>
      <c r="AO402" s="4">
        <v>0</v>
      </c>
      <c r="AP402" s="14">
        <f t="shared" si="132"/>
        <v>1911275.5497253085</v>
      </c>
      <c r="AQ402" s="14">
        <f t="shared" si="133"/>
        <v>1898721.29</v>
      </c>
      <c r="AR402" s="8">
        <v>77430.460000000006</v>
      </c>
      <c r="AS402" s="20">
        <v>24.521633000000001</v>
      </c>
      <c r="AT402" s="8">
        <v>37961240.112555116</v>
      </c>
      <c r="AU402" s="8">
        <v>26401.814399999999</v>
      </c>
      <c r="AV402" s="8">
        <v>2093.0828000000001</v>
      </c>
      <c r="AW402" s="8"/>
      <c r="AX402" s="9">
        <v>432.14000642032812</v>
      </c>
      <c r="AY402" s="6">
        <f t="shared" si="139"/>
        <v>2.2299861417197139E-2</v>
      </c>
      <c r="AZ402" s="8">
        <v>418366226.2277</v>
      </c>
      <c r="BA402" s="10">
        <v>60480066</v>
      </c>
      <c r="BB402" s="11">
        <v>37961240.112555116</v>
      </c>
      <c r="BC402" s="10">
        <v>2971324</v>
      </c>
      <c r="BD402" s="10">
        <f>1000000000-999443916.9669+192601.1065</f>
        <v>748684.13960000896</v>
      </c>
      <c r="BE402" s="12">
        <f t="shared" si="140"/>
        <v>479472459.52014482</v>
      </c>
      <c r="BF402" s="13">
        <v>236.254254</v>
      </c>
      <c r="BG402" s="13">
        <f t="shared" si="141"/>
        <v>243.21820552014481</v>
      </c>
      <c r="BH402" s="14">
        <f>BE402*24.29</f>
        <v>11646386041.744318</v>
      </c>
    </row>
    <row r="403" spans="1:60" x14ac:dyDescent="0.25">
      <c r="A403" s="3">
        <v>46025</v>
      </c>
      <c r="B403" s="4">
        <v>3230692184</v>
      </c>
      <c r="C403" s="4">
        <v>80614911.129999995</v>
      </c>
      <c r="D403" s="4">
        <v>118826856</v>
      </c>
      <c r="E403" s="4"/>
      <c r="F403" s="17">
        <v>8593080.4697217401</v>
      </c>
      <c r="G403" s="17">
        <v>11592087.37582591</v>
      </c>
      <c r="H403" s="17">
        <v>1275346.372299792</v>
      </c>
      <c r="I403" s="17">
        <v>38129632.186060853</v>
      </c>
      <c r="J403" s="17">
        <v>91828.964048632231</v>
      </c>
      <c r="K403" s="17">
        <v>20932935.762043089</v>
      </c>
      <c r="L403" s="14">
        <f t="shared" si="134"/>
        <v>80614911.130000025</v>
      </c>
      <c r="M403" s="21">
        <v>1.0180371036256011</v>
      </c>
      <c r="N403" s="4">
        <v>1119941.46</v>
      </c>
      <c r="O403" s="4">
        <v>27963.4</v>
      </c>
      <c r="P403" s="4">
        <v>71686.760000000009</v>
      </c>
      <c r="Q403" s="4"/>
      <c r="R403" s="14">
        <f t="shared" si="121"/>
        <v>1219591.6199999999</v>
      </c>
      <c r="S403" s="6">
        <v>0.01</v>
      </c>
      <c r="T403" s="14">
        <f t="shared" si="122"/>
        <v>11199.4146</v>
      </c>
      <c r="U403" s="14">
        <f t="shared" si="123"/>
        <v>139.81700000000001</v>
      </c>
      <c r="V403" s="14">
        <f t="shared" si="124"/>
        <v>529.92370000000005</v>
      </c>
      <c r="W403" s="14" t="str">
        <f t="shared" si="125"/>
        <v/>
      </c>
      <c r="X403" s="4">
        <v>18694.39</v>
      </c>
      <c r="Y403" s="4">
        <v>13981.7</v>
      </c>
      <c r="Z403" s="4"/>
      <c r="AA403" s="14">
        <f t="shared" si="126"/>
        <v>44545.245299999995</v>
      </c>
      <c r="AB403" s="4">
        <v>103189.90429999999</v>
      </c>
      <c r="AC403" s="4">
        <v>1119941.46</v>
      </c>
      <c r="AD403" s="14">
        <f t="shared" si="127"/>
        <v>13981.7</v>
      </c>
      <c r="AE403" s="14">
        <f t="shared" si="128"/>
        <v>52992.37000000001</v>
      </c>
      <c r="AF403" s="14" t="str">
        <f t="shared" si="129"/>
        <v/>
      </c>
      <c r="AG403" s="15">
        <f t="shared" si="130"/>
        <v>1186915.53</v>
      </c>
      <c r="AH403" s="4">
        <v>1002009.44</v>
      </c>
      <c r="AI403" s="17">
        <f t="shared" si="131"/>
        <v>184906.09000000008</v>
      </c>
      <c r="AJ403" s="7">
        <f t="shared" si="135"/>
        <v>3.4665681414853107</v>
      </c>
      <c r="AK403" s="7">
        <f t="shared" si="136"/>
        <v>3.4687627397995997</v>
      </c>
      <c r="AL403" s="7">
        <f t="shared" si="137"/>
        <v>6.0328752618010872</v>
      </c>
      <c r="AM403" s="7" t="str">
        <f t="shared" si="138"/>
        <v/>
      </c>
      <c r="AN403" s="4">
        <v>7939.0623719251244</v>
      </c>
      <c r="AO403" s="4">
        <v>12392.66</v>
      </c>
      <c r="AP403" s="14">
        <f t="shared" si="132"/>
        <v>1022341.1623719251</v>
      </c>
      <c r="AQ403" s="14">
        <f t="shared" si="133"/>
        <v>1002009.44</v>
      </c>
      <c r="AR403" s="8">
        <v>40475</v>
      </c>
      <c r="AS403" s="20">
        <v>24.756256</v>
      </c>
      <c r="AT403" s="8">
        <v>38005028.392555118</v>
      </c>
      <c r="AU403" s="8">
        <v>26396.016599999999</v>
      </c>
      <c r="AV403" s="8">
        <v>1639.5283999999999</v>
      </c>
      <c r="AW403" s="8"/>
      <c r="AX403" s="9">
        <v>431.74865155705407</v>
      </c>
      <c r="AY403" s="6">
        <f t="shared" si="139"/>
        <v>2.2315173479416944E-2</v>
      </c>
      <c r="AZ403" s="8">
        <v>418339830.21100003</v>
      </c>
      <c r="BA403" s="10">
        <v>60480066</v>
      </c>
      <c r="BB403" s="11">
        <v>38005028.392555118</v>
      </c>
      <c r="BC403" s="10">
        <v>2971324</v>
      </c>
      <c r="BD403" s="10">
        <f>1000000000-999442277.4385+192924.1083</f>
        <v>750646.66979995323</v>
      </c>
      <c r="BE403" s="12">
        <f t="shared" si="140"/>
        <v>479453104.72664499</v>
      </c>
      <c r="BF403" s="13">
        <v>236.254254</v>
      </c>
      <c r="BG403" s="13">
        <f t="shared" si="141"/>
        <v>243.19885072664499</v>
      </c>
      <c r="BH403" s="14">
        <f>BE403*24.58</f>
        <v>11784957314.180933</v>
      </c>
    </row>
    <row r="404" spans="1:60" x14ac:dyDescent="0.25">
      <c r="A404" s="3">
        <v>46026</v>
      </c>
      <c r="B404" s="4">
        <v>3511211718</v>
      </c>
      <c r="C404" s="4">
        <v>77226179.75</v>
      </c>
      <c r="D404" s="4">
        <v>88312585</v>
      </c>
      <c r="E404" s="4"/>
      <c r="F404" s="17">
        <v>8586477.3789560273</v>
      </c>
      <c r="G404" s="17">
        <v>14165402.644348931</v>
      </c>
      <c r="H404" s="17">
        <v>1946714.378211393</v>
      </c>
      <c r="I404" s="17">
        <v>38231569.403142728</v>
      </c>
      <c r="J404" s="17">
        <v>45953.603507163607</v>
      </c>
      <c r="K404" s="17">
        <v>14250062.34183375</v>
      </c>
      <c r="L404" s="14">
        <f t="shared" si="134"/>
        <v>77226179.75</v>
      </c>
      <c r="M404" s="21">
        <v>1.1001847285845769</v>
      </c>
      <c r="N404" s="4">
        <v>1161483.1599999999</v>
      </c>
      <c r="O404" s="4">
        <v>26176.080000000002</v>
      </c>
      <c r="P404" s="4">
        <v>45407.49</v>
      </c>
      <c r="Q404" s="4"/>
      <c r="R404" s="14">
        <f t="shared" si="121"/>
        <v>1233066.73</v>
      </c>
      <c r="S404" s="6">
        <v>0.01</v>
      </c>
      <c r="T404" s="14">
        <f t="shared" si="122"/>
        <v>11614.8316</v>
      </c>
      <c r="U404" s="14">
        <f t="shared" si="123"/>
        <v>130.88040000000001</v>
      </c>
      <c r="V404" s="14">
        <f t="shared" si="124"/>
        <v>329.82139999999998</v>
      </c>
      <c r="W404" s="14" t="str">
        <f t="shared" si="125"/>
        <v/>
      </c>
      <c r="X404" s="4">
        <v>12425.35</v>
      </c>
      <c r="Y404" s="4">
        <v>13088.04</v>
      </c>
      <c r="Z404" s="4"/>
      <c r="AA404" s="14">
        <f t="shared" si="126"/>
        <v>37588.9234</v>
      </c>
      <c r="AB404" s="4">
        <v>93718.331699999995</v>
      </c>
      <c r="AC404" s="4">
        <v>1161483.1599999999</v>
      </c>
      <c r="AD404" s="14">
        <f t="shared" si="127"/>
        <v>13088.04</v>
      </c>
      <c r="AE404" s="14">
        <f t="shared" si="128"/>
        <v>32982.14</v>
      </c>
      <c r="AF404" s="14" t="str">
        <f t="shared" si="129"/>
        <v/>
      </c>
      <c r="AG404" s="15">
        <f t="shared" si="130"/>
        <v>1207553.3399999999</v>
      </c>
      <c r="AH404" s="4">
        <v>1024144.58</v>
      </c>
      <c r="AI404" s="17">
        <f t="shared" si="131"/>
        <v>183408.75999999989</v>
      </c>
      <c r="AJ404" s="7">
        <f t="shared" si="135"/>
        <v>3.3079268733518159</v>
      </c>
      <c r="AK404" s="7">
        <f t="shared" si="136"/>
        <v>3.3895344926731279</v>
      </c>
      <c r="AL404" s="7">
        <f t="shared" si="137"/>
        <v>5.1416782783563635</v>
      </c>
      <c r="AM404" s="7" t="str">
        <f t="shared" si="138"/>
        <v/>
      </c>
      <c r="AN404" s="4">
        <v>9542.3798867698406</v>
      </c>
      <c r="AO404" s="4">
        <v>12835.17</v>
      </c>
      <c r="AP404" s="14">
        <f t="shared" si="132"/>
        <v>1046522.1298867698</v>
      </c>
      <c r="AQ404" s="14">
        <f t="shared" si="133"/>
        <v>1024144.58</v>
      </c>
      <c r="AR404" s="8">
        <v>39990.230000000003</v>
      </c>
      <c r="AS404" s="20">
        <v>25.609870000000001</v>
      </c>
      <c r="AT404" s="8">
        <v>38044332.312555119</v>
      </c>
      <c r="AU404" s="8">
        <v>26350.9539</v>
      </c>
      <c r="AV404" s="8">
        <v>2062.1421999999998</v>
      </c>
      <c r="AW404" s="8"/>
      <c r="AX404" s="9">
        <v>431.66020498944238</v>
      </c>
      <c r="AY404" s="6">
        <f t="shared" si="139"/>
        <v>2.2281642046978228E-2</v>
      </c>
      <c r="AZ404" s="8">
        <v>418313479.2572</v>
      </c>
      <c r="BA404" s="10">
        <v>60480066</v>
      </c>
      <c r="BB404" s="11">
        <v>38044332.312555119</v>
      </c>
      <c r="BC404" s="10">
        <v>2971324</v>
      </c>
      <c r="BD404" s="10">
        <f>1000000000-999440215.2962+193303.2406</f>
        <v>753087.94439996302</v>
      </c>
      <c r="BE404" s="12">
        <f t="shared" si="140"/>
        <v>479437710.48584491</v>
      </c>
      <c r="BF404" s="13">
        <v>236.254254</v>
      </c>
      <c r="BG404" s="13">
        <f t="shared" si="141"/>
        <v>243.18345648584489</v>
      </c>
      <c r="BH404" s="14">
        <f>BE404*25.18</f>
        <v>12072241550.033575</v>
      </c>
    </row>
    <row r="405" spans="1:60" x14ac:dyDescent="0.25">
      <c r="A405" s="3">
        <v>46027</v>
      </c>
      <c r="B405" s="4">
        <v>7232345681</v>
      </c>
      <c r="C405" s="4">
        <v>331117298.00999999</v>
      </c>
      <c r="D405" s="4">
        <v>171744707</v>
      </c>
      <c r="E405" s="4"/>
      <c r="F405" s="17">
        <v>44196621.33304394</v>
      </c>
      <c r="G405" s="17">
        <v>22089340.375361249</v>
      </c>
      <c r="H405" s="17">
        <v>1670451.1506735331</v>
      </c>
      <c r="I405" s="17">
        <v>174442111.8762472</v>
      </c>
      <c r="J405" s="17">
        <v>318018.82079667138</v>
      </c>
      <c r="K405" s="17">
        <v>88400754.453877375</v>
      </c>
      <c r="L405" s="14">
        <f t="shared" si="134"/>
        <v>331117298.00999999</v>
      </c>
      <c r="M405" s="21">
        <v>0.99381825234983601</v>
      </c>
      <c r="N405" s="4">
        <v>2356919.8199999998</v>
      </c>
      <c r="O405" s="4">
        <v>82181.16</v>
      </c>
      <c r="P405" s="4">
        <v>91653.19</v>
      </c>
      <c r="Q405" s="4"/>
      <c r="R405" s="14">
        <f t="shared" si="121"/>
        <v>2530754.17</v>
      </c>
      <c r="S405" s="6">
        <v>0.01</v>
      </c>
      <c r="T405" s="14">
        <f t="shared" si="122"/>
        <v>23569.198199999999</v>
      </c>
      <c r="U405" s="14">
        <f t="shared" si="123"/>
        <v>410.9058</v>
      </c>
      <c r="V405" s="14">
        <f t="shared" si="124"/>
        <v>691.43770000000006</v>
      </c>
      <c r="W405" s="14" t="str">
        <f t="shared" si="125"/>
        <v/>
      </c>
      <c r="X405" s="4">
        <v>22509.42</v>
      </c>
      <c r="Y405" s="4">
        <v>41090.58</v>
      </c>
      <c r="Z405" s="4"/>
      <c r="AA405" s="14">
        <f t="shared" si="126"/>
        <v>88271.541700000002</v>
      </c>
      <c r="AB405" s="4">
        <v>163479.24660000001</v>
      </c>
      <c r="AC405" s="4">
        <v>2356919.8199999998</v>
      </c>
      <c r="AD405" s="14">
        <f t="shared" si="127"/>
        <v>41090.58</v>
      </c>
      <c r="AE405" s="14">
        <f t="shared" si="128"/>
        <v>69143.77</v>
      </c>
      <c r="AF405" s="14" t="str">
        <f t="shared" si="129"/>
        <v/>
      </c>
      <c r="AG405" s="15">
        <f t="shared" si="130"/>
        <v>2467154.17</v>
      </c>
      <c r="AH405" s="4">
        <v>2086165.61</v>
      </c>
      <c r="AI405" s="17">
        <f t="shared" si="131"/>
        <v>380988.55999999982</v>
      </c>
      <c r="AJ405" s="7">
        <f t="shared" si="135"/>
        <v>3.2588594682245797</v>
      </c>
      <c r="AK405" s="7">
        <f t="shared" si="136"/>
        <v>2.4819349666690647</v>
      </c>
      <c r="AL405" s="7">
        <f t="shared" si="137"/>
        <v>5.3365947400055838</v>
      </c>
      <c r="AM405" s="7" t="str">
        <f t="shared" si="138"/>
        <v/>
      </c>
      <c r="AN405" s="4">
        <v>17385.425428188839</v>
      </c>
      <c r="AO405" s="4">
        <v>13634.58</v>
      </c>
      <c r="AP405" s="14">
        <f t="shared" si="132"/>
        <v>2117185.6154281888</v>
      </c>
      <c r="AQ405" s="14">
        <f t="shared" si="133"/>
        <v>2086165.61</v>
      </c>
      <c r="AR405" s="8">
        <v>78485.08</v>
      </c>
      <c r="AS405" s="20">
        <v>26.580410000000001</v>
      </c>
      <c r="AT405" s="8">
        <v>38120898.502555117</v>
      </c>
      <c r="AU405" s="8">
        <v>26387.372299999999</v>
      </c>
      <c r="AV405" s="8">
        <v>901.97370000000001</v>
      </c>
      <c r="AW405" s="8"/>
      <c r="AX405" s="9">
        <v>431.86979677202771</v>
      </c>
      <c r="AY405" s="6">
        <f t="shared" si="139"/>
        <v>2.230160794176618E-2</v>
      </c>
      <c r="AZ405" s="8">
        <v>418287091.88489997</v>
      </c>
      <c r="BA405" s="10">
        <v>60480066</v>
      </c>
      <c r="BB405" s="11">
        <v>38120898.502555117</v>
      </c>
      <c r="BC405" s="10">
        <v>2971324</v>
      </c>
      <c r="BD405" s="10">
        <f>1000000000-999439313.3225+193957.4428</f>
        <v>754644.1203000095</v>
      </c>
      <c r="BE405" s="12">
        <f t="shared" si="140"/>
        <v>479385975.4922449</v>
      </c>
      <c r="BF405" s="13">
        <v>236.254254</v>
      </c>
      <c r="BG405" s="13">
        <f t="shared" si="141"/>
        <v>243.13172149224488</v>
      </c>
      <c r="BH405" s="14">
        <f>BE405*26.58</f>
        <v>12742079228.583868</v>
      </c>
    </row>
    <row r="406" spans="1:60" x14ac:dyDescent="0.25">
      <c r="A406" s="3">
        <v>46028</v>
      </c>
      <c r="B406" s="4">
        <v>7918383563</v>
      </c>
      <c r="C406" s="4">
        <v>326881050.97000003</v>
      </c>
      <c r="D406" s="4">
        <v>210695748</v>
      </c>
      <c r="E406" s="4"/>
      <c r="F406" s="17">
        <v>69964937.716293111</v>
      </c>
      <c r="G406" s="17">
        <v>23766910.945019148</v>
      </c>
      <c r="H406" s="17">
        <v>2295783.3493770808</v>
      </c>
      <c r="I406" s="17">
        <v>154657741.65180409</v>
      </c>
      <c r="J406" s="17">
        <v>482780.0729878319</v>
      </c>
      <c r="K406" s="17">
        <v>75712897.234518677</v>
      </c>
      <c r="L406" s="14">
        <f t="shared" si="134"/>
        <v>326881050.96999991</v>
      </c>
      <c r="M406" s="21">
        <v>1.017271970679902</v>
      </c>
      <c r="N406" s="4">
        <v>2682231.9300000002</v>
      </c>
      <c r="O406" s="4">
        <v>90315.42</v>
      </c>
      <c r="P406" s="4">
        <v>109275.04</v>
      </c>
      <c r="Q406" s="4"/>
      <c r="R406" s="14">
        <f t="shared" si="121"/>
        <v>2881822.39</v>
      </c>
      <c r="S406" s="6">
        <v>0.01</v>
      </c>
      <c r="T406" s="14">
        <f t="shared" si="122"/>
        <v>26822.319300000003</v>
      </c>
      <c r="U406" s="14">
        <f t="shared" si="123"/>
        <v>451.57709999999997</v>
      </c>
      <c r="V406" s="14">
        <f t="shared" si="124"/>
        <v>860.36489999999992</v>
      </c>
      <c r="W406" s="14" t="str">
        <f t="shared" si="125"/>
        <v/>
      </c>
      <c r="X406" s="4">
        <v>23238.55</v>
      </c>
      <c r="Y406" s="4">
        <v>45157.71</v>
      </c>
      <c r="Z406" s="4"/>
      <c r="AA406" s="14">
        <f t="shared" si="126"/>
        <v>96530.521299999993</v>
      </c>
      <c r="AB406" s="4">
        <v>152308.92490000001</v>
      </c>
      <c r="AC406" s="4">
        <v>2682231.9300000002</v>
      </c>
      <c r="AD406" s="14">
        <f t="shared" si="127"/>
        <v>45157.71</v>
      </c>
      <c r="AE406" s="14">
        <f t="shared" si="128"/>
        <v>86036.489999999991</v>
      </c>
      <c r="AF406" s="14" t="str">
        <f t="shared" si="129"/>
        <v/>
      </c>
      <c r="AG406" s="15">
        <f t="shared" si="130"/>
        <v>2813426.13</v>
      </c>
      <c r="AH406" s="4">
        <v>2374650.41</v>
      </c>
      <c r="AI406" s="17">
        <f t="shared" si="131"/>
        <v>438775.71999999974</v>
      </c>
      <c r="AJ406" s="7">
        <f t="shared" si="135"/>
        <v>3.3873478199934484</v>
      </c>
      <c r="AK406" s="7">
        <f t="shared" si="136"/>
        <v>2.7629444940902621</v>
      </c>
      <c r="AL406" s="7">
        <f t="shared" si="137"/>
        <v>5.1863903774650444</v>
      </c>
      <c r="AM406" s="7" t="str">
        <f t="shared" si="138"/>
        <v/>
      </c>
      <c r="AN406" s="4">
        <v>18797.200496021491</v>
      </c>
      <c r="AO406" s="4">
        <v>16847.189999999999</v>
      </c>
      <c r="AP406" s="14">
        <f t="shared" si="132"/>
        <v>2410294.8004960218</v>
      </c>
      <c r="AQ406" s="14">
        <f t="shared" si="133"/>
        <v>2374650.41</v>
      </c>
      <c r="AR406" s="8">
        <v>88011.81</v>
      </c>
      <c r="AS406" s="20">
        <v>26.981043</v>
      </c>
      <c r="AT406" s="8">
        <v>38212022.862555116</v>
      </c>
      <c r="AU406" s="8">
        <v>26389.364600000001</v>
      </c>
      <c r="AV406" s="8">
        <v>2534.2662999999998</v>
      </c>
      <c r="AW406" s="8">
        <v>1125766</v>
      </c>
      <c r="AX406" s="9">
        <v>431.32736613471423</v>
      </c>
      <c r="AY406" s="6">
        <f t="shared" si="139"/>
        <v>2.2331340033712701E-2</v>
      </c>
      <c r="AZ406" s="8">
        <v>418260702.52029997</v>
      </c>
      <c r="BA406" s="10">
        <v>60480066</v>
      </c>
      <c r="BB406" s="11">
        <v>38212022.862555116</v>
      </c>
      <c r="BC406" s="10">
        <v>2971324</v>
      </c>
      <c r="BD406" s="10">
        <f>1000000000-999436779.0563+194661.2733</f>
        <v>757882.21699995594</v>
      </c>
      <c r="BE406" s="12">
        <f t="shared" si="140"/>
        <v>479318002.40014499</v>
      </c>
      <c r="BF406" s="13">
        <v>235.128488</v>
      </c>
      <c r="BG406" s="13">
        <f t="shared" si="141"/>
        <v>244.18951440014501</v>
      </c>
      <c r="BH406" s="14">
        <f>BE406*26.72</f>
        <v>12807377024.131874</v>
      </c>
    </row>
    <row r="407" spans="1:60" x14ac:dyDescent="0.25">
      <c r="A407" s="3">
        <v>46029</v>
      </c>
      <c r="B407" s="4">
        <v>6094180127</v>
      </c>
      <c r="C407" s="4">
        <v>330261614.31999999</v>
      </c>
      <c r="D407" s="4">
        <v>145632492</v>
      </c>
      <c r="E407" s="4"/>
      <c r="F407" s="17">
        <v>76034977.026103839</v>
      </c>
      <c r="G407" s="17">
        <v>19878716.992230501</v>
      </c>
      <c r="H407" s="17">
        <v>3506885.91396914</v>
      </c>
      <c r="I407" s="17">
        <v>149141352.3652198</v>
      </c>
      <c r="J407" s="17">
        <v>378766.92501125397</v>
      </c>
      <c r="K407" s="17">
        <v>81320915.097465485</v>
      </c>
      <c r="L407" s="14">
        <f t="shared" si="134"/>
        <v>330261614.32000005</v>
      </c>
      <c r="M407" s="21">
        <v>0.97484824569330397</v>
      </c>
      <c r="N407" s="4">
        <v>2067896.48</v>
      </c>
      <c r="O407" s="4">
        <v>77654.62</v>
      </c>
      <c r="P407" s="4">
        <v>81016.63</v>
      </c>
      <c r="Q407" s="4"/>
      <c r="R407" s="14">
        <f t="shared" si="121"/>
        <v>2226567.73</v>
      </c>
      <c r="S407" s="6">
        <v>0.01</v>
      </c>
      <c r="T407" s="14">
        <f t="shared" si="122"/>
        <v>20678.964800000002</v>
      </c>
      <c r="U407" s="14">
        <f t="shared" si="123"/>
        <v>388.2731</v>
      </c>
      <c r="V407" s="14">
        <f t="shared" si="124"/>
        <v>657.66300000000001</v>
      </c>
      <c r="W407" s="14" t="str">
        <f t="shared" si="125"/>
        <v/>
      </c>
      <c r="X407" s="4">
        <v>15250.33</v>
      </c>
      <c r="Y407" s="4">
        <v>38827.31</v>
      </c>
      <c r="Z407" s="4"/>
      <c r="AA407" s="14">
        <f t="shared" si="126"/>
        <v>75802.540899999993</v>
      </c>
      <c r="AB407" s="4">
        <v>130250.0977</v>
      </c>
      <c r="AC407" s="4">
        <v>2067896.48</v>
      </c>
      <c r="AD407" s="14">
        <f t="shared" si="127"/>
        <v>38827.31</v>
      </c>
      <c r="AE407" s="14">
        <f t="shared" si="128"/>
        <v>65766.3</v>
      </c>
      <c r="AF407" s="14" t="str">
        <f t="shared" si="129"/>
        <v/>
      </c>
      <c r="AG407" s="15">
        <f t="shared" si="130"/>
        <v>2172490.09</v>
      </c>
      <c r="AH407" s="4">
        <v>1865729.21</v>
      </c>
      <c r="AI407" s="17">
        <f t="shared" si="131"/>
        <v>306760.87999999989</v>
      </c>
      <c r="AJ407" s="7">
        <f t="shared" si="135"/>
        <v>3.3932316356030809</v>
      </c>
      <c r="AK407" s="7">
        <f t="shared" si="136"/>
        <v>2.3513062564018776</v>
      </c>
      <c r="AL407" s="7">
        <f t="shared" si="137"/>
        <v>5.5630875285715771</v>
      </c>
      <c r="AM407" s="7" t="str">
        <f t="shared" si="138"/>
        <v/>
      </c>
      <c r="AN407" s="4">
        <v>15018.5260501421</v>
      </c>
      <c r="AO407" s="4">
        <v>0</v>
      </c>
      <c r="AP407" s="14">
        <f t="shared" si="132"/>
        <v>1880747.736050142</v>
      </c>
      <c r="AQ407" s="14">
        <f t="shared" si="133"/>
        <v>1865729.21</v>
      </c>
      <c r="AR407" s="8">
        <v>68872.570000000007</v>
      </c>
      <c r="AS407" s="20">
        <v>27.089583000000001</v>
      </c>
      <c r="AT407" s="8">
        <v>38277974.162555121</v>
      </c>
      <c r="AU407" s="8">
        <v>26373.048200000001</v>
      </c>
      <c r="AV407" s="8">
        <v>2947.2224999999999</v>
      </c>
      <c r="AW407" s="8"/>
      <c r="AX407" s="9">
        <v>431.32450291001788</v>
      </c>
      <c r="AY407" s="6">
        <f t="shared" si="139"/>
        <v>2.2317680836713771E-2</v>
      </c>
      <c r="AZ407" s="8">
        <v>418234329.472</v>
      </c>
      <c r="BA407" s="10">
        <v>60480066</v>
      </c>
      <c r="BB407" s="11">
        <v>38277974.162555121</v>
      </c>
      <c r="BC407" s="10">
        <v>2971324</v>
      </c>
      <c r="BD407" s="10">
        <f>1000000000-999433831.8338+195197.4578</f>
        <v>761365.62400004175</v>
      </c>
      <c r="BE407" s="12">
        <f t="shared" si="140"/>
        <v>479274940.74144489</v>
      </c>
      <c r="BF407" s="13">
        <v>235.128488</v>
      </c>
      <c r="BG407" s="13">
        <f t="shared" si="141"/>
        <v>244.14645274144488</v>
      </c>
      <c r="BH407" s="14">
        <f>BE407*28.01</f>
        <v>13424491090.167871</v>
      </c>
    </row>
    <row r="408" spans="1:60" x14ac:dyDescent="0.25">
      <c r="A408" s="3">
        <v>46030</v>
      </c>
      <c r="B408" s="4">
        <v>7137806881</v>
      </c>
      <c r="C408" s="4">
        <v>417820832.06</v>
      </c>
      <c r="D408" s="4">
        <v>133985143</v>
      </c>
      <c r="E408" s="4"/>
      <c r="F408" s="17">
        <v>48332590.213340864</v>
      </c>
      <c r="G408" s="17">
        <v>26279187.88308049</v>
      </c>
      <c r="H408" s="17">
        <v>2291109.8609421151</v>
      </c>
      <c r="I408" s="17">
        <v>211471682.46519431</v>
      </c>
      <c r="J408" s="17">
        <v>216376.11979817651</v>
      </c>
      <c r="K408" s="17">
        <v>129229885.51764411</v>
      </c>
      <c r="L408" s="14">
        <f t="shared" si="134"/>
        <v>417820832.06000006</v>
      </c>
      <c r="M408" s="21">
        <v>0.99945667058132659</v>
      </c>
      <c r="N408" s="4">
        <v>2294637.52</v>
      </c>
      <c r="O408" s="4">
        <v>80292.88</v>
      </c>
      <c r="P408" s="4">
        <v>69102.64</v>
      </c>
      <c r="Q408" s="4"/>
      <c r="R408" s="14">
        <f t="shared" si="121"/>
        <v>2444033.04</v>
      </c>
      <c r="S408" s="6">
        <v>0.01</v>
      </c>
      <c r="T408" s="14">
        <f t="shared" si="122"/>
        <v>22946.375200000002</v>
      </c>
      <c r="U408" s="14">
        <f t="shared" si="123"/>
        <v>401.46440000000001</v>
      </c>
      <c r="V408" s="14">
        <f t="shared" si="124"/>
        <v>515.18009999999992</v>
      </c>
      <c r="W408" s="14" t="str">
        <f t="shared" si="125"/>
        <v/>
      </c>
      <c r="X408" s="4">
        <v>17584.63</v>
      </c>
      <c r="Y408" s="4">
        <v>40146.44</v>
      </c>
      <c r="Z408" s="4"/>
      <c r="AA408" s="14">
        <f t="shared" si="126"/>
        <v>81594.089700000011</v>
      </c>
      <c r="AB408" s="4">
        <v>129361.2114</v>
      </c>
      <c r="AC408" s="4">
        <v>2294637.52</v>
      </c>
      <c r="AD408" s="14">
        <f t="shared" si="127"/>
        <v>40146.44</v>
      </c>
      <c r="AE408" s="14">
        <f t="shared" si="128"/>
        <v>51518.009999999995</v>
      </c>
      <c r="AF408" s="14" t="str">
        <f t="shared" si="129"/>
        <v/>
      </c>
      <c r="AG408" s="15">
        <f t="shared" si="130"/>
        <v>2386301.9699999997</v>
      </c>
      <c r="AH408" s="4">
        <v>2091921.83</v>
      </c>
      <c r="AI408" s="17">
        <f t="shared" si="131"/>
        <v>294380.13999999966</v>
      </c>
      <c r="AJ408" s="7">
        <f t="shared" si="135"/>
        <v>3.2147654850512337</v>
      </c>
      <c r="AK408" s="7">
        <f t="shared" si="136"/>
        <v>1.9217060002520354</v>
      </c>
      <c r="AL408" s="7">
        <f t="shared" si="137"/>
        <v>5.1574852593917822</v>
      </c>
      <c r="AM408" s="7" t="str">
        <f t="shared" si="138"/>
        <v/>
      </c>
      <c r="AN408" s="4">
        <v>8232.5563543103453</v>
      </c>
      <c r="AO408" s="4">
        <v>13659.77</v>
      </c>
      <c r="AP408" s="14">
        <f t="shared" si="132"/>
        <v>2113814.1563543105</v>
      </c>
      <c r="AQ408" s="14">
        <f t="shared" si="133"/>
        <v>2091921.83</v>
      </c>
      <c r="AR408" s="8">
        <v>80019.350000000006</v>
      </c>
      <c r="AS408" s="20">
        <v>26.142700000000001</v>
      </c>
      <c r="AT408" s="8">
        <v>38357236.182555117</v>
      </c>
      <c r="AU408" s="8">
        <v>26374.6414</v>
      </c>
      <c r="AV408" s="8">
        <v>1968.7768000000001</v>
      </c>
      <c r="AW408" s="8"/>
      <c r="AX408" s="9">
        <v>431.33616070326627</v>
      </c>
      <c r="AY408" s="6">
        <f t="shared" si="139"/>
        <v>2.2318425831268595E-2</v>
      </c>
      <c r="AZ408" s="8">
        <v>418207954.83060002</v>
      </c>
      <c r="BA408" s="10">
        <v>60480066</v>
      </c>
      <c r="BB408" s="11">
        <v>38357236.182555117</v>
      </c>
      <c r="BC408" s="10">
        <v>2971324</v>
      </c>
      <c r="BD408" s="10">
        <f>1000000000-999431863.057+195504.5281</f>
        <v>763641.47109995899</v>
      </c>
      <c r="BE408" s="12">
        <f t="shared" si="140"/>
        <v>479219777.51574486</v>
      </c>
      <c r="BF408" s="13">
        <v>235.128488</v>
      </c>
      <c r="BG408" s="13">
        <f t="shared" si="141"/>
        <v>244.09128951574485</v>
      </c>
      <c r="BH408" s="14">
        <f>BE408*26.79</f>
        <v>12838297839.646805</v>
      </c>
    </row>
    <row r="409" spans="1:60" x14ac:dyDescent="0.25">
      <c r="A409" s="3">
        <v>46031</v>
      </c>
      <c r="B409" s="4">
        <v>6931233969</v>
      </c>
      <c r="C409" s="4">
        <v>311266587.89999998</v>
      </c>
      <c r="D409" s="4">
        <v>123717485</v>
      </c>
      <c r="E409" s="4"/>
      <c r="F409" s="17">
        <v>49107771.367447771</v>
      </c>
      <c r="G409" s="17">
        <v>20368541.31273945</v>
      </c>
      <c r="H409" s="17">
        <v>2382274.1673951559</v>
      </c>
      <c r="I409" s="17">
        <v>179431615.58695579</v>
      </c>
      <c r="J409" s="17">
        <v>115887.4868723042</v>
      </c>
      <c r="K409" s="17">
        <v>59860497.978589468</v>
      </c>
      <c r="L409" s="14">
        <f t="shared" si="134"/>
        <v>311266587.89999998</v>
      </c>
      <c r="M409" s="21">
        <v>0.98584637426494404</v>
      </c>
      <c r="N409" s="4">
        <v>1944278.26</v>
      </c>
      <c r="O409" s="4">
        <v>59323.72</v>
      </c>
      <c r="P409" s="4">
        <v>59408.91</v>
      </c>
      <c r="Q409" s="4"/>
      <c r="R409" s="14">
        <f t="shared" si="121"/>
        <v>2063010.89</v>
      </c>
      <c r="S409" s="6">
        <v>0.01</v>
      </c>
      <c r="T409" s="14">
        <f t="shared" si="122"/>
        <v>19442.782600000002</v>
      </c>
      <c r="U409" s="14">
        <f t="shared" si="123"/>
        <v>296.61860000000001</v>
      </c>
      <c r="V409" s="14">
        <f t="shared" si="124"/>
        <v>458.24560000000008</v>
      </c>
      <c r="W409" s="14" t="str">
        <f t="shared" si="125"/>
        <v/>
      </c>
      <c r="X409" s="4">
        <v>13584.35</v>
      </c>
      <c r="Y409" s="4">
        <v>29661.86</v>
      </c>
      <c r="Z409" s="4"/>
      <c r="AA409" s="14">
        <f t="shared" si="126"/>
        <v>63443.856800000001</v>
      </c>
      <c r="AB409" s="4">
        <v>95636.633499999982</v>
      </c>
      <c r="AC409" s="4">
        <v>1944278.26</v>
      </c>
      <c r="AD409" s="14">
        <f t="shared" si="127"/>
        <v>29661.86</v>
      </c>
      <c r="AE409" s="14">
        <f t="shared" si="128"/>
        <v>45824.560000000005</v>
      </c>
      <c r="AF409" s="14" t="str">
        <f t="shared" si="129"/>
        <v/>
      </c>
      <c r="AG409" s="15">
        <f t="shared" si="130"/>
        <v>2019764.6800000002</v>
      </c>
      <c r="AH409" s="4">
        <v>1786727.57</v>
      </c>
      <c r="AI409" s="17">
        <f t="shared" si="131"/>
        <v>233037.1100000001</v>
      </c>
      <c r="AJ409" s="7">
        <f t="shared" si="135"/>
        <v>2.8050968538874899</v>
      </c>
      <c r="AK409" s="7">
        <f t="shared" si="136"/>
        <v>1.9058813989717012</v>
      </c>
      <c r="AL409" s="7">
        <f t="shared" si="137"/>
        <v>4.8019817085677099</v>
      </c>
      <c r="AM409" s="7" t="str">
        <f t="shared" si="138"/>
        <v/>
      </c>
      <c r="AN409" s="4">
        <v>9329.6312373832043</v>
      </c>
      <c r="AO409" s="4">
        <v>13071.13</v>
      </c>
      <c r="AP409" s="14">
        <f t="shared" si="132"/>
        <v>1809128.3312373832</v>
      </c>
      <c r="AQ409" s="14">
        <f t="shared" si="133"/>
        <v>1786727.57</v>
      </c>
      <c r="AR409" s="8">
        <v>69974.7</v>
      </c>
      <c r="AS409" s="20">
        <v>25.533908</v>
      </c>
      <c r="AT409" s="8">
        <v>38428013.392555118</v>
      </c>
      <c r="AU409" s="8">
        <v>26370.881799999999</v>
      </c>
      <c r="AV409" s="8">
        <v>2704.8658999999998</v>
      </c>
      <c r="AW409" s="8"/>
      <c r="AX409" s="9">
        <v>431.3523970672756</v>
      </c>
      <c r="AY409" s="6">
        <f t="shared" si="139"/>
        <v>2.2314404469389756E-2</v>
      </c>
      <c r="AZ409" s="8">
        <v>418181583.94880003</v>
      </c>
      <c r="BA409" s="10">
        <v>60480066</v>
      </c>
      <c r="BB409" s="11">
        <v>38428013.392555118</v>
      </c>
      <c r="BC409" s="10">
        <v>2971324</v>
      </c>
      <c r="BD409" s="10">
        <f>1000000000-999429158.1911+195870.0663</f>
        <v>766711.87519999873</v>
      </c>
      <c r="BE409" s="12">
        <f t="shared" si="140"/>
        <v>479172300.78344482</v>
      </c>
      <c r="BF409" s="13">
        <v>235.128488</v>
      </c>
      <c r="BG409" s="13">
        <f t="shared" si="141"/>
        <v>244.04381278344482</v>
      </c>
      <c r="BH409" s="14">
        <f>BE409*25.53</f>
        <v>12233268839.001347</v>
      </c>
    </row>
    <row r="410" spans="1:60" x14ac:dyDescent="0.25">
      <c r="A410" s="3">
        <v>46032</v>
      </c>
      <c r="B410" s="4">
        <v>1436328945</v>
      </c>
      <c r="C410" s="4">
        <v>78130647.349999994</v>
      </c>
      <c r="D410" s="4">
        <v>58688478</v>
      </c>
      <c r="E410" s="4"/>
      <c r="F410" s="17">
        <v>15271122.39125666</v>
      </c>
      <c r="G410" s="17">
        <v>10851543.118108001</v>
      </c>
      <c r="H410" s="17">
        <v>427790.47286053712</v>
      </c>
      <c r="I410" s="17">
        <v>39598420.215519972</v>
      </c>
      <c r="J410" s="17">
        <v>38517.56284384185</v>
      </c>
      <c r="K410" s="17">
        <v>11943253.58941099</v>
      </c>
      <c r="L410" s="14">
        <f t="shared" si="134"/>
        <v>78130647.350000009</v>
      </c>
      <c r="M410" s="21">
        <v>1.008566331290025</v>
      </c>
      <c r="N410" s="4">
        <v>488230.79</v>
      </c>
      <c r="O410" s="4">
        <v>27862.720000000001</v>
      </c>
      <c r="P410" s="4">
        <v>33851.480000000003</v>
      </c>
      <c r="Q410" s="4"/>
      <c r="R410" s="14">
        <f t="shared" si="121"/>
        <v>549944.99</v>
      </c>
      <c r="S410" s="6">
        <v>0.01</v>
      </c>
      <c r="T410" s="14">
        <f t="shared" si="122"/>
        <v>4882.3078999999998</v>
      </c>
      <c r="U410" s="14">
        <f t="shared" si="123"/>
        <v>139.31360000000001</v>
      </c>
      <c r="V410" s="14">
        <f t="shared" si="124"/>
        <v>301.53610000000003</v>
      </c>
      <c r="W410" s="14" t="str">
        <f t="shared" si="125"/>
        <v/>
      </c>
      <c r="X410" s="4">
        <v>3697.87</v>
      </c>
      <c r="Y410" s="4">
        <v>13931.36</v>
      </c>
      <c r="Z410" s="4"/>
      <c r="AA410" s="14">
        <f t="shared" si="126"/>
        <v>22952.387600000002</v>
      </c>
      <c r="AB410" s="4">
        <v>36593.734099999987</v>
      </c>
      <c r="AC410" s="4">
        <v>488230.79</v>
      </c>
      <c r="AD410" s="14">
        <f t="shared" si="127"/>
        <v>13931.36</v>
      </c>
      <c r="AE410" s="14">
        <f t="shared" si="128"/>
        <v>30153.610000000004</v>
      </c>
      <c r="AF410" s="14" t="str">
        <f t="shared" si="129"/>
        <v/>
      </c>
      <c r="AG410" s="15">
        <f t="shared" si="130"/>
        <v>532315.76</v>
      </c>
      <c r="AH410" s="4">
        <v>462563.83</v>
      </c>
      <c r="AI410" s="17">
        <f t="shared" si="131"/>
        <v>69751.929999999993</v>
      </c>
      <c r="AJ410" s="7">
        <f t="shared" si="135"/>
        <v>3.3991572174297442</v>
      </c>
      <c r="AK410" s="7">
        <f t="shared" si="136"/>
        <v>3.5661703755229417</v>
      </c>
      <c r="AL410" s="7">
        <f t="shared" si="137"/>
        <v>5.7679941878881236</v>
      </c>
      <c r="AM410" s="7" t="str">
        <f t="shared" si="138"/>
        <v/>
      </c>
      <c r="AN410" s="4">
        <v>6540.2466349734959</v>
      </c>
      <c r="AO410" s="4">
        <v>13904.69</v>
      </c>
      <c r="AP410" s="14">
        <f t="shared" si="132"/>
        <v>483008.76663497352</v>
      </c>
      <c r="AQ410" s="14">
        <f t="shared" si="133"/>
        <v>462563.83</v>
      </c>
      <c r="AR410" s="8">
        <v>18968.349999999999</v>
      </c>
      <c r="AS410" s="20">
        <v>24.386087</v>
      </c>
      <c r="AT410" s="8">
        <v>38446138.52255512</v>
      </c>
      <c r="AU410" s="8">
        <v>26361.0916</v>
      </c>
      <c r="AV410" s="8">
        <v>955.14030000000002</v>
      </c>
      <c r="AW410" s="8"/>
      <c r="AX410" s="9">
        <v>430.72183844082463</v>
      </c>
      <c r="AY410" s="6">
        <f t="shared" si="139"/>
        <v>2.2338775458495601E-2</v>
      </c>
      <c r="AZ410" s="8">
        <v>418155222.85729998</v>
      </c>
      <c r="BA410" s="10">
        <v>60480066</v>
      </c>
      <c r="BB410" s="11">
        <v>38446138.52255512</v>
      </c>
      <c r="BC410" s="10">
        <v>2971324</v>
      </c>
      <c r="BD410" s="10">
        <f>1000000000-999428203.0509+196132.7163</f>
        <v>767929.66540001752</v>
      </c>
      <c r="BE410" s="12">
        <f t="shared" si="140"/>
        <v>479179318.95474482</v>
      </c>
      <c r="BF410" s="13">
        <v>235.128488</v>
      </c>
      <c r="BG410" s="13">
        <f t="shared" si="141"/>
        <v>244.05083095474481</v>
      </c>
      <c r="BH410" s="14">
        <f>BE410*24.91</f>
        <v>11936356835.162693</v>
      </c>
    </row>
    <row r="411" spans="1:60" x14ac:dyDescent="0.25">
      <c r="A411" s="3">
        <v>46033</v>
      </c>
      <c r="B411" s="4">
        <v>2907344410</v>
      </c>
      <c r="C411" s="4">
        <v>176790651.46000001</v>
      </c>
      <c r="D411" s="4">
        <v>63859612</v>
      </c>
      <c r="E411" s="4"/>
      <c r="F411" s="17">
        <v>14981923.017332921</v>
      </c>
      <c r="G411" s="17">
        <v>18038354.02031818</v>
      </c>
      <c r="H411" s="17">
        <v>76813231.616719693</v>
      </c>
      <c r="I411" s="17">
        <v>50057348.939132638</v>
      </c>
      <c r="J411" s="17">
        <v>78166.091325071975</v>
      </c>
      <c r="K411" s="17">
        <v>16821627.7751715</v>
      </c>
      <c r="L411" s="14">
        <f t="shared" si="134"/>
        <v>176790651.45999998</v>
      </c>
      <c r="M411" s="21">
        <v>1.1396304443130949</v>
      </c>
      <c r="N411" s="4">
        <v>882194.4</v>
      </c>
      <c r="O411" s="4">
        <v>120929.12</v>
      </c>
      <c r="P411" s="4">
        <v>30200.92</v>
      </c>
      <c r="Q411" s="4"/>
      <c r="R411" s="14">
        <f t="shared" si="121"/>
        <v>1033324.4400000001</v>
      </c>
      <c r="S411" s="6">
        <v>0.01</v>
      </c>
      <c r="T411" s="14">
        <f t="shared" si="122"/>
        <v>8821.9440000000013</v>
      </c>
      <c r="U411" s="14">
        <f t="shared" si="123"/>
        <v>604.64559999999994</v>
      </c>
      <c r="V411" s="14">
        <f t="shared" si="124"/>
        <v>202.33469999999997</v>
      </c>
      <c r="W411" s="14" t="str">
        <f t="shared" si="125"/>
        <v/>
      </c>
      <c r="X411" s="4">
        <v>9967.4500000000007</v>
      </c>
      <c r="Y411" s="4">
        <v>60464.56</v>
      </c>
      <c r="Z411" s="4"/>
      <c r="AA411" s="14">
        <f t="shared" si="126"/>
        <v>80060.934299999994</v>
      </c>
      <c r="AB411" s="4">
        <v>120367.5385</v>
      </c>
      <c r="AC411" s="4">
        <v>882194.4</v>
      </c>
      <c r="AD411" s="14">
        <f t="shared" si="127"/>
        <v>60464.56</v>
      </c>
      <c r="AE411" s="14">
        <f t="shared" si="128"/>
        <v>20233.469999999998</v>
      </c>
      <c r="AF411" s="14" t="str">
        <f t="shared" si="129"/>
        <v/>
      </c>
      <c r="AG411" s="15">
        <f t="shared" si="130"/>
        <v>962892.42999999993</v>
      </c>
      <c r="AH411" s="4">
        <v>812593.78</v>
      </c>
      <c r="AI411" s="17">
        <f t="shared" si="131"/>
        <v>150298.64999999991</v>
      </c>
      <c r="AJ411" s="7">
        <f t="shared" si="135"/>
        <v>3.0343649585017691</v>
      </c>
      <c r="AK411" s="7">
        <f t="shared" si="136"/>
        <v>6.8402440401301972</v>
      </c>
      <c r="AL411" s="7">
        <f t="shared" si="137"/>
        <v>4.7292676942666043</v>
      </c>
      <c r="AM411" s="7" t="str">
        <f t="shared" si="138"/>
        <v/>
      </c>
      <c r="AN411" s="4">
        <v>3093.3751427713041</v>
      </c>
      <c r="AO411" s="4">
        <v>0</v>
      </c>
      <c r="AP411" s="14">
        <f t="shared" si="132"/>
        <v>815687.15514277131</v>
      </c>
      <c r="AQ411" s="14">
        <f t="shared" si="133"/>
        <v>812593.78</v>
      </c>
      <c r="AR411" s="8">
        <v>33286.67</v>
      </c>
      <c r="AS411" s="20">
        <v>24.411988000000001</v>
      </c>
      <c r="AT411" s="8">
        <v>38480704.902555123</v>
      </c>
      <c r="AU411" s="8">
        <v>26258.663100000002</v>
      </c>
      <c r="AV411" s="8">
        <v>2542.9764</v>
      </c>
      <c r="AW411" s="8"/>
      <c r="AX411" s="9">
        <v>431.31183345224031</v>
      </c>
      <c r="AY411" s="6">
        <f t="shared" si="139"/>
        <v>2.2221537384647935E-2</v>
      </c>
      <c r="AZ411" s="8">
        <v>418128964.19410002</v>
      </c>
      <c r="BA411" s="10">
        <v>60480066</v>
      </c>
      <c r="BB411" s="11">
        <v>38480704.902555123</v>
      </c>
      <c r="BC411" s="10">
        <v>2971324</v>
      </c>
      <c r="BD411" s="10">
        <f>1000000000-999425660.0745+196261.1734</f>
        <v>770601.09890003526</v>
      </c>
      <c r="BE411" s="12">
        <f t="shared" si="140"/>
        <v>479168339.80444485</v>
      </c>
      <c r="BF411" s="13">
        <v>235.128488</v>
      </c>
      <c r="BG411" s="13">
        <f t="shared" si="141"/>
        <v>244.03985180444482</v>
      </c>
      <c r="BH411" s="14">
        <f>BE411*24.08</f>
        <v>11538373622.491032</v>
      </c>
    </row>
    <row r="412" spans="1:60" x14ac:dyDescent="0.25">
      <c r="A412" s="3">
        <v>46034</v>
      </c>
      <c r="B412" s="4">
        <v>6703130739</v>
      </c>
      <c r="C412" s="4">
        <v>441222700.95999998</v>
      </c>
      <c r="D412" s="4">
        <v>139042716</v>
      </c>
      <c r="E412" s="4"/>
      <c r="F412" s="17">
        <v>110889071.1185831</v>
      </c>
      <c r="G412" s="17">
        <v>36657651.694489948</v>
      </c>
      <c r="H412" s="17">
        <v>13171648.07714921</v>
      </c>
      <c r="I412" s="17">
        <v>191773490.8022666</v>
      </c>
      <c r="J412" s="17">
        <v>155168.07064733151</v>
      </c>
      <c r="K412" s="17">
        <v>88575671.1968638</v>
      </c>
      <c r="L412" s="14">
        <f t="shared" si="134"/>
        <v>441222700.96000004</v>
      </c>
      <c r="M412" s="21">
        <v>0.9739957341018155</v>
      </c>
      <c r="N412" s="4">
        <v>2112578.5299999998</v>
      </c>
      <c r="O412" s="4">
        <v>132487.38</v>
      </c>
      <c r="P412" s="4">
        <v>68396.81</v>
      </c>
      <c r="Q412" s="4"/>
      <c r="R412" s="14">
        <f t="shared" si="121"/>
        <v>2313462.7199999997</v>
      </c>
      <c r="S412" s="6">
        <v>0.01</v>
      </c>
      <c r="T412" s="14">
        <f t="shared" si="122"/>
        <v>21125.7853</v>
      </c>
      <c r="U412" s="14">
        <f t="shared" si="123"/>
        <v>662.43690000000004</v>
      </c>
      <c r="V412" s="14">
        <f t="shared" si="124"/>
        <v>551.84569999999997</v>
      </c>
      <c r="W412" s="14" t="str">
        <f t="shared" si="125"/>
        <v/>
      </c>
      <c r="X412" s="4">
        <v>13212.24</v>
      </c>
      <c r="Y412" s="4">
        <v>66243.69</v>
      </c>
      <c r="Z412" s="4"/>
      <c r="AA412" s="14">
        <f t="shared" si="126"/>
        <v>101795.9979</v>
      </c>
      <c r="AB412" s="4">
        <v>146731.20740000001</v>
      </c>
      <c r="AC412" s="4">
        <v>2112578.5299999998</v>
      </c>
      <c r="AD412" s="14">
        <f t="shared" si="127"/>
        <v>66243.69</v>
      </c>
      <c r="AE412" s="14">
        <f t="shared" si="128"/>
        <v>55184.57</v>
      </c>
      <c r="AF412" s="14" t="str">
        <f t="shared" si="129"/>
        <v/>
      </c>
      <c r="AG412" s="15">
        <f t="shared" si="130"/>
        <v>2234006.7899999996</v>
      </c>
      <c r="AH412" s="4">
        <v>1900776.69</v>
      </c>
      <c r="AI412" s="17">
        <f t="shared" si="131"/>
        <v>333230.09999999963</v>
      </c>
      <c r="AJ412" s="7">
        <f t="shared" si="135"/>
        <v>3.1516296075036165</v>
      </c>
      <c r="AK412" s="7">
        <f t="shared" si="136"/>
        <v>3.0027326271231667</v>
      </c>
      <c r="AL412" s="7">
        <f t="shared" si="137"/>
        <v>4.919122120715766</v>
      </c>
      <c r="AM412" s="7" t="str">
        <f t="shared" si="138"/>
        <v/>
      </c>
      <c r="AN412" s="4">
        <v>12861.4047105096</v>
      </c>
      <c r="AO412" s="4">
        <v>12550.55</v>
      </c>
      <c r="AP412" s="14">
        <f t="shared" si="132"/>
        <v>1926188.6447105096</v>
      </c>
      <c r="AQ412" s="14">
        <f t="shared" si="133"/>
        <v>1900776.69</v>
      </c>
      <c r="AR412" s="8">
        <v>79151.850000000006</v>
      </c>
      <c r="AS412" s="20">
        <v>24.014305</v>
      </c>
      <c r="AT412" s="8">
        <v>38558757.572555117</v>
      </c>
      <c r="AU412" s="8">
        <v>26359.8174</v>
      </c>
      <c r="AV412" s="8">
        <v>1943.4075</v>
      </c>
      <c r="AW412" s="8"/>
      <c r="AX412" s="9">
        <v>431.38671443528409</v>
      </c>
      <c r="AY412" s="6">
        <f t="shared" si="139"/>
        <v>2.2303267646049348E-2</v>
      </c>
      <c r="AZ412" s="8">
        <v>418102604.37669998</v>
      </c>
      <c r="BA412" s="10">
        <v>60480066</v>
      </c>
      <c r="BB412" s="11">
        <v>38558757.572555117</v>
      </c>
      <c r="BC412" s="10">
        <v>2971324</v>
      </c>
      <c r="BD412" s="10">
        <f>1000000000-999423716.6671+196788.1937</f>
        <v>773071.52660004725</v>
      </c>
      <c r="BE412" s="12">
        <f t="shared" si="140"/>
        <v>479114176.52414489</v>
      </c>
      <c r="BF412" s="13">
        <v>235.128488</v>
      </c>
      <c r="BG412" s="13">
        <f t="shared" si="141"/>
        <v>243.9856885241449</v>
      </c>
      <c r="BH412" s="14">
        <f>BE412*24.41</f>
        <v>11695177048.954376</v>
      </c>
    </row>
    <row r="413" spans="1:60" x14ac:dyDescent="0.25">
      <c r="A413" s="3">
        <v>46035</v>
      </c>
      <c r="B413" s="4">
        <v>8434287706</v>
      </c>
      <c r="C413" s="4">
        <v>584725616.79999995</v>
      </c>
      <c r="D413" s="4">
        <v>160143760</v>
      </c>
      <c r="E413" s="4"/>
      <c r="F413" s="17">
        <v>139582881.90058219</v>
      </c>
      <c r="G413" s="17">
        <v>37447577.004625492</v>
      </c>
      <c r="H413" s="17">
        <v>4323717.5797613515</v>
      </c>
      <c r="I413" s="17">
        <v>273068681.14218599</v>
      </c>
      <c r="J413" s="17">
        <v>223469.16966390019</v>
      </c>
      <c r="K413" s="17">
        <v>130079290.00318091</v>
      </c>
      <c r="L413" s="14">
        <f t="shared" si="134"/>
        <v>584725616.79999983</v>
      </c>
      <c r="M413" s="21">
        <v>1.0032812523673389</v>
      </c>
      <c r="N413" s="4">
        <v>2540198.5299999998</v>
      </c>
      <c r="O413" s="4">
        <v>129185.06</v>
      </c>
      <c r="P413" s="4">
        <v>81782.2</v>
      </c>
      <c r="Q413" s="4"/>
      <c r="R413" s="14">
        <f t="shared" si="121"/>
        <v>2751165.79</v>
      </c>
      <c r="S413" s="6">
        <v>0.01</v>
      </c>
      <c r="T413" s="14">
        <f t="shared" si="122"/>
        <v>25401.9853</v>
      </c>
      <c r="U413" s="14">
        <f t="shared" si="123"/>
        <v>645.92529999999999</v>
      </c>
      <c r="V413" s="14">
        <f t="shared" si="124"/>
        <v>596.24090000000001</v>
      </c>
      <c r="W413" s="14" t="str">
        <f t="shared" si="125"/>
        <v/>
      </c>
      <c r="X413" s="4">
        <v>22158.11</v>
      </c>
      <c r="Y413" s="4">
        <v>64592.53</v>
      </c>
      <c r="Z413" s="4"/>
      <c r="AA413" s="14">
        <f t="shared" si="126"/>
        <v>113394.79149999999</v>
      </c>
      <c r="AB413" s="4">
        <v>174972.92170000001</v>
      </c>
      <c r="AC413" s="4">
        <v>2540198.5299999998</v>
      </c>
      <c r="AD413" s="14">
        <f t="shared" si="127"/>
        <v>64592.53</v>
      </c>
      <c r="AE413" s="14">
        <f t="shared" si="128"/>
        <v>59624.09</v>
      </c>
      <c r="AF413" s="14" t="str">
        <f t="shared" si="129"/>
        <v/>
      </c>
      <c r="AG413" s="15">
        <f t="shared" si="130"/>
        <v>2664415.1499999994</v>
      </c>
      <c r="AH413" s="4">
        <v>2300107.2200000002</v>
      </c>
      <c r="AI413" s="17">
        <f t="shared" si="131"/>
        <v>364307.92999999924</v>
      </c>
      <c r="AJ413" s="7">
        <f t="shared" si="135"/>
        <v>3.011752288451043</v>
      </c>
      <c r="AK413" s="7">
        <f t="shared" si="136"/>
        <v>2.2093278674360963</v>
      </c>
      <c r="AL413" s="7">
        <f t="shared" si="137"/>
        <v>5.1067990410616062</v>
      </c>
      <c r="AM413" s="7" t="str">
        <f t="shared" si="138"/>
        <v/>
      </c>
      <c r="AN413" s="4">
        <v>10856.776581645339</v>
      </c>
      <c r="AO413" s="4">
        <v>12152.25</v>
      </c>
      <c r="AP413" s="14">
        <f t="shared" si="132"/>
        <v>2323116.2465816457</v>
      </c>
      <c r="AQ413" s="14">
        <f t="shared" si="133"/>
        <v>2300107.2200000002</v>
      </c>
      <c r="AR413" s="8">
        <v>92963.94</v>
      </c>
      <c r="AS413" s="20">
        <v>24.741928999999999</v>
      </c>
      <c r="AT413" s="8">
        <v>38651124.062555119</v>
      </c>
      <c r="AU413" s="8">
        <v>26369.654200000001</v>
      </c>
      <c r="AV413" s="8">
        <v>2800.1185</v>
      </c>
      <c r="AW413" s="8"/>
      <c r="AX413" s="9">
        <v>430.9617538067485</v>
      </c>
      <c r="AY413" s="6">
        <f t="shared" si="139"/>
        <v>2.233359154955546E-2</v>
      </c>
      <c r="AZ413" s="8">
        <v>418076234.72250003</v>
      </c>
      <c r="BA413" s="10">
        <v>60480066</v>
      </c>
      <c r="BB413" s="11">
        <v>38651124.062555119</v>
      </c>
      <c r="BC413" s="10">
        <v>2971324</v>
      </c>
      <c r="BD413" s="10">
        <f>1000000000-999420916.5486+197238.6076</f>
        <v>776322.05900004157</v>
      </c>
      <c r="BE413" s="12">
        <f t="shared" si="140"/>
        <v>479044929.15594476</v>
      </c>
      <c r="BF413" s="13">
        <v>235.128488</v>
      </c>
      <c r="BG413" s="13">
        <f t="shared" si="141"/>
        <v>243.91644115594477</v>
      </c>
      <c r="BH413" s="14">
        <f>BE413*24.09</f>
        <v>11540192343.366709</v>
      </c>
    </row>
    <row r="414" spans="1:60" x14ac:dyDescent="0.25">
      <c r="A414" s="3">
        <v>46036</v>
      </c>
      <c r="B414" s="4">
        <v>8228408664</v>
      </c>
      <c r="C414" s="4">
        <v>704938415.95000005</v>
      </c>
      <c r="D414" s="4">
        <v>167734311</v>
      </c>
      <c r="E414" s="4"/>
      <c r="F414" s="17">
        <v>191960108.76242301</v>
      </c>
      <c r="G414" s="17">
        <v>41821956.215366803</v>
      </c>
      <c r="H414" s="17">
        <v>2968516.1073388769</v>
      </c>
      <c r="I414" s="17">
        <v>344627586.43242967</v>
      </c>
      <c r="J414" s="17">
        <v>878432.82313764642</v>
      </c>
      <c r="K414" s="17">
        <v>122681815.60930391</v>
      </c>
      <c r="L414" s="14">
        <f t="shared" si="134"/>
        <v>704938415.94999993</v>
      </c>
      <c r="M414" s="21">
        <v>1.0120235708061971</v>
      </c>
      <c r="N414" s="4">
        <v>2563030.4300000002</v>
      </c>
      <c r="O414" s="4">
        <v>154091.94</v>
      </c>
      <c r="P414" s="4">
        <v>88145.389999999985</v>
      </c>
      <c r="Q414" s="4"/>
      <c r="R414" s="14">
        <f t="shared" si="121"/>
        <v>2805267.7600000002</v>
      </c>
      <c r="S414" s="6">
        <v>0.01</v>
      </c>
      <c r="T414" s="14">
        <f t="shared" si="122"/>
        <v>25630.304300000003</v>
      </c>
      <c r="U414" s="14">
        <f t="shared" si="123"/>
        <v>770.4597</v>
      </c>
      <c r="V414" s="14">
        <f t="shared" si="124"/>
        <v>675.21429999999998</v>
      </c>
      <c r="W414" s="14" t="str">
        <f t="shared" si="125"/>
        <v/>
      </c>
      <c r="X414" s="4">
        <v>20623.96</v>
      </c>
      <c r="Y414" s="4">
        <v>77045.97</v>
      </c>
      <c r="Z414" s="4"/>
      <c r="AA414" s="14">
        <f t="shared" si="126"/>
        <v>124745.90830000001</v>
      </c>
      <c r="AB414" s="4">
        <v>193508.1231</v>
      </c>
      <c r="AC414" s="4">
        <v>2563030.4300000002</v>
      </c>
      <c r="AD414" s="14">
        <f t="shared" si="127"/>
        <v>77045.97</v>
      </c>
      <c r="AE414" s="14">
        <f t="shared" si="128"/>
        <v>67521.429999999993</v>
      </c>
      <c r="AF414" s="14" t="str">
        <f t="shared" si="129"/>
        <v/>
      </c>
      <c r="AG414" s="15">
        <f t="shared" si="130"/>
        <v>2707597.8300000005</v>
      </c>
      <c r="AH414" s="4">
        <v>2313856.0499999998</v>
      </c>
      <c r="AI414" s="17">
        <f t="shared" si="131"/>
        <v>393741.78000000073</v>
      </c>
      <c r="AJ414" s="7">
        <f t="shared" si="135"/>
        <v>3.1148555384876304</v>
      </c>
      <c r="AK414" s="7">
        <f t="shared" si="136"/>
        <v>2.1858922214125642</v>
      </c>
      <c r="AL414" s="7">
        <f t="shared" si="137"/>
        <v>5.2550601886098303</v>
      </c>
      <c r="AM414" s="7" t="str">
        <f t="shared" si="138"/>
        <v/>
      </c>
      <c r="AN414" s="4">
        <v>10304.37519916794</v>
      </c>
      <c r="AO414" s="4">
        <v>13222.31</v>
      </c>
      <c r="AP414" s="14">
        <f t="shared" si="132"/>
        <v>2337382.7351991679</v>
      </c>
      <c r="AQ414" s="14">
        <f t="shared" si="133"/>
        <v>2313856.0499999998</v>
      </c>
      <c r="AR414" s="8">
        <v>88651.64</v>
      </c>
      <c r="AS414" s="20">
        <v>26.100543999999999</v>
      </c>
      <c r="AT414" s="8">
        <v>38741830.292555124</v>
      </c>
      <c r="AU414" s="8">
        <v>26298.322800000002</v>
      </c>
      <c r="AV414" s="8">
        <v>1022.0645</v>
      </c>
      <c r="AW414" s="8"/>
      <c r="AX414" s="9">
        <v>432.33327153558861</v>
      </c>
      <c r="AY414" s="6">
        <f t="shared" si="139"/>
        <v>2.2202519338625187E-2</v>
      </c>
      <c r="AZ414" s="8">
        <v>418049936.39969999</v>
      </c>
      <c r="BA414" s="10">
        <v>60480066</v>
      </c>
      <c r="BB414" s="11">
        <v>38741830.292555124</v>
      </c>
      <c r="BC414" s="10">
        <v>2971324</v>
      </c>
      <c r="BD414" s="10">
        <f>1000000000-999419894.484+197638.9641</f>
        <v>777744.48010003241</v>
      </c>
      <c r="BE414" s="12">
        <f t="shared" si="140"/>
        <v>478979098.82764494</v>
      </c>
      <c r="BF414" s="13">
        <v>235.128488</v>
      </c>
      <c r="BG414" s="13">
        <f t="shared" si="141"/>
        <v>243.85061082764491</v>
      </c>
      <c r="BH414" s="14">
        <f>BE414*25.73</f>
        <v>12324132212.835304</v>
      </c>
    </row>
    <row r="415" spans="1:60" x14ac:dyDescent="0.25">
      <c r="A415" s="3">
        <v>46037</v>
      </c>
      <c r="B415" s="4">
        <v>6571194099</v>
      </c>
      <c r="C415" s="4">
        <v>726132355.30999994</v>
      </c>
      <c r="D415" s="4">
        <v>149030080</v>
      </c>
      <c r="E415" s="4"/>
      <c r="F415" s="17">
        <v>247519659.08924201</v>
      </c>
      <c r="G415" s="17">
        <v>35454238.071760736</v>
      </c>
      <c r="H415" s="17">
        <v>3773694.1311800601</v>
      </c>
      <c r="I415" s="17">
        <v>323822216.93997562</v>
      </c>
      <c r="J415" s="17">
        <v>624066.67308571807</v>
      </c>
      <c r="K415" s="17">
        <v>114938480.40475591</v>
      </c>
      <c r="L415" s="14">
        <f t="shared" si="134"/>
        <v>726132355.31000006</v>
      </c>
      <c r="M415" s="21">
        <v>1.0096764823402691</v>
      </c>
      <c r="N415" s="4">
        <v>2173814.0699999998</v>
      </c>
      <c r="O415" s="4">
        <v>157652.26</v>
      </c>
      <c r="P415" s="4">
        <v>78673.16</v>
      </c>
      <c r="Q415" s="4"/>
      <c r="R415" s="14">
        <f t="shared" si="121"/>
        <v>2410139.4900000002</v>
      </c>
      <c r="S415" s="6">
        <v>0.01</v>
      </c>
      <c r="T415" s="14">
        <f t="shared" si="122"/>
        <v>21738.1407</v>
      </c>
      <c r="U415" s="14">
        <f t="shared" si="123"/>
        <v>788.26130000000012</v>
      </c>
      <c r="V415" s="14">
        <f t="shared" si="124"/>
        <v>594.27790000000005</v>
      </c>
      <c r="W415" s="14" t="str">
        <f t="shared" si="125"/>
        <v/>
      </c>
      <c r="X415" s="4">
        <v>19245.37</v>
      </c>
      <c r="Y415" s="4">
        <v>78826.13</v>
      </c>
      <c r="Z415" s="4"/>
      <c r="AA415" s="14">
        <f t="shared" si="126"/>
        <v>121192.1799</v>
      </c>
      <c r="AB415" s="4">
        <v>196355.47330000001</v>
      </c>
      <c r="AC415" s="4">
        <v>2173814.0699999998</v>
      </c>
      <c r="AD415" s="14">
        <f t="shared" si="127"/>
        <v>78826.13</v>
      </c>
      <c r="AE415" s="14">
        <f t="shared" si="128"/>
        <v>59427.790000000008</v>
      </c>
      <c r="AF415" s="14" t="str">
        <f t="shared" si="129"/>
        <v/>
      </c>
      <c r="AG415" s="15">
        <f t="shared" si="130"/>
        <v>2312067.9899999998</v>
      </c>
      <c r="AH415" s="4">
        <v>1862422.03</v>
      </c>
      <c r="AI415" s="17">
        <f t="shared" si="131"/>
        <v>449645.95999999973</v>
      </c>
      <c r="AJ415" s="7">
        <f t="shared" si="135"/>
        <v>3.3080959674145216</v>
      </c>
      <c r="AK415" s="7">
        <f t="shared" si="136"/>
        <v>2.1711229205961389</v>
      </c>
      <c r="AL415" s="7">
        <f t="shared" si="137"/>
        <v>5.2790121296318171</v>
      </c>
      <c r="AM415" s="7" t="str">
        <f t="shared" si="138"/>
        <v/>
      </c>
      <c r="AN415" s="4">
        <v>10035.10816878126</v>
      </c>
      <c r="AO415" s="4">
        <v>18686.23</v>
      </c>
      <c r="AP415" s="14">
        <f t="shared" si="132"/>
        <v>1891143.3681687813</v>
      </c>
      <c r="AQ415" s="14">
        <f t="shared" si="133"/>
        <v>1862422.03</v>
      </c>
      <c r="AR415" s="8">
        <v>74458.25</v>
      </c>
      <c r="AS415" s="20">
        <v>25.012971</v>
      </c>
      <c r="AT415" s="8">
        <v>38814233.95255512</v>
      </c>
      <c r="AU415" s="8">
        <v>26149.328600000001</v>
      </c>
      <c r="AV415" s="8">
        <v>3113.1080000000002</v>
      </c>
      <c r="AW415" s="8"/>
      <c r="AX415" s="9">
        <v>433.47267860797223</v>
      </c>
      <c r="AY415" s="6">
        <f t="shared" si="139"/>
        <v>2.201870016271993E-2</v>
      </c>
      <c r="AZ415" s="8">
        <v>418023787.0711</v>
      </c>
      <c r="BA415" s="10">
        <v>60480066</v>
      </c>
      <c r="BB415" s="11">
        <v>38814233.95255512</v>
      </c>
      <c r="BC415" s="10">
        <v>2971324</v>
      </c>
      <c r="BD415" s="10">
        <f>1000000000-999416781.376+198028.7376</f>
        <v>781247.36159995326</v>
      </c>
      <c r="BE415" s="12">
        <f t="shared" si="140"/>
        <v>478929341.6147449</v>
      </c>
      <c r="BF415" s="13">
        <v>235.128488</v>
      </c>
      <c r="BG415" s="13">
        <f t="shared" si="141"/>
        <v>243.80085361474488</v>
      </c>
      <c r="BH415" s="14">
        <f>BE415*25.76</f>
        <v>12337219839.995829</v>
      </c>
    </row>
    <row r="416" spans="1:60" x14ac:dyDescent="0.25">
      <c r="A416" s="3">
        <v>46038</v>
      </c>
      <c r="B416" s="4">
        <v>3677538792</v>
      </c>
      <c r="C416" s="4">
        <v>542216118.09000003</v>
      </c>
      <c r="D416" s="4">
        <v>88303655</v>
      </c>
      <c r="E416" s="4"/>
      <c r="F416" s="17">
        <v>217369896.88711411</v>
      </c>
      <c r="G416" s="17">
        <v>18985493.42498545</v>
      </c>
      <c r="H416" s="17">
        <v>3500919.0359623511</v>
      </c>
      <c r="I416" s="17">
        <v>209845853.92571971</v>
      </c>
      <c r="J416" s="17">
        <v>1115279.5104165829</v>
      </c>
      <c r="K416" s="17">
        <v>91398675.305801719</v>
      </c>
      <c r="L416" s="14">
        <f t="shared" si="134"/>
        <v>542216118.08999991</v>
      </c>
      <c r="M416" s="21">
        <v>0.95358601262744214</v>
      </c>
      <c r="N416" s="4">
        <v>1301646.8500000001</v>
      </c>
      <c r="O416" s="4">
        <v>137049.68</v>
      </c>
      <c r="P416" s="4">
        <v>47611.56</v>
      </c>
      <c r="Q416" s="4"/>
      <c r="R416" s="14">
        <f t="shared" si="121"/>
        <v>1486308.09</v>
      </c>
      <c r="S416" s="6">
        <v>0.01</v>
      </c>
      <c r="T416" s="14">
        <f t="shared" si="122"/>
        <v>13016.468500000001</v>
      </c>
      <c r="U416" s="14">
        <f t="shared" si="123"/>
        <v>685.24839999999995</v>
      </c>
      <c r="V416" s="14">
        <f t="shared" si="124"/>
        <v>377.32399999999996</v>
      </c>
      <c r="W416" s="14" t="str">
        <f t="shared" si="125"/>
        <v/>
      </c>
      <c r="X416" s="4">
        <v>9879.16</v>
      </c>
      <c r="Y416" s="4">
        <v>68524.84</v>
      </c>
      <c r="Z416" s="4"/>
      <c r="AA416" s="14">
        <f t="shared" si="126"/>
        <v>92483.040899999993</v>
      </c>
      <c r="AB416" s="4">
        <v>213071.22099999999</v>
      </c>
      <c r="AC416" s="4">
        <v>1301646.8500000001</v>
      </c>
      <c r="AD416" s="14">
        <f t="shared" si="127"/>
        <v>68524.84</v>
      </c>
      <c r="AE416" s="14">
        <f t="shared" si="128"/>
        <v>37732.399999999994</v>
      </c>
      <c r="AF416" s="14" t="str">
        <f t="shared" si="129"/>
        <v/>
      </c>
      <c r="AG416" s="15">
        <f t="shared" si="130"/>
        <v>1407904.09</v>
      </c>
      <c r="AH416" s="4">
        <v>1117452.67</v>
      </c>
      <c r="AI416" s="17">
        <f t="shared" si="131"/>
        <v>290451.42000000016</v>
      </c>
      <c r="AJ416" s="7">
        <f t="shared" si="135"/>
        <v>3.5394510394603071</v>
      </c>
      <c r="AK416" s="7">
        <f t="shared" si="136"/>
        <v>2.5275840283532798</v>
      </c>
      <c r="AL416" s="7">
        <f t="shared" si="137"/>
        <v>5.3917994674172887</v>
      </c>
      <c r="AM416" s="7" t="str">
        <f t="shared" si="138"/>
        <v/>
      </c>
      <c r="AN416" s="4">
        <v>4890.131495158791</v>
      </c>
      <c r="AO416" s="4">
        <v>27389.58</v>
      </c>
      <c r="AP416" s="14">
        <f t="shared" si="132"/>
        <v>1149732.3814951589</v>
      </c>
      <c r="AQ416" s="14">
        <f t="shared" si="133"/>
        <v>1117452.67</v>
      </c>
      <c r="AR416" s="8">
        <v>44909.63</v>
      </c>
      <c r="AS416" s="20">
        <v>24.882251</v>
      </c>
      <c r="AT416" s="8">
        <v>38859944.722555123</v>
      </c>
      <c r="AU416" s="8">
        <v>26275.894400000001</v>
      </c>
      <c r="AV416" s="8">
        <v>3062.6579999999999</v>
      </c>
      <c r="AW416" s="8"/>
      <c r="AX416" s="9">
        <v>433.72704323948778</v>
      </c>
      <c r="AY416" s="6">
        <f t="shared" si="139"/>
        <v>2.2112297597049708E-2</v>
      </c>
      <c r="AZ416" s="8">
        <v>417997511.1767</v>
      </c>
      <c r="BA416" s="10">
        <v>60480066</v>
      </c>
      <c r="BB416" s="11">
        <v>38859944.722555123</v>
      </c>
      <c r="BC416" s="10">
        <v>2971324</v>
      </c>
      <c r="BD416" s="10">
        <f>1000000000-999413718.718+198225.9998</f>
        <v>784507.28179994563</v>
      </c>
      <c r="BE416" s="12">
        <f t="shared" si="140"/>
        <v>478906646.81894493</v>
      </c>
      <c r="BF416" s="13">
        <v>235.128488</v>
      </c>
      <c r="BG416" s="13">
        <f t="shared" si="141"/>
        <v>243.77815881894492</v>
      </c>
      <c r="BH416" s="14">
        <f>BE416*24.81</f>
        <v>11881673907.578024</v>
      </c>
    </row>
    <row r="417" spans="1:60" x14ac:dyDescent="0.25">
      <c r="A417" s="3">
        <v>46039</v>
      </c>
      <c r="B417" s="4">
        <v>1633288246</v>
      </c>
      <c r="C417" s="4">
        <v>171656674.08000001</v>
      </c>
      <c r="D417" s="4">
        <v>54022505</v>
      </c>
      <c r="E417" s="4"/>
      <c r="F417" s="17">
        <v>14020440.715477809</v>
      </c>
      <c r="G417" s="17">
        <v>15639184.001656219</v>
      </c>
      <c r="H417" s="17">
        <v>2179125.551748876</v>
      </c>
      <c r="I417" s="17">
        <v>123690284.9613605</v>
      </c>
      <c r="J417" s="17">
        <v>171749.82480898459</v>
      </c>
      <c r="K417" s="17">
        <v>15955889.024947669</v>
      </c>
      <c r="L417" s="14">
        <f t="shared" si="134"/>
        <v>171656674.08000007</v>
      </c>
      <c r="M417" s="21">
        <v>0.99251694945235358</v>
      </c>
      <c r="N417" s="4">
        <v>594175.06000000006</v>
      </c>
      <c r="O417" s="4">
        <v>79335.64</v>
      </c>
      <c r="P417" s="4">
        <v>29195.200000000001</v>
      </c>
      <c r="Q417" s="4"/>
      <c r="R417" s="14">
        <f t="shared" si="121"/>
        <v>702705.9</v>
      </c>
      <c r="S417" s="6">
        <v>0.01</v>
      </c>
      <c r="T417" s="14">
        <f t="shared" si="122"/>
        <v>5941.7506000000003</v>
      </c>
      <c r="U417" s="14">
        <f t="shared" si="123"/>
        <v>396.6782</v>
      </c>
      <c r="V417" s="14">
        <f t="shared" si="124"/>
        <v>241.32660000000001</v>
      </c>
      <c r="W417" s="14" t="str">
        <f t="shared" si="125"/>
        <v/>
      </c>
      <c r="X417" s="4">
        <v>5062.54</v>
      </c>
      <c r="Y417" s="4">
        <v>39667.82</v>
      </c>
      <c r="Z417" s="4"/>
      <c r="AA417" s="14">
        <f t="shared" si="126"/>
        <v>51310.115400000002</v>
      </c>
      <c r="AB417" s="4">
        <v>135345.14189999999</v>
      </c>
      <c r="AC417" s="4">
        <v>594175.06000000006</v>
      </c>
      <c r="AD417" s="14">
        <f t="shared" si="127"/>
        <v>39667.82</v>
      </c>
      <c r="AE417" s="14">
        <f t="shared" si="128"/>
        <v>24132.66</v>
      </c>
      <c r="AF417" s="14" t="str">
        <f t="shared" si="129"/>
        <v/>
      </c>
      <c r="AG417" s="15">
        <f t="shared" si="130"/>
        <v>657975.54</v>
      </c>
      <c r="AH417" s="4">
        <v>515585.26</v>
      </c>
      <c r="AI417" s="17">
        <f t="shared" si="131"/>
        <v>142390.28000000003</v>
      </c>
      <c r="AJ417" s="7">
        <f t="shared" si="135"/>
        <v>3.6379069123601591</v>
      </c>
      <c r="AK417" s="7">
        <f t="shared" si="136"/>
        <v>4.6217626215352334</v>
      </c>
      <c r="AL417" s="7">
        <f t="shared" si="137"/>
        <v>5.4042662405232784</v>
      </c>
      <c r="AM417" s="7" t="str">
        <f t="shared" si="138"/>
        <v/>
      </c>
      <c r="AN417" s="4">
        <v>3159.8128277004721</v>
      </c>
      <c r="AO417" s="4">
        <v>0</v>
      </c>
      <c r="AP417" s="14">
        <f t="shared" si="132"/>
        <v>518745.07282770047</v>
      </c>
      <c r="AQ417" s="14">
        <f t="shared" si="133"/>
        <v>515585.26</v>
      </c>
      <c r="AR417" s="8">
        <v>20400.66</v>
      </c>
      <c r="AS417" s="20">
        <v>25.272970000000001</v>
      </c>
      <c r="AT417" s="8">
        <v>38879909.612555116</v>
      </c>
      <c r="AU417" s="8">
        <v>26449.255399999998</v>
      </c>
      <c r="AV417" s="8">
        <v>3640.35</v>
      </c>
      <c r="AW417" s="8"/>
      <c r="AX417" s="9">
        <v>433.77186043593662</v>
      </c>
      <c r="AY417" s="6">
        <f t="shared" si="139"/>
        <v>2.2255888639935845E-2</v>
      </c>
      <c r="AZ417" s="8">
        <v>417971061.92129999</v>
      </c>
      <c r="BA417" s="10">
        <v>60480066</v>
      </c>
      <c r="BB417" s="11">
        <v>38879909.612555116</v>
      </c>
      <c r="BC417" s="10">
        <v>2971324</v>
      </c>
      <c r="BD417" s="10">
        <f>1000000000-999410078.368+198352.529</f>
        <v>788274.16099996946</v>
      </c>
      <c r="BE417" s="12">
        <f t="shared" si="140"/>
        <v>478909364.30514497</v>
      </c>
      <c r="BF417" s="13">
        <v>235.128488</v>
      </c>
      <c r="BG417" s="13">
        <f t="shared" si="141"/>
        <v>243.78087630514494</v>
      </c>
      <c r="BH417" s="14">
        <f>BE417*24.98</f>
        <v>11963155920.342522</v>
      </c>
    </row>
    <row r="418" spans="1:60" x14ac:dyDescent="0.25">
      <c r="A418" s="3">
        <v>46040</v>
      </c>
      <c r="B418" s="4">
        <v>2697421164</v>
      </c>
      <c r="C418" s="4">
        <v>193856339.11000001</v>
      </c>
      <c r="D418" s="4">
        <v>97497658</v>
      </c>
      <c r="E418" s="4"/>
      <c r="F418" s="17">
        <v>40807182.284895651</v>
      </c>
      <c r="G418" s="17">
        <v>24724756.42507682</v>
      </c>
      <c r="H418" s="17">
        <v>2916661.873045234</v>
      </c>
      <c r="I418" s="17">
        <v>113092013.78422651</v>
      </c>
      <c r="J418" s="17">
        <v>883945.52476767695</v>
      </c>
      <c r="K418" s="17">
        <v>11431779.217988171</v>
      </c>
      <c r="L418" s="14">
        <f t="shared" si="134"/>
        <v>193856339.11000004</v>
      </c>
      <c r="M418" s="21">
        <v>1.3649049235405279</v>
      </c>
      <c r="N418" s="4">
        <v>874086.08</v>
      </c>
      <c r="O418" s="4">
        <v>61986.46</v>
      </c>
      <c r="P418" s="4">
        <v>35153.35</v>
      </c>
      <c r="Q418" s="4"/>
      <c r="R418" s="14">
        <f t="shared" si="121"/>
        <v>971225.8899999999</v>
      </c>
      <c r="S418" s="6">
        <v>0.01</v>
      </c>
      <c r="T418" s="14">
        <f t="shared" si="122"/>
        <v>8740.8608000000004</v>
      </c>
      <c r="U418" s="14">
        <f t="shared" si="123"/>
        <v>309.9323</v>
      </c>
      <c r="V418" s="14">
        <f t="shared" si="124"/>
        <v>283.07490000000001</v>
      </c>
      <c r="W418" s="14" t="str">
        <f t="shared" si="125"/>
        <v/>
      </c>
      <c r="X418" s="4">
        <v>6845.86</v>
      </c>
      <c r="Y418" s="4">
        <v>30993.23</v>
      </c>
      <c r="Z418" s="4"/>
      <c r="AA418" s="14">
        <f t="shared" si="126"/>
        <v>47172.957999999999</v>
      </c>
      <c r="AB418" s="4">
        <v>70232.710899999991</v>
      </c>
      <c r="AC418" s="4">
        <v>874086.08</v>
      </c>
      <c r="AD418" s="14">
        <f t="shared" si="127"/>
        <v>30993.23</v>
      </c>
      <c r="AE418" s="14">
        <f t="shared" si="128"/>
        <v>28307.489999999998</v>
      </c>
      <c r="AF418" s="14" t="str">
        <f t="shared" si="129"/>
        <v/>
      </c>
      <c r="AG418" s="15">
        <f t="shared" si="130"/>
        <v>933386.79999999993</v>
      </c>
      <c r="AH418" s="4">
        <v>810327.81</v>
      </c>
      <c r="AI418" s="17">
        <f t="shared" si="131"/>
        <v>123058.98999999987</v>
      </c>
      <c r="AJ418" s="7">
        <f t="shared" si="135"/>
        <v>3.240450885703809</v>
      </c>
      <c r="AK418" s="7">
        <f t="shared" si="136"/>
        <v>3.1975461975905253</v>
      </c>
      <c r="AL418" s="7">
        <f t="shared" si="137"/>
        <v>3.6055584022336205</v>
      </c>
      <c r="AM418" s="7" t="str">
        <f t="shared" si="138"/>
        <v/>
      </c>
      <c r="AN418" s="4">
        <v>5204.2037639894133</v>
      </c>
      <c r="AO418" s="4">
        <v>13669.49</v>
      </c>
      <c r="AP418" s="14">
        <f t="shared" si="132"/>
        <v>829201.50376398943</v>
      </c>
      <c r="AQ418" s="14">
        <f t="shared" si="133"/>
        <v>810327.81</v>
      </c>
      <c r="AR418" s="8">
        <v>32107.65</v>
      </c>
      <c r="AS418" s="20">
        <v>25.237842000000001</v>
      </c>
      <c r="AT418" s="8">
        <v>38931974.932555117</v>
      </c>
      <c r="AU418" s="8">
        <v>26383.416499999999</v>
      </c>
      <c r="AV418" s="8">
        <v>205.2242</v>
      </c>
      <c r="AW418" s="8"/>
      <c r="AX418" s="9">
        <v>434.1266696842809</v>
      </c>
      <c r="AY418" s="6">
        <f t="shared" si="139"/>
        <v>2.2182343760413035E-2</v>
      </c>
      <c r="AZ418" s="8">
        <v>417944678.50480002</v>
      </c>
      <c r="BA418" s="10">
        <v>60480066</v>
      </c>
      <c r="BB418" s="11">
        <v>38931974.932555117</v>
      </c>
      <c r="BC418" s="10">
        <v>2971324</v>
      </c>
      <c r="BD418" s="10">
        <f>1000000000-999409873.1439+198556.4076</f>
        <v>788683.26369996322</v>
      </c>
      <c r="BE418" s="12">
        <f t="shared" si="140"/>
        <v>478883273.29894483</v>
      </c>
      <c r="BF418" s="13">
        <v>235.128488</v>
      </c>
      <c r="BG418" s="13">
        <f t="shared" si="141"/>
        <v>243.75478529894485</v>
      </c>
      <c r="BH418" s="14">
        <f>BE418*25.51</f>
        <v>12216312301.856083</v>
      </c>
    </row>
    <row r="419" spans="1:60" x14ac:dyDescent="0.25">
      <c r="A419" s="3">
        <v>46041</v>
      </c>
      <c r="B419" s="4">
        <v>6023898951</v>
      </c>
      <c r="C419" s="4">
        <v>420520571.42000002</v>
      </c>
      <c r="D419" s="4">
        <v>112878902</v>
      </c>
      <c r="E419" s="4"/>
      <c r="F419" s="17">
        <v>159533215.6284982</v>
      </c>
      <c r="G419" s="17">
        <v>30809779.61328131</v>
      </c>
      <c r="H419" s="17">
        <v>3508841.0306874751</v>
      </c>
      <c r="I419" s="17">
        <v>181797806.68101251</v>
      </c>
      <c r="J419" s="17">
        <v>221938.1219215786</v>
      </c>
      <c r="K419" s="17">
        <v>44648990.344598956</v>
      </c>
      <c r="L419" s="14">
        <f t="shared" si="134"/>
        <v>420520571.42000008</v>
      </c>
      <c r="M419" s="21">
        <v>0.91784846360007766</v>
      </c>
      <c r="N419" s="4">
        <v>1852246.1</v>
      </c>
      <c r="O419" s="4">
        <v>108509.32</v>
      </c>
      <c r="P419" s="4">
        <v>79127.199999999997</v>
      </c>
      <c r="Q419" s="4"/>
      <c r="R419" s="14">
        <f t="shared" si="121"/>
        <v>2039882.62</v>
      </c>
      <c r="S419" s="6">
        <v>0.01</v>
      </c>
      <c r="T419" s="14">
        <f t="shared" si="122"/>
        <v>18522.461000000003</v>
      </c>
      <c r="U419" s="14">
        <f t="shared" si="123"/>
        <v>542.54660000000001</v>
      </c>
      <c r="V419" s="14">
        <f t="shared" si="124"/>
        <v>624.12699999999995</v>
      </c>
      <c r="W419" s="14" t="str">
        <f t="shared" si="125"/>
        <v/>
      </c>
      <c r="X419" s="4">
        <v>16714.5</v>
      </c>
      <c r="Y419" s="4">
        <v>54254.66</v>
      </c>
      <c r="Z419" s="4"/>
      <c r="AA419" s="14">
        <f t="shared" si="126"/>
        <v>90658.294600000008</v>
      </c>
      <c r="AB419" s="4">
        <v>107374.0812</v>
      </c>
      <c r="AC419" s="4">
        <v>1852246.1</v>
      </c>
      <c r="AD419" s="14">
        <f t="shared" si="127"/>
        <v>54254.66</v>
      </c>
      <c r="AE419" s="14">
        <f t="shared" si="128"/>
        <v>62412.7</v>
      </c>
      <c r="AF419" s="14" t="str">
        <f t="shared" si="129"/>
        <v/>
      </c>
      <c r="AG419" s="15">
        <f t="shared" si="130"/>
        <v>1968913.46</v>
      </c>
      <c r="AH419" s="4">
        <v>1716617.49</v>
      </c>
      <c r="AI419" s="17">
        <f t="shared" si="131"/>
        <v>252295.96999999997</v>
      </c>
      <c r="AJ419" s="7">
        <f t="shared" si="135"/>
        <v>3.0748293008675343</v>
      </c>
      <c r="AK419" s="7">
        <f t="shared" si="136"/>
        <v>2.5803569997441338</v>
      </c>
      <c r="AL419" s="7">
        <f t="shared" si="137"/>
        <v>7.0099193558775053</v>
      </c>
      <c r="AM419" s="7" t="str">
        <f t="shared" si="138"/>
        <v/>
      </c>
      <c r="AN419" s="4">
        <v>21469.498124208301</v>
      </c>
      <c r="AO419" s="4">
        <v>12301.45</v>
      </c>
      <c r="AP419" s="14">
        <f t="shared" si="132"/>
        <v>1750388.4381242082</v>
      </c>
      <c r="AQ419" s="14">
        <f t="shared" si="133"/>
        <v>1716617.49</v>
      </c>
      <c r="AR419" s="8">
        <v>71932.350000000006</v>
      </c>
      <c r="AS419" s="20">
        <v>23.864332000000001</v>
      </c>
      <c r="AT419" s="8">
        <v>38984999.262555122</v>
      </c>
      <c r="AU419" s="8">
        <v>26462.168799999999</v>
      </c>
      <c r="AV419" s="8">
        <v>3042.9650000000001</v>
      </c>
      <c r="AW419" s="8"/>
      <c r="AX419" s="9">
        <v>434.21847549639142</v>
      </c>
      <c r="AY419" s="6">
        <f t="shared" si="139"/>
        <v>2.2243852247323982E-2</v>
      </c>
      <c r="AZ419" s="8">
        <v>417918216.33600003</v>
      </c>
      <c r="BA419" s="10">
        <v>60480066</v>
      </c>
      <c r="BB419" s="11">
        <v>38984999.262555122</v>
      </c>
      <c r="BC419" s="10">
        <v>2971324</v>
      </c>
      <c r="BD419" s="10">
        <f>1000000000-999406830.1788+199458.4115</f>
        <v>792628.23270001309</v>
      </c>
      <c r="BE419" s="12">
        <f t="shared" si="140"/>
        <v>478852766.16874492</v>
      </c>
      <c r="BF419" s="13">
        <v>235.128488</v>
      </c>
      <c r="BG419" s="13">
        <f t="shared" si="141"/>
        <v>243.72427816874495</v>
      </c>
      <c r="BH419" s="14">
        <f>BE419*23.83</f>
        <v>11411061417.801191</v>
      </c>
    </row>
    <row r="420" spans="1:60" x14ac:dyDescent="0.25">
      <c r="A420" s="3">
        <v>46042</v>
      </c>
      <c r="B420" s="4">
        <v>8422157053</v>
      </c>
      <c r="C420" s="4">
        <v>763107495.89999998</v>
      </c>
      <c r="D420" s="4">
        <v>234922252</v>
      </c>
      <c r="E420" s="4"/>
      <c r="F420" s="17">
        <v>222579653.2240513</v>
      </c>
      <c r="G420" s="17">
        <v>39326975.632830642</v>
      </c>
      <c r="H420" s="17">
        <v>6398094.0046806792</v>
      </c>
      <c r="I420" s="17">
        <v>315233482.68920588</v>
      </c>
      <c r="J420" s="17">
        <v>68138.68904505088</v>
      </c>
      <c r="K420" s="17">
        <v>179501151.66018641</v>
      </c>
      <c r="L420" s="14">
        <f t="shared" si="134"/>
        <v>763107495.89999998</v>
      </c>
      <c r="M420" s="21">
        <v>0.99632928217913053</v>
      </c>
      <c r="N420" s="4">
        <v>2660926.08</v>
      </c>
      <c r="O420" s="4">
        <v>151276.72</v>
      </c>
      <c r="P420" s="4">
        <v>117619.94</v>
      </c>
      <c r="Q420" s="4"/>
      <c r="R420" s="14">
        <f t="shared" si="121"/>
        <v>2929822.74</v>
      </c>
      <c r="S420" s="6">
        <v>0.01</v>
      </c>
      <c r="T420" s="14">
        <f t="shared" si="122"/>
        <v>26609.2608</v>
      </c>
      <c r="U420" s="14">
        <f t="shared" si="123"/>
        <v>861.65970000000004</v>
      </c>
      <c r="V420" s="14">
        <f t="shared" si="124"/>
        <v>937.10550000000001</v>
      </c>
      <c r="W420" s="14" t="str">
        <f t="shared" si="125"/>
        <v/>
      </c>
      <c r="X420" s="4">
        <v>23909.39</v>
      </c>
      <c r="Y420" s="4">
        <v>65110.75</v>
      </c>
      <c r="Z420" s="4"/>
      <c r="AA420" s="14">
        <f t="shared" si="126"/>
        <v>117428.166</v>
      </c>
      <c r="AB420" s="4">
        <v>147307.93030000001</v>
      </c>
      <c r="AC420" s="4">
        <v>2660926.08</v>
      </c>
      <c r="AD420" s="14">
        <f t="shared" si="127"/>
        <v>86165.97</v>
      </c>
      <c r="AE420" s="14">
        <f t="shared" si="128"/>
        <v>93710.55</v>
      </c>
      <c r="AF420" s="14" t="str">
        <f t="shared" si="129"/>
        <v/>
      </c>
      <c r="AG420" s="15">
        <f t="shared" si="130"/>
        <v>2840802.6</v>
      </c>
      <c r="AH420" s="4">
        <v>2517934.1800000002</v>
      </c>
      <c r="AI420" s="17">
        <f t="shared" si="131"/>
        <v>322868.41999999993</v>
      </c>
      <c r="AJ420" s="7">
        <f t="shared" si="135"/>
        <v>3.1594353599143217</v>
      </c>
      <c r="AK420" s="7">
        <f t="shared" si="136"/>
        <v>1.9823775917911282</v>
      </c>
      <c r="AL420" s="7">
        <f t="shared" si="137"/>
        <v>5.0067602791412025</v>
      </c>
      <c r="AM420" s="7" t="str">
        <f t="shared" si="138"/>
        <v/>
      </c>
      <c r="AN420" s="4">
        <v>18372.72732450072</v>
      </c>
      <c r="AO420" s="4">
        <v>0</v>
      </c>
      <c r="AP420" s="14">
        <f t="shared" si="132"/>
        <v>2536306.9073245008</v>
      </c>
      <c r="AQ420" s="14">
        <f t="shared" si="133"/>
        <v>2517934.1800000002</v>
      </c>
      <c r="AR420" s="8">
        <v>113308.89</v>
      </c>
      <c r="AS420" s="20">
        <v>22.221858999999998</v>
      </c>
      <c r="AT420" s="8">
        <v>39098741.182555117</v>
      </c>
      <c r="AU420" s="8">
        <v>26446.419099999999</v>
      </c>
      <c r="AV420" s="8">
        <v>4560.8334999999997</v>
      </c>
      <c r="AW420" s="8"/>
      <c r="AX420" s="9">
        <v>433.838194836338</v>
      </c>
      <c r="AY420" s="6">
        <f t="shared" si="139"/>
        <v>2.2250099429676762E-2</v>
      </c>
      <c r="AZ420" s="8">
        <v>417891769.91689998</v>
      </c>
      <c r="BA420" s="10">
        <v>60480066</v>
      </c>
      <c r="BB420" s="11">
        <v>39098741.182555117</v>
      </c>
      <c r="BC420" s="10">
        <v>2971324</v>
      </c>
      <c r="BD420" s="10">
        <f>1000000000-999402269.3453+200239.8307</f>
        <v>797970.48540004087</v>
      </c>
      <c r="BE420" s="12">
        <f t="shared" si="140"/>
        <v>478760128.41514492</v>
      </c>
      <c r="BF420" s="13">
        <v>235.128488</v>
      </c>
      <c r="BG420" s="13">
        <f t="shared" si="141"/>
        <v>243.63164041514494</v>
      </c>
      <c r="BH420" s="14">
        <f>BE420*23.51</f>
        <v>11255650619.040058</v>
      </c>
    </row>
    <row r="421" spans="1:60" x14ac:dyDescent="0.25">
      <c r="A421" s="3">
        <v>46043</v>
      </c>
      <c r="B421" s="4">
        <v>9010687391</v>
      </c>
      <c r="C421" s="4">
        <v>983308479.87</v>
      </c>
      <c r="D421" s="4">
        <v>164557618</v>
      </c>
      <c r="E421" s="4"/>
      <c r="F421" s="17">
        <v>343081321.59241641</v>
      </c>
      <c r="G421" s="17">
        <v>42414097.665447593</v>
      </c>
      <c r="H421" s="17">
        <v>4668568.6454104427</v>
      </c>
      <c r="I421" s="17">
        <v>400548771.5137499</v>
      </c>
      <c r="J421" s="17">
        <v>298773.52142798179</v>
      </c>
      <c r="K421" s="17">
        <v>192296946.93154779</v>
      </c>
      <c r="L421" s="14">
        <f t="shared" si="134"/>
        <v>983308479.87000012</v>
      </c>
      <c r="M421" s="21">
        <v>1.011719252989292</v>
      </c>
      <c r="N421" s="4">
        <v>2726971.07</v>
      </c>
      <c r="O421" s="4">
        <v>221094.99</v>
      </c>
      <c r="P421" s="4">
        <v>90207.31</v>
      </c>
      <c r="Q421" s="4"/>
      <c r="R421" s="14">
        <f t="shared" si="121"/>
        <v>3038273.3699999996</v>
      </c>
      <c r="S421" s="6">
        <v>0.01</v>
      </c>
      <c r="T421" s="14">
        <f t="shared" si="122"/>
        <v>27269.7107</v>
      </c>
      <c r="U421" s="14">
        <f t="shared" si="123"/>
        <v>1166.6185</v>
      </c>
      <c r="V421" s="14">
        <f t="shared" si="124"/>
        <v>720.14300000000003</v>
      </c>
      <c r="W421" s="14" t="str">
        <f t="shared" si="125"/>
        <v/>
      </c>
      <c r="X421" s="4">
        <v>18193.009999999998</v>
      </c>
      <c r="Y421" s="4">
        <v>104433.14</v>
      </c>
      <c r="Z421" s="4"/>
      <c r="AA421" s="14">
        <f t="shared" si="126"/>
        <v>151782.62219999998</v>
      </c>
      <c r="AB421" s="4">
        <v>161944.52129999999</v>
      </c>
      <c r="AC421" s="4">
        <v>2726971.07</v>
      </c>
      <c r="AD421" s="14">
        <f t="shared" si="127"/>
        <v>116661.84999999999</v>
      </c>
      <c r="AE421" s="14">
        <f t="shared" si="128"/>
        <v>72014.3</v>
      </c>
      <c r="AF421" s="14" t="str">
        <f t="shared" si="129"/>
        <v/>
      </c>
      <c r="AG421" s="15">
        <f t="shared" si="130"/>
        <v>2915647.2199999997</v>
      </c>
      <c r="AH421" s="4">
        <v>2460042.19</v>
      </c>
      <c r="AI421" s="17">
        <f t="shared" si="131"/>
        <v>455605.0299999998</v>
      </c>
      <c r="AJ421" s="7">
        <f t="shared" si="135"/>
        <v>3.0263740729966244</v>
      </c>
      <c r="AK421" s="7">
        <f t="shared" si="136"/>
        <v>2.2484804568067007</v>
      </c>
      <c r="AL421" s="7">
        <f t="shared" si="137"/>
        <v>5.481806986292181</v>
      </c>
      <c r="AM421" s="7" t="str">
        <f t="shared" si="138"/>
        <v/>
      </c>
      <c r="AN421" s="4">
        <v>12242.98376322578</v>
      </c>
      <c r="AO421" s="4">
        <v>0</v>
      </c>
      <c r="AP421" s="14">
        <f t="shared" si="132"/>
        <v>2472285.1737632258</v>
      </c>
      <c r="AQ421" s="14">
        <f t="shared" si="133"/>
        <v>2460042.19</v>
      </c>
      <c r="AR421" s="8">
        <v>115805.51</v>
      </c>
      <c r="AS421" s="20">
        <v>21.242877</v>
      </c>
      <c r="AT421" s="8">
        <v>39213632.082555123</v>
      </c>
      <c r="AU421" s="8">
        <v>26461.826000000001</v>
      </c>
      <c r="AV421" s="8">
        <v>22480.580300000001</v>
      </c>
      <c r="AW421" s="8"/>
      <c r="AX421" s="9">
        <v>434.981313426192</v>
      </c>
      <c r="AY421" s="6">
        <f t="shared" si="139"/>
        <v>2.2204554981736874E-2</v>
      </c>
      <c r="AZ421" s="8">
        <v>417865308.0909</v>
      </c>
      <c r="BA421" s="10">
        <v>60480066</v>
      </c>
      <c r="BB421" s="11">
        <v>39213632.082555123</v>
      </c>
      <c r="BC421" s="10">
        <v>2971324</v>
      </c>
      <c r="BD421" s="10">
        <f>1000000000-999379788.765+200822.5247</f>
        <v>821033.75970001426</v>
      </c>
      <c r="BE421" s="12">
        <f t="shared" si="140"/>
        <v>478648636.06684494</v>
      </c>
      <c r="BF421" s="13">
        <v>235.128488</v>
      </c>
      <c r="BG421" s="13">
        <f t="shared" si="141"/>
        <v>243.52014806684491</v>
      </c>
      <c r="BH421" s="14">
        <f>BE421*21</f>
        <v>10051621357.403744</v>
      </c>
    </row>
    <row r="422" spans="1:60" x14ac:dyDescent="0.25">
      <c r="A422" s="3">
        <v>46044</v>
      </c>
      <c r="B422" s="4">
        <v>5236112576</v>
      </c>
      <c r="C422" s="4">
        <v>927043914.91999996</v>
      </c>
      <c r="D422" s="4">
        <v>102803098</v>
      </c>
      <c r="E422" s="4"/>
      <c r="F422" s="17">
        <v>252178947.53967699</v>
      </c>
      <c r="G422" s="17">
        <v>21646249.445220921</v>
      </c>
      <c r="H422" s="17">
        <v>4603108.4676273474</v>
      </c>
      <c r="I422" s="17">
        <v>438974667.54108262</v>
      </c>
      <c r="J422" s="17">
        <v>543854.266529063</v>
      </c>
      <c r="K422" s="17">
        <v>209097087.65986311</v>
      </c>
      <c r="L422" s="14">
        <f t="shared" si="134"/>
        <v>927043914.92000008</v>
      </c>
      <c r="M422" s="21">
        <v>1.0038893047321691</v>
      </c>
      <c r="N422" s="4">
        <v>1677817.1</v>
      </c>
      <c r="O422" s="4">
        <v>257262.99</v>
      </c>
      <c r="P422" s="4">
        <v>94438.19</v>
      </c>
      <c r="Q422" s="4"/>
      <c r="R422" s="14">
        <f t="shared" si="121"/>
        <v>2029518.28</v>
      </c>
      <c r="S422" s="6">
        <v>0.01</v>
      </c>
      <c r="T422" s="14">
        <f t="shared" si="122"/>
        <v>16778.171000000002</v>
      </c>
      <c r="U422" s="14">
        <f t="shared" si="123"/>
        <v>1325.8257000000001</v>
      </c>
      <c r="V422" s="14">
        <f t="shared" si="124"/>
        <v>850.44389999999999</v>
      </c>
      <c r="W422" s="14" t="str">
        <f t="shared" si="125"/>
        <v/>
      </c>
      <c r="X422" s="4">
        <v>9393.7999999999993</v>
      </c>
      <c r="Y422" s="4">
        <v>124680.42</v>
      </c>
      <c r="Z422" s="4"/>
      <c r="AA422" s="14">
        <f t="shared" si="126"/>
        <v>153028.6606</v>
      </c>
      <c r="AB422" s="4">
        <v>286738.20980000001</v>
      </c>
      <c r="AC422" s="4">
        <v>1677817.1</v>
      </c>
      <c r="AD422" s="14">
        <f t="shared" si="127"/>
        <v>132582.57</v>
      </c>
      <c r="AE422" s="14">
        <f t="shared" si="128"/>
        <v>85044.39</v>
      </c>
      <c r="AF422" s="14" t="str">
        <f t="shared" si="129"/>
        <v/>
      </c>
      <c r="AG422" s="15">
        <f t="shared" si="130"/>
        <v>1895444.06</v>
      </c>
      <c r="AH422" s="4">
        <v>1420236.26</v>
      </c>
      <c r="AI422" s="17">
        <f t="shared" si="131"/>
        <v>475207.80000000005</v>
      </c>
      <c r="AJ422" s="7">
        <f t="shared" si="135"/>
        <v>3.204318233512327</v>
      </c>
      <c r="AK422" s="7">
        <f t="shared" si="136"/>
        <v>2.7750895708344161</v>
      </c>
      <c r="AL422" s="7">
        <f t="shared" si="137"/>
        <v>9.1863175173962173</v>
      </c>
      <c r="AM422" s="7" t="str">
        <f t="shared" si="138"/>
        <v/>
      </c>
      <c r="AN422" s="4">
        <v>4702.8347498346366</v>
      </c>
      <c r="AO422" s="4">
        <v>12351.55</v>
      </c>
      <c r="AP422" s="14">
        <f t="shared" si="132"/>
        <v>1437290.6447498347</v>
      </c>
      <c r="AQ422" s="14">
        <f t="shared" si="133"/>
        <v>1420236.26</v>
      </c>
      <c r="AR422" s="8">
        <v>65939.42</v>
      </c>
      <c r="AS422" s="20">
        <v>21.538501</v>
      </c>
      <c r="AT422" s="8">
        <v>39279106.222555123</v>
      </c>
      <c r="AU422" s="8">
        <v>26448.661400000001</v>
      </c>
      <c r="AV422" s="8">
        <v>3372.3919999999998</v>
      </c>
      <c r="AW422" s="8"/>
      <c r="AX422" s="9">
        <v>435.07148928713491</v>
      </c>
      <c r="AY422" s="6">
        <f t="shared" si="139"/>
        <v>2.218890837185792E-2</v>
      </c>
      <c r="AZ422" s="8">
        <v>417838859.42949998</v>
      </c>
      <c r="BA422" s="10">
        <v>60480066</v>
      </c>
      <c r="BB422" s="11">
        <v>39279106.222555123</v>
      </c>
      <c r="BC422" s="10">
        <v>2971324</v>
      </c>
      <c r="BD422" s="10">
        <f>1000000000-999376416.373+201039.2052</f>
        <v>824622.83219997422</v>
      </c>
      <c r="BE422" s="12">
        <f t="shared" si="140"/>
        <v>478606021.51574492</v>
      </c>
      <c r="BF422" s="13">
        <v>235.128488</v>
      </c>
      <c r="BG422" s="13">
        <f t="shared" si="141"/>
        <v>243.47753351574494</v>
      </c>
      <c r="BH422" s="14">
        <f>BE422*21.7</f>
        <v>10385750666.891665</v>
      </c>
    </row>
    <row r="423" spans="1:60" x14ac:dyDescent="0.25">
      <c r="A423" s="3">
        <v>46045</v>
      </c>
      <c r="B423" s="4">
        <v>6154364124</v>
      </c>
      <c r="C423" s="4">
        <v>874261861.17999995</v>
      </c>
      <c r="D423" s="4">
        <v>162099186</v>
      </c>
      <c r="E423" s="4"/>
      <c r="F423" s="17">
        <v>393243846.3649177</v>
      </c>
      <c r="G423" s="17">
        <v>28285274.720612101</v>
      </c>
      <c r="H423" s="17">
        <v>7749410.5367458574</v>
      </c>
      <c r="I423" s="17">
        <v>279761473.4372319</v>
      </c>
      <c r="J423" s="17">
        <v>382099.74976495269</v>
      </c>
      <c r="K423" s="17">
        <v>164839756.37072739</v>
      </c>
      <c r="L423" s="14">
        <f t="shared" si="134"/>
        <v>874261861.17999995</v>
      </c>
      <c r="M423" s="21">
        <v>0.98825885203148867</v>
      </c>
      <c r="N423" s="4">
        <v>1732667.68</v>
      </c>
      <c r="O423" s="4">
        <v>192556.76</v>
      </c>
      <c r="P423" s="4">
        <v>215100.3</v>
      </c>
      <c r="Q423" s="4"/>
      <c r="R423" s="14">
        <f t="shared" si="121"/>
        <v>2140324.7399999998</v>
      </c>
      <c r="S423" s="6">
        <v>0.01</v>
      </c>
      <c r="T423" s="14">
        <f t="shared" si="122"/>
        <v>17326.676800000001</v>
      </c>
      <c r="U423" s="14">
        <f t="shared" si="123"/>
        <v>1014.8005000000001</v>
      </c>
      <c r="V423" s="14">
        <f t="shared" si="124"/>
        <v>2033.3192999999999</v>
      </c>
      <c r="W423" s="14" t="str">
        <f t="shared" si="125"/>
        <v/>
      </c>
      <c r="X423" s="4">
        <v>11768.37</v>
      </c>
      <c r="Y423" s="4">
        <v>91076.71</v>
      </c>
      <c r="Z423" s="4"/>
      <c r="AA423" s="14">
        <f t="shared" si="126"/>
        <v>123219.87660000002</v>
      </c>
      <c r="AB423" s="4">
        <v>175814.33780000001</v>
      </c>
      <c r="AC423" s="4">
        <v>1732667.68</v>
      </c>
      <c r="AD423" s="14">
        <f t="shared" si="127"/>
        <v>101480.05</v>
      </c>
      <c r="AE423" s="14">
        <f t="shared" si="128"/>
        <v>203331.93</v>
      </c>
      <c r="AF423" s="14" t="str">
        <f t="shared" si="129"/>
        <v/>
      </c>
      <c r="AG423" s="15">
        <f t="shared" si="130"/>
        <v>2037479.66</v>
      </c>
      <c r="AH423" s="4">
        <v>1582594.47</v>
      </c>
      <c r="AI423" s="17">
        <f t="shared" si="131"/>
        <v>454885.18999999994</v>
      </c>
      <c r="AJ423" s="7">
        <f t="shared" si="135"/>
        <v>2.8153480117355496</v>
      </c>
      <c r="AK423" s="7">
        <f t="shared" si="136"/>
        <v>2.2025066922180985</v>
      </c>
      <c r="AL423" s="7">
        <f t="shared" si="137"/>
        <v>13.269671816859093</v>
      </c>
      <c r="AM423" s="7" t="str">
        <f t="shared" si="138"/>
        <v/>
      </c>
      <c r="AN423" s="4">
        <v>8465.6588426311919</v>
      </c>
      <c r="AO423" s="4">
        <v>10993.46</v>
      </c>
      <c r="AP423" s="14">
        <f t="shared" si="132"/>
        <v>1602053.5888426311</v>
      </c>
      <c r="AQ423" s="14">
        <f t="shared" si="133"/>
        <v>1582594.47</v>
      </c>
      <c r="AR423" s="8">
        <v>71996.77</v>
      </c>
      <c r="AS423" s="20">
        <v>21.981465</v>
      </c>
      <c r="AT423" s="8">
        <v>39351404.042555124</v>
      </c>
      <c r="AU423" s="8">
        <v>26483.302</v>
      </c>
      <c r="AV423" s="8">
        <v>868.20569999999998</v>
      </c>
      <c r="AW423" s="8"/>
      <c r="AX423" s="9">
        <v>434.6326310984486</v>
      </c>
      <c r="AY423" s="6">
        <f t="shared" si="139"/>
        <v>2.2240403822350062E-2</v>
      </c>
      <c r="AZ423" s="8">
        <v>417812376.1275</v>
      </c>
      <c r="BA423" s="10">
        <v>60480066</v>
      </c>
      <c r="BB423" s="11">
        <v>39351404.042555124</v>
      </c>
      <c r="BC423" s="10">
        <v>2971324</v>
      </c>
      <c r="BD423" s="10">
        <f>1000000000-999375548.1673+201432.9568</f>
        <v>825884.78950001416</v>
      </c>
      <c r="BE423" s="12">
        <f t="shared" si="140"/>
        <v>478558945.04044485</v>
      </c>
      <c r="BF423" s="13">
        <v>235.128488</v>
      </c>
      <c r="BG423" s="13">
        <f t="shared" si="141"/>
        <v>243.43045704044482</v>
      </c>
      <c r="BH423" s="14">
        <f>BE423*21.5</f>
        <v>10289017318.369564</v>
      </c>
    </row>
    <row r="424" spans="1:60" x14ac:dyDescent="0.25">
      <c r="A424" s="3">
        <v>46046</v>
      </c>
      <c r="B424" s="4">
        <v>1332681362</v>
      </c>
      <c r="C424" s="4">
        <v>194383753.46000001</v>
      </c>
      <c r="D424" s="4">
        <v>99503991</v>
      </c>
      <c r="E424" s="4"/>
      <c r="F424" s="17">
        <v>102501111.47037239</v>
      </c>
      <c r="G424" s="17">
        <v>18884011.287850238</v>
      </c>
      <c r="H424" s="17">
        <v>2074382.5789877051</v>
      </c>
      <c r="I424" s="17">
        <v>59168271.985270627</v>
      </c>
      <c r="J424" s="17">
        <v>61717.17390184605</v>
      </c>
      <c r="K424" s="17">
        <v>11694258.96361715</v>
      </c>
      <c r="L424" s="14">
        <f t="shared" si="134"/>
        <v>194383753.45999998</v>
      </c>
      <c r="M424" s="21">
        <v>0.94434110914910419</v>
      </c>
      <c r="N424" s="4">
        <v>436527.97</v>
      </c>
      <c r="O424" s="4">
        <v>64107.99</v>
      </c>
      <c r="P424" s="4">
        <v>51000.06</v>
      </c>
      <c r="Q424" s="4"/>
      <c r="R424" s="14">
        <f t="shared" si="121"/>
        <v>551636.02</v>
      </c>
      <c r="S424" s="6">
        <v>0.01</v>
      </c>
      <c r="T424" s="14">
        <f t="shared" si="122"/>
        <v>4365.2797</v>
      </c>
      <c r="U424" s="14">
        <f t="shared" si="123"/>
        <v>361.34140000000002</v>
      </c>
      <c r="V424" s="14">
        <f t="shared" si="124"/>
        <v>382.63130000000001</v>
      </c>
      <c r="W424" s="14" t="str">
        <f t="shared" si="125"/>
        <v/>
      </c>
      <c r="X424" s="4">
        <v>12736.93</v>
      </c>
      <c r="Y424" s="4">
        <v>27973.85</v>
      </c>
      <c r="Z424" s="4"/>
      <c r="AA424" s="14">
        <f t="shared" si="126"/>
        <v>45820.032399999996</v>
      </c>
      <c r="AB424" s="4">
        <v>42882.402999999998</v>
      </c>
      <c r="AC424" s="4">
        <v>436527.97</v>
      </c>
      <c r="AD424" s="14">
        <f t="shared" si="127"/>
        <v>36134.14</v>
      </c>
      <c r="AE424" s="14">
        <f t="shared" si="128"/>
        <v>38263.129999999997</v>
      </c>
      <c r="AF424" s="14" t="str">
        <f t="shared" si="129"/>
        <v/>
      </c>
      <c r="AG424" s="15">
        <f t="shared" si="130"/>
        <v>510925.24</v>
      </c>
      <c r="AH424" s="4">
        <v>423383.14</v>
      </c>
      <c r="AI424" s="17">
        <f t="shared" si="131"/>
        <v>87542.099999999977</v>
      </c>
      <c r="AJ424" s="7">
        <f t="shared" si="135"/>
        <v>3.2755614541264966</v>
      </c>
      <c r="AK424" s="7">
        <f t="shared" si="136"/>
        <v>3.298011734977226</v>
      </c>
      <c r="AL424" s="7">
        <f t="shared" si="137"/>
        <v>5.1254285870804921</v>
      </c>
      <c r="AM424" s="7" t="str">
        <f t="shared" si="138"/>
        <v/>
      </c>
      <c r="AN424" s="4">
        <v>6982.0906079818214</v>
      </c>
      <c r="AO424" s="4">
        <v>0</v>
      </c>
      <c r="AP424" s="14">
        <f t="shared" si="132"/>
        <v>430365.23060798185</v>
      </c>
      <c r="AQ424" s="14">
        <f t="shared" si="133"/>
        <v>423383.14</v>
      </c>
      <c r="AR424" s="8">
        <v>18263.09</v>
      </c>
      <c r="AS424" s="20">
        <v>23.182448000000001</v>
      </c>
      <c r="AT424" s="8">
        <v>39369328.122555122</v>
      </c>
      <c r="AU424" s="8">
        <v>26498.512900000002</v>
      </c>
      <c r="AV424" s="8">
        <v>3397.8179</v>
      </c>
      <c r="AW424" s="8"/>
      <c r="AX424" s="9">
        <v>435.38595406181912</v>
      </c>
      <c r="AY424" s="6">
        <f t="shared" si="139"/>
        <v>2.2214674401569483E-2</v>
      </c>
      <c r="AZ424" s="8">
        <v>417785877.6146</v>
      </c>
      <c r="BA424" s="10">
        <v>60480066</v>
      </c>
      <c r="BB424" s="11">
        <v>39369328.122555122</v>
      </c>
      <c r="BC424" s="10">
        <v>2971324</v>
      </c>
      <c r="BD424" s="10">
        <f>1000000000-999372150.3493+201741.6257</f>
        <v>829591.27639997308</v>
      </c>
      <c r="BE424" s="12">
        <f t="shared" si="140"/>
        <v>478563812.98644495</v>
      </c>
      <c r="BF424" s="13">
        <v>235.128488</v>
      </c>
      <c r="BG424" s="13">
        <f t="shared" si="141"/>
        <v>243.43532498644493</v>
      </c>
      <c r="BH424" s="14">
        <f>BE424*22.61</f>
        <v>10820327811.62352</v>
      </c>
    </row>
    <row r="425" spans="1:60" x14ac:dyDescent="0.25">
      <c r="A425" s="3">
        <v>46047</v>
      </c>
      <c r="B425" s="4">
        <v>5512051849</v>
      </c>
      <c r="C425" s="4">
        <v>455797673.47000003</v>
      </c>
      <c r="D425" s="4">
        <v>136721879</v>
      </c>
      <c r="E425" s="4"/>
      <c r="F425" s="17">
        <v>192027015.99402869</v>
      </c>
      <c r="G425" s="17">
        <v>44763018.599590003</v>
      </c>
      <c r="H425" s="17">
        <v>49755123.89052587</v>
      </c>
      <c r="I425" s="17">
        <v>112565962.06481279</v>
      </c>
      <c r="J425" s="17">
        <v>255653.91866214259</v>
      </c>
      <c r="K425" s="17">
        <v>56430899.002380557</v>
      </c>
      <c r="L425" s="14">
        <f t="shared" si="134"/>
        <v>455797673.47000003</v>
      </c>
      <c r="M425" s="21">
        <v>1.20984147494101</v>
      </c>
      <c r="N425" s="4">
        <v>1550703.02</v>
      </c>
      <c r="O425" s="4">
        <v>176073.01</v>
      </c>
      <c r="P425" s="4">
        <v>64649.78</v>
      </c>
      <c r="Q425" s="4"/>
      <c r="R425" s="14">
        <f t="shared" si="121"/>
        <v>1791425.81</v>
      </c>
      <c r="S425" s="6">
        <v>0.01</v>
      </c>
      <c r="T425" s="14">
        <f t="shared" si="122"/>
        <v>15507.030200000001</v>
      </c>
      <c r="U425" s="14">
        <f t="shared" si="123"/>
        <v>948.1563000000001</v>
      </c>
      <c r="V425" s="14">
        <f t="shared" si="124"/>
        <v>535.27150000000006</v>
      </c>
      <c r="W425" s="14" t="str">
        <f t="shared" si="125"/>
        <v/>
      </c>
      <c r="X425" s="4">
        <v>11122.63</v>
      </c>
      <c r="Y425" s="4">
        <v>81257.38</v>
      </c>
      <c r="Z425" s="4"/>
      <c r="AA425" s="14">
        <f t="shared" si="126"/>
        <v>109370.46799999999</v>
      </c>
      <c r="AB425" s="4">
        <v>162923.698</v>
      </c>
      <c r="AC425" s="4">
        <v>1550703.02</v>
      </c>
      <c r="AD425" s="14">
        <f t="shared" si="127"/>
        <v>94815.63</v>
      </c>
      <c r="AE425" s="14">
        <f t="shared" si="128"/>
        <v>53527.15</v>
      </c>
      <c r="AF425" s="14" t="str">
        <f t="shared" si="129"/>
        <v/>
      </c>
      <c r="AG425" s="15">
        <f t="shared" si="130"/>
        <v>1699045.7999999998</v>
      </c>
      <c r="AH425" s="4">
        <v>1354082.47</v>
      </c>
      <c r="AI425" s="17">
        <f t="shared" si="131"/>
        <v>344963.32999999984</v>
      </c>
      <c r="AJ425" s="7">
        <f t="shared" si="135"/>
        <v>2.8132954160823607</v>
      </c>
      <c r="AK425" s="7">
        <f t="shared" si="136"/>
        <v>3.8629642108427498</v>
      </c>
      <c r="AL425" s="7">
        <f t="shared" si="137"/>
        <v>4.7285614031094472</v>
      </c>
      <c r="AM425" s="7" t="str">
        <f t="shared" si="138"/>
        <v/>
      </c>
      <c r="AN425" s="4">
        <v>8127.9962585863932</v>
      </c>
      <c r="AO425" s="4">
        <v>11757.21</v>
      </c>
      <c r="AP425" s="14">
        <f t="shared" si="132"/>
        <v>1373967.6762585863</v>
      </c>
      <c r="AQ425" s="14">
        <f t="shared" si="133"/>
        <v>1354082.47</v>
      </c>
      <c r="AR425" s="8">
        <v>60926.13</v>
      </c>
      <c r="AS425" s="20">
        <v>22.224986999999999</v>
      </c>
      <c r="AT425" s="8">
        <v>39436651.662555121</v>
      </c>
      <c r="AU425" s="8">
        <v>26486.8658</v>
      </c>
      <c r="AV425" s="8">
        <v>1634.8405</v>
      </c>
      <c r="AW425" s="8"/>
      <c r="AX425" s="9">
        <v>435.62500077289172</v>
      </c>
      <c r="AY425" s="6">
        <f t="shared" si="139"/>
        <v>2.219272539419782E-2</v>
      </c>
      <c r="AZ425" s="8">
        <v>417759390.74870002</v>
      </c>
      <c r="BA425" s="10">
        <v>60480066</v>
      </c>
      <c r="BB425" s="11">
        <v>39436651.662555121</v>
      </c>
      <c r="BC425" s="10">
        <v>2971324</v>
      </c>
      <c r="BD425" s="10">
        <f>1000000000-999370515.5089+202090.9765</f>
        <v>831575.46759995364</v>
      </c>
      <c r="BE425" s="12">
        <f t="shared" si="140"/>
        <v>478520992.12114495</v>
      </c>
      <c r="BF425" s="13">
        <v>235.128488</v>
      </c>
      <c r="BG425" s="13">
        <f t="shared" si="141"/>
        <v>243.39250412114495</v>
      </c>
      <c r="BH425" s="14">
        <f>BE425*23.27</f>
        <v>11135183486.659042</v>
      </c>
    </row>
    <row r="426" spans="1:60" x14ac:dyDescent="0.25">
      <c r="A426" s="3">
        <v>46048</v>
      </c>
      <c r="B426" s="4">
        <v>5561691775</v>
      </c>
      <c r="C426" s="4">
        <v>1714162470.0599999</v>
      </c>
      <c r="D426" s="4">
        <v>143906955</v>
      </c>
      <c r="E426" s="4"/>
      <c r="F426" s="17">
        <v>1190266360.5699501</v>
      </c>
      <c r="G426" s="17">
        <v>31459765.61091736</v>
      </c>
      <c r="H426" s="17">
        <v>23913015.906609591</v>
      </c>
      <c r="I426" s="17">
        <v>313892742.17895389</v>
      </c>
      <c r="J426" s="17">
        <v>387688.98022912501</v>
      </c>
      <c r="K426" s="17">
        <v>154242896.81333971</v>
      </c>
      <c r="L426" s="14">
        <f t="shared" si="134"/>
        <v>1714162470.0599997</v>
      </c>
      <c r="M426" s="21">
        <v>0.99967803340952743</v>
      </c>
      <c r="N426" s="4">
        <v>1693786.16</v>
      </c>
      <c r="O426" s="4">
        <v>357497.97</v>
      </c>
      <c r="P426" s="4">
        <v>72192.290000000008</v>
      </c>
      <c r="Q426" s="4"/>
      <c r="R426" s="14">
        <f t="shared" si="121"/>
        <v>2123476.42</v>
      </c>
      <c r="S426" s="6">
        <v>0.01</v>
      </c>
      <c r="T426" s="14">
        <f t="shared" si="122"/>
        <v>16937.8616</v>
      </c>
      <c r="U426" s="14">
        <f t="shared" si="123"/>
        <v>1841.1026999999997</v>
      </c>
      <c r="V426" s="14">
        <f t="shared" si="124"/>
        <v>615.93110000000013</v>
      </c>
      <c r="W426" s="14" t="str">
        <f t="shared" si="125"/>
        <v/>
      </c>
      <c r="X426" s="4">
        <v>10599.18</v>
      </c>
      <c r="Y426" s="4">
        <v>173387.7</v>
      </c>
      <c r="Z426" s="4"/>
      <c r="AA426" s="14">
        <f t="shared" si="126"/>
        <v>203381.77540000001</v>
      </c>
      <c r="AB426" s="4">
        <v>199152.36600000001</v>
      </c>
      <c r="AC426" s="4">
        <v>1693786.16</v>
      </c>
      <c r="AD426" s="14">
        <f t="shared" si="127"/>
        <v>184110.26999999996</v>
      </c>
      <c r="AE426" s="14">
        <f t="shared" si="128"/>
        <v>61593.110000000008</v>
      </c>
      <c r="AF426" s="14" t="str">
        <f t="shared" si="129"/>
        <v/>
      </c>
      <c r="AG426" s="15">
        <f t="shared" si="130"/>
        <v>1939489.54</v>
      </c>
      <c r="AH426" s="4">
        <v>1686069.29</v>
      </c>
      <c r="AI426" s="17">
        <f t="shared" si="131"/>
        <v>253420.25</v>
      </c>
      <c r="AJ426" s="7">
        <f t="shared" si="135"/>
        <v>3.0454513276223403</v>
      </c>
      <c r="AK426" s="7">
        <f t="shared" si="136"/>
        <v>2.085554760672637</v>
      </c>
      <c r="AL426" s="7">
        <f t="shared" si="137"/>
        <v>5.0165949241299712</v>
      </c>
      <c r="AM426" s="7" t="str">
        <f t="shared" si="138"/>
        <v/>
      </c>
      <c r="AN426" s="4">
        <v>14122.5887757327</v>
      </c>
      <c r="AO426" s="4">
        <v>11207.93</v>
      </c>
      <c r="AP426" s="14">
        <f t="shared" si="132"/>
        <v>1711399.8087757328</v>
      </c>
      <c r="AQ426" s="14">
        <f t="shared" si="133"/>
        <v>1686069.29</v>
      </c>
      <c r="AR426" s="8">
        <v>73480.55</v>
      </c>
      <c r="AS426" s="20">
        <v>22.945789999999999</v>
      </c>
      <c r="AT426" s="8">
        <v>39504435.712555118</v>
      </c>
      <c r="AU426" s="8">
        <v>26515.218499999999</v>
      </c>
      <c r="AV426" s="8">
        <v>14016.8459</v>
      </c>
      <c r="AW426" s="8"/>
      <c r="AX426" s="9">
        <v>435.57789503955678</v>
      </c>
      <c r="AY426" s="6">
        <f t="shared" si="139"/>
        <v>2.2218884068074877E-2</v>
      </c>
      <c r="AZ426" s="8">
        <v>417732875.53030002</v>
      </c>
      <c r="BA426" s="10">
        <v>60480066</v>
      </c>
      <c r="BB426" s="11">
        <v>39504435.712555118</v>
      </c>
      <c r="BC426" s="10">
        <v>2971324</v>
      </c>
      <c r="BD426" s="10">
        <f>1000000000-999356498.663+202734.0524</f>
        <v>846235.38940001233</v>
      </c>
      <c r="BE426" s="12">
        <f t="shared" si="140"/>
        <v>478465063.36774486</v>
      </c>
      <c r="BF426" s="13">
        <v>235.128488</v>
      </c>
      <c r="BG426" s="13">
        <f t="shared" si="141"/>
        <v>243.33657536774484</v>
      </c>
      <c r="BH426" s="14">
        <f>BE426*21.96</f>
        <v>10507092791.555677</v>
      </c>
    </row>
    <row r="427" spans="1:60" x14ac:dyDescent="0.25">
      <c r="A427" s="3">
        <v>46049</v>
      </c>
      <c r="B427" s="4">
        <v>5183899584</v>
      </c>
      <c r="C427" s="4">
        <v>1781438333.5999999</v>
      </c>
      <c r="D427" s="4">
        <v>263315443</v>
      </c>
      <c r="E427" s="4"/>
      <c r="F427" s="17">
        <v>1338063752.2718821</v>
      </c>
      <c r="G427" s="17">
        <v>35587983.615817674</v>
      </c>
      <c r="H427" s="17">
        <v>11942505.14866049</v>
      </c>
      <c r="I427" s="17">
        <v>255179561.0667496</v>
      </c>
      <c r="J427" s="17">
        <v>505102.75725255947</v>
      </c>
      <c r="K427" s="17">
        <v>140159428.73963779</v>
      </c>
      <c r="L427" s="14">
        <f t="shared" si="134"/>
        <v>1781438333.6000001</v>
      </c>
      <c r="M427" s="21">
        <v>0.98371894125147774</v>
      </c>
      <c r="N427" s="4">
        <v>1606411.25</v>
      </c>
      <c r="O427" s="4">
        <v>307520.08</v>
      </c>
      <c r="P427" s="4">
        <v>131839.23000000001</v>
      </c>
      <c r="Q427" s="4"/>
      <c r="R427" s="14">
        <f t="shared" si="121"/>
        <v>2045770.56</v>
      </c>
      <c r="S427" s="6">
        <v>0.01</v>
      </c>
      <c r="T427" s="14">
        <f t="shared" si="122"/>
        <v>16064.112500000001</v>
      </c>
      <c r="U427" s="14">
        <f t="shared" si="123"/>
        <v>1599.3982000000001</v>
      </c>
      <c r="V427" s="14">
        <f t="shared" si="124"/>
        <v>1172.2120000000002</v>
      </c>
      <c r="W427" s="14" t="str">
        <f t="shared" si="125"/>
        <v/>
      </c>
      <c r="X427" s="4">
        <v>14618.03</v>
      </c>
      <c r="Y427" s="4">
        <v>147580.26</v>
      </c>
      <c r="Z427" s="4"/>
      <c r="AA427" s="14">
        <f t="shared" si="126"/>
        <v>181034.01270000002</v>
      </c>
      <c r="AB427" s="4">
        <v>165385.86540000001</v>
      </c>
      <c r="AC427" s="4">
        <v>1606411.25</v>
      </c>
      <c r="AD427" s="14">
        <f t="shared" si="127"/>
        <v>159939.82</v>
      </c>
      <c r="AE427" s="14">
        <f t="shared" si="128"/>
        <v>117221.20000000001</v>
      </c>
      <c r="AF427" s="14" t="str">
        <f t="shared" si="129"/>
        <v/>
      </c>
      <c r="AG427" s="15">
        <f t="shared" si="130"/>
        <v>1883572.27</v>
      </c>
      <c r="AH427" s="4">
        <v>1379697.28</v>
      </c>
      <c r="AI427" s="17">
        <f t="shared" si="131"/>
        <v>503874.99</v>
      </c>
      <c r="AJ427" s="7">
        <f t="shared" si="135"/>
        <v>3.0988471593048512</v>
      </c>
      <c r="AK427" s="7">
        <f t="shared" si="136"/>
        <v>1.7262460013339418</v>
      </c>
      <c r="AL427" s="7">
        <f t="shared" si="137"/>
        <v>5.006893196157888</v>
      </c>
      <c r="AM427" s="7" t="str">
        <f t="shared" si="138"/>
        <v/>
      </c>
      <c r="AN427" s="4">
        <v>32197.886409830011</v>
      </c>
      <c r="AO427" s="4">
        <v>12720.97</v>
      </c>
      <c r="AP427" s="14">
        <f t="shared" si="132"/>
        <v>1424616.1364098301</v>
      </c>
      <c r="AQ427" s="14">
        <f t="shared" si="133"/>
        <v>1379697.28</v>
      </c>
      <c r="AR427" s="8">
        <v>49506.09</v>
      </c>
      <c r="AS427" s="20">
        <v>27.869243999999998</v>
      </c>
      <c r="AT427" s="8">
        <v>39552810.692555122</v>
      </c>
      <c r="AU427" s="8">
        <v>26518.0239</v>
      </c>
      <c r="AV427" s="8">
        <v>6036.8612000000003</v>
      </c>
      <c r="AW427" s="8"/>
      <c r="AX427" s="9">
        <v>435.88093747287411</v>
      </c>
      <c r="AY427" s="6">
        <f t="shared" si="139"/>
        <v>2.220578578089883E-2</v>
      </c>
      <c r="AZ427" s="8">
        <v>417706357.50629997</v>
      </c>
      <c r="BA427" s="10">
        <v>60480066</v>
      </c>
      <c r="BB427" s="11">
        <v>39552810.692555122</v>
      </c>
      <c r="BC427" s="10">
        <v>2971324</v>
      </c>
      <c r="BD427" s="10">
        <f>1000000000-999350461.8018+204017.3991</f>
        <v>853555.59729998745</v>
      </c>
      <c r="BE427" s="12">
        <f t="shared" si="140"/>
        <v>478435886.2038449</v>
      </c>
      <c r="BF427" s="13">
        <v>235.128488</v>
      </c>
      <c r="BG427" s="13">
        <f t="shared" si="141"/>
        <v>243.30739820384491</v>
      </c>
      <c r="BH427" s="14">
        <f>BE427*25.08</f>
        <v>11999172025.99243</v>
      </c>
    </row>
    <row r="428" spans="1:60" x14ac:dyDescent="0.25">
      <c r="A428" s="3">
        <v>46050</v>
      </c>
      <c r="B428" s="4">
        <v>7234684635</v>
      </c>
      <c r="C428" s="4">
        <v>2237768379.27</v>
      </c>
      <c r="D428" s="4">
        <v>340689375</v>
      </c>
      <c r="E428" s="4"/>
      <c r="F428" s="17">
        <v>1501406816.69994</v>
      </c>
      <c r="G428" s="17">
        <v>42830161.370717421</v>
      </c>
      <c r="H428" s="17">
        <v>13773130.41834748</v>
      </c>
      <c r="I428" s="17">
        <v>419580564.88068581</v>
      </c>
      <c r="J428" s="17">
        <v>550439.19160665234</v>
      </c>
      <c r="K428" s="17">
        <v>259627266.70870259</v>
      </c>
      <c r="L428" s="14">
        <f t="shared" si="134"/>
        <v>2237768379.2700005</v>
      </c>
      <c r="M428" s="21">
        <v>1.082055162711733</v>
      </c>
      <c r="N428" s="4">
        <v>2099076.92</v>
      </c>
      <c r="O428" s="4">
        <v>449112.4</v>
      </c>
      <c r="P428" s="4">
        <v>190300.02</v>
      </c>
      <c r="Q428" s="4"/>
      <c r="R428" s="14">
        <f t="shared" si="121"/>
        <v>2738489.34</v>
      </c>
      <c r="S428" s="6">
        <v>0.01</v>
      </c>
      <c r="T428" s="14">
        <f t="shared" si="122"/>
        <v>20990.769199999999</v>
      </c>
      <c r="U428" s="14">
        <f t="shared" si="123"/>
        <v>2313.4950000000003</v>
      </c>
      <c r="V428" s="14">
        <f t="shared" si="124"/>
        <v>1713.6338000000001</v>
      </c>
      <c r="W428" s="14" t="str">
        <f t="shared" si="125"/>
        <v/>
      </c>
      <c r="X428" s="4">
        <v>18936.64</v>
      </c>
      <c r="Y428" s="4">
        <v>217762.9</v>
      </c>
      <c r="Z428" s="4"/>
      <c r="AA428" s="14">
        <f t="shared" si="126"/>
        <v>261717.43799999999</v>
      </c>
      <c r="AB428" s="4">
        <v>175763.21780000001</v>
      </c>
      <c r="AC428" s="4">
        <v>2099076.92</v>
      </c>
      <c r="AD428" s="14">
        <f t="shared" si="127"/>
        <v>231349.50000000003</v>
      </c>
      <c r="AE428" s="14">
        <f t="shared" si="128"/>
        <v>171363.38</v>
      </c>
      <c r="AF428" s="14" t="str">
        <f t="shared" si="129"/>
        <v/>
      </c>
      <c r="AG428" s="15">
        <f t="shared" si="130"/>
        <v>2501789.7999999998</v>
      </c>
      <c r="AH428" s="4">
        <v>2162127.39</v>
      </c>
      <c r="AI428" s="17">
        <f t="shared" si="131"/>
        <v>339662.40999999968</v>
      </c>
      <c r="AJ428" s="7">
        <f t="shared" si="135"/>
        <v>2.9014076299125371</v>
      </c>
      <c r="AK428" s="7">
        <f t="shared" si="136"/>
        <v>2.0069655294106377</v>
      </c>
      <c r="AL428" s="7">
        <f t="shared" si="137"/>
        <v>5.5857339255149938</v>
      </c>
      <c r="AM428" s="7" t="str">
        <f t="shared" si="138"/>
        <v/>
      </c>
      <c r="AN428" s="4">
        <v>53865.050148784198</v>
      </c>
      <c r="AO428" s="4">
        <v>18125.62</v>
      </c>
      <c r="AP428" s="14">
        <f t="shared" si="132"/>
        <v>2234118.0601487844</v>
      </c>
      <c r="AQ428" s="14">
        <f t="shared" si="133"/>
        <v>2162127.39</v>
      </c>
      <c r="AR428" s="8">
        <v>65062</v>
      </c>
      <c r="AS428" s="20">
        <v>33.2318</v>
      </c>
      <c r="AT428" s="8">
        <v>39621747.412555121</v>
      </c>
      <c r="AU428" s="8">
        <v>26544.181</v>
      </c>
      <c r="AV428" s="8">
        <v>2704.7993999999999</v>
      </c>
      <c r="AW428" s="8"/>
      <c r="AX428" s="9">
        <v>436.61565486991321</v>
      </c>
      <c r="AY428" s="6">
        <f t="shared" si="139"/>
        <v>2.2190285567947998E-2</v>
      </c>
      <c r="AZ428" s="8">
        <v>417679813.32539999</v>
      </c>
      <c r="BA428" s="10">
        <v>60480066</v>
      </c>
      <c r="BB428" s="11">
        <v>39621747.412555121</v>
      </c>
      <c r="BC428" s="10">
        <v>2971324</v>
      </c>
      <c r="BD428" s="10">
        <f>1000000000-999347757.0024+205754.365</f>
        <v>857997.36259995936</v>
      </c>
      <c r="BE428" s="12">
        <f t="shared" si="140"/>
        <v>478389051.89944494</v>
      </c>
      <c r="BF428" s="13">
        <v>235.128488</v>
      </c>
      <c r="BG428" s="13">
        <f t="shared" si="141"/>
        <v>243.26056389944495</v>
      </c>
      <c r="BH428" s="14">
        <f>BE428*31.01</f>
        <v>14834844499.401789</v>
      </c>
    </row>
    <row r="429" spans="1:60" x14ac:dyDescent="0.25">
      <c r="A429" s="3">
        <v>46051</v>
      </c>
      <c r="B429" s="4">
        <v>11517582165</v>
      </c>
      <c r="C429" s="4">
        <v>3333337752.3499999</v>
      </c>
      <c r="D429" s="4">
        <v>361769400</v>
      </c>
      <c r="E429" s="4"/>
      <c r="F429" s="17">
        <v>2476972143.7818952</v>
      </c>
      <c r="G429" s="17">
        <v>53101459.422348097</v>
      </c>
      <c r="H429" s="17">
        <v>8754876.9829681963</v>
      </c>
      <c r="I429" s="17">
        <v>473776195.51402211</v>
      </c>
      <c r="J429" s="17">
        <v>618923.13266927446</v>
      </c>
      <c r="K429" s="17">
        <v>320114153.51609731</v>
      </c>
      <c r="L429" s="14">
        <f t="shared" si="134"/>
        <v>3333337752.3500004</v>
      </c>
      <c r="M429" s="21">
        <v>1.0038182685707711</v>
      </c>
      <c r="N429" s="4">
        <v>3294583.88</v>
      </c>
      <c r="O429" s="4">
        <v>723398.45</v>
      </c>
      <c r="P429" s="4">
        <v>180115.20000000001</v>
      </c>
      <c r="Q429" s="4"/>
      <c r="R429" s="14">
        <f t="shared" si="121"/>
        <v>4198097.53</v>
      </c>
      <c r="S429" s="6">
        <v>0.01</v>
      </c>
      <c r="T429" s="14">
        <f t="shared" si="122"/>
        <v>32945.838799999998</v>
      </c>
      <c r="U429" s="14">
        <f t="shared" si="123"/>
        <v>3699.2754999999993</v>
      </c>
      <c r="V429" s="14">
        <f t="shared" si="124"/>
        <v>1560.3390000000002</v>
      </c>
      <c r="W429" s="14" t="str">
        <f t="shared" si="125"/>
        <v/>
      </c>
      <c r="X429" s="4">
        <v>24081.3</v>
      </c>
      <c r="Y429" s="4">
        <v>353470.9</v>
      </c>
      <c r="Z429" s="4"/>
      <c r="AA429" s="14">
        <f t="shared" si="126"/>
        <v>415757.65330000001</v>
      </c>
      <c r="AB429" s="4">
        <v>275344.52470000001</v>
      </c>
      <c r="AC429" s="4">
        <v>3294583.88</v>
      </c>
      <c r="AD429" s="14">
        <f t="shared" si="127"/>
        <v>369927.54999999993</v>
      </c>
      <c r="AE429" s="14">
        <f t="shared" si="128"/>
        <v>156033.90000000002</v>
      </c>
      <c r="AF429" s="14" t="str">
        <f t="shared" si="129"/>
        <v/>
      </c>
      <c r="AG429" s="15">
        <f t="shared" si="130"/>
        <v>3820545.3299999996</v>
      </c>
      <c r="AH429" s="4">
        <v>3327618.82</v>
      </c>
      <c r="AI429" s="17">
        <f t="shared" si="131"/>
        <v>492926.50999999978</v>
      </c>
      <c r="AJ429" s="7">
        <f t="shared" si="135"/>
        <v>2.8604822026029804</v>
      </c>
      <c r="AK429" s="7">
        <f t="shared" si="136"/>
        <v>2.1701924729649877</v>
      </c>
      <c r="AL429" s="7">
        <f t="shared" si="137"/>
        <v>4.9787295442898163</v>
      </c>
      <c r="AM429" s="7" t="str">
        <f t="shared" si="138"/>
        <v/>
      </c>
      <c r="AN429" s="4">
        <v>62176.319263006219</v>
      </c>
      <c r="AO429" s="4">
        <v>0</v>
      </c>
      <c r="AP429" s="14">
        <f t="shared" si="132"/>
        <v>3389795.1392630059</v>
      </c>
      <c r="AQ429" s="14">
        <f t="shared" si="133"/>
        <v>3327618.82</v>
      </c>
      <c r="AR429" s="8">
        <v>101752.49</v>
      </c>
      <c r="AS429" s="20">
        <v>32.703069999999997</v>
      </c>
      <c r="AT429" s="8">
        <v>39720956.13255512</v>
      </c>
      <c r="AU429" s="8">
        <v>26419.823499999999</v>
      </c>
      <c r="AV429" s="8">
        <v>4190.0082000000002</v>
      </c>
      <c r="AW429" s="8"/>
      <c r="AX429" s="9">
        <v>437.45834434790407</v>
      </c>
      <c r="AY429" s="6">
        <f t="shared" si="139"/>
        <v>2.2043780172657713E-2</v>
      </c>
      <c r="AZ429" s="8">
        <v>417653393.50190002</v>
      </c>
      <c r="BA429" s="10">
        <v>60480066</v>
      </c>
      <c r="BB429" s="11">
        <v>39720956.13255512</v>
      </c>
      <c r="BC429" s="10">
        <v>2971324</v>
      </c>
      <c r="BD429" s="10">
        <f>1000000000-999343566.9942+207596.408</f>
        <v>864029.41380000883</v>
      </c>
      <c r="BE429" s="12">
        <f t="shared" si="140"/>
        <v>478310230.95174491</v>
      </c>
      <c r="BF429" s="13">
        <v>235.128488</v>
      </c>
      <c r="BG429" s="13">
        <f t="shared" si="141"/>
        <v>243.18174295174492</v>
      </c>
      <c r="BH429" s="14">
        <f>BE429*33.78</f>
        <v>16157319601.549944</v>
      </c>
    </row>
    <row r="430" spans="1:60" x14ac:dyDescent="0.25">
      <c r="A430" s="3">
        <v>46052</v>
      </c>
      <c r="B430" s="4">
        <v>10672382254</v>
      </c>
      <c r="C430" s="4">
        <v>4839959861.1099997</v>
      </c>
      <c r="D430" s="4">
        <v>396755483</v>
      </c>
      <c r="E430" s="4"/>
      <c r="F430" s="17">
        <v>3963431372.7091098</v>
      </c>
      <c r="G430" s="17">
        <v>54097456.978811562</v>
      </c>
      <c r="H430" s="17">
        <v>8689661.8534264974</v>
      </c>
      <c r="I430" s="17">
        <v>539432663.40439272</v>
      </c>
      <c r="J430" s="17">
        <v>1661519.6027190459</v>
      </c>
      <c r="K430" s="17">
        <v>272647186.56153989</v>
      </c>
      <c r="L430" s="14">
        <f t="shared" si="134"/>
        <v>4839959861.1099997</v>
      </c>
      <c r="M430" s="21">
        <v>0.98806608258573614</v>
      </c>
      <c r="N430" s="4">
        <v>3206850.03</v>
      </c>
      <c r="O430" s="4">
        <v>825779.62</v>
      </c>
      <c r="P430" s="4">
        <v>192654.24</v>
      </c>
      <c r="Q430" s="4"/>
      <c r="R430" s="14">
        <f t="shared" si="121"/>
        <v>4225283.8899999997</v>
      </c>
      <c r="S430" s="6">
        <v>0.01</v>
      </c>
      <c r="T430" s="14">
        <f t="shared" si="122"/>
        <v>32068.5003</v>
      </c>
      <c r="U430" s="14">
        <f t="shared" si="123"/>
        <v>4211.5232999999998</v>
      </c>
      <c r="V430" s="14">
        <f t="shared" si="124"/>
        <v>1642.9315999999999</v>
      </c>
      <c r="W430" s="14" t="str">
        <f t="shared" si="125"/>
        <v/>
      </c>
      <c r="X430" s="4">
        <v>28361.08</v>
      </c>
      <c r="Y430" s="4">
        <v>404627.29</v>
      </c>
      <c r="Z430" s="4"/>
      <c r="AA430" s="14">
        <f t="shared" si="126"/>
        <v>470911.32519999996</v>
      </c>
      <c r="AB430" s="4">
        <v>268251.97230000002</v>
      </c>
      <c r="AC430" s="4">
        <v>3206850.03</v>
      </c>
      <c r="AD430" s="14">
        <f t="shared" si="127"/>
        <v>421152.33</v>
      </c>
      <c r="AE430" s="14">
        <f t="shared" si="128"/>
        <v>164293.15999999997</v>
      </c>
      <c r="AF430" s="14" t="str">
        <f t="shared" si="129"/>
        <v/>
      </c>
      <c r="AG430" s="15">
        <f t="shared" si="130"/>
        <v>3792295.52</v>
      </c>
      <c r="AH430" s="4">
        <v>3218850.03</v>
      </c>
      <c r="AI430" s="17">
        <f t="shared" si="131"/>
        <v>573445.49000000022</v>
      </c>
      <c r="AJ430" s="7">
        <f t="shared" si="135"/>
        <v>3.0048118158418426</v>
      </c>
      <c r="AK430" s="7">
        <f t="shared" si="136"/>
        <v>1.7061703892118956</v>
      </c>
      <c r="AL430" s="7">
        <f t="shared" si="137"/>
        <v>4.8557423464769105</v>
      </c>
      <c r="AM430" s="7" t="str">
        <f t="shared" si="138"/>
        <v/>
      </c>
      <c r="AN430" s="4">
        <v>47573.962365337473</v>
      </c>
      <c r="AO430" s="4">
        <v>0</v>
      </c>
      <c r="AP430" s="14">
        <f t="shared" si="132"/>
        <v>3266423.9923653374</v>
      </c>
      <c r="AQ430" s="14">
        <f t="shared" si="133"/>
        <v>3218850.03</v>
      </c>
      <c r="AR430" s="8">
        <v>107902.6</v>
      </c>
      <c r="AS430" s="20">
        <v>29.83107</v>
      </c>
      <c r="AT430" s="8">
        <v>39827527.782555118</v>
      </c>
      <c r="AU430" s="8">
        <v>26587.349300000002</v>
      </c>
      <c r="AV430" s="8">
        <v>3337.8629000000001</v>
      </c>
      <c r="AW430" s="8"/>
      <c r="AX430" s="9">
        <v>437.27127490344259</v>
      </c>
      <c r="AY430" s="6">
        <f t="shared" si="139"/>
        <v>2.219304823222816E-2</v>
      </c>
      <c r="AZ430" s="8">
        <v>417626806.15259999</v>
      </c>
      <c r="BA430" s="10">
        <v>60480066</v>
      </c>
      <c r="BB430" s="11">
        <v>39827527.782555118</v>
      </c>
      <c r="BC430" s="10">
        <v>2971324</v>
      </c>
      <c r="BD430" s="10">
        <f>1000000000-999340229.1313+209179.3575</f>
        <v>868950.22620002751</v>
      </c>
      <c r="BE430" s="12">
        <f t="shared" si="140"/>
        <v>478225325.8386448</v>
      </c>
      <c r="BF430" s="13">
        <v>235.128488</v>
      </c>
      <c r="BG430" s="13">
        <f t="shared" si="141"/>
        <v>243.09683783864477</v>
      </c>
      <c r="BH430" s="14">
        <f>BE430*30.05</f>
        <v>14370671041.451277</v>
      </c>
    </row>
    <row r="431" spans="1:60" x14ac:dyDescent="0.25">
      <c r="A431" s="3">
        <v>46053</v>
      </c>
      <c r="B431" s="4">
        <v>12694845235</v>
      </c>
      <c r="C431" s="4">
        <v>454365526.89999998</v>
      </c>
      <c r="D431" s="4">
        <v>387144390</v>
      </c>
      <c r="E431" s="4"/>
      <c r="F431" s="17">
        <v>261542622.2661846</v>
      </c>
      <c r="G431" s="17">
        <v>58073660.900125973</v>
      </c>
      <c r="H431" s="17">
        <v>2257989.5612562438</v>
      </c>
      <c r="I431" s="17">
        <v>84138651.830064937</v>
      </c>
      <c r="J431" s="17">
        <v>440492.02186942159</v>
      </c>
      <c r="K431" s="17">
        <v>47912110.320498787</v>
      </c>
      <c r="L431" s="14">
        <f t="shared" si="134"/>
        <v>454365526.89999992</v>
      </c>
      <c r="M431" s="21">
        <v>1.0004327859303539</v>
      </c>
      <c r="N431" s="4">
        <v>3501474.27</v>
      </c>
      <c r="O431" s="4">
        <v>129567.27</v>
      </c>
      <c r="P431" s="4">
        <v>158128.57999999999</v>
      </c>
      <c r="Q431" s="4"/>
      <c r="R431" s="14">
        <f t="shared" si="121"/>
        <v>3789170.12</v>
      </c>
      <c r="S431" s="6">
        <v>0.01</v>
      </c>
      <c r="T431" s="14">
        <f t="shared" si="122"/>
        <v>35014.742700000003</v>
      </c>
      <c r="U431" s="14">
        <f t="shared" si="123"/>
        <v>731.09960000000012</v>
      </c>
      <c r="V431" s="14">
        <f t="shared" si="124"/>
        <v>1284.6437999999998</v>
      </c>
      <c r="W431" s="14" t="str">
        <f t="shared" si="125"/>
        <v/>
      </c>
      <c r="X431" s="4">
        <v>29664.2</v>
      </c>
      <c r="Y431" s="4">
        <v>56457.31</v>
      </c>
      <c r="Z431" s="4"/>
      <c r="AA431" s="14">
        <f t="shared" si="126"/>
        <v>123151.9961</v>
      </c>
      <c r="AB431" s="4">
        <v>192057.67189999999</v>
      </c>
      <c r="AC431" s="4">
        <v>3501474.27</v>
      </c>
      <c r="AD431" s="14">
        <f t="shared" si="127"/>
        <v>73109.960000000006</v>
      </c>
      <c r="AE431" s="14">
        <f t="shared" si="128"/>
        <v>128464.37999999999</v>
      </c>
      <c r="AF431" s="14" t="str">
        <f t="shared" si="129"/>
        <v/>
      </c>
      <c r="AG431" s="15">
        <f t="shared" si="130"/>
        <v>3703048.61</v>
      </c>
      <c r="AH431" s="4">
        <v>3149151.15</v>
      </c>
      <c r="AI431" s="17">
        <f t="shared" si="131"/>
        <v>553897.46</v>
      </c>
      <c r="AJ431" s="7">
        <f t="shared" si="135"/>
        <v>2.7581858661390761</v>
      </c>
      <c r="AK431" s="7">
        <f t="shared" si="136"/>
        <v>2.8516087231352851</v>
      </c>
      <c r="AL431" s="7">
        <f t="shared" si="137"/>
        <v>4.0844858942680276</v>
      </c>
      <c r="AM431" s="7" t="str">
        <f t="shared" si="138"/>
        <v/>
      </c>
      <c r="AN431" s="4">
        <v>59160.663586611117</v>
      </c>
      <c r="AO431" s="4">
        <v>15449.42</v>
      </c>
      <c r="AP431" s="14">
        <f t="shared" si="132"/>
        <v>3223761.2335866108</v>
      </c>
      <c r="AQ431" s="14">
        <f t="shared" si="133"/>
        <v>3149151.15</v>
      </c>
      <c r="AR431" s="8">
        <v>108741.69</v>
      </c>
      <c r="AS431" s="20">
        <v>28.959924999999998</v>
      </c>
      <c r="AT431" s="8">
        <v>39936269.472555123</v>
      </c>
      <c r="AU431" s="8">
        <v>26594.456099999999</v>
      </c>
      <c r="AV431" s="8">
        <v>2098.4135000000001</v>
      </c>
      <c r="AW431" s="8"/>
      <c r="AX431" s="9">
        <v>438.15121593868241</v>
      </c>
      <c r="AY431" s="6">
        <f t="shared" si="139"/>
        <v>2.2154398124181979E-2</v>
      </c>
      <c r="AZ431" s="8">
        <v>417600211.6965</v>
      </c>
      <c r="BA431" s="10">
        <v>60480066</v>
      </c>
      <c r="BB431" s="11">
        <v>39936269.472555123</v>
      </c>
      <c r="BC431" s="10">
        <v>2971324</v>
      </c>
      <c r="BD431" s="10">
        <f>1000000000-999338130.7178+211085.1225</f>
        <v>872954.40469997888</v>
      </c>
      <c r="BE431" s="12">
        <f t="shared" si="140"/>
        <v>478139174.42624485</v>
      </c>
      <c r="BF431" s="13">
        <v>235.128488</v>
      </c>
      <c r="BG431" s="13">
        <f t="shared" si="141"/>
        <v>243.01068642624483</v>
      </c>
      <c r="BH431" s="14">
        <f>BE431*31.04</f>
        <v>14841439974.190639</v>
      </c>
    </row>
    <row r="432" spans="1:60" x14ac:dyDescent="0.25">
      <c r="A432" s="3">
        <v>46054</v>
      </c>
      <c r="B432" s="4">
        <v>7711997575</v>
      </c>
      <c r="C432" s="4">
        <v>607717104.79999995</v>
      </c>
      <c r="D432" s="4">
        <v>232233126</v>
      </c>
      <c r="E432" s="4"/>
      <c r="F432" s="17">
        <v>371950658.40338182</v>
      </c>
      <c r="G432" s="17">
        <v>41923165.343850084</v>
      </c>
      <c r="H432" s="17">
        <v>3154648.4934395989</v>
      </c>
      <c r="I432" s="17">
        <v>103269863.96125241</v>
      </c>
      <c r="J432" s="17">
        <v>119211.3479757358</v>
      </c>
      <c r="K432" s="17">
        <v>87299557.250100419</v>
      </c>
      <c r="L432" s="14">
        <f t="shared" si="134"/>
        <v>607717104.80000007</v>
      </c>
      <c r="M432" s="21">
        <v>1.098397253360069</v>
      </c>
      <c r="N432" s="4">
        <v>2536627.58</v>
      </c>
      <c r="O432" s="4">
        <v>151775.16</v>
      </c>
      <c r="P432" s="4">
        <v>107380.85</v>
      </c>
      <c r="Q432" s="4"/>
      <c r="R432" s="14">
        <f t="shared" si="121"/>
        <v>2795783.5900000003</v>
      </c>
      <c r="S432" s="6">
        <v>0.01</v>
      </c>
      <c r="T432" s="14">
        <f t="shared" si="122"/>
        <v>25366.275800000003</v>
      </c>
      <c r="U432" s="14">
        <f t="shared" si="123"/>
        <v>812.53870000000006</v>
      </c>
      <c r="V432" s="14">
        <f t="shared" si="124"/>
        <v>923.83870000000013</v>
      </c>
      <c r="W432" s="14" t="str">
        <f t="shared" si="125"/>
        <v/>
      </c>
      <c r="X432" s="4">
        <v>14996.98</v>
      </c>
      <c r="Y432" s="4">
        <v>70521.289999999994</v>
      </c>
      <c r="Z432" s="4"/>
      <c r="AA432" s="14">
        <f t="shared" si="126"/>
        <v>112620.92319999999</v>
      </c>
      <c r="AB432" s="4">
        <v>234810.16070000001</v>
      </c>
      <c r="AC432" s="4">
        <v>2536627.58</v>
      </c>
      <c r="AD432" s="14">
        <f t="shared" si="127"/>
        <v>81253.87000000001</v>
      </c>
      <c r="AE432" s="14">
        <f t="shared" si="128"/>
        <v>92383.87000000001</v>
      </c>
      <c r="AF432" s="14" t="str">
        <f t="shared" si="129"/>
        <v/>
      </c>
      <c r="AG432" s="15">
        <f t="shared" si="130"/>
        <v>2710265.3200000003</v>
      </c>
      <c r="AH432" s="4">
        <v>2372679.2000000002</v>
      </c>
      <c r="AI432" s="17">
        <f t="shared" si="131"/>
        <v>337586.12000000011</v>
      </c>
      <c r="AJ432" s="7">
        <f t="shared" si="135"/>
        <v>3.289196547756954</v>
      </c>
      <c r="AK432" s="7">
        <f t="shared" si="136"/>
        <v>2.4974640141147466</v>
      </c>
      <c r="AL432" s="7">
        <f t="shared" si="137"/>
        <v>4.6238386335978623</v>
      </c>
      <c r="AM432" s="7" t="str">
        <f t="shared" si="138"/>
        <v/>
      </c>
      <c r="AN432" s="4">
        <v>41555.796869562662</v>
      </c>
      <c r="AO432" s="4">
        <v>0</v>
      </c>
      <c r="AP432" s="14">
        <f t="shared" si="132"/>
        <v>2414234.9968695627</v>
      </c>
      <c r="AQ432" s="14">
        <f t="shared" si="133"/>
        <v>2372679.2000000002</v>
      </c>
      <c r="AR432" s="8">
        <v>78538.12</v>
      </c>
      <c r="AS432" s="20">
        <v>30.210542</v>
      </c>
      <c r="AT432" s="8">
        <v>40017749.002555117</v>
      </c>
      <c r="AU432" s="8">
        <v>26605.0098</v>
      </c>
      <c r="AV432" s="8">
        <v>3582.5666999999999</v>
      </c>
      <c r="AW432" s="8"/>
      <c r="AX432" s="9">
        <v>437.88611990543131</v>
      </c>
      <c r="AY432" s="6">
        <f t="shared" si="139"/>
        <v>2.2176607422718063E-2</v>
      </c>
      <c r="AZ432" s="8">
        <v>417573606.68669999</v>
      </c>
      <c r="BA432" s="10">
        <v>60480066</v>
      </c>
      <c r="BB432" s="11">
        <v>40017749.002555117</v>
      </c>
      <c r="BC432" s="10">
        <v>2971324</v>
      </c>
      <c r="BD432" s="10">
        <f>1000000000-999334548.1511+212376.1964</f>
        <v>877828.04529996053</v>
      </c>
      <c r="BE432" s="12">
        <f t="shared" si="140"/>
        <v>478079426.26544493</v>
      </c>
      <c r="BF432" s="13">
        <v>235.128488</v>
      </c>
      <c r="BG432" s="13">
        <f t="shared" si="141"/>
        <v>242.9509382654449</v>
      </c>
      <c r="BH432" s="14">
        <f>BE432*32.19</f>
        <v>15389376731.484671</v>
      </c>
    </row>
    <row r="433" spans="1:60" x14ac:dyDescent="0.25">
      <c r="A433" s="3">
        <v>46055</v>
      </c>
      <c r="B433" s="4">
        <v>8376403350</v>
      </c>
      <c r="C433" s="4">
        <v>3467594518.7199998</v>
      </c>
      <c r="D433" s="4">
        <v>350035772</v>
      </c>
      <c r="E433" s="4"/>
      <c r="F433" s="17">
        <v>2356961946.8801699</v>
      </c>
      <c r="G433" s="17">
        <v>52092789.931669183</v>
      </c>
      <c r="H433" s="17">
        <v>7421662.2459565196</v>
      </c>
      <c r="I433" s="17">
        <v>685362772.23075557</v>
      </c>
      <c r="J433" s="17">
        <v>350345.84675371338</v>
      </c>
      <c r="K433" s="17">
        <v>365405001.5846951</v>
      </c>
      <c r="L433" s="14">
        <f t="shared" si="134"/>
        <v>3467594518.7200003</v>
      </c>
      <c r="M433" s="21">
        <v>0.99187702296669178</v>
      </c>
      <c r="N433" s="4">
        <v>2573008.52</v>
      </c>
      <c r="O433" s="4">
        <v>567536.55000000005</v>
      </c>
      <c r="P433" s="4">
        <v>187929.41</v>
      </c>
      <c r="Q433" s="4"/>
      <c r="R433" s="14">
        <f t="shared" ref="R433:R496" si="142">N433+O433+P433+N(Q433)</f>
        <v>3328474.4800000004</v>
      </c>
      <c r="S433" s="6">
        <v>0.01</v>
      </c>
      <c r="T433" s="14">
        <f t="shared" ref="T433:T496" si="143">N(AC433)*S433</f>
        <v>25730.085200000001</v>
      </c>
      <c r="U433" s="14">
        <f t="shared" ref="U433:U496" si="144">N(AD433)*S433</f>
        <v>2909.4636000000005</v>
      </c>
      <c r="V433" s="14">
        <f t="shared" ref="V433:V496" si="145">N(AE433)*S433</f>
        <v>1611.6363000000001</v>
      </c>
      <c r="W433" s="14" t="str">
        <f t="shared" ref="W433:W496" si="146">IF(Q433="","",N(AF433)*S433)</f>
        <v/>
      </c>
      <c r="X433" s="4">
        <v>26765.78</v>
      </c>
      <c r="Y433" s="4">
        <v>276590.19</v>
      </c>
      <c r="Z433" s="4"/>
      <c r="AA433" s="14">
        <f t="shared" ref="AA433:AA496" si="147">T433+U433+V433+N(W433)+X433+Y433+N(Z433)</f>
        <v>333607.15509999997</v>
      </c>
      <c r="AB433" s="4">
        <v>218806.7482</v>
      </c>
      <c r="AC433" s="4">
        <v>2573008.52</v>
      </c>
      <c r="AD433" s="14">
        <f t="shared" ref="AD433:AD496" si="148">O433-Y433</f>
        <v>290946.36000000004</v>
      </c>
      <c r="AE433" s="14">
        <f t="shared" ref="AE433:AE496" si="149">P433-X433</f>
        <v>161163.63</v>
      </c>
      <c r="AF433" s="14" t="str">
        <f t="shared" ref="AF433:AF496" si="150">IF(Q433="","",Q433-Z433)</f>
        <v/>
      </c>
      <c r="AG433" s="15">
        <f t="shared" ref="AG433:AG496" si="151">AC433+AD433+AE433+N(AF433)</f>
        <v>3025118.51</v>
      </c>
      <c r="AH433" s="4">
        <v>2661584.87</v>
      </c>
      <c r="AI433" s="17">
        <f t="shared" ref="AI433:AI496" si="152">AG433-AH433</f>
        <v>363533.63999999966</v>
      </c>
      <c r="AJ433" s="7">
        <f t="shared" si="135"/>
        <v>3.0717342664736891</v>
      </c>
      <c r="AK433" s="7">
        <f t="shared" si="136"/>
        <v>1.6366866048960533</v>
      </c>
      <c r="AL433" s="7">
        <f t="shared" si="137"/>
        <v>5.368862985809348</v>
      </c>
      <c r="AM433" s="7" t="str">
        <f t="shared" si="138"/>
        <v/>
      </c>
      <c r="AN433" s="4">
        <v>61219.463303383338</v>
      </c>
      <c r="AO433" s="4">
        <v>15314.48</v>
      </c>
      <c r="AP433" s="14">
        <f t="shared" ref="AP433:AP496" si="153">AH433+AN433+AO433</f>
        <v>2738118.8133033835</v>
      </c>
      <c r="AQ433" s="14">
        <f t="shared" ref="AQ433:AQ496" si="154">AH433</f>
        <v>2661584.87</v>
      </c>
      <c r="AR433" s="8">
        <v>84867.33</v>
      </c>
      <c r="AS433" s="20">
        <v>31.361713000000002</v>
      </c>
      <c r="AT433" s="8">
        <v>40100277.242555119</v>
      </c>
      <c r="AU433" s="8">
        <v>26595.9414</v>
      </c>
      <c r="AV433" s="8">
        <v>1593.8389999999999</v>
      </c>
      <c r="AW433" s="8"/>
      <c r="AX433" s="9">
        <v>437.32803226031228</v>
      </c>
      <c r="AY433" s="6">
        <f t="shared" si="139"/>
        <v>2.219733905651344E-2</v>
      </c>
      <c r="AZ433" s="8">
        <v>417547010.74519998</v>
      </c>
      <c r="BA433" s="10">
        <v>60480066</v>
      </c>
      <c r="BB433" s="11">
        <v>40100277.242555119</v>
      </c>
      <c r="BC433" s="10">
        <v>2971324</v>
      </c>
      <c r="BD433" s="10">
        <f>1000000000-999332954.3121+214331.2154</f>
        <v>881376.90329994715</v>
      </c>
      <c r="BE433" s="12">
        <f t="shared" si="140"/>
        <v>478019945.10894501</v>
      </c>
      <c r="BF433" s="13">
        <v>235.128488</v>
      </c>
      <c r="BG433" s="13">
        <f t="shared" si="141"/>
        <v>242.89145710894502</v>
      </c>
      <c r="BH433" s="14">
        <f>BE433*31.32</f>
        <v>14971584680.812159</v>
      </c>
    </row>
    <row r="434" spans="1:60" x14ac:dyDescent="0.25">
      <c r="A434" s="3">
        <v>46056</v>
      </c>
      <c r="B434" s="4">
        <v>10418328870</v>
      </c>
      <c r="C434" s="4">
        <v>2752332322.2199998</v>
      </c>
      <c r="D434" s="4">
        <v>453738201</v>
      </c>
      <c r="E434" s="4"/>
      <c r="F434" s="17">
        <v>1870918090.8857219</v>
      </c>
      <c r="G434" s="17">
        <v>64766751.671290837</v>
      </c>
      <c r="H434" s="17">
        <v>5698969.434261756</v>
      </c>
      <c r="I434" s="17">
        <v>435383336.72318798</v>
      </c>
      <c r="J434" s="17">
        <v>2187634.871551326</v>
      </c>
      <c r="K434" s="17">
        <v>373377538.6339854</v>
      </c>
      <c r="L434" s="14">
        <f t="shared" si="134"/>
        <v>2752332322.2199998</v>
      </c>
      <c r="M434" s="21">
        <v>0.9930642287888618</v>
      </c>
      <c r="N434" s="4">
        <v>3149483.58</v>
      </c>
      <c r="O434" s="4">
        <v>454660.71</v>
      </c>
      <c r="P434" s="4">
        <v>231891.36</v>
      </c>
      <c r="Q434" s="4"/>
      <c r="R434" s="14">
        <f t="shared" si="142"/>
        <v>3836035.65</v>
      </c>
      <c r="S434" s="6">
        <v>0.01</v>
      </c>
      <c r="T434" s="14">
        <f t="shared" si="143"/>
        <v>31494.835800000001</v>
      </c>
      <c r="U434" s="14">
        <f t="shared" si="144"/>
        <v>2371.3785000000003</v>
      </c>
      <c r="V434" s="14">
        <f t="shared" si="145"/>
        <v>2063.2113999999997</v>
      </c>
      <c r="W434" s="14" t="str">
        <f t="shared" si="146"/>
        <v/>
      </c>
      <c r="X434" s="4">
        <v>25570.22</v>
      </c>
      <c r="Y434" s="4">
        <v>217522.86</v>
      </c>
      <c r="Z434" s="4"/>
      <c r="AA434" s="14">
        <f t="shared" si="147"/>
        <v>279022.50569999998</v>
      </c>
      <c r="AB434" s="4">
        <v>200145.24160000001</v>
      </c>
      <c r="AC434" s="4">
        <v>3149483.58</v>
      </c>
      <c r="AD434" s="14">
        <f t="shared" si="148"/>
        <v>237137.85000000003</v>
      </c>
      <c r="AE434" s="14">
        <f t="shared" si="149"/>
        <v>206321.13999999998</v>
      </c>
      <c r="AF434" s="14" t="str">
        <f t="shared" si="150"/>
        <v/>
      </c>
      <c r="AG434" s="15">
        <f t="shared" si="151"/>
        <v>3592942.5700000003</v>
      </c>
      <c r="AH434" s="4">
        <v>3033451.62</v>
      </c>
      <c r="AI434" s="17">
        <f t="shared" si="152"/>
        <v>559490.95000000019</v>
      </c>
      <c r="AJ434" s="7">
        <f t="shared" si="135"/>
        <v>3.0230218486086247</v>
      </c>
      <c r="AK434" s="7">
        <f t="shared" si="136"/>
        <v>1.6519106589326245</v>
      </c>
      <c r="AL434" s="7">
        <f t="shared" si="137"/>
        <v>5.1106862831679445</v>
      </c>
      <c r="AM434" s="7" t="str">
        <f t="shared" si="138"/>
        <v/>
      </c>
      <c r="AN434" s="4">
        <v>63062.752300171298</v>
      </c>
      <c r="AO434" s="4">
        <v>0</v>
      </c>
      <c r="AP434" s="14">
        <f t="shared" si="153"/>
        <v>3096514.3723001713</v>
      </c>
      <c r="AQ434" s="14">
        <f t="shared" si="154"/>
        <v>3033451.62</v>
      </c>
      <c r="AR434" s="8">
        <v>87809.98</v>
      </c>
      <c r="AS434" s="20">
        <v>34.545636000000002</v>
      </c>
      <c r="AT434" s="8">
        <v>40188408.392555118</v>
      </c>
      <c r="AU434" s="8">
        <v>26582.128199999999</v>
      </c>
      <c r="AV434" s="8">
        <v>5980.5172000000002</v>
      </c>
      <c r="AW434" s="8"/>
      <c r="AX434" s="9">
        <v>437.32448675516008</v>
      </c>
      <c r="AY434" s="6">
        <f t="shared" si="139"/>
        <v>2.2185990235740024E-2</v>
      </c>
      <c r="AZ434" s="8">
        <v>417520428.61699998</v>
      </c>
      <c r="BA434" s="10">
        <v>60480066</v>
      </c>
      <c r="BB434" s="11">
        <v>40188408.392555118</v>
      </c>
      <c r="BC434" s="10">
        <v>2971324</v>
      </c>
      <c r="BD434" s="10">
        <f>1000000000-999326973.7949+216200.0182</f>
        <v>889226.22330005956</v>
      </c>
      <c r="BE434" s="12">
        <f t="shared" si="140"/>
        <v>477950546.76714486</v>
      </c>
      <c r="BF434" s="13">
        <v>235.128488</v>
      </c>
      <c r="BG434" s="13">
        <f t="shared" si="141"/>
        <v>242.82205876714488</v>
      </c>
      <c r="BH434" s="14">
        <f>BE434*33.75</f>
        <v>16130830953.391138</v>
      </c>
    </row>
    <row r="435" spans="1:60" x14ac:dyDescent="0.25">
      <c r="A435" s="3">
        <v>46057</v>
      </c>
      <c r="B435" s="4">
        <v>10176703295</v>
      </c>
      <c r="C435" s="4">
        <v>2646208773.2399998</v>
      </c>
      <c r="D435" s="4">
        <v>547974938</v>
      </c>
      <c r="E435" s="4"/>
      <c r="F435" s="17">
        <v>1715257045.6850979</v>
      </c>
      <c r="G435" s="17">
        <v>55848313.443964019</v>
      </c>
      <c r="H435" s="17">
        <v>6903186.9449503478</v>
      </c>
      <c r="I435" s="17">
        <v>552884057.17309463</v>
      </c>
      <c r="J435" s="17">
        <v>980274.69870363607</v>
      </c>
      <c r="K435" s="17">
        <v>314335895.29418921</v>
      </c>
      <c r="L435" s="14">
        <f t="shared" si="134"/>
        <v>2646208773.2399998</v>
      </c>
      <c r="M435" s="21">
        <v>0.99811962082834749</v>
      </c>
      <c r="N435" s="4">
        <v>3080057.44</v>
      </c>
      <c r="O435" s="4">
        <v>387912.2</v>
      </c>
      <c r="P435" s="4">
        <v>301984.84000000003</v>
      </c>
      <c r="Q435" s="4"/>
      <c r="R435" s="14">
        <f t="shared" si="142"/>
        <v>3769954.48</v>
      </c>
      <c r="S435" s="6">
        <v>0.01</v>
      </c>
      <c r="T435" s="14">
        <f t="shared" si="143"/>
        <v>30800.574400000001</v>
      </c>
      <c r="U435" s="14">
        <f t="shared" si="144"/>
        <v>2017.2059000000004</v>
      </c>
      <c r="V435" s="14">
        <f t="shared" si="145"/>
        <v>2580.4102000000003</v>
      </c>
      <c r="W435" s="14" t="str">
        <f t="shared" si="146"/>
        <v/>
      </c>
      <c r="X435" s="4">
        <v>43943.82</v>
      </c>
      <c r="Y435" s="4">
        <v>186191.61</v>
      </c>
      <c r="Z435" s="4"/>
      <c r="AA435" s="14">
        <f t="shared" si="147"/>
        <v>265533.62049999996</v>
      </c>
      <c r="AB435" s="4">
        <v>204296.73180000001</v>
      </c>
      <c r="AC435" s="4">
        <v>3080057.44</v>
      </c>
      <c r="AD435" s="14">
        <f t="shared" si="148"/>
        <v>201720.59000000003</v>
      </c>
      <c r="AE435" s="14">
        <f t="shared" si="149"/>
        <v>258041.02000000002</v>
      </c>
      <c r="AF435" s="14" t="str">
        <f t="shared" si="150"/>
        <v/>
      </c>
      <c r="AG435" s="15">
        <f t="shared" si="151"/>
        <v>3539819.05</v>
      </c>
      <c r="AH435" s="4">
        <v>2965474.28</v>
      </c>
      <c r="AI435" s="17">
        <f t="shared" si="152"/>
        <v>574344.77</v>
      </c>
      <c r="AJ435" s="7">
        <f t="shared" si="135"/>
        <v>3.0265768301541112</v>
      </c>
      <c r="AK435" s="7">
        <f t="shared" si="136"/>
        <v>1.4659168389236461</v>
      </c>
      <c r="AL435" s="7">
        <f t="shared" si="137"/>
        <v>5.5109242970524326</v>
      </c>
      <c r="AM435" s="7" t="str">
        <f t="shared" si="138"/>
        <v/>
      </c>
      <c r="AN435" s="4">
        <v>41142.848074177862</v>
      </c>
      <c r="AO435" s="4">
        <v>17232.189999999999</v>
      </c>
      <c r="AP435" s="14">
        <f t="shared" si="153"/>
        <v>3023849.3180741775</v>
      </c>
      <c r="AQ435" s="14">
        <f t="shared" si="154"/>
        <v>2965474.28</v>
      </c>
      <c r="AR435" s="8">
        <v>87492.3</v>
      </c>
      <c r="AS435" s="20">
        <v>33.894117000000001</v>
      </c>
      <c r="AT435" s="8">
        <v>40276755.652555123</v>
      </c>
      <c r="AU435" s="8">
        <v>26560.1302</v>
      </c>
      <c r="AV435" s="8">
        <v>3229.2473</v>
      </c>
      <c r="AW435" s="8"/>
      <c r="AX435" s="9">
        <v>436.52010367736648</v>
      </c>
      <c r="AY435" s="6">
        <f t="shared" si="139"/>
        <v>2.2208478925326198E-2</v>
      </c>
      <c r="AZ435" s="8">
        <v>417493868.48689997</v>
      </c>
      <c r="BA435" s="10">
        <v>60480066</v>
      </c>
      <c r="BB435" s="11">
        <v>40276755.652555123</v>
      </c>
      <c r="BC435" s="10">
        <v>2971324</v>
      </c>
      <c r="BD435" s="10">
        <f>1000000000-999323744.5476+217447.7543</f>
        <v>893703.20669996913</v>
      </c>
      <c r="BE435" s="12">
        <f t="shared" si="140"/>
        <v>477884282.65384495</v>
      </c>
      <c r="BF435" s="13">
        <v>235.128488</v>
      </c>
      <c r="BG435" s="13">
        <f t="shared" si="141"/>
        <v>242.75579465384493</v>
      </c>
      <c r="BH435" s="14">
        <f>BE435*32.97</f>
        <v>15755844799.097267</v>
      </c>
    </row>
    <row r="436" spans="1:60" x14ac:dyDescent="0.25">
      <c r="A436" s="3">
        <v>46058</v>
      </c>
      <c r="B436" s="4">
        <v>19858446820</v>
      </c>
      <c r="C436" s="4">
        <v>5212343333.8000002</v>
      </c>
      <c r="D436" s="4">
        <v>776033702</v>
      </c>
      <c r="E436" s="4"/>
      <c r="F436" s="17">
        <v>3848900693.7048168</v>
      </c>
      <c r="G436" s="17">
        <v>101576740.6453342</v>
      </c>
      <c r="H436" s="17">
        <v>5102349.2968733152</v>
      </c>
      <c r="I436" s="17">
        <v>804056534.70089006</v>
      </c>
      <c r="J436" s="17">
        <v>796281.84609707503</v>
      </c>
      <c r="K436" s="17">
        <v>451910733.60598892</v>
      </c>
      <c r="L436" s="14">
        <f t="shared" si="134"/>
        <v>5212343333.7999992</v>
      </c>
      <c r="M436" s="21">
        <v>1.0074861710996541</v>
      </c>
      <c r="N436" s="4">
        <v>5741730.71</v>
      </c>
      <c r="O436" s="4">
        <v>467068.69</v>
      </c>
      <c r="P436" s="4">
        <v>330952.58</v>
      </c>
      <c r="Q436" s="4"/>
      <c r="R436" s="14">
        <f t="shared" si="142"/>
        <v>6539751.9800000004</v>
      </c>
      <c r="S436" s="6">
        <v>0.01</v>
      </c>
      <c r="T436" s="14">
        <f t="shared" si="143"/>
        <v>57417.307099999998</v>
      </c>
      <c r="U436" s="14">
        <f t="shared" si="144"/>
        <v>2464.4681</v>
      </c>
      <c r="V436" s="14">
        <f t="shared" si="145"/>
        <v>2540.7324000000003</v>
      </c>
      <c r="W436" s="14" t="str">
        <f t="shared" si="146"/>
        <v/>
      </c>
      <c r="X436" s="4">
        <v>76879.34</v>
      </c>
      <c r="Y436" s="4">
        <v>220621.88</v>
      </c>
      <c r="Z436" s="4"/>
      <c r="AA436" s="14">
        <f t="shared" si="147"/>
        <v>359923.72759999998</v>
      </c>
      <c r="AB436" s="4">
        <v>358041.82429999998</v>
      </c>
      <c r="AC436" s="4">
        <v>5741730.71</v>
      </c>
      <c r="AD436" s="14">
        <f t="shared" si="148"/>
        <v>246446.81</v>
      </c>
      <c r="AE436" s="14">
        <f t="shared" si="149"/>
        <v>254073.24000000002</v>
      </c>
      <c r="AF436" s="14" t="str">
        <f t="shared" si="150"/>
        <v/>
      </c>
      <c r="AG436" s="15">
        <f t="shared" si="151"/>
        <v>6242250.7599999998</v>
      </c>
      <c r="AH436" s="4">
        <v>5253972.9400000004</v>
      </c>
      <c r="AI436" s="17">
        <f t="shared" si="152"/>
        <v>988277.81999999937</v>
      </c>
      <c r="AJ436" s="7">
        <f t="shared" si="135"/>
        <v>2.8913291971139161</v>
      </c>
      <c r="AK436" s="7">
        <f t="shared" si="136"/>
        <v>0.89608197328683803</v>
      </c>
      <c r="AL436" s="7">
        <f t="shared" si="137"/>
        <v>4.2646676187782369</v>
      </c>
      <c r="AM436" s="7" t="str">
        <f t="shared" si="138"/>
        <v/>
      </c>
      <c r="AN436" s="4">
        <v>66507.079755628482</v>
      </c>
      <c r="AO436" s="4">
        <v>18038.150000000001</v>
      </c>
      <c r="AP436" s="14">
        <f t="shared" si="153"/>
        <v>5338518.1697556293</v>
      </c>
      <c r="AQ436" s="14">
        <f t="shared" si="154"/>
        <v>5253972.9400000004</v>
      </c>
      <c r="AR436" s="8">
        <v>160754.65</v>
      </c>
      <c r="AS436" s="20">
        <v>32.683179000000003</v>
      </c>
      <c r="AT436" s="8">
        <v>40448356.072555117</v>
      </c>
      <c r="AU436" s="8">
        <v>26510.6708</v>
      </c>
      <c r="AV436" s="8">
        <v>1549.8525</v>
      </c>
      <c r="AW436" s="8"/>
      <c r="AX436" s="9">
        <v>436.55815964894663</v>
      </c>
      <c r="AY436" s="6">
        <f t="shared" si="139"/>
        <v>2.2165190658172934E-2</v>
      </c>
      <c r="AZ436" s="8">
        <v>417467357.8161</v>
      </c>
      <c r="BA436" s="10">
        <v>60480066</v>
      </c>
      <c r="BB436" s="11">
        <v>40448356.072555117</v>
      </c>
      <c r="BC436" s="10">
        <v>2971324</v>
      </c>
      <c r="BD436" s="10">
        <f>1000000000-999322194.6951+219332.8222</f>
        <v>897138.12710005022</v>
      </c>
      <c r="BE436" s="12">
        <f t="shared" si="140"/>
        <v>477735757.98424482</v>
      </c>
      <c r="BF436" s="13">
        <v>235.128488</v>
      </c>
      <c r="BG436" s="13">
        <f t="shared" si="141"/>
        <v>242.60726998424479</v>
      </c>
      <c r="BH436" s="14">
        <f>BE436*35.26</f>
        <v>16844962826.524471</v>
      </c>
    </row>
    <row r="437" spans="1:60" x14ac:dyDescent="0.25">
      <c r="A437" s="3">
        <v>46059</v>
      </c>
      <c r="B437" s="4">
        <v>13845938397</v>
      </c>
      <c r="C437" s="4">
        <v>2950265406.8800001</v>
      </c>
      <c r="D437" s="4">
        <v>500547523</v>
      </c>
      <c r="E437" s="4"/>
      <c r="F437" s="17">
        <v>1986392238.480134</v>
      </c>
      <c r="G437" s="17">
        <v>76692967.050170168</v>
      </c>
      <c r="H437" s="17">
        <v>5707767.6760956701</v>
      </c>
      <c r="I437" s="17">
        <v>525490873.67665547</v>
      </c>
      <c r="J437" s="17">
        <v>637559.26010033616</v>
      </c>
      <c r="K437" s="17">
        <v>355344000.736844</v>
      </c>
      <c r="L437" s="14">
        <f t="shared" si="134"/>
        <v>2950265406.8799996</v>
      </c>
      <c r="M437" s="21">
        <v>0.92643104459460535</v>
      </c>
      <c r="N437" s="4">
        <v>4417432.59</v>
      </c>
      <c r="O437" s="4">
        <v>369970.5</v>
      </c>
      <c r="P437" s="4">
        <v>246218.68</v>
      </c>
      <c r="Q437" s="4"/>
      <c r="R437" s="14">
        <f t="shared" si="142"/>
        <v>5033621.7699999996</v>
      </c>
      <c r="S437" s="6">
        <v>0.01</v>
      </c>
      <c r="T437" s="14">
        <f t="shared" si="143"/>
        <v>44174.325899999996</v>
      </c>
      <c r="U437" s="14">
        <f t="shared" si="144"/>
        <v>1958.9146000000001</v>
      </c>
      <c r="V437" s="14">
        <f t="shared" si="145"/>
        <v>1833.2248999999999</v>
      </c>
      <c r="W437" s="14" t="str">
        <f t="shared" si="146"/>
        <v/>
      </c>
      <c r="X437" s="4">
        <v>62896.19</v>
      </c>
      <c r="Y437" s="4">
        <v>174079.04</v>
      </c>
      <c r="Z437" s="4"/>
      <c r="AA437" s="14">
        <f t="shared" si="147"/>
        <v>284941.69540000003</v>
      </c>
      <c r="AB437" s="4">
        <v>412886.0119000001</v>
      </c>
      <c r="AC437" s="4">
        <v>4417432.59</v>
      </c>
      <c r="AD437" s="14">
        <f t="shared" si="148"/>
        <v>195891.46</v>
      </c>
      <c r="AE437" s="14">
        <f t="shared" si="149"/>
        <v>183322.49</v>
      </c>
      <c r="AF437" s="14" t="str">
        <f t="shared" si="150"/>
        <v/>
      </c>
      <c r="AG437" s="15">
        <f t="shared" si="151"/>
        <v>4796646.54</v>
      </c>
      <c r="AH437" s="4">
        <v>3769215.5</v>
      </c>
      <c r="AI437" s="17">
        <f t="shared" si="152"/>
        <v>1027431.04</v>
      </c>
      <c r="AJ437" s="7">
        <f t="shared" si="135"/>
        <v>3.1904176252561722</v>
      </c>
      <c r="AK437" s="7">
        <f t="shared" si="136"/>
        <v>1.2540244655183603</v>
      </c>
      <c r="AL437" s="7">
        <f t="shared" si="137"/>
        <v>4.9189870828708511</v>
      </c>
      <c r="AM437" s="7" t="str">
        <f t="shared" si="138"/>
        <v/>
      </c>
      <c r="AN437" s="4">
        <v>77936.477888568203</v>
      </c>
      <c r="AO437" s="4">
        <v>16996.419999999998</v>
      </c>
      <c r="AP437" s="14">
        <f t="shared" si="153"/>
        <v>3864148.3978885682</v>
      </c>
      <c r="AQ437" s="14">
        <f t="shared" si="154"/>
        <v>3769215.5</v>
      </c>
      <c r="AR437" s="8">
        <v>112041.27</v>
      </c>
      <c r="AS437" s="20">
        <v>33.641314000000001</v>
      </c>
      <c r="AT437" s="8">
        <v>40549550.852555119</v>
      </c>
      <c r="AU437" s="8">
        <v>26548.210800000001</v>
      </c>
      <c r="AV437" s="8">
        <v>3523.7199000000001</v>
      </c>
      <c r="AW437" s="8">
        <v>140333</v>
      </c>
      <c r="AX437" s="9">
        <v>435.66696884388102</v>
      </c>
      <c r="AY437" s="6">
        <f t="shared" si="139"/>
        <v>2.2241982144559587E-2</v>
      </c>
      <c r="AZ437" s="8">
        <v>417440809.60519999</v>
      </c>
      <c r="BA437" s="10">
        <v>60480066</v>
      </c>
      <c r="BB437" s="11">
        <v>40549550.852555119</v>
      </c>
      <c r="BC437" s="10">
        <v>2971324</v>
      </c>
      <c r="BD437" s="10">
        <f>1000000000-999318670.9752+221715.0351</f>
        <v>903044.05989994295</v>
      </c>
      <c r="BE437" s="12">
        <f t="shared" si="140"/>
        <v>477655205.48234493</v>
      </c>
      <c r="BF437" s="13">
        <v>234.98815500000001</v>
      </c>
      <c r="BG437" s="13">
        <f t="shared" si="141"/>
        <v>242.66705048234491</v>
      </c>
      <c r="BH437" s="14">
        <f>BE437*32.69</f>
        <v>15614548667.217855</v>
      </c>
    </row>
    <row r="438" spans="1:60" x14ac:dyDescent="0.25">
      <c r="A438" s="3">
        <v>46060</v>
      </c>
      <c r="B438" s="4">
        <v>6254220928</v>
      </c>
      <c r="C438" s="4">
        <v>153024120.03999999</v>
      </c>
      <c r="D438" s="4">
        <v>212027199</v>
      </c>
      <c r="E438" s="4"/>
      <c r="F438" s="17">
        <v>37167922.200853243</v>
      </c>
      <c r="G438" s="17">
        <v>33649196.315461963</v>
      </c>
      <c r="H438" s="17">
        <v>1009165.170297754</v>
      </c>
      <c r="I438" s="17">
        <v>51788519.235610247</v>
      </c>
      <c r="J438" s="17">
        <v>1453435.0897028779</v>
      </c>
      <c r="K438" s="17">
        <v>27955882.028073899</v>
      </c>
      <c r="L438" s="14">
        <f t="shared" si="134"/>
        <v>153024120.03999999</v>
      </c>
      <c r="M438" s="21">
        <v>0.99163239429230399</v>
      </c>
      <c r="N438" s="4">
        <v>1913131.08</v>
      </c>
      <c r="O438" s="4">
        <v>56722.02</v>
      </c>
      <c r="P438" s="4">
        <v>72345.39</v>
      </c>
      <c r="Q438" s="4"/>
      <c r="R438" s="14">
        <f t="shared" si="142"/>
        <v>2042198.49</v>
      </c>
      <c r="S438" s="6">
        <v>0.01</v>
      </c>
      <c r="T438" s="14">
        <f t="shared" si="143"/>
        <v>19131.310800000003</v>
      </c>
      <c r="U438" s="14">
        <f t="shared" si="144"/>
        <v>330.83259999999996</v>
      </c>
      <c r="V438" s="14">
        <f t="shared" si="145"/>
        <v>542.68630000000007</v>
      </c>
      <c r="W438" s="14" t="str">
        <f t="shared" si="146"/>
        <v/>
      </c>
      <c r="X438" s="4">
        <v>18076.759999999998</v>
      </c>
      <c r="Y438" s="4">
        <v>23638.76</v>
      </c>
      <c r="Z438" s="4"/>
      <c r="AA438" s="14">
        <f t="shared" si="147"/>
        <v>61720.349700000006</v>
      </c>
      <c r="AB438" s="4">
        <v>196440.91880000001</v>
      </c>
      <c r="AC438" s="4">
        <v>1913131.08</v>
      </c>
      <c r="AD438" s="14">
        <f t="shared" si="148"/>
        <v>33083.259999999995</v>
      </c>
      <c r="AE438" s="14">
        <f t="shared" si="149"/>
        <v>54268.630000000005</v>
      </c>
      <c r="AF438" s="14" t="str">
        <f t="shared" si="150"/>
        <v/>
      </c>
      <c r="AG438" s="15">
        <f t="shared" si="151"/>
        <v>2000482.9700000002</v>
      </c>
      <c r="AH438" s="4">
        <v>1633492.24</v>
      </c>
      <c r="AI438" s="17">
        <f t="shared" si="152"/>
        <v>366990.73000000021</v>
      </c>
      <c r="AJ438" s="7">
        <f t="shared" si="135"/>
        <v>3.058943874903679</v>
      </c>
      <c r="AK438" s="7">
        <f t="shared" si="136"/>
        <v>3.7067372114391546</v>
      </c>
      <c r="AL438" s="7">
        <f t="shared" si="137"/>
        <v>3.4120806359376563</v>
      </c>
      <c r="AM438" s="7" t="str">
        <f t="shared" si="138"/>
        <v/>
      </c>
      <c r="AN438" s="4">
        <v>32618.66486459849</v>
      </c>
      <c r="AO438" s="4">
        <v>0</v>
      </c>
      <c r="AP438" s="14">
        <f t="shared" si="153"/>
        <v>1666110.9048645985</v>
      </c>
      <c r="AQ438" s="14">
        <f t="shared" si="154"/>
        <v>1633492.24</v>
      </c>
      <c r="AR438" s="8">
        <v>50422.63</v>
      </c>
      <c r="AS438" s="20">
        <v>32.396014000000001</v>
      </c>
      <c r="AT438" s="8">
        <v>40599246.332555123</v>
      </c>
      <c r="AU438" s="8">
        <v>26532.9696</v>
      </c>
      <c r="AV438" s="8">
        <v>3341.9097999999999</v>
      </c>
      <c r="AW438" s="8"/>
      <c r="AX438" s="9">
        <v>436.78634292368298</v>
      </c>
      <c r="AY438" s="6">
        <f t="shared" si="139"/>
        <v>2.2172245219883445E-2</v>
      </c>
      <c r="AZ438" s="8">
        <v>417414276.63559997</v>
      </c>
      <c r="BA438" s="10">
        <v>60480066</v>
      </c>
      <c r="BB438" s="11">
        <v>40599246.332555123</v>
      </c>
      <c r="BC438" s="10">
        <v>2971324</v>
      </c>
      <c r="BD438" s="10">
        <f>1000000000-999315329.0654+222729.3286</f>
        <v>907400.26319999562</v>
      </c>
      <c r="BE438" s="12">
        <f t="shared" si="140"/>
        <v>477627686.76864493</v>
      </c>
      <c r="BF438" s="13">
        <v>234.98815500000001</v>
      </c>
      <c r="BG438" s="13">
        <f t="shared" si="141"/>
        <v>242.63953176864493</v>
      </c>
      <c r="BH438" s="14">
        <f>BE438*32.16</f>
        <v>15360506406.47962</v>
      </c>
    </row>
    <row r="439" spans="1:60" x14ac:dyDescent="0.25">
      <c r="A439" s="3">
        <v>46061</v>
      </c>
      <c r="B439" s="4">
        <v>3628769657</v>
      </c>
      <c r="C439" s="4">
        <v>277097761.70999998</v>
      </c>
      <c r="D439" s="4">
        <v>125754490</v>
      </c>
      <c r="E439" s="4"/>
      <c r="F439" s="17">
        <v>164451504.18008691</v>
      </c>
      <c r="G439" s="17">
        <v>20191064.406443842</v>
      </c>
      <c r="H439" s="17">
        <v>4162231.502801198</v>
      </c>
      <c r="I439" s="17">
        <v>66322434.965537921</v>
      </c>
      <c r="J439" s="17">
        <v>1224587.1469158421</v>
      </c>
      <c r="K439" s="17">
        <v>20745939.50821431</v>
      </c>
      <c r="L439" s="14">
        <f t="shared" si="134"/>
        <v>277097761.71000004</v>
      </c>
      <c r="M439" s="21">
        <v>1.0858182677324231</v>
      </c>
      <c r="N439" s="4">
        <v>1187273.76</v>
      </c>
      <c r="O439" s="4">
        <v>84852.56</v>
      </c>
      <c r="P439" s="4">
        <v>47844.92</v>
      </c>
      <c r="Q439" s="4"/>
      <c r="R439" s="14">
        <f t="shared" si="142"/>
        <v>1319971.24</v>
      </c>
      <c r="S439" s="6">
        <v>0.01</v>
      </c>
      <c r="T439" s="14">
        <f t="shared" si="143"/>
        <v>11872.7376</v>
      </c>
      <c r="U439" s="14">
        <f t="shared" si="144"/>
        <v>454.24799999999999</v>
      </c>
      <c r="V439" s="14">
        <f t="shared" si="145"/>
        <v>378.41580000000005</v>
      </c>
      <c r="W439" s="14" t="str">
        <f t="shared" si="146"/>
        <v/>
      </c>
      <c r="X439" s="4">
        <v>10003.34</v>
      </c>
      <c r="Y439" s="4">
        <v>39427.760000000002</v>
      </c>
      <c r="Z439" s="4"/>
      <c r="AA439" s="14">
        <f t="shared" si="147"/>
        <v>62136.501400000001</v>
      </c>
      <c r="AB439" s="4">
        <v>115237.5721</v>
      </c>
      <c r="AC439" s="4">
        <v>1187273.76</v>
      </c>
      <c r="AD439" s="14">
        <f t="shared" si="148"/>
        <v>45424.799999999996</v>
      </c>
      <c r="AE439" s="14">
        <f t="shared" si="149"/>
        <v>37841.58</v>
      </c>
      <c r="AF439" s="14" t="str">
        <f t="shared" si="150"/>
        <v/>
      </c>
      <c r="AG439" s="15">
        <f t="shared" si="151"/>
        <v>1270540.1400000001</v>
      </c>
      <c r="AH439" s="4">
        <v>1086013.17</v>
      </c>
      <c r="AI439" s="17">
        <f t="shared" si="152"/>
        <v>184526.9700000002</v>
      </c>
      <c r="AJ439" s="7">
        <f t="shared" si="135"/>
        <v>3.2718355592224357</v>
      </c>
      <c r="AK439" s="7">
        <f t="shared" si="136"/>
        <v>3.0621885747602491</v>
      </c>
      <c r="AL439" s="7">
        <f t="shared" si="137"/>
        <v>3.8046291627440101</v>
      </c>
      <c r="AM439" s="7" t="str">
        <f t="shared" si="138"/>
        <v/>
      </c>
      <c r="AN439" s="4">
        <v>19316.06384805416</v>
      </c>
      <c r="AO439" s="4">
        <v>16349.03</v>
      </c>
      <c r="AP439" s="14">
        <f t="shared" si="153"/>
        <v>1121678.2638480542</v>
      </c>
      <c r="AQ439" s="14">
        <f t="shared" si="154"/>
        <v>1086013.17</v>
      </c>
      <c r="AR439" s="8">
        <v>34080.589999999997</v>
      </c>
      <c r="AS439" s="20">
        <v>31.866032000000001</v>
      </c>
      <c r="AT439" s="8">
        <v>40632889.542555124</v>
      </c>
      <c r="AU439" s="8">
        <v>26560.876799999998</v>
      </c>
      <c r="AV439" s="8">
        <v>360.21969999999999</v>
      </c>
      <c r="AW439" s="8"/>
      <c r="AX439" s="9">
        <v>436.44958471348929</v>
      </c>
      <c r="AY439" s="6">
        <f t="shared" si="139"/>
        <v>2.2212691617897112E-2</v>
      </c>
      <c r="AZ439" s="8">
        <v>417387715.75880003</v>
      </c>
      <c r="BA439" s="10">
        <v>60480066</v>
      </c>
      <c r="BB439" s="11">
        <v>40632889.542555124</v>
      </c>
      <c r="BC439" s="10">
        <v>2971324</v>
      </c>
      <c r="BD439" s="10">
        <f>1000000000-999314968.8457+223347.1856</f>
        <v>908378.33989997441</v>
      </c>
      <c r="BE439" s="12">
        <f t="shared" si="140"/>
        <v>477619626.35874492</v>
      </c>
      <c r="BF439" s="13">
        <v>234.98815500000001</v>
      </c>
      <c r="BG439" s="13">
        <f t="shared" si="141"/>
        <v>242.63147135874493</v>
      </c>
      <c r="BH439" s="14">
        <f>BE439*31.24</f>
        <v>14920837127.447191</v>
      </c>
    </row>
    <row r="440" spans="1:60" x14ac:dyDescent="0.25">
      <c r="A440" s="3">
        <v>46062</v>
      </c>
      <c r="B440" s="4">
        <v>5335798683</v>
      </c>
      <c r="C440" s="4">
        <v>1366526996.25</v>
      </c>
      <c r="D440" s="4">
        <v>164593650</v>
      </c>
      <c r="E440" s="4"/>
      <c r="F440" s="17">
        <v>726487906.08814967</v>
      </c>
      <c r="G440" s="17">
        <v>23990543.413813021</v>
      </c>
      <c r="H440" s="17">
        <v>6223765.884270614</v>
      </c>
      <c r="I440" s="17">
        <v>349769210.05023932</v>
      </c>
      <c r="J440" s="17">
        <v>145720.04102048121</v>
      </c>
      <c r="K440" s="17">
        <v>259909850.77250701</v>
      </c>
      <c r="L440" s="14">
        <f t="shared" si="134"/>
        <v>1366526996.25</v>
      </c>
      <c r="M440" s="21">
        <v>0.99805662710962217</v>
      </c>
      <c r="N440" s="4">
        <v>1726848.95</v>
      </c>
      <c r="O440" s="4">
        <v>190312.21</v>
      </c>
      <c r="P440" s="4">
        <v>70656.05</v>
      </c>
      <c r="Q440" s="4"/>
      <c r="R440" s="14">
        <f t="shared" si="142"/>
        <v>1987817.21</v>
      </c>
      <c r="S440" s="6">
        <v>0.01</v>
      </c>
      <c r="T440" s="14">
        <f t="shared" si="143"/>
        <v>17268.4895</v>
      </c>
      <c r="U440" s="14">
        <f t="shared" si="144"/>
        <v>986.4876999999999</v>
      </c>
      <c r="V440" s="14">
        <f t="shared" si="145"/>
        <v>569.04960000000005</v>
      </c>
      <c r="W440" s="14" t="str">
        <f t="shared" si="146"/>
        <v/>
      </c>
      <c r="X440" s="4">
        <v>13751.09</v>
      </c>
      <c r="Y440" s="4">
        <v>91663.44</v>
      </c>
      <c r="Z440" s="4"/>
      <c r="AA440" s="14">
        <f t="shared" si="147"/>
        <v>124238.55680000001</v>
      </c>
      <c r="AB440" s="4">
        <v>151094.5287</v>
      </c>
      <c r="AC440" s="4">
        <v>1726848.95</v>
      </c>
      <c r="AD440" s="14">
        <f t="shared" si="148"/>
        <v>98648.76999999999</v>
      </c>
      <c r="AE440" s="14">
        <f t="shared" si="149"/>
        <v>56904.960000000006</v>
      </c>
      <c r="AF440" s="14" t="str">
        <f t="shared" si="150"/>
        <v/>
      </c>
      <c r="AG440" s="15">
        <f t="shared" si="151"/>
        <v>1882402.68</v>
      </c>
      <c r="AH440" s="4">
        <v>1554684.95</v>
      </c>
      <c r="AI440" s="17">
        <f t="shared" si="152"/>
        <v>327717.73</v>
      </c>
      <c r="AJ440" s="7">
        <f t="shared" si="135"/>
        <v>3.2363457705062744</v>
      </c>
      <c r="AK440" s="7">
        <f t="shared" si="136"/>
        <v>1.3926706938264044</v>
      </c>
      <c r="AL440" s="7">
        <f t="shared" si="137"/>
        <v>4.2927567375776654</v>
      </c>
      <c r="AM440" s="7" t="str">
        <f t="shared" si="138"/>
        <v/>
      </c>
      <c r="AN440" s="4">
        <v>19013.556659482208</v>
      </c>
      <c r="AO440" s="4">
        <v>57664.22</v>
      </c>
      <c r="AP440" s="14">
        <f t="shared" si="153"/>
        <v>1631362.7266594821</v>
      </c>
      <c r="AQ440" s="14">
        <f t="shared" si="154"/>
        <v>1554684.95</v>
      </c>
      <c r="AR440" s="8">
        <v>48777.95</v>
      </c>
      <c r="AS440" s="20">
        <v>31.872699999999998</v>
      </c>
      <c r="AT440" s="8">
        <v>40681692.852555119</v>
      </c>
      <c r="AU440" s="8">
        <v>26556.769400000001</v>
      </c>
      <c r="AV440" s="8">
        <v>2523.6788000000001</v>
      </c>
      <c r="AW440" s="8"/>
      <c r="AX440" s="9">
        <v>436.47807873761832</v>
      </c>
      <c r="AY440" s="6">
        <f t="shared" si="139"/>
        <v>2.2207806767832943E-2</v>
      </c>
      <c r="AZ440" s="8">
        <v>417361158.98940003</v>
      </c>
      <c r="BA440" s="10">
        <v>60480066</v>
      </c>
      <c r="BB440" s="11">
        <v>40681692.852555119</v>
      </c>
      <c r="BC440" s="10">
        <v>2971324</v>
      </c>
      <c r="BD440" s="10">
        <f>1000000000-999312445.1669+223933.1557</f>
        <v>911487.98879996128</v>
      </c>
      <c r="BE440" s="12">
        <f t="shared" si="140"/>
        <v>477594270.16924489</v>
      </c>
      <c r="BF440" s="13">
        <v>234.98815500000001</v>
      </c>
      <c r="BG440" s="13">
        <f t="shared" si="141"/>
        <v>242.6061151692449</v>
      </c>
      <c r="BH440" s="14">
        <f>BE440*32.46</f>
        <v>15502710009.693689</v>
      </c>
    </row>
    <row r="441" spans="1:60" x14ac:dyDescent="0.25">
      <c r="A441" s="3">
        <v>46063</v>
      </c>
      <c r="B441" s="4">
        <v>4856517468</v>
      </c>
      <c r="C441" s="4">
        <v>1114215323.1099999</v>
      </c>
      <c r="D441" s="4">
        <v>167947519</v>
      </c>
      <c r="E441" s="4"/>
      <c r="F441" s="17">
        <v>487000346.53191477</v>
      </c>
      <c r="G441" s="17">
        <v>19322132.870003179</v>
      </c>
      <c r="H441" s="17">
        <v>3637780.3978941748</v>
      </c>
      <c r="I441" s="17">
        <v>346315634.93846518</v>
      </c>
      <c r="J441" s="17">
        <v>600854.42930211907</v>
      </c>
      <c r="K441" s="17">
        <v>257338573.94242021</v>
      </c>
      <c r="L441" s="14">
        <f t="shared" si="134"/>
        <v>1114215323.1099997</v>
      </c>
      <c r="M441" s="21">
        <v>0.96823925016650103</v>
      </c>
      <c r="N441" s="4">
        <v>1471500.99</v>
      </c>
      <c r="O441" s="4">
        <v>146729.64000000001</v>
      </c>
      <c r="P441" s="4">
        <v>65928.02</v>
      </c>
      <c r="Q441" s="4"/>
      <c r="R441" s="14">
        <f t="shared" si="142"/>
        <v>1684158.65</v>
      </c>
      <c r="S441" s="6">
        <v>0.01</v>
      </c>
      <c r="T441" s="14">
        <f t="shared" si="143"/>
        <v>14715.009900000001</v>
      </c>
      <c r="U441" s="14">
        <f t="shared" si="144"/>
        <v>765.30840000000012</v>
      </c>
      <c r="V441" s="14">
        <f t="shared" si="145"/>
        <v>502.32510000000002</v>
      </c>
      <c r="W441" s="14" t="str">
        <f t="shared" si="146"/>
        <v/>
      </c>
      <c r="X441" s="4">
        <v>15695.51</v>
      </c>
      <c r="Y441" s="4">
        <v>70198.8</v>
      </c>
      <c r="Z441" s="4"/>
      <c r="AA441" s="14">
        <f t="shared" si="147"/>
        <v>101876.9534</v>
      </c>
      <c r="AB441" s="4">
        <v>126526.8714</v>
      </c>
      <c r="AC441" s="4">
        <v>1471500.99</v>
      </c>
      <c r="AD441" s="14">
        <f t="shared" si="148"/>
        <v>76530.840000000011</v>
      </c>
      <c r="AE441" s="14">
        <f t="shared" si="149"/>
        <v>50232.51</v>
      </c>
      <c r="AF441" s="14" t="str">
        <f t="shared" si="150"/>
        <v/>
      </c>
      <c r="AG441" s="15">
        <f t="shared" si="151"/>
        <v>1598264.34</v>
      </c>
      <c r="AH441" s="4">
        <v>1355611.75</v>
      </c>
      <c r="AI441" s="17">
        <f t="shared" si="152"/>
        <v>242652.59000000008</v>
      </c>
      <c r="AJ441" s="7">
        <f t="shared" si="135"/>
        <v>3.0299509879164304</v>
      </c>
      <c r="AK441" s="7">
        <f t="shared" si="136"/>
        <v>1.3168876513962129</v>
      </c>
      <c r="AL441" s="7">
        <f t="shared" si="137"/>
        <v>3.9255131836749557</v>
      </c>
      <c r="AM441" s="7" t="str">
        <f t="shared" si="138"/>
        <v/>
      </c>
      <c r="AN441" s="4">
        <v>15254.10245373004</v>
      </c>
      <c r="AO441" s="4">
        <v>0</v>
      </c>
      <c r="AP441" s="14">
        <f t="shared" si="153"/>
        <v>1370865.8524537301</v>
      </c>
      <c r="AQ441" s="14">
        <f t="shared" si="154"/>
        <v>1355611.75</v>
      </c>
      <c r="AR441" s="8">
        <v>45261.62</v>
      </c>
      <c r="AS441" s="20">
        <v>29.950579999999999</v>
      </c>
      <c r="AT441" s="8">
        <v>40726662.002555117</v>
      </c>
      <c r="AU441" s="8">
        <v>26556.041799999999</v>
      </c>
      <c r="AV441" s="8">
        <v>3101.5672</v>
      </c>
      <c r="AW441" s="8"/>
      <c r="AX441" s="9">
        <v>436.17167253110881</v>
      </c>
      <c r="AY441" s="6">
        <f t="shared" si="139"/>
        <v>2.2222798653456055E-2</v>
      </c>
      <c r="AZ441" s="8">
        <v>417334602.94760001</v>
      </c>
      <c r="BA441" s="10">
        <v>60480066</v>
      </c>
      <c r="BB441" s="11">
        <v>40726662.002555117</v>
      </c>
      <c r="BC441" s="10">
        <v>2971324</v>
      </c>
      <c r="BD441" s="10">
        <f>1000000000-999309343.5997+224424.7477</f>
        <v>915081.14800002589</v>
      </c>
      <c r="BE441" s="12">
        <f t="shared" si="140"/>
        <v>477572263.90184486</v>
      </c>
      <c r="BF441" s="13">
        <v>234.98815500000001</v>
      </c>
      <c r="BG441" s="13">
        <f t="shared" si="141"/>
        <v>242.58410890184484</v>
      </c>
      <c r="BH441" s="14">
        <f>BE441*31.04</f>
        <v>14823843071.513264</v>
      </c>
    </row>
    <row r="442" spans="1:60" x14ac:dyDescent="0.25">
      <c r="A442" s="3">
        <v>46064</v>
      </c>
      <c r="B442" s="4">
        <v>6050903590</v>
      </c>
      <c r="C442" s="4">
        <v>1405444644.9300001</v>
      </c>
      <c r="D442" s="4">
        <v>175609725</v>
      </c>
      <c r="E442" s="4"/>
      <c r="F442" s="17">
        <v>613174020.41464305</v>
      </c>
      <c r="G442" s="17">
        <v>42292126.612581737</v>
      </c>
      <c r="H442" s="17">
        <v>7174797.1898323055</v>
      </c>
      <c r="I442" s="17">
        <v>479316263.37889123</v>
      </c>
      <c r="J442" s="17">
        <v>793220.32532029867</v>
      </c>
      <c r="K442" s="17">
        <v>262694217.0087314</v>
      </c>
      <c r="L442" s="14">
        <f t="shared" si="134"/>
        <v>1405444644.9299998</v>
      </c>
      <c r="M442" s="21">
        <v>1.0187584130048759</v>
      </c>
      <c r="N442" s="4">
        <v>1920305.07</v>
      </c>
      <c r="O442" s="4">
        <v>164014.07999999999</v>
      </c>
      <c r="P442" s="4">
        <v>75984.47</v>
      </c>
      <c r="Q442" s="4"/>
      <c r="R442" s="14">
        <f t="shared" si="142"/>
        <v>2160303.62</v>
      </c>
      <c r="S442" s="6">
        <v>0.01</v>
      </c>
      <c r="T442" s="14">
        <f t="shared" si="143"/>
        <v>19203.0507</v>
      </c>
      <c r="U442" s="14">
        <f t="shared" si="144"/>
        <v>870.11069999999995</v>
      </c>
      <c r="V442" s="14">
        <f t="shared" si="145"/>
        <v>612.58360000000005</v>
      </c>
      <c r="W442" s="14" t="str">
        <f t="shared" si="146"/>
        <v/>
      </c>
      <c r="X442" s="4">
        <v>14726.11</v>
      </c>
      <c r="Y442" s="4">
        <v>77003.009999999995</v>
      </c>
      <c r="Z442" s="4"/>
      <c r="AA442" s="14">
        <f t="shared" si="147"/>
        <v>112414.86499999999</v>
      </c>
      <c r="AB442" s="4">
        <v>162302.02220000001</v>
      </c>
      <c r="AC442" s="4">
        <v>1920305.07</v>
      </c>
      <c r="AD442" s="14">
        <f t="shared" si="148"/>
        <v>87011.069999999992</v>
      </c>
      <c r="AE442" s="14">
        <f t="shared" si="149"/>
        <v>61258.36</v>
      </c>
      <c r="AF442" s="14" t="str">
        <f t="shared" si="150"/>
        <v/>
      </c>
      <c r="AG442" s="15">
        <f t="shared" si="151"/>
        <v>2068574.5000000002</v>
      </c>
      <c r="AH442" s="4">
        <v>1718110.73</v>
      </c>
      <c r="AI442" s="17">
        <f t="shared" si="152"/>
        <v>350463.77000000025</v>
      </c>
      <c r="AJ442" s="7">
        <f t="shared" si="135"/>
        <v>3.1735839803720953</v>
      </c>
      <c r="AK442" s="7">
        <f t="shared" si="136"/>
        <v>1.1669906786557853</v>
      </c>
      <c r="AL442" s="7">
        <f t="shared" si="137"/>
        <v>4.3268941967764025</v>
      </c>
      <c r="AM442" s="7" t="str">
        <f t="shared" si="138"/>
        <v/>
      </c>
      <c r="AN442" s="4">
        <v>15193.78369267067</v>
      </c>
      <c r="AO442" s="4">
        <v>0</v>
      </c>
      <c r="AP442" s="14">
        <f t="shared" si="153"/>
        <v>1733304.5136926707</v>
      </c>
      <c r="AQ442" s="14">
        <f t="shared" si="154"/>
        <v>1718110.73</v>
      </c>
      <c r="AR442" s="8">
        <v>59026.79</v>
      </c>
      <c r="AS442" s="20">
        <v>29.107303999999999</v>
      </c>
      <c r="AT442" s="8">
        <v>40785342.70255512</v>
      </c>
      <c r="AU442" s="8">
        <v>26553.4689</v>
      </c>
      <c r="AV442" s="8">
        <v>1030.2547999999999</v>
      </c>
      <c r="AW442" s="8"/>
      <c r="AX442" s="9">
        <v>436.39742285523619</v>
      </c>
      <c r="AY442" s="6">
        <f t="shared" si="139"/>
        <v>2.2209150744034255E-2</v>
      </c>
      <c r="AZ442" s="8">
        <v>417308049.47869998</v>
      </c>
      <c r="BA442" s="10">
        <v>60480066</v>
      </c>
      <c r="BB442" s="11">
        <v>40785342.70255512</v>
      </c>
      <c r="BC442" s="10">
        <v>2971324</v>
      </c>
      <c r="BD442" s="10">
        <f>1000000000-999308313.3449+224947.212</f>
        <v>916633.86709998804</v>
      </c>
      <c r="BE442" s="12">
        <f t="shared" si="140"/>
        <v>477538583.95164496</v>
      </c>
      <c r="BF442" s="13">
        <v>234.98815500000001</v>
      </c>
      <c r="BG442" s="13">
        <f t="shared" si="141"/>
        <v>242.55042895164496</v>
      </c>
      <c r="BH442" s="14">
        <f>BE442*29.07</f>
        <v>13882046635.474319</v>
      </c>
    </row>
    <row r="443" spans="1:60" x14ac:dyDescent="0.25">
      <c r="A443" s="3">
        <v>46065</v>
      </c>
      <c r="B443" s="4">
        <v>4969823442</v>
      </c>
      <c r="C443" s="4">
        <v>1806185082.49</v>
      </c>
      <c r="D443" s="4">
        <v>150158667</v>
      </c>
      <c r="E443" s="4"/>
      <c r="F443" s="17">
        <v>937726675.10377479</v>
      </c>
      <c r="G443" s="17">
        <v>41050946.422671497</v>
      </c>
      <c r="H443" s="17">
        <v>5003591.0755016897</v>
      </c>
      <c r="I443" s="17">
        <v>573831002.6537298</v>
      </c>
      <c r="J443" s="17">
        <v>335274.40226598672</v>
      </c>
      <c r="K443" s="17">
        <v>248237592.83205631</v>
      </c>
      <c r="L443" s="14">
        <f t="shared" si="134"/>
        <v>1806185082.49</v>
      </c>
      <c r="M443" s="21">
        <v>0.99383236281261633</v>
      </c>
      <c r="N443" s="4">
        <v>1587741.1</v>
      </c>
      <c r="O443" s="4">
        <v>191358.17</v>
      </c>
      <c r="P443" s="4">
        <v>65411.210000000006</v>
      </c>
      <c r="Q443" s="4"/>
      <c r="R443" s="14">
        <f t="shared" si="142"/>
        <v>1844510.48</v>
      </c>
      <c r="S443" s="6">
        <v>0.01</v>
      </c>
      <c r="T443" s="14">
        <f t="shared" si="143"/>
        <v>15877.411000000002</v>
      </c>
      <c r="U443" s="14">
        <f t="shared" si="144"/>
        <v>1009.4315000000001</v>
      </c>
      <c r="V443" s="14">
        <f t="shared" si="145"/>
        <v>530.74300000000005</v>
      </c>
      <c r="W443" s="14" t="str">
        <f t="shared" si="146"/>
        <v/>
      </c>
      <c r="X443" s="4">
        <v>12336.91</v>
      </c>
      <c r="Y443" s="4">
        <v>90415.02</v>
      </c>
      <c r="Z443" s="4"/>
      <c r="AA443" s="14">
        <f t="shared" si="147"/>
        <v>120169.51550000001</v>
      </c>
      <c r="AB443" s="4">
        <v>120819.61689999999</v>
      </c>
      <c r="AC443" s="4">
        <v>1587741.1</v>
      </c>
      <c r="AD443" s="14">
        <f t="shared" si="148"/>
        <v>100943.15000000001</v>
      </c>
      <c r="AE443" s="14">
        <f t="shared" si="149"/>
        <v>53074.3</v>
      </c>
      <c r="AF443" s="14" t="str">
        <f t="shared" si="150"/>
        <v/>
      </c>
      <c r="AG443" s="15">
        <f t="shared" si="151"/>
        <v>1741758.55</v>
      </c>
      <c r="AH443" s="4">
        <v>1356448.79</v>
      </c>
      <c r="AI443" s="17">
        <f t="shared" si="152"/>
        <v>385309.76</v>
      </c>
      <c r="AJ443" s="7">
        <f t="shared" si="135"/>
        <v>3.1947635937767784</v>
      </c>
      <c r="AK443" s="7">
        <f t="shared" si="136"/>
        <v>1.0594604719921301</v>
      </c>
      <c r="AL443" s="7">
        <f t="shared" si="137"/>
        <v>4.3561394960971516</v>
      </c>
      <c r="AM443" s="7" t="str">
        <f t="shared" si="138"/>
        <v/>
      </c>
      <c r="AN443" s="4">
        <v>15409.7918693184</v>
      </c>
      <c r="AO443" s="4">
        <v>0</v>
      </c>
      <c r="AP443" s="14">
        <f t="shared" si="153"/>
        <v>1371858.5818693184</v>
      </c>
      <c r="AQ443" s="14">
        <f t="shared" si="154"/>
        <v>1356448.79</v>
      </c>
      <c r="AR443" s="8">
        <v>44632.74</v>
      </c>
      <c r="AS443" s="20">
        <v>30.39134</v>
      </c>
      <c r="AT443" s="8">
        <v>40833357.372555122</v>
      </c>
      <c r="AU443" s="8">
        <v>26549.682400000002</v>
      </c>
      <c r="AV443" s="8">
        <v>1199.9727</v>
      </c>
      <c r="AW443" s="8"/>
      <c r="AX443" s="9">
        <v>436.34721724952641</v>
      </c>
      <c r="AY443" s="6">
        <f t="shared" si="139"/>
        <v>2.2208538734551812E-2</v>
      </c>
      <c r="AZ443" s="8">
        <v>417281499.79619998</v>
      </c>
      <c r="BA443" s="10">
        <v>60480066</v>
      </c>
      <c r="BB443" s="11">
        <v>40833357.372555122</v>
      </c>
      <c r="BC443" s="10">
        <v>2971324</v>
      </c>
      <c r="BD443" s="10">
        <f>1000000000-999307113.3721+225465.7634</f>
        <v>918352.39130000444</v>
      </c>
      <c r="BE443" s="12">
        <f t="shared" si="140"/>
        <v>477515400.4399448</v>
      </c>
      <c r="BF443" s="13">
        <v>234.98815500000001</v>
      </c>
      <c r="BG443" s="13">
        <f t="shared" si="141"/>
        <v>242.52724543994481</v>
      </c>
      <c r="BH443" s="14">
        <f>BE443*29.72</f>
        <v>14191757701.075159</v>
      </c>
    </row>
    <row r="444" spans="1:60" x14ac:dyDescent="0.25">
      <c r="A444" s="3">
        <v>46066</v>
      </c>
      <c r="B444" s="4">
        <v>4189091606</v>
      </c>
      <c r="C444" s="4">
        <v>1449258186</v>
      </c>
      <c r="D444" s="4">
        <v>122657004</v>
      </c>
      <c r="E444" s="4"/>
      <c r="F444" s="17">
        <v>561822216.37415218</v>
      </c>
      <c r="G444" s="17">
        <v>30973888.914798111</v>
      </c>
      <c r="H444" s="17">
        <v>2373838.1844839519</v>
      </c>
      <c r="I444" s="17">
        <v>607082603.99472201</v>
      </c>
      <c r="J444" s="17">
        <v>109974.1693284561</v>
      </c>
      <c r="K444" s="17">
        <v>246895664.36251521</v>
      </c>
      <c r="L444" s="14">
        <f t="shared" si="134"/>
        <v>1449258186</v>
      </c>
      <c r="M444" s="21">
        <v>0.98203907359128539</v>
      </c>
      <c r="N444" s="4">
        <v>1338270.1000000001</v>
      </c>
      <c r="O444" s="4">
        <v>144782.76</v>
      </c>
      <c r="P444" s="4">
        <v>53146.47</v>
      </c>
      <c r="Q444" s="4"/>
      <c r="R444" s="14">
        <f t="shared" si="142"/>
        <v>1536199.33</v>
      </c>
      <c r="S444" s="6">
        <v>0.01</v>
      </c>
      <c r="T444" s="14">
        <f t="shared" si="143"/>
        <v>13382.701000000001</v>
      </c>
      <c r="U444" s="14">
        <f t="shared" si="144"/>
        <v>763.36110000000019</v>
      </c>
      <c r="V444" s="14">
        <f t="shared" si="145"/>
        <v>415.27289999999999</v>
      </c>
      <c r="W444" s="14" t="str">
        <f t="shared" si="146"/>
        <v/>
      </c>
      <c r="X444" s="4">
        <v>11619.18</v>
      </c>
      <c r="Y444" s="4">
        <v>68446.649999999994</v>
      </c>
      <c r="Z444" s="4"/>
      <c r="AA444" s="14">
        <f t="shared" si="147"/>
        <v>94627.164999999994</v>
      </c>
      <c r="AB444" s="4">
        <v>127769.3265</v>
      </c>
      <c r="AC444" s="4">
        <v>1338270.1000000001</v>
      </c>
      <c r="AD444" s="14">
        <f t="shared" si="148"/>
        <v>76336.110000000015</v>
      </c>
      <c r="AE444" s="14">
        <f t="shared" si="149"/>
        <v>41527.29</v>
      </c>
      <c r="AF444" s="14" t="str">
        <f t="shared" si="150"/>
        <v/>
      </c>
      <c r="AG444" s="15">
        <f t="shared" si="151"/>
        <v>1456133.5000000002</v>
      </c>
      <c r="AH444" s="4">
        <v>1281749.07</v>
      </c>
      <c r="AI444" s="17">
        <f t="shared" si="152"/>
        <v>174384.43000000017</v>
      </c>
      <c r="AJ444" s="7">
        <f t="shared" si="135"/>
        <v>3.1946546551601003</v>
      </c>
      <c r="AK444" s="7">
        <f t="shared" si="136"/>
        <v>0.99901288396103638</v>
      </c>
      <c r="AL444" s="7">
        <f t="shared" si="137"/>
        <v>4.332933975788289</v>
      </c>
      <c r="AM444" s="7" t="str">
        <f t="shared" si="138"/>
        <v/>
      </c>
      <c r="AN444" s="4">
        <v>16118.89265635431</v>
      </c>
      <c r="AO444" s="4">
        <v>0</v>
      </c>
      <c r="AP444" s="14">
        <f t="shared" si="153"/>
        <v>1297867.9626563543</v>
      </c>
      <c r="AQ444" s="14">
        <f t="shared" si="154"/>
        <v>1281749.07</v>
      </c>
      <c r="AR444" s="8">
        <v>41194.1</v>
      </c>
      <c r="AS444" s="20">
        <v>31.11487</v>
      </c>
      <c r="AT444" s="8">
        <v>40871803.472555123</v>
      </c>
      <c r="AU444" s="8">
        <v>26553.765800000001</v>
      </c>
      <c r="AV444" s="8">
        <v>1215.4387999999999</v>
      </c>
      <c r="AW444" s="8"/>
      <c r="AX444" s="9">
        <v>436.60269871188689</v>
      </c>
      <c r="AY444" s="6">
        <f t="shared" si="139"/>
        <v>2.2198956959255563E-2</v>
      </c>
      <c r="AZ444" s="8">
        <v>417254946.03039998</v>
      </c>
      <c r="BA444" s="10">
        <v>60480066</v>
      </c>
      <c r="BB444" s="11">
        <v>40871803.472555123</v>
      </c>
      <c r="BC444" s="10">
        <v>2971324</v>
      </c>
      <c r="BD444" s="10">
        <f>1000000000-999305897.9334+225989.3591</f>
        <v>920091.4256999651</v>
      </c>
      <c r="BE444" s="12">
        <f t="shared" si="140"/>
        <v>477501769.07134491</v>
      </c>
      <c r="BF444" s="13">
        <v>234.98815500000001</v>
      </c>
      <c r="BG444" s="13">
        <f t="shared" si="141"/>
        <v>242.51361407134493</v>
      </c>
      <c r="BH444" s="14">
        <f>BE444*30.79</f>
        <v>14702279469.706709</v>
      </c>
    </row>
    <row r="445" spans="1:60" x14ac:dyDescent="0.25">
      <c r="A445" s="3">
        <v>46067</v>
      </c>
      <c r="B445" s="4">
        <v>2567982405</v>
      </c>
      <c r="C445" s="4">
        <v>110589200.93000001</v>
      </c>
      <c r="D445" s="4">
        <v>61531042</v>
      </c>
      <c r="E445" s="4"/>
      <c r="F445" s="17">
        <v>17710423.95919469</v>
      </c>
      <c r="G445" s="17">
        <v>16610526.17874638</v>
      </c>
      <c r="H445" s="17">
        <v>599511.13976492686</v>
      </c>
      <c r="I445" s="17">
        <v>50669399.572090521</v>
      </c>
      <c r="J445" s="17">
        <v>75661.412748503557</v>
      </c>
      <c r="K445" s="17">
        <v>24923678.667454991</v>
      </c>
      <c r="L445" s="14">
        <f t="shared" si="134"/>
        <v>110589200.93000001</v>
      </c>
      <c r="M445" s="21">
        <v>0.96516592410586377</v>
      </c>
      <c r="N445" s="4">
        <v>916339.54</v>
      </c>
      <c r="O445" s="4">
        <v>30410.1</v>
      </c>
      <c r="P445" s="4">
        <v>30945.82</v>
      </c>
      <c r="Q445" s="4"/>
      <c r="R445" s="14">
        <f t="shared" si="142"/>
        <v>977695.46</v>
      </c>
      <c r="S445" s="6">
        <v>0.01</v>
      </c>
      <c r="T445" s="14">
        <f t="shared" si="143"/>
        <v>9163.3954000000012</v>
      </c>
      <c r="U445" s="14">
        <f t="shared" si="144"/>
        <v>180.47009999999997</v>
      </c>
      <c r="V445" s="14">
        <f t="shared" si="145"/>
        <v>244.26349999999999</v>
      </c>
      <c r="W445" s="14" t="str">
        <f t="shared" si="146"/>
        <v/>
      </c>
      <c r="X445" s="4">
        <v>6519.47</v>
      </c>
      <c r="Y445" s="4">
        <v>12363.09</v>
      </c>
      <c r="Z445" s="4"/>
      <c r="AA445" s="14">
        <f t="shared" si="147"/>
        <v>28470.689000000002</v>
      </c>
      <c r="AB445" s="4">
        <v>73156.229600000006</v>
      </c>
      <c r="AC445" s="4">
        <v>916339.54</v>
      </c>
      <c r="AD445" s="14">
        <f t="shared" si="148"/>
        <v>18047.009999999998</v>
      </c>
      <c r="AE445" s="14">
        <f t="shared" si="149"/>
        <v>24426.35</v>
      </c>
      <c r="AF445" s="14" t="str">
        <f t="shared" si="150"/>
        <v/>
      </c>
      <c r="AG445" s="15">
        <f t="shared" si="151"/>
        <v>958812.9</v>
      </c>
      <c r="AH445" s="4">
        <v>747336.21</v>
      </c>
      <c r="AI445" s="17">
        <f t="shared" si="152"/>
        <v>211476.69000000006</v>
      </c>
      <c r="AJ445" s="7">
        <f t="shared" si="135"/>
        <v>3.5683248382692874</v>
      </c>
      <c r="AK445" s="7">
        <f t="shared" si="136"/>
        <v>2.7498254571211498</v>
      </c>
      <c r="AL445" s="7">
        <f t="shared" si="137"/>
        <v>5.0293021203833996</v>
      </c>
      <c r="AM445" s="7" t="str">
        <f t="shared" si="138"/>
        <v/>
      </c>
      <c r="AN445" s="4">
        <v>10306.410862534391</v>
      </c>
      <c r="AO445" s="4">
        <v>0</v>
      </c>
      <c r="AP445" s="14">
        <f t="shared" si="153"/>
        <v>757642.62086253439</v>
      </c>
      <c r="AQ445" s="14">
        <f t="shared" si="154"/>
        <v>747336.21</v>
      </c>
      <c r="AR445" s="8">
        <v>23679.759999999998</v>
      </c>
      <c r="AS445" s="20">
        <v>31.560126</v>
      </c>
      <c r="AT445" s="8">
        <v>40895558.222555123</v>
      </c>
      <c r="AU445" s="8">
        <v>26554.775600000001</v>
      </c>
      <c r="AV445" s="8">
        <v>888.94650000000001</v>
      </c>
      <c r="AW445" s="8"/>
      <c r="AX445" s="9">
        <v>435.57567191800263</v>
      </c>
      <c r="AY445" s="6">
        <f t="shared" si="139"/>
        <v>2.2252145192867012E-2</v>
      </c>
      <c r="AZ445" s="8">
        <v>417228391.25480002</v>
      </c>
      <c r="BA445" s="10">
        <v>60480066</v>
      </c>
      <c r="BB445" s="11">
        <v>40895558.222555123</v>
      </c>
      <c r="BC445" s="10">
        <v>2971324</v>
      </c>
      <c r="BD445" s="10">
        <f>1000000000-999305008.9868+226316.3288</f>
        <v>921307.34200004465</v>
      </c>
      <c r="BE445" s="12">
        <f t="shared" si="140"/>
        <v>477503353.18064475</v>
      </c>
      <c r="BF445" s="13">
        <v>234.98815500000001</v>
      </c>
      <c r="BG445" s="13">
        <f t="shared" si="141"/>
        <v>242.51519818064475</v>
      </c>
      <c r="BH445" s="14">
        <f>BE445*31.53</f>
        <v>15055680725.78573</v>
      </c>
    </row>
    <row r="446" spans="1:60" x14ac:dyDescent="0.25">
      <c r="A446" s="3">
        <v>46068</v>
      </c>
      <c r="B446" s="4">
        <v>3385161912</v>
      </c>
      <c r="C446" s="4">
        <v>274330173.16000003</v>
      </c>
      <c r="D446" s="4">
        <v>69538789</v>
      </c>
      <c r="E446" s="4"/>
      <c r="F446" s="17">
        <v>114789963.7572702</v>
      </c>
      <c r="G446" s="17">
        <v>29162912.622413948</v>
      </c>
      <c r="H446" s="17">
        <v>1111752.4347017489</v>
      </c>
      <c r="I446" s="17">
        <v>95001922.362963319</v>
      </c>
      <c r="J446" s="17">
        <v>172054.09862926701</v>
      </c>
      <c r="K446" s="17">
        <v>34091567.88402161</v>
      </c>
      <c r="L446" s="14">
        <f t="shared" si="134"/>
        <v>274330173.16000009</v>
      </c>
      <c r="M446" s="21">
        <v>1.1077853530485049</v>
      </c>
      <c r="N446" s="4">
        <v>1165278.81</v>
      </c>
      <c r="O446" s="4">
        <v>50300.86</v>
      </c>
      <c r="P446" s="4">
        <v>31072.04</v>
      </c>
      <c r="Q446" s="4"/>
      <c r="R446" s="14">
        <f t="shared" si="142"/>
        <v>1246651.7100000002</v>
      </c>
      <c r="S446" s="6">
        <v>0.01</v>
      </c>
      <c r="T446" s="14">
        <f t="shared" si="143"/>
        <v>11652.788100000002</v>
      </c>
      <c r="U446" s="14">
        <f t="shared" si="144"/>
        <v>287.21690000000001</v>
      </c>
      <c r="V446" s="14">
        <f t="shared" si="145"/>
        <v>249.822</v>
      </c>
      <c r="W446" s="14" t="str">
        <f t="shared" si="146"/>
        <v/>
      </c>
      <c r="X446" s="4">
        <v>6089.84</v>
      </c>
      <c r="Y446" s="4">
        <v>21579.17</v>
      </c>
      <c r="Z446" s="4"/>
      <c r="AA446" s="14">
        <f t="shared" si="147"/>
        <v>39858.837</v>
      </c>
      <c r="AB446" s="4">
        <v>100314.1119</v>
      </c>
      <c r="AC446" s="4">
        <v>1165278.81</v>
      </c>
      <c r="AD446" s="14">
        <f t="shared" si="148"/>
        <v>28721.690000000002</v>
      </c>
      <c r="AE446" s="14">
        <f t="shared" si="149"/>
        <v>24982.2</v>
      </c>
      <c r="AF446" s="14" t="str">
        <f t="shared" si="150"/>
        <v/>
      </c>
      <c r="AG446" s="15">
        <f t="shared" si="151"/>
        <v>1218982.7</v>
      </c>
      <c r="AH446" s="4">
        <v>977878.9</v>
      </c>
      <c r="AI446" s="17">
        <f t="shared" si="152"/>
        <v>241103.79999999993</v>
      </c>
      <c r="AJ446" s="7">
        <f t="shared" si="135"/>
        <v>3.4423133672549722</v>
      </c>
      <c r="AK446" s="7">
        <f t="shared" si="136"/>
        <v>1.8335883151527259</v>
      </c>
      <c r="AL446" s="7">
        <f t="shared" si="137"/>
        <v>4.4683032947266312</v>
      </c>
      <c r="AM446" s="7" t="str">
        <f t="shared" si="138"/>
        <v/>
      </c>
      <c r="AN446" s="4">
        <v>11030.80301393154</v>
      </c>
      <c r="AO446" s="4">
        <v>20657.98</v>
      </c>
      <c r="AP446" s="14">
        <f t="shared" si="153"/>
        <v>1009567.6830139315</v>
      </c>
      <c r="AQ446" s="14">
        <f t="shared" si="154"/>
        <v>977878.9</v>
      </c>
      <c r="AR446" s="8">
        <v>31482</v>
      </c>
      <c r="AS446" s="20">
        <v>31.061523999999999</v>
      </c>
      <c r="AT446" s="8">
        <v>40926983.472555123</v>
      </c>
      <c r="AU446" s="8">
        <v>26531.321199999998</v>
      </c>
      <c r="AV446" s="8">
        <v>194.00829999999999</v>
      </c>
      <c r="AW446" s="8"/>
      <c r="AX446" s="9">
        <v>435.63388854649139</v>
      </c>
      <c r="AY446" s="6">
        <f t="shared" si="139"/>
        <v>2.2229519999719945E-2</v>
      </c>
      <c r="AZ446" s="8">
        <v>417201859.93360001</v>
      </c>
      <c r="BA446" s="10">
        <v>60480066</v>
      </c>
      <c r="BB446" s="11">
        <v>40926983.472555123</v>
      </c>
      <c r="BC446" s="10">
        <v>2971324</v>
      </c>
      <c r="BD446" s="10">
        <f>1000000000-999304814.9786+226663.9417</f>
        <v>921848.96309997479</v>
      </c>
      <c r="BE446" s="12">
        <f t="shared" si="140"/>
        <v>477497917.63074499</v>
      </c>
      <c r="BF446" s="13">
        <v>234.98815500000001</v>
      </c>
      <c r="BG446" s="13">
        <f t="shared" si="141"/>
        <v>242.509762630745</v>
      </c>
      <c r="BH446" s="14">
        <f>BE446*31.73</f>
        <v>15151008926.423538</v>
      </c>
    </row>
    <row r="447" spans="1:60" x14ac:dyDescent="0.25">
      <c r="A447" s="3">
        <v>46069</v>
      </c>
      <c r="B447" s="4">
        <v>3240015683</v>
      </c>
      <c r="C447" s="4">
        <v>431516142.51999998</v>
      </c>
      <c r="D447" s="4">
        <v>79147426</v>
      </c>
      <c r="E447" s="4"/>
      <c r="F447" s="17">
        <v>217179536.47160491</v>
      </c>
      <c r="G447" s="17">
        <v>15614446.31289304</v>
      </c>
      <c r="H447" s="17">
        <v>2053556.0756241379</v>
      </c>
      <c r="I447" s="17">
        <v>149938778.38269839</v>
      </c>
      <c r="J447" s="17">
        <v>58754.655582935797</v>
      </c>
      <c r="K447" s="17">
        <v>46671070.621596612</v>
      </c>
      <c r="L447" s="14">
        <f t="shared" si="134"/>
        <v>431516142.5200001</v>
      </c>
      <c r="M447" s="21">
        <v>0.94798235442513878</v>
      </c>
      <c r="N447" s="4">
        <v>1064981.31</v>
      </c>
      <c r="O447" s="4">
        <v>74791.570000000007</v>
      </c>
      <c r="P447" s="4">
        <v>36050.75</v>
      </c>
      <c r="Q447" s="4"/>
      <c r="R447" s="14">
        <f t="shared" si="142"/>
        <v>1175823.6300000001</v>
      </c>
      <c r="S447" s="6">
        <v>0.01</v>
      </c>
      <c r="T447" s="14">
        <f t="shared" si="143"/>
        <v>10649.813100000001</v>
      </c>
      <c r="U447" s="14">
        <f t="shared" si="144"/>
        <v>401.18840000000006</v>
      </c>
      <c r="V447" s="14">
        <f t="shared" si="145"/>
        <v>270.80279999999999</v>
      </c>
      <c r="W447" s="14" t="str">
        <f t="shared" si="146"/>
        <v/>
      </c>
      <c r="X447" s="4">
        <v>8970.4699999999993</v>
      </c>
      <c r="Y447" s="4">
        <v>34672.730000000003</v>
      </c>
      <c r="Z447" s="4"/>
      <c r="AA447" s="14">
        <f t="shared" si="147"/>
        <v>54965.004300000001</v>
      </c>
      <c r="AB447" s="4">
        <v>89612.934500000003</v>
      </c>
      <c r="AC447" s="4">
        <v>1064981.31</v>
      </c>
      <c r="AD447" s="14">
        <f t="shared" si="148"/>
        <v>40118.840000000004</v>
      </c>
      <c r="AE447" s="14">
        <f t="shared" si="149"/>
        <v>27080.28</v>
      </c>
      <c r="AF447" s="14" t="str">
        <f t="shared" si="150"/>
        <v/>
      </c>
      <c r="AG447" s="15">
        <f t="shared" si="151"/>
        <v>1132180.4300000002</v>
      </c>
      <c r="AH447" s="4">
        <v>853035.8</v>
      </c>
      <c r="AI447" s="17">
        <f t="shared" si="152"/>
        <v>279144.63000000012</v>
      </c>
      <c r="AJ447" s="7">
        <f t="shared" si="135"/>
        <v>3.2869634415285023</v>
      </c>
      <c r="AK447" s="7">
        <f t="shared" si="136"/>
        <v>1.7332276276671053</v>
      </c>
      <c r="AL447" s="7">
        <f t="shared" si="137"/>
        <v>4.5548859668538046</v>
      </c>
      <c r="AM447" s="7" t="str">
        <f t="shared" si="138"/>
        <v/>
      </c>
      <c r="AN447" s="4">
        <v>8111.1519672487602</v>
      </c>
      <c r="AO447" s="4">
        <v>0</v>
      </c>
      <c r="AP447" s="14">
        <f t="shared" si="153"/>
        <v>861146.95196724881</v>
      </c>
      <c r="AQ447" s="14">
        <f t="shared" si="154"/>
        <v>853035.8</v>
      </c>
      <c r="AR447" s="8">
        <v>28342.14</v>
      </c>
      <c r="AS447" s="20">
        <v>30.097791000000001</v>
      </c>
      <c r="AT447" s="8">
        <v>40954673.442555122</v>
      </c>
      <c r="AU447" s="8">
        <v>26531.732100000001</v>
      </c>
      <c r="AV447" s="8">
        <v>1310.5527999999999</v>
      </c>
      <c r="AW447" s="8"/>
      <c r="AX447" s="9">
        <v>435.55573328945388</v>
      </c>
      <c r="AY447" s="6">
        <f t="shared" si="139"/>
        <v>2.2233853158958022E-2</v>
      </c>
      <c r="AZ447" s="8">
        <v>417175328.2015</v>
      </c>
      <c r="BA447" s="10">
        <v>60480066</v>
      </c>
      <c r="BB447" s="11">
        <v>40954673.442555122</v>
      </c>
      <c r="BC447" s="10">
        <v>2971324</v>
      </c>
      <c r="BD447" s="10">
        <f>1000000000-999303504.4258+226928.502</f>
        <v>923424.07620003412</v>
      </c>
      <c r="BE447" s="12">
        <f t="shared" si="140"/>
        <v>477495184.27974492</v>
      </c>
      <c r="BF447" s="13">
        <v>234.98815500000001</v>
      </c>
      <c r="BG447" s="13">
        <f t="shared" si="141"/>
        <v>242.50702927974493</v>
      </c>
      <c r="BH447" s="14">
        <f>BE447*30.67</f>
        <v>14644777301.859777</v>
      </c>
    </row>
    <row r="448" spans="1:60" x14ac:dyDescent="0.25">
      <c r="A448" s="3">
        <v>46070</v>
      </c>
      <c r="B448" s="4">
        <v>4218389687</v>
      </c>
      <c r="C448" s="4">
        <v>1349751891.0799999</v>
      </c>
      <c r="D448" s="4">
        <v>99307509</v>
      </c>
      <c r="E448" s="4"/>
      <c r="F448" s="17">
        <v>588841872.15558159</v>
      </c>
      <c r="G448" s="17">
        <v>22525479.511482961</v>
      </c>
      <c r="H448" s="17">
        <v>3048731.620475369</v>
      </c>
      <c r="I448" s="17">
        <v>504756075.57533491</v>
      </c>
      <c r="J448" s="17">
        <v>51689.90310121471</v>
      </c>
      <c r="K448" s="17">
        <v>230528042.31402391</v>
      </c>
      <c r="L448" s="14">
        <f t="shared" si="134"/>
        <v>1349751891.0800002</v>
      </c>
      <c r="M448" s="21">
        <v>1.000670286981779</v>
      </c>
      <c r="N448" s="4">
        <v>1314403.5</v>
      </c>
      <c r="O448" s="4">
        <v>159839.23000000001</v>
      </c>
      <c r="P448" s="4">
        <v>49863.8</v>
      </c>
      <c r="Q448" s="4"/>
      <c r="R448" s="14">
        <f t="shared" si="142"/>
        <v>1524106.53</v>
      </c>
      <c r="S448" s="6">
        <v>0.01</v>
      </c>
      <c r="T448" s="14">
        <f t="shared" si="143"/>
        <v>13144.035</v>
      </c>
      <c r="U448" s="14">
        <f t="shared" si="144"/>
        <v>830.96220000000017</v>
      </c>
      <c r="V448" s="14">
        <f t="shared" si="145"/>
        <v>405.68850000000009</v>
      </c>
      <c r="W448" s="14" t="str">
        <f t="shared" si="146"/>
        <v/>
      </c>
      <c r="X448" s="4">
        <v>9294.9500000000007</v>
      </c>
      <c r="Y448" s="4">
        <v>76743.009999999995</v>
      </c>
      <c r="Z448" s="4"/>
      <c r="AA448" s="14">
        <f t="shared" si="147"/>
        <v>100418.64569999999</v>
      </c>
      <c r="AB448" s="4">
        <v>102383.8078</v>
      </c>
      <c r="AC448" s="4">
        <v>1314403.5</v>
      </c>
      <c r="AD448" s="14">
        <f t="shared" si="148"/>
        <v>83096.220000000016</v>
      </c>
      <c r="AE448" s="14">
        <f t="shared" si="149"/>
        <v>40568.850000000006</v>
      </c>
      <c r="AF448" s="14" t="str">
        <f t="shared" si="150"/>
        <v/>
      </c>
      <c r="AG448" s="15">
        <f t="shared" si="151"/>
        <v>1438068.57</v>
      </c>
      <c r="AH448" s="4">
        <v>1341596.32</v>
      </c>
      <c r="AI448" s="17">
        <f t="shared" si="152"/>
        <v>96472.25</v>
      </c>
      <c r="AJ448" s="7">
        <f t="shared" si="135"/>
        <v>3.1158892315014333</v>
      </c>
      <c r="AK448" s="7">
        <f t="shared" si="136"/>
        <v>1.1842119359588756</v>
      </c>
      <c r="AL448" s="7">
        <f t="shared" si="137"/>
        <v>5.021151018902307</v>
      </c>
      <c r="AM448" s="7" t="str">
        <f t="shared" si="138"/>
        <v/>
      </c>
      <c r="AN448" s="4">
        <v>7662.9661955082638</v>
      </c>
      <c r="AO448" s="4">
        <v>0</v>
      </c>
      <c r="AP448" s="14">
        <f t="shared" si="153"/>
        <v>1349259.2861955084</v>
      </c>
      <c r="AQ448" s="14">
        <f t="shared" si="154"/>
        <v>1341596.32</v>
      </c>
      <c r="AR448" s="8">
        <v>44826.66</v>
      </c>
      <c r="AS448" s="20">
        <v>29.928536000000001</v>
      </c>
      <c r="AT448" s="8">
        <v>41000108.942555122</v>
      </c>
      <c r="AU448" s="8">
        <v>26528.882000000001</v>
      </c>
      <c r="AV448" s="8">
        <v>248.46809999999999</v>
      </c>
      <c r="AW448" s="8"/>
      <c r="AX448" s="9">
        <v>436.02759721622988</v>
      </c>
      <c r="AY448" s="6">
        <f t="shared" si="139"/>
        <v>2.220740611791619E-2</v>
      </c>
      <c r="AZ448" s="8">
        <v>417148799.31950003</v>
      </c>
      <c r="BA448" s="10">
        <v>60480066</v>
      </c>
      <c r="BB448" s="11">
        <v>41000108.942555122</v>
      </c>
      <c r="BC448" s="10">
        <v>2971324</v>
      </c>
      <c r="BD448" s="10">
        <f>1000000000-999303255.9577+227173.764</f>
        <v>923917.80629998585</v>
      </c>
      <c r="BE448" s="12">
        <f t="shared" si="140"/>
        <v>477475783.93164492</v>
      </c>
      <c r="BF448" s="13">
        <v>234.98815500000001</v>
      </c>
      <c r="BG448" s="13">
        <f t="shared" si="141"/>
        <v>242.48762893164491</v>
      </c>
      <c r="BH448" s="14">
        <f>BE448*31.23</f>
        <v>14911568732.18527</v>
      </c>
    </row>
    <row r="449" spans="1:60" x14ac:dyDescent="0.25">
      <c r="A449" s="3">
        <v>46071</v>
      </c>
      <c r="B449" s="4">
        <v>3953264767</v>
      </c>
      <c r="C449" s="4">
        <v>871413550.46000004</v>
      </c>
      <c r="D449" s="4">
        <v>92836600</v>
      </c>
      <c r="E449" s="4"/>
      <c r="F449" s="17">
        <v>315575003.17147481</v>
      </c>
      <c r="G449" s="17">
        <v>24957864.261506349</v>
      </c>
      <c r="H449" s="17">
        <v>4377192.8175048828</v>
      </c>
      <c r="I449" s="17">
        <v>336640860.54934603</v>
      </c>
      <c r="J449" s="17">
        <v>63679.563372187229</v>
      </c>
      <c r="K449" s="17">
        <v>189798950.09679589</v>
      </c>
      <c r="L449" s="14">
        <f t="shared" ref="L449:L512" si="155">SUM(F449:K449)</f>
        <v>871413550.46000016</v>
      </c>
      <c r="M449" s="21">
        <v>0.99957654696408837</v>
      </c>
      <c r="N449" s="4">
        <v>1313145.3799999999</v>
      </c>
      <c r="O449" s="4">
        <v>134588.29999999999</v>
      </c>
      <c r="P449" s="4">
        <v>45419.199999999997</v>
      </c>
      <c r="Q449" s="4"/>
      <c r="R449" s="14">
        <f t="shared" si="142"/>
        <v>1493152.88</v>
      </c>
      <c r="S449" s="6">
        <v>0.01</v>
      </c>
      <c r="T449" s="14">
        <f t="shared" si="143"/>
        <v>13131.453799999999</v>
      </c>
      <c r="U449" s="14">
        <f t="shared" si="144"/>
        <v>709.30419999999981</v>
      </c>
      <c r="V449" s="14">
        <f t="shared" si="145"/>
        <v>361.51920000000001</v>
      </c>
      <c r="W449" s="14" t="str">
        <f t="shared" si="146"/>
        <v/>
      </c>
      <c r="X449" s="4">
        <v>9267.2800000000007</v>
      </c>
      <c r="Y449" s="4">
        <v>63657.88</v>
      </c>
      <c r="Z449" s="4"/>
      <c r="AA449" s="14">
        <f t="shared" si="147"/>
        <v>87127.4372</v>
      </c>
      <c r="AB449" s="4">
        <v>118189.0883</v>
      </c>
      <c r="AC449" s="4">
        <v>1313145.3799999999</v>
      </c>
      <c r="AD449" s="14">
        <f t="shared" si="148"/>
        <v>70930.419999999984</v>
      </c>
      <c r="AE449" s="14">
        <f t="shared" si="149"/>
        <v>36151.919999999998</v>
      </c>
      <c r="AF449" s="14" t="str">
        <f t="shared" si="150"/>
        <v/>
      </c>
      <c r="AG449" s="15">
        <f t="shared" si="151"/>
        <v>1420227.7199999997</v>
      </c>
      <c r="AH449" s="4">
        <v>1175345.6599999999</v>
      </c>
      <c r="AI449" s="17">
        <f t="shared" si="152"/>
        <v>244882.05999999982</v>
      </c>
      <c r="AJ449" s="7">
        <f t="shared" si="135"/>
        <v>3.3216732432432088</v>
      </c>
      <c r="AK449" s="7">
        <f t="shared" si="136"/>
        <v>1.5444825241580622</v>
      </c>
      <c r="AL449" s="7">
        <f t="shared" si="137"/>
        <v>4.892380806707699</v>
      </c>
      <c r="AM449" s="7" t="str">
        <f t="shared" si="138"/>
        <v/>
      </c>
      <c r="AN449" s="4">
        <v>7320.7337525425628</v>
      </c>
      <c r="AO449" s="4">
        <v>0</v>
      </c>
      <c r="AP449" s="14">
        <f t="shared" si="153"/>
        <v>1182666.3937525426</v>
      </c>
      <c r="AQ449" s="14">
        <f t="shared" si="154"/>
        <v>1175345.6599999999</v>
      </c>
      <c r="AR449" s="8">
        <v>40585.19</v>
      </c>
      <c r="AS449" s="20">
        <v>28.959963999999999</v>
      </c>
      <c r="AT449" s="8">
        <v>41040714.812555119</v>
      </c>
      <c r="AU449" s="8">
        <v>26542.980500000001</v>
      </c>
      <c r="AV449" s="8">
        <v>812.83489999999995</v>
      </c>
      <c r="AW449" s="8"/>
      <c r="AX449" s="9">
        <v>435.94042195927852</v>
      </c>
      <c r="AY449" s="6">
        <f t="shared" si="139"/>
        <v>2.2223651202055727E-2</v>
      </c>
      <c r="AZ449" s="8">
        <v>417122256.33899999</v>
      </c>
      <c r="BA449" s="10">
        <v>60480066</v>
      </c>
      <c r="BB449" s="11">
        <v>41040714.812555119</v>
      </c>
      <c r="BC449" s="10">
        <v>2971324</v>
      </c>
      <c r="BD449" s="10">
        <f>1000000000-999302443.1227+227423.482</f>
        <v>924980.35930002399</v>
      </c>
      <c r="BE449" s="12">
        <f t="shared" si="140"/>
        <v>477460658.48914486</v>
      </c>
      <c r="BF449" s="13">
        <v>234.98815500000001</v>
      </c>
      <c r="BG449" s="13">
        <f t="shared" si="141"/>
        <v>242.47250348914486</v>
      </c>
      <c r="BH449" s="14">
        <f>BE449*29.33</f>
        <v>14003921113.486618</v>
      </c>
    </row>
    <row r="450" spans="1:60" x14ac:dyDescent="0.25">
      <c r="A450" s="3">
        <v>46072</v>
      </c>
      <c r="B450" s="4">
        <v>3394927924</v>
      </c>
      <c r="C450" s="4">
        <v>1022585514.1900001</v>
      </c>
      <c r="D450" s="4">
        <v>94568234</v>
      </c>
      <c r="E450" s="4"/>
      <c r="F450" s="17">
        <v>348180916.84086287</v>
      </c>
      <c r="G450" s="17">
        <v>26590527.52372469</v>
      </c>
      <c r="H450" s="17">
        <v>9644066.4959161822</v>
      </c>
      <c r="I450" s="17">
        <v>466303045.45356661</v>
      </c>
      <c r="J450" s="17">
        <v>1202499.287656778</v>
      </c>
      <c r="K450" s="17">
        <v>170664458.58827299</v>
      </c>
      <c r="L450" s="14">
        <f t="shared" si="155"/>
        <v>1022585514.1900001</v>
      </c>
      <c r="M450" s="21">
        <v>1.0064507835940959</v>
      </c>
      <c r="N450" s="4">
        <v>1130414.71</v>
      </c>
      <c r="O450" s="4">
        <v>143460.23000000001</v>
      </c>
      <c r="P450" s="4">
        <v>46805.42</v>
      </c>
      <c r="Q450" s="4"/>
      <c r="R450" s="14">
        <f t="shared" si="142"/>
        <v>1320680.3599999999</v>
      </c>
      <c r="S450" s="6">
        <v>0.01</v>
      </c>
      <c r="T450" s="14">
        <f t="shared" si="143"/>
        <v>11304.1471</v>
      </c>
      <c r="U450" s="14">
        <f t="shared" si="144"/>
        <v>754.58170000000018</v>
      </c>
      <c r="V450" s="14">
        <f t="shared" si="145"/>
        <v>364.87720000000002</v>
      </c>
      <c r="W450" s="14" t="str">
        <f t="shared" si="146"/>
        <v/>
      </c>
      <c r="X450" s="4">
        <v>10317.700000000001</v>
      </c>
      <c r="Y450" s="4">
        <v>68002.06</v>
      </c>
      <c r="Z450" s="4"/>
      <c r="AA450" s="14">
        <f t="shared" si="147"/>
        <v>90743.366000000009</v>
      </c>
      <c r="AB450" s="4">
        <v>112846.8407</v>
      </c>
      <c r="AC450" s="4">
        <v>1130414.71</v>
      </c>
      <c r="AD450" s="14">
        <f t="shared" si="148"/>
        <v>75458.170000000013</v>
      </c>
      <c r="AE450" s="14">
        <f t="shared" si="149"/>
        <v>36487.72</v>
      </c>
      <c r="AF450" s="14" t="str">
        <f t="shared" si="150"/>
        <v/>
      </c>
      <c r="AG450" s="15">
        <f t="shared" si="151"/>
        <v>1242360.5999999999</v>
      </c>
      <c r="AH450" s="4">
        <v>1031950.35</v>
      </c>
      <c r="AI450" s="17">
        <f t="shared" si="152"/>
        <v>210410.24999999988</v>
      </c>
      <c r="AJ450" s="7">
        <f t="shared" si="135"/>
        <v>3.3297163748563872</v>
      </c>
      <c r="AK450" s="7">
        <f t="shared" si="136"/>
        <v>1.4029167048551068</v>
      </c>
      <c r="AL450" s="7">
        <f t="shared" si="137"/>
        <v>4.9493807825574923</v>
      </c>
      <c r="AM450" s="7" t="str">
        <f t="shared" si="138"/>
        <v/>
      </c>
      <c r="AN450" s="4">
        <v>7404.6479636592076</v>
      </c>
      <c r="AO450" s="4">
        <v>0</v>
      </c>
      <c r="AP450" s="14">
        <f t="shared" si="153"/>
        <v>1039354.9979636592</v>
      </c>
      <c r="AQ450" s="14">
        <f t="shared" si="154"/>
        <v>1031950.35</v>
      </c>
      <c r="AR450" s="8">
        <v>36230.94</v>
      </c>
      <c r="AS450" s="20">
        <v>28.482572000000001</v>
      </c>
      <c r="AT450" s="8">
        <v>41076661.152555123</v>
      </c>
      <c r="AU450" s="8">
        <v>26479.563300000002</v>
      </c>
      <c r="AV450" s="8">
        <v>1034.9875999999999</v>
      </c>
      <c r="AW450" s="8"/>
      <c r="AX450" s="9">
        <v>434.97873334943159</v>
      </c>
      <c r="AY450" s="6">
        <f t="shared" si="139"/>
        <v>2.2219570437563858E-2</v>
      </c>
      <c r="AZ450" s="8">
        <v>417095776.77569997</v>
      </c>
      <c r="BA450" s="10">
        <v>60480066</v>
      </c>
      <c r="BB450" s="11">
        <v>41076661.152555123</v>
      </c>
      <c r="BC450" s="10">
        <v>2971324</v>
      </c>
      <c r="BD450" s="10">
        <f>1000000000-999301408.1352+227684.9548</f>
        <v>926276.8195999763</v>
      </c>
      <c r="BE450" s="12">
        <f t="shared" si="140"/>
        <v>477449895.25214493</v>
      </c>
      <c r="BF450" s="13">
        <v>234.98815500000001</v>
      </c>
      <c r="BG450" s="13">
        <f t="shared" si="141"/>
        <v>242.46174025214492</v>
      </c>
      <c r="BH450" s="14">
        <f>BE450*28.34</f>
        <v>13530930031.445787</v>
      </c>
    </row>
    <row r="451" spans="1:60" x14ac:dyDescent="0.25">
      <c r="A451" s="3">
        <v>46073</v>
      </c>
      <c r="B451" s="4">
        <v>4543617994</v>
      </c>
      <c r="C451" s="4">
        <v>1595020043.3099999</v>
      </c>
      <c r="D451" s="4">
        <v>102243088</v>
      </c>
      <c r="E451" s="4"/>
      <c r="F451" s="17">
        <v>639221798.8618573</v>
      </c>
      <c r="G451" s="17">
        <v>28713177.120957948</v>
      </c>
      <c r="H451" s="17">
        <v>11486759.733353371</v>
      </c>
      <c r="I451" s="17">
        <v>693053245.97393024</v>
      </c>
      <c r="J451" s="17">
        <v>1131252.554291219</v>
      </c>
      <c r="K451" s="17">
        <v>221413809.0656096</v>
      </c>
      <c r="L451" s="14">
        <f t="shared" si="155"/>
        <v>1595020043.3099997</v>
      </c>
      <c r="M451" s="21">
        <v>0.99650726747110308</v>
      </c>
      <c r="N451" s="4">
        <v>1498884.26</v>
      </c>
      <c r="O451" s="4">
        <v>207042.85</v>
      </c>
      <c r="P451" s="4">
        <v>52552.08</v>
      </c>
      <c r="Q451" s="4"/>
      <c r="R451" s="14">
        <f t="shared" si="142"/>
        <v>1758479.1900000002</v>
      </c>
      <c r="S451" s="6">
        <v>0.01</v>
      </c>
      <c r="T451" s="14">
        <f t="shared" si="143"/>
        <v>14988.8426</v>
      </c>
      <c r="U451" s="14">
        <f t="shared" si="144"/>
        <v>1077.4893000000002</v>
      </c>
      <c r="V451" s="14">
        <f t="shared" si="145"/>
        <v>441.47880000000004</v>
      </c>
      <c r="W451" s="14" t="str">
        <f t="shared" si="146"/>
        <v/>
      </c>
      <c r="X451" s="4">
        <v>8404.2000000000007</v>
      </c>
      <c r="Y451" s="4">
        <v>99293.92</v>
      </c>
      <c r="Z451" s="4"/>
      <c r="AA451" s="14">
        <f t="shared" si="147"/>
        <v>124205.9307</v>
      </c>
      <c r="AB451" s="4">
        <v>143373.92310000001</v>
      </c>
      <c r="AC451" s="4">
        <v>1498884.26</v>
      </c>
      <c r="AD451" s="14">
        <f t="shared" si="148"/>
        <v>107748.93000000001</v>
      </c>
      <c r="AE451" s="14">
        <f t="shared" si="149"/>
        <v>44147.880000000005</v>
      </c>
      <c r="AF451" s="14" t="str">
        <f t="shared" si="150"/>
        <v/>
      </c>
      <c r="AG451" s="15">
        <f t="shared" si="151"/>
        <v>1650781.0699999998</v>
      </c>
      <c r="AH451" s="4">
        <v>1339275.29</v>
      </c>
      <c r="AI451" s="17">
        <f t="shared" si="152"/>
        <v>311505.7799999998</v>
      </c>
      <c r="AJ451" s="7">
        <f t="shared" si="135"/>
        <v>3.2988782551247198</v>
      </c>
      <c r="AK451" s="7">
        <f t="shared" si="136"/>
        <v>1.2980579828347663</v>
      </c>
      <c r="AL451" s="7">
        <f t="shared" si="137"/>
        <v>5.1399151794006857</v>
      </c>
      <c r="AM451" s="7" t="str">
        <f t="shared" si="138"/>
        <v/>
      </c>
      <c r="AN451" s="4">
        <v>8324.8100734597792</v>
      </c>
      <c r="AO451" s="4">
        <v>0</v>
      </c>
      <c r="AP451" s="14">
        <f t="shared" si="153"/>
        <v>1347600.1000734598</v>
      </c>
      <c r="AQ451" s="14">
        <f t="shared" si="154"/>
        <v>1339275.29</v>
      </c>
      <c r="AR451" s="8">
        <v>45326.62</v>
      </c>
      <c r="AS451" s="20">
        <v>29.547212999999999</v>
      </c>
      <c r="AT451" s="8">
        <v>41121642.852555119</v>
      </c>
      <c r="AU451" s="8">
        <v>26501.8341</v>
      </c>
      <c r="AV451" s="8">
        <v>752.19960000000003</v>
      </c>
      <c r="AW451" s="8"/>
      <c r="AX451" s="9">
        <v>434.33734798896711</v>
      </c>
      <c r="AY451" s="6">
        <f t="shared" si="139"/>
        <v>2.2271097549607256E-2</v>
      </c>
      <c r="AZ451" s="8">
        <v>417069274.94160002</v>
      </c>
      <c r="BA451" s="10">
        <v>60480066</v>
      </c>
      <c r="BB451" s="11">
        <v>41121642.852555119</v>
      </c>
      <c r="BC451" s="10">
        <v>2971324</v>
      </c>
      <c r="BD451" s="10">
        <f>1000000000-999300655.9356+227969.7877</f>
        <v>927313.85209995764</v>
      </c>
      <c r="BE451" s="12">
        <f t="shared" si="140"/>
        <v>477430378.35374486</v>
      </c>
      <c r="BF451" s="13">
        <v>234.98815500000001</v>
      </c>
      <c r="BG451" s="13">
        <f t="shared" si="141"/>
        <v>242.44222335374485</v>
      </c>
      <c r="BH451" s="14">
        <f>BE451*29.24</f>
        <v>13960064263.063499</v>
      </c>
    </row>
    <row r="452" spans="1:60" x14ac:dyDescent="0.25">
      <c r="A452" s="3">
        <v>46074</v>
      </c>
      <c r="B452" s="4">
        <v>1529253378</v>
      </c>
      <c r="C452" s="4">
        <v>211012363.91999999</v>
      </c>
      <c r="D452" s="4">
        <v>43137204</v>
      </c>
      <c r="E452" s="4"/>
      <c r="F452" s="17">
        <v>49921247.967462443</v>
      </c>
      <c r="G452" s="17">
        <v>11821158.925369419</v>
      </c>
      <c r="H452" s="17">
        <v>4756265.8992011975</v>
      </c>
      <c r="I452" s="17">
        <v>119556898.4810916</v>
      </c>
      <c r="J452" s="17">
        <v>348078.6493000068</v>
      </c>
      <c r="K452" s="17">
        <v>24608713.997575361</v>
      </c>
      <c r="L452" s="14">
        <f t="shared" si="155"/>
        <v>211012363.92000005</v>
      </c>
      <c r="M452" s="21">
        <v>0.97652826899546941</v>
      </c>
      <c r="N452" s="4">
        <v>590245.24</v>
      </c>
      <c r="O452" s="4">
        <v>64613.64</v>
      </c>
      <c r="P452" s="4">
        <v>23943.39</v>
      </c>
      <c r="Q452" s="4"/>
      <c r="R452" s="14">
        <f t="shared" si="142"/>
        <v>678802.27</v>
      </c>
      <c r="S452" s="6">
        <v>0.01</v>
      </c>
      <c r="T452" s="14">
        <f t="shared" si="143"/>
        <v>5902.4524000000001</v>
      </c>
      <c r="U452" s="14">
        <f t="shared" si="144"/>
        <v>344.14339999999999</v>
      </c>
      <c r="V452" s="14">
        <f t="shared" si="145"/>
        <v>188.36369999999999</v>
      </c>
      <c r="W452" s="14" t="str">
        <f t="shared" si="146"/>
        <v/>
      </c>
      <c r="X452" s="4">
        <v>5107.0200000000004</v>
      </c>
      <c r="Y452" s="4">
        <v>30199.3</v>
      </c>
      <c r="Z452" s="4"/>
      <c r="AA452" s="14">
        <f t="shared" si="147"/>
        <v>41741.279500000004</v>
      </c>
      <c r="AB452" s="4">
        <v>64932.980899999988</v>
      </c>
      <c r="AC452" s="4">
        <v>590245.24</v>
      </c>
      <c r="AD452" s="14">
        <f t="shared" si="148"/>
        <v>34414.339999999997</v>
      </c>
      <c r="AE452" s="14">
        <f t="shared" si="149"/>
        <v>18836.37</v>
      </c>
      <c r="AF452" s="14" t="str">
        <f t="shared" si="150"/>
        <v/>
      </c>
      <c r="AG452" s="15">
        <f t="shared" si="151"/>
        <v>643495.94999999995</v>
      </c>
      <c r="AH452" s="4">
        <v>491477.95</v>
      </c>
      <c r="AI452" s="17">
        <f t="shared" si="152"/>
        <v>152017.99999999994</v>
      </c>
      <c r="AJ452" s="7">
        <f t="shared" ref="AJ452:AJ515" si="156">IF(OR(B452="",B452=0,N452=""),"",N452/B452*10000)</f>
        <v>3.8596955121455356</v>
      </c>
      <c r="AK452" s="7">
        <f t="shared" ref="AK452:AK515" si="157">IF(OR(C452="",C452=0),"",O452/C452*10000)</f>
        <v>3.0620783919797527</v>
      </c>
      <c r="AL452" s="7">
        <f t="shared" ref="AL452:AL515" si="158">IF(OR(D452="",D452=0),"",P452/D452*10000)</f>
        <v>5.5505196859768651</v>
      </c>
      <c r="AM452" s="7" t="str">
        <f t="shared" ref="AM452:AM515" si="159">IF(OR(E452="",E452=0),"",Q452/E452*10000)</f>
        <v/>
      </c>
      <c r="AN452" s="4">
        <v>3073.8516604216111</v>
      </c>
      <c r="AO452" s="4">
        <v>0</v>
      </c>
      <c r="AP452" s="14">
        <f t="shared" si="153"/>
        <v>494551.8016604216</v>
      </c>
      <c r="AQ452" s="14">
        <f t="shared" si="154"/>
        <v>491477.95</v>
      </c>
      <c r="AR452" s="8">
        <v>16358.16</v>
      </c>
      <c r="AS452" s="20">
        <v>30.044817999999999</v>
      </c>
      <c r="AT452" s="8">
        <v>41139013.932555117</v>
      </c>
      <c r="AU452" s="8">
        <v>26487.107800000002</v>
      </c>
      <c r="AV452" s="8">
        <v>384.7817</v>
      </c>
      <c r="AW452" s="8"/>
      <c r="AX452" s="9">
        <v>434.17976678230877</v>
      </c>
      <c r="AY452" s="6">
        <f t="shared" ref="AY452:AY515" si="160">IF(OR(AX452="",AX452=0,AU452=""),"",AU452*365/(AX452*1000000))</f>
        <v>2.2266800727836055E-2</v>
      </c>
      <c r="AZ452" s="8">
        <v>417042787.8337</v>
      </c>
      <c r="BA452" s="10">
        <v>60480066</v>
      </c>
      <c r="BB452" s="11">
        <v>41139013.932555117</v>
      </c>
      <c r="BC452" s="10">
        <v>2971324</v>
      </c>
      <c r="BD452" s="10">
        <f>1000000000-999300271.1539+228070.9944</f>
        <v>927799.84049997269</v>
      </c>
      <c r="BE452" s="12">
        <f t="shared" ref="BE452:BE515" si="161">1000000000-AZ452-BA452-BB452-BC452-BD452</f>
        <v>477439008.39324492</v>
      </c>
      <c r="BF452" s="13">
        <v>234.98815500000001</v>
      </c>
      <c r="BG452" s="13">
        <f t="shared" ref="BG452:BG515" si="162">BE452/1000000-BF452</f>
        <v>242.45085339324493</v>
      </c>
      <c r="BH452" s="14">
        <f>BE452*30.36</f>
        <v>14495048294.818916</v>
      </c>
    </row>
    <row r="453" spans="1:60" x14ac:dyDescent="0.25">
      <c r="A453" s="3">
        <v>46075</v>
      </c>
      <c r="B453" s="4">
        <v>1565459841</v>
      </c>
      <c r="C453" s="4">
        <v>361908534.76999998</v>
      </c>
      <c r="D453" s="4">
        <v>48044153</v>
      </c>
      <c r="E453" s="4"/>
      <c r="F453" s="17">
        <v>211422194.39404351</v>
      </c>
      <c r="G453" s="17">
        <v>14955137.80920925</v>
      </c>
      <c r="H453" s="17">
        <v>9051177.6608237121</v>
      </c>
      <c r="I453" s="17">
        <v>100018763.4562276</v>
      </c>
      <c r="J453" s="17">
        <v>305063.08770383691</v>
      </c>
      <c r="K453" s="17">
        <v>26156198.361992098</v>
      </c>
      <c r="L453" s="14">
        <f t="shared" si="155"/>
        <v>361908534.76999998</v>
      </c>
      <c r="M453" s="21">
        <v>1.121953883573118</v>
      </c>
      <c r="N453" s="4">
        <v>516257.4</v>
      </c>
      <c r="O453" s="4">
        <v>83425.790000000008</v>
      </c>
      <c r="P453" s="4">
        <v>20545.03</v>
      </c>
      <c r="Q453" s="4"/>
      <c r="R453" s="14">
        <f t="shared" si="142"/>
        <v>620228.22000000009</v>
      </c>
      <c r="S453" s="6">
        <v>0.01</v>
      </c>
      <c r="T453" s="14">
        <f t="shared" si="143"/>
        <v>5162.5740000000005</v>
      </c>
      <c r="U453" s="14">
        <f t="shared" si="144"/>
        <v>438.24550000000011</v>
      </c>
      <c r="V453" s="14">
        <f t="shared" si="145"/>
        <v>160.62279999999998</v>
      </c>
      <c r="W453" s="14" t="str">
        <f t="shared" si="146"/>
        <v/>
      </c>
      <c r="X453" s="4">
        <v>4482.75</v>
      </c>
      <c r="Y453" s="4">
        <v>39601.24</v>
      </c>
      <c r="Z453" s="4"/>
      <c r="AA453" s="14">
        <f t="shared" si="147"/>
        <v>49845.4323</v>
      </c>
      <c r="AB453" s="4">
        <v>58845.8583</v>
      </c>
      <c r="AC453" s="4">
        <v>516257.4</v>
      </c>
      <c r="AD453" s="14">
        <f t="shared" si="148"/>
        <v>43824.55000000001</v>
      </c>
      <c r="AE453" s="14">
        <f t="shared" si="149"/>
        <v>16062.279999999999</v>
      </c>
      <c r="AF453" s="14" t="str">
        <f t="shared" si="150"/>
        <v/>
      </c>
      <c r="AG453" s="15">
        <f t="shared" si="151"/>
        <v>576144.2300000001</v>
      </c>
      <c r="AH453" s="4">
        <v>506060.04</v>
      </c>
      <c r="AI453" s="17">
        <f t="shared" si="152"/>
        <v>70084.190000000119</v>
      </c>
      <c r="AJ453" s="7">
        <f t="shared" si="156"/>
        <v>3.2978003426151128</v>
      </c>
      <c r="AK453" s="7">
        <f t="shared" si="157"/>
        <v>2.3051622712633386</v>
      </c>
      <c r="AL453" s="7">
        <f t="shared" si="158"/>
        <v>4.2762810284115114</v>
      </c>
      <c r="AM453" s="7" t="str">
        <f t="shared" si="159"/>
        <v/>
      </c>
      <c r="AN453" s="4">
        <v>2430.548840088878</v>
      </c>
      <c r="AO453" s="4">
        <v>0</v>
      </c>
      <c r="AP453" s="14">
        <f t="shared" si="153"/>
        <v>508490.58884008887</v>
      </c>
      <c r="AQ453" s="14">
        <f t="shared" si="154"/>
        <v>506060.04</v>
      </c>
      <c r="AR453" s="8">
        <v>17276.29</v>
      </c>
      <c r="AS453" s="20">
        <v>29.292171</v>
      </c>
      <c r="AT453" s="8">
        <v>41155757.232555121</v>
      </c>
      <c r="AU453" s="8">
        <v>26482.078399999999</v>
      </c>
      <c r="AV453" s="8">
        <v>130.44319999999999</v>
      </c>
      <c r="AW453" s="8"/>
      <c r="AX453" s="9">
        <v>434.20900528372073</v>
      </c>
      <c r="AY453" s="6">
        <f t="shared" si="160"/>
        <v>2.2261073580645965E-2</v>
      </c>
      <c r="AZ453" s="8">
        <v>417016305.7554</v>
      </c>
      <c r="BA453" s="10">
        <v>60480066</v>
      </c>
      <c r="BB453" s="11">
        <v>41155757.232555121</v>
      </c>
      <c r="BC453" s="10">
        <v>2971324</v>
      </c>
      <c r="BD453" s="10">
        <f>1000000000-999300140.7107+228152.9497</f>
        <v>928012.2389999649</v>
      </c>
      <c r="BE453" s="12">
        <f t="shared" si="161"/>
        <v>477448534.77304494</v>
      </c>
      <c r="BF453" s="13">
        <v>234.98815500000001</v>
      </c>
      <c r="BG453" s="13">
        <f t="shared" si="162"/>
        <v>242.46037977304496</v>
      </c>
      <c r="BH453" s="14">
        <f>BE453*29.67</f>
        <v>14165898026.716244</v>
      </c>
    </row>
    <row r="454" spans="1:60" x14ac:dyDescent="0.25">
      <c r="A454" s="3">
        <v>46076</v>
      </c>
      <c r="B454" s="4">
        <v>5445651040</v>
      </c>
      <c r="C454" s="4">
        <v>1321042396.8299999</v>
      </c>
      <c r="D454" s="4">
        <v>180534362</v>
      </c>
      <c r="E454" s="4"/>
      <c r="F454" s="17">
        <v>640214417.20624185</v>
      </c>
      <c r="G454" s="17">
        <v>33664415.372384436</v>
      </c>
      <c r="H454" s="17">
        <v>8874666.228173228</v>
      </c>
      <c r="I454" s="17">
        <v>433825439.63872647</v>
      </c>
      <c r="J454" s="17">
        <v>785098.04661782854</v>
      </c>
      <c r="K454" s="17">
        <v>203678360.33785591</v>
      </c>
      <c r="L454" s="14">
        <f t="shared" si="155"/>
        <v>1321042396.8299997</v>
      </c>
      <c r="M454" s="21">
        <v>0.99333077500399392</v>
      </c>
      <c r="N454" s="4">
        <v>1919324.69</v>
      </c>
      <c r="O454" s="4">
        <v>200980.42</v>
      </c>
      <c r="P454" s="4">
        <v>87402.81</v>
      </c>
      <c r="Q454" s="4"/>
      <c r="R454" s="14">
        <f t="shared" si="142"/>
        <v>2207707.92</v>
      </c>
      <c r="S454" s="6">
        <v>0.01</v>
      </c>
      <c r="T454" s="14">
        <f t="shared" si="143"/>
        <v>19193.246899999998</v>
      </c>
      <c r="U454" s="14">
        <f t="shared" si="144"/>
        <v>1054.491</v>
      </c>
      <c r="V454" s="14">
        <f t="shared" si="145"/>
        <v>692.4745999999999</v>
      </c>
      <c r="W454" s="14" t="str">
        <f t="shared" si="146"/>
        <v/>
      </c>
      <c r="X454" s="4">
        <v>18155.349999999999</v>
      </c>
      <c r="Y454" s="4">
        <v>95531.32</v>
      </c>
      <c r="Z454" s="4"/>
      <c r="AA454" s="14">
        <f t="shared" si="147"/>
        <v>134626.88250000001</v>
      </c>
      <c r="AB454" s="4">
        <v>167924.65760000001</v>
      </c>
      <c r="AC454" s="4">
        <v>1919324.69</v>
      </c>
      <c r="AD454" s="14">
        <f t="shared" si="148"/>
        <v>105449.1</v>
      </c>
      <c r="AE454" s="14">
        <f t="shared" si="149"/>
        <v>69247.459999999992</v>
      </c>
      <c r="AF454" s="14" t="str">
        <f t="shared" si="150"/>
        <v/>
      </c>
      <c r="AG454" s="15">
        <f t="shared" si="151"/>
        <v>2094021.25</v>
      </c>
      <c r="AH454" s="4">
        <v>1728909.29</v>
      </c>
      <c r="AI454" s="17">
        <f t="shared" si="152"/>
        <v>365111.95999999996</v>
      </c>
      <c r="AJ454" s="7">
        <f t="shared" si="156"/>
        <v>3.5245091466602676</v>
      </c>
      <c r="AK454" s="7">
        <f t="shared" si="157"/>
        <v>1.5213775158335319</v>
      </c>
      <c r="AL454" s="7">
        <f t="shared" si="158"/>
        <v>4.8413392903008674</v>
      </c>
      <c r="AM454" s="7" t="str">
        <f t="shared" si="159"/>
        <v/>
      </c>
      <c r="AN454" s="4">
        <v>26950.5507666794</v>
      </c>
      <c r="AO454" s="4">
        <v>14056.93</v>
      </c>
      <c r="AP454" s="14">
        <f t="shared" si="153"/>
        <v>1769916.7707666794</v>
      </c>
      <c r="AQ454" s="14">
        <f t="shared" si="154"/>
        <v>1728909.29</v>
      </c>
      <c r="AR454" s="8">
        <v>63679.71</v>
      </c>
      <c r="AS454" s="20">
        <v>27.150081</v>
      </c>
      <c r="AT454" s="8">
        <v>41218957.012555122</v>
      </c>
      <c r="AU454" s="8">
        <v>26485.191500000001</v>
      </c>
      <c r="AV454" s="8">
        <v>607.43119999999999</v>
      </c>
      <c r="AW454" s="8"/>
      <c r="AX454" s="9">
        <v>434.10411929914858</v>
      </c>
      <c r="AY454" s="6">
        <f t="shared" si="160"/>
        <v>2.226906971789927E-2</v>
      </c>
      <c r="AZ454" s="8">
        <v>416989820.56389999</v>
      </c>
      <c r="BA454" s="10">
        <v>60480066</v>
      </c>
      <c r="BB454" s="11">
        <v>41218957.012555122</v>
      </c>
      <c r="BC454" s="10">
        <v>2971324</v>
      </c>
      <c r="BD454" s="10">
        <f>1000000000-999299533.2795+229088.9277</f>
        <v>929555.64819999237</v>
      </c>
      <c r="BE454" s="12">
        <f t="shared" si="161"/>
        <v>477410276.77534491</v>
      </c>
      <c r="BF454" s="13">
        <v>234.98815500000001</v>
      </c>
      <c r="BG454" s="13">
        <f t="shared" si="162"/>
        <v>242.42212177534492</v>
      </c>
      <c r="BH454" s="14">
        <f>BE454*28.81</f>
        <v>13754190073.897686</v>
      </c>
    </row>
    <row r="455" spans="1:60" x14ac:dyDescent="0.25">
      <c r="A455" s="3">
        <v>46077</v>
      </c>
      <c r="B455" s="4">
        <v>4885948487</v>
      </c>
      <c r="C455" s="4">
        <v>1549481067.96</v>
      </c>
      <c r="D455" s="4">
        <v>132338251</v>
      </c>
      <c r="E455" s="4"/>
      <c r="F455" s="17">
        <v>914650940.41528404</v>
      </c>
      <c r="G455" s="17">
        <v>29159114.837736949</v>
      </c>
      <c r="H455" s="17">
        <v>6872253.5375468452</v>
      </c>
      <c r="I455" s="17">
        <v>350737246.89302939</v>
      </c>
      <c r="J455" s="17">
        <v>634062.7703082884</v>
      </c>
      <c r="K455" s="17">
        <v>247427449.5060944</v>
      </c>
      <c r="L455" s="14">
        <f t="shared" si="155"/>
        <v>1549481067.96</v>
      </c>
      <c r="M455" s="21">
        <v>0.99688596367793891</v>
      </c>
      <c r="N455" s="4">
        <v>1707452.94</v>
      </c>
      <c r="O455" s="4">
        <v>210431.31</v>
      </c>
      <c r="P455" s="4">
        <v>67980.02</v>
      </c>
      <c r="Q455" s="4"/>
      <c r="R455" s="14">
        <f t="shared" si="142"/>
        <v>1985864.27</v>
      </c>
      <c r="S455" s="6">
        <v>0.01</v>
      </c>
      <c r="T455" s="14">
        <f t="shared" si="143"/>
        <v>17074.529399999999</v>
      </c>
      <c r="U455" s="14">
        <f t="shared" si="144"/>
        <v>1094.6372000000001</v>
      </c>
      <c r="V455" s="14">
        <f t="shared" si="145"/>
        <v>501.69279999999998</v>
      </c>
      <c r="W455" s="14" t="str">
        <f t="shared" si="146"/>
        <v/>
      </c>
      <c r="X455" s="4">
        <v>17810.740000000002</v>
      </c>
      <c r="Y455" s="4">
        <v>100967.59</v>
      </c>
      <c r="Z455" s="4"/>
      <c r="AA455" s="14">
        <f t="shared" si="147"/>
        <v>137449.1894</v>
      </c>
      <c r="AB455" s="4">
        <v>133246.389</v>
      </c>
      <c r="AC455" s="4">
        <v>1707452.94</v>
      </c>
      <c r="AD455" s="14">
        <f t="shared" si="148"/>
        <v>109463.72</v>
      </c>
      <c r="AE455" s="14">
        <f t="shared" si="149"/>
        <v>50169.279999999999</v>
      </c>
      <c r="AF455" s="14" t="str">
        <f t="shared" si="150"/>
        <v/>
      </c>
      <c r="AG455" s="15">
        <f t="shared" si="151"/>
        <v>1867085.94</v>
      </c>
      <c r="AH455" s="4">
        <v>1524885.95</v>
      </c>
      <c r="AI455" s="17">
        <f t="shared" si="152"/>
        <v>342199.99</v>
      </c>
      <c r="AJ455" s="7">
        <f t="shared" si="156"/>
        <v>3.4946192014570041</v>
      </c>
      <c r="AK455" s="7">
        <f t="shared" si="157"/>
        <v>1.3580760317197518</v>
      </c>
      <c r="AL455" s="7">
        <f t="shared" si="158"/>
        <v>5.136838328020521</v>
      </c>
      <c r="AM455" s="7" t="str">
        <f t="shared" si="159"/>
        <v/>
      </c>
      <c r="AN455" s="4">
        <v>8364.2237165623501</v>
      </c>
      <c r="AO455" s="4">
        <v>0</v>
      </c>
      <c r="AP455" s="14">
        <f t="shared" si="153"/>
        <v>1533250.1737165623</v>
      </c>
      <c r="AQ455" s="14">
        <f t="shared" si="154"/>
        <v>1524885.95</v>
      </c>
      <c r="AR455" s="8">
        <v>57394.04</v>
      </c>
      <c r="AS455" s="20">
        <v>26.568715999999998</v>
      </c>
      <c r="AT455" s="8">
        <v>41276918.642555118</v>
      </c>
      <c r="AU455" s="8">
        <v>26481.190399999999</v>
      </c>
      <c r="AV455" s="8">
        <v>1147.6151</v>
      </c>
      <c r="AW455" s="8"/>
      <c r="AX455" s="9">
        <v>434.09516467233192</v>
      </c>
      <c r="AY455" s="6">
        <f t="shared" si="160"/>
        <v>2.2266164847277004E-2</v>
      </c>
      <c r="AZ455" s="8">
        <v>416963339.37349999</v>
      </c>
      <c r="BA455" s="10">
        <v>60480066</v>
      </c>
      <c r="BB455" s="11">
        <v>41276918.642555118</v>
      </c>
      <c r="BC455" s="10">
        <v>2971324</v>
      </c>
      <c r="BD455" s="10">
        <f>1000000000-999298385.6644+229405.2871</f>
        <v>931019.62270001846</v>
      </c>
      <c r="BE455" s="12">
        <f t="shared" si="161"/>
        <v>477377332.36124486</v>
      </c>
      <c r="BF455" s="13">
        <v>234.98815500000001</v>
      </c>
      <c r="BG455" s="13">
        <f t="shared" si="162"/>
        <v>242.38917736124483</v>
      </c>
      <c r="BH455" s="14">
        <f>BE455*26.46</f>
        <v>12631404214.27854</v>
      </c>
    </row>
    <row r="456" spans="1:60" x14ac:dyDescent="0.25">
      <c r="A456" s="3">
        <v>46078</v>
      </c>
      <c r="B456" s="4">
        <v>6793605832</v>
      </c>
      <c r="C456" s="4">
        <v>1951098085.52</v>
      </c>
      <c r="D456" s="4">
        <v>183375790</v>
      </c>
      <c r="E456" s="4"/>
      <c r="F456" s="17">
        <v>1136064843.8676391</v>
      </c>
      <c r="G456" s="17">
        <v>62547229.854129687</v>
      </c>
      <c r="H456" s="17">
        <v>17142425.423464011</v>
      </c>
      <c r="I456" s="17">
        <v>410925552.65412551</v>
      </c>
      <c r="J456" s="17">
        <v>100943.8374181157</v>
      </c>
      <c r="K456" s="17">
        <v>324317089.88322371</v>
      </c>
      <c r="L456" s="14">
        <f t="shared" si="155"/>
        <v>1951098085.5200002</v>
      </c>
      <c r="M456" s="21">
        <v>1.0258710035569081</v>
      </c>
      <c r="N456" s="4">
        <v>2407397.5</v>
      </c>
      <c r="O456" s="4">
        <v>241525.24</v>
      </c>
      <c r="P456" s="4">
        <v>83507.25</v>
      </c>
      <c r="Q456" s="4"/>
      <c r="R456" s="14">
        <f t="shared" si="142"/>
        <v>2732429.99</v>
      </c>
      <c r="S456" s="6">
        <v>0.01</v>
      </c>
      <c r="T456" s="14">
        <f t="shared" si="143"/>
        <v>24073.975000000002</v>
      </c>
      <c r="U456" s="14">
        <f t="shared" si="144"/>
        <v>1295.7418</v>
      </c>
      <c r="V456" s="14">
        <f t="shared" si="145"/>
        <v>632.54079999999999</v>
      </c>
      <c r="W456" s="14" t="str">
        <f t="shared" si="146"/>
        <v/>
      </c>
      <c r="X456" s="4">
        <v>20253.169999999998</v>
      </c>
      <c r="Y456" s="4">
        <v>111951.06</v>
      </c>
      <c r="Z456" s="4"/>
      <c r="AA456" s="14">
        <f t="shared" si="147"/>
        <v>158206.48759999999</v>
      </c>
      <c r="AB456" s="4">
        <v>217216.3406</v>
      </c>
      <c r="AC456" s="4">
        <v>2407397.5</v>
      </c>
      <c r="AD456" s="14">
        <f t="shared" si="148"/>
        <v>129574.18</v>
      </c>
      <c r="AE456" s="14">
        <f t="shared" si="149"/>
        <v>63254.080000000002</v>
      </c>
      <c r="AF456" s="14" t="str">
        <f t="shared" si="150"/>
        <v/>
      </c>
      <c r="AG456" s="15">
        <f t="shared" si="151"/>
        <v>2600225.7600000002</v>
      </c>
      <c r="AH456" s="4">
        <v>2068588.58</v>
      </c>
      <c r="AI456" s="17">
        <f t="shared" si="152"/>
        <v>531637.18000000017</v>
      </c>
      <c r="AJ456" s="7">
        <f t="shared" si="156"/>
        <v>3.5436225761883442</v>
      </c>
      <c r="AK456" s="7">
        <f t="shared" si="157"/>
        <v>1.2378938905863848</v>
      </c>
      <c r="AL456" s="7">
        <f t="shared" si="158"/>
        <v>4.5538863118190243</v>
      </c>
      <c r="AM456" s="7" t="str">
        <f t="shared" si="159"/>
        <v/>
      </c>
      <c r="AN456" s="4">
        <v>10130.15959359433</v>
      </c>
      <c r="AO456" s="4">
        <v>13611.56</v>
      </c>
      <c r="AP456" s="14">
        <f t="shared" si="153"/>
        <v>2092330.2995935944</v>
      </c>
      <c r="AQ456" s="14">
        <f t="shared" si="154"/>
        <v>2068588.58</v>
      </c>
      <c r="AR456" s="8">
        <v>73876</v>
      </c>
      <c r="AS456" s="20">
        <v>28.000820000000001</v>
      </c>
      <c r="AT456" s="8">
        <v>41351763.562555119</v>
      </c>
      <c r="AU456" s="8">
        <v>26474.092700000001</v>
      </c>
      <c r="AV456" s="8">
        <v>295.22500000000002</v>
      </c>
      <c r="AW456" s="8"/>
      <c r="AX456" s="9">
        <v>433.9889239776067</v>
      </c>
      <c r="AY456" s="6">
        <f t="shared" si="160"/>
        <v>2.2265646198838477E-2</v>
      </c>
      <c r="AZ456" s="8">
        <v>416936865.28070003</v>
      </c>
      <c r="BA456" s="10">
        <v>60480066</v>
      </c>
      <c r="BB456" s="11">
        <v>41351763.562555119</v>
      </c>
      <c r="BC456" s="10">
        <v>2971324</v>
      </c>
      <c r="BD456" s="10">
        <f>1000000000-999298090.4394+229777.2135</f>
        <v>931686.77410004241</v>
      </c>
      <c r="BE456" s="12">
        <f t="shared" si="161"/>
        <v>477328294.38264483</v>
      </c>
      <c r="BF456" s="13">
        <v>234.98815500000001</v>
      </c>
      <c r="BG456" s="13">
        <f t="shared" si="162"/>
        <v>242.34013938264485</v>
      </c>
      <c r="BH456" s="14">
        <f>BE456*27.26</f>
        <v>13011969304.870899</v>
      </c>
    </row>
    <row r="457" spans="1:60" x14ac:dyDescent="0.25">
      <c r="A457" s="3">
        <v>46079</v>
      </c>
      <c r="B457" s="4">
        <v>4577596408</v>
      </c>
      <c r="C457" s="4">
        <v>1691069245.3399999</v>
      </c>
      <c r="D457" s="4">
        <v>105931309</v>
      </c>
      <c r="E457" s="4"/>
      <c r="F457" s="17">
        <v>845419136.20946097</v>
      </c>
      <c r="G457" s="17">
        <v>35068786.981989346</v>
      </c>
      <c r="H457" s="17">
        <v>13507569.724855671</v>
      </c>
      <c r="I457" s="17">
        <v>438399044.27404368</v>
      </c>
      <c r="J457" s="17">
        <v>258312.67552209299</v>
      </c>
      <c r="K457" s="17">
        <v>358416395.47412819</v>
      </c>
      <c r="L457" s="14">
        <f t="shared" si="155"/>
        <v>1691069245.3399999</v>
      </c>
      <c r="M457" s="21">
        <v>0.96423547128514686</v>
      </c>
      <c r="N457" s="4">
        <v>1598305.01</v>
      </c>
      <c r="O457" s="4">
        <v>210072.94</v>
      </c>
      <c r="P457" s="4">
        <v>56285.49</v>
      </c>
      <c r="Q457" s="4"/>
      <c r="R457" s="14">
        <f t="shared" si="142"/>
        <v>1864663.44</v>
      </c>
      <c r="S457" s="6">
        <v>0.01</v>
      </c>
      <c r="T457" s="14">
        <f t="shared" si="143"/>
        <v>15983.0501</v>
      </c>
      <c r="U457" s="14">
        <f t="shared" si="144"/>
        <v>1106.4835</v>
      </c>
      <c r="V457" s="14">
        <f t="shared" si="145"/>
        <v>469.96850000000001</v>
      </c>
      <c r="W457" s="14" t="str">
        <f t="shared" si="146"/>
        <v/>
      </c>
      <c r="X457" s="4">
        <v>9288.64</v>
      </c>
      <c r="Y457" s="4">
        <v>99424.59</v>
      </c>
      <c r="Z457" s="4"/>
      <c r="AA457" s="14">
        <f t="shared" si="147"/>
        <v>126272.73209999999</v>
      </c>
      <c r="AB457" s="4">
        <v>211481.29829999999</v>
      </c>
      <c r="AC457" s="4">
        <v>1598305.01</v>
      </c>
      <c r="AD457" s="14">
        <f t="shared" si="148"/>
        <v>110648.35</v>
      </c>
      <c r="AE457" s="14">
        <f t="shared" si="149"/>
        <v>46996.85</v>
      </c>
      <c r="AF457" s="14" t="str">
        <f t="shared" si="150"/>
        <v/>
      </c>
      <c r="AG457" s="15">
        <f t="shared" si="151"/>
        <v>1755950.2100000002</v>
      </c>
      <c r="AH457" s="4">
        <v>1384956.11</v>
      </c>
      <c r="AI457" s="17">
        <f t="shared" si="152"/>
        <v>370994.10000000009</v>
      </c>
      <c r="AJ457" s="7">
        <f t="shared" si="156"/>
        <v>3.4915813181055784</v>
      </c>
      <c r="AK457" s="7">
        <f t="shared" si="157"/>
        <v>1.2422491898477139</v>
      </c>
      <c r="AL457" s="7">
        <f t="shared" si="158"/>
        <v>5.3133951172075102</v>
      </c>
      <c r="AM457" s="7" t="str">
        <f t="shared" si="159"/>
        <v/>
      </c>
      <c r="AN457" s="4">
        <v>12597.5518444278</v>
      </c>
      <c r="AO457" s="4">
        <v>0</v>
      </c>
      <c r="AP457" s="14">
        <f t="shared" si="153"/>
        <v>1397553.6618444279</v>
      </c>
      <c r="AQ457" s="14">
        <f t="shared" si="154"/>
        <v>1384956.11</v>
      </c>
      <c r="AR457" s="8">
        <v>48734.85</v>
      </c>
      <c r="AS457" s="20">
        <v>28.418188000000001</v>
      </c>
      <c r="AT457" s="8">
        <v>41399624.502555117</v>
      </c>
      <c r="AU457" s="8">
        <v>26479.402900000001</v>
      </c>
      <c r="AV457" s="8">
        <v>1540.2927</v>
      </c>
      <c r="AW457" s="8"/>
      <c r="AX457" s="9">
        <v>434.06128590233499</v>
      </c>
      <c r="AY457" s="6">
        <f t="shared" si="160"/>
        <v>2.2266399636190197E-2</v>
      </c>
      <c r="AZ457" s="8">
        <v>416910385.8779</v>
      </c>
      <c r="BA457" s="10">
        <v>60480066</v>
      </c>
      <c r="BB457" s="11">
        <v>41399624.502555117</v>
      </c>
      <c r="BC457" s="10">
        <v>2971324</v>
      </c>
      <c r="BD457" s="10">
        <f>1000000000-999296550.1467+230225.1105</f>
        <v>933674.96379997535</v>
      </c>
      <c r="BE457" s="12">
        <f t="shared" si="161"/>
        <v>477304924.65574491</v>
      </c>
      <c r="BF457" s="13">
        <v>234.98815500000001</v>
      </c>
      <c r="BG457" s="13">
        <f t="shared" si="162"/>
        <v>242.31676965574491</v>
      </c>
      <c r="BH457" s="14">
        <f>BE457*28.16</f>
        <v>13440906678.305777</v>
      </c>
    </row>
    <row r="458" spans="1:60" x14ac:dyDescent="0.25">
      <c r="A458" s="3">
        <v>46080</v>
      </c>
      <c r="B458" s="4">
        <v>4093472434</v>
      </c>
      <c r="C458" s="4">
        <v>1475558277.8599999</v>
      </c>
      <c r="D458" s="4">
        <v>122529433</v>
      </c>
      <c r="E458" s="4"/>
      <c r="F458" s="17">
        <v>700114015.14667463</v>
      </c>
      <c r="G458" s="17">
        <v>34813388.961498842</v>
      </c>
      <c r="H458" s="17">
        <v>19988862.330815561</v>
      </c>
      <c r="I458" s="17">
        <v>438481610.36579478</v>
      </c>
      <c r="J458" s="17">
        <v>2722068.3934089299</v>
      </c>
      <c r="K458" s="17">
        <v>279438332.66180718</v>
      </c>
      <c r="L458" s="14">
        <f t="shared" si="155"/>
        <v>1475558277.8600001</v>
      </c>
      <c r="M458" s="21">
        <v>0.98023495453454723</v>
      </c>
      <c r="N458" s="4">
        <v>1391453.24</v>
      </c>
      <c r="O458" s="4">
        <v>237475.06</v>
      </c>
      <c r="P458" s="4">
        <v>54212.41</v>
      </c>
      <c r="Q458" s="4"/>
      <c r="R458" s="14">
        <f t="shared" si="142"/>
        <v>1683140.71</v>
      </c>
      <c r="S458" s="6">
        <v>0.01</v>
      </c>
      <c r="T458" s="14">
        <f t="shared" si="143"/>
        <v>13914.5324</v>
      </c>
      <c r="U458" s="14">
        <f t="shared" si="144"/>
        <v>1241.4911</v>
      </c>
      <c r="V458" s="14">
        <f t="shared" si="145"/>
        <v>439.45370000000003</v>
      </c>
      <c r="W458" s="14" t="str">
        <f t="shared" si="146"/>
        <v/>
      </c>
      <c r="X458" s="4">
        <v>10267.040000000001</v>
      </c>
      <c r="Y458" s="4">
        <v>113325.95</v>
      </c>
      <c r="Z458" s="4"/>
      <c r="AA458" s="14">
        <f t="shared" si="147"/>
        <v>139188.46720000001</v>
      </c>
      <c r="AB458" s="4">
        <v>180679.7984</v>
      </c>
      <c r="AC458" s="4">
        <v>1391453.24</v>
      </c>
      <c r="AD458" s="14">
        <f t="shared" si="148"/>
        <v>124149.11</v>
      </c>
      <c r="AE458" s="14">
        <f t="shared" si="149"/>
        <v>43945.37</v>
      </c>
      <c r="AF458" s="14" t="str">
        <f t="shared" si="150"/>
        <v/>
      </c>
      <c r="AG458" s="15">
        <f t="shared" si="151"/>
        <v>1559547.7200000002</v>
      </c>
      <c r="AH458" s="4">
        <v>1241030.22</v>
      </c>
      <c r="AI458" s="17">
        <f t="shared" si="152"/>
        <v>318517.50000000023</v>
      </c>
      <c r="AJ458" s="7">
        <f t="shared" si="156"/>
        <v>3.399200220435636</v>
      </c>
      <c r="AK458" s="7">
        <f t="shared" si="157"/>
        <v>1.6093912627050539</v>
      </c>
      <c r="AL458" s="7">
        <f t="shared" si="158"/>
        <v>4.4244397997010241</v>
      </c>
      <c r="AM458" s="7" t="str">
        <f t="shared" si="159"/>
        <v/>
      </c>
      <c r="AN458" s="4">
        <v>10600.93229495406</v>
      </c>
      <c r="AO458" s="4">
        <v>0</v>
      </c>
      <c r="AP458" s="14">
        <f t="shared" si="153"/>
        <v>1251631.1522949541</v>
      </c>
      <c r="AQ458" s="14">
        <f t="shared" si="154"/>
        <v>1241030.22</v>
      </c>
      <c r="AR458" s="8">
        <v>43891.24</v>
      </c>
      <c r="AS458" s="20">
        <v>28.275123000000001</v>
      </c>
      <c r="AT458" s="8">
        <v>41442853.142555118</v>
      </c>
      <c r="AU458" s="8">
        <v>26477.535100000001</v>
      </c>
      <c r="AV458" s="8">
        <v>942.62750000000005</v>
      </c>
      <c r="AW458" s="8"/>
      <c r="AX458" s="9">
        <v>434.15871457407161</v>
      </c>
      <c r="AY458" s="6">
        <f t="shared" si="160"/>
        <v>2.2259832607485708E-2</v>
      </c>
      <c r="AZ458" s="8">
        <v>416883908.34280002</v>
      </c>
      <c r="BA458" s="10">
        <v>60480066</v>
      </c>
      <c r="BB458" s="11">
        <v>41442853.142555118</v>
      </c>
      <c r="BC458" s="10">
        <v>2971324</v>
      </c>
      <c r="BD458" s="10">
        <f>1000000000-999295607.5192+230602.0459</f>
        <v>934994.52670003264</v>
      </c>
      <c r="BE458" s="12">
        <f t="shared" si="161"/>
        <v>477286853.98794484</v>
      </c>
      <c r="BF458" s="13">
        <v>234.98815500000001</v>
      </c>
      <c r="BG458" s="13">
        <f t="shared" si="162"/>
        <v>242.29869898794482</v>
      </c>
      <c r="BH458" s="14">
        <f>BE458*28.13</f>
        <v>13426079202.680887</v>
      </c>
    </row>
    <row r="459" spans="1:60" x14ac:dyDescent="0.25">
      <c r="A459" s="3">
        <v>46081</v>
      </c>
      <c r="B459" s="4">
        <v>5813852206</v>
      </c>
      <c r="C459" s="4">
        <v>802951253.58000004</v>
      </c>
      <c r="D459" s="4">
        <v>181318711</v>
      </c>
      <c r="E459" s="4"/>
      <c r="F459" s="17">
        <v>467572867.26749539</v>
      </c>
      <c r="G459" s="17">
        <v>42815167.40121872</v>
      </c>
      <c r="H459" s="17">
        <v>19020110.718039691</v>
      </c>
      <c r="I459" s="17">
        <v>133765557.1306874</v>
      </c>
      <c r="J459" s="17">
        <v>4934775.8868216416</v>
      </c>
      <c r="K459" s="17">
        <v>134842775.1757372</v>
      </c>
      <c r="L459" s="14">
        <f t="shared" si="155"/>
        <v>802951253.57999992</v>
      </c>
      <c r="M459" s="21">
        <v>0.99497942681163176</v>
      </c>
      <c r="N459" s="4">
        <v>2062899.5</v>
      </c>
      <c r="O459" s="4">
        <v>286068.33</v>
      </c>
      <c r="P459" s="4">
        <v>85725.36</v>
      </c>
      <c r="Q459" s="4"/>
      <c r="R459" s="14">
        <f t="shared" si="142"/>
        <v>2434693.19</v>
      </c>
      <c r="S459" s="6">
        <v>0.01</v>
      </c>
      <c r="T459" s="14">
        <f t="shared" si="143"/>
        <v>20628.994999999999</v>
      </c>
      <c r="U459" s="14">
        <f t="shared" si="144"/>
        <v>1489.8707000000002</v>
      </c>
      <c r="V459" s="14">
        <f t="shared" si="145"/>
        <v>680.72199999999998</v>
      </c>
      <c r="W459" s="14" t="str">
        <f t="shared" si="146"/>
        <v/>
      </c>
      <c r="X459" s="4">
        <v>17653.16</v>
      </c>
      <c r="Y459" s="4">
        <v>137081.26</v>
      </c>
      <c r="Z459" s="4"/>
      <c r="AA459" s="14">
        <f t="shared" si="147"/>
        <v>177534.00770000002</v>
      </c>
      <c r="AB459" s="4">
        <v>192610.23449999999</v>
      </c>
      <c r="AC459" s="4">
        <v>2062899.5</v>
      </c>
      <c r="AD459" s="14">
        <f t="shared" si="148"/>
        <v>148987.07</v>
      </c>
      <c r="AE459" s="14">
        <f t="shared" si="149"/>
        <v>68072.2</v>
      </c>
      <c r="AF459" s="14" t="str">
        <f t="shared" si="150"/>
        <v/>
      </c>
      <c r="AG459" s="15">
        <f t="shared" si="151"/>
        <v>2279958.77</v>
      </c>
      <c r="AH459" s="4">
        <v>1816154.84</v>
      </c>
      <c r="AI459" s="17">
        <f t="shared" si="152"/>
        <v>463803.92999999993</v>
      </c>
      <c r="AJ459" s="7">
        <f t="shared" si="156"/>
        <v>3.5482489525121581</v>
      </c>
      <c r="AK459" s="7">
        <f t="shared" si="157"/>
        <v>3.5627110453411639</v>
      </c>
      <c r="AL459" s="7">
        <f t="shared" si="158"/>
        <v>4.7278827169690167</v>
      </c>
      <c r="AM459" s="7" t="str">
        <f t="shared" si="159"/>
        <v/>
      </c>
      <c r="AN459" s="4">
        <v>16631.483221898499</v>
      </c>
      <c r="AO459" s="4">
        <v>0</v>
      </c>
      <c r="AP459" s="14">
        <f t="shared" si="153"/>
        <v>1832786.3232218986</v>
      </c>
      <c r="AQ459" s="14">
        <f t="shared" si="154"/>
        <v>1816154.84</v>
      </c>
      <c r="AR459" s="8">
        <v>64310.67</v>
      </c>
      <c r="AS459" s="20">
        <v>28.240335000000002</v>
      </c>
      <c r="AT459" s="8">
        <v>41510423.482555121</v>
      </c>
      <c r="AU459" s="8">
        <v>26484.851200000001</v>
      </c>
      <c r="AV459" s="8">
        <v>944.56910000000005</v>
      </c>
      <c r="AW459" s="8"/>
      <c r="AX459" s="9">
        <v>434.83915382932878</v>
      </c>
      <c r="AY459" s="6">
        <f t="shared" si="160"/>
        <v>2.223114133782492E-2</v>
      </c>
      <c r="AZ459" s="8">
        <v>416857423.49159998</v>
      </c>
      <c r="BA459" s="10">
        <v>60480066</v>
      </c>
      <c r="BB459" s="11">
        <v>41510423.482555121</v>
      </c>
      <c r="BC459" s="10">
        <v>2971324</v>
      </c>
      <c r="BD459" s="10">
        <f>1000000000-999294662.9501+231210.2107</f>
        <v>936547.26060005487</v>
      </c>
      <c r="BE459" s="12">
        <f t="shared" si="161"/>
        <v>477244215.76524478</v>
      </c>
      <c r="BF459" s="13">
        <v>234.98815500000001</v>
      </c>
      <c r="BG459" s="13">
        <f t="shared" si="162"/>
        <v>242.2560607652448</v>
      </c>
      <c r="BH459" s="14">
        <f>BE459*27.36</f>
        <v>13057401743.337097</v>
      </c>
    </row>
    <row r="460" spans="1:60" x14ac:dyDescent="0.25">
      <c r="A460" s="3">
        <v>46082</v>
      </c>
      <c r="B460" s="4">
        <v>4562569399</v>
      </c>
      <c r="C460" s="4">
        <v>684903060.21000004</v>
      </c>
      <c r="D460" s="4">
        <v>155673348</v>
      </c>
      <c r="E460" s="4"/>
      <c r="F460" s="17">
        <v>408591375.93841839</v>
      </c>
      <c r="G460" s="17">
        <v>37771525.807659157</v>
      </c>
      <c r="H460" s="17">
        <v>21003880.806426279</v>
      </c>
      <c r="I460" s="17">
        <v>129063990.13728669</v>
      </c>
      <c r="J460" s="17">
        <v>374915.99171944859</v>
      </c>
      <c r="K460" s="17">
        <v>88097371.528489977</v>
      </c>
      <c r="L460" s="14">
        <f t="shared" si="155"/>
        <v>684903060.20999992</v>
      </c>
      <c r="M460" s="21">
        <v>1.028622026798057</v>
      </c>
      <c r="N460" s="4">
        <v>1658367.39</v>
      </c>
      <c r="O460" s="4">
        <v>191793.57</v>
      </c>
      <c r="P460" s="4">
        <v>70224.73000000001</v>
      </c>
      <c r="Q460" s="4"/>
      <c r="R460" s="14">
        <f t="shared" si="142"/>
        <v>1920385.69</v>
      </c>
      <c r="S460" s="6">
        <v>0.01</v>
      </c>
      <c r="T460" s="14">
        <f t="shared" si="143"/>
        <v>16583.673899999998</v>
      </c>
      <c r="U460" s="14">
        <f t="shared" si="144"/>
        <v>1005.1718000000001</v>
      </c>
      <c r="V460" s="14">
        <f t="shared" si="145"/>
        <v>532.47730000000013</v>
      </c>
      <c r="W460" s="14" t="str">
        <f t="shared" si="146"/>
        <v/>
      </c>
      <c r="X460" s="4">
        <v>16977</v>
      </c>
      <c r="Y460" s="4">
        <v>91276.39</v>
      </c>
      <c r="Z460" s="4"/>
      <c r="AA460" s="14">
        <f t="shared" si="147"/>
        <v>126374.71299999999</v>
      </c>
      <c r="AB460" s="4">
        <v>143472.66810000001</v>
      </c>
      <c r="AC460" s="4">
        <v>1658367.39</v>
      </c>
      <c r="AD460" s="14">
        <f t="shared" si="148"/>
        <v>100517.18000000001</v>
      </c>
      <c r="AE460" s="14">
        <f t="shared" si="149"/>
        <v>53247.73000000001</v>
      </c>
      <c r="AF460" s="14" t="str">
        <f t="shared" si="150"/>
        <v/>
      </c>
      <c r="AG460" s="15">
        <f t="shared" si="151"/>
        <v>1812132.2999999998</v>
      </c>
      <c r="AH460" s="4">
        <v>1523583.7</v>
      </c>
      <c r="AI460" s="17">
        <f t="shared" si="152"/>
        <v>288548.59999999986</v>
      </c>
      <c r="AJ460" s="7">
        <f t="shared" si="156"/>
        <v>3.6347225542771406</v>
      </c>
      <c r="AK460" s="7">
        <f t="shared" si="157"/>
        <v>2.8003024244218393</v>
      </c>
      <c r="AL460" s="7">
        <f t="shared" si="158"/>
        <v>4.5110310083393346</v>
      </c>
      <c r="AM460" s="7" t="str">
        <f t="shared" si="159"/>
        <v/>
      </c>
      <c r="AN460" s="4">
        <v>22563.904260134332</v>
      </c>
      <c r="AO460" s="4">
        <v>0</v>
      </c>
      <c r="AP460" s="14">
        <f t="shared" si="153"/>
        <v>1546147.6042601343</v>
      </c>
      <c r="AQ460" s="14">
        <f t="shared" si="154"/>
        <v>1523583.7</v>
      </c>
      <c r="AR460" s="8">
        <v>48978.8</v>
      </c>
      <c r="AS460" s="20">
        <v>31.107002999999999</v>
      </c>
      <c r="AT460" s="8">
        <v>41556617.112555116</v>
      </c>
      <c r="AU460" s="8">
        <v>26501.214100000001</v>
      </c>
      <c r="AV460" s="8">
        <v>1317.0528999999999</v>
      </c>
      <c r="AW460" s="8"/>
      <c r="AX460" s="9">
        <v>434.96077052027732</v>
      </c>
      <c r="AY460" s="6">
        <f t="shared" si="160"/>
        <v>2.2238656453844634E-2</v>
      </c>
      <c r="AZ460" s="8">
        <v>416830922.27749997</v>
      </c>
      <c r="BA460" s="10">
        <v>60480066</v>
      </c>
      <c r="BB460" s="11">
        <v>41556617.112555116</v>
      </c>
      <c r="BC460" s="10">
        <v>2971324</v>
      </c>
      <c r="BD460" s="10">
        <f>1000000000-999293345.8972+231941.2859</f>
        <v>938595.38870001165</v>
      </c>
      <c r="BE460" s="12">
        <f t="shared" si="161"/>
        <v>477222475.22124493</v>
      </c>
      <c r="BF460" s="13">
        <v>234.98815500000001</v>
      </c>
      <c r="BG460" s="13">
        <f t="shared" si="162"/>
        <v>242.2343202212449</v>
      </c>
      <c r="BH460" s="14">
        <f>BE460*30.89</f>
        <v>14741402259.584257</v>
      </c>
    </row>
    <row r="461" spans="1:60" x14ac:dyDescent="0.25">
      <c r="A461" s="3">
        <v>46083</v>
      </c>
      <c r="B461" s="4">
        <v>6232167814</v>
      </c>
      <c r="C461" s="4">
        <v>2597800806.8099999</v>
      </c>
      <c r="D461" s="4">
        <v>190929156</v>
      </c>
      <c r="E461" s="4"/>
      <c r="F461" s="17">
        <v>1512374961.7216721</v>
      </c>
      <c r="G461" s="17">
        <v>41833489.886393636</v>
      </c>
      <c r="H461" s="17">
        <v>22215873.733084921</v>
      </c>
      <c r="I461" s="17">
        <v>636643720.84775662</v>
      </c>
      <c r="J461" s="17">
        <v>183597.09071939799</v>
      </c>
      <c r="K461" s="17">
        <v>384549163.53037411</v>
      </c>
      <c r="L461" s="14">
        <f t="shared" si="155"/>
        <v>2597800806.8100004</v>
      </c>
      <c r="M461" s="21">
        <v>0.9833119975674639</v>
      </c>
      <c r="N461" s="4">
        <v>1996248.92</v>
      </c>
      <c r="O461" s="4">
        <v>366245.44</v>
      </c>
      <c r="P461" s="4">
        <v>88931.81</v>
      </c>
      <c r="Q461" s="4"/>
      <c r="R461" s="14">
        <f t="shared" si="142"/>
        <v>2451426.17</v>
      </c>
      <c r="S461" s="6">
        <v>0.01</v>
      </c>
      <c r="T461" s="14">
        <f t="shared" si="143"/>
        <v>19962.4892</v>
      </c>
      <c r="U461" s="14">
        <f t="shared" si="144"/>
        <v>1883.5943</v>
      </c>
      <c r="V461" s="14">
        <f t="shared" si="145"/>
        <v>737.08019999999988</v>
      </c>
      <c r="W461" s="14" t="str">
        <f t="shared" si="146"/>
        <v/>
      </c>
      <c r="X461" s="4">
        <v>15223.79</v>
      </c>
      <c r="Y461" s="4">
        <v>177886.01</v>
      </c>
      <c r="Z461" s="4"/>
      <c r="AA461" s="14">
        <f t="shared" si="147"/>
        <v>215692.96370000002</v>
      </c>
      <c r="AB461" s="4">
        <v>190818.239</v>
      </c>
      <c r="AC461" s="4">
        <v>1996248.92</v>
      </c>
      <c r="AD461" s="14">
        <f t="shared" si="148"/>
        <v>188359.43</v>
      </c>
      <c r="AE461" s="14">
        <f t="shared" si="149"/>
        <v>73708.01999999999</v>
      </c>
      <c r="AF461" s="14" t="str">
        <f t="shared" si="150"/>
        <v/>
      </c>
      <c r="AG461" s="15">
        <f t="shared" si="151"/>
        <v>2258316.37</v>
      </c>
      <c r="AH461" s="4">
        <v>1947703.99</v>
      </c>
      <c r="AI461" s="17">
        <f t="shared" si="152"/>
        <v>310612.38000000012</v>
      </c>
      <c r="AJ461" s="7">
        <f t="shared" si="156"/>
        <v>3.2031373024256626</v>
      </c>
      <c r="AK461" s="7">
        <f t="shared" si="157"/>
        <v>1.4098288022696219</v>
      </c>
      <c r="AL461" s="7">
        <f t="shared" si="158"/>
        <v>4.6578433521174736</v>
      </c>
      <c r="AM461" s="7" t="str">
        <f t="shared" si="159"/>
        <v/>
      </c>
      <c r="AN461" s="4">
        <v>21404.02469278494</v>
      </c>
      <c r="AO461" s="4">
        <v>0</v>
      </c>
      <c r="AP461" s="14">
        <f t="shared" si="153"/>
        <v>1969108.014692785</v>
      </c>
      <c r="AQ461" s="14">
        <f t="shared" si="154"/>
        <v>1947703.99</v>
      </c>
      <c r="AR461" s="8">
        <v>60737.14</v>
      </c>
      <c r="AS461" s="20">
        <v>32.067759000000002</v>
      </c>
      <c r="AT461" s="8">
        <v>41617798.212555118</v>
      </c>
      <c r="AU461" s="8">
        <v>26486.9061</v>
      </c>
      <c r="AV461" s="8">
        <v>452.12270000000001</v>
      </c>
      <c r="AW461" s="8"/>
      <c r="AX461" s="9">
        <v>434.60746103567351</v>
      </c>
      <c r="AY461" s="6">
        <f t="shared" si="160"/>
        <v>2.2244718724942585E-2</v>
      </c>
      <c r="AZ461" s="8">
        <v>416804435.37150002</v>
      </c>
      <c r="BA461" s="10">
        <v>60480066</v>
      </c>
      <c r="BB461" s="11">
        <v>41617798.212555118</v>
      </c>
      <c r="BC461" s="10">
        <v>2971324</v>
      </c>
      <c r="BD461" s="10">
        <f>1000000000-999292893.7745+232598.7385</f>
        <v>939704.96399998758</v>
      </c>
      <c r="BE461" s="12">
        <f t="shared" si="161"/>
        <v>477186671.45194489</v>
      </c>
      <c r="BF461" s="13">
        <v>234.98815500000001</v>
      </c>
      <c r="BG461" s="13">
        <f t="shared" si="162"/>
        <v>242.1985164519449</v>
      </c>
      <c r="BH461" s="14">
        <f>BE461*32.58</f>
        <v>15546741755.904364</v>
      </c>
    </row>
    <row r="462" spans="1:60" x14ac:dyDescent="0.25">
      <c r="A462" s="3">
        <v>46084</v>
      </c>
      <c r="B462" s="4">
        <v>6206429313</v>
      </c>
      <c r="C462" s="4">
        <v>3932725411.8099999</v>
      </c>
      <c r="D462" s="4">
        <v>173677275</v>
      </c>
      <c r="E462" s="4"/>
      <c r="F462" s="17">
        <v>2284255839.8663239</v>
      </c>
      <c r="G462" s="17">
        <v>39983896.945321642</v>
      </c>
      <c r="H462" s="17">
        <v>21514539.19172626</v>
      </c>
      <c r="I462" s="17">
        <v>1074531909.1122389</v>
      </c>
      <c r="J462" s="17">
        <v>599086.21971603716</v>
      </c>
      <c r="K462" s="17">
        <v>511840140.47467339</v>
      </c>
      <c r="L462" s="14">
        <f t="shared" si="155"/>
        <v>3932725411.8099999</v>
      </c>
      <c r="M462" s="21">
        <v>1.002277094651278</v>
      </c>
      <c r="N462" s="4">
        <v>1975058.94</v>
      </c>
      <c r="O462" s="4">
        <v>526824.74</v>
      </c>
      <c r="P462" s="4">
        <v>78020.91</v>
      </c>
      <c r="Q462" s="4"/>
      <c r="R462" s="14">
        <f t="shared" si="142"/>
        <v>2579904.59</v>
      </c>
      <c r="S462" s="6">
        <v>0.01</v>
      </c>
      <c r="T462" s="14">
        <f t="shared" si="143"/>
        <v>19750.589400000001</v>
      </c>
      <c r="U462" s="14">
        <f t="shared" si="144"/>
        <v>2683.8211000000001</v>
      </c>
      <c r="V462" s="14">
        <f t="shared" si="145"/>
        <v>621.98760000000004</v>
      </c>
      <c r="W462" s="14" t="str">
        <f t="shared" si="146"/>
        <v/>
      </c>
      <c r="X462" s="4">
        <v>15822.15</v>
      </c>
      <c r="Y462" s="4">
        <v>258442.63</v>
      </c>
      <c r="Z462" s="4"/>
      <c r="AA462" s="14">
        <f t="shared" si="147"/>
        <v>297321.17810000002</v>
      </c>
      <c r="AB462" s="4">
        <v>182373.34570000001</v>
      </c>
      <c r="AC462" s="4">
        <v>1975058.94</v>
      </c>
      <c r="AD462" s="14">
        <f t="shared" si="148"/>
        <v>268382.11</v>
      </c>
      <c r="AE462" s="14">
        <f t="shared" si="149"/>
        <v>62198.76</v>
      </c>
      <c r="AF462" s="14" t="str">
        <f t="shared" si="150"/>
        <v/>
      </c>
      <c r="AG462" s="15">
        <f t="shared" si="151"/>
        <v>2305639.8099999996</v>
      </c>
      <c r="AH462" s="4">
        <v>1953548.3</v>
      </c>
      <c r="AI462" s="17">
        <f t="shared" si="152"/>
        <v>352091.50999999954</v>
      </c>
      <c r="AJ462" s="7">
        <f t="shared" si="156"/>
        <v>3.1822789568601664</v>
      </c>
      <c r="AK462" s="7">
        <f t="shared" si="157"/>
        <v>1.3395919746086058</v>
      </c>
      <c r="AL462" s="7">
        <f t="shared" si="158"/>
        <v>4.4922923854027532</v>
      </c>
      <c r="AM462" s="7" t="str">
        <f t="shared" si="159"/>
        <v/>
      </c>
      <c r="AN462" s="4">
        <v>17606.680841902431</v>
      </c>
      <c r="AO462" s="4">
        <v>0</v>
      </c>
      <c r="AP462" s="14">
        <f t="shared" si="153"/>
        <v>1971154.9808419026</v>
      </c>
      <c r="AQ462" s="14">
        <f t="shared" si="154"/>
        <v>1953548.3</v>
      </c>
      <c r="AR462" s="8">
        <v>61086.15</v>
      </c>
      <c r="AS462" s="20">
        <v>31.980215999999999</v>
      </c>
      <c r="AT462" s="8">
        <v>41678676.45255512</v>
      </c>
      <c r="AU462" s="8">
        <v>26494.681499999999</v>
      </c>
      <c r="AV462" s="8">
        <v>1275.1256000000001</v>
      </c>
      <c r="AW462" s="8"/>
      <c r="AX462" s="9">
        <v>434.73604258711549</v>
      </c>
      <c r="AY462" s="6">
        <f t="shared" si="160"/>
        <v>2.2244667568740044E-2</v>
      </c>
      <c r="AZ462" s="8">
        <v>416777940.68989998</v>
      </c>
      <c r="BA462" s="10">
        <v>60480066</v>
      </c>
      <c r="BB462" s="11">
        <v>41678676.45255512</v>
      </c>
      <c r="BC462" s="10">
        <v>2971324</v>
      </c>
      <c r="BD462" s="10">
        <f>1000000000-999291618.6489+233143.1964</f>
        <v>941524.54749996797</v>
      </c>
      <c r="BE462" s="12">
        <f t="shared" si="161"/>
        <v>477150468.310045</v>
      </c>
      <c r="BF462" s="13">
        <v>234.98815500000001</v>
      </c>
      <c r="BG462" s="13">
        <f t="shared" si="162"/>
        <v>242.16231331004502</v>
      </c>
      <c r="BH462" s="14">
        <f>BE462*32.36</f>
        <v>15440589154.513056</v>
      </c>
    </row>
    <row r="463" spans="1:60" x14ac:dyDescent="0.25">
      <c r="A463" s="3">
        <v>46085</v>
      </c>
      <c r="B463" s="4">
        <v>7725337061</v>
      </c>
      <c r="C463" s="4">
        <v>2616814188.4699998</v>
      </c>
      <c r="D463" s="4">
        <v>241897815</v>
      </c>
      <c r="E463" s="4"/>
      <c r="F463" s="17">
        <v>1410104885.3033791</v>
      </c>
      <c r="G463" s="17">
        <v>60708469.914325736</v>
      </c>
      <c r="H463" s="17">
        <v>24642116.50240666</v>
      </c>
      <c r="I463" s="17">
        <v>736593290.77535868</v>
      </c>
      <c r="J463" s="17">
        <v>394882.10616368853</v>
      </c>
      <c r="K463" s="17">
        <v>384370543.868366</v>
      </c>
      <c r="L463" s="14">
        <f t="shared" si="155"/>
        <v>2616814188.4699993</v>
      </c>
      <c r="M463" s="21">
        <v>0.9896458457256061</v>
      </c>
      <c r="N463" s="4">
        <v>2658960.61</v>
      </c>
      <c r="O463" s="4">
        <v>299310.89</v>
      </c>
      <c r="P463" s="4">
        <v>120420.36</v>
      </c>
      <c r="Q463" s="4"/>
      <c r="R463" s="14">
        <f t="shared" si="142"/>
        <v>3078691.86</v>
      </c>
      <c r="S463" s="6">
        <v>0.01</v>
      </c>
      <c r="T463" s="14">
        <f t="shared" si="143"/>
        <v>26589.606100000001</v>
      </c>
      <c r="U463" s="14">
        <f t="shared" si="144"/>
        <v>1579.5372</v>
      </c>
      <c r="V463" s="14">
        <f t="shared" si="145"/>
        <v>862.96510000000012</v>
      </c>
      <c r="W463" s="14" t="str">
        <f t="shared" si="146"/>
        <v/>
      </c>
      <c r="X463" s="4">
        <v>34123.85</v>
      </c>
      <c r="Y463" s="4">
        <v>141357.17000000001</v>
      </c>
      <c r="Z463" s="4"/>
      <c r="AA463" s="14">
        <f t="shared" si="147"/>
        <v>204513.12840000002</v>
      </c>
      <c r="AB463" s="4">
        <v>211563.2782</v>
      </c>
      <c r="AC463" s="4">
        <v>2658960.61</v>
      </c>
      <c r="AD463" s="14">
        <f t="shared" si="148"/>
        <v>157953.72</v>
      </c>
      <c r="AE463" s="14">
        <f t="shared" si="149"/>
        <v>86296.510000000009</v>
      </c>
      <c r="AF463" s="14" t="str">
        <f t="shared" si="150"/>
        <v/>
      </c>
      <c r="AG463" s="15">
        <f t="shared" si="151"/>
        <v>2903210.84</v>
      </c>
      <c r="AH463" s="4">
        <v>2329772.04</v>
      </c>
      <c r="AI463" s="17">
        <f t="shared" si="152"/>
        <v>573438.79999999981</v>
      </c>
      <c r="AJ463" s="7">
        <f t="shared" si="156"/>
        <v>3.4418700297535145</v>
      </c>
      <c r="AK463" s="7">
        <f t="shared" si="157"/>
        <v>1.143798789072606</v>
      </c>
      <c r="AL463" s="7">
        <f t="shared" si="158"/>
        <v>4.9781499679937165</v>
      </c>
      <c r="AM463" s="7" t="str">
        <f t="shared" si="159"/>
        <v/>
      </c>
      <c r="AN463" s="4">
        <v>15481.6770500763</v>
      </c>
      <c r="AO463" s="4">
        <v>0</v>
      </c>
      <c r="AP463" s="14">
        <f t="shared" si="153"/>
        <v>2345253.7170500765</v>
      </c>
      <c r="AQ463" s="14">
        <f t="shared" si="154"/>
        <v>2329772.04</v>
      </c>
      <c r="AR463" s="8">
        <v>72184.460000000006</v>
      </c>
      <c r="AS463" s="20">
        <v>32.275258000000001</v>
      </c>
      <c r="AT463" s="8">
        <v>41752866.622555122</v>
      </c>
      <c r="AU463" s="8">
        <v>26499.3397</v>
      </c>
      <c r="AV463" s="8">
        <v>1026.5822000000001</v>
      </c>
      <c r="AW463" s="8"/>
      <c r="AX463" s="9">
        <v>434.73496697527253</v>
      </c>
      <c r="AY463" s="6">
        <f t="shared" si="160"/>
        <v>2.2248633593465125E-2</v>
      </c>
      <c r="AZ463" s="8">
        <v>416751441.3502</v>
      </c>
      <c r="BA463" s="10">
        <v>60480066</v>
      </c>
      <c r="BB463" s="11">
        <v>41752866.622555122</v>
      </c>
      <c r="BC463" s="10">
        <v>2971324</v>
      </c>
      <c r="BD463" s="10">
        <f>1000000000-999290592.0668+233635.8355</f>
        <v>943043.76870000176</v>
      </c>
      <c r="BE463" s="12">
        <f t="shared" si="161"/>
        <v>477101258.25854492</v>
      </c>
      <c r="BF463" s="13">
        <v>234.98815500000001</v>
      </c>
      <c r="BG463" s="13">
        <f t="shared" si="162"/>
        <v>242.11310325854492</v>
      </c>
      <c r="BH463" s="14">
        <f>BE463*31.43</f>
        <v>14995292547.066067</v>
      </c>
    </row>
    <row r="464" spans="1:60" x14ac:dyDescent="0.25">
      <c r="A464" s="3">
        <v>46086</v>
      </c>
      <c r="B464" s="4">
        <v>5198267885</v>
      </c>
      <c r="C464" s="4">
        <v>2308829579.0300002</v>
      </c>
      <c r="D464" s="4">
        <v>155121641</v>
      </c>
      <c r="E464" s="4"/>
      <c r="F464" s="17">
        <v>1241264270.817488</v>
      </c>
      <c r="G464" s="17">
        <v>37355078.980613463</v>
      </c>
      <c r="H464" s="17">
        <v>26109002.83112938</v>
      </c>
      <c r="I464" s="17">
        <v>593275974.21657538</v>
      </c>
      <c r="J464" s="17">
        <v>246031.50555594679</v>
      </c>
      <c r="K464" s="17">
        <v>410579220.67863858</v>
      </c>
      <c r="L464" s="14">
        <f t="shared" si="155"/>
        <v>2308829579.0300007</v>
      </c>
      <c r="M464" s="21">
        <v>0.99895134266247199</v>
      </c>
      <c r="N464" s="4">
        <v>1716429.15</v>
      </c>
      <c r="O464" s="4">
        <v>268728.08</v>
      </c>
      <c r="P464" s="4">
        <v>65877.88</v>
      </c>
      <c r="Q464" s="4"/>
      <c r="R464" s="14">
        <f t="shared" si="142"/>
        <v>2051035.1099999999</v>
      </c>
      <c r="S464" s="6">
        <v>0.01</v>
      </c>
      <c r="T464" s="14">
        <f t="shared" si="143"/>
        <v>17164.291499999999</v>
      </c>
      <c r="U464" s="14">
        <f t="shared" si="144"/>
        <v>1392.1612</v>
      </c>
      <c r="V464" s="14">
        <f t="shared" si="145"/>
        <v>534.21490000000006</v>
      </c>
      <c r="W464" s="14" t="str">
        <f t="shared" si="146"/>
        <v/>
      </c>
      <c r="X464" s="4">
        <v>12456.39</v>
      </c>
      <c r="Y464" s="4">
        <v>129511.96</v>
      </c>
      <c r="Z464" s="4"/>
      <c r="AA464" s="14">
        <f t="shared" si="147"/>
        <v>161059.01759999999</v>
      </c>
      <c r="AB464" s="4">
        <v>135346.25210000001</v>
      </c>
      <c r="AC464" s="4">
        <v>1716429.15</v>
      </c>
      <c r="AD464" s="14">
        <f t="shared" si="148"/>
        <v>139216.12</v>
      </c>
      <c r="AE464" s="14">
        <f t="shared" si="149"/>
        <v>53421.490000000005</v>
      </c>
      <c r="AF464" s="14" t="str">
        <f t="shared" si="150"/>
        <v/>
      </c>
      <c r="AG464" s="15">
        <f t="shared" si="151"/>
        <v>1909066.76</v>
      </c>
      <c r="AH464" s="4">
        <v>1685907.84</v>
      </c>
      <c r="AI464" s="17">
        <f t="shared" si="152"/>
        <v>223158.91999999993</v>
      </c>
      <c r="AJ464" s="7">
        <f t="shared" si="156"/>
        <v>3.3019251565562593</v>
      </c>
      <c r="AK464" s="7">
        <f t="shared" si="157"/>
        <v>1.1639147490171176</v>
      </c>
      <c r="AL464" s="7">
        <f t="shared" si="158"/>
        <v>4.2468529584469783</v>
      </c>
      <c r="AM464" s="7" t="str">
        <f t="shared" si="159"/>
        <v/>
      </c>
      <c r="AN464" s="4">
        <v>8859.1870035045176</v>
      </c>
      <c r="AO464" s="4">
        <v>16111.06</v>
      </c>
      <c r="AP464" s="14">
        <f t="shared" si="153"/>
        <v>1710878.0870035046</v>
      </c>
      <c r="AQ464" s="14">
        <f t="shared" si="154"/>
        <v>1685907.84</v>
      </c>
      <c r="AR464" s="8">
        <v>53765.04</v>
      </c>
      <c r="AS464" s="20">
        <v>31.356953000000001</v>
      </c>
      <c r="AT464" s="8">
        <v>41804260.862555116</v>
      </c>
      <c r="AU464" s="8">
        <v>26504.570899999999</v>
      </c>
      <c r="AV464" s="8">
        <v>1153.7755999999999</v>
      </c>
      <c r="AW464" s="8"/>
      <c r="AX464" s="9">
        <v>434.71786379252558</v>
      </c>
      <c r="AY464" s="6">
        <f t="shared" si="160"/>
        <v>2.2253901171903796E-2</v>
      </c>
      <c r="AZ464" s="8">
        <v>416724936.77939999</v>
      </c>
      <c r="BA464" s="10">
        <v>60480066</v>
      </c>
      <c r="BB464" s="11">
        <v>41804260.862555116</v>
      </c>
      <c r="BC464" s="10">
        <v>2971324</v>
      </c>
      <c r="BD464" s="10">
        <f>1000000000-999289438.2912+233911.9001</f>
        <v>944473.6088999582</v>
      </c>
      <c r="BE464" s="12">
        <f t="shared" si="161"/>
        <v>477074938.74914491</v>
      </c>
      <c r="BF464" s="13">
        <v>234.98815500000001</v>
      </c>
      <c r="BG464" s="13">
        <f t="shared" si="162"/>
        <v>242.0867837491449</v>
      </c>
      <c r="BH464" s="14">
        <f>BE464*32.08</f>
        <v>15304564035.072569</v>
      </c>
    </row>
    <row r="465" spans="1:60" x14ac:dyDescent="0.25">
      <c r="A465" s="3">
        <v>46087</v>
      </c>
      <c r="B465" s="4">
        <v>5726175320</v>
      </c>
      <c r="C465" s="4">
        <v>2362558216.75</v>
      </c>
      <c r="D465" s="4">
        <v>152919913</v>
      </c>
      <c r="E465" s="4"/>
      <c r="F465" s="17">
        <v>1192949564.226404</v>
      </c>
      <c r="G465" s="17">
        <v>31711037.633966401</v>
      </c>
      <c r="H465" s="17">
        <v>29481925.367705811</v>
      </c>
      <c r="I465" s="17">
        <v>716316419.01369333</v>
      </c>
      <c r="J465" s="17">
        <v>331771.92916864768</v>
      </c>
      <c r="K465" s="17">
        <v>391767498.57906252</v>
      </c>
      <c r="L465" s="14">
        <f t="shared" si="155"/>
        <v>2362558216.750001</v>
      </c>
      <c r="M465" s="21">
        <v>0.99727061790443738</v>
      </c>
      <c r="N465" s="4">
        <v>2027610.47</v>
      </c>
      <c r="O465" s="4">
        <v>296229.43999999989</v>
      </c>
      <c r="P465" s="4">
        <v>73295.63</v>
      </c>
      <c r="Q465" s="4"/>
      <c r="R465" s="14">
        <f t="shared" si="142"/>
        <v>2397135.5399999996</v>
      </c>
      <c r="S465" s="6">
        <v>0.01</v>
      </c>
      <c r="T465" s="14">
        <f t="shared" si="143"/>
        <v>20276.1047</v>
      </c>
      <c r="U465" s="14">
        <f t="shared" si="144"/>
        <v>1523.580799999999</v>
      </c>
      <c r="V465" s="14">
        <f t="shared" si="145"/>
        <v>545.46820000000002</v>
      </c>
      <c r="W465" s="14" t="str">
        <f t="shared" si="146"/>
        <v/>
      </c>
      <c r="X465" s="4">
        <v>18748.810000000001</v>
      </c>
      <c r="Y465" s="4">
        <v>143871.35999999999</v>
      </c>
      <c r="Z465" s="4"/>
      <c r="AA465" s="14">
        <f t="shared" si="147"/>
        <v>184965.32369999998</v>
      </c>
      <c r="AB465" s="4">
        <v>174085.891</v>
      </c>
      <c r="AC465" s="4">
        <v>2027610.47</v>
      </c>
      <c r="AD465" s="14">
        <f t="shared" si="148"/>
        <v>152358.0799999999</v>
      </c>
      <c r="AE465" s="14">
        <f t="shared" si="149"/>
        <v>54546.820000000007</v>
      </c>
      <c r="AF465" s="14" t="str">
        <f t="shared" si="150"/>
        <v/>
      </c>
      <c r="AG465" s="15">
        <f t="shared" si="151"/>
        <v>2234515.3699999996</v>
      </c>
      <c r="AH465" s="4">
        <v>1835993.67</v>
      </c>
      <c r="AI465" s="17">
        <f t="shared" si="152"/>
        <v>398521.69999999972</v>
      </c>
      <c r="AJ465" s="7">
        <f t="shared" si="156"/>
        <v>3.5409507335866897</v>
      </c>
      <c r="AK465" s="7">
        <f t="shared" si="157"/>
        <v>1.2538503301201238</v>
      </c>
      <c r="AL465" s="7">
        <f t="shared" si="158"/>
        <v>4.7930729597001545</v>
      </c>
      <c r="AM465" s="7" t="str">
        <f t="shared" si="159"/>
        <v/>
      </c>
      <c r="AN465" s="4">
        <v>8731.7013772709161</v>
      </c>
      <c r="AO465" s="4">
        <v>0</v>
      </c>
      <c r="AP465" s="14">
        <f t="shared" si="153"/>
        <v>1844725.3713772709</v>
      </c>
      <c r="AQ465" s="14">
        <f t="shared" si="154"/>
        <v>1835993.67</v>
      </c>
      <c r="AR465" s="8">
        <v>60658.81</v>
      </c>
      <c r="AS465" s="20">
        <v>30.267551999999998</v>
      </c>
      <c r="AT465" s="8">
        <v>41865293.192555122</v>
      </c>
      <c r="AU465" s="8">
        <v>26356.934399999998</v>
      </c>
      <c r="AV465" s="8">
        <v>1343.8282999999999</v>
      </c>
      <c r="AW465" s="8">
        <v>173217</v>
      </c>
      <c r="AX465" s="9">
        <v>434.64446831585258</v>
      </c>
      <c r="AY465" s="6">
        <f t="shared" si="160"/>
        <v>2.2133678804831861E-2</v>
      </c>
      <c r="AZ465" s="8">
        <v>416698579.84500003</v>
      </c>
      <c r="BA465" s="10">
        <v>60480066</v>
      </c>
      <c r="BB465" s="11">
        <v>41865293.192555122</v>
      </c>
      <c r="BC465" s="10">
        <v>2971324</v>
      </c>
      <c r="BD465" s="10">
        <f>1000000000-999288094.4629+234197.801</f>
        <v>946103.33809995744</v>
      </c>
      <c r="BE465" s="12">
        <f t="shared" si="161"/>
        <v>477038633.62434489</v>
      </c>
      <c r="BF465" s="13">
        <v>234.81493800000001</v>
      </c>
      <c r="BG465" s="13">
        <f t="shared" si="162"/>
        <v>242.22369562434486</v>
      </c>
      <c r="BH465" s="14">
        <f>BE465*30.54</f>
        <v>14568759870.887493</v>
      </c>
    </row>
    <row r="466" spans="1:60" x14ac:dyDescent="0.25">
      <c r="A466" s="3">
        <v>46088</v>
      </c>
      <c r="B466" s="4">
        <v>2487110160</v>
      </c>
      <c r="C466" s="4">
        <v>441980574.94</v>
      </c>
      <c r="D466" s="4">
        <v>85139488</v>
      </c>
      <c r="E466" s="4"/>
      <c r="F466" s="17">
        <v>201716412.69871959</v>
      </c>
      <c r="G466" s="17">
        <v>14182103.969956599</v>
      </c>
      <c r="H466" s="17">
        <v>25643618.03489003</v>
      </c>
      <c r="I466" s="17">
        <v>81846202.592622355</v>
      </c>
      <c r="J466" s="17">
        <v>124097.39496620841</v>
      </c>
      <c r="K466" s="17">
        <v>118468140.2488452</v>
      </c>
      <c r="L466" s="14">
        <f t="shared" si="155"/>
        <v>441980574.94</v>
      </c>
      <c r="M466" s="21">
        <v>0.99847864951651411</v>
      </c>
      <c r="N466" s="4">
        <v>801977.79</v>
      </c>
      <c r="O466" s="4">
        <v>103902.84</v>
      </c>
      <c r="P466" s="4">
        <v>36375.160000000003</v>
      </c>
      <c r="Q466" s="4"/>
      <c r="R466" s="14">
        <f t="shared" si="142"/>
        <v>942255.79</v>
      </c>
      <c r="S466" s="6">
        <v>0.01</v>
      </c>
      <c r="T466" s="14">
        <f t="shared" si="143"/>
        <v>8019.777900000001</v>
      </c>
      <c r="U466" s="14">
        <f t="shared" si="144"/>
        <v>543.38419999999996</v>
      </c>
      <c r="V466" s="14">
        <f t="shared" si="145"/>
        <v>303.42220000000003</v>
      </c>
      <c r="W466" s="14" t="str">
        <f t="shared" si="146"/>
        <v/>
      </c>
      <c r="X466" s="4">
        <v>6032.94</v>
      </c>
      <c r="Y466" s="4">
        <v>49564.42</v>
      </c>
      <c r="Z466" s="4"/>
      <c r="AA466" s="14">
        <f t="shared" si="147"/>
        <v>64463.944300000003</v>
      </c>
      <c r="AB466" s="4">
        <v>86342.826300000001</v>
      </c>
      <c r="AC466" s="4">
        <v>801977.79</v>
      </c>
      <c r="AD466" s="14">
        <f t="shared" si="148"/>
        <v>54338.42</v>
      </c>
      <c r="AE466" s="14">
        <f t="shared" si="149"/>
        <v>30342.220000000005</v>
      </c>
      <c r="AF466" s="14" t="str">
        <f t="shared" si="150"/>
        <v/>
      </c>
      <c r="AG466" s="15">
        <f t="shared" si="151"/>
        <v>886658.43</v>
      </c>
      <c r="AH466" s="4">
        <v>714837.63</v>
      </c>
      <c r="AI466" s="17">
        <f t="shared" si="152"/>
        <v>171820.80000000005</v>
      </c>
      <c r="AJ466" s="7">
        <f t="shared" si="156"/>
        <v>3.2245366646727058</v>
      </c>
      <c r="AK466" s="7">
        <f t="shared" si="157"/>
        <v>2.3508463016526253</v>
      </c>
      <c r="AL466" s="7">
        <f t="shared" si="158"/>
        <v>4.272419397213195</v>
      </c>
      <c r="AM466" s="7" t="str">
        <f t="shared" si="159"/>
        <v/>
      </c>
      <c r="AN466" s="4">
        <v>5127.511987042104</v>
      </c>
      <c r="AO466" s="4">
        <v>0</v>
      </c>
      <c r="AP466" s="14">
        <f t="shared" si="153"/>
        <v>719965.14198704215</v>
      </c>
      <c r="AQ466" s="14">
        <f t="shared" si="154"/>
        <v>714837.63</v>
      </c>
      <c r="AR466" s="8">
        <v>23407.54</v>
      </c>
      <c r="AS466" s="20">
        <v>30.538775999999999</v>
      </c>
      <c r="AT466" s="8">
        <v>41889416.392555118</v>
      </c>
      <c r="AU466" s="8">
        <v>26487.197100000001</v>
      </c>
      <c r="AV466" s="8">
        <v>340.9178</v>
      </c>
      <c r="AW466" s="8"/>
      <c r="AX466" s="9">
        <v>434.67901502935138</v>
      </c>
      <c r="AY466" s="6">
        <f t="shared" si="160"/>
        <v>2.2241301298723124E-2</v>
      </c>
      <c r="AZ466" s="8">
        <v>416672092.64780003</v>
      </c>
      <c r="BA466" s="10">
        <v>60480066</v>
      </c>
      <c r="BB466" s="11">
        <v>41889416.392555118</v>
      </c>
      <c r="BC466" s="10">
        <v>2971324</v>
      </c>
      <c r="BD466" s="10">
        <f>1000000000-999287753.5452+234363.6111</f>
        <v>946610.06590000971</v>
      </c>
      <c r="BE466" s="12">
        <f t="shared" si="161"/>
        <v>477040490.89374489</v>
      </c>
      <c r="BF466" s="13">
        <v>234.81493800000001</v>
      </c>
      <c r="BG466" s="13">
        <f t="shared" si="162"/>
        <v>242.22555289374489</v>
      </c>
      <c r="BH466" s="14">
        <f>BE466*30.93</f>
        <v>14754862383.343529</v>
      </c>
    </row>
    <row r="467" spans="1:60" x14ac:dyDescent="0.25">
      <c r="A467" s="3">
        <v>46089</v>
      </c>
      <c r="B467" s="4">
        <v>3768067430</v>
      </c>
      <c r="C467" s="4">
        <v>868886438.39999998</v>
      </c>
      <c r="D467" s="4">
        <v>99156017</v>
      </c>
      <c r="E467" s="4"/>
      <c r="F467" s="17">
        <v>547007383.21263146</v>
      </c>
      <c r="G467" s="17">
        <v>23834788.195834178</v>
      </c>
      <c r="H467" s="17">
        <v>32743067.384267759</v>
      </c>
      <c r="I467" s="17">
        <v>155867267.22378299</v>
      </c>
      <c r="J467" s="17">
        <v>524852.68909730902</v>
      </c>
      <c r="K467" s="17">
        <v>108909079.6943863</v>
      </c>
      <c r="L467" s="14">
        <f t="shared" si="155"/>
        <v>868886438.4000001</v>
      </c>
      <c r="M467" s="21">
        <v>1.1402283967160121</v>
      </c>
      <c r="N467" s="4">
        <v>1356187.56</v>
      </c>
      <c r="O467" s="4">
        <v>185202.93</v>
      </c>
      <c r="P467" s="4">
        <v>42305.08</v>
      </c>
      <c r="Q467" s="4"/>
      <c r="R467" s="14">
        <f t="shared" si="142"/>
        <v>1583695.57</v>
      </c>
      <c r="S467" s="6">
        <v>0.01</v>
      </c>
      <c r="T467" s="14">
        <f t="shared" si="143"/>
        <v>13561.875600000001</v>
      </c>
      <c r="U467" s="14">
        <f t="shared" si="144"/>
        <v>958.28</v>
      </c>
      <c r="V467" s="14">
        <f t="shared" si="145"/>
        <v>329.86480000000006</v>
      </c>
      <c r="W467" s="14" t="str">
        <f t="shared" si="146"/>
        <v/>
      </c>
      <c r="X467" s="4">
        <v>9318.6</v>
      </c>
      <c r="Y467" s="4">
        <v>89374.93</v>
      </c>
      <c r="Z467" s="4"/>
      <c r="AA467" s="14">
        <f t="shared" si="147"/>
        <v>113543.55039999999</v>
      </c>
      <c r="AB467" s="4">
        <v>178116.0638</v>
      </c>
      <c r="AC467" s="4">
        <v>1356187.56</v>
      </c>
      <c r="AD467" s="14">
        <f t="shared" si="148"/>
        <v>95828</v>
      </c>
      <c r="AE467" s="14">
        <f t="shared" si="149"/>
        <v>32986.480000000003</v>
      </c>
      <c r="AF467" s="14" t="str">
        <f t="shared" si="150"/>
        <v/>
      </c>
      <c r="AG467" s="15">
        <f t="shared" si="151"/>
        <v>1485002.04</v>
      </c>
      <c r="AH467" s="4">
        <v>1172058.74</v>
      </c>
      <c r="AI467" s="17">
        <f t="shared" si="152"/>
        <v>312943.30000000005</v>
      </c>
      <c r="AJ467" s="7">
        <f t="shared" si="156"/>
        <v>3.5991594768249677</v>
      </c>
      <c r="AK467" s="7">
        <f t="shared" si="157"/>
        <v>2.1314975331073138</v>
      </c>
      <c r="AL467" s="7">
        <f t="shared" si="158"/>
        <v>4.2665166754328183</v>
      </c>
      <c r="AM467" s="7" t="str">
        <f t="shared" si="159"/>
        <v/>
      </c>
      <c r="AN467" s="4">
        <v>6250.3385418097596</v>
      </c>
      <c r="AO467" s="4">
        <v>0</v>
      </c>
      <c r="AP467" s="14">
        <f t="shared" si="153"/>
        <v>1178309.0785418097</v>
      </c>
      <c r="AQ467" s="14">
        <f t="shared" si="154"/>
        <v>1172058.74</v>
      </c>
      <c r="AR467" s="8">
        <v>38591.870000000003</v>
      </c>
      <c r="AS467" s="20">
        <v>30.370612999999999</v>
      </c>
      <c r="AT467" s="8">
        <v>41927546.432555117</v>
      </c>
      <c r="AU467" s="8">
        <v>26503.371999999999</v>
      </c>
      <c r="AV467" s="8">
        <v>231.1789</v>
      </c>
      <c r="AW467" s="8"/>
      <c r="AX467" s="9">
        <v>435.01917422871259</v>
      </c>
      <c r="AY467" s="6">
        <f t="shared" si="160"/>
        <v>2.2237481364244437E-2</v>
      </c>
      <c r="AZ467" s="8">
        <v>416645589.27579999</v>
      </c>
      <c r="BA467" s="10">
        <v>60480066</v>
      </c>
      <c r="BB467" s="11">
        <v>41927546.432555117</v>
      </c>
      <c r="BC467" s="10">
        <v>2971324</v>
      </c>
      <c r="BD467" s="10">
        <f>1000000000-999287522.3663+234571.0362</f>
        <v>947048.66990001313</v>
      </c>
      <c r="BE467" s="12">
        <f t="shared" si="161"/>
        <v>477028425.62174487</v>
      </c>
      <c r="BF467" s="13">
        <v>234.81493800000001</v>
      </c>
      <c r="BG467" s="13">
        <f t="shared" si="162"/>
        <v>242.21348762174486</v>
      </c>
      <c r="BH467" s="14">
        <f>BE467*30.14</f>
        <v>14377636748.239391</v>
      </c>
    </row>
    <row r="468" spans="1:60" x14ac:dyDescent="0.25">
      <c r="A468" s="3">
        <v>46090</v>
      </c>
      <c r="B468" s="4">
        <v>6179133871</v>
      </c>
      <c r="C468" s="4">
        <v>4115850217.0300002</v>
      </c>
      <c r="D468" s="4">
        <v>226490528</v>
      </c>
      <c r="E468" s="4"/>
      <c r="F468" s="17">
        <v>2911860566.3165898</v>
      </c>
      <c r="G468" s="17">
        <v>51273589.408269092</v>
      </c>
      <c r="H468" s="17">
        <v>34334589.967310578</v>
      </c>
      <c r="I468" s="17">
        <v>741297735.46999371</v>
      </c>
      <c r="J468" s="17">
        <v>236986.58569651691</v>
      </c>
      <c r="K468" s="17">
        <v>376846749.28214031</v>
      </c>
      <c r="L468" s="14">
        <f t="shared" si="155"/>
        <v>4115850217.0299997</v>
      </c>
      <c r="M468" s="21">
        <v>0.98731483003960463</v>
      </c>
      <c r="N468" s="4">
        <v>1980540.37</v>
      </c>
      <c r="O468" s="4">
        <v>511947.09</v>
      </c>
      <c r="P468" s="4">
        <v>103261.53</v>
      </c>
      <c r="Q468" s="4"/>
      <c r="R468" s="14">
        <f t="shared" si="142"/>
        <v>2595748.9899999998</v>
      </c>
      <c r="S468" s="6">
        <v>0.01</v>
      </c>
      <c r="T468" s="14">
        <f t="shared" si="143"/>
        <v>19805.403700000003</v>
      </c>
      <c r="U468" s="14">
        <f t="shared" si="144"/>
        <v>2621.7569000000008</v>
      </c>
      <c r="V468" s="14">
        <f t="shared" si="145"/>
        <v>824.11810000000003</v>
      </c>
      <c r="W468" s="14" t="str">
        <f t="shared" si="146"/>
        <v/>
      </c>
      <c r="X468" s="4">
        <v>20849.72</v>
      </c>
      <c r="Y468" s="4">
        <v>249771.4</v>
      </c>
      <c r="Z468" s="4"/>
      <c r="AA468" s="14">
        <f t="shared" si="147"/>
        <v>293872.39870000002</v>
      </c>
      <c r="AB468" s="4">
        <v>201650.31200000001</v>
      </c>
      <c r="AC468" s="4">
        <v>1980540.37</v>
      </c>
      <c r="AD468" s="14">
        <f t="shared" si="148"/>
        <v>262175.69000000006</v>
      </c>
      <c r="AE468" s="14">
        <f t="shared" si="149"/>
        <v>82411.81</v>
      </c>
      <c r="AF468" s="14" t="str">
        <f t="shared" si="150"/>
        <v/>
      </c>
      <c r="AG468" s="15">
        <f t="shared" si="151"/>
        <v>2325127.87</v>
      </c>
      <c r="AH468" s="4">
        <v>1937249.57</v>
      </c>
      <c r="AI468" s="17">
        <f t="shared" si="152"/>
        <v>387878.30000000005</v>
      </c>
      <c r="AJ468" s="7">
        <f t="shared" si="156"/>
        <v>3.205207091069997</v>
      </c>
      <c r="AK468" s="7">
        <f t="shared" si="157"/>
        <v>1.2438428587166162</v>
      </c>
      <c r="AL468" s="7">
        <f t="shared" si="158"/>
        <v>4.5591986080760076</v>
      </c>
      <c r="AM468" s="7" t="str">
        <f t="shared" si="159"/>
        <v/>
      </c>
      <c r="AN468" s="4">
        <v>25955.276296129079</v>
      </c>
      <c r="AO468" s="4">
        <v>0</v>
      </c>
      <c r="AP468" s="14">
        <f t="shared" si="153"/>
        <v>1963204.846296129</v>
      </c>
      <c r="AQ468" s="14">
        <f t="shared" si="154"/>
        <v>1937249.57</v>
      </c>
      <c r="AR468" s="8">
        <v>59871.67</v>
      </c>
      <c r="AS468" s="20">
        <v>32.356698000000002</v>
      </c>
      <c r="AT468" s="8">
        <v>41987626.602555119</v>
      </c>
      <c r="AU468" s="8">
        <v>26508.149000000001</v>
      </c>
      <c r="AV468" s="8">
        <v>697.61860000000001</v>
      </c>
      <c r="AW468" s="8"/>
      <c r="AX468" s="9">
        <v>435.08621022247388</v>
      </c>
      <c r="AY468" s="6">
        <f t="shared" si="160"/>
        <v>2.2238062613045381E-2</v>
      </c>
      <c r="AZ468" s="8">
        <v>416619081.1268</v>
      </c>
      <c r="BA468" s="10">
        <v>60480066</v>
      </c>
      <c r="BB468" s="11">
        <v>41987626.602555119</v>
      </c>
      <c r="BC468" s="10">
        <v>2971324</v>
      </c>
      <c r="BD468" s="10">
        <f>1000000000-999286824.7477+235408.3572</f>
        <v>948583.609500024</v>
      </c>
      <c r="BE468" s="12">
        <f t="shared" si="161"/>
        <v>476993318.66114479</v>
      </c>
      <c r="BF468" s="13">
        <v>234.81493800000001</v>
      </c>
      <c r="BG468" s="13">
        <f t="shared" si="162"/>
        <v>242.17838066114476</v>
      </c>
      <c r="BH468" s="14">
        <f>BE468*30.97</f>
        <v>14772483078.935654</v>
      </c>
    </row>
    <row r="469" spans="1:60" x14ac:dyDescent="0.25">
      <c r="A469" s="3">
        <v>46091</v>
      </c>
      <c r="B469" s="4">
        <v>5351407094</v>
      </c>
      <c r="C469" s="4">
        <v>2705742241.6100001</v>
      </c>
      <c r="D469" s="4">
        <v>141351864</v>
      </c>
      <c r="E469" s="4"/>
      <c r="F469" s="17">
        <v>1805436707.0333121</v>
      </c>
      <c r="G469" s="17">
        <v>44920816.875158884</v>
      </c>
      <c r="H469" s="17">
        <v>26182303.781415679</v>
      </c>
      <c r="I469" s="17">
        <v>497993291.44826168</v>
      </c>
      <c r="J469" s="17">
        <v>91544.075041708071</v>
      </c>
      <c r="K469" s="17">
        <v>331117578.39680988</v>
      </c>
      <c r="L469" s="14">
        <f t="shared" si="155"/>
        <v>2705742241.6100001</v>
      </c>
      <c r="M469" s="21">
        <v>1.0009231472780791</v>
      </c>
      <c r="N469" s="4">
        <v>1728010.04</v>
      </c>
      <c r="O469" s="4">
        <v>327528.40999999997</v>
      </c>
      <c r="P469" s="4">
        <v>65614.739999999991</v>
      </c>
      <c r="Q469" s="4"/>
      <c r="R469" s="14">
        <f t="shared" si="142"/>
        <v>2121153.19</v>
      </c>
      <c r="S469" s="6">
        <v>0.01</v>
      </c>
      <c r="T469" s="14">
        <f t="shared" si="143"/>
        <v>17280.100399999999</v>
      </c>
      <c r="U469" s="14">
        <f t="shared" si="144"/>
        <v>1692.9484999999997</v>
      </c>
      <c r="V469" s="14">
        <f t="shared" si="145"/>
        <v>519.02279999999996</v>
      </c>
      <c r="W469" s="14" t="str">
        <f t="shared" si="146"/>
        <v/>
      </c>
      <c r="X469" s="4">
        <v>13712.46</v>
      </c>
      <c r="Y469" s="4">
        <v>158233.56</v>
      </c>
      <c r="Z469" s="4"/>
      <c r="AA469" s="14">
        <f t="shared" si="147"/>
        <v>191438.09169999999</v>
      </c>
      <c r="AB469" s="4">
        <v>184802.7133</v>
      </c>
      <c r="AC469" s="4">
        <v>1728010.04</v>
      </c>
      <c r="AD469" s="14">
        <f t="shared" si="148"/>
        <v>169294.84999999998</v>
      </c>
      <c r="AE469" s="14">
        <f t="shared" si="149"/>
        <v>51902.279999999992</v>
      </c>
      <c r="AF469" s="14" t="str">
        <f t="shared" si="150"/>
        <v/>
      </c>
      <c r="AG469" s="15">
        <f t="shared" si="151"/>
        <v>1949207.1700000002</v>
      </c>
      <c r="AH469" s="4">
        <v>1644876.41</v>
      </c>
      <c r="AI469" s="17">
        <f t="shared" si="152"/>
        <v>304330.76000000024</v>
      </c>
      <c r="AJ469" s="7">
        <f t="shared" si="156"/>
        <v>3.2290760348571603</v>
      </c>
      <c r="AK469" s="7">
        <f t="shared" si="157"/>
        <v>1.2104937601340418</v>
      </c>
      <c r="AL469" s="7">
        <f t="shared" si="158"/>
        <v>4.6419437383577753</v>
      </c>
      <c r="AM469" s="7" t="str">
        <f t="shared" si="159"/>
        <v/>
      </c>
      <c r="AN469" s="4">
        <v>16822.415447825279</v>
      </c>
      <c r="AO469" s="4">
        <v>0</v>
      </c>
      <c r="AP469" s="14">
        <f t="shared" si="153"/>
        <v>1661698.8254478252</v>
      </c>
      <c r="AQ469" s="14">
        <f t="shared" si="154"/>
        <v>1644876.41</v>
      </c>
      <c r="AR469" s="8">
        <v>47849.84</v>
      </c>
      <c r="AS469" s="20">
        <v>34.375798000000003</v>
      </c>
      <c r="AT469" s="8">
        <v>42035734.442555122</v>
      </c>
      <c r="AU469" s="8">
        <v>26499.9421</v>
      </c>
      <c r="AV469" s="8">
        <v>1303.5364</v>
      </c>
      <c r="AW469" s="8"/>
      <c r="AX469" s="9">
        <v>435.33194482723923</v>
      </c>
      <c r="AY469" s="6">
        <f t="shared" si="160"/>
        <v>2.2218628753142632E-2</v>
      </c>
      <c r="AZ469" s="8">
        <v>416592581.18470001</v>
      </c>
      <c r="BA469" s="10">
        <v>60480066</v>
      </c>
      <c r="BB469" s="11">
        <v>42035734.442555122</v>
      </c>
      <c r="BC469" s="10">
        <v>2971324</v>
      </c>
      <c r="BD469" s="10">
        <f>1000000000-999285521.2113+235900.6149</f>
        <v>950379.40359998448</v>
      </c>
      <c r="BE469" s="12">
        <f t="shared" si="161"/>
        <v>476969914.96914488</v>
      </c>
      <c r="BF469" s="13">
        <v>234.81493800000001</v>
      </c>
      <c r="BG469" s="13">
        <f t="shared" si="162"/>
        <v>242.15497696914488</v>
      </c>
      <c r="BH469" s="14">
        <f>BE469*34.2</f>
        <v>16312371091.944756</v>
      </c>
    </row>
    <row r="470" spans="1:60" x14ac:dyDescent="0.25">
      <c r="A470" s="3">
        <v>46092</v>
      </c>
      <c r="B470" s="4">
        <v>4414778386</v>
      </c>
      <c r="C470" s="4">
        <v>2308025202.2399998</v>
      </c>
      <c r="D470" s="4">
        <v>171424756</v>
      </c>
      <c r="E470" s="4"/>
      <c r="F470" s="17">
        <v>1627852513.782969</v>
      </c>
      <c r="G470" s="17">
        <v>35919077.265603751</v>
      </c>
      <c r="H470" s="17">
        <v>15158064.024439029</v>
      </c>
      <c r="I470" s="17">
        <v>351852062.27890933</v>
      </c>
      <c r="J470" s="17">
        <v>90536.879498776063</v>
      </c>
      <c r="K470" s="17">
        <v>277152948.00857931</v>
      </c>
      <c r="L470" s="14">
        <f t="shared" si="155"/>
        <v>2308025202.2399993</v>
      </c>
      <c r="M470" s="21">
        <v>1.0154024317072441</v>
      </c>
      <c r="N470" s="4">
        <v>1451044.19</v>
      </c>
      <c r="O470" s="4">
        <v>239375.79</v>
      </c>
      <c r="P470" s="4">
        <v>87582.75</v>
      </c>
      <c r="Q470" s="4"/>
      <c r="R470" s="14">
        <f t="shared" si="142"/>
        <v>1778002.73</v>
      </c>
      <c r="S470" s="6">
        <v>0.01</v>
      </c>
      <c r="T470" s="14">
        <f t="shared" si="143"/>
        <v>14510.4419</v>
      </c>
      <c r="U470" s="14">
        <f t="shared" si="144"/>
        <v>1243.2752</v>
      </c>
      <c r="V470" s="14">
        <f t="shared" si="145"/>
        <v>716.48810000000003</v>
      </c>
      <c r="W470" s="14" t="str">
        <f t="shared" si="146"/>
        <v/>
      </c>
      <c r="X470" s="4">
        <v>15933.94</v>
      </c>
      <c r="Y470" s="4">
        <v>115048.27</v>
      </c>
      <c r="Z470" s="4"/>
      <c r="AA470" s="14">
        <f t="shared" si="147"/>
        <v>147452.41519999999</v>
      </c>
      <c r="AB470" s="4">
        <v>141220.66529999999</v>
      </c>
      <c r="AC470" s="4">
        <v>1451044.19</v>
      </c>
      <c r="AD470" s="14">
        <f t="shared" si="148"/>
        <v>124327.52</v>
      </c>
      <c r="AE470" s="14">
        <f t="shared" si="149"/>
        <v>71648.81</v>
      </c>
      <c r="AF470" s="14" t="str">
        <f t="shared" si="150"/>
        <v/>
      </c>
      <c r="AG470" s="15">
        <f t="shared" si="151"/>
        <v>1647020.52</v>
      </c>
      <c r="AH470" s="4">
        <v>1392462.79</v>
      </c>
      <c r="AI470" s="17">
        <f t="shared" si="152"/>
        <v>254557.72999999998</v>
      </c>
      <c r="AJ470" s="7">
        <f t="shared" si="156"/>
        <v>3.2867882895356728</v>
      </c>
      <c r="AK470" s="7">
        <f t="shared" si="157"/>
        <v>1.0371454773010254</v>
      </c>
      <c r="AL470" s="7">
        <f t="shared" si="158"/>
        <v>5.1091074617017389</v>
      </c>
      <c r="AM470" s="7" t="str">
        <f t="shared" si="159"/>
        <v/>
      </c>
      <c r="AN470" s="4">
        <v>12195.85981347197</v>
      </c>
      <c r="AO470" s="4">
        <v>0</v>
      </c>
      <c r="AP470" s="14">
        <f t="shared" si="153"/>
        <v>1404658.6498134721</v>
      </c>
      <c r="AQ470" s="14">
        <f t="shared" si="154"/>
        <v>1392462.79</v>
      </c>
      <c r="AR470" s="8">
        <v>38974.26</v>
      </c>
      <c r="AS470" s="20">
        <v>35.727753999999997</v>
      </c>
      <c r="AT470" s="8">
        <v>42073712.932555117</v>
      </c>
      <c r="AU470" s="8">
        <v>26523.2199</v>
      </c>
      <c r="AV470" s="8">
        <v>1078.4004</v>
      </c>
      <c r="AW470" s="8"/>
      <c r="AX470" s="9">
        <v>435.56112183747138</v>
      </c>
      <c r="AY470" s="6">
        <f t="shared" si="160"/>
        <v>2.2226444873361385E-2</v>
      </c>
      <c r="AZ470" s="8">
        <v>416566057.9648</v>
      </c>
      <c r="BA470" s="10">
        <v>60480066</v>
      </c>
      <c r="BB470" s="11">
        <v>42073712.932555117</v>
      </c>
      <c r="BC470" s="10">
        <v>2971324</v>
      </c>
      <c r="BD470" s="10">
        <f>1000000000-999284442.8109+236256.4179</f>
        <v>951813.60700002708</v>
      </c>
      <c r="BE470" s="12">
        <f t="shared" si="161"/>
        <v>476957025.49564481</v>
      </c>
      <c r="BF470" s="13">
        <v>234.81493800000001</v>
      </c>
      <c r="BG470" s="13">
        <f t="shared" si="162"/>
        <v>242.1420874956448</v>
      </c>
      <c r="BH470" s="14">
        <f>BE470*34.3</f>
        <v>16359625974.500616</v>
      </c>
    </row>
    <row r="471" spans="1:60" x14ac:dyDescent="0.25">
      <c r="A471" s="3">
        <v>46093</v>
      </c>
      <c r="B471" s="4">
        <v>4226932531</v>
      </c>
      <c r="C471" s="4">
        <v>2719002632.6500001</v>
      </c>
      <c r="D471" s="4">
        <v>186496713</v>
      </c>
      <c r="E471" s="4"/>
      <c r="F471" s="17">
        <v>1950266405.8286459</v>
      </c>
      <c r="G471" s="17">
        <v>32501446.05224764</v>
      </c>
      <c r="H471" s="17">
        <v>29804818.111314759</v>
      </c>
      <c r="I471" s="17">
        <v>407626018.60392588</v>
      </c>
      <c r="J471" s="17">
        <v>141491.88251798289</v>
      </c>
      <c r="K471" s="17">
        <v>298662452.17134702</v>
      </c>
      <c r="L471" s="14">
        <f t="shared" si="155"/>
        <v>2719002632.6499991</v>
      </c>
      <c r="M471" s="21">
        <v>1.000842784482693</v>
      </c>
      <c r="N471" s="4">
        <v>1393938.56</v>
      </c>
      <c r="O471" s="4">
        <v>310995.46999999997</v>
      </c>
      <c r="P471" s="4">
        <v>90325.61</v>
      </c>
      <c r="Q471" s="4"/>
      <c r="R471" s="14">
        <f t="shared" si="142"/>
        <v>1795259.6400000001</v>
      </c>
      <c r="S471" s="6">
        <v>0.01</v>
      </c>
      <c r="T471" s="14">
        <f t="shared" si="143"/>
        <v>13939.385600000001</v>
      </c>
      <c r="U471" s="14">
        <f t="shared" si="144"/>
        <v>1597.7679999999996</v>
      </c>
      <c r="V471" s="14">
        <f t="shared" si="145"/>
        <v>711.61270000000002</v>
      </c>
      <c r="W471" s="14" t="str">
        <f t="shared" si="146"/>
        <v/>
      </c>
      <c r="X471" s="4">
        <v>19164.34</v>
      </c>
      <c r="Y471" s="4">
        <v>151218.67000000001</v>
      </c>
      <c r="Z471" s="4"/>
      <c r="AA471" s="14">
        <f t="shared" si="147"/>
        <v>186631.77630000003</v>
      </c>
      <c r="AB471" s="4">
        <v>158112.59330000001</v>
      </c>
      <c r="AC471" s="4">
        <v>1393938.56</v>
      </c>
      <c r="AD471" s="14">
        <f t="shared" si="148"/>
        <v>159776.79999999996</v>
      </c>
      <c r="AE471" s="14">
        <f t="shared" si="149"/>
        <v>71161.27</v>
      </c>
      <c r="AF471" s="14" t="str">
        <f t="shared" si="150"/>
        <v/>
      </c>
      <c r="AG471" s="15">
        <f t="shared" si="151"/>
        <v>1624876.6300000001</v>
      </c>
      <c r="AH471" s="4">
        <v>1366566.18</v>
      </c>
      <c r="AI471" s="17">
        <f t="shared" si="152"/>
        <v>258310.45000000019</v>
      </c>
      <c r="AJ471" s="7">
        <f t="shared" si="156"/>
        <v>3.2977544585274576</v>
      </c>
      <c r="AK471" s="7">
        <f t="shared" si="157"/>
        <v>1.1437851007039921</v>
      </c>
      <c r="AL471" s="7">
        <f t="shared" si="158"/>
        <v>4.843281607864049</v>
      </c>
      <c r="AM471" s="7" t="str">
        <f t="shared" si="159"/>
        <v/>
      </c>
      <c r="AN471" s="4">
        <v>10948.8340511485</v>
      </c>
      <c r="AO471" s="4">
        <v>0</v>
      </c>
      <c r="AP471" s="14">
        <f t="shared" si="153"/>
        <v>1377515.0140511484</v>
      </c>
      <c r="AQ471" s="14">
        <f t="shared" si="154"/>
        <v>1366566.18</v>
      </c>
      <c r="AR471" s="8">
        <v>36803.51</v>
      </c>
      <c r="AS471" s="20">
        <v>37.131408999999998</v>
      </c>
      <c r="AT471" s="8">
        <v>42110129.652555123</v>
      </c>
      <c r="AU471" s="8">
        <v>26526.822700000001</v>
      </c>
      <c r="AV471" s="8">
        <v>608.45770000000005</v>
      </c>
      <c r="AW471" s="8"/>
      <c r="AX471" s="9">
        <v>435.76560783076701</v>
      </c>
      <c r="AY471" s="6">
        <f t="shared" si="160"/>
        <v>2.2219032689840434E-2</v>
      </c>
      <c r="AZ471" s="8">
        <v>416539531.14209998</v>
      </c>
      <c r="BA471" s="10">
        <v>60480066</v>
      </c>
      <c r="BB471" s="11">
        <v>42110129.652555123</v>
      </c>
      <c r="BC471" s="10">
        <v>2971324</v>
      </c>
      <c r="BD471" s="10">
        <f>1000000000-999283834.3532+236557.6238</f>
        <v>952723.27060004114</v>
      </c>
      <c r="BE471" s="12">
        <f t="shared" si="161"/>
        <v>476946225.93474489</v>
      </c>
      <c r="BF471" s="13">
        <v>234.81493800000001</v>
      </c>
      <c r="BG471" s="13">
        <f t="shared" si="162"/>
        <v>242.1312879347449</v>
      </c>
      <c r="BH471" s="14">
        <f>BE471*36.38</f>
        <v>17351303699.50602</v>
      </c>
    </row>
    <row r="472" spans="1:60" x14ac:dyDescent="0.25">
      <c r="A472" s="3">
        <v>46094</v>
      </c>
      <c r="B472" s="4">
        <v>5962079385</v>
      </c>
      <c r="C472" s="4">
        <v>2100951294.75</v>
      </c>
      <c r="D472" s="4">
        <v>186603930</v>
      </c>
      <c r="E472" s="4"/>
      <c r="F472" s="17">
        <v>1340098594.2063129</v>
      </c>
      <c r="G472" s="17">
        <v>43182159.47499232</v>
      </c>
      <c r="H472" s="17">
        <v>19395778.159005608</v>
      </c>
      <c r="I472" s="17">
        <v>401878890.82256937</v>
      </c>
      <c r="J472" s="17">
        <v>60421.277944536669</v>
      </c>
      <c r="K472" s="17">
        <v>296335450.80917531</v>
      </c>
      <c r="L472" s="14">
        <f t="shared" si="155"/>
        <v>2100951294.75</v>
      </c>
      <c r="M472" s="21">
        <v>1.0075493351953511</v>
      </c>
      <c r="N472" s="4">
        <v>1980868.89</v>
      </c>
      <c r="O472" s="4">
        <v>255973.09</v>
      </c>
      <c r="P472" s="4">
        <v>91510.28</v>
      </c>
      <c r="Q472" s="4"/>
      <c r="R472" s="14">
        <f t="shared" si="142"/>
        <v>2328352.2599999998</v>
      </c>
      <c r="S472" s="6">
        <v>0.01</v>
      </c>
      <c r="T472" s="14">
        <f t="shared" si="143"/>
        <v>19808.688900000001</v>
      </c>
      <c r="U472" s="14">
        <f t="shared" si="144"/>
        <v>1332.1439000000003</v>
      </c>
      <c r="V472" s="14">
        <f t="shared" si="145"/>
        <v>753.00979999999993</v>
      </c>
      <c r="W472" s="14" t="str">
        <f t="shared" si="146"/>
        <v/>
      </c>
      <c r="X472" s="4">
        <v>16209.3</v>
      </c>
      <c r="Y472" s="4">
        <v>122758.7</v>
      </c>
      <c r="Z472" s="4"/>
      <c r="AA472" s="14">
        <f t="shared" si="147"/>
        <v>160861.8426</v>
      </c>
      <c r="AB472" s="4">
        <v>190700.182</v>
      </c>
      <c r="AC472" s="4">
        <v>1980868.89</v>
      </c>
      <c r="AD472" s="14">
        <f t="shared" si="148"/>
        <v>133214.39000000001</v>
      </c>
      <c r="AE472" s="14">
        <f t="shared" si="149"/>
        <v>75300.98</v>
      </c>
      <c r="AF472" s="14" t="str">
        <f t="shared" si="150"/>
        <v/>
      </c>
      <c r="AG472" s="15">
        <f t="shared" si="151"/>
        <v>2189384.2599999998</v>
      </c>
      <c r="AH472" s="4">
        <v>1830670.62</v>
      </c>
      <c r="AI472" s="17">
        <f t="shared" si="152"/>
        <v>358713.63999999966</v>
      </c>
      <c r="AJ472" s="7">
        <f t="shared" si="156"/>
        <v>3.3224463514921814</v>
      </c>
      <c r="AK472" s="7">
        <f t="shared" si="157"/>
        <v>1.2183675587322893</v>
      </c>
      <c r="AL472" s="7">
        <f t="shared" si="158"/>
        <v>4.9039846052545624</v>
      </c>
      <c r="AM472" s="7" t="str">
        <f t="shared" si="159"/>
        <v/>
      </c>
      <c r="AN472" s="4">
        <v>14537.46282295612</v>
      </c>
      <c r="AO472" s="4">
        <v>0</v>
      </c>
      <c r="AP472" s="14">
        <f t="shared" si="153"/>
        <v>1845208.0828229561</v>
      </c>
      <c r="AQ472" s="14">
        <f t="shared" si="154"/>
        <v>1830670.62</v>
      </c>
      <c r="AR472" s="8">
        <v>49323.48</v>
      </c>
      <c r="AS472" s="20">
        <v>37.115600999999998</v>
      </c>
      <c r="AT472" s="8">
        <v>42160887.052555121</v>
      </c>
      <c r="AU472" s="8">
        <v>26531.675800000001</v>
      </c>
      <c r="AV472" s="8">
        <v>1118.0109</v>
      </c>
      <c r="AW472" s="8"/>
      <c r="AX472" s="9">
        <v>435.6561251138703</v>
      </c>
      <c r="AY472" s="6">
        <f t="shared" si="160"/>
        <v>2.2228682460205998E-2</v>
      </c>
      <c r="AZ472" s="8">
        <v>416512999.46619999</v>
      </c>
      <c r="BA472" s="10">
        <v>60480066</v>
      </c>
      <c r="BB472" s="11">
        <v>42160887.052555121</v>
      </c>
      <c r="BC472" s="10">
        <v>2971324</v>
      </c>
      <c r="BD472" s="10">
        <f>1000000000-999282716.3422+236942.4062</f>
        <v>954226.06399995915</v>
      </c>
      <c r="BE472" s="12">
        <f t="shared" si="161"/>
        <v>476920497.41724491</v>
      </c>
      <c r="BF472" s="13">
        <v>234.81493800000001</v>
      </c>
      <c r="BG472" s="13">
        <f t="shared" si="162"/>
        <v>242.1055594172449</v>
      </c>
      <c r="BH472" s="14">
        <f>BE472*37.81</f>
        <v>18032364007.346031</v>
      </c>
    </row>
    <row r="473" spans="1:60" x14ac:dyDescent="0.25">
      <c r="A473" s="3">
        <v>46095</v>
      </c>
      <c r="B473" s="4">
        <v>1956272288</v>
      </c>
      <c r="C473" s="4">
        <v>639647450.55999994</v>
      </c>
      <c r="D473" s="4">
        <v>86907762</v>
      </c>
      <c r="E473" s="4"/>
      <c r="F473" s="17">
        <v>428786438.76644552</v>
      </c>
      <c r="G473" s="17">
        <v>12994297.028611951</v>
      </c>
      <c r="H473" s="17">
        <v>14791603.06816146</v>
      </c>
      <c r="I473" s="17">
        <v>140431163.94002989</v>
      </c>
      <c r="J473" s="17">
        <v>93904.209283311211</v>
      </c>
      <c r="K473" s="17">
        <v>42550043.547467858</v>
      </c>
      <c r="L473" s="14">
        <f t="shared" si="155"/>
        <v>639647450.56000006</v>
      </c>
      <c r="M473" s="21">
        <v>1.0030785248494971</v>
      </c>
      <c r="N473" s="4">
        <v>643507.5</v>
      </c>
      <c r="O473" s="4">
        <v>112880.04</v>
      </c>
      <c r="P473" s="4">
        <v>44420.89</v>
      </c>
      <c r="Q473" s="4"/>
      <c r="R473" s="14">
        <f t="shared" si="142"/>
        <v>800808.43</v>
      </c>
      <c r="S473" s="6">
        <v>0.01</v>
      </c>
      <c r="T473" s="14">
        <f t="shared" si="143"/>
        <v>6435.0749999999998</v>
      </c>
      <c r="U473" s="14">
        <f t="shared" si="144"/>
        <v>585.58749999999998</v>
      </c>
      <c r="V473" s="14">
        <f t="shared" si="145"/>
        <v>372.03360000000004</v>
      </c>
      <c r="W473" s="14" t="str">
        <f t="shared" si="146"/>
        <v/>
      </c>
      <c r="X473" s="4">
        <v>7217.53</v>
      </c>
      <c r="Y473" s="4">
        <v>54321.29</v>
      </c>
      <c r="Z473" s="4"/>
      <c r="AA473" s="14">
        <f t="shared" si="147"/>
        <v>68931.516100000008</v>
      </c>
      <c r="AB473" s="4">
        <v>80619.975000000006</v>
      </c>
      <c r="AC473" s="4">
        <v>643507.5</v>
      </c>
      <c r="AD473" s="14">
        <f t="shared" si="148"/>
        <v>58558.749999999993</v>
      </c>
      <c r="AE473" s="14">
        <f t="shared" si="149"/>
        <v>37203.360000000001</v>
      </c>
      <c r="AF473" s="14" t="str">
        <f t="shared" si="150"/>
        <v/>
      </c>
      <c r="AG473" s="15">
        <f t="shared" si="151"/>
        <v>739269.61</v>
      </c>
      <c r="AH473" s="4">
        <v>628780.06000000006</v>
      </c>
      <c r="AI473" s="17">
        <f t="shared" si="152"/>
        <v>110489.54999999993</v>
      </c>
      <c r="AJ473" s="7">
        <f t="shared" si="156"/>
        <v>3.2894577301296413</v>
      </c>
      <c r="AK473" s="7">
        <f t="shared" si="157"/>
        <v>1.7647227375201062</v>
      </c>
      <c r="AL473" s="7">
        <f t="shared" si="158"/>
        <v>5.1112684273241324</v>
      </c>
      <c r="AM473" s="7" t="str">
        <f t="shared" si="159"/>
        <v/>
      </c>
      <c r="AN473" s="4">
        <v>7548.8473829876621</v>
      </c>
      <c r="AO473" s="4">
        <v>0</v>
      </c>
      <c r="AP473" s="14">
        <f t="shared" si="153"/>
        <v>636328.90738298767</v>
      </c>
      <c r="AQ473" s="14">
        <f t="shared" si="154"/>
        <v>628780.06000000006</v>
      </c>
      <c r="AR473" s="8">
        <v>16809.89</v>
      </c>
      <c r="AS473" s="20">
        <v>37.405363999999999</v>
      </c>
      <c r="AT473" s="8">
        <v>42176729.402555123</v>
      </c>
      <c r="AU473" s="8">
        <v>26522.5569</v>
      </c>
      <c r="AV473" s="8">
        <v>1169.2845</v>
      </c>
      <c r="AW473" s="8"/>
      <c r="AX473" s="9">
        <v>435.48918258267491</v>
      </c>
      <c r="AY473" s="6">
        <f t="shared" si="160"/>
        <v>2.2229560815008702E-2</v>
      </c>
      <c r="AZ473" s="8">
        <v>416486476.90939999</v>
      </c>
      <c r="BA473" s="10">
        <v>60480066</v>
      </c>
      <c r="BB473" s="11">
        <v>42176729.402555123</v>
      </c>
      <c r="BC473" s="10">
        <v>2971324</v>
      </c>
      <c r="BD473" s="10">
        <f>1000000000-999281547.0577+237148.7942</f>
        <v>955601.73649996205</v>
      </c>
      <c r="BE473" s="12">
        <f t="shared" si="161"/>
        <v>476929801.95154494</v>
      </c>
      <c r="BF473" s="13">
        <v>234.81493800000001</v>
      </c>
      <c r="BG473" s="13">
        <f t="shared" si="162"/>
        <v>242.11486395154495</v>
      </c>
      <c r="BH473" s="14">
        <f>BE473*36.59</f>
        <v>17450861453.407032</v>
      </c>
    </row>
    <row r="474" spans="1:60" x14ac:dyDescent="0.25">
      <c r="A474" s="3">
        <v>46096</v>
      </c>
      <c r="B474" s="4">
        <v>2943046051</v>
      </c>
      <c r="C474" s="4">
        <v>968688942.37</v>
      </c>
      <c r="D474" s="4">
        <v>80040949</v>
      </c>
      <c r="E474" s="4"/>
      <c r="F474" s="17">
        <v>653725782.78567123</v>
      </c>
      <c r="G474" s="17">
        <v>21278889.513787501</v>
      </c>
      <c r="H474" s="17">
        <v>19461028.816843931</v>
      </c>
      <c r="I474" s="17">
        <v>213515797.56048489</v>
      </c>
      <c r="J474" s="17">
        <v>148546.79217499119</v>
      </c>
      <c r="K474" s="17">
        <v>60558896.901037551</v>
      </c>
      <c r="L474" s="14">
        <f t="shared" si="155"/>
        <v>968688942.37000012</v>
      </c>
      <c r="M474" s="21">
        <v>1.018408955601048</v>
      </c>
      <c r="N474" s="4">
        <v>994017.16</v>
      </c>
      <c r="O474" s="4">
        <v>160713.15</v>
      </c>
      <c r="P474" s="4">
        <v>38359.97</v>
      </c>
      <c r="Q474" s="4"/>
      <c r="R474" s="14">
        <f t="shared" si="142"/>
        <v>1193090.28</v>
      </c>
      <c r="S474" s="6">
        <v>0.01</v>
      </c>
      <c r="T474" s="14">
        <f t="shared" si="143"/>
        <v>9940.1715999999997</v>
      </c>
      <c r="U474" s="14">
        <f t="shared" si="144"/>
        <v>833.25970000000007</v>
      </c>
      <c r="V474" s="14">
        <f t="shared" si="145"/>
        <v>288.47000000000003</v>
      </c>
      <c r="W474" s="14" t="str">
        <f t="shared" si="146"/>
        <v/>
      </c>
      <c r="X474" s="4">
        <v>9512.9699999999993</v>
      </c>
      <c r="Y474" s="4">
        <v>77387.179999999993</v>
      </c>
      <c r="Z474" s="4"/>
      <c r="AA474" s="14">
        <f t="shared" si="147"/>
        <v>97962.051299999992</v>
      </c>
      <c r="AB474" s="4">
        <v>95379.9179</v>
      </c>
      <c r="AC474" s="4">
        <v>994017.16</v>
      </c>
      <c r="AD474" s="14">
        <f t="shared" si="148"/>
        <v>83325.97</v>
      </c>
      <c r="AE474" s="14">
        <f t="shared" si="149"/>
        <v>28847</v>
      </c>
      <c r="AF474" s="14" t="str">
        <f t="shared" si="150"/>
        <v/>
      </c>
      <c r="AG474" s="15">
        <f t="shared" si="151"/>
        <v>1106190.1300000001</v>
      </c>
      <c r="AH474" s="4">
        <v>929730.28</v>
      </c>
      <c r="AI474" s="17">
        <f t="shared" si="152"/>
        <v>176459.85000000009</v>
      </c>
      <c r="AJ474" s="7">
        <f t="shared" si="156"/>
        <v>3.3775114040850598</v>
      </c>
      <c r="AK474" s="7">
        <f t="shared" si="157"/>
        <v>1.6590790187694129</v>
      </c>
      <c r="AL474" s="7">
        <f t="shared" si="158"/>
        <v>4.7925431268937109</v>
      </c>
      <c r="AM474" s="7" t="str">
        <f t="shared" si="159"/>
        <v/>
      </c>
      <c r="AN474" s="4">
        <v>6731.8968998714636</v>
      </c>
      <c r="AO474" s="4">
        <v>0</v>
      </c>
      <c r="AP474" s="14">
        <f t="shared" si="153"/>
        <v>936462.17689987144</v>
      </c>
      <c r="AQ474" s="14">
        <f t="shared" si="154"/>
        <v>929730.28</v>
      </c>
      <c r="AR474" s="8">
        <v>24882.62</v>
      </c>
      <c r="AS474" s="20">
        <v>37.364646</v>
      </c>
      <c r="AT474" s="8">
        <v>42202159.962555118</v>
      </c>
      <c r="AU474" s="8">
        <v>26513.68</v>
      </c>
      <c r="AV474" s="8">
        <v>280.26479999999998</v>
      </c>
      <c r="AW474" s="8"/>
      <c r="AX474" s="9">
        <v>435.09640770118648</v>
      </c>
      <c r="AY474" s="6">
        <f t="shared" si="160"/>
        <v>2.2242181338914348E-2</v>
      </c>
      <c r="AZ474" s="8">
        <v>416459963.22939998</v>
      </c>
      <c r="BA474" s="10">
        <v>60480066</v>
      </c>
      <c r="BB474" s="11">
        <v>42202159.962555118</v>
      </c>
      <c r="BC474" s="10">
        <v>2971324</v>
      </c>
      <c r="BD474" s="10">
        <f>1000000000-999281266.793+237327.4776</f>
        <v>956060.68460001715</v>
      </c>
      <c r="BE474" s="12">
        <f t="shared" si="161"/>
        <v>476930426.12344497</v>
      </c>
      <c r="BF474" s="13">
        <v>234.81493800000001</v>
      </c>
      <c r="BG474" s="13">
        <f t="shared" si="162"/>
        <v>242.11548812344498</v>
      </c>
      <c r="BH474" s="14">
        <f>BE474*37.67</f>
        <v>17965969152.070171</v>
      </c>
    </row>
    <row r="475" spans="1:60" x14ac:dyDescent="0.25">
      <c r="A475" s="3">
        <v>46097</v>
      </c>
      <c r="B475" s="4">
        <v>6548471543</v>
      </c>
      <c r="C475" s="4">
        <v>2055615536.6199999</v>
      </c>
      <c r="D475" s="4">
        <v>216207871</v>
      </c>
      <c r="E475" s="4"/>
      <c r="F475" s="17">
        <v>1367945280.099421</v>
      </c>
      <c r="G475" s="17">
        <v>67796870.109344453</v>
      </c>
      <c r="H475" s="17">
        <v>19730475.208834969</v>
      </c>
      <c r="I475" s="17">
        <v>339041431.0384565</v>
      </c>
      <c r="J475" s="17">
        <v>92739.91931894148</v>
      </c>
      <c r="K475" s="17">
        <v>261008740.24462381</v>
      </c>
      <c r="L475" s="14">
        <f t="shared" si="155"/>
        <v>2055615536.6199996</v>
      </c>
      <c r="M475" s="21">
        <v>1.002888034985437</v>
      </c>
      <c r="N475" s="4">
        <v>2293610.92</v>
      </c>
      <c r="O475" s="4">
        <v>255568.45</v>
      </c>
      <c r="P475" s="4">
        <v>103297.88</v>
      </c>
      <c r="Q475" s="4"/>
      <c r="R475" s="14">
        <f t="shared" si="142"/>
        <v>2652477.25</v>
      </c>
      <c r="S475" s="6">
        <v>0.01</v>
      </c>
      <c r="T475" s="14">
        <f t="shared" si="143"/>
        <v>22936.109199999999</v>
      </c>
      <c r="U475" s="14">
        <f t="shared" si="144"/>
        <v>1369.4290000000003</v>
      </c>
      <c r="V475" s="14">
        <f t="shared" si="145"/>
        <v>806.78790000000015</v>
      </c>
      <c r="W475" s="14" t="str">
        <f t="shared" si="146"/>
        <v/>
      </c>
      <c r="X475" s="4">
        <v>22619.09</v>
      </c>
      <c r="Y475" s="4">
        <v>118625.55</v>
      </c>
      <c r="Z475" s="4"/>
      <c r="AA475" s="14">
        <f t="shared" si="147"/>
        <v>166356.96610000002</v>
      </c>
      <c r="AB475" s="4">
        <v>184422.01519999999</v>
      </c>
      <c r="AC475" s="4">
        <v>2293610.92</v>
      </c>
      <c r="AD475" s="14">
        <f t="shared" si="148"/>
        <v>136942.90000000002</v>
      </c>
      <c r="AE475" s="14">
        <f t="shared" si="149"/>
        <v>80678.790000000008</v>
      </c>
      <c r="AF475" s="14" t="str">
        <f t="shared" si="150"/>
        <v/>
      </c>
      <c r="AG475" s="15">
        <f t="shared" si="151"/>
        <v>2511232.61</v>
      </c>
      <c r="AH475" s="4">
        <v>2056534.62</v>
      </c>
      <c r="AI475" s="17">
        <f t="shared" si="152"/>
        <v>454697.98999999976</v>
      </c>
      <c r="AJ475" s="7">
        <f t="shared" si="156"/>
        <v>3.5025133803196553</v>
      </c>
      <c r="AK475" s="7">
        <f t="shared" si="157"/>
        <v>1.2432696943915165</v>
      </c>
      <c r="AL475" s="7">
        <f t="shared" si="158"/>
        <v>4.777711353533471</v>
      </c>
      <c r="AM475" s="7" t="str">
        <f t="shared" si="159"/>
        <v/>
      </c>
      <c r="AN475" s="4">
        <v>18142.363763329871</v>
      </c>
      <c r="AO475" s="4">
        <v>0</v>
      </c>
      <c r="AP475" s="14">
        <f t="shared" si="153"/>
        <v>2074676.9837633299</v>
      </c>
      <c r="AQ475" s="14">
        <f t="shared" si="154"/>
        <v>2056534.62</v>
      </c>
      <c r="AR475" s="8">
        <v>52403.88</v>
      </c>
      <c r="AS475" s="20">
        <v>39.243938</v>
      </c>
      <c r="AT475" s="8">
        <v>42256895.912555121</v>
      </c>
      <c r="AU475" s="8">
        <v>26158.165400000002</v>
      </c>
      <c r="AV475" s="8">
        <v>690.68349999999998</v>
      </c>
      <c r="AW475" s="8"/>
      <c r="AX475" s="9">
        <v>434.85850079622378</v>
      </c>
      <c r="AY475" s="6">
        <f t="shared" si="160"/>
        <v>2.1955947402472652E-2</v>
      </c>
      <c r="AZ475" s="8">
        <v>416433805.06400001</v>
      </c>
      <c r="BA475" s="10">
        <v>60480066</v>
      </c>
      <c r="BB475" s="11">
        <v>42256895.912555121</v>
      </c>
      <c r="BC475" s="10">
        <v>2971324</v>
      </c>
      <c r="BD475" s="10">
        <f>1000000000-999280576.1095+237813.0479</f>
        <v>957236.93839994946</v>
      </c>
      <c r="BE475" s="12">
        <f t="shared" si="161"/>
        <v>476900672.08504492</v>
      </c>
      <c r="BF475" s="13">
        <v>234.81493800000001</v>
      </c>
      <c r="BG475" s="13">
        <f t="shared" si="162"/>
        <v>242.08573408504489</v>
      </c>
      <c r="BH475" s="14">
        <f>BE475*37.38</f>
        <v>17826547122.538979</v>
      </c>
    </row>
    <row r="476" spans="1:60" x14ac:dyDescent="0.25">
      <c r="A476" s="3">
        <v>46098</v>
      </c>
      <c r="B476" s="4">
        <v>5631386518</v>
      </c>
      <c r="C476" s="4">
        <v>1420018155.8</v>
      </c>
      <c r="D476" s="4">
        <v>163398517</v>
      </c>
      <c r="E476" s="4"/>
      <c r="F476" s="17">
        <v>812898209.18804348</v>
      </c>
      <c r="G476" s="17">
        <v>40936589.323749699</v>
      </c>
      <c r="H476" s="17">
        <v>19245161.27321152</v>
      </c>
      <c r="I476" s="17">
        <v>319018202.83938903</v>
      </c>
      <c r="J476" s="17">
        <v>58316.91814764015</v>
      </c>
      <c r="K476" s="17">
        <v>227861676.25745851</v>
      </c>
      <c r="L476" s="14">
        <f t="shared" si="155"/>
        <v>1420018155.7999997</v>
      </c>
      <c r="M476" s="21">
        <v>1.0034497007884571</v>
      </c>
      <c r="N476" s="4">
        <v>1901933.76</v>
      </c>
      <c r="O476" s="4">
        <v>176355.72</v>
      </c>
      <c r="P476" s="4">
        <v>87172.409999999989</v>
      </c>
      <c r="Q476" s="4"/>
      <c r="R476" s="14">
        <f t="shared" si="142"/>
        <v>2165461.89</v>
      </c>
      <c r="S476" s="6">
        <v>0.01</v>
      </c>
      <c r="T476" s="14">
        <f t="shared" si="143"/>
        <v>19019.337599999999</v>
      </c>
      <c r="U476" s="14">
        <f t="shared" si="144"/>
        <v>933.98450000000003</v>
      </c>
      <c r="V476" s="14">
        <f t="shared" si="145"/>
        <v>666.19149999999991</v>
      </c>
      <c r="W476" s="14" t="str">
        <f t="shared" si="146"/>
        <v/>
      </c>
      <c r="X476" s="4">
        <v>20553.259999999998</v>
      </c>
      <c r="Y476" s="4">
        <v>82957.27</v>
      </c>
      <c r="Z476" s="4"/>
      <c r="AA476" s="14">
        <f t="shared" si="147"/>
        <v>124130.0436</v>
      </c>
      <c r="AB476" s="4">
        <v>156103.69529999999</v>
      </c>
      <c r="AC476" s="4">
        <v>1901933.76</v>
      </c>
      <c r="AD476" s="14">
        <f t="shared" si="148"/>
        <v>93398.45</v>
      </c>
      <c r="AE476" s="14">
        <f t="shared" si="149"/>
        <v>66619.149999999994</v>
      </c>
      <c r="AF476" s="14" t="str">
        <f t="shared" si="150"/>
        <v/>
      </c>
      <c r="AG476" s="15">
        <f t="shared" si="151"/>
        <v>2061951.3599999999</v>
      </c>
      <c r="AH476" s="4">
        <v>1717663.47</v>
      </c>
      <c r="AI476" s="17">
        <f t="shared" si="152"/>
        <v>344287.8899999999</v>
      </c>
      <c r="AJ476" s="7">
        <f t="shared" si="156"/>
        <v>3.3773809592375064</v>
      </c>
      <c r="AK476" s="7">
        <f t="shared" si="157"/>
        <v>1.2419258111572942</v>
      </c>
      <c r="AL476" s="7">
        <f t="shared" si="158"/>
        <v>5.3349572322005834</v>
      </c>
      <c r="AM476" s="7" t="str">
        <f t="shared" si="159"/>
        <v/>
      </c>
      <c r="AN476" s="4">
        <v>16207.248018415539</v>
      </c>
      <c r="AO476" s="4">
        <v>0</v>
      </c>
      <c r="AP476" s="14">
        <f t="shared" si="153"/>
        <v>1733870.7180184156</v>
      </c>
      <c r="AQ476" s="14">
        <f t="shared" si="154"/>
        <v>1717663.47</v>
      </c>
      <c r="AR476" s="8">
        <v>42168.480000000003</v>
      </c>
      <c r="AS476" s="20">
        <v>40.733350000000002</v>
      </c>
      <c r="AT476" s="8">
        <v>42296551.712555118</v>
      </c>
      <c r="AU476" s="8">
        <v>25920.250100000001</v>
      </c>
      <c r="AV476" s="8">
        <v>688.10400000000004</v>
      </c>
      <c r="AW476" s="8"/>
      <c r="AX476" s="9">
        <v>434.67223692301911</v>
      </c>
      <c r="AY476" s="6">
        <f t="shared" si="160"/>
        <v>2.1765575260734984E-2</v>
      </c>
      <c r="AZ476" s="8">
        <v>416407884.81389999</v>
      </c>
      <c r="BA476" s="10">
        <v>60480066</v>
      </c>
      <c r="BB476" s="11">
        <v>42296551.712555118</v>
      </c>
      <c r="BC476" s="10">
        <v>2971324</v>
      </c>
      <c r="BD476" s="10">
        <f>1000000000-999279888.0055+238211.6129</f>
        <v>958323.60740004107</v>
      </c>
      <c r="BE476" s="12">
        <f t="shared" si="161"/>
        <v>476885849.86614484</v>
      </c>
      <c r="BF476" s="13">
        <v>234.81493800000001</v>
      </c>
      <c r="BG476" s="13">
        <f t="shared" si="162"/>
        <v>242.07091186614483</v>
      </c>
      <c r="BH476" s="14">
        <f>BE476*40.63</f>
        <v>19375872080.061466</v>
      </c>
    </row>
    <row r="477" spans="1:60" x14ac:dyDescent="0.25">
      <c r="A477" s="3">
        <v>46099</v>
      </c>
      <c r="B477" s="4">
        <v>6093361269</v>
      </c>
      <c r="C477" s="4">
        <v>2456410961.3299999</v>
      </c>
      <c r="D477" s="4">
        <v>220284790</v>
      </c>
      <c r="E477" s="4"/>
      <c r="F477" s="17">
        <v>1664256200.492588</v>
      </c>
      <c r="G477" s="17">
        <v>45271316.01075469</v>
      </c>
      <c r="H477" s="17">
        <v>20148471.87853501</v>
      </c>
      <c r="I477" s="17">
        <v>443717572.08946872</v>
      </c>
      <c r="J477" s="17">
        <v>214019.11933382411</v>
      </c>
      <c r="K477" s="17">
        <v>282803381.73931968</v>
      </c>
      <c r="L477" s="14">
        <f t="shared" si="155"/>
        <v>2456410961.3299999</v>
      </c>
      <c r="M477" s="21">
        <v>1.005360663429923</v>
      </c>
      <c r="N477" s="4">
        <v>2079809.87</v>
      </c>
      <c r="O477" s="4">
        <v>288167.82</v>
      </c>
      <c r="P477" s="4">
        <v>112296.17</v>
      </c>
      <c r="Q477" s="4"/>
      <c r="R477" s="14">
        <f t="shared" si="142"/>
        <v>2480273.86</v>
      </c>
      <c r="S477" s="6">
        <v>0.01</v>
      </c>
      <c r="T477" s="14">
        <f t="shared" si="143"/>
        <v>20798.098700000002</v>
      </c>
      <c r="U477" s="14">
        <f t="shared" si="144"/>
        <v>1504.9539000000002</v>
      </c>
      <c r="V477" s="14">
        <f t="shared" si="145"/>
        <v>973.00429999999994</v>
      </c>
      <c r="W477" s="14" t="str">
        <f t="shared" si="146"/>
        <v/>
      </c>
      <c r="X477" s="4">
        <v>14995.74</v>
      </c>
      <c r="Y477" s="4">
        <v>137672.43</v>
      </c>
      <c r="Z477" s="4"/>
      <c r="AA477" s="14">
        <f t="shared" si="147"/>
        <v>175944.22690000001</v>
      </c>
      <c r="AB477" s="4">
        <v>157843.1882</v>
      </c>
      <c r="AC477" s="4">
        <v>2079809.87</v>
      </c>
      <c r="AD477" s="14">
        <f t="shared" si="148"/>
        <v>150495.39000000001</v>
      </c>
      <c r="AE477" s="14">
        <f t="shared" si="149"/>
        <v>97300.43</v>
      </c>
      <c r="AF477" s="14" t="str">
        <f t="shared" si="150"/>
        <v/>
      </c>
      <c r="AG477" s="15">
        <f t="shared" si="151"/>
        <v>2327605.6900000004</v>
      </c>
      <c r="AH477" s="4">
        <v>1931952.06</v>
      </c>
      <c r="AI477" s="17">
        <f t="shared" si="152"/>
        <v>395653.63000000035</v>
      </c>
      <c r="AJ477" s="7">
        <f t="shared" si="156"/>
        <v>3.4132390616342434</v>
      </c>
      <c r="AK477" s="7">
        <f t="shared" si="157"/>
        <v>1.1731254441397474</v>
      </c>
      <c r="AL477" s="7">
        <f t="shared" si="158"/>
        <v>5.0977722973973831</v>
      </c>
      <c r="AM477" s="7" t="str">
        <f t="shared" si="159"/>
        <v/>
      </c>
      <c r="AN477" s="4">
        <v>37957.113218343351</v>
      </c>
      <c r="AO477" s="4">
        <v>0</v>
      </c>
      <c r="AP477" s="14">
        <f t="shared" si="153"/>
        <v>1969909.1732183434</v>
      </c>
      <c r="AQ477" s="14">
        <f t="shared" si="154"/>
        <v>1931952.06</v>
      </c>
      <c r="AR477" s="8">
        <v>46408.79</v>
      </c>
      <c r="AS477" s="20">
        <v>41.629012000000003</v>
      </c>
      <c r="AT477" s="8">
        <v>42343472.102555119</v>
      </c>
      <c r="AU477" s="8">
        <v>26481.170900000001</v>
      </c>
      <c r="AV477" s="8">
        <v>1001.0048</v>
      </c>
      <c r="AW477" s="8"/>
      <c r="AX477" s="9">
        <v>433.85483485948907</v>
      </c>
      <c r="AY477" s="6">
        <f t="shared" si="160"/>
        <v>2.2278482575007766E-2</v>
      </c>
      <c r="AZ477" s="8">
        <v>416381403.64300001</v>
      </c>
      <c r="BA477" s="10">
        <v>60480066</v>
      </c>
      <c r="BB477" s="11">
        <v>42343472.102555119</v>
      </c>
      <c r="BC477" s="10">
        <v>2971324</v>
      </c>
      <c r="BD477" s="10">
        <f>1000000000-999278887.0007+239143.3502</f>
        <v>960256.34950000304</v>
      </c>
      <c r="BE477" s="12">
        <f t="shared" si="161"/>
        <v>476863477.9049449</v>
      </c>
      <c r="BF477" s="13">
        <v>234.81493800000001</v>
      </c>
      <c r="BG477" s="13">
        <f t="shared" si="162"/>
        <v>242.04853990494487</v>
      </c>
      <c r="BH477" s="14">
        <f>BE477*40.73</f>
        <v>19422649455.068405</v>
      </c>
    </row>
    <row r="478" spans="1:60" x14ac:dyDescent="0.25">
      <c r="A478" s="3">
        <v>46100</v>
      </c>
      <c r="B478" s="4">
        <v>5771547049</v>
      </c>
      <c r="C478" s="4">
        <v>3921241953.2199998</v>
      </c>
      <c r="D478" s="4">
        <v>184213403</v>
      </c>
      <c r="E478" s="4"/>
      <c r="F478" s="17">
        <v>2961664449.1889849</v>
      </c>
      <c r="G478" s="17">
        <v>37710056.49915351</v>
      </c>
      <c r="H478" s="17">
        <v>19685410.518885631</v>
      </c>
      <c r="I478" s="17">
        <v>591699703.00191665</v>
      </c>
      <c r="J478" s="17">
        <v>115614.5588332935</v>
      </c>
      <c r="K478" s="17">
        <v>310366719.45222622</v>
      </c>
      <c r="L478" s="14">
        <f t="shared" si="155"/>
        <v>3921241953.2199998</v>
      </c>
      <c r="M478" s="21">
        <v>1.000006689628669</v>
      </c>
      <c r="N478" s="4">
        <v>1866461.92</v>
      </c>
      <c r="O478" s="4">
        <v>487510.64</v>
      </c>
      <c r="P478" s="4">
        <v>89447.49</v>
      </c>
      <c r="Q478" s="4"/>
      <c r="R478" s="14">
        <f t="shared" si="142"/>
        <v>2443420.0500000003</v>
      </c>
      <c r="S478" s="6">
        <v>0.01</v>
      </c>
      <c r="T478" s="14">
        <f t="shared" si="143"/>
        <v>18664.619200000001</v>
      </c>
      <c r="U478" s="14">
        <f t="shared" si="144"/>
        <v>2488.5730000000003</v>
      </c>
      <c r="V478" s="14">
        <f t="shared" si="145"/>
        <v>776.31100000000004</v>
      </c>
      <c r="W478" s="14" t="str">
        <f t="shared" si="146"/>
        <v/>
      </c>
      <c r="X478" s="4">
        <v>11816.39</v>
      </c>
      <c r="Y478" s="4">
        <v>238653.34</v>
      </c>
      <c r="Z478" s="4"/>
      <c r="AA478" s="14">
        <f t="shared" si="147"/>
        <v>272399.23320000002</v>
      </c>
      <c r="AB478" s="4">
        <v>159520.59760000001</v>
      </c>
      <c r="AC478" s="4">
        <v>1866461.92</v>
      </c>
      <c r="AD478" s="14">
        <f t="shared" si="148"/>
        <v>248857.30000000002</v>
      </c>
      <c r="AE478" s="14">
        <f t="shared" si="149"/>
        <v>77631.100000000006</v>
      </c>
      <c r="AF478" s="14" t="str">
        <f t="shared" si="150"/>
        <v/>
      </c>
      <c r="AG478" s="15">
        <f t="shared" si="151"/>
        <v>2192950.3199999998</v>
      </c>
      <c r="AH478" s="4">
        <v>1919269.57</v>
      </c>
      <c r="AI478" s="17">
        <f t="shared" si="152"/>
        <v>273680.74999999977</v>
      </c>
      <c r="AJ478" s="7">
        <f t="shared" si="156"/>
        <v>3.2339022867766278</v>
      </c>
      <c r="AK478" s="7">
        <f t="shared" si="157"/>
        <v>1.243255697597726</v>
      </c>
      <c r="AL478" s="7">
        <f t="shared" si="158"/>
        <v>4.8556450585737236</v>
      </c>
      <c r="AM478" s="7" t="str">
        <f t="shared" si="159"/>
        <v/>
      </c>
      <c r="AN478" s="4">
        <v>20312.057248123339</v>
      </c>
      <c r="AO478" s="4">
        <v>0</v>
      </c>
      <c r="AP478" s="14">
        <f t="shared" si="153"/>
        <v>1939581.6272481233</v>
      </c>
      <c r="AQ478" s="14">
        <f t="shared" si="154"/>
        <v>1919269.57</v>
      </c>
      <c r="AR478" s="8">
        <v>48083.94</v>
      </c>
      <c r="AS478" s="20">
        <v>39.914980999999997</v>
      </c>
      <c r="AT478" s="8">
        <v>42390511.502555117</v>
      </c>
      <c r="AU478" s="8">
        <v>26434.509900000001</v>
      </c>
      <c r="AV478" s="8">
        <v>1559.2383</v>
      </c>
      <c r="AW478" s="8"/>
      <c r="AX478" s="9">
        <v>433.67616952005949</v>
      </c>
      <c r="AY478" s="6">
        <f t="shared" si="160"/>
        <v>2.22483889861366E-2</v>
      </c>
      <c r="AZ478" s="8">
        <v>416354969.13309997</v>
      </c>
      <c r="BA478" s="10">
        <v>60480066</v>
      </c>
      <c r="BB478" s="11">
        <v>42390511.502555117</v>
      </c>
      <c r="BC478" s="10">
        <v>2971324</v>
      </c>
      <c r="BD478" s="10">
        <f>1000000000-999277327.7625+239625.7187</f>
        <v>962297.95619995228</v>
      </c>
      <c r="BE478" s="12">
        <f t="shared" si="161"/>
        <v>476840831.40814489</v>
      </c>
      <c r="BF478" s="13">
        <v>234.81493800000001</v>
      </c>
      <c r="BG478" s="13">
        <f t="shared" si="162"/>
        <v>242.02589340814487</v>
      </c>
      <c r="BH478" s="14">
        <f>BE478*42.07</f>
        <v>20060693777.340656</v>
      </c>
    </row>
    <row r="479" spans="1:60" x14ac:dyDescent="0.25">
      <c r="A479" s="3">
        <v>46101</v>
      </c>
      <c r="B479" s="4">
        <v>4387405471</v>
      </c>
      <c r="C479" s="4">
        <v>2329523491.6500001</v>
      </c>
      <c r="D479" s="4">
        <v>130241783</v>
      </c>
      <c r="E479" s="4"/>
      <c r="F479" s="17">
        <v>1516513986.7034869</v>
      </c>
      <c r="G479" s="17">
        <v>28975416.924927089</v>
      </c>
      <c r="H479" s="17">
        <v>23033114.11435733</v>
      </c>
      <c r="I479" s="17">
        <v>462392315.84047872</v>
      </c>
      <c r="J479" s="17">
        <v>35956.506637078448</v>
      </c>
      <c r="K479" s="17">
        <v>298572701.56011301</v>
      </c>
      <c r="L479" s="14">
        <f t="shared" si="155"/>
        <v>2329523491.6500001</v>
      </c>
      <c r="M479" s="21">
        <v>1.001902011750976</v>
      </c>
      <c r="N479" s="4">
        <v>1408764.93</v>
      </c>
      <c r="O479" s="4">
        <v>310808.40999999997</v>
      </c>
      <c r="P479" s="4">
        <v>63267.360000000001</v>
      </c>
      <c r="Q479" s="4"/>
      <c r="R479" s="14">
        <f t="shared" si="142"/>
        <v>1782840.7</v>
      </c>
      <c r="S479" s="6">
        <v>0.01</v>
      </c>
      <c r="T479" s="14">
        <f t="shared" si="143"/>
        <v>14087.649299999999</v>
      </c>
      <c r="U479" s="14">
        <f t="shared" si="144"/>
        <v>1599.1381999999999</v>
      </c>
      <c r="V479" s="14">
        <f t="shared" si="145"/>
        <v>534.84730000000002</v>
      </c>
      <c r="W479" s="14" t="str">
        <f t="shared" si="146"/>
        <v/>
      </c>
      <c r="X479" s="4">
        <v>9782.6299999999992</v>
      </c>
      <c r="Y479" s="4">
        <v>150894.59</v>
      </c>
      <c r="Z479" s="4"/>
      <c r="AA479" s="14">
        <f t="shared" si="147"/>
        <v>176898.8548</v>
      </c>
      <c r="AB479" s="4">
        <v>129516.6192</v>
      </c>
      <c r="AC479" s="4">
        <v>1408764.93</v>
      </c>
      <c r="AD479" s="14">
        <f t="shared" si="148"/>
        <v>159913.81999999998</v>
      </c>
      <c r="AE479" s="14">
        <f t="shared" si="149"/>
        <v>53484.73</v>
      </c>
      <c r="AF479" s="14" t="str">
        <f t="shared" si="150"/>
        <v/>
      </c>
      <c r="AG479" s="15">
        <f t="shared" si="151"/>
        <v>1622163.48</v>
      </c>
      <c r="AH479" s="4">
        <v>1398791.89</v>
      </c>
      <c r="AI479" s="17">
        <f t="shared" si="152"/>
        <v>223371.59000000008</v>
      </c>
      <c r="AJ479" s="7">
        <f t="shared" si="156"/>
        <v>3.2109294190192705</v>
      </c>
      <c r="AK479" s="7">
        <f t="shared" si="157"/>
        <v>1.3342145340627345</v>
      </c>
      <c r="AL479" s="7">
        <f t="shared" si="158"/>
        <v>4.8576853405024414</v>
      </c>
      <c r="AM479" s="7" t="str">
        <f t="shared" si="159"/>
        <v/>
      </c>
      <c r="AN479" s="4">
        <v>20215.876739190378</v>
      </c>
      <c r="AO479" s="4">
        <v>0</v>
      </c>
      <c r="AP479" s="14">
        <f t="shared" si="153"/>
        <v>1419007.7667391903</v>
      </c>
      <c r="AQ479" s="14">
        <f t="shared" si="154"/>
        <v>1398791.89</v>
      </c>
      <c r="AR479" s="8">
        <v>35474.14</v>
      </c>
      <c r="AS479" s="20">
        <v>39.431311999999998</v>
      </c>
      <c r="AT479" s="8">
        <v>42426049.162555121</v>
      </c>
      <c r="AU479" s="8">
        <v>26463.4663</v>
      </c>
      <c r="AV479" s="8">
        <v>563.06050000000005</v>
      </c>
      <c r="AW479" s="8"/>
      <c r="AX479" s="9">
        <v>433.62124414691419</v>
      </c>
      <c r="AY479" s="6">
        <f t="shared" si="160"/>
        <v>2.2275581120346128E-2</v>
      </c>
      <c r="AZ479" s="8">
        <v>416328505.66680002</v>
      </c>
      <c r="BA479" s="10">
        <v>60480066</v>
      </c>
      <c r="BB479" s="11">
        <v>42426049.162555121</v>
      </c>
      <c r="BC479" s="10">
        <v>2971324</v>
      </c>
      <c r="BD479" s="10">
        <f>1000000000-999276764.702+240133.4512</f>
        <v>963368.74919997808</v>
      </c>
      <c r="BE479" s="12">
        <f t="shared" si="161"/>
        <v>476830686.42144489</v>
      </c>
      <c r="BF479" s="13">
        <v>234.81493800000001</v>
      </c>
      <c r="BG479" s="13">
        <f t="shared" si="162"/>
        <v>242.0157484214449</v>
      </c>
      <c r="BH479" s="14">
        <f>BE479*39.81</f>
        <v>18982629626.437721</v>
      </c>
    </row>
    <row r="480" spans="1:60" x14ac:dyDescent="0.25">
      <c r="A480" s="3">
        <v>46102</v>
      </c>
      <c r="B480" s="4">
        <v>1820769490</v>
      </c>
      <c r="C480" s="4">
        <v>386237724.70999998</v>
      </c>
      <c r="D480" s="4">
        <v>60945818</v>
      </c>
      <c r="E480" s="4"/>
      <c r="F480" s="17">
        <v>243987455.35865021</v>
      </c>
      <c r="G480" s="17">
        <v>10719433.16289993</v>
      </c>
      <c r="H480" s="17">
        <v>15967280.82337998</v>
      </c>
      <c r="I480" s="17">
        <v>64665469.249332123</v>
      </c>
      <c r="J480" s="17">
        <v>11349.70287775255</v>
      </c>
      <c r="K480" s="17">
        <v>50886736.412859976</v>
      </c>
      <c r="L480" s="14">
        <f t="shared" si="155"/>
        <v>386237724.70999998</v>
      </c>
      <c r="M480" s="21">
        <v>1.000546180083427</v>
      </c>
      <c r="N480" s="4">
        <v>599973.22</v>
      </c>
      <c r="O480" s="4">
        <v>93891.76999999999</v>
      </c>
      <c r="P480" s="4">
        <v>27377.77</v>
      </c>
      <c r="Q480" s="4"/>
      <c r="R480" s="14">
        <f t="shared" si="142"/>
        <v>721242.76</v>
      </c>
      <c r="S480" s="6">
        <v>0.01</v>
      </c>
      <c r="T480" s="14">
        <f t="shared" si="143"/>
        <v>5999.7321999999995</v>
      </c>
      <c r="U480" s="14">
        <f t="shared" si="144"/>
        <v>485.98629999999991</v>
      </c>
      <c r="V480" s="14">
        <f t="shared" si="145"/>
        <v>226.81130000000002</v>
      </c>
      <c r="W480" s="14" t="str">
        <f t="shared" si="146"/>
        <v/>
      </c>
      <c r="X480" s="4">
        <v>4696.6400000000003</v>
      </c>
      <c r="Y480" s="4">
        <v>45293.14</v>
      </c>
      <c r="Z480" s="4"/>
      <c r="AA480" s="14">
        <f t="shared" si="147"/>
        <v>56702.309800000003</v>
      </c>
      <c r="AB480" s="4">
        <v>64409.42760000001</v>
      </c>
      <c r="AC480" s="4">
        <v>599973.22</v>
      </c>
      <c r="AD480" s="14">
        <f t="shared" si="148"/>
        <v>48598.62999999999</v>
      </c>
      <c r="AE480" s="14">
        <f t="shared" si="149"/>
        <v>22681.13</v>
      </c>
      <c r="AF480" s="14" t="str">
        <f t="shared" si="150"/>
        <v/>
      </c>
      <c r="AG480" s="15">
        <f t="shared" si="151"/>
        <v>671252.98</v>
      </c>
      <c r="AH480" s="4">
        <v>565820.13</v>
      </c>
      <c r="AI480" s="17">
        <f t="shared" si="152"/>
        <v>105432.84999999998</v>
      </c>
      <c r="AJ480" s="7">
        <f t="shared" si="156"/>
        <v>3.2951629698056943</v>
      </c>
      <c r="AK480" s="7">
        <f t="shared" si="157"/>
        <v>2.4309321434227336</v>
      </c>
      <c r="AL480" s="7">
        <f t="shared" si="158"/>
        <v>4.4921490757577489</v>
      </c>
      <c r="AM480" s="7" t="str">
        <f t="shared" si="159"/>
        <v/>
      </c>
      <c r="AN480" s="4">
        <v>4802.6873135339529</v>
      </c>
      <c r="AO480" s="4">
        <v>0</v>
      </c>
      <c r="AP480" s="14">
        <f t="shared" si="153"/>
        <v>570622.81731353397</v>
      </c>
      <c r="AQ480" s="14">
        <f t="shared" si="154"/>
        <v>565820.13</v>
      </c>
      <c r="AR480" s="8">
        <v>14254.91</v>
      </c>
      <c r="AS480" s="20">
        <v>39.692999</v>
      </c>
      <c r="AT480" s="8">
        <v>42443640.52255512</v>
      </c>
      <c r="AU480" s="8">
        <v>26474.808400000002</v>
      </c>
      <c r="AV480" s="8">
        <v>863.75409999999999</v>
      </c>
      <c r="AW480" s="8"/>
      <c r="AX480" s="9">
        <v>434.04381012952911</v>
      </c>
      <c r="AY480" s="6">
        <f t="shared" si="160"/>
        <v>2.2263432493407148E-2</v>
      </c>
      <c r="AZ480" s="8">
        <v>416302030.85829997</v>
      </c>
      <c r="BA480" s="10">
        <v>60480066</v>
      </c>
      <c r="BB480" s="11">
        <v>42443640.52255512</v>
      </c>
      <c r="BC480" s="10">
        <v>2971324</v>
      </c>
      <c r="BD480" s="10">
        <f>1000000000-999275900.9479+240254.508</f>
        <v>964353.56009994319</v>
      </c>
      <c r="BE480" s="12">
        <f t="shared" si="161"/>
        <v>476838585.05904496</v>
      </c>
      <c r="BF480" s="13">
        <v>234.81493800000001</v>
      </c>
      <c r="BG480" s="13">
        <f t="shared" si="162"/>
        <v>242.02364705904492</v>
      </c>
      <c r="BH480" s="14">
        <f>BE480*39.67</f>
        <v>18916186669.292313</v>
      </c>
    </row>
    <row r="481" spans="1:60" x14ac:dyDescent="0.25">
      <c r="A481" s="3">
        <v>46103</v>
      </c>
      <c r="B481" s="4">
        <v>4123380156</v>
      </c>
      <c r="C481" s="4">
        <v>935971268.74000001</v>
      </c>
      <c r="D481" s="4">
        <v>102290418</v>
      </c>
      <c r="E481" s="4"/>
      <c r="F481" s="17">
        <v>666709267.04108059</v>
      </c>
      <c r="G481" s="17">
        <v>19823492.354167171</v>
      </c>
      <c r="H481" s="17">
        <v>18979578.41262364</v>
      </c>
      <c r="I481" s="17">
        <v>146811269.54084709</v>
      </c>
      <c r="J481" s="17">
        <v>21154.370887059009</v>
      </c>
      <c r="K481" s="17">
        <v>83626507.020394534</v>
      </c>
      <c r="L481" s="14">
        <f t="shared" si="155"/>
        <v>935971268.74000013</v>
      </c>
      <c r="M481" s="21">
        <v>1.0013660490932761</v>
      </c>
      <c r="N481" s="4">
        <v>1307527.72</v>
      </c>
      <c r="O481" s="4">
        <v>167526.29</v>
      </c>
      <c r="P481" s="4">
        <v>51100.38</v>
      </c>
      <c r="Q481" s="4"/>
      <c r="R481" s="14">
        <f t="shared" si="142"/>
        <v>1526154.39</v>
      </c>
      <c r="S481" s="6">
        <v>0.01</v>
      </c>
      <c r="T481" s="14">
        <f t="shared" si="143"/>
        <v>13075.2772</v>
      </c>
      <c r="U481" s="14">
        <f t="shared" si="144"/>
        <v>863.60270000000003</v>
      </c>
      <c r="V481" s="14">
        <f t="shared" si="145"/>
        <v>398.54849999999999</v>
      </c>
      <c r="W481" s="14" t="str">
        <f t="shared" si="146"/>
        <v/>
      </c>
      <c r="X481" s="4">
        <v>11245.53</v>
      </c>
      <c r="Y481" s="4">
        <v>81166.02</v>
      </c>
      <c r="Z481" s="4"/>
      <c r="AA481" s="14">
        <f t="shared" si="147"/>
        <v>106748.97840000001</v>
      </c>
      <c r="AB481" s="4">
        <v>105025.6897</v>
      </c>
      <c r="AC481" s="4">
        <v>1307527.72</v>
      </c>
      <c r="AD481" s="14">
        <f t="shared" si="148"/>
        <v>86360.27</v>
      </c>
      <c r="AE481" s="14">
        <f t="shared" si="149"/>
        <v>39854.85</v>
      </c>
      <c r="AF481" s="14" t="str">
        <f t="shared" si="150"/>
        <v/>
      </c>
      <c r="AG481" s="15">
        <f t="shared" si="151"/>
        <v>1433742.84</v>
      </c>
      <c r="AH481" s="4">
        <v>1226196.43</v>
      </c>
      <c r="AI481" s="17">
        <f t="shared" si="152"/>
        <v>207546.41000000015</v>
      </c>
      <c r="AJ481" s="7">
        <f t="shared" si="156"/>
        <v>3.1710093916453332</v>
      </c>
      <c r="AK481" s="7">
        <f t="shared" si="157"/>
        <v>1.7898657319419975</v>
      </c>
      <c r="AL481" s="7">
        <f t="shared" si="158"/>
        <v>4.9956174780711127</v>
      </c>
      <c r="AM481" s="7" t="str">
        <f t="shared" si="159"/>
        <v/>
      </c>
      <c r="AN481" s="4">
        <v>8939.9005593628899</v>
      </c>
      <c r="AO481" s="4">
        <v>0</v>
      </c>
      <c r="AP481" s="14">
        <f t="shared" si="153"/>
        <v>1235136.3305593629</v>
      </c>
      <c r="AQ481" s="14">
        <f t="shared" si="154"/>
        <v>1226196.43</v>
      </c>
      <c r="AR481" s="8">
        <v>31939.5</v>
      </c>
      <c r="AS481" s="20">
        <v>38.391221999999999</v>
      </c>
      <c r="AT481" s="8">
        <v>42472662.502555117</v>
      </c>
      <c r="AU481" s="8">
        <v>26473.246999999999</v>
      </c>
      <c r="AV481" s="8">
        <v>166.6936</v>
      </c>
      <c r="AW481" s="8"/>
      <c r="AX481" s="9">
        <v>434.15237064341102</v>
      </c>
      <c r="AY481" s="6">
        <f t="shared" si="160"/>
        <v>2.2256552787400165E-2</v>
      </c>
      <c r="AZ481" s="8">
        <v>416275557.61129999</v>
      </c>
      <c r="BA481" s="10">
        <v>60480066</v>
      </c>
      <c r="BB481" s="11">
        <v>42472662.502555117</v>
      </c>
      <c r="BC481" s="10">
        <v>2971324</v>
      </c>
      <c r="BD481" s="10">
        <f>1000000000-999275734.2543+240481.507</f>
        <v>964747.2527000017</v>
      </c>
      <c r="BE481" s="12">
        <f t="shared" si="161"/>
        <v>476835642.63344485</v>
      </c>
      <c r="BF481" s="13">
        <v>234.81493800000001</v>
      </c>
      <c r="BG481" s="13">
        <f t="shared" si="162"/>
        <v>242.02070463344481</v>
      </c>
      <c r="BH481" s="14">
        <f>BE481*39.37</f>
        <v>18773019250.478722</v>
      </c>
    </row>
    <row r="482" spans="1:60" x14ac:dyDescent="0.25">
      <c r="A482" s="3">
        <v>46104</v>
      </c>
      <c r="B482" s="4">
        <v>6547837013</v>
      </c>
      <c r="C482" s="4">
        <v>5930845986.0500002</v>
      </c>
      <c r="D482" s="4">
        <v>251112953</v>
      </c>
      <c r="E482" s="4"/>
      <c r="F482" s="17">
        <v>4482238659.3589878</v>
      </c>
      <c r="G482" s="17">
        <v>39165574.835954942</v>
      </c>
      <c r="H482" s="17">
        <v>21320189.596721102</v>
      </c>
      <c r="I482" s="17">
        <v>873444420.51320183</v>
      </c>
      <c r="J482" s="17">
        <v>115116.65439626139</v>
      </c>
      <c r="K482" s="17">
        <v>514562025.09073859</v>
      </c>
      <c r="L482" s="14">
        <f t="shared" si="155"/>
        <v>5930845986.0499992</v>
      </c>
      <c r="M482" s="21">
        <v>1.0019235093173611</v>
      </c>
      <c r="N482" s="4">
        <v>2093751.39</v>
      </c>
      <c r="O482" s="4">
        <v>807707.42999999993</v>
      </c>
      <c r="P482" s="4">
        <v>119219.89</v>
      </c>
      <c r="Q482" s="4"/>
      <c r="R482" s="14">
        <f t="shared" si="142"/>
        <v>3020678.71</v>
      </c>
      <c r="S482" s="6">
        <v>0.01</v>
      </c>
      <c r="T482" s="14">
        <f t="shared" si="143"/>
        <v>20937.513899999998</v>
      </c>
      <c r="U482" s="14">
        <f t="shared" si="144"/>
        <v>4082.9174999999996</v>
      </c>
      <c r="V482" s="14">
        <f t="shared" si="145"/>
        <v>1003.8663</v>
      </c>
      <c r="W482" s="14" t="str">
        <f t="shared" si="146"/>
        <v/>
      </c>
      <c r="X482" s="4">
        <v>18833.259999999998</v>
      </c>
      <c r="Y482" s="4">
        <v>399415.68</v>
      </c>
      <c r="Z482" s="4"/>
      <c r="AA482" s="14">
        <f t="shared" si="147"/>
        <v>444273.2377</v>
      </c>
      <c r="AB482" s="4">
        <v>180785.11379999999</v>
      </c>
      <c r="AC482" s="4">
        <v>2093751.39</v>
      </c>
      <c r="AD482" s="14">
        <f t="shared" si="148"/>
        <v>408291.74999999994</v>
      </c>
      <c r="AE482" s="14">
        <f t="shared" si="149"/>
        <v>100386.63</v>
      </c>
      <c r="AF482" s="14" t="str">
        <f t="shared" si="150"/>
        <v/>
      </c>
      <c r="AG482" s="15">
        <f t="shared" si="151"/>
        <v>2602429.7699999996</v>
      </c>
      <c r="AH482" s="4">
        <v>2320660.87</v>
      </c>
      <c r="AI482" s="17">
        <f t="shared" si="152"/>
        <v>281768.89999999944</v>
      </c>
      <c r="AJ482" s="7">
        <f t="shared" si="156"/>
        <v>3.1976229491404418</v>
      </c>
      <c r="AK482" s="7">
        <f t="shared" si="157"/>
        <v>1.3618755771096001</v>
      </c>
      <c r="AL482" s="7">
        <f t="shared" si="158"/>
        <v>4.7476599106379034</v>
      </c>
      <c r="AM482" s="7" t="str">
        <f t="shared" si="159"/>
        <v/>
      </c>
      <c r="AN482" s="4">
        <v>26925.807926804511</v>
      </c>
      <c r="AO482" s="4">
        <v>0</v>
      </c>
      <c r="AP482" s="14">
        <f t="shared" si="153"/>
        <v>2347586.6779268044</v>
      </c>
      <c r="AQ482" s="14">
        <f t="shared" si="154"/>
        <v>2320660.87</v>
      </c>
      <c r="AR482" s="8">
        <v>61301.8</v>
      </c>
      <c r="AS482" s="20">
        <v>37.856324999999998</v>
      </c>
      <c r="AT482" s="8">
        <v>42533972.38255512</v>
      </c>
      <c r="AU482" s="8">
        <v>26478.505399999998</v>
      </c>
      <c r="AV482" s="8">
        <v>229.8099</v>
      </c>
      <c r="AW482" s="8"/>
      <c r="AX482" s="9">
        <v>434.09271567487258</v>
      </c>
      <c r="AY482" s="6">
        <f t="shared" si="160"/>
        <v>2.2264032825279303E-2</v>
      </c>
      <c r="AZ482" s="8">
        <v>416249079.10589999</v>
      </c>
      <c r="BA482" s="10">
        <v>60480066</v>
      </c>
      <c r="BB482" s="11">
        <v>42533972.38255512</v>
      </c>
      <c r="BC482" s="10">
        <v>2971324</v>
      </c>
      <c r="BD482" s="10">
        <f>1000000000-999275504.4443+241192.1005</f>
        <v>965687.65619994444</v>
      </c>
      <c r="BE482" s="12">
        <f t="shared" si="161"/>
        <v>476799870.85534489</v>
      </c>
      <c r="BF482" s="13">
        <v>234.81493800000001</v>
      </c>
      <c r="BG482" s="13">
        <f t="shared" si="162"/>
        <v>241.98493285534485</v>
      </c>
      <c r="BH482" s="14">
        <f>BE482*37.87</f>
        <v>18056411109.291908</v>
      </c>
    </row>
    <row r="483" spans="1:60" x14ac:dyDescent="0.25">
      <c r="A483" s="3">
        <v>46105</v>
      </c>
      <c r="B483" s="4">
        <v>4639293563</v>
      </c>
      <c r="C483" s="4">
        <v>3477019116.4200001</v>
      </c>
      <c r="D483" s="4">
        <v>126821355</v>
      </c>
      <c r="E483" s="4"/>
      <c r="F483" s="17">
        <v>2364438090.9836388</v>
      </c>
      <c r="G483" s="17">
        <v>26169917.54104523</v>
      </c>
      <c r="H483" s="17">
        <v>21530535.653859571</v>
      </c>
      <c r="I483" s="17">
        <v>675825252.12189829</v>
      </c>
      <c r="J483" s="17">
        <v>49753.42025831496</v>
      </c>
      <c r="K483" s="17">
        <v>389005566.69929951</v>
      </c>
      <c r="L483" s="14">
        <f t="shared" si="155"/>
        <v>3477019116.4199996</v>
      </c>
      <c r="M483" s="21">
        <v>1.0036733739467321</v>
      </c>
      <c r="N483" s="4">
        <v>1526039.78</v>
      </c>
      <c r="O483" s="4">
        <v>408758.25</v>
      </c>
      <c r="P483" s="4">
        <v>64978.67</v>
      </c>
      <c r="Q483" s="4"/>
      <c r="R483" s="14">
        <f t="shared" si="142"/>
        <v>1999776.7</v>
      </c>
      <c r="S483" s="6">
        <v>0.01</v>
      </c>
      <c r="T483" s="14">
        <f t="shared" si="143"/>
        <v>15260.397800000001</v>
      </c>
      <c r="U483" s="14">
        <f t="shared" si="144"/>
        <v>2079.9245999999998</v>
      </c>
      <c r="V483" s="14">
        <f t="shared" si="145"/>
        <v>542.56040000000007</v>
      </c>
      <c r="W483" s="14" t="str">
        <f t="shared" si="146"/>
        <v/>
      </c>
      <c r="X483" s="4">
        <v>10722.63</v>
      </c>
      <c r="Y483" s="4">
        <v>200765.79</v>
      </c>
      <c r="Z483" s="4"/>
      <c r="AA483" s="14">
        <f t="shared" si="147"/>
        <v>229371.3028</v>
      </c>
      <c r="AB483" s="4">
        <v>126880.5763</v>
      </c>
      <c r="AC483" s="4">
        <v>1526039.78</v>
      </c>
      <c r="AD483" s="14">
        <f t="shared" si="148"/>
        <v>207992.46</v>
      </c>
      <c r="AE483" s="14">
        <f t="shared" si="149"/>
        <v>54256.04</v>
      </c>
      <c r="AF483" s="14" t="str">
        <f t="shared" si="150"/>
        <v/>
      </c>
      <c r="AG483" s="15">
        <f t="shared" si="151"/>
        <v>1788288.28</v>
      </c>
      <c r="AH483" s="4">
        <v>1474551.66</v>
      </c>
      <c r="AI483" s="17">
        <f t="shared" si="152"/>
        <v>313736.62000000011</v>
      </c>
      <c r="AJ483" s="7">
        <f t="shared" si="156"/>
        <v>3.2893796421306569</v>
      </c>
      <c r="AK483" s="7">
        <f t="shared" si="157"/>
        <v>1.1755996625663212</v>
      </c>
      <c r="AL483" s="7">
        <f t="shared" si="158"/>
        <v>5.1236378920569008</v>
      </c>
      <c r="AM483" s="7" t="str">
        <f t="shared" si="159"/>
        <v/>
      </c>
      <c r="AN483" s="4">
        <v>12817.79610248204</v>
      </c>
      <c r="AO483" s="4">
        <v>18686.71</v>
      </c>
      <c r="AP483" s="14">
        <f t="shared" si="153"/>
        <v>1506056.166102482</v>
      </c>
      <c r="AQ483" s="14">
        <f t="shared" si="154"/>
        <v>1474551.66</v>
      </c>
      <c r="AR483" s="8">
        <v>38003.949999999997</v>
      </c>
      <c r="AS483" s="20">
        <v>38.799957999999997</v>
      </c>
      <c r="AT483" s="8">
        <v>42571128.282555118</v>
      </c>
      <c r="AU483" s="8">
        <v>26477.203300000001</v>
      </c>
      <c r="AV483" s="8">
        <v>1259.6123</v>
      </c>
      <c r="AW483" s="8"/>
      <c r="AX483" s="9">
        <v>433.93528944417568</v>
      </c>
      <c r="AY483" s="6">
        <f t="shared" si="160"/>
        <v>2.2271014687187052E-2</v>
      </c>
      <c r="AZ483" s="8">
        <v>416222601.90270001</v>
      </c>
      <c r="BA483" s="10">
        <v>60480066</v>
      </c>
      <c r="BB483" s="11">
        <v>42571128.282555118</v>
      </c>
      <c r="BC483" s="10">
        <v>2971324</v>
      </c>
      <c r="BD483" s="10">
        <f>1000000000-999274244.832+241533.326</f>
        <v>967288.49399998283</v>
      </c>
      <c r="BE483" s="12">
        <f t="shared" si="161"/>
        <v>476787591.32074499</v>
      </c>
      <c r="BF483" s="13">
        <v>234.81493800000001</v>
      </c>
      <c r="BG483" s="13">
        <f t="shared" si="162"/>
        <v>241.97265332074497</v>
      </c>
      <c r="BH483" s="14">
        <f>BE483*37.57</f>
        <v>17912909805.920391</v>
      </c>
    </row>
    <row r="484" spans="1:60" x14ac:dyDescent="0.25">
      <c r="A484" s="3">
        <v>46106</v>
      </c>
      <c r="B484" s="4">
        <v>4594188155</v>
      </c>
      <c r="C484" s="4">
        <v>2545292485.0700002</v>
      </c>
      <c r="D484" s="4">
        <v>101150775</v>
      </c>
      <c r="E484" s="4"/>
      <c r="F484" s="17">
        <v>1663775012.4284599</v>
      </c>
      <c r="G484" s="17">
        <v>25345776.251424629</v>
      </c>
      <c r="H484" s="17">
        <v>23635143.959330659</v>
      </c>
      <c r="I484" s="17">
        <v>473048247.64181411</v>
      </c>
      <c r="J484" s="17">
        <v>208500.94385820639</v>
      </c>
      <c r="K484" s="17">
        <v>359279803.84511203</v>
      </c>
      <c r="L484" s="14">
        <f t="shared" si="155"/>
        <v>2545292485.0699992</v>
      </c>
      <c r="M484" s="21">
        <v>1.000964417688837</v>
      </c>
      <c r="N484" s="4">
        <v>1417798.68</v>
      </c>
      <c r="O484" s="4">
        <v>299385.77</v>
      </c>
      <c r="P484" s="4">
        <v>51613.51</v>
      </c>
      <c r="Q484" s="4"/>
      <c r="R484" s="14">
        <f t="shared" si="142"/>
        <v>1768797.96</v>
      </c>
      <c r="S484" s="6">
        <v>0.01</v>
      </c>
      <c r="T484" s="14">
        <f t="shared" si="143"/>
        <v>14177.986799999999</v>
      </c>
      <c r="U484" s="14">
        <f t="shared" si="144"/>
        <v>1534.4642000000001</v>
      </c>
      <c r="V484" s="14">
        <f t="shared" si="145"/>
        <v>426.36790000000002</v>
      </c>
      <c r="W484" s="14" t="str">
        <f t="shared" si="146"/>
        <v/>
      </c>
      <c r="X484" s="4">
        <v>8976.7199999999993</v>
      </c>
      <c r="Y484" s="4">
        <v>145939.35</v>
      </c>
      <c r="Z484" s="4"/>
      <c r="AA484" s="14">
        <f t="shared" si="147"/>
        <v>171054.88890000002</v>
      </c>
      <c r="AB484" s="4">
        <v>123391.6572</v>
      </c>
      <c r="AC484" s="4">
        <v>1417798.68</v>
      </c>
      <c r="AD484" s="14">
        <f t="shared" si="148"/>
        <v>153446.42000000001</v>
      </c>
      <c r="AE484" s="14">
        <f t="shared" si="149"/>
        <v>42636.79</v>
      </c>
      <c r="AF484" s="14" t="str">
        <f t="shared" si="150"/>
        <v/>
      </c>
      <c r="AG484" s="15">
        <f t="shared" si="151"/>
        <v>1613881.89</v>
      </c>
      <c r="AH484" s="4">
        <v>1489905.01</v>
      </c>
      <c r="AI484" s="17">
        <f t="shared" si="152"/>
        <v>123976.87999999989</v>
      </c>
      <c r="AJ484" s="7">
        <f t="shared" si="156"/>
        <v>3.0860701220017841</v>
      </c>
      <c r="AK484" s="7">
        <f t="shared" si="157"/>
        <v>1.1762332688919497</v>
      </c>
      <c r="AL484" s="7">
        <f t="shared" si="158"/>
        <v>5.1026311958558903</v>
      </c>
      <c r="AM484" s="7" t="str">
        <f t="shared" si="159"/>
        <v/>
      </c>
      <c r="AN484" s="4">
        <v>8814.3129032972683</v>
      </c>
      <c r="AO484" s="4">
        <v>0</v>
      </c>
      <c r="AP484" s="14">
        <f t="shared" si="153"/>
        <v>1498719.3229032974</v>
      </c>
      <c r="AQ484" s="14">
        <f t="shared" si="154"/>
        <v>1489905.01</v>
      </c>
      <c r="AR484" s="8">
        <v>36745.440000000002</v>
      </c>
      <c r="AS484" s="20">
        <v>40.546664</v>
      </c>
      <c r="AT484" s="8">
        <v>42608216.20255512</v>
      </c>
      <c r="AU484" s="8">
        <v>26474.632799999999</v>
      </c>
      <c r="AV484" s="8">
        <v>1004.2188</v>
      </c>
      <c r="AW484" s="8"/>
      <c r="AX484" s="9">
        <v>434.02524180757092</v>
      </c>
      <c r="AY484" s="6">
        <f t="shared" si="160"/>
        <v>2.2264237286651372E-2</v>
      </c>
      <c r="AZ484" s="8">
        <v>416196127.26980001</v>
      </c>
      <c r="BA484" s="10">
        <v>60480066</v>
      </c>
      <c r="BB484" s="11">
        <v>42608216.20255512</v>
      </c>
      <c r="BC484" s="10">
        <v>2971324</v>
      </c>
      <c r="BD484" s="10">
        <f>1000000000-999273240.6132+241750.2296</f>
        <v>968509.6164000507</v>
      </c>
      <c r="BE484" s="12">
        <f t="shared" si="161"/>
        <v>476775756.91124487</v>
      </c>
      <c r="BF484" s="13">
        <v>234.81493800000001</v>
      </c>
      <c r="BG484" s="13">
        <f t="shared" si="162"/>
        <v>241.96081891124484</v>
      </c>
      <c r="BH484" s="14">
        <f>BE484*40.66</f>
        <v>19385702276.011215</v>
      </c>
    </row>
    <row r="485" spans="1:60" x14ac:dyDescent="0.25">
      <c r="A485" s="3">
        <v>46107</v>
      </c>
      <c r="B485" s="4">
        <v>4466575964</v>
      </c>
      <c r="C485" s="4">
        <v>2418764915.3000002</v>
      </c>
      <c r="D485" s="4">
        <v>112875681</v>
      </c>
      <c r="E485" s="4"/>
      <c r="F485" s="17">
        <v>1598409407.3830581</v>
      </c>
      <c r="G485" s="17">
        <v>22778697.533988871</v>
      </c>
      <c r="H485" s="17">
        <v>27412496.598974999</v>
      </c>
      <c r="I485" s="17">
        <v>461473239.34080708</v>
      </c>
      <c r="J485" s="17">
        <v>134694.30168896401</v>
      </c>
      <c r="K485" s="17">
        <v>308556380.14148277</v>
      </c>
      <c r="L485" s="14">
        <f t="shared" si="155"/>
        <v>2418764915.3000007</v>
      </c>
      <c r="M485" s="21">
        <v>1.001270340362898</v>
      </c>
      <c r="N485" s="4">
        <v>1382729.77</v>
      </c>
      <c r="O485" s="4">
        <v>283097.95</v>
      </c>
      <c r="P485" s="4">
        <v>55286.52</v>
      </c>
      <c r="Q485" s="4"/>
      <c r="R485" s="14">
        <f t="shared" si="142"/>
        <v>1721114.24</v>
      </c>
      <c r="S485" s="6">
        <v>0.01</v>
      </c>
      <c r="T485" s="14">
        <f t="shared" si="143"/>
        <v>13827.297700000001</v>
      </c>
      <c r="U485" s="14">
        <f t="shared" si="144"/>
        <v>1446.6235000000001</v>
      </c>
      <c r="V485" s="14">
        <f t="shared" si="145"/>
        <v>418.83439999999996</v>
      </c>
      <c r="W485" s="14" t="str">
        <f t="shared" si="146"/>
        <v/>
      </c>
      <c r="X485" s="4">
        <v>13403.08</v>
      </c>
      <c r="Y485" s="4">
        <v>138435.6</v>
      </c>
      <c r="Z485" s="4"/>
      <c r="AA485" s="14">
        <f t="shared" si="147"/>
        <v>167531.4356</v>
      </c>
      <c r="AB485" s="4">
        <v>132859.2089</v>
      </c>
      <c r="AC485" s="4">
        <v>1382729.77</v>
      </c>
      <c r="AD485" s="14">
        <f t="shared" si="148"/>
        <v>144662.35</v>
      </c>
      <c r="AE485" s="14">
        <f t="shared" si="149"/>
        <v>41883.439999999995</v>
      </c>
      <c r="AF485" s="14" t="str">
        <f t="shared" si="150"/>
        <v/>
      </c>
      <c r="AG485" s="15">
        <f t="shared" si="151"/>
        <v>1569275.56</v>
      </c>
      <c r="AH485" s="4">
        <v>1376153.56</v>
      </c>
      <c r="AI485" s="17">
        <f t="shared" si="152"/>
        <v>193122</v>
      </c>
      <c r="AJ485" s="7">
        <f t="shared" si="156"/>
        <v>3.0957265277577624</v>
      </c>
      <c r="AK485" s="7">
        <f t="shared" si="157"/>
        <v>1.1704235835787593</v>
      </c>
      <c r="AL485" s="7">
        <f t="shared" si="158"/>
        <v>4.8980010140536825</v>
      </c>
      <c r="AM485" s="7" t="str">
        <f t="shared" si="159"/>
        <v/>
      </c>
      <c r="AN485" s="4">
        <v>7089.5669588942383</v>
      </c>
      <c r="AO485" s="4">
        <v>20162.349999999999</v>
      </c>
      <c r="AP485" s="14">
        <f t="shared" si="153"/>
        <v>1403405.4769588944</v>
      </c>
      <c r="AQ485" s="14">
        <f t="shared" si="154"/>
        <v>1376153.56</v>
      </c>
      <c r="AR485" s="8">
        <v>35190.32</v>
      </c>
      <c r="AS485" s="20">
        <v>39.106026</v>
      </c>
      <c r="AT485" s="8">
        <v>42643822.482555121</v>
      </c>
      <c r="AU485" s="8">
        <v>26439.4326</v>
      </c>
      <c r="AV485" s="8">
        <v>798.08619999999996</v>
      </c>
      <c r="AW485" s="8"/>
      <c r="AX485" s="9">
        <v>434.39153968122929</v>
      </c>
      <c r="AY485" s="6">
        <f t="shared" si="160"/>
        <v>2.2215885940324191E-2</v>
      </c>
      <c r="AZ485" s="8">
        <v>416169687.8373</v>
      </c>
      <c r="BA485" s="10">
        <v>60480066</v>
      </c>
      <c r="BB485" s="11">
        <v>42643822.482555121</v>
      </c>
      <c r="BC485" s="10">
        <v>2971324</v>
      </c>
      <c r="BD485" s="10">
        <f>1000000000-999272442.5271+241926.5914</f>
        <v>969484.06430003303</v>
      </c>
      <c r="BE485" s="12">
        <f t="shared" si="161"/>
        <v>476765615.61584473</v>
      </c>
      <c r="BF485" s="13">
        <v>234.81493800000001</v>
      </c>
      <c r="BG485" s="13">
        <f t="shared" si="162"/>
        <v>241.95067761584474</v>
      </c>
      <c r="BH485" s="14">
        <f>BE485*40.2</f>
        <v>19165977747.756958</v>
      </c>
    </row>
    <row r="486" spans="1:60" x14ac:dyDescent="0.25">
      <c r="A486" s="3">
        <v>46108</v>
      </c>
      <c r="B486" s="4">
        <v>4078234901</v>
      </c>
      <c r="C486" s="4">
        <v>2331848328.4699998</v>
      </c>
      <c r="D486" s="4">
        <v>136060026</v>
      </c>
      <c r="E486" s="4"/>
      <c r="F486" s="17">
        <v>1409755252.578505</v>
      </c>
      <c r="G486" s="17">
        <v>23976274.96723415</v>
      </c>
      <c r="H486" s="17">
        <v>30245628.038280841</v>
      </c>
      <c r="I486" s="17">
        <v>478160540.58739012</v>
      </c>
      <c r="J486" s="17">
        <v>180032.55256913649</v>
      </c>
      <c r="K486" s="17">
        <v>389530599.74602062</v>
      </c>
      <c r="L486" s="14">
        <f t="shared" si="155"/>
        <v>2331848328.4699998</v>
      </c>
      <c r="M486" s="21">
        <v>1.0012954402375169</v>
      </c>
      <c r="N486" s="4">
        <v>1370077.66</v>
      </c>
      <c r="O486" s="4">
        <v>316830.89</v>
      </c>
      <c r="P486" s="4">
        <v>63978.34</v>
      </c>
      <c r="Q486" s="4"/>
      <c r="R486" s="14">
        <f t="shared" si="142"/>
        <v>1750886.89</v>
      </c>
      <c r="S486" s="6">
        <v>0.01</v>
      </c>
      <c r="T486" s="14">
        <f t="shared" si="143"/>
        <v>13700.776599999999</v>
      </c>
      <c r="U486" s="14">
        <f t="shared" si="144"/>
        <v>1616.0209000000002</v>
      </c>
      <c r="V486" s="14">
        <f t="shared" si="145"/>
        <v>472.69749999999999</v>
      </c>
      <c r="W486" s="14" t="str">
        <f t="shared" si="146"/>
        <v/>
      </c>
      <c r="X486" s="4">
        <v>16708.59</v>
      </c>
      <c r="Y486" s="4">
        <v>155228.79999999999</v>
      </c>
      <c r="Z486" s="4"/>
      <c r="AA486" s="14">
        <f t="shared" si="147"/>
        <v>187726.88499999998</v>
      </c>
      <c r="AB486" s="4">
        <v>161854.70430000001</v>
      </c>
      <c r="AC486" s="4">
        <v>1370077.66</v>
      </c>
      <c r="AD486" s="14">
        <f t="shared" si="148"/>
        <v>161602.09000000003</v>
      </c>
      <c r="AE486" s="14">
        <f t="shared" si="149"/>
        <v>47269.75</v>
      </c>
      <c r="AF486" s="14" t="str">
        <f t="shared" si="150"/>
        <v/>
      </c>
      <c r="AG486" s="15">
        <f t="shared" si="151"/>
        <v>1578949.5</v>
      </c>
      <c r="AH486" s="4">
        <v>1328434.1000000001</v>
      </c>
      <c r="AI486" s="17">
        <f t="shared" si="152"/>
        <v>250515.39999999991</v>
      </c>
      <c r="AJ486" s="7">
        <f t="shared" si="156"/>
        <v>3.3594868693415658</v>
      </c>
      <c r="AK486" s="7">
        <f t="shared" si="157"/>
        <v>1.3587113970138998</v>
      </c>
      <c r="AL486" s="7">
        <f t="shared" si="158"/>
        <v>4.7022143006205219</v>
      </c>
      <c r="AM486" s="7" t="str">
        <f t="shared" si="159"/>
        <v/>
      </c>
      <c r="AN486" s="4">
        <v>7081.6333510074573</v>
      </c>
      <c r="AO486" s="4">
        <v>0</v>
      </c>
      <c r="AP486" s="14">
        <f t="shared" si="153"/>
        <v>1335515.7333510076</v>
      </c>
      <c r="AQ486" s="14">
        <f t="shared" si="154"/>
        <v>1328434.1000000001</v>
      </c>
      <c r="AR486" s="8">
        <v>34495.71</v>
      </c>
      <c r="AS486" s="20">
        <v>38.510125000000002</v>
      </c>
      <c r="AT486" s="8">
        <v>42678566.082555123</v>
      </c>
      <c r="AU486" s="8">
        <v>26488.846600000001</v>
      </c>
      <c r="AV486" s="8">
        <v>1296.0589</v>
      </c>
      <c r="AW486" s="8"/>
      <c r="AX486" s="9">
        <v>434.39317394322381</v>
      </c>
      <c r="AY486" s="6">
        <f t="shared" si="160"/>
        <v>2.2257322603010526E-2</v>
      </c>
      <c r="AZ486" s="8">
        <v>416143198.99070001</v>
      </c>
      <c r="BA486" s="10">
        <v>60480066</v>
      </c>
      <c r="BB486" s="11">
        <v>42678566.082555123</v>
      </c>
      <c r="BC486" s="10">
        <v>2971324</v>
      </c>
      <c r="BD486" s="10">
        <f>1000000000-999271146.4682+242107.5315</f>
        <v>970961.0633000317</v>
      </c>
      <c r="BE486" s="12">
        <f t="shared" si="161"/>
        <v>476755883.86344486</v>
      </c>
      <c r="BF486" s="13">
        <v>234.81493800000001</v>
      </c>
      <c r="BG486" s="13">
        <f t="shared" si="162"/>
        <v>241.94094586344485</v>
      </c>
      <c r="BH486" s="14">
        <f>BE486*39.13</f>
        <v>18655457735.576599</v>
      </c>
    </row>
    <row r="487" spans="1:60" x14ac:dyDescent="0.25">
      <c r="A487" s="3">
        <v>46109</v>
      </c>
      <c r="B487" s="4">
        <v>2013556742</v>
      </c>
      <c r="C487" s="4">
        <v>386595685.88999999</v>
      </c>
      <c r="D487" s="4">
        <v>82146976</v>
      </c>
      <c r="E487" s="4"/>
      <c r="F487" s="17">
        <v>224107343.916168</v>
      </c>
      <c r="G487" s="17">
        <v>11978431.414613491</v>
      </c>
      <c r="H487" s="17">
        <v>24322870.37312011</v>
      </c>
      <c r="I487" s="17">
        <v>72363715.432578906</v>
      </c>
      <c r="J487" s="17">
        <v>48251.495297627269</v>
      </c>
      <c r="K487" s="17">
        <v>53775073.25822188</v>
      </c>
      <c r="L487" s="14">
        <f t="shared" si="155"/>
        <v>386595685.88999999</v>
      </c>
      <c r="M487" s="21">
        <v>1.005380232525616</v>
      </c>
      <c r="N487" s="4">
        <v>667861.84</v>
      </c>
      <c r="O487" s="4">
        <v>76969.429999999993</v>
      </c>
      <c r="P487" s="4">
        <v>44485.740000000013</v>
      </c>
      <c r="Q487" s="4"/>
      <c r="R487" s="14">
        <f t="shared" si="142"/>
        <v>789317.01</v>
      </c>
      <c r="S487" s="6">
        <v>0.01</v>
      </c>
      <c r="T487" s="14">
        <f t="shared" si="143"/>
        <v>6678.6183999999994</v>
      </c>
      <c r="U487" s="14">
        <f t="shared" si="144"/>
        <v>402.48799999999994</v>
      </c>
      <c r="V487" s="14">
        <f t="shared" si="145"/>
        <v>366.03690000000012</v>
      </c>
      <c r="W487" s="14" t="str">
        <f t="shared" si="146"/>
        <v/>
      </c>
      <c r="X487" s="4">
        <v>7882.05</v>
      </c>
      <c r="Y487" s="4">
        <v>36720.629999999997</v>
      </c>
      <c r="Z487" s="4"/>
      <c r="AA487" s="14">
        <f t="shared" si="147"/>
        <v>52049.823299999996</v>
      </c>
      <c r="AB487" s="4">
        <v>67142.114199999996</v>
      </c>
      <c r="AC487" s="4">
        <v>667861.84</v>
      </c>
      <c r="AD487" s="14">
        <f t="shared" si="148"/>
        <v>40248.799999999996</v>
      </c>
      <c r="AE487" s="14">
        <f t="shared" si="149"/>
        <v>36603.69000000001</v>
      </c>
      <c r="AF487" s="14" t="str">
        <f t="shared" si="150"/>
        <v/>
      </c>
      <c r="AG487" s="15">
        <f t="shared" si="151"/>
        <v>744714.33000000007</v>
      </c>
      <c r="AH487" s="4">
        <v>646955.66</v>
      </c>
      <c r="AI487" s="17">
        <f t="shared" si="152"/>
        <v>97758.670000000042</v>
      </c>
      <c r="AJ487" s="7">
        <f t="shared" si="156"/>
        <v>3.3168265193094815</v>
      </c>
      <c r="AK487" s="7">
        <f t="shared" si="157"/>
        <v>1.9909541882963611</v>
      </c>
      <c r="AL487" s="7">
        <f t="shared" si="158"/>
        <v>5.4153837628788688</v>
      </c>
      <c r="AM487" s="7" t="str">
        <f t="shared" si="159"/>
        <v/>
      </c>
      <c r="AN487" s="4">
        <v>4089.8462425553648</v>
      </c>
      <c r="AO487" s="4">
        <v>0</v>
      </c>
      <c r="AP487" s="14">
        <f t="shared" si="153"/>
        <v>651045.50624255545</v>
      </c>
      <c r="AQ487" s="14">
        <f t="shared" si="154"/>
        <v>646955.66</v>
      </c>
      <c r="AR487" s="8">
        <v>16409.18</v>
      </c>
      <c r="AS487" s="20">
        <v>39.426445999999999</v>
      </c>
      <c r="AT487" s="8">
        <v>42694298.922555119</v>
      </c>
      <c r="AU487" s="8">
        <v>26478.225200000001</v>
      </c>
      <c r="AV487" s="8">
        <v>884.56640000000004</v>
      </c>
      <c r="AW487" s="8"/>
      <c r="AX487" s="9">
        <v>434.49668524531228</v>
      </c>
      <c r="AY487" s="6">
        <f t="shared" si="160"/>
        <v>2.2243097648819796E-2</v>
      </c>
      <c r="AZ487" s="8">
        <v>416116720.76539999</v>
      </c>
      <c r="BA487" s="10">
        <v>60480066</v>
      </c>
      <c r="BB487" s="11">
        <v>42694298.922555119</v>
      </c>
      <c r="BC487" s="10">
        <v>2971324</v>
      </c>
      <c r="BD487" s="10">
        <f>1000000000-999270261.9019+242214.9499</f>
        <v>971953.04799994698</v>
      </c>
      <c r="BE487" s="12">
        <f t="shared" si="161"/>
        <v>476765637.26404506</v>
      </c>
      <c r="BF487" s="13">
        <v>234.81493800000001</v>
      </c>
      <c r="BG487" s="13">
        <f t="shared" si="162"/>
        <v>241.95069926404503</v>
      </c>
      <c r="BH487" s="14">
        <f>BE487*38.08</f>
        <v>18155235467.014835</v>
      </c>
    </row>
    <row r="488" spans="1:60" x14ac:dyDescent="0.25">
      <c r="A488" s="3">
        <v>46110</v>
      </c>
      <c r="B488" s="4">
        <v>2207313174</v>
      </c>
      <c r="C488" s="4">
        <v>645778748.88999999</v>
      </c>
      <c r="D488" s="4">
        <v>79367279</v>
      </c>
      <c r="E488" s="4"/>
      <c r="F488" s="17">
        <v>434048363.37990588</v>
      </c>
      <c r="G488" s="17">
        <v>16290850.647168219</v>
      </c>
      <c r="H488" s="17">
        <v>27255160.602289461</v>
      </c>
      <c r="I488" s="17">
        <v>127305068.13308351</v>
      </c>
      <c r="J488" s="17">
        <v>38666.82600377316</v>
      </c>
      <c r="K488" s="17">
        <v>40840639.30154904</v>
      </c>
      <c r="L488" s="14">
        <f t="shared" si="155"/>
        <v>645778748.88999987</v>
      </c>
      <c r="M488" s="21">
        <v>1.0113364201798689</v>
      </c>
      <c r="N488" s="4">
        <v>734730.91</v>
      </c>
      <c r="O488" s="4">
        <v>106859.01</v>
      </c>
      <c r="P488" s="4">
        <v>32536.97</v>
      </c>
      <c r="Q488" s="4"/>
      <c r="R488" s="14">
        <f t="shared" si="142"/>
        <v>874126.89</v>
      </c>
      <c r="S488" s="6">
        <v>0.01</v>
      </c>
      <c r="T488" s="14">
        <f t="shared" si="143"/>
        <v>7347.3091000000004</v>
      </c>
      <c r="U488" s="14">
        <f t="shared" si="144"/>
        <v>557.77409999999998</v>
      </c>
      <c r="V488" s="14">
        <f t="shared" si="145"/>
        <v>253.82800000000003</v>
      </c>
      <c r="W488" s="14" t="str">
        <f t="shared" si="146"/>
        <v/>
      </c>
      <c r="X488" s="4">
        <v>7154.17</v>
      </c>
      <c r="Y488" s="4">
        <v>51081.599999999999</v>
      </c>
      <c r="Z488" s="4"/>
      <c r="AA488" s="14">
        <f t="shared" si="147"/>
        <v>66394.681199999992</v>
      </c>
      <c r="AB488" s="4">
        <v>75993.121799999994</v>
      </c>
      <c r="AC488" s="4">
        <v>734730.91</v>
      </c>
      <c r="AD488" s="14">
        <f t="shared" si="148"/>
        <v>55777.409999999996</v>
      </c>
      <c r="AE488" s="14">
        <f t="shared" si="149"/>
        <v>25382.800000000003</v>
      </c>
      <c r="AF488" s="14" t="str">
        <f t="shared" si="150"/>
        <v/>
      </c>
      <c r="AG488" s="15">
        <f t="shared" si="151"/>
        <v>815891.12000000011</v>
      </c>
      <c r="AH488" s="4">
        <v>700025.42</v>
      </c>
      <c r="AI488" s="17">
        <f t="shared" si="152"/>
        <v>115865.70000000007</v>
      </c>
      <c r="AJ488" s="7">
        <f t="shared" si="156"/>
        <v>3.3286210523020237</v>
      </c>
      <c r="AK488" s="7">
        <f t="shared" si="157"/>
        <v>1.6547309768814031</v>
      </c>
      <c r="AL488" s="7">
        <f t="shared" si="158"/>
        <v>4.0995445994816073</v>
      </c>
      <c r="AM488" s="7" t="str">
        <f t="shared" si="159"/>
        <v/>
      </c>
      <c r="AN488" s="4">
        <v>4275.5595629773215</v>
      </c>
      <c r="AO488" s="4">
        <v>19750.22</v>
      </c>
      <c r="AP488" s="14">
        <f t="shared" si="153"/>
        <v>724051.1995629773</v>
      </c>
      <c r="AQ488" s="14">
        <f t="shared" si="154"/>
        <v>700025.42</v>
      </c>
      <c r="AR488" s="8">
        <v>18038.830000000002</v>
      </c>
      <c r="AS488" s="20">
        <v>38.806587</v>
      </c>
      <c r="AT488" s="8">
        <v>42712619.232555121</v>
      </c>
      <c r="AU488" s="8">
        <v>26489.1993</v>
      </c>
      <c r="AV488" s="8">
        <v>252.15190000000001</v>
      </c>
      <c r="AW488" s="8"/>
      <c r="AX488" s="9">
        <v>434.41829510410719</v>
      </c>
      <c r="AY488" s="6">
        <f t="shared" si="160"/>
        <v>2.2256331866002458E-2</v>
      </c>
      <c r="AZ488" s="8">
        <v>416090231.5661</v>
      </c>
      <c r="BA488" s="10">
        <v>60480066</v>
      </c>
      <c r="BB488" s="11">
        <v>42712619.232555121</v>
      </c>
      <c r="BC488" s="10">
        <v>2971324</v>
      </c>
      <c r="BD488" s="10">
        <f>1000000000-999270009.7499+242323.3758</f>
        <v>972313.62590001663</v>
      </c>
      <c r="BE488" s="12">
        <f t="shared" si="161"/>
        <v>476773445.57544482</v>
      </c>
      <c r="BF488" s="13">
        <v>234.81493800000001</v>
      </c>
      <c r="BG488" s="13">
        <f t="shared" si="162"/>
        <v>241.95850757544483</v>
      </c>
      <c r="BH488" s="14">
        <f>BE488*39.45</f>
        <v>18808712427.951298</v>
      </c>
    </row>
    <row r="489" spans="1:60" x14ac:dyDescent="0.25">
      <c r="A489" s="3">
        <v>46111</v>
      </c>
      <c r="B489" s="4">
        <v>3854816458</v>
      </c>
      <c r="C489" s="4">
        <v>2301171961.3400002</v>
      </c>
      <c r="D489" s="4">
        <v>118096373</v>
      </c>
      <c r="E489" s="4"/>
      <c r="F489" s="17">
        <v>1401429317.61901</v>
      </c>
      <c r="G489" s="17">
        <v>23708534.148022711</v>
      </c>
      <c r="H489" s="17">
        <v>28997338.04028473</v>
      </c>
      <c r="I489" s="17">
        <v>508849422.72102028</v>
      </c>
      <c r="J489" s="17">
        <v>237050.80800440791</v>
      </c>
      <c r="K489" s="17">
        <v>337950298.00365841</v>
      </c>
      <c r="L489" s="14">
        <f t="shared" si="155"/>
        <v>2301171961.3400002</v>
      </c>
      <c r="M489" s="21">
        <v>1.0039409168657061</v>
      </c>
      <c r="N489" s="4">
        <v>1287341.6200000001</v>
      </c>
      <c r="O489" s="4">
        <v>237468.99</v>
      </c>
      <c r="P489" s="4">
        <v>59943.08</v>
      </c>
      <c r="Q489" s="4"/>
      <c r="R489" s="14">
        <f t="shared" si="142"/>
        <v>1584753.6900000002</v>
      </c>
      <c r="S489" s="6">
        <v>0.01</v>
      </c>
      <c r="T489" s="14">
        <f t="shared" si="143"/>
        <v>12873.416200000001</v>
      </c>
      <c r="U489" s="14">
        <f t="shared" si="144"/>
        <v>1219.6117999999999</v>
      </c>
      <c r="V489" s="14">
        <f t="shared" si="145"/>
        <v>524.27179999999998</v>
      </c>
      <c r="W489" s="14" t="str">
        <f t="shared" si="146"/>
        <v/>
      </c>
      <c r="X489" s="4">
        <v>7515.9</v>
      </c>
      <c r="Y489" s="4">
        <v>115507.81</v>
      </c>
      <c r="Z489" s="4"/>
      <c r="AA489" s="14">
        <f t="shared" si="147"/>
        <v>137641.0098</v>
      </c>
      <c r="AB489" s="4">
        <v>118670.9007</v>
      </c>
      <c r="AC489" s="4">
        <v>1287341.6200000001</v>
      </c>
      <c r="AD489" s="14">
        <f t="shared" si="148"/>
        <v>121961.18</v>
      </c>
      <c r="AE489" s="14">
        <f t="shared" si="149"/>
        <v>52427.18</v>
      </c>
      <c r="AF489" s="14" t="str">
        <f t="shared" si="150"/>
        <v/>
      </c>
      <c r="AG489" s="15">
        <f t="shared" si="151"/>
        <v>1461729.98</v>
      </c>
      <c r="AH489" s="4">
        <v>1240450.6299999999</v>
      </c>
      <c r="AI489" s="17">
        <f t="shared" si="152"/>
        <v>221279.35000000009</v>
      </c>
      <c r="AJ489" s="7">
        <f t="shared" si="156"/>
        <v>3.3395665760644628</v>
      </c>
      <c r="AK489" s="7">
        <f t="shared" si="157"/>
        <v>1.0319480420825176</v>
      </c>
      <c r="AL489" s="7">
        <f t="shared" si="158"/>
        <v>5.075776543958721</v>
      </c>
      <c r="AM489" s="7" t="str">
        <f t="shared" si="159"/>
        <v/>
      </c>
      <c r="AN489" s="4">
        <v>13433.30876071425</v>
      </c>
      <c r="AO489" s="4">
        <v>19938.580000000002</v>
      </c>
      <c r="AP489" s="14">
        <f t="shared" si="153"/>
        <v>1273822.5187607142</v>
      </c>
      <c r="AQ489" s="14">
        <f t="shared" si="154"/>
        <v>1240450.6299999999</v>
      </c>
      <c r="AR489" s="8">
        <v>32787.89</v>
      </c>
      <c r="AS489" s="20">
        <v>37.832585000000002</v>
      </c>
      <c r="AT489" s="8">
        <v>42745268.372555122</v>
      </c>
      <c r="AU489" s="8">
        <v>26454.554400000001</v>
      </c>
      <c r="AV489" s="8">
        <v>1138.5130999999999</v>
      </c>
      <c r="AW489" s="8"/>
      <c r="AX489" s="9">
        <v>434.49445010192869</v>
      </c>
      <c r="AY489" s="6">
        <f t="shared" si="160"/>
        <v>2.2223327257079591E-2</v>
      </c>
      <c r="AZ489" s="8">
        <v>416063777.01179999</v>
      </c>
      <c r="BA489" s="10">
        <v>60480066</v>
      </c>
      <c r="BB489" s="11">
        <v>42745268.372555122</v>
      </c>
      <c r="BC489" s="10">
        <v>2971324</v>
      </c>
      <c r="BD489" s="10">
        <f>1000000000-999268871.2368+242673.4842</f>
        <v>973802.2474000447</v>
      </c>
      <c r="BE489" s="12">
        <f t="shared" si="161"/>
        <v>476765762.36824477</v>
      </c>
      <c r="BF489" s="13">
        <v>234.81493800000001</v>
      </c>
      <c r="BG489" s="13">
        <f t="shared" si="162"/>
        <v>241.95082436824478</v>
      </c>
      <c r="BH489" s="14">
        <f>BE489*38.38</f>
        <v>18298269959.693233</v>
      </c>
    </row>
    <row r="490" spans="1:60" x14ac:dyDescent="0.25">
      <c r="A490" s="3">
        <v>46112</v>
      </c>
      <c r="B490" s="4">
        <v>6136073698</v>
      </c>
      <c r="C490" s="4">
        <v>3634571548.5900002</v>
      </c>
      <c r="D490" s="4">
        <v>144809136</v>
      </c>
      <c r="E490" s="4"/>
      <c r="F490" s="17">
        <v>2114498421.265003</v>
      </c>
      <c r="G490" s="17">
        <v>31917189.648344658</v>
      </c>
      <c r="H490" s="17">
        <v>22994763.929270059</v>
      </c>
      <c r="I490" s="17">
        <v>1025328749.793898</v>
      </c>
      <c r="J490" s="17">
        <v>86907.868849973165</v>
      </c>
      <c r="K490" s="17">
        <v>439745516.08463418</v>
      </c>
      <c r="L490" s="14">
        <f t="shared" si="155"/>
        <v>3634571548.5900002</v>
      </c>
      <c r="M490" s="21">
        <v>1.0027728860577529</v>
      </c>
      <c r="N490" s="4">
        <v>1908549.01</v>
      </c>
      <c r="O490" s="4">
        <v>365905.01</v>
      </c>
      <c r="P490" s="4">
        <v>70835.19</v>
      </c>
      <c r="Q490" s="4"/>
      <c r="R490" s="14">
        <f t="shared" si="142"/>
        <v>2345289.21</v>
      </c>
      <c r="S490" s="6">
        <v>0.01</v>
      </c>
      <c r="T490" s="14">
        <f t="shared" si="143"/>
        <v>19085.490099999999</v>
      </c>
      <c r="U490" s="14">
        <f t="shared" si="144"/>
        <v>1870.7279000000001</v>
      </c>
      <c r="V490" s="14">
        <f t="shared" si="145"/>
        <v>594.43350000000009</v>
      </c>
      <c r="W490" s="14" t="str">
        <f t="shared" si="146"/>
        <v/>
      </c>
      <c r="X490" s="4">
        <v>11391.84</v>
      </c>
      <c r="Y490" s="4">
        <v>178832.22</v>
      </c>
      <c r="Z490" s="4"/>
      <c r="AA490" s="14">
        <f t="shared" si="147"/>
        <v>211774.7115</v>
      </c>
      <c r="AB490" s="4">
        <v>156840.64689999999</v>
      </c>
      <c r="AC490" s="4">
        <v>1908549.01</v>
      </c>
      <c r="AD490" s="14">
        <f t="shared" si="148"/>
        <v>187072.79</v>
      </c>
      <c r="AE490" s="14">
        <f t="shared" si="149"/>
        <v>59443.350000000006</v>
      </c>
      <c r="AF490" s="14" t="str">
        <f t="shared" si="150"/>
        <v/>
      </c>
      <c r="AG490" s="15">
        <f t="shared" si="151"/>
        <v>2155065.15</v>
      </c>
      <c r="AH490" s="4">
        <v>1834915.22</v>
      </c>
      <c r="AI490" s="17">
        <f t="shared" si="152"/>
        <v>320149.92999999993</v>
      </c>
      <c r="AJ490" s="7">
        <f t="shared" si="156"/>
        <v>3.1103749790718371</v>
      </c>
      <c r="AK490" s="7">
        <f t="shared" si="157"/>
        <v>1.0067349207692708</v>
      </c>
      <c r="AL490" s="7">
        <f t="shared" si="158"/>
        <v>4.891624379279496</v>
      </c>
      <c r="AM490" s="7" t="str">
        <f t="shared" si="159"/>
        <v/>
      </c>
      <c r="AN490" s="4">
        <v>8633.9067418999275</v>
      </c>
      <c r="AO490" s="4">
        <v>0</v>
      </c>
      <c r="AP490" s="14">
        <f t="shared" si="153"/>
        <v>1843549.1267418999</v>
      </c>
      <c r="AQ490" s="14">
        <f t="shared" si="154"/>
        <v>1834915.22</v>
      </c>
      <c r="AR490" s="8">
        <v>50158.6</v>
      </c>
      <c r="AS490" s="20">
        <v>36.582265</v>
      </c>
      <c r="AT490" s="8">
        <v>42797054.992555119</v>
      </c>
      <c r="AU490" s="8">
        <v>26387.695500000002</v>
      </c>
      <c r="AV490" s="8">
        <v>794.10360000000003</v>
      </c>
      <c r="AW490" s="8"/>
      <c r="AX490" s="9">
        <v>434.67663072825752</v>
      </c>
      <c r="AY490" s="6">
        <f t="shared" si="160"/>
        <v>2.2157871338432351E-2</v>
      </c>
      <c r="AZ490" s="8">
        <v>416037389.31620002</v>
      </c>
      <c r="BA490" s="10">
        <v>60480066</v>
      </c>
      <c r="BB490" s="11">
        <v>42797054.992555119</v>
      </c>
      <c r="BC490" s="10">
        <v>2971324</v>
      </c>
      <c r="BD490" s="10">
        <f>1000000000-999268077.1332+242907.7829</f>
        <v>974830.64969995059</v>
      </c>
      <c r="BE490" s="12">
        <f t="shared" si="161"/>
        <v>476739335.04154491</v>
      </c>
      <c r="BF490" s="13">
        <v>234.81493800000001</v>
      </c>
      <c r="BG490" s="13">
        <f t="shared" si="162"/>
        <v>241.92439704154489</v>
      </c>
      <c r="BH490" s="14">
        <f>BE490*36.85</f>
        <v>17567844496.28093</v>
      </c>
    </row>
    <row r="491" spans="1:60" x14ac:dyDescent="0.25">
      <c r="A491" s="3">
        <v>46113</v>
      </c>
      <c r="B491" s="4">
        <v>5004687725</v>
      </c>
      <c r="C491" s="4">
        <v>3216513814.6599998</v>
      </c>
      <c r="D491" s="4">
        <v>108279589</v>
      </c>
      <c r="E491" s="4"/>
      <c r="F491" s="17">
        <v>2049848815.57602</v>
      </c>
      <c r="G491" s="17">
        <v>18704817.825187311</v>
      </c>
      <c r="H491" s="17">
        <v>25852204.468522601</v>
      </c>
      <c r="I491" s="17">
        <v>767347895.73750508</v>
      </c>
      <c r="J491" s="17">
        <v>79918.455352302932</v>
      </c>
      <c r="K491" s="17">
        <v>354680162.59741259</v>
      </c>
      <c r="L491" s="14">
        <f t="shared" si="155"/>
        <v>3216513814.6599998</v>
      </c>
      <c r="M491" s="21">
        <v>1.000224170091933</v>
      </c>
      <c r="N491" s="4">
        <v>1597084.79</v>
      </c>
      <c r="O491" s="4">
        <v>341089.21</v>
      </c>
      <c r="P491" s="4">
        <v>53221.919999999998</v>
      </c>
      <c r="Q491" s="4"/>
      <c r="R491" s="14">
        <f t="shared" si="142"/>
        <v>1991395.92</v>
      </c>
      <c r="S491" s="6">
        <v>0.01</v>
      </c>
      <c r="T491" s="14">
        <f t="shared" si="143"/>
        <v>15970.847900000001</v>
      </c>
      <c r="U491" s="14">
        <f t="shared" si="144"/>
        <v>1729.9088000000004</v>
      </c>
      <c r="V491" s="14">
        <f t="shared" si="145"/>
        <v>404.89100000000002</v>
      </c>
      <c r="W491" s="14" t="str">
        <f t="shared" si="146"/>
        <v/>
      </c>
      <c r="X491" s="4">
        <v>12732.82</v>
      </c>
      <c r="Y491" s="4">
        <v>168098.33</v>
      </c>
      <c r="Z491" s="4"/>
      <c r="AA491" s="14">
        <f t="shared" si="147"/>
        <v>198936.7977</v>
      </c>
      <c r="AB491" s="4">
        <v>145503.29920000001</v>
      </c>
      <c r="AC491" s="4">
        <v>1597084.79</v>
      </c>
      <c r="AD491" s="14">
        <f t="shared" si="148"/>
        <v>172990.88000000003</v>
      </c>
      <c r="AE491" s="14">
        <f t="shared" si="149"/>
        <v>40489.1</v>
      </c>
      <c r="AF491" s="14" t="str">
        <f t="shared" si="150"/>
        <v/>
      </c>
      <c r="AG491" s="15">
        <f t="shared" si="151"/>
        <v>1810564.7700000003</v>
      </c>
      <c r="AH491" s="4">
        <v>1608560.48</v>
      </c>
      <c r="AI491" s="17">
        <f t="shared" si="152"/>
        <v>202004.29000000027</v>
      </c>
      <c r="AJ491" s="7">
        <f t="shared" si="156"/>
        <v>3.1911777072964131</v>
      </c>
      <c r="AK491" s="7">
        <f t="shared" si="157"/>
        <v>1.060431354112044</v>
      </c>
      <c r="AL491" s="7">
        <f t="shared" si="158"/>
        <v>4.9152310690798799</v>
      </c>
      <c r="AM491" s="7" t="str">
        <f t="shared" si="159"/>
        <v/>
      </c>
      <c r="AN491" s="4">
        <v>6777.7932904540576</v>
      </c>
      <c r="AO491" s="4">
        <v>0</v>
      </c>
      <c r="AP491" s="14">
        <f t="shared" si="153"/>
        <v>1615338.2732904539</v>
      </c>
      <c r="AQ491" s="14">
        <f t="shared" si="154"/>
        <v>1608560.48</v>
      </c>
      <c r="AR491" s="8">
        <v>43749.54</v>
      </c>
      <c r="AS491" s="20">
        <v>36.767482999999999</v>
      </c>
      <c r="AT491" s="8">
        <v>42839299.652555123</v>
      </c>
      <c r="AU491" s="8">
        <v>26478.499500000002</v>
      </c>
      <c r="AV491" s="8">
        <v>971.31299999999999</v>
      </c>
      <c r="AW491" s="8"/>
      <c r="AX491" s="9">
        <v>435.124449517345</v>
      </c>
      <c r="AY491" s="6">
        <f t="shared" si="160"/>
        <v>2.221123710290324E-2</v>
      </c>
      <c r="AZ491" s="8">
        <v>416010910.8168</v>
      </c>
      <c r="BA491" s="10">
        <v>60480066</v>
      </c>
      <c r="BB491" s="11">
        <v>42839299.652555123</v>
      </c>
      <c r="BC491" s="10">
        <v>2971324</v>
      </c>
      <c r="BD491" s="10">
        <f>1000000000-999267105.8202+243093.4097</f>
        <v>975987.58950003353</v>
      </c>
      <c r="BE491" s="12">
        <f t="shared" si="161"/>
        <v>476722411.94114488</v>
      </c>
      <c r="BF491" s="13">
        <v>234.81493800000001</v>
      </c>
      <c r="BG491" s="13">
        <f t="shared" si="162"/>
        <v>241.90747394114484</v>
      </c>
      <c r="BH491" s="14">
        <f>BE491*36.5</f>
        <v>17400368035.851788</v>
      </c>
    </row>
    <row r="492" spans="1:60" x14ac:dyDescent="0.25">
      <c r="A492" s="3">
        <v>46114</v>
      </c>
      <c r="B492" s="4">
        <v>5255683063</v>
      </c>
      <c r="C492" s="4">
        <v>4280563989.0700002</v>
      </c>
      <c r="D492" s="4">
        <v>139050159</v>
      </c>
      <c r="E492" s="4"/>
      <c r="F492" s="17">
        <v>2764187904.6990209</v>
      </c>
      <c r="G492" s="17">
        <v>25745126.8957977</v>
      </c>
      <c r="H492" s="17">
        <v>25557700.217880379</v>
      </c>
      <c r="I492" s="17">
        <v>1046146254.117875</v>
      </c>
      <c r="J492" s="17">
        <v>211851.28011401469</v>
      </c>
      <c r="K492" s="17">
        <v>418715151.85931331</v>
      </c>
      <c r="L492" s="14">
        <f t="shared" si="155"/>
        <v>4280563989.0700016</v>
      </c>
      <c r="M492" s="21">
        <v>1.000279893875984</v>
      </c>
      <c r="N492" s="4">
        <v>1725001.4</v>
      </c>
      <c r="O492" s="4">
        <v>499348.56</v>
      </c>
      <c r="P492" s="4">
        <v>68365.739999999991</v>
      </c>
      <c r="Q492" s="4"/>
      <c r="R492" s="14">
        <f t="shared" si="142"/>
        <v>2292715.7000000002</v>
      </c>
      <c r="S492" s="6">
        <v>0.01</v>
      </c>
      <c r="T492" s="14">
        <f t="shared" si="143"/>
        <v>17250.013999999999</v>
      </c>
      <c r="U492" s="14">
        <f t="shared" si="144"/>
        <v>2531.5432000000001</v>
      </c>
      <c r="V492" s="14">
        <f t="shared" si="145"/>
        <v>585.6937999999999</v>
      </c>
      <c r="W492" s="14" t="str">
        <f t="shared" si="146"/>
        <v/>
      </c>
      <c r="X492" s="4">
        <v>9796.36</v>
      </c>
      <c r="Y492" s="4">
        <v>246194.24</v>
      </c>
      <c r="Z492" s="4"/>
      <c r="AA492" s="14">
        <f t="shared" si="147"/>
        <v>276357.85099999997</v>
      </c>
      <c r="AB492" s="4">
        <v>196587.36489999999</v>
      </c>
      <c r="AC492" s="4">
        <v>1725001.4</v>
      </c>
      <c r="AD492" s="14">
        <f t="shared" si="148"/>
        <v>253154.32</v>
      </c>
      <c r="AE492" s="14">
        <f t="shared" si="149"/>
        <v>58569.37999999999</v>
      </c>
      <c r="AF492" s="14" t="str">
        <f t="shared" si="150"/>
        <v/>
      </c>
      <c r="AG492" s="15">
        <f t="shared" si="151"/>
        <v>2036725.0999999999</v>
      </c>
      <c r="AH492" s="4">
        <v>1732229.66</v>
      </c>
      <c r="AI492" s="17">
        <f t="shared" si="152"/>
        <v>304495.43999999994</v>
      </c>
      <c r="AJ492" s="7">
        <f t="shared" si="156"/>
        <v>3.2821640485591814</v>
      </c>
      <c r="AK492" s="7">
        <f t="shared" si="157"/>
        <v>1.1665485232203923</v>
      </c>
      <c r="AL492" s="7">
        <f t="shared" si="158"/>
        <v>4.916624367182493</v>
      </c>
      <c r="AM492" s="7" t="str">
        <f t="shared" si="159"/>
        <v/>
      </c>
      <c r="AN492" s="4">
        <v>5138.8514708967668</v>
      </c>
      <c r="AO492" s="4">
        <v>0</v>
      </c>
      <c r="AP492" s="14">
        <f t="shared" si="153"/>
        <v>1737368.5114708967</v>
      </c>
      <c r="AQ492" s="14">
        <f t="shared" si="154"/>
        <v>1732229.66</v>
      </c>
      <c r="AR492" s="8">
        <v>49360.33</v>
      </c>
      <c r="AS492" s="20">
        <v>35.093558999999999</v>
      </c>
      <c r="AT492" s="8">
        <v>42888622.732555121</v>
      </c>
      <c r="AU492" s="8">
        <v>26459.096799999999</v>
      </c>
      <c r="AV492" s="8">
        <v>283.57279999999997</v>
      </c>
      <c r="AW492" s="8"/>
      <c r="AX492" s="9">
        <v>432.4425954627319</v>
      </c>
      <c r="AY492" s="6">
        <f t="shared" si="160"/>
        <v>2.2332606531662292E-2</v>
      </c>
      <c r="AZ492" s="8">
        <v>415984451.71990001</v>
      </c>
      <c r="BA492" s="10">
        <v>60480066</v>
      </c>
      <c r="BB492" s="11">
        <v>42888622.732555121</v>
      </c>
      <c r="BC492" s="10">
        <v>2971324</v>
      </c>
      <c r="BD492" s="10">
        <f>1000000000-999266822.2474+243236.1913</f>
        <v>976413.94389995467</v>
      </c>
      <c r="BE492" s="12">
        <f t="shared" si="161"/>
        <v>476699121.60364491</v>
      </c>
      <c r="BF492" s="13">
        <v>234.81493800000001</v>
      </c>
      <c r="BG492" s="13">
        <f t="shared" si="162"/>
        <v>241.88418360364491</v>
      </c>
      <c r="BH492" s="14">
        <f>BE492*36</f>
        <v>17161168377.731216</v>
      </c>
    </row>
    <row r="493" spans="1:60" x14ac:dyDescent="0.25">
      <c r="A493" s="3">
        <v>46115</v>
      </c>
      <c r="B493" s="4">
        <v>2430668320</v>
      </c>
      <c r="C493" s="4">
        <v>475884063.56999999</v>
      </c>
      <c r="D493" s="4">
        <v>72708450</v>
      </c>
      <c r="E493" s="4"/>
      <c r="F493" s="17">
        <v>255621958.72868529</v>
      </c>
      <c r="G493" s="17">
        <v>12316064.62379921</v>
      </c>
      <c r="H493" s="17">
        <v>9706981.166486552</v>
      </c>
      <c r="I493" s="17">
        <v>148221017.08733839</v>
      </c>
      <c r="J493" s="17">
        <v>65007.612179563403</v>
      </c>
      <c r="K493" s="17">
        <v>49953034.351511016</v>
      </c>
      <c r="L493" s="14">
        <f t="shared" si="155"/>
        <v>475884063.56999999</v>
      </c>
      <c r="M493" s="21">
        <v>0.99894253307716141</v>
      </c>
      <c r="N493" s="4">
        <v>788362</v>
      </c>
      <c r="O493" s="4">
        <v>87310.31</v>
      </c>
      <c r="P493" s="4">
        <v>36693.33</v>
      </c>
      <c r="Q493" s="4"/>
      <c r="R493" s="14">
        <f t="shared" si="142"/>
        <v>912365.64</v>
      </c>
      <c r="S493" s="6">
        <v>0.01</v>
      </c>
      <c r="T493" s="14">
        <f t="shared" si="143"/>
        <v>7883.62</v>
      </c>
      <c r="U493" s="14">
        <f t="shared" si="144"/>
        <v>453.81489999999997</v>
      </c>
      <c r="V493" s="14">
        <f t="shared" si="145"/>
        <v>307.82370000000003</v>
      </c>
      <c r="W493" s="14" t="str">
        <f t="shared" si="146"/>
        <v/>
      </c>
      <c r="X493" s="4">
        <v>5910.96</v>
      </c>
      <c r="Y493" s="4">
        <v>41928.82</v>
      </c>
      <c r="Z493" s="4"/>
      <c r="AA493" s="14">
        <f t="shared" si="147"/>
        <v>56485.0386</v>
      </c>
      <c r="AB493" s="4">
        <v>67043.121100000004</v>
      </c>
      <c r="AC493" s="4">
        <v>788362</v>
      </c>
      <c r="AD493" s="14">
        <f t="shared" si="148"/>
        <v>45381.49</v>
      </c>
      <c r="AE493" s="14">
        <f t="shared" si="149"/>
        <v>30782.370000000003</v>
      </c>
      <c r="AF493" s="14" t="str">
        <f t="shared" si="150"/>
        <v/>
      </c>
      <c r="AG493" s="15">
        <f t="shared" si="151"/>
        <v>864525.86</v>
      </c>
      <c r="AH493" s="4">
        <v>750398.22</v>
      </c>
      <c r="AI493" s="17">
        <f t="shared" si="152"/>
        <v>114127.64000000001</v>
      </c>
      <c r="AJ493" s="7">
        <f t="shared" si="156"/>
        <v>3.2433960385018716</v>
      </c>
      <c r="AK493" s="7">
        <f t="shared" si="157"/>
        <v>1.8346970761116299</v>
      </c>
      <c r="AL493" s="7">
        <f t="shared" si="158"/>
        <v>5.0466390082583246</v>
      </c>
      <c r="AM493" s="7" t="str">
        <f t="shared" si="159"/>
        <v/>
      </c>
      <c r="AN493" s="4">
        <v>2730.180522242762</v>
      </c>
      <c r="AO493" s="4">
        <v>0</v>
      </c>
      <c r="AP493" s="14">
        <f t="shared" si="153"/>
        <v>753128.40052224277</v>
      </c>
      <c r="AQ493" s="14">
        <f t="shared" si="154"/>
        <v>750398.22</v>
      </c>
      <c r="AR493" s="8">
        <v>21013.16</v>
      </c>
      <c r="AS493" s="20">
        <v>35.71087</v>
      </c>
      <c r="AT493" s="8">
        <v>42909162.122555122</v>
      </c>
      <c r="AU493" s="8">
        <v>26361.249100000001</v>
      </c>
      <c r="AV493" s="8">
        <v>985.91129999999998</v>
      </c>
      <c r="AW493" s="8"/>
      <c r="AX493" s="9">
        <v>432.54455509375651</v>
      </c>
      <c r="AY493" s="6">
        <f t="shared" si="160"/>
        <v>2.2244774112147613E-2</v>
      </c>
      <c r="AZ493" s="8">
        <v>415958090.47079998</v>
      </c>
      <c r="BA493" s="10">
        <v>60480066</v>
      </c>
      <c r="BB493" s="11">
        <v>42909162.122555122</v>
      </c>
      <c r="BC493" s="10">
        <v>2971324</v>
      </c>
      <c r="BD493" s="10">
        <f>1000000000-999265836.3361+243313.7356</f>
        <v>977477.39950001775</v>
      </c>
      <c r="BE493" s="12">
        <f t="shared" si="161"/>
        <v>476703880.00714493</v>
      </c>
      <c r="BF493" s="13">
        <v>234.81493800000001</v>
      </c>
      <c r="BG493" s="13">
        <f t="shared" si="162"/>
        <v>241.88894200714489</v>
      </c>
      <c r="BH493" s="14">
        <f>BE493*35.23</f>
        <v>16794277692.651714</v>
      </c>
    </row>
    <row r="494" spans="1:60" x14ac:dyDescent="0.25">
      <c r="A494" s="3">
        <v>46116</v>
      </c>
      <c r="B494" s="4">
        <v>1226038192</v>
      </c>
      <c r="C494" s="4">
        <v>213978563.37</v>
      </c>
      <c r="D494" s="4">
        <v>44176365</v>
      </c>
      <c r="E494" s="4"/>
      <c r="F494" s="17">
        <v>123751809.9810638</v>
      </c>
      <c r="G494" s="17">
        <v>7891012.658338258</v>
      </c>
      <c r="H494" s="17">
        <v>8667364.030396143</v>
      </c>
      <c r="I494" s="17">
        <v>51622557.814123347</v>
      </c>
      <c r="J494" s="17">
        <v>41491.392295271879</v>
      </c>
      <c r="K494" s="17">
        <v>22004327.493783198</v>
      </c>
      <c r="L494" s="14">
        <f t="shared" si="155"/>
        <v>213978563.37</v>
      </c>
      <c r="M494" s="21">
        <v>0.99953564961118824</v>
      </c>
      <c r="N494" s="4">
        <v>432617.48</v>
      </c>
      <c r="O494" s="4">
        <v>44500.99</v>
      </c>
      <c r="P494" s="4">
        <v>27218.57</v>
      </c>
      <c r="Q494" s="4"/>
      <c r="R494" s="14">
        <f t="shared" si="142"/>
        <v>504337.04</v>
      </c>
      <c r="S494" s="6">
        <v>0.01</v>
      </c>
      <c r="T494" s="14">
        <f t="shared" si="143"/>
        <v>4326.1747999999998</v>
      </c>
      <c r="U494" s="14">
        <f t="shared" si="144"/>
        <v>233.7826</v>
      </c>
      <c r="V494" s="14">
        <f t="shared" si="145"/>
        <v>207.8486</v>
      </c>
      <c r="W494" s="14" t="str">
        <f t="shared" si="146"/>
        <v/>
      </c>
      <c r="X494" s="4">
        <v>6433.71</v>
      </c>
      <c r="Y494" s="4">
        <v>21122.73</v>
      </c>
      <c r="Z494" s="4"/>
      <c r="AA494" s="14">
        <f t="shared" si="147"/>
        <v>32324.245999999999</v>
      </c>
      <c r="AB494" s="4">
        <v>47758.420200000008</v>
      </c>
      <c r="AC494" s="4">
        <v>432617.48</v>
      </c>
      <c r="AD494" s="14">
        <f t="shared" si="148"/>
        <v>23378.26</v>
      </c>
      <c r="AE494" s="14">
        <f t="shared" si="149"/>
        <v>20784.86</v>
      </c>
      <c r="AF494" s="14" t="str">
        <f t="shared" si="150"/>
        <v/>
      </c>
      <c r="AG494" s="15">
        <f t="shared" si="151"/>
        <v>476780.6</v>
      </c>
      <c r="AH494" s="4">
        <v>387540.53</v>
      </c>
      <c r="AI494" s="17">
        <f t="shared" si="152"/>
        <v>89240.069999999949</v>
      </c>
      <c r="AJ494" s="7">
        <f t="shared" si="156"/>
        <v>3.5285807801328262</v>
      </c>
      <c r="AK494" s="7">
        <f t="shared" si="157"/>
        <v>2.079693839380131</v>
      </c>
      <c r="AL494" s="7">
        <f t="shared" si="158"/>
        <v>6.1613421566034239</v>
      </c>
      <c r="AM494" s="7" t="str">
        <f t="shared" si="159"/>
        <v/>
      </c>
      <c r="AN494" s="4">
        <v>1772.136520513249</v>
      </c>
      <c r="AO494" s="4">
        <v>0</v>
      </c>
      <c r="AP494" s="14">
        <f t="shared" si="153"/>
        <v>389312.6665205133</v>
      </c>
      <c r="AQ494" s="14">
        <f t="shared" si="154"/>
        <v>387540.53</v>
      </c>
      <c r="AR494" s="8">
        <v>10794.08</v>
      </c>
      <c r="AS494" s="20">
        <v>35.903063000000003</v>
      </c>
      <c r="AT494" s="8">
        <v>42920232.582555123</v>
      </c>
      <c r="AU494" s="8">
        <v>26401.523799999999</v>
      </c>
      <c r="AV494" s="8">
        <v>800.57320000000004</v>
      </c>
      <c r="AW494" s="8"/>
      <c r="AX494" s="9">
        <v>432.25517169962518</v>
      </c>
      <c r="AY494" s="6">
        <f t="shared" si="160"/>
        <v>2.2293674704015935E-2</v>
      </c>
      <c r="AZ494" s="8">
        <v>415931688.94709998</v>
      </c>
      <c r="BA494" s="10">
        <v>60480066</v>
      </c>
      <c r="BB494" s="11">
        <v>42920232.582555123</v>
      </c>
      <c r="BC494" s="10">
        <v>2971324</v>
      </c>
      <c r="BD494" s="10">
        <f>1000000000-999265035.7629+243363.5049</f>
        <v>978327.74200000521</v>
      </c>
      <c r="BE494" s="12">
        <f t="shared" si="161"/>
        <v>476718360.72834498</v>
      </c>
      <c r="BF494" s="13">
        <v>234.81493800000001</v>
      </c>
      <c r="BG494" s="13">
        <f t="shared" si="162"/>
        <v>241.90342272834496</v>
      </c>
      <c r="BH494" s="14">
        <f>BE494*35.63</f>
        <v>16985475192.750933</v>
      </c>
    </row>
    <row r="495" spans="1:60" x14ac:dyDescent="0.25">
      <c r="A495" s="3">
        <v>46117</v>
      </c>
      <c r="B495" s="4">
        <v>2432535927</v>
      </c>
      <c r="C495" s="4">
        <v>761150509.46000004</v>
      </c>
      <c r="D495" s="4">
        <v>66191263</v>
      </c>
      <c r="E495" s="4"/>
      <c r="F495" s="17">
        <v>550647800.78313768</v>
      </c>
      <c r="G495" s="17">
        <v>12816225.163399979</v>
      </c>
      <c r="H495" s="17">
        <v>5837872.7256211806</v>
      </c>
      <c r="I495" s="17">
        <v>136545169.5967195</v>
      </c>
      <c r="J495" s="17">
        <v>18095.144882915331</v>
      </c>
      <c r="K495" s="17">
        <v>55285346.04623881</v>
      </c>
      <c r="L495" s="14">
        <f t="shared" si="155"/>
        <v>761150509.46000004</v>
      </c>
      <c r="M495" s="21">
        <v>1.02585400471082</v>
      </c>
      <c r="N495" s="4">
        <v>844695.67</v>
      </c>
      <c r="O495" s="4">
        <v>103287.57</v>
      </c>
      <c r="P495" s="4">
        <v>35159.24</v>
      </c>
      <c r="Q495" s="4"/>
      <c r="R495" s="14">
        <f t="shared" si="142"/>
        <v>983142.48</v>
      </c>
      <c r="S495" s="6">
        <v>0.01</v>
      </c>
      <c r="T495" s="14">
        <f t="shared" si="143"/>
        <v>8446.9567000000006</v>
      </c>
      <c r="U495" s="14">
        <f t="shared" si="144"/>
        <v>533.4402</v>
      </c>
      <c r="V495" s="14">
        <f t="shared" si="145"/>
        <v>283.70850000000002</v>
      </c>
      <c r="W495" s="14" t="str">
        <f t="shared" si="146"/>
        <v/>
      </c>
      <c r="X495" s="4">
        <v>6788.39</v>
      </c>
      <c r="Y495" s="4">
        <v>49943.55</v>
      </c>
      <c r="Z495" s="4"/>
      <c r="AA495" s="14">
        <f t="shared" si="147"/>
        <v>65996.045400000003</v>
      </c>
      <c r="AB495" s="4">
        <v>83224.691899999991</v>
      </c>
      <c r="AC495" s="4">
        <v>844695.67</v>
      </c>
      <c r="AD495" s="14">
        <f t="shared" si="148"/>
        <v>53344.020000000004</v>
      </c>
      <c r="AE495" s="14">
        <f t="shared" si="149"/>
        <v>28370.85</v>
      </c>
      <c r="AF495" s="14" t="str">
        <f t="shared" si="150"/>
        <v/>
      </c>
      <c r="AG495" s="15">
        <f t="shared" si="151"/>
        <v>926410.54</v>
      </c>
      <c r="AH495" s="4">
        <v>584199.17000000004</v>
      </c>
      <c r="AI495" s="17">
        <f t="shared" si="152"/>
        <v>342211.37</v>
      </c>
      <c r="AJ495" s="7">
        <f t="shared" si="156"/>
        <v>3.4724900077498422</v>
      </c>
      <c r="AK495" s="7">
        <f t="shared" si="157"/>
        <v>1.3569927197878067</v>
      </c>
      <c r="AL495" s="7">
        <f t="shared" si="158"/>
        <v>5.3117644846873517</v>
      </c>
      <c r="AM495" s="7" t="str">
        <f t="shared" si="159"/>
        <v/>
      </c>
      <c r="AN495" s="4">
        <v>2894.024783761015</v>
      </c>
      <c r="AO495" s="4">
        <v>0</v>
      </c>
      <c r="AP495" s="14">
        <f t="shared" si="153"/>
        <v>587093.19478376105</v>
      </c>
      <c r="AQ495" s="14">
        <f t="shared" si="154"/>
        <v>584199.17000000004</v>
      </c>
      <c r="AR495" s="8">
        <v>16362.22</v>
      </c>
      <c r="AS495" s="20">
        <v>35.704151000000003</v>
      </c>
      <c r="AT495" s="8">
        <v>42945222.822555117</v>
      </c>
      <c r="AU495" s="8">
        <v>26393.444800000001</v>
      </c>
      <c r="AV495" s="8">
        <v>125.95659999999999</v>
      </c>
      <c r="AW495" s="8"/>
      <c r="AX495" s="9">
        <v>432.32199747544001</v>
      </c>
      <c r="AY495" s="6">
        <f t="shared" si="160"/>
        <v>2.228340775684744E-2</v>
      </c>
      <c r="AZ495" s="8">
        <v>415905295.50220001</v>
      </c>
      <c r="BA495" s="10">
        <v>60480066</v>
      </c>
      <c r="BB495" s="11">
        <v>42945222.822555117</v>
      </c>
      <c r="BC495" s="10">
        <v>2971324</v>
      </c>
      <c r="BD495" s="10">
        <f>1000000000-999264909.8064+243443.4261</f>
        <v>978533.6197000586</v>
      </c>
      <c r="BE495" s="12">
        <f t="shared" si="161"/>
        <v>476719558.05554479</v>
      </c>
      <c r="BF495" s="13">
        <v>234.81493800000001</v>
      </c>
      <c r="BG495" s="13">
        <f t="shared" si="162"/>
        <v>241.90462005554477</v>
      </c>
      <c r="BH495" s="14">
        <f>BE495*36.23</f>
        <v>17271549588.352386</v>
      </c>
    </row>
    <row r="496" spans="1:60" x14ac:dyDescent="0.25">
      <c r="A496" s="3">
        <v>46118</v>
      </c>
      <c r="B496" s="4">
        <v>4590159583</v>
      </c>
      <c r="C496" s="4">
        <v>2683428727.0999999</v>
      </c>
      <c r="D496" s="4">
        <v>99855394</v>
      </c>
      <c r="E496" s="4"/>
      <c r="F496" s="17">
        <v>1786521636.3546641</v>
      </c>
      <c r="G496" s="17">
        <v>21043559.707143821</v>
      </c>
      <c r="H496" s="17">
        <v>19510567.765467569</v>
      </c>
      <c r="I496" s="17">
        <v>583275869.23694384</v>
      </c>
      <c r="J496" s="17">
        <v>34304.539380542672</v>
      </c>
      <c r="K496" s="17">
        <v>273042789.49639982</v>
      </c>
      <c r="L496" s="14">
        <f t="shared" si="155"/>
        <v>2683428727.0999999</v>
      </c>
      <c r="M496" s="21">
        <v>1.002997642496509</v>
      </c>
      <c r="N496" s="4">
        <v>1533737.37</v>
      </c>
      <c r="O496" s="4">
        <v>269461.92</v>
      </c>
      <c r="P496" s="4">
        <v>52163.15</v>
      </c>
      <c r="Q496" s="4"/>
      <c r="R496" s="14">
        <f t="shared" si="142"/>
        <v>1855362.44</v>
      </c>
      <c r="S496" s="6">
        <v>0.01</v>
      </c>
      <c r="T496" s="14">
        <f t="shared" si="143"/>
        <v>15337.373700000002</v>
      </c>
      <c r="U496" s="14">
        <f t="shared" si="144"/>
        <v>1374.6157999999998</v>
      </c>
      <c r="V496" s="14">
        <f t="shared" si="145"/>
        <v>397.27690000000001</v>
      </c>
      <c r="W496" s="14" t="str">
        <f t="shared" si="146"/>
        <v/>
      </c>
      <c r="X496" s="4">
        <v>12435.46</v>
      </c>
      <c r="Y496" s="4">
        <v>132000.34</v>
      </c>
      <c r="Z496" s="4"/>
      <c r="AA496" s="14">
        <f t="shared" si="147"/>
        <v>161545.06640000001</v>
      </c>
      <c r="AB496" s="4">
        <v>120838.8174</v>
      </c>
      <c r="AC496" s="4">
        <v>1533737.37</v>
      </c>
      <c r="AD496" s="14">
        <f t="shared" si="148"/>
        <v>137461.57999999999</v>
      </c>
      <c r="AE496" s="14">
        <f t="shared" si="149"/>
        <v>39727.69</v>
      </c>
      <c r="AF496" s="14" t="str">
        <f t="shared" si="150"/>
        <v/>
      </c>
      <c r="AG496" s="15">
        <f t="shared" si="151"/>
        <v>1710926.6400000001</v>
      </c>
      <c r="AH496" s="4">
        <v>1704830.87</v>
      </c>
      <c r="AI496" s="17">
        <f t="shared" si="152"/>
        <v>6095.7700000000186</v>
      </c>
      <c r="AJ496" s="7">
        <f t="shared" si="156"/>
        <v>3.3413595807873686</v>
      </c>
      <c r="AK496" s="7">
        <f t="shared" si="157"/>
        <v>1.0041702143183411</v>
      </c>
      <c r="AL496" s="7">
        <f t="shared" si="158"/>
        <v>5.2238690280466971</v>
      </c>
      <c r="AM496" s="7" t="str">
        <f t="shared" si="159"/>
        <v/>
      </c>
      <c r="AN496" s="4">
        <v>6572.9487487237457</v>
      </c>
      <c r="AO496" s="4">
        <v>0</v>
      </c>
      <c r="AP496" s="14">
        <f t="shared" si="153"/>
        <v>1711403.8187487239</v>
      </c>
      <c r="AQ496" s="14">
        <f t="shared" si="154"/>
        <v>1704830.87</v>
      </c>
      <c r="AR496" s="8">
        <v>46080.62</v>
      </c>
      <c r="AS496" s="20">
        <v>36.996699999999997</v>
      </c>
      <c r="AT496" s="8">
        <v>42982589.282555118</v>
      </c>
      <c r="AU496" s="8">
        <v>26398.452799999999</v>
      </c>
      <c r="AV496" s="8">
        <v>170.21199999999999</v>
      </c>
      <c r="AW496" s="8">
        <v>330000</v>
      </c>
      <c r="AX496" s="9">
        <v>432.25370797251361</v>
      </c>
      <c r="AY496" s="6">
        <f t="shared" si="160"/>
        <v>2.2291157008681353E-2</v>
      </c>
      <c r="AZ496" s="8">
        <v>415878897.04949999</v>
      </c>
      <c r="BA496" s="10">
        <v>60480066</v>
      </c>
      <c r="BB496" s="11">
        <v>42982589.282555118</v>
      </c>
      <c r="BC496" s="10">
        <v>2971324</v>
      </c>
      <c r="BD496" s="10">
        <f>1000000000-999264739.5943+243622.6769</f>
        <v>978883.0825999683</v>
      </c>
      <c r="BE496" s="12">
        <f t="shared" si="161"/>
        <v>476708240.58534491</v>
      </c>
      <c r="BF496" s="13">
        <v>234.484938</v>
      </c>
      <c r="BG496" s="13">
        <f t="shared" si="162"/>
        <v>242.22330258534492</v>
      </c>
      <c r="BH496" s="14">
        <f>BE496*36.67</f>
        <v>17480891182.264599</v>
      </c>
    </row>
    <row r="497" spans="1:60" x14ac:dyDescent="0.25">
      <c r="A497" s="3">
        <v>46119</v>
      </c>
      <c r="B497" s="4">
        <v>6302578551</v>
      </c>
      <c r="C497" s="4">
        <v>5567631158.0200005</v>
      </c>
      <c r="D497" s="4">
        <v>174585201</v>
      </c>
      <c r="E497" s="4"/>
      <c r="F497" s="17">
        <v>4010214298.123486</v>
      </c>
      <c r="G497" s="17">
        <v>28308396.108399618</v>
      </c>
      <c r="H497" s="17">
        <v>16828138.81050548</v>
      </c>
      <c r="I497" s="17">
        <v>1130520129.1836059</v>
      </c>
      <c r="J497" s="17">
        <v>926067.13578864443</v>
      </c>
      <c r="K497" s="17">
        <v>380834128.65821522</v>
      </c>
      <c r="L497" s="14">
        <f t="shared" si="155"/>
        <v>5567631158.0200014</v>
      </c>
      <c r="M497" s="21">
        <v>1.0110214148461081</v>
      </c>
      <c r="N497" s="4">
        <v>2156488.81</v>
      </c>
      <c r="O497" s="4">
        <v>502540.73</v>
      </c>
      <c r="P497" s="4">
        <v>83190.36</v>
      </c>
      <c r="Q497" s="4"/>
      <c r="R497" s="14">
        <f t="shared" ref="R497:R560" si="163">N497+O497+P497+N(Q497)</f>
        <v>2742219.9</v>
      </c>
      <c r="S497" s="6">
        <v>0.01</v>
      </c>
      <c r="T497" s="14">
        <f t="shared" ref="T497:T560" si="164">N(AC497)*S497</f>
        <v>21564.8881</v>
      </c>
      <c r="U497" s="14">
        <f t="shared" ref="U497:U560" si="165">N(AD497)*S497</f>
        <v>2547.1491999999998</v>
      </c>
      <c r="V497" s="14">
        <f t="shared" ref="V497:V560" si="166">N(AE497)*S497</f>
        <v>601.88310000000001</v>
      </c>
      <c r="W497" s="14" t="str">
        <f t="shared" ref="W497:W560" si="167">IF(Q497="","",N(AF497)*S497)</f>
        <v/>
      </c>
      <c r="X497" s="4">
        <v>23002.05</v>
      </c>
      <c r="Y497" s="4">
        <v>247825.81</v>
      </c>
      <c r="Z497" s="4"/>
      <c r="AA497" s="14">
        <f t="shared" ref="AA497:AA560" si="168">T497+U497+V497+N(W497)+X497+Y497+N(Z497)</f>
        <v>295541.78039999999</v>
      </c>
      <c r="AB497" s="4">
        <v>175887.9981</v>
      </c>
      <c r="AC497" s="4">
        <v>2156488.81</v>
      </c>
      <c r="AD497" s="14">
        <f t="shared" ref="AD497:AD560" si="169">O497-Y497</f>
        <v>254714.91999999998</v>
      </c>
      <c r="AE497" s="14">
        <f t="shared" ref="AE497:AE560" si="170">P497-X497</f>
        <v>60188.31</v>
      </c>
      <c r="AF497" s="14" t="str">
        <f t="shared" ref="AF497:AF560" si="171">IF(Q497="","",Q497-Z497)</f>
        <v/>
      </c>
      <c r="AG497" s="15">
        <f t="shared" ref="AG497:AG560" si="172">AC497+AD497+AE497+N(AF497)</f>
        <v>2471392.04</v>
      </c>
      <c r="AH497" s="4">
        <v>1312533.3400000001</v>
      </c>
      <c r="AI497" s="17">
        <f t="shared" ref="AI497:AI560" si="173">AG497-AH497</f>
        <v>1158858.7</v>
      </c>
      <c r="AJ497" s="7">
        <f t="shared" si="156"/>
        <v>3.4215976723651313</v>
      </c>
      <c r="AK497" s="7">
        <f t="shared" si="157"/>
        <v>0.90261139026083936</v>
      </c>
      <c r="AL497" s="7">
        <f t="shared" si="158"/>
        <v>4.7650293108177024</v>
      </c>
      <c r="AM497" s="7" t="str">
        <f t="shared" si="159"/>
        <v/>
      </c>
      <c r="AN497" s="4">
        <v>9696.0568581428597</v>
      </c>
      <c r="AO497" s="4">
        <v>18147.78</v>
      </c>
      <c r="AP497" s="14">
        <f t="shared" ref="AP497:AP560" si="174">AH497+AN497+AO497</f>
        <v>1340377.1768581429</v>
      </c>
      <c r="AQ497" s="14">
        <f t="shared" ref="AQ497:AQ560" si="175">AH497</f>
        <v>1312533.3400000001</v>
      </c>
      <c r="AR497" s="8">
        <v>35674.93</v>
      </c>
      <c r="AS497" s="20">
        <v>36.791476000000003</v>
      </c>
      <c r="AT497" s="8">
        <v>43028187.782555118</v>
      </c>
      <c r="AU497" s="8">
        <v>26394.375400000001</v>
      </c>
      <c r="AV497" s="8">
        <v>1310.5848000000001</v>
      </c>
      <c r="AW497" s="8"/>
      <c r="AX497" s="9">
        <v>432.19518709019081</v>
      </c>
      <c r="AY497" s="6">
        <f t="shared" si="160"/>
        <v>2.2290731847019806E-2</v>
      </c>
      <c r="AZ497" s="8">
        <v>415852502.67409998</v>
      </c>
      <c r="BA497" s="10">
        <v>60480066</v>
      </c>
      <c r="BB497" s="11">
        <v>43028187.782555118</v>
      </c>
      <c r="BC497" s="10">
        <v>2971324</v>
      </c>
      <c r="BD497" s="10">
        <f>1000000000-999263429.0095+243888.6283</f>
        <v>980459.61879997328</v>
      </c>
      <c r="BE497" s="12">
        <f t="shared" si="161"/>
        <v>476687459.92454499</v>
      </c>
      <c r="BF497" s="13">
        <v>234.484938</v>
      </c>
      <c r="BG497" s="13">
        <f t="shared" si="162"/>
        <v>242.20252192454501</v>
      </c>
      <c r="BH497" s="14">
        <f>BE497*36.47</f>
        <v>17384791663.448154</v>
      </c>
    </row>
    <row r="498" spans="1:60" x14ac:dyDescent="0.25">
      <c r="A498" s="3">
        <v>46120</v>
      </c>
      <c r="B498" s="4">
        <v>5063425033</v>
      </c>
      <c r="C498" s="4">
        <v>4705143135.6899996</v>
      </c>
      <c r="D498" s="4">
        <v>217216099</v>
      </c>
      <c r="E498" s="4"/>
      <c r="F498" s="17">
        <v>3403041328.0537872</v>
      </c>
      <c r="G498" s="17">
        <v>26116824.74083937</v>
      </c>
      <c r="H498" s="17">
        <v>12280494.93048021</v>
      </c>
      <c r="I498" s="17">
        <v>831260794.50896561</v>
      </c>
      <c r="J498" s="17">
        <v>629613.3182534423</v>
      </c>
      <c r="K498" s="17">
        <v>431814080.1376735</v>
      </c>
      <c r="L498" s="14">
        <f t="shared" si="155"/>
        <v>4705143135.6899996</v>
      </c>
      <c r="M498" s="21">
        <v>1.00191386648648</v>
      </c>
      <c r="N498" s="4">
        <v>1780050.37</v>
      </c>
      <c r="O498" s="4">
        <v>390178.64</v>
      </c>
      <c r="P498" s="4">
        <v>115920.92</v>
      </c>
      <c r="Q498" s="4"/>
      <c r="R498" s="14">
        <f t="shared" si="163"/>
        <v>2286149.9300000002</v>
      </c>
      <c r="S498" s="6">
        <v>0.01</v>
      </c>
      <c r="T498" s="14">
        <f t="shared" si="164"/>
        <v>17800.503700000001</v>
      </c>
      <c r="U498" s="14">
        <f t="shared" si="165"/>
        <v>1982.6110000000001</v>
      </c>
      <c r="V498" s="14">
        <f t="shared" si="166"/>
        <v>934.95459999999991</v>
      </c>
      <c r="W498" s="14" t="str">
        <f t="shared" si="167"/>
        <v/>
      </c>
      <c r="X498" s="4">
        <v>22425.46</v>
      </c>
      <c r="Y498" s="4">
        <v>191917.54</v>
      </c>
      <c r="Z498" s="4"/>
      <c r="AA498" s="14">
        <f t="shared" si="168"/>
        <v>235061.0693</v>
      </c>
      <c r="AB498" s="4">
        <v>155130.84909999999</v>
      </c>
      <c r="AC498" s="4">
        <v>1780050.37</v>
      </c>
      <c r="AD498" s="14">
        <f t="shared" si="169"/>
        <v>198261.1</v>
      </c>
      <c r="AE498" s="14">
        <f t="shared" si="170"/>
        <v>93495.459999999992</v>
      </c>
      <c r="AF498" s="14" t="str">
        <f t="shared" si="171"/>
        <v/>
      </c>
      <c r="AG498" s="15">
        <f t="shared" si="172"/>
        <v>2071806.9300000002</v>
      </c>
      <c r="AH498" s="4">
        <v>2524696.89</v>
      </c>
      <c r="AI498" s="17">
        <f t="shared" si="173"/>
        <v>-452889.95999999996</v>
      </c>
      <c r="AJ498" s="7">
        <f t="shared" si="156"/>
        <v>3.515506516634153</v>
      </c>
      <c r="AK498" s="7">
        <f t="shared" si="157"/>
        <v>0.82925987318084238</v>
      </c>
      <c r="AL498" s="7">
        <f t="shared" si="158"/>
        <v>5.3366633750291221</v>
      </c>
      <c r="AM498" s="7" t="str">
        <f t="shared" si="159"/>
        <v/>
      </c>
      <c r="AN498" s="4">
        <v>12612.89212441474</v>
      </c>
      <c r="AO498" s="4">
        <v>0</v>
      </c>
      <c r="AP498" s="14">
        <f t="shared" si="174"/>
        <v>2537309.782124415</v>
      </c>
      <c r="AQ498" s="14">
        <f t="shared" si="175"/>
        <v>2524696.89</v>
      </c>
      <c r="AR498" s="8">
        <v>65114.98</v>
      </c>
      <c r="AS498" s="20">
        <v>38.772903999999997</v>
      </c>
      <c r="AT498" s="8">
        <v>43083756.472555123</v>
      </c>
      <c r="AU498" s="8">
        <v>26391.4274</v>
      </c>
      <c r="AV498" s="8">
        <v>961.19060000000002</v>
      </c>
      <c r="AW498" s="8"/>
      <c r="AX498" s="9">
        <v>432.47353965621568</v>
      </c>
      <c r="AY498" s="6">
        <f t="shared" si="160"/>
        <v>2.2273896823045907E-2</v>
      </c>
      <c r="AZ498" s="8">
        <v>415826111.24669999</v>
      </c>
      <c r="BA498" s="10">
        <v>60480066</v>
      </c>
      <c r="BB498" s="11">
        <v>43083756.472555123</v>
      </c>
      <c r="BC498" s="10">
        <v>2971324</v>
      </c>
      <c r="BD498" s="10">
        <f>1000000000-999262467.8189+244215.811</f>
        <v>981747.99210001086</v>
      </c>
      <c r="BE498" s="12">
        <f t="shared" si="161"/>
        <v>476656994.28864485</v>
      </c>
      <c r="BF498" s="13">
        <v>234.484938</v>
      </c>
      <c r="BG498" s="13">
        <f t="shared" si="162"/>
        <v>242.17205628864485</v>
      </c>
      <c r="BH498" s="14">
        <f>BE498*38.59</f>
        <v>18394193409.598808</v>
      </c>
    </row>
    <row r="499" spans="1:60" x14ac:dyDescent="0.25">
      <c r="A499" s="3">
        <v>46121</v>
      </c>
      <c r="B499" s="4">
        <v>5133468930</v>
      </c>
      <c r="C499" s="4">
        <v>3306767844.21</v>
      </c>
      <c r="D499" s="4">
        <v>127150110</v>
      </c>
      <c r="E499" s="4"/>
      <c r="F499" s="17">
        <v>2344867151.1026912</v>
      </c>
      <c r="G499" s="17">
        <v>24872544.38665235</v>
      </c>
      <c r="H499" s="17">
        <v>3218332.6877312609</v>
      </c>
      <c r="I499" s="17">
        <v>606243112.44075</v>
      </c>
      <c r="J499" s="17">
        <v>1025705.671185306</v>
      </c>
      <c r="K499" s="17">
        <v>326540997.92098957</v>
      </c>
      <c r="L499" s="14">
        <f t="shared" si="155"/>
        <v>3306767844.21</v>
      </c>
      <c r="M499" s="21">
        <v>1.0020510418074751</v>
      </c>
      <c r="N499" s="4">
        <v>1747155.34</v>
      </c>
      <c r="O499" s="4">
        <v>282882.68</v>
      </c>
      <c r="P499" s="4">
        <v>67909.67</v>
      </c>
      <c r="Q499" s="4"/>
      <c r="R499" s="14">
        <f t="shared" si="163"/>
        <v>2097947.69</v>
      </c>
      <c r="S499" s="6">
        <v>0.01</v>
      </c>
      <c r="T499" s="14">
        <f t="shared" si="164"/>
        <v>17471.553400000001</v>
      </c>
      <c r="U499" s="14">
        <f t="shared" si="165"/>
        <v>1445.0708999999999</v>
      </c>
      <c r="V499" s="14">
        <f t="shared" si="166"/>
        <v>508.78610000000003</v>
      </c>
      <c r="W499" s="14" t="str">
        <f t="shared" si="167"/>
        <v/>
      </c>
      <c r="X499" s="4">
        <v>17031.060000000001</v>
      </c>
      <c r="Y499" s="4">
        <v>138375.59</v>
      </c>
      <c r="Z499" s="4"/>
      <c r="AA499" s="14">
        <f t="shared" si="168"/>
        <v>174832.06040000002</v>
      </c>
      <c r="AB499" s="4">
        <v>130856.58319999999</v>
      </c>
      <c r="AC499" s="4">
        <v>1747155.34</v>
      </c>
      <c r="AD499" s="14">
        <f t="shared" si="169"/>
        <v>144507.09</v>
      </c>
      <c r="AE499" s="14">
        <f t="shared" si="170"/>
        <v>50878.61</v>
      </c>
      <c r="AF499" s="14" t="str">
        <f t="shared" si="171"/>
        <v/>
      </c>
      <c r="AG499" s="15">
        <f t="shared" si="172"/>
        <v>1942541.0400000003</v>
      </c>
      <c r="AH499" s="4">
        <v>1671725.46</v>
      </c>
      <c r="AI499" s="17">
        <f t="shared" si="173"/>
        <v>270815.58000000031</v>
      </c>
      <c r="AJ499" s="7">
        <f t="shared" si="156"/>
        <v>3.403459461475693</v>
      </c>
      <c r="AK499" s="7">
        <f t="shared" si="157"/>
        <v>0.85546580022336527</v>
      </c>
      <c r="AL499" s="7">
        <f t="shared" si="158"/>
        <v>5.3409053283555954</v>
      </c>
      <c r="AM499" s="7" t="str">
        <f t="shared" si="159"/>
        <v/>
      </c>
      <c r="AN499" s="4">
        <v>7924.1582292491821</v>
      </c>
      <c r="AO499" s="4">
        <v>19385.77</v>
      </c>
      <c r="AP499" s="14">
        <f t="shared" si="174"/>
        <v>1699035.3882292493</v>
      </c>
      <c r="AQ499" s="14">
        <f t="shared" si="175"/>
        <v>1671725.46</v>
      </c>
      <c r="AR499" s="8">
        <v>42446.07</v>
      </c>
      <c r="AS499" s="20">
        <v>39.384694000000003</v>
      </c>
      <c r="AT499" s="8">
        <v>43125924.832555123</v>
      </c>
      <c r="AU499" s="8">
        <v>26388.957200000001</v>
      </c>
      <c r="AV499" s="8">
        <v>1181.5189</v>
      </c>
      <c r="AW499" s="8"/>
      <c r="AX499" s="9">
        <v>434.92693691293039</v>
      </c>
      <c r="AY499" s="6">
        <f t="shared" si="160"/>
        <v>2.2146178037090077E-2</v>
      </c>
      <c r="AZ499" s="8">
        <v>415799722.2895</v>
      </c>
      <c r="BA499" s="10">
        <v>60480066</v>
      </c>
      <c r="BB499" s="11">
        <v>43125924.832555123</v>
      </c>
      <c r="BC499" s="10">
        <v>2971324</v>
      </c>
      <c r="BD499" s="10">
        <f>1000000000-999261286.3+244422.6055</f>
        <v>983136.30550004775</v>
      </c>
      <c r="BE499" s="12">
        <f t="shared" si="161"/>
        <v>476639826.57244486</v>
      </c>
      <c r="BF499" s="13">
        <v>234.484938</v>
      </c>
      <c r="BG499" s="13">
        <f t="shared" si="162"/>
        <v>242.15488857244486</v>
      </c>
      <c r="BH499" s="14">
        <f>BE499*38.35</f>
        <v>18279137349.053261</v>
      </c>
    </row>
    <row r="500" spans="1:60" x14ac:dyDescent="0.25">
      <c r="A500" s="3">
        <v>46122</v>
      </c>
      <c r="B500" s="4">
        <v>3918901952</v>
      </c>
      <c r="C500" s="4">
        <v>2008172415.51</v>
      </c>
      <c r="D500" s="4">
        <v>138249908</v>
      </c>
      <c r="E500" s="4"/>
      <c r="F500" s="17">
        <v>1245106540.8523409</v>
      </c>
      <c r="G500" s="17">
        <v>21628359.897680148</v>
      </c>
      <c r="H500" s="17">
        <v>3437385.2638245821</v>
      </c>
      <c r="I500" s="17">
        <v>438212800.55126089</v>
      </c>
      <c r="J500" s="17">
        <v>770294.02192433993</v>
      </c>
      <c r="K500" s="17">
        <v>299017034.92296892</v>
      </c>
      <c r="L500" s="14">
        <f t="shared" si="155"/>
        <v>2008172415.5099995</v>
      </c>
      <c r="M500" s="21">
        <v>1.001334121139104</v>
      </c>
      <c r="N500" s="4">
        <v>1355317.86</v>
      </c>
      <c r="O500" s="4">
        <v>198306.35</v>
      </c>
      <c r="P500" s="4">
        <v>77569.070000000007</v>
      </c>
      <c r="Q500" s="4"/>
      <c r="R500" s="14">
        <f t="shared" si="163"/>
        <v>1631193.2800000003</v>
      </c>
      <c r="S500" s="6">
        <v>0.01</v>
      </c>
      <c r="T500" s="14">
        <f t="shared" si="164"/>
        <v>13553.178600000001</v>
      </c>
      <c r="U500" s="14">
        <f t="shared" si="165"/>
        <v>1021.8098000000001</v>
      </c>
      <c r="V500" s="14">
        <f t="shared" si="166"/>
        <v>649.37980000000016</v>
      </c>
      <c r="W500" s="14" t="str">
        <f t="shared" si="167"/>
        <v/>
      </c>
      <c r="X500" s="4">
        <v>12631.09</v>
      </c>
      <c r="Y500" s="4">
        <v>96125.37</v>
      </c>
      <c r="Z500" s="4"/>
      <c r="AA500" s="14">
        <f t="shared" si="168"/>
        <v>123980.82819999999</v>
      </c>
      <c r="AB500" s="4">
        <v>105222.8578</v>
      </c>
      <c r="AC500" s="4">
        <v>1355317.86</v>
      </c>
      <c r="AD500" s="14">
        <f t="shared" si="169"/>
        <v>102180.98000000001</v>
      </c>
      <c r="AE500" s="14">
        <f t="shared" si="170"/>
        <v>64937.98000000001</v>
      </c>
      <c r="AF500" s="14" t="str">
        <f t="shared" si="171"/>
        <v/>
      </c>
      <c r="AG500" s="15">
        <f t="shared" si="172"/>
        <v>1522436.82</v>
      </c>
      <c r="AH500" s="4">
        <v>1295503.6200000001</v>
      </c>
      <c r="AI500" s="17">
        <f t="shared" si="173"/>
        <v>226933.19999999995</v>
      </c>
      <c r="AJ500" s="7">
        <f t="shared" si="156"/>
        <v>3.4584122710911855</v>
      </c>
      <c r="AK500" s="7">
        <f t="shared" si="157"/>
        <v>0.98749663359775652</v>
      </c>
      <c r="AL500" s="7">
        <f t="shared" si="158"/>
        <v>5.6107863739048565</v>
      </c>
      <c r="AM500" s="7" t="str">
        <f t="shared" si="159"/>
        <v/>
      </c>
      <c r="AN500" s="4">
        <v>10642.36891291499</v>
      </c>
      <c r="AO500" s="4">
        <v>0</v>
      </c>
      <c r="AP500" s="14">
        <f t="shared" si="174"/>
        <v>1306145.9889129151</v>
      </c>
      <c r="AQ500" s="14">
        <f t="shared" si="175"/>
        <v>1295503.6200000001</v>
      </c>
      <c r="AR500" s="8">
        <v>31405.46</v>
      </c>
      <c r="AS500" s="20">
        <v>41.250903999999998</v>
      </c>
      <c r="AT500" s="8">
        <v>43157463.562555119</v>
      </c>
      <c r="AU500" s="8">
        <v>26243.2147</v>
      </c>
      <c r="AV500" s="8">
        <v>841.22680000000003</v>
      </c>
      <c r="AW500" s="8"/>
      <c r="AX500" s="9">
        <v>434.48271830934942</v>
      </c>
      <c r="AY500" s="6">
        <f t="shared" si="160"/>
        <v>2.2046385188282593E-2</v>
      </c>
      <c r="AZ500" s="8">
        <v>415773479.07489997</v>
      </c>
      <c r="BA500" s="10">
        <v>60480066</v>
      </c>
      <c r="BB500" s="11">
        <v>43157463.562555119</v>
      </c>
      <c r="BC500" s="10">
        <v>2971324</v>
      </c>
      <c r="BD500" s="10">
        <f>1000000000-999260445.0732+244689.2113</f>
        <v>984244.13810001255</v>
      </c>
      <c r="BE500" s="12">
        <f t="shared" si="161"/>
        <v>476633423.22444493</v>
      </c>
      <c r="BF500" s="13">
        <v>234.484938</v>
      </c>
      <c r="BG500" s="13">
        <f t="shared" si="162"/>
        <v>242.14848522444493</v>
      </c>
      <c r="BH500" s="14">
        <f>BE500*39.95</f>
        <v>19041505257.816578</v>
      </c>
    </row>
    <row r="501" spans="1:60" x14ac:dyDescent="0.25">
      <c r="A501" s="3">
        <v>46123</v>
      </c>
      <c r="B501" s="4">
        <v>2262767375</v>
      </c>
      <c r="C501" s="4">
        <v>547278480.58000004</v>
      </c>
      <c r="D501" s="4">
        <v>88217601</v>
      </c>
      <c r="E501" s="4"/>
      <c r="F501" s="17">
        <v>358755360.1979388</v>
      </c>
      <c r="G501" s="17">
        <v>11544503.974149881</v>
      </c>
      <c r="H501" s="17">
        <v>9802305.427772535</v>
      </c>
      <c r="I501" s="17">
        <v>100827389.8158987</v>
      </c>
      <c r="J501" s="17">
        <v>606630.33886418666</v>
      </c>
      <c r="K501" s="17">
        <v>65742290.825375929</v>
      </c>
      <c r="L501" s="14">
        <f t="shared" si="155"/>
        <v>547278480.58000004</v>
      </c>
      <c r="M501" s="21">
        <v>1.001652634257006</v>
      </c>
      <c r="N501" s="4">
        <v>807494.75</v>
      </c>
      <c r="O501" s="4">
        <v>91804.09</v>
      </c>
      <c r="P501" s="4">
        <v>51602.91</v>
      </c>
      <c r="Q501" s="4"/>
      <c r="R501" s="14">
        <f t="shared" si="163"/>
        <v>950901.75</v>
      </c>
      <c r="S501" s="6">
        <v>0.01</v>
      </c>
      <c r="T501" s="14">
        <f t="shared" si="164"/>
        <v>8074.9475000000002</v>
      </c>
      <c r="U501" s="14">
        <f t="shared" si="165"/>
        <v>475.81179999999995</v>
      </c>
      <c r="V501" s="14">
        <f t="shared" si="166"/>
        <v>381.50200000000007</v>
      </c>
      <c r="W501" s="14" t="str">
        <f t="shared" si="167"/>
        <v/>
      </c>
      <c r="X501" s="4">
        <v>13452.71</v>
      </c>
      <c r="Y501" s="4">
        <v>44222.91</v>
      </c>
      <c r="Z501" s="4"/>
      <c r="AA501" s="14">
        <f t="shared" si="168"/>
        <v>66607.881300000008</v>
      </c>
      <c r="AB501" s="4">
        <v>89056.685399999988</v>
      </c>
      <c r="AC501" s="4">
        <v>807494.75</v>
      </c>
      <c r="AD501" s="14">
        <f t="shared" si="169"/>
        <v>47581.179999999993</v>
      </c>
      <c r="AE501" s="14">
        <f t="shared" si="170"/>
        <v>38150.200000000004</v>
      </c>
      <c r="AF501" s="14" t="str">
        <f t="shared" si="171"/>
        <v/>
      </c>
      <c r="AG501" s="15">
        <f t="shared" si="172"/>
        <v>893226.12999999989</v>
      </c>
      <c r="AH501" s="4">
        <v>751239.75</v>
      </c>
      <c r="AI501" s="17">
        <f t="shared" si="173"/>
        <v>141986.37999999989</v>
      </c>
      <c r="AJ501" s="7">
        <f t="shared" si="156"/>
        <v>3.5686158414759714</v>
      </c>
      <c r="AK501" s="7">
        <f t="shared" si="157"/>
        <v>1.6774657374195854</v>
      </c>
      <c r="AL501" s="7">
        <f t="shared" si="158"/>
        <v>5.8495027539912368</v>
      </c>
      <c r="AM501" s="7" t="str">
        <f t="shared" si="159"/>
        <v/>
      </c>
      <c r="AN501" s="4">
        <v>6216.6019569524278</v>
      </c>
      <c r="AO501" s="4">
        <v>0</v>
      </c>
      <c r="AP501" s="14">
        <f t="shared" si="174"/>
        <v>757456.35195695248</v>
      </c>
      <c r="AQ501" s="14">
        <f t="shared" si="175"/>
        <v>751239.75</v>
      </c>
      <c r="AR501" s="8">
        <v>17727.89</v>
      </c>
      <c r="AS501" s="20">
        <v>42.376151</v>
      </c>
      <c r="AT501" s="8">
        <v>43175392.312555119</v>
      </c>
      <c r="AU501" s="8">
        <v>26333.500599999999</v>
      </c>
      <c r="AV501" s="8">
        <v>435.90359999999998</v>
      </c>
      <c r="AW501" s="8"/>
      <c r="AX501" s="9">
        <v>434.09355378399272</v>
      </c>
      <c r="AY501" s="6">
        <f t="shared" si="160"/>
        <v>2.2142065080705733E-2</v>
      </c>
      <c r="AZ501" s="8">
        <v>415747145.57429999</v>
      </c>
      <c r="BA501" s="10">
        <v>60480066</v>
      </c>
      <c r="BB501" s="11">
        <v>43175392.312555119</v>
      </c>
      <c r="BC501" s="10">
        <v>2971324</v>
      </c>
      <c r="BD501" s="10">
        <f>1000000000-999260009.1696+244838.7387</f>
        <v>984829.56909999007</v>
      </c>
      <c r="BE501" s="12">
        <f t="shared" si="161"/>
        <v>476641242.54404485</v>
      </c>
      <c r="BF501" s="13">
        <v>234.484938</v>
      </c>
      <c r="BG501" s="13">
        <f t="shared" si="162"/>
        <v>242.15630454404487</v>
      </c>
      <c r="BH501" s="14">
        <f>BE501*41.59</f>
        <v>19823509277.406826</v>
      </c>
    </row>
    <row r="502" spans="1:60" x14ac:dyDescent="0.25">
      <c r="A502" s="3">
        <v>46124</v>
      </c>
      <c r="B502" s="4">
        <v>3468909566</v>
      </c>
      <c r="C502" s="4">
        <v>1986669672.1800001</v>
      </c>
      <c r="D502" s="4">
        <v>96866263</v>
      </c>
      <c r="E502" s="4"/>
      <c r="F502" s="17">
        <v>1437981559.510582</v>
      </c>
      <c r="G502" s="17">
        <v>13923637.59050777</v>
      </c>
      <c r="H502" s="17">
        <v>14987122.1873427</v>
      </c>
      <c r="I502" s="17">
        <v>377126424.37076658</v>
      </c>
      <c r="J502" s="17">
        <v>493402.85446063662</v>
      </c>
      <c r="K502" s="17">
        <v>142157525.6663402</v>
      </c>
      <c r="L502" s="14">
        <f t="shared" si="155"/>
        <v>1986669672.1799998</v>
      </c>
      <c r="M502" s="21">
        <v>1.0178228578571731</v>
      </c>
      <c r="N502" s="4">
        <v>1186470.6399999999</v>
      </c>
      <c r="O502" s="4">
        <v>268496.38</v>
      </c>
      <c r="P502" s="4">
        <v>47769.100000000013</v>
      </c>
      <c r="Q502" s="4"/>
      <c r="R502" s="14">
        <f t="shared" si="163"/>
        <v>1502736.12</v>
      </c>
      <c r="S502" s="6">
        <v>0.01</v>
      </c>
      <c r="T502" s="14">
        <f t="shared" si="164"/>
        <v>11864.706399999999</v>
      </c>
      <c r="U502" s="14">
        <f t="shared" si="165"/>
        <v>1363.0645000000002</v>
      </c>
      <c r="V502" s="14">
        <f t="shared" si="166"/>
        <v>349.54660000000013</v>
      </c>
      <c r="W502" s="14" t="str">
        <f t="shared" si="167"/>
        <v/>
      </c>
      <c r="X502" s="4">
        <v>12814.44</v>
      </c>
      <c r="Y502" s="4">
        <v>132189.93</v>
      </c>
      <c r="Z502" s="4"/>
      <c r="AA502" s="14">
        <f t="shared" si="168"/>
        <v>158581.6875</v>
      </c>
      <c r="AB502" s="4">
        <v>144562.42249999999</v>
      </c>
      <c r="AC502" s="4">
        <v>1186470.6399999999</v>
      </c>
      <c r="AD502" s="14">
        <f t="shared" si="169"/>
        <v>136306.45000000001</v>
      </c>
      <c r="AE502" s="14">
        <f t="shared" si="170"/>
        <v>34954.660000000011</v>
      </c>
      <c r="AF502" s="14" t="str">
        <f t="shared" si="171"/>
        <v/>
      </c>
      <c r="AG502" s="15">
        <f t="shared" si="172"/>
        <v>1357731.7499999998</v>
      </c>
      <c r="AH502" s="4">
        <v>1138369.82</v>
      </c>
      <c r="AI502" s="17">
        <f t="shared" si="173"/>
        <v>219361.9299999997</v>
      </c>
      <c r="AJ502" s="7">
        <f t="shared" si="156"/>
        <v>3.4202985619141386</v>
      </c>
      <c r="AK502" s="7">
        <f t="shared" si="157"/>
        <v>1.3514898010466694</v>
      </c>
      <c r="AL502" s="7">
        <f t="shared" si="158"/>
        <v>4.9314486303657663</v>
      </c>
      <c r="AM502" s="7" t="str">
        <f t="shared" si="159"/>
        <v/>
      </c>
      <c r="AN502" s="4">
        <v>7164.2838847462708</v>
      </c>
      <c r="AO502" s="4">
        <v>0</v>
      </c>
      <c r="AP502" s="14">
        <f t="shared" si="174"/>
        <v>1145534.1038847463</v>
      </c>
      <c r="AQ502" s="14">
        <f t="shared" si="175"/>
        <v>1138369.82</v>
      </c>
      <c r="AR502" s="8">
        <v>27717.87</v>
      </c>
      <c r="AS502" s="20">
        <v>41.069887999999999</v>
      </c>
      <c r="AT502" s="8">
        <v>43202403.852555119</v>
      </c>
      <c r="AU502" s="8">
        <v>26419.812699999999</v>
      </c>
      <c r="AV502" s="8">
        <v>718.53589999999997</v>
      </c>
      <c r="AW502" s="8"/>
      <c r="AX502" s="9">
        <v>434.05494320814938</v>
      </c>
      <c r="AY502" s="6">
        <f t="shared" si="160"/>
        <v>2.2216615169097668E-2</v>
      </c>
      <c r="AZ502" s="8">
        <v>415720725.76169997</v>
      </c>
      <c r="BA502" s="10">
        <v>60480066</v>
      </c>
      <c r="BB502" s="11">
        <v>43202403.852555119</v>
      </c>
      <c r="BC502" s="10">
        <v>2971324</v>
      </c>
      <c r="BD502" s="10">
        <f>1000000000-999259290.6337+245007.1436</f>
        <v>985716.50989998691</v>
      </c>
      <c r="BE502" s="12">
        <f t="shared" si="161"/>
        <v>476639763.87584502</v>
      </c>
      <c r="BF502" s="13">
        <v>234.484938</v>
      </c>
      <c r="BG502" s="13">
        <f t="shared" si="162"/>
        <v>242.15482587584501</v>
      </c>
      <c r="BH502" s="14">
        <f>BE502*42.54</f>
        <v>20276255555.278446</v>
      </c>
    </row>
    <row r="503" spans="1:60" x14ac:dyDescent="0.25">
      <c r="A503" s="3">
        <v>46125</v>
      </c>
      <c r="B503" s="4">
        <v>5230481569</v>
      </c>
      <c r="C503" s="4">
        <v>2685535488.4000001</v>
      </c>
      <c r="D503" s="4">
        <v>141907133</v>
      </c>
      <c r="E503" s="4"/>
      <c r="F503" s="17">
        <v>1758841589.9412501</v>
      </c>
      <c r="G503" s="17">
        <v>19779913.429680541</v>
      </c>
      <c r="H503" s="17">
        <v>12993029.790467801</v>
      </c>
      <c r="I503" s="17">
        <v>634948331.12508392</v>
      </c>
      <c r="J503" s="17">
        <v>709243.73012162477</v>
      </c>
      <c r="K503" s="17">
        <v>258263380.383396</v>
      </c>
      <c r="L503" s="14">
        <f t="shared" si="155"/>
        <v>2685535488.4000001</v>
      </c>
      <c r="M503" s="21">
        <v>1.004504303684427</v>
      </c>
      <c r="N503" s="4">
        <v>1758830.49</v>
      </c>
      <c r="O503" s="4">
        <v>275828.59999999998</v>
      </c>
      <c r="P503" s="4">
        <v>69440.399999999994</v>
      </c>
      <c r="Q503" s="4"/>
      <c r="R503" s="14">
        <f t="shared" si="163"/>
        <v>2104099.4899999998</v>
      </c>
      <c r="S503" s="6">
        <v>0.01</v>
      </c>
      <c r="T503" s="14">
        <f t="shared" si="164"/>
        <v>17588.304899999999</v>
      </c>
      <c r="U503" s="14">
        <f t="shared" si="165"/>
        <v>1408.7595999999996</v>
      </c>
      <c r="V503" s="14">
        <f t="shared" si="166"/>
        <v>574.46839999999997</v>
      </c>
      <c r="W503" s="14" t="str">
        <f t="shared" si="167"/>
        <v/>
      </c>
      <c r="X503" s="4">
        <v>11993.56</v>
      </c>
      <c r="Y503" s="4">
        <v>134952.64000000001</v>
      </c>
      <c r="Z503" s="4"/>
      <c r="AA503" s="14">
        <f t="shared" si="168"/>
        <v>166517.7329</v>
      </c>
      <c r="AB503" s="4">
        <v>138534.92619999999</v>
      </c>
      <c r="AC503" s="4">
        <v>1758830.49</v>
      </c>
      <c r="AD503" s="14">
        <f t="shared" si="169"/>
        <v>140875.95999999996</v>
      </c>
      <c r="AE503" s="14">
        <f t="shared" si="170"/>
        <v>57446.84</v>
      </c>
      <c r="AF503" s="14" t="str">
        <f t="shared" si="171"/>
        <v/>
      </c>
      <c r="AG503" s="15">
        <f t="shared" si="172"/>
        <v>1957153.29</v>
      </c>
      <c r="AH503" s="4">
        <v>1682047.23</v>
      </c>
      <c r="AI503" s="17">
        <f t="shared" si="173"/>
        <v>275106.06000000006</v>
      </c>
      <c r="AJ503" s="7">
        <f t="shared" si="156"/>
        <v>3.3626549808037378</v>
      </c>
      <c r="AK503" s="7">
        <f t="shared" si="157"/>
        <v>1.0270897599060751</v>
      </c>
      <c r="AL503" s="7">
        <f t="shared" si="158"/>
        <v>4.8933692431091531</v>
      </c>
      <c r="AM503" s="7" t="str">
        <f t="shared" si="159"/>
        <v/>
      </c>
      <c r="AN503" s="4">
        <v>11927.588473129241</v>
      </c>
      <c r="AO503" s="4">
        <v>0</v>
      </c>
      <c r="AP503" s="14">
        <f t="shared" si="174"/>
        <v>1693974.8184731293</v>
      </c>
      <c r="AQ503" s="14">
        <f t="shared" si="175"/>
        <v>1682047.23</v>
      </c>
      <c r="AR503" s="8">
        <v>39230.22</v>
      </c>
      <c r="AS503" s="20">
        <v>42.876314000000001</v>
      </c>
      <c r="AT503" s="8">
        <v>43242557.682555117</v>
      </c>
      <c r="AU503" s="8">
        <v>26416.900099999999</v>
      </c>
      <c r="AV503" s="8">
        <v>228.6712</v>
      </c>
      <c r="AW503" s="8"/>
      <c r="AX503" s="9">
        <v>433.9554611328569</v>
      </c>
      <c r="AY503" s="6">
        <f t="shared" si="160"/>
        <v>2.2219258426495567E-2</v>
      </c>
      <c r="AZ503" s="8">
        <v>415694308.86159998</v>
      </c>
      <c r="BA503" s="10">
        <v>60480066</v>
      </c>
      <c r="BB503" s="11">
        <v>43242557.682555117</v>
      </c>
      <c r="BC503" s="10">
        <v>2971324</v>
      </c>
      <c r="BD503" s="10">
        <f>1000000000-999259061.9625+245297.7557</f>
        <v>986235.79320002382</v>
      </c>
      <c r="BE503" s="12">
        <f t="shared" si="161"/>
        <v>476625507.66264492</v>
      </c>
      <c r="BF503" s="13">
        <v>234.484938</v>
      </c>
      <c r="BG503" s="13">
        <f t="shared" si="162"/>
        <v>242.14056966264491</v>
      </c>
      <c r="BH503" s="14">
        <f>BE503*41.05</f>
        <v>19565477089.551571</v>
      </c>
    </row>
    <row r="504" spans="1:60" x14ac:dyDescent="0.25">
      <c r="A504" s="3">
        <v>46126</v>
      </c>
      <c r="B504" s="4">
        <v>5644182221</v>
      </c>
      <c r="C504" s="4">
        <v>2242001606.4200001</v>
      </c>
      <c r="D504" s="4">
        <v>171403754</v>
      </c>
      <c r="E504" s="4"/>
      <c r="F504" s="17">
        <v>1458150928.2751279</v>
      </c>
      <c r="G504" s="17">
        <v>18955864.179209121</v>
      </c>
      <c r="H504" s="17">
        <v>6811970.0958172139</v>
      </c>
      <c r="I504" s="17">
        <v>486066692.33323628</v>
      </c>
      <c r="J504" s="17">
        <v>723230.07901921973</v>
      </c>
      <c r="K504" s="17">
        <v>271292921.4575901</v>
      </c>
      <c r="L504" s="14">
        <f t="shared" si="155"/>
        <v>2242001606.4200001</v>
      </c>
      <c r="M504" s="21">
        <v>1.00831933192764</v>
      </c>
      <c r="N504" s="4">
        <v>2010818.6</v>
      </c>
      <c r="O504" s="4">
        <v>225197.76</v>
      </c>
      <c r="P504" s="4">
        <v>93408.59</v>
      </c>
      <c r="Q504" s="4"/>
      <c r="R504" s="14">
        <f t="shared" si="163"/>
        <v>2329424.9500000002</v>
      </c>
      <c r="S504" s="6">
        <v>0.01</v>
      </c>
      <c r="T504" s="14">
        <f t="shared" si="164"/>
        <v>20108.186000000002</v>
      </c>
      <c r="U504" s="14">
        <f t="shared" si="165"/>
        <v>1153.2739000000001</v>
      </c>
      <c r="V504" s="14">
        <f t="shared" si="166"/>
        <v>744.91920000000005</v>
      </c>
      <c r="W504" s="14" t="str">
        <f t="shared" si="167"/>
        <v/>
      </c>
      <c r="X504" s="4">
        <v>18916.669999999998</v>
      </c>
      <c r="Y504" s="4">
        <v>109870.37</v>
      </c>
      <c r="Z504" s="4"/>
      <c r="AA504" s="14">
        <f t="shared" si="168"/>
        <v>150793.4191</v>
      </c>
      <c r="AB504" s="4">
        <v>136265.48190000001</v>
      </c>
      <c r="AC504" s="4">
        <v>2010818.6</v>
      </c>
      <c r="AD504" s="14">
        <f t="shared" si="169"/>
        <v>115327.39000000001</v>
      </c>
      <c r="AE504" s="14">
        <f t="shared" si="170"/>
        <v>74491.92</v>
      </c>
      <c r="AF504" s="14" t="str">
        <f t="shared" si="171"/>
        <v/>
      </c>
      <c r="AG504" s="15">
        <f t="shared" si="172"/>
        <v>2200637.91</v>
      </c>
      <c r="AH504" s="4">
        <v>1896392.55</v>
      </c>
      <c r="AI504" s="17">
        <f t="shared" si="173"/>
        <v>304245.3600000001</v>
      </c>
      <c r="AJ504" s="7">
        <f t="shared" si="156"/>
        <v>3.5626394068541183</v>
      </c>
      <c r="AK504" s="7">
        <f t="shared" si="157"/>
        <v>1.0044495925210015</v>
      </c>
      <c r="AL504" s="7">
        <f t="shared" si="158"/>
        <v>5.4496233495562763</v>
      </c>
      <c r="AM504" s="7" t="str">
        <f t="shared" si="159"/>
        <v/>
      </c>
      <c r="AN504" s="4">
        <v>13024.600452506091</v>
      </c>
      <c r="AO504" s="4">
        <v>0</v>
      </c>
      <c r="AP504" s="14">
        <f t="shared" si="174"/>
        <v>1909417.150452506</v>
      </c>
      <c r="AQ504" s="14">
        <f t="shared" si="175"/>
        <v>1896392.55</v>
      </c>
      <c r="AR504" s="8">
        <v>42938.42</v>
      </c>
      <c r="AS504" s="20">
        <v>44.165401000000003</v>
      </c>
      <c r="AT504" s="8">
        <v>43285637.742555119</v>
      </c>
      <c r="AU504" s="8">
        <v>26453.285500000002</v>
      </c>
      <c r="AV504" s="8">
        <v>997.55700000000002</v>
      </c>
      <c r="AW504" s="8"/>
      <c r="AX504" s="9">
        <v>435.43026419026643</v>
      </c>
      <c r="AY504" s="6">
        <f t="shared" si="160"/>
        <v>2.2174501869904335E-2</v>
      </c>
      <c r="AZ504" s="8">
        <v>415667855.57609999</v>
      </c>
      <c r="BA504" s="10">
        <v>60480066</v>
      </c>
      <c r="BB504" s="11">
        <v>43285637.742555119</v>
      </c>
      <c r="BC504" s="10">
        <v>2971324</v>
      </c>
      <c r="BD504" s="10">
        <f>1000000000-999258064.4055+245588.9904</f>
        <v>987524.58489994565</v>
      </c>
      <c r="BE504" s="12">
        <f t="shared" si="161"/>
        <v>476607592.0964449</v>
      </c>
      <c r="BF504" s="13">
        <v>234.484938</v>
      </c>
      <c r="BG504" s="13">
        <f t="shared" si="162"/>
        <v>242.12265409644493</v>
      </c>
      <c r="BH504" s="14">
        <f>BE504*44.77</f>
        <v>21337721898.157841</v>
      </c>
    </row>
    <row r="505" spans="1:60" x14ac:dyDescent="0.25">
      <c r="A505" s="3">
        <v>46127</v>
      </c>
      <c r="B505" s="4">
        <v>3989379482</v>
      </c>
      <c r="C505" s="4">
        <v>2054874768.95</v>
      </c>
      <c r="D505" s="4">
        <v>124970589</v>
      </c>
      <c r="E505" s="4"/>
      <c r="F505" s="17">
        <v>1165377356.8148789</v>
      </c>
      <c r="G505" s="17">
        <v>12726743.558233909</v>
      </c>
      <c r="H505" s="17">
        <v>8567265.2535918094</v>
      </c>
      <c r="I505" s="17">
        <v>623080647.69422483</v>
      </c>
      <c r="J505" s="17">
        <v>461690.73895219888</v>
      </c>
      <c r="K505" s="17">
        <v>244661064.89011759</v>
      </c>
      <c r="L505" s="14">
        <f t="shared" si="155"/>
        <v>2054874768.9499993</v>
      </c>
      <c r="M505" s="21">
        <v>1.003221021627259</v>
      </c>
      <c r="N505" s="4">
        <v>1366433.53</v>
      </c>
      <c r="O505" s="4">
        <v>219151.19</v>
      </c>
      <c r="P505" s="4">
        <v>65661.919999999998</v>
      </c>
      <c r="Q505" s="4"/>
      <c r="R505" s="14">
        <f t="shared" si="163"/>
        <v>1651246.64</v>
      </c>
      <c r="S505" s="6">
        <v>0.01</v>
      </c>
      <c r="T505" s="14">
        <f t="shared" si="164"/>
        <v>13664.335300000001</v>
      </c>
      <c r="U505" s="14">
        <f t="shared" si="165"/>
        <v>1112.1386</v>
      </c>
      <c r="V505" s="14">
        <f t="shared" si="166"/>
        <v>511.23879999999997</v>
      </c>
      <c r="W505" s="14" t="str">
        <f t="shared" si="167"/>
        <v/>
      </c>
      <c r="X505" s="4">
        <v>14538.04</v>
      </c>
      <c r="Y505" s="4">
        <v>107937.33</v>
      </c>
      <c r="Z505" s="4"/>
      <c r="AA505" s="14">
        <f t="shared" si="168"/>
        <v>137763.0827</v>
      </c>
      <c r="AB505" s="4">
        <v>104383.51639999999</v>
      </c>
      <c r="AC505" s="4">
        <v>1366433.53</v>
      </c>
      <c r="AD505" s="14">
        <f t="shared" si="169"/>
        <v>111213.86</v>
      </c>
      <c r="AE505" s="14">
        <f t="shared" si="170"/>
        <v>51123.88</v>
      </c>
      <c r="AF505" s="14" t="str">
        <f t="shared" si="171"/>
        <v/>
      </c>
      <c r="AG505" s="15">
        <f t="shared" si="172"/>
        <v>1528771.27</v>
      </c>
      <c r="AH505" s="4">
        <v>1324651.5900000001</v>
      </c>
      <c r="AI505" s="17">
        <f t="shared" si="173"/>
        <v>204119.67999999993</v>
      </c>
      <c r="AJ505" s="7">
        <f t="shared" si="156"/>
        <v>3.425178116459767</v>
      </c>
      <c r="AK505" s="7">
        <f t="shared" si="157"/>
        <v>1.0664941402340633</v>
      </c>
      <c r="AL505" s="7">
        <f t="shared" si="158"/>
        <v>5.2541898478209141</v>
      </c>
      <c r="AM505" s="7" t="str">
        <f t="shared" si="159"/>
        <v/>
      </c>
      <c r="AN505" s="4">
        <v>10306.399434978681</v>
      </c>
      <c r="AO505" s="4">
        <v>21797.57</v>
      </c>
      <c r="AP505" s="14">
        <f t="shared" si="174"/>
        <v>1356755.5594349788</v>
      </c>
      <c r="AQ505" s="14">
        <f t="shared" si="175"/>
        <v>1324651.5900000001</v>
      </c>
      <c r="AR505" s="8">
        <v>29919.89</v>
      </c>
      <c r="AS505" s="20">
        <v>44.273277999999998</v>
      </c>
      <c r="AT505" s="8">
        <v>43315329.982555121</v>
      </c>
      <c r="AU505" s="8">
        <v>26464.657200000001</v>
      </c>
      <c r="AV505" s="8">
        <v>421.27480000000003</v>
      </c>
      <c r="AW505" s="8"/>
      <c r="AX505" s="9">
        <v>435.56872965970189</v>
      </c>
      <c r="AY505" s="6">
        <f t="shared" si="160"/>
        <v>2.2176982001317645E-2</v>
      </c>
      <c r="AZ505" s="8">
        <v>415641390.91890001</v>
      </c>
      <c r="BA505" s="10">
        <v>60480066</v>
      </c>
      <c r="BB505" s="11">
        <v>43315329.982555121</v>
      </c>
      <c r="BC505" s="10">
        <v>2971324</v>
      </c>
      <c r="BD505" s="10">
        <f>1000000000-999257643.1308+245824.4415</f>
        <v>988181.31069999118</v>
      </c>
      <c r="BE505" s="12">
        <f t="shared" si="161"/>
        <v>476603707.78784484</v>
      </c>
      <c r="BF505" s="13">
        <v>234.484938</v>
      </c>
      <c r="BG505" s="13">
        <f t="shared" si="162"/>
        <v>242.11876978784483</v>
      </c>
      <c r="BH505" s="14">
        <f>BE505*43.8</f>
        <v>20875242401.107601</v>
      </c>
    </row>
    <row r="506" spans="1:60" x14ac:dyDescent="0.25">
      <c r="A506" s="3">
        <v>46128</v>
      </c>
      <c r="B506" s="4">
        <v>5154986535</v>
      </c>
      <c r="C506" s="4">
        <v>1796383357.22</v>
      </c>
      <c r="D506" s="4">
        <v>172639204</v>
      </c>
      <c r="E506" s="4"/>
      <c r="F506" s="17">
        <v>914731965.96864557</v>
      </c>
      <c r="G506" s="17">
        <v>22640143.23465858</v>
      </c>
      <c r="H506" s="17">
        <v>3758401.6446094979</v>
      </c>
      <c r="I506" s="17">
        <v>605403069.53838205</v>
      </c>
      <c r="J506" s="17">
        <v>304139.25465376349</v>
      </c>
      <c r="K506" s="17">
        <v>249545637.57905051</v>
      </c>
      <c r="L506" s="14">
        <f t="shared" si="155"/>
        <v>1796383357.22</v>
      </c>
      <c r="M506" s="21">
        <v>1.0019087408544021</v>
      </c>
      <c r="N506" s="4">
        <v>1739039.54</v>
      </c>
      <c r="O506" s="4">
        <v>177288.06</v>
      </c>
      <c r="P506" s="4">
        <v>96207.84</v>
      </c>
      <c r="Q506" s="4"/>
      <c r="R506" s="14">
        <f t="shared" si="163"/>
        <v>2012535.4400000002</v>
      </c>
      <c r="S506" s="6">
        <v>0.01</v>
      </c>
      <c r="T506" s="14">
        <f t="shared" si="164"/>
        <v>17390.395400000001</v>
      </c>
      <c r="U506" s="14">
        <f t="shared" si="165"/>
        <v>921.42340000000002</v>
      </c>
      <c r="V506" s="14">
        <f t="shared" si="166"/>
        <v>801.21910000000003</v>
      </c>
      <c r="W506" s="14" t="str">
        <f t="shared" si="167"/>
        <v/>
      </c>
      <c r="X506" s="4">
        <v>16085.93</v>
      </c>
      <c r="Y506" s="4">
        <v>85145.72</v>
      </c>
      <c r="Z506" s="4"/>
      <c r="AA506" s="14">
        <f t="shared" si="168"/>
        <v>120344.6879</v>
      </c>
      <c r="AB506" s="4">
        <v>144010.69149999999</v>
      </c>
      <c r="AC506" s="4">
        <v>1739039.54</v>
      </c>
      <c r="AD506" s="14">
        <f t="shared" si="169"/>
        <v>92142.34</v>
      </c>
      <c r="AE506" s="14">
        <f t="shared" si="170"/>
        <v>80121.91</v>
      </c>
      <c r="AF506" s="14" t="str">
        <f t="shared" si="171"/>
        <v/>
      </c>
      <c r="AG506" s="15">
        <f t="shared" si="172"/>
        <v>1911303.79</v>
      </c>
      <c r="AH506" s="4">
        <v>1662817.42</v>
      </c>
      <c r="AI506" s="17">
        <f t="shared" si="173"/>
        <v>248486.37000000011</v>
      </c>
      <c r="AJ506" s="7">
        <f t="shared" si="156"/>
        <v>3.3735093742587243</v>
      </c>
      <c r="AK506" s="7">
        <f t="shared" si="157"/>
        <v>0.98691662493668841</v>
      </c>
      <c r="AL506" s="7">
        <f t="shared" si="158"/>
        <v>5.5727689754639975</v>
      </c>
      <c r="AM506" s="7" t="str">
        <f t="shared" si="159"/>
        <v/>
      </c>
      <c r="AN506" s="4">
        <v>9956.8626290914599</v>
      </c>
      <c r="AO506" s="4">
        <v>0</v>
      </c>
      <c r="AP506" s="14">
        <f t="shared" si="174"/>
        <v>1672774.2826290913</v>
      </c>
      <c r="AQ506" s="14">
        <f t="shared" si="175"/>
        <v>1662817.42</v>
      </c>
      <c r="AR506" s="8">
        <v>37404.67</v>
      </c>
      <c r="AS506" s="20">
        <v>44.454808</v>
      </c>
      <c r="AT506" s="8">
        <v>43352296.742555119</v>
      </c>
      <c r="AU506" s="8">
        <v>26464.584599999998</v>
      </c>
      <c r="AV506" s="8">
        <v>1297.7344000000001</v>
      </c>
      <c r="AW506" s="8"/>
      <c r="AX506" s="9">
        <v>433.42238589952848</v>
      </c>
      <c r="AY506" s="6">
        <f t="shared" si="160"/>
        <v>2.2286743124613737E-2</v>
      </c>
      <c r="AZ506" s="8">
        <v>415614926.33420002</v>
      </c>
      <c r="BA506" s="10">
        <v>60480066</v>
      </c>
      <c r="BB506" s="11">
        <v>43352296.742555119</v>
      </c>
      <c r="BC506" s="10">
        <v>2971324</v>
      </c>
      <c r="BD506" s="10">
        <f>1000000000-999256345.3963+246048.1912</f>
        <v>989702.79490004177</v>
      </c>
      <c r="BE506" s="12">
        <f t="shared" si="161"/>
        <v>476591684.12834477</v>
      </c>
      <c r="BF506" s="13">
        <v>234.484938</v>
      </c>
      <c r="BG506" s="13">
        <f t="shared" si="162"/>
        <v>242.10674612834475</v>
      </c>
      <c r="BH506" s="14">
        <f>BE506*44.53</f>
        <v>21222627694.235195</v>
      </c>
    </row>
    <row r="507" spans="1:60" x14ac:dyDescent="0.25">
      <c r="A507" s="3">
        <v>46129</v>
      </c>
      <c r="B507" s="4">
        <v>5841059467</v>
      </c>
      <c r="C507" s="4">
        <v>2661372895.8800001</v>
      </c>
      <c r="D507" s="4">
        <v>184828362</v>
      </c>
      <c r="E507" s="4"/>
      <c r="F507" s="17">
        <v>1744808465.1829331</v>
      </c>
      <c r="G507" s="17">
        <v>33797081.915636532</v>
      </c>
      <c r="H507" s="17">
        <v>9324739.2919102497</v>
      </c>
      <c r="I507" s="17">
        <v>629062027.4943974</v>
      </c>
      <c r="J507" s="17">
        <v>906091.56687476847</v>
      </c>
      <c r="K507" s="17">
        <v>243474490.42824829</v>
      </c>
      <c r="L507" s="14">
        <f t="shared" si="155"/>
        <v>2661372895.8800006</v>
      </c>
      <c r="M507" s="21">
        <v>1.0013030803793961</v>
      </c>
      <c r="N507" s="4">
        <v>1399450.51</v>
      </c>
      <c r="O507" s="4">
        <v>189551.44</v>
      </c>
      <c r="P507" s="4">
        <v>80566.62</v>
      </c>
      <c r="Q507" s="4"/>
      <c r="R507" s="14">
        <f t="shared" si="163"/>
        <v>1669568.5699999998</v>
      </c>
      <c r="S507" s="6">
        <v>0.01</v>
      </c>
      <c r="T507" s="14">
        <f t="shared" si="164"/>
        <v>13994.5051</v>
      </c>
      <c r="U507" s="14">
        <f t="shared" si="165"/>
        <v>990.92079999999999</v>
      </c>
      <c r="V507" s="14">
        <f t="shared" si="166"/>
        <v>646.83429999999998</v>
      </c>
      <c r="W507" s="14" t="str">
        <f t="shared" si="167"/>
        <v/>
      </c>
      <c r="X507" s="4">
        <v>15883.19</v>
      </c>
      <c r="Y507" s="4">
        <v>90459.36</v>
      </c>
      <c r="Z507" s="4"/>
      <c r="AA507" s="14">
        <f t="shared" si="168"/>
        <v>121974.81020000001</v>
      </c>
      <c r="AB507" s="4">
        <v>122965.86079999999</v>
      </c>
      <c r="AC507" s="4">
        <v>1399450.51</v>
      </c>
      <c r="AD507" s="14">
        <f t="shared" si="169"/>
        <v>99092.08</v>
      </c>
      <c r="AE507" s="14">
        <f t="shared" si="170"/>
        <v>64683.429999999993</v>
      </c>
      <c r="AF507" s="14" t="str">
        <f t="shared" si="171"/>
        <v/>
      </c>
      <c r="AG507" s="15">
        <f t="shared" si="172"/>
        <v>1563226.02</v>
      </c>
      <c r="AH507" s="4">
        <v>1926748.5</v>
      </c>
      <c r="AI507" s="17">
        <f t="shared" si="173"/>
        <v>-363522.48</v>
      </c>
      <c r="AJ507" s="7">
        <f t="shared" si="156"/>
        <v>2.3958847156178082</v>
      </c>
      <c r="AK507" s="7">
        <f t="shared" si="157"/>
        <v>0.71223179695502081</v>
      </c>
      <c r="AL507" s="7">
        <f t="shared" si="158"/>
        <v>4.3589965916594551</v>
      </c>
      <c r="AM507" s="7" t="str">
        <f t="shared" si="159"/>
        <v/>
      </c>
      <c r="AN507" s="4">
        <v>11526.643388898799</v>
      </c>
      <c r="AO507" s="4">
        <v>22400.69</v>
      </c>
      <c r="AP507" s="14">
        <f t="shared" si="174"/>
        <v>1960675.8333888988</v>
      </c>
      <c r="AQ507" s="14">
        <f t="shared" si="175"/>
        <v>1926748.5</v>
      </c>
      <c r="AR507" s="8">
        <v>43321.04</v>
      </c>
      <c r="AS507" s="20">
        <v>44.476044000000002</v>
      </c>
      <c r="AT507" s="8">
        <v>43395448.832555123</v>
      </c>
      <c r="AU507" s="8">
        <v>26437.098300000001</v>
      </c>
      <c r="AV507" s="8">
        <v>555.53009999999995</v>
      </c>
      <c r="AW507" s="8"/>
      <c r="AX507" s="9">
        <v>434.89056154388038</v>
      </c>
      <c r="AY507" s="6">
        <f t="shared" si="160"/>
        <v>2.2188434821955458E-2</v>
      </c>
      <c r="AZ507" s="8">
        <v>415588489.236</v>
      </c>
      <c r="BA507" s="10">
        <v>60480066</v>
      </c>
      <c r="BB507" s="11">
        <v>43395448.832555123</v>
      </c>
      <c r="BC507" s="10">
        <v>2971324</v>
      </c>
      <c r="BD507" s="10">
        <f>1000000000-999255789.8663+246309.6612</f>
        <v>990519.79490001313</v>
      </c>
      <c r="BE507" s="12">
        <f t="shared" si="161"/>
        <v>476574152.13654482</v>
      </c>
      <c r="BF507" s="13">
        <v>234.484938</v>
      </c>
      <c r="BG507" s="13">
        <f t="shared" si="162"/>
        <v>242.0892141365448</v>
      </c>
      <c r="BH507" s="14">
        <f>BE507*44.09</f>
        <v>21012154367.700264</v>
      </c>
    </row>
    <row r="508" spans="1:60" x14ac:dyDescent="0.25">
      <c r="A508" s="3">
        <v>46130</v>
      </c>
      <c r="B508" s="4">
        <v>2687587473</v>
      </c>
      <c r="C508" s="4">
        <v>707065040.32000005</v>
      </c>
      <c r="D508" s="4">
        <v>79542949</v>
      </c>
      <c r="E508" s="4"/>
      <c r="F508" s="17">
        <v>477439710.88134658</v>
      </c>
      <c r="G508" s="17">
        <v>14661320.212798109</v>
      </c>
      <c r="H508" s="17">
        <v>12866273.40453328</v>
      </c>
      <c r="I508" s="17">
        <v>126406133.2779593</v>
      </c>
      <c r="J508" s="17">
        <v>715711.87780353415</v>
      </c>
      <c r="K508" s="17">
        <v>74975890.665559292</v>
      </c>
      <c r="L508" s="14">
        <f t="shared" si="155"/>
        <v>707065040.32000017</v>
      </c>
      <c r="M508" s="21">
        <v>1.003530205544896</v>
      </c>
      <c r="N508" s="4">
        <v>943074.88</v>
      </c>
      <c r="O508" s="4">
        <v>127529.29</v>
      </c>
      <c r="P508" s="4">
        <v>44405.45</v>
      </c>
      <c r="Q508" s="4"/>
      <c r="R508" s="14">
        <f t="shared" si="163"/>
        <v>1115009.6199999999</v>
      </c>
      <c r="S508" s="6">
        <v>0.01</v>
      </c>
      <c r="T508" s="14">
        <f t="shared" si="164"/>
        <v>9430.7487999999994</v>
      </c>
      <c r="U508" s="14">
        <f t="shared" si="165"/>
        <v>656.41780000000006</v>
      </c>
      <c r="V508" s="14">
        <f t="shared" si="166"/>
        <v>361.02509999999995</v>
      </c>
      <c r="W508" s="14" t="str">
        <f t="shared" si="167"/>
        <v/>
      </c>
      <c r="X508" s="4">
        <v>8302.94</v>
      </c>
      <c r="Y508" s="4">
        <v>61887.51</v>
      </c>
      <c r="Z508" s="4"/>
      <c r="AA508" s="14">
        <f t="shared" si="168"/>
        <v>80638.641700000007</v>
      </c>
      <c r="AB508" s="4">
        <v>101795.2231</v>
      </c>
      <c r="AC508" s="4">
        <v>943074.88</v>
      </c>
      <c r="AD508" s="14">
        <f t="shared" si="169"/>
        <v>65641.78</v>
      </c>
      <c r="AE508" s="14">
        <f t="shared" si="170"/>
        <v>36102.509999999995</v>
      </c>
      <c r="AF508" s="14" t="str">
        <f t="shared" si="171"/>
        <v/>
      </c>
      <c r="AG508" s="15">
        <f t="shared" si="172"/>
        <v>1044819.17</v>
      </c>
      <c r="AH508" s="4">
        <v>877262.95</v>
      </c>
      <c r="AI508" s="17">
        <f t="shared" si="173"/>
        <v>167556.22000000009</v>
      </c>
      <c r="AJ508" s="7">
        <f t="shared" si="156"/>
        <v>3.5090016212469526</v>
      </c>
      <c r="AK508" s="7">
        <f t="shared" si="157"/>
        <v>1.803642985124585</v>
      </c>
      <c r="AL508" s="7">
        <f t="shared" si="158"/>
        <v>5.5825752701223079</v>
      </c>
      <c r="AM508" s="7" t="str">
        <f t="shared" si="159"/>
        <v/>
      </c>
      <c r="AN508" s="4">
        <v>6439.8455512585251</v>
      </c>
      <c r="AO508" s="4">
        <v>0</v>
      </c>
      <c r="AP508" s="14">
        <f t="shared" si="174"/>
        <v>883702.79555125849</v>
      </c>
      <c r="AQ508" s="14">
        <f t="shared" si="175"/>
        <v>877262.95</v>
      </c>
      <c r="AR508" s="8">
        <v>19741.810000000001</v>
      </c>
      <c r="AS508" s="20">
        <v>44.436805</v>
      </c>
      <c r="AT508" s="8">
        <v>43415762.77255512</v>
      </c>
      <c r="AU508" s="8">
        <v>26451.372500000001</v>
      </c>
      <c r="AV508" s="8">
        <v>1425.6597999999999</v>
      </c>
      <c r="AW508" s="8"/>
      <c r="AX508" s="9">
        <v>435.36275069615351</v>
      </c>
      <c r="AY508" s="6">
        <f t="shared" si="160"/>
        <v>2.2176336737724726E-2</v>
      </c>
      <c r="AZ508" s="8">
        <v>415562037.8635</v>
      </c>
      <c r="BA508" s="10">
        <v>60480066</v>
      </c>
      <c r="BB508" s="11">
        <v>43415762.77255512</v>
      </c>
      <c r="BC508" s="10">
        <v>2971324</v>
      </c>
      <c r="BD508" s="10">
        <f>1000000000-999254364.2064+246453.5941</f>
        <v>992089.38769996318</v>
      </c>
      <c r="BE508" s="12">
        <f t="shared" si="161"/>
        <v>476578719.97624493</v>
      </c>
      <c r="BF508" s="13">
        <v>234.484938</v>
      </c>
      <c r="BG508" s="13">
        <f t="shared" si="162"/>
        <v>242.09378197624494</v>
      </c>
      <c r="BH508" s="14">
        <f>BE508*44.77</f>
        <v>21336429293.336487</v>
      </c>
    </row>
    <row r="509" spans="1:60" x14ac:dyDescent="0.25">
      <c r="A509" s="3">
        <v>46131</v>
      </c>
      <c r="B509" s="4">
        <v>4209440973</v>
      </c>
      <c r="C509" s="4">
        <v>1119406940.1600001</v>
      </c>
      <c r="D509" s="4">
        <v>138287499</v>
      </c>
      <c r="E509" s="4"/>
      <c r="F509" s="17">
        <v>828267155.01542258</v>
      </c>
      <c r="G509" s="17">
        <v>14979990.87948554</v>
      </c>
      <c r="H509" s="17">
        <v>14783185.661227331</v>
      </c>
      <c r="I509" s="17">
        <v>174793692.02685481</v>
      </c>
      <c r="J509" s="17">
        <v>766566.18700514431</v>
      </c>
      <c r="K509" s="17">
        <v>85816350.390004784</v>
      </c>
      <c r="L509" s="14">
        <f t="shared" si="155"/>
        <v>1119406940.1600001</v>
      </c>
      <c r="M509" s="21">
        <v>1.0236679925398779</v>
      </c>
      <c r="N509" s="4">
        <v>1426484.75</v>
      </c>
      <c r="O509" s="4">
        <v>161896.63</v>
      </c>
      <c r="P509" s="4">
        <v>69328.88</v>
      </c>
      <c r="Q509" s="4"/>
      <c r="R509" s="14">
        <f t="shared" si="163"/>
        <v>1657710.2599999998</v>
      </c>
      <c r="S509" s="6">
        <v>0.01</v>
      </c>
      <c r="T509" s="14">
        <f t="shared" si="164"/>
        <v>14264.8475</v>
      </c>
      <c r="U509" s="14">
        <f t="shared" si="165"/>
        <v>828.08400000000006</v>
      </c>
      <c r="V509" s="14">
        <f t="shared" si="166"/>
        <v>569.53140000000008</v>
      </c>
      <c r="W509" s="14" t="str">
        <f t="shared" si="167"/>
        <v/>
      </c>
      <c r="X509" s="4">
        <v>12375.74</v>
      </c>
      <c r="Y509" s="4">
        <v>79088.23</v>
      </c>
      <c r="Z509" s="4"/>
      <c r="AA509" s="14">
        <f t="shared" si="168"/>
        <v>107126.4329</v>
      </c>
      <c r="AB509" s="4">
        <v>112290.151</v>
      </c>
      <c r="AC509" s="4">
        <v>1426484.75</v>
      </c>
      <c r="AD509" s="14">
        <f t="shared" si="169"/>
        <v>82808.400000000009</v>
      </c>
      <c r="AE509" s="14">
        <f t="shared" si="170"/>
        <v>56953.140000000007</v>
      </c>
      <c r="AF509" s="14" t="str">
        <f t="shared" si="171"/>
        <v/>
      </c>
      <c r="AG509" s="15">
        <f t="shared" si="172"/>
        <v>1566246.2899999998</v>
      </c>
      <c r="AH509" s="4">
        <v>1367863.42</v>
      </c>
      <c r="AI509" s="17">
        <f t="shared" si="173"/>
        <v>198382.86999999988</v>
      </c>
      <c r="AJ509" s="7">
        <f t="shared" si="156"/>
        <v>3.3887748020454307</v>
      </c>
      <c r="AK509" s="7">
        <f t="shared" si="157"/>
        <v>1.4462714513531572</v>
      </c>
      <c r="AL509" s="7">
        <f t="shared" si="158"/>
        <v>5.0133873633798238</v>
      </c>
      <c r="AM509" s="7" t="str">
        <f t="shared" si="159"/>
        <v/>
      </c>
      <c r="AN509" s="4">
        <v>8494.4664927330286</v>
      </c>
      <c r="AO509" s="4">
        <v>0</v>
      </c>
      <c r="AP509" s="14">
        <f t="shared" si="174"/>
        <v>1376357.8864927329</v>
      </c>
      <c r="AQ509" s="14">
        <f t="shared" si="175"/>
        <v>1367863.42</v>
      </c>
      <c r="AR509" s="8">
        <v>32142.71</v>
      </c>
      <c r="AS509" s="20">
        <v>42.555945999999999</v>
      </c>
      <c r="AT509" s="8">
        <v>43447726.662555121</v>
      </c>
      <c r="AU509" s="8">
        <v>26456.7739</v>
      </c>
      <c r="AV509" s="8">
        <v>153.5438</v>
      </c>
      <c r="AW509" s="8"/>
      <c r="AX509" s="9">
        <v>435.19679639068801</v>
      </c>
      <c r="AY509" s="6">
        <f t="shared" si="160"/>
        <v>2.2189323436174604E-2</v>
      </c>
      <c r="AZ509" s="8">
        <v>415535581.08960003</v>
      </c>
      <c r="BA509" s="10">
        <v>60480066</v>
      </c>
      <c r="BB509" s="11">
        <v>43447726.662555121</v>
      </c>
      <c r="BC509" s="10">
        <v>2971324</v>
      </c>
      <c r="BD509" s="10">
        <f>1000000000-999254210.6627+246648.0734</f>
        <v>992437.41069994296</v>
      </c>
      <c r="BE509" s="12">
        <f t="shared" si="161"/>
        <v>476572864.83714485</v>
      </c>
      <c r="BF509" s="13">
        <v>234.484938</v>
      </c>
      <c r="BG509" s="13">
        <f t="shared" si="162"/>
        <v>242.08792683714483</v>
      </c>
      <c r="BH509" s="14">
        <f>BE509*43.71</f>
        <v>20830999922.031601</v>
      </c>
    </row>
    <row r="510" spans="1:60" x14ac:dyDescent="0.25">
      <c r="A510" s="3">
        <v>46132</v>
      </c>
      <c r="B510" s="4">
        <v>4065641182</v>
      </c>
      <c r="C510" s="4">
        <v>2139879342.6199999</v>
      </c>
      <c r="D510" s="4">
        <v>122420465</v>
      </c>
      <c r="E510" s="4"/>
      <c r="F510" s="17">
        <v>1336131623.386641</v>
      </c>
      <c r="G510" s="17">
        <v>26270031.100196611</v>
      </c>
      <c r="H510" s="17">
        <v>6183857.1924020862</v>
      </c>
      <c r="I510" s="17">
        <v>525284631.43669802</v>
      </c>
      <c r="J510" s="17">
        <v>671253.42047188489</v>
      </c>
      <c r="K510" s="17">
        <v>245337946.08359069</v>
      </c>
      <c r="L510" s="14">
        <f t="shared" si="155"/>
        <v>2139879342.6200004</v>
      </c>
      <c r="M510" s="21">
        <v>1.0018695981316039</v>
      </c>
      <c r="N510" s="4">
        <v>1369255.08</v>
      </c>
      <c r="O510" s="4">
        <v>211323.12</v>
      </c>
      <c r="P510" s="4">
        <v>62395.3</v>
      </c>
      <c r="Q510" s="4"/>
      <c r="R510" s="14">
        <f t="shared" si="163"/>
        <v>1642973.5000000002</v>
      </c>
      <c r="S510" s="6">
        <v>0.01</v>
      </c>
      <c r="T510" s="14">
        <f t="shared" si="164"/>
        <v>13692.550800000001</v>
      </c>
      <c r="U510" s="14">
        <f t="shared" si="165"/>
        <v>1095.9012</v>
      </c>
      <c r="V510" s="14">
        <f t="shared" si="166"/>
        <v>491.59720000000004</v>
      </c>
      <c r="W510" s="14" t="str">
        <f t="shared" si="167"/>
        <v/>
      </c>
      <c r="X510" s="4">
        <v>13235.58</v>
      </c>
      <c r="Y510" s="4">
        <v>101733</v>
      </c>
      <c r="Z510" s="4"/>
      <c r="AA510" s="14">
        <f t="shared" si="168"/>
        <v>130248.6292</v>
      </c>
      <c r="AB510" s="4">
        <v>99218.924599999998</v>
      </c>
      <c r="AC510" s="4">
        <v>1369255.08</v>
      </c>
      <c r="AD510" s="14">
        <f t="shared" si="169"/>
        <v>109590.12</v>
      </c>
      <c r="AE510" s="14">
        <f t="shared" si="170"/>
        <v>49159.72</v>
      </c>
      <c r="AF510" s="14" t="str">
        <f t="shared" si="171"/>
        <v/>
      </c>
      <c r="AG510" s="15">
        <f t="shared" si="172"/>
        <v>1528004.9200000002</v>
      </c>
      <c r="AH510" s="4">
        <v>1298285.79</v>
      </c>
      <c r="AI510" s="17">
        <f t="shared" si="173"/>
        <v>229719.13000000012</v>
      </c>
      <c r="AJ510" s="7">
        <f t="shared" si="156"/>
        <v>3.3678699587709953</v>
      </c>
      <c r="AK510" s="7">
        <f t="shared" si="157"/>
        <v>0.98754689477614521</v>
      </c>
      <c r="AL510" s="7">
        <f t="shared" si="158"/>
        <v>5.0968030549467356</v>
      </c>
      <c r="AM510" s="7" t="str">
        <f t="shared" si="159"/>
        <v/>
      </c>
      <c r="AN510" s="4">
        <v>8332.2654067461135</v>
      </c>
      <c r="AO510" s="4">
        <v>20302.38</v>
      </c>
      <c r="AP510" s="14">
        <f t="shared" si="174"/>
        <v>1326920.4354067461</v>
      </c>
      <c r="AQ510" s="14">
        <f t="shared" si="175"/>
        <v>1298285.79</v>
      </c>
      <c r="AR510" s="8">
        <v>31533.61</v>
      </c>
      <c r="AS510" s="20">
        <v>41.171492999999998</v>
      </c>
      <c r="AT510" s="8">
        <v>43479794.672555119</v>
      </c>
      <c r="AU510" s="8">
        <v>26450.788799999998</v>
      </c>
      <c r="AV510" s="8">
        <v>773.14070000000004</v>
      </c>
      <c r="AW510" s="8"/>
      <c r="AX510" s="9">
        <v>434.78784495450128</v>
      </c>
      <c r="AY510" s="6">
        <f t="shared" si="160"/>
        <v>2.2205169771961554E-2</v>
      </c>
      <c r="AZ510" s="8">
        <v>415509130.30080003</v>
      </c>
      <c r="BA510" s="10">
        <v>60480066</v>
      </c>
      <c r="BB510" s="11">
        <v>43479794.672555119</v>
      </c>
      <c r="BC510" s="10">
        <v>2971324</v>
      </c>
      <c r="BD510" s="10">
        <f>1000000000-999253437.5219+246850.8641</f>
        <v>993413.34219994221</v>
      </c>
      <c r="BE510" s="12">
        <f t="shared" si="161"/>
        <v>476566271.6844449</v>
      </c>
      <c r="BF510" s="13">
        <v>234.484938</v>
      </c>
      <c r="BG510" s="13">
        <f t="shared" si="162"/>
        <v>242.08133368444493</v>
      </c>
      <c r="BH510" s="14">
        <f>BE510*41.09</f>
        <v>19582108103.513844</v>
      </c>
    </row>
    <row r="511" spans="1:60" x14ac:dyDescent="0.25">
      <c r="A511" s="3">
        <v>46133</v>
      </c>
      <c r="B511" s="4">
        <v>4958760245</v>
      </c>
      <c r="C511" s="4">
        <v>2531640938.25</v>
      </c>
      <c r="D511" s="4">
        <v>145899534</v>
      </c>
      <c r="E511" s="4"/>
      <c r="F511" s="17">
        <v>1719295380.152313</v>
      </c>
      <c r="G511" s="17">
        <v>15471073.032982919</v>
      </c>
      <c r="H511" s="17">
        <v>16495788.52622954</v>
      </c>
      <c r="I511" s="17">
        <v>555644588.3784616</v>
      </c>
      <c r="J511" s="17">
        <v>905704.82125280146</v>
      </c>
      <c r="K511" s="17">
        <v>223828403.3387602</v>
      </c>
      <c r="L511" s="14">
        <f t="shared" si="155"/>
        <v>2531640938.25</v>
      </c>
      <c r="M511" s="21">
        <v>1.0028472960836781</v>
      </c>
      <c r="N511" s="4">
        <v>1671259</v>
      </c>
      <c r="O511" s="4">
        <v>279939.71999999997</v>
      </c>
      <c r="P511" s="4">
        <v>81217.119999999995</v>
      </c>
      <c r="Q511" s="4"/>
      <c r="R511" s="14">
        <f t="shared" si="163"/>
        <v>2032415.8399999999</v>
      </c>
      <c r="S511" s="6">
        <v>0.01</v>
      </c>
      <c r="T511" s="14">
        <f t="shared" si="164"/>
        <v>16712.59</v>
      </c>
      <c r="U511" s="14">
        <f t="shared" si="165"/>
        <v>1420.6110999999999</v>
      </c>
      <c r="V511" s="14">
        <f t="shared" si="166"/>
        <v>631.59969999999998</v>
      </c>
      <c r="W511" s="14" t="str">
        <f t="shared" si="167"/>
        <v/>
      </c>
      <c r="X511" s="4">
        <v>18057.150000000001</v>
      </c>
      <c r="Y511" s="4">
        <v>137878.60999999999</v>
      </c>
      <c r="Z511" s="4"/>
      <c r="AA511" s="14">
        <f t="shared" si="168"/>
        <v>174700.56079999998</v>
      </c>
      <c r="AB511" s="4">
        <v>141274.8382</v>
      </c>
      <c r="AC511" s="4">
        <v>1671259</v>
      </c>
      <c r="AD511" s="14">
        <f t="shared" si="169"/>
        <v>142061.10999999999</v>
      </c>
      <c r="AE511" s="14">
        <f t="shared" si="170"/>
        <v>63159.969999999994</v>
      </c>
      <c r="AF511" s="14" t="str">
        <f t="shared" si="171"/>
        <v/>
      </c>
      <c r="AG511" s="15">
        <f t="shared" si="172"/>
        <v>1876480.0799999998</v>
      </c>
      <c r="AH511" s="4">
        <v>1613418.45</v>
      </c>
      <c r="AI511" s="17">
        <f t="shared" si="173"/>
        <v>263061.62999999989</v>
      </c>
      <c r="AJ511" s="7">
        <f t="shared" si="156"/>
        <v>3.3703162028959919</v>
      </c>
      <c r="AK511" s="7">
        <f t="shared" si="157"/>
        <v>1.1057639168748339</v>
      </c>
      <c r="AL511" s="7">
        <f t="shared" si="158"/>
        <v>5.5666469777758163</v>
      </c>
      <c r="AM511" s="7" t="str">
        <f t="shared" si="159"/>
        <v/>
      </c>
      <c r="AN511" s="4">
        <v>10976.8931625734</v>
      </c>
      <c r="AO511" s="4">
        <v>20401.849999999999</v>
      </c>
      <c r="AP511" s="14">
        <f t="shared" si="174"/>
        <v>1644797.1931625735</v>
      </c>
      <c r="AQ511" s="14">
        <f t="shared" si="175"/>
        <v>1613418.45</v>
      </c>
      <c r="AR511" s="8">
        <v>40177.93</v>
      </c>
      <c r="AS511" s="20">
        <v>40.156834000000003</v>
      </c>
      <c r="AT511" s="8">
        <v>43520699.472555123</v>
      </c>
      <c r="AU511" s="8">
        <v>26412.1852</v>
      </c>
      <c r="AV511" s="8">
        <v>847.56740000000002</v>
      </c>
      <c r="AW511" s="8"/>
      <c r="AX511" s="9">
        <v>434.54995831400947</v>
      </c>
      <c r="AY511" s="6">
        <f t="shared" si="160"/>
        <v>2.2184900524219429E-2</v>
      </c>
      <c r="AZ511" s="8">
        <v>415482718.11559999</v>
      </c>
      <c r="BA511" s="10">
        <v>60480066</v>
      </c>
      <c r="BB511" s="11">
        <v>43520699.472555123</v>
      </c>
      <c r="BC511" s="10">
        <v>2971324</v>
      </c>
      <c r="BD511" s="10">
        <f>1000000000-999252589.9545+247121.5777</f>
        <v>994531.62320004008</v>
      </c>
      <c r="BE511" s="12">
        <f t="shared" si="161"/>
        <v>476550660.78864485</v>
      </c>
      <c r="BF511" s="13">
        <v>234.484938</v>
      </c>
      <c r="BG511" s="13">
        <f t="shared" si="162"/>
        <v>242.06572278864485</v>
      </c>
      <c r="BH511" s="14">
        <f>BE511*40.55</f>
        <v>19324129294.979546</v>
      </c>
    </row>
    <row r="512" spans="1:60" x14ac:dyDescent="0.25">
      <c r="A512" s="3">
        <v>46134</v>
      </c>
      <c r="B512" s="4">
        <v>4868076687</v>
      </c>
      <c r="C512" s="4">
        <v>1825317377.0599999</v>
      </c>
      <c r="D512" s="4">
        <v>133853957</v>
      </c>
      <c r="E512" s="4"/>
      <c r="F512" s="17">
        <v>1160297528.8892369</v>
      </c>
      <c r="G512" s="17">
        <v>23736661.834405251</v>
      </c>
      <c r="H512" s="17">
        <v>8404256.8464746363</v>
      </c>
      <c r="I512" s="17">
        <v>436702607.83001399</v>
      </c>
      <c r="J512" s="17">
        <v>1840387.2507444881</v>
      </c>
      <c r="K512" s="17">
        <v>194335934.40912479</v>
      </c>
      <c r="L512" s="14">
        <f t="shared" si="155"/>
        <v>1825317377.0600002</v>
      </c>
      <c r="M512" s="21">
        <v>1.0007100336370831</v>
      </c>
      <c r="N512" s="4">
        <v>1664747.32</v>
      </c>
      <c r="O512" s="4">
        <v>200764.91</v>
      </c>
      <c r="P512" s="4">
        <v>74917.81</v>
      </c>
      <c r="Q512" s="4"/>
      <c r="R512" s="14">
        <f t="shared" si="163"/>
        <v>1940430.04</v>
      </c>
      <c r="S512" s="6">
        <v>0.01</v>
      </c>
      <c r="T512" s="14">
        <f t="shared" si="164"/>
        <v>16647.4732</v>
      </c>
      <c r="U512" s="14">
        <f t="shared" si="165"/>
        <v>1040.5683000000001</v>
      </c>
      <c r="V512" s="14">
        <f t="shared" si="166"/>
        <v>554.61159999999995</v>
      </c>
      <c r="W512" s="14" t="str">
        <f t="shared" si="167"/>
        <v/>
      </c>
      <c r="X512" s="4">
        <v>19456.650000000001</v>
      </c>
      <c r="Y512" s="4">
        <v>96708.08</v>
      </c>
      <c r="Z512" s="4"/>
      <c r="AA512" s="14">
        <f t="shared" si="168"/>
        <v>134407.38310000001</v>
      </c>
      <c r="AB512" s="4">
        <v>115457.71649999999</v>
      </c>
      <c r="AC512" s="4">
        <v>1664747.32</v>
      </c>
      <c r="AD512" s="14">
        <f t="shared" si="169"/>
        <v>104056.83</v>
      </c>
      <c r="AE512" s="14">
        <f t="shared" si="170"/>
        <v>55461.159999999996</v>
      </c>
      <c r="AF512" s="14" t="str">
        <f t="shared" si="171"/>
        <v/>
      </c>
      <c r="AG512" s="15">
        <f t="shared" si="172"/>
        <v>1824265.31</v>
      </c>
      <c r="AH512" s="4">
        <v>1599024.3</v>
      </c>
      <c r="AI512" s="17">
        <f t="shared" si="173"/>
        <v>225241.01</v>
      </c>
      <c r="AJ512" s="7">
        <f t="shared" si="156"/>
        <v>3.4197228742218457</v>
      </c>
      <c r="AK512" s="7">
        <f t="shared" si="157"/>
        <v>1.0998904219241465</v>
      </c>
      <c r="AL512" s="7">
        <f t="shared" si="158"/>
        <v>5.5969813428825272</v>
      </c>
      <c r="AM512" s="7" t="str">
        <f t="shared" si="159"/>
        <v/>
      </c>
      <c r="AN512" s="4">
        <v>8501.7088753516982</v>
      </c>
      <c r="AO512" s="4">
        <v>0</v>
      </c>
      <c r="AP512" s="14">
        <f t="shared" si="174"/>
        <v>1607526.0088753516</v>
      </c>
      <c r="AQ512" s="14">
        <f t="shared" si="175"/>
        <v>1599024.3</v>
      </c>
      <c r="AR512" s="8">
        <v>39255.839999999997</v>
      </c>
      <c r="AS512" s="20">
        <v>40.733412000000001</v>
      </c>
      <c r="AT512" s="8">
        <v>43560852.332555123</v>
      </c>
      <c r="AU512" s="8">
        <v>26430.8213</v>
      </c>
      <c r="AV512" s="8">
        <v>985.48990000000003</v>
      </c>
      <c r="AW512" s="8"/>
      <c r="AX512" s="9">
        <v>434.58440761348072</v>
      </c>
      <c r="AY512" s="6">
        <f t="shared" si="160"/>
        <v>2.2198794078871466E-2</v>
      </c>
      <c r="AZ512" s="8">
        <v>415456287.29430002</v>
      </c>
      <c r="BA512" s="10">
        <v>60480066</v>
      </c>
      <c r="BB512" s="11">
        <v>43560852.332555123</v>
      </c>
      <c r="BC512" s="10">
        <v>2971324</v>
      </c>
      <c r="BD512" s="10">
        <f>1000000000-999251604.4646+247335.0811</f>
        <v>995730.61650003307</v>
      </c>
      <c r="BE512" s="12">
        <f t="shared" si="161"/>
        <v>476535739.75664479</v>
      </c>
      <c r="BF512" s="13">
        <v>234.484938</v>
      </c>
      <c r="BG512" s="13">
        <f t="shared" si="162"/>
        <v>242.05080175664477</v>
      </c>
      <c r="BH512" s="14">
        <f>BE512*39.81</f>
        <v>18970887799.712029</v>
      </c>
    </row>
    <row r="513" spans="1:60" x14ac:dyDescent="0.25">
      <c r="A513" s="3">
        <v>46135</v>
      </c>
      <c r="B513" s="4">
        <v>4940418400</v>
      </c>
      <c r="C513" s="4">
        <v>2696762590</v>
      </c>
      <c r="D513" s="4">
        <v>106687405</v>
      </c>
      <c r="E513" s="4"/>
      <c r="F513" s="17">
        <v>1659153884.8281059</v>
      </c>
      <c r="G513" s="17">
        <v>36187118.321471289</v>
      </c>
      <c r="H513" s="17">
        <v>8656218.1612433288</v>
      </c>
      <c r="I513" s="17">
        <v>685054797.4802705</v>
      </c>
      <c r="J513" s="17">
        <v>846728.24930644152</v>
      </c>
      <c r="K513" s="17">
        <v>306863842.95960259</v>
      </c>
      <c r="L513" s="14">
        <f t="shared" ref="L513:L576" si="176">SUM(F513:K513)</f>
        <v>2696762590</v>
      </c>
      <c r="M513" s="21">
        <v>1.002860200569107</v>
      </c>
      <c r="N513" s="4">
        <v>1592569.64</v>
      </c>
      <c r="O513" s="4">
        <v>255370.36</v>
      </c>
      <c r="P513" s="4">
        <v>57858.34</v>
      </c>
      <c r="Q513" s="4"/>
      <c r="R513" s="14">
        <f t="shared" si="163"/>
        <v>1905798.34</v>
      </c>
      <c r="S513" s="6">
        <v>0.01</v>
      </c>
      <c r="T513" s="14">
        <f t="shared" si="164"/>
        <v>15925.696399999999</v>
      </c>
      <c r="U513" s="14">
        <f t="shared" si="165"/>
        <v>1340.4334999999999</v>
      </c>
      <c r="V513" s="14">
        <f t="shared" si="166"/>
        <v>423.45969999999994</v>
      </c>
      <c r="W513" s="14" t="str">
        <f t="shared" si="167"/>
        <v/>
      </c>
      <c r="X513" s="4">
        <v>15512.37</v>
      </c>
      <c r="Y513" s="4">
        <v>121327.01</v>
      </c>
      <c r="Z513" s="4"/>
      <c r="AA513" s="14">
        <f t="shared" si="168"/>
        <v>154528.96960000001</v>
      </c>
      <c r="AB513" s="4">
        <v>116795.21890000001</v>
      </c>
      <c r="AC513" s="4">
        <v>1592569.64</v>
      </c>
      <c r="AD513" s="14">
        <f t="shared" si="169"/>
        <v>134043.34999999998</v>
      </c>
      <c r="AE513" s="14">
        <f t="shared" si="170"/>
        <v>42345.969999999994</v>
      </c>
      <c r="AF513" s="14" t="str">
        <f t="shared" si="171"/>
        <v/>
      </c>
      <c r="AG513" s="15">
        <f t="shared" si="172"/>
        <v>1768958.9599999997</v>
      </c>
      <c r="AH513" s="4">
        <v>1550566.83</v>
      </c>
      <c r="AI513" s="17">
        <f t="shared" si="173"/>
        <v>218392.12999999966</v>
      </c>
      <c r="AJ513" s="7">
        <f t="shared" si="156"/>
        <v>3.2235521590640985</v>
      </c>
      <c r="AK513" s="7">
        <f t="shared" si="157"/>
        <v>0.94695158167408422</v>
      </c>
      <c r="AL513" s="7">
        <f t="shared" si="158"/>
        <v>5.4231649930936081</v>
      </c>
      <c r="AM513" s="7" t="str">
        <f t="shared" si="159"/>
        <v/>
      </c>
      <c r="AN513" s="4">
        <v>9838.2946130943401</v>
      </c>
      <c r="AO513" s="4">
        <v>0</v>
      </c>
      <c r="AP513" s="14">
        <f t="shared" si="174"/>
        <v>1560405.1246130944</v>
      </c>
      <c r="AQ513" s="14">
        <f t="shared" si="175"/>
        <v>1550566.83</v>
      </c>
      <c r="AR513" s="8">
        <v>37675.300000000003</v>
      </c>
      <c r="AS513" s="20">
        <v>41.156058000000002</v>
      </c>
      <c r="AT513" s="8">
        <v>43596546.742555119</v>
      </c>
      <c r="AU513" s="8">
        <v>26430.9951</v>
      </c>
      <c r="AV513" s="8">
        <v>990.93119999999999</v>
      </c>
      <c r="AW513" s="8"/>
      <c r="AX513" s="9">
        <v>434.61152987652662</v>
      </c>
      <c r="AY513" s="6">
        <f t="shared" si="160"/>
        <v>2.2197554708778221E-2</v>
      </c>
      <c r="AZ513" s="8">
        <v>415429856.2992</v>
      </c>
      <c r="BA513" s="10">
        <v>60480066</v>
      </c>
      <c r="BB513" s="11">
        <v>43596546.742555119</v>
      </c>
      <c r="BC513" s="10">
        <v>2971324</v>
      </c>
      <c r="BD513" s="10">
        <f>1000000000-999250613.5334+247573.753</f>
        <v>996960.21959994128</v>
      </c>
      <c r="BE513" s="12">
        <f t="shared" si="161"/>
        <v>476525246.73864484</v>
      </c>
      <c r="BF513" s="13">
        <v>234.484938</v>
      </c>
      <c r="BG513" s="13">
        <f t="shared" si="162"/>
        <v>242.04030873864485</v>
      </c>
      <c r="BH513" s="14">
        <f>BE513*41.26</f>
        <v>19661431680.436485</v>
      </c>
    </row>
    <row r="514" spans="1:60" x14ac:dyDescent="0.25">
      <c r="A514" s="3">
        <v>46136</v>
      </c>
      <c r="B514" s="4">
        <v>3303601453</v>
      </c>
      <c r="C514" s="4">
        <v>2242128211.8800001</v>
      </c>
      <c r="D514" s="4">
        <v>92234973</v>
      </c>
      <c r="E514" s="4"/>
      <c r="F514" s="17">
        <v>1335107671.1709819</v>
      </c>
      <c r="G514" s="17">
        <v>7897501.1892896099</v>
      </c>
      <c r="H514" s="17">
        <v>7127488.3611516468</v>
      </c>
      <c r="I514" s="17">
        <v>533807120.61617362</v>
      </c>
      <c r="J514" s="17">
        <v>352545.81613708113</v>
      </c>
      <c r="K514" s="17">
        <v>357835884.72626621</v>
      </c>
      <c r="L514" s="14">
        <f t="shared" si="176"/>
        <v>2242128211.8800001</v>
      </c>
      <c r="M514" s="21">
        <v>1.0034996712402451</v>
      </c>
      <c r="N514" s="4">
        <v>1072227.46</v>
      </c>
      <c r="O514" s="4">
        <v>210674.03</v>
      </c>
      <c r="P514" s="4">
        <v>49374.41</v>
      </c>
      <c r="Q514" s="4"/>
      <c r="R514" s="14">
        <f t="shared" si="163"/>
        <v>1332275.8999999999</v>
      </c>
      <c r="S514" s="6">
        <v>0.01</v>
      </c>
      <c r="T514" s="14">
        <f t="shared" si="164"/>
        <v>10722.274600000001</v>
      </c>
      <c r="U514" s="14">
        <f t="shared" si="165"/>
        <v>1066.8788</v>
      </c>
      <c r="V514" s="14">
        <f t="shared" si="166"/>
        <v>341.82450000000006</v>
      </c>
      <c r="W514" s="14" t="str">
        <f t="shared" si="167"/>
        <v/>
      </c>
      <c r="X514" s="4">
        <v>15191.96</v>
      </c>
      <c r="Y514" s="4">
        <v>103986.15</v>
      </c>
      <c r="Z514" s="4"/>
      <c r="AA514" s="14">
        <f t="shared" si="168"/>
        <v>131309.08789999998</v>
      </c>
      <c r="AB514" s="4">
        <v>109058.7349</v>
      </c>
      <c r="AC514" s="4">
        <v>1072227.46</v>
      </c>
      <c r="AD514" s="14">
        <f t="shared" si="169"/>
        <v>106687.88</v>
      </c>
      <c r="AE514" s="14">
        <f t="shared" si="170"/>
        <v>34182.450000000004</v>
      </c>
      <c r="AF514" s="14" t="str">
        <f t="shared" si="171"/>
        <v/>
      </c>
      <c r="AG514" s="15">
        <f t="shared" si="172"/>
        <v>1213097.7899999998</v>
      </c>
      <c r="AH514" s="4">
        <v>1038979.35</v>
      </c>
      <c r="AI514" s="17">
        <f t="shared" si="173"/>
        <v>174118.43999999983</v>
      </c>
      <c r="AJ514" s="7">
        <f t="shared" si="156"/>
        <v>3.2456320026930321</v>
      </c>
      <c r="AK514" s="7">
        <f t="shared" si="157"/>
        <v>0.93961633810116563</v>
      </c>
      <c r="AL514" s="7">
        <f t="shared" si="158"/>
        <v>5.353111557803568</v>
      </c>
      <c r="AM514" s="7" t="str">
        <f t="shared" si="159"/>
        <v/>
      </c>
      <c r="AN514" s="4">
        <v>3602.895434012748</v>
      </c>
      <c r="AO514" s="4">
        <v>0</v>
      </c>
      <c r="AP514" s="14">
        <f t="shared" si="174"/>
        <v>1042582.2454340127</v>
      </c>
      <c r="AQ514" s="14">
        <f t="shared" si="175"/>
        <v>1038979.35</v>
      </c>
      <c r="AR514" s="8">
        <v>25292.92</v>
      </c>
      <c r="AS514" s="20">
        <v>41.077872999999997</v>
      </c>
      <c r="AT514" s="8">
        <v>43621280.752555117</v>
      </c>
      <c r="AU514" s="8">
        <v>26417.9951</v>
      </c>
      <c r="AV514" s="8">
        <v>356.09359999999998</v>
      </c>
      <c r="AW514" s="8"/>
      <c r="AX514" s="9">
        <v>433.79136116144298</v>
      </c>
      <c r="AY514" s="6">
        <f t="shared" si="160"/>
        <v>2.2228585155967068E-2</v>
      </c>
      <c r="AZ514" s="8">
        <v>415403438.30409998</v>
      </c>
      <c r="BA514" s="10">
        <v>60480066</v>
      </c>
      <c r="BB514" s="11">
        <v>43621280.752555117</v>
      </c>
      <c r="BC514" s="10">
        <v>2971324</v>
      </c>
      <c r="BD514" s="10">
        <f>1000000000-999250257.4399+247661.0135</f>
        <v>997403.57359995937</v>
      </c>
      <c r="BE514" s="12">
        <f t="shared" si="161"/>
        <v>476526487.3697449</v>
      </c>
      <c r="BF514" s="13">
        <v>234.484938</v>
      </c>
      <c r="BG514" s="13">
        <f t="shared" si="162"/>
        <v>242.04154936974487</v>
      </c>
      <c r="BH514" s="14">
        <f>BE514*41.3</f>
        <v>19680543928.370464</v>
      </c>
    </row>
    <row r="515" spans="1:60" x14ac:dyDescent="0.25">
      <c r="A515" s="3">
        <v>46137</v>
      </c>
      <c r="B515" s="4">
        <v>1381000860</v>
      </c>
      <c r="C515" s="4">
        <v>317441518.23000002</v>
      </c>
      <c r="D515" s="4">
        <v>45717666</v>
      </c>
      <c r="E515" s="4"/>
      <c r="F515" s="17">
        <v>189532541.66134349</v>
      </c>
      <c r="G515" s="17">
        <v>5464222.2052042009</v>
      </c>
      <c r="H515" s="17">
        <v>688453.87941298925</v>
      </c>
      <c r="I515" s="17">
        <v>77941979.875774384</v>
      </c>
      <c r="J515" s="17">
        <v>109101.6357740159</v>
      </c>
      <c r="K515" s="17">
        <v>43705218.972490899</v>
      </c>
      <c r="L515" s="14">
        <f t="shared" si="176"/>
        <v>317441518.22999996</v>
      </c>
      <c r="M515" s="21">
        <v>0.9925313984853289</v>
      </c>
      <c r="N515" s="4">
        <v>464692.31</v>
      </c>
      <c r="O515" s="4">
        <v>54972.74</v>
      </c>
      <c r="P515" s="4">
        <v>30323.48</v>
      </c>
      <c r="Q515" s="4"/>
      <c r="R515" s="14">
        <f t="shared" si="163"/>
        <v>549988.53</v>
      </c>
      <c r="S515" s="6">
        <v>0.01</v>
      </c>
      <c r="T515" s="14">
        <f t="shared" si="164"/>
        <v>4646.9231</v>
      </c>
      <c r="U515" s="14">
        <f t="shared" si="165"/>
        <v>285.42869999999999</v>
      </c>
      <c r="V515" s="14">
        <f t="shared" si="166"/>
        <v>237.5761</v>
      </c>
      <c r="W515" s="14" t="str">
        <f t="shared" si="167"/>
        <v/>
      </c>
      <c r="X515" s="4">
        <v>6565.87</v>
      </c>
      <c r="Y515" s="4">
        <v>26429.87</v>
      </c>
      <c r="Z515" s="4"/>
      <c r="AA515" s="14">
        <f t="shared" si="168"/>
        <v>38165.6679</v>
      </c>
      <c r="AB515" s="4">
        <v>50080.9067</v>
      </c>
      <c r="AC515" s="4">
        <v>464692.31</v>
      </c>
      <c r="AD515" s="14">
        <f t="shared" si="169"/>
        <v>28542.87</v>
      </c>
      <c r="AE515" s="14">
        <f t="shared" si="170"/>
        <v>23757.61</v>
      </c>
      <c r="AF515" s="14" t="str">
        <f t="shared" si="171"/>
        <v/>
      </c>
      <c r="AG515" s="15">
        <f t="shared" si="172"/>
        <v>516992.79</v>
      </c>
      <c r="AH515" s="4">
        <v>420523.08</v>
      </c>
      <c r="AI515" s="17">
        <f t="shared" si="173"/>
        <v>96469.709999999963</v>
      </c>
      <c r="AJ515" s="7">
        <f t="shared" si="156"/>
        <v>3.3648951529255382</v>
      </c>
      <c r="AK515" s="7">
        <f t="shared" si="157"/>
        <v>1.7317438596727568</v>
      </c>
      <c r="AL515" s="7">
        <f t="shared" si="158"/>
        <v>6.6327707980543016</v>
      </c>
      <c r="AM515" s="7" t="str">
        <f t="shared" si="159"/>
        <v/>
      </c>
      <c r="AN515" s="4">
        <v>2575.3539045574639</v>
      </c>
      <c r="AO515" s="4">
        <v>0</v>
      </c>
      <c r="AP515" s="14">
        <f t="shared" si="174"/>
        <v>423098.43390455749</v>
      </c>
      <c r="AQ515" s="14">
        <f t="shared" si="175"/>
        <v>420523.08</v>
      </c>
      <c r="AR515" s="8">
        <v>10174.42</v>
      </c>
      <c r="AS515" s="20">
        <v>41.331406000000001</v>
      </c>
      <c r="AT515" s="8">
        <v>43631915.152555123</v>
      </c>
      <c r="AU515" s="8">
        <v>26409.557700000001</v>
      </c>
      <c r="AV515" s="8">
        <v>924.30550000000005</v>
      </c>
      <c r="AW515" s="8"/>
      <c r="AX515" s="9">
        <v>433.713026769995</v>
      </c>
      <c r="AY515" s="6">
        <f t="shared" si="160"/>
        <v>2.2225499271461762E-2</v>
      </c>
      <c r="AZ515" s="8">
        <v>415377028.74650002</v>
      </c>
      <c r="BA515" s="10">
        <v>60480066</v>
      </c>
      <c r="BB515" s="11">
        <v>43631915.152555123</v>
      </c>
      <c r="BC515" s="10">
        <v>2971324</v>
      </c>
      <c r="BD515" s="10">
        <f>1000000000-999249333.1344+247723.7826</f>
        <v>998390.64819998993</v>
      </c>
      <c r="BE515" s="12">
        <f t="shared" si="161"/>
        <v>476541275.4527449</v>
      </c>
      <c r="BF515" s="13">
        <v>234.484938</v>
      </c>
      <c r="BG515" s="13">
        <f t="shared" si="162"/>
        <v>242.05633745274491</v>
      </c>
      <c r="BH515" s="14">
        <f>BE515*41.03</f>
        <v>19552488531.826122</v>
      </c>
    </row>
    <row r="516" spans="1:60" x14ac:dyDescent="0.25">
      <c r="A516" s="3">
        <v>46138</v>
      </c>
      <c r="B516" s="4">
        <v>2116032090</v>
      </c>
      <c r="C516" s="4">
        <v>600822745.79999995</v>
      </c>
      <c r="D516" s="4">
        <v>77354686</v>
      </c>
      <c r="E516" s="4"/>
      <c r="F516" s="17">
        <v>288688745.7253381</v>
      </c>
      <c r="G516" s="17">
        <v>51894842.207044303</v>
      </c>
      <c r="H516" s="17">
        <v>2709460.0173980701</v>
      </c>
      <c r="I516" s="17">
        <v>158722998.93937221</v>
      </c>
      <c r="J516" s="17">
        <v>520333.83964253077</v>
      </c>
      <c r="K516" s="17">
        <v>98286365.071204826</v>
      </c>
      <c r="L516" s="14">
        <f t="shared" si="176"/>
        <v>600822745.79999995</v>
      </c>
      <c r="M516" s="21">
        <v>1.01329089770189</v>
      </c>
      <c r="N516" s="4">
        <v>702734.07</v>
      </c>
      <c r="O516" s="4">
        <v>127217.94</v>
      </c>
      <c r="P516" s="4">
        <v>44899.7</v>
      </c>
      <c r="Q516" s="4"/>
      <c r="R516" s="14">
        <f t="shared" si="163"/>
        <v>874851.71</v>
      </c>
      <c r="S516" s="6">
        <v>0.01</v>
      </c>
      <c r="T516" s="14">
        <f t="shared" si="164"/>
        <v>7027.3406999999997</v>
      </c>
      <c r="U516" s="14">
        <f t="shared" si="165"/>
        <v>651.09889999999996</v>
      </c>
      <c r="V516" s="14">
        <f t="shared" si="166"/>
        <v>335.64579999999995</v>
      </c>
      <c r="W516" s="14" t="str">
        <f t="shared" si="167"/>
        <v/>
      </c>
      <c r="X516" s="4">
        <v>11335.12</v>
      </c>
      <c r="Y516" s="4">
        <v>62108.05</v>
      </c>
      <c r="Z516" s="4"/>
      <c r="AA516" s="14">
        <f t="shared" si="168"/>
        <v>81457.255399999995</v>
      </c>
      <c r="AB516" s="4">
        <v>58405.817100000007</v>
      </c>
      <c r="AC516" s="4">
        <v>702734.07</v>
      </c>
      <c r="AD516" s="14">
        <f t="shared" si="169"/>
        <v>65109.89</v>
      </c>
      <c r="AE516" s="14">
        <f t="shared" si="170"/>
        <v>33564.579999999994</v>
      </c>
      <c r="AF516" s="14" t="str">
        <f t="shared" si="171"/>
        <v/>
      </c>
      <c r="AG516" s="15">
        <f t="shared" si="172"/>
        <v>801408.53999999992</v>
      </c>
      <c r="AH516" s="4">
        <v>674414.1</v>
      </c>
      <c r="AI516" s="17">
        <f t="shared" si="173"/>
        <v>126994.43999999994</v>
      </c>
      <c r="AJ516" s="7">
        <f t="shared" ref="AJ516:AJ579" si="177">IF(OR(B516="",B516=0,N516=""),"",N516/B516*10000)</f>
        <v>3.3209991158498924</v>
      </c>
      <c r="AK516" s="7">
        <f t="shared" ref="AK516:AK579" si="178">IF(OR(C516="",C516=0),"",O516/C516*10000)</f>
        <v>2.1173955361927645</v>
      </c>
      <c r="AL516" s="7">
        <f t="shared" ref="AL516:AL579" si="179">IF(OR(D516="",D516=0),"",P516/D516*10000)</f>
        <v>5.8043930266874844</v>
      </c>
      <c r="AM516" s="7" t="str">
        <f t="shared" ref="AM516:AM579" si="180">IF(OR(E516="",E516=0),"",Q516/E516*10000)</f>
        <v/>
      </c>
      <c r="AN516" s="4">
        <v>3342.005660513506</v>
      </c>
      <c r="AO516" s="4">
        <v>0</v>
      </c>
      <c r="AP516" s="14">
        <f t="shared" si="174"/>
        <v>677756.10566051351</v>
      </c>
      <c r="AQ516" s="14">
        <f t="shared" si="175"/>
        <v>674414.1</v>
      </c>
      <c r="AR516" s="8">
        <v>16236.7</v>
      </c>
      <c r="AS516" s="20">
        <v>41.536402000000002</v>
      </c>
      <c r="AT516" s="8">
        <v>43648827.962555118</v>
      </c>
      <c r="AU516" s="8">
        <v>26388.9231</v>
      </c>
      <c r="AV516" s="8">
        <v>207.8372</v>
      </c>
      <c r="AW516" s="8"/>
      <c r="AX516" s="9">
        <v>433.69085773231018</v>
      </c>
      <c r="AY516" s="6">
        <f t="shared" ref="AY516:AY579" si="181">IF(OR(AX516="",AX516=0,AU516=""),"",AU516*365/(AX516*1000000))</f>
        <v>2.2209269021403251E-2</v>
      </c>
      <c r="AZ516" s="8">
        <v>415350639.82340002</v>
      </c>
      <c r="BA516" s="10">
        <v>60480066</v>
      </c>
      <c r="BB516" s="11">
        <v>43648827.962555118</v>
      </c>
      <c r="BC516" s="10">
        <v>2971324</v>
      </c>
      <c r="BD516" s="10">
        <f>1000000000-999249125.2972+247804.5932</f>
        <v>998679.29600003548</v>
      </c>
      <c r="BE516" s="12">
        <f t="shared" ref="BE516:BE579" si="182">1000000000-AZ516-BA516-BB516-BC516-BD516</f>
        <v>476550462.91804481</v>
      </c>
      <c r="BF516" s="13">
        <v>234.484938</v>
      </c>
      <c r="BG516" s="13">
        <f t="shared" ref="BG516:BG579" si="183">BE516/1000000-BF516</f>
        <v>242.06552491804479</v>
      </c>
      <c r="BH516" s="14">
        <f>BE516*41.36</f>
        <v>19710127146.290333</v>
      </c>
    </row>
    <row r="517" spans="1:60" x14ac:dyDescent="0.25">
      <c r="A517" s="3">
        <v>46139</v>
      </c>
      <c r="B517" s="4">
        <v>4019555900</v>
      </c>
      <c r="C517" s="4">
        <v>1713834595.23</v>
      </c>
      <c r="D517" s="4">
        <v>127110960</v>
      </c>
      <c r="E517" s="4"/>
      <c r="F517" s="17">
        <v>818660835.24369025</v>
      </c>
      <c r="G517" s="17">
        <v>13644585.580840711</v>
      </c>
      <c r="H517" s="17">
        <v>6733772.1902447147</v>
      </c>
      <c r="I517" s="17">
        <v>452335653.80464977</v>
      </c>
      <c r="J517" s="17">
        <v>336483.46627943858</v>
      </c>
      <c r="K517" s="17">
        <v>422123264.94429523</v>
      </c>
      <c r="L517" s="14">
        <f t="shared" si="176"/>
        <v>1713834595.23</v>
      </c>
      <c r="M517" s="21">
        <v>1.0068602021356019</v>
      </c>
      <c r="N517" s="4">
        <v>1380943.08</v>
      </c>
      <c r="O517" s="4">
        <v>172172.51</v>
      </c>
      <c r="P517" s="4">
        <v>71088.72</v>
      </c>
      <c r="Q517" s="4"/>
      <c r="R517" s="14">
        <f t="shared" si="163"/>
        <v>1624204.31</v>
      </c>
      <c r="S517" s="6">
        <v>0.01</v>
      </c>
      <c r="T517" s="14">
        <f t="shared" si="164"/>
        <v>13809.430800000002</v>
      </c>
      <c r="U517" s="14">
        <f t="shared" si="165"/>
        <v>882.91780000000017</v>
      </c>
      <c r="V517" s="14">
        <f t="shared" si="166"/>
        <v>537.44970000000001</v>
      </c>
      <c r="W517" s="14" t="str">
        <f t="shared" si="167"/>
        <v/>
      </c>
      <c r="X517" s="4">
        <v>17343.75</v>
      </c>
      <c r="Y517" s="4">
        <v>83880.73</v>
      </c>
      <c r="Z517" s="4"/>
      <c r="AA517" s="14">
        <f t="shared" si="168"/>
        <v>116454.27830000001</v>
      </c>
      <c r="AB517" s="4">
        <v>110127.6387</v>
      </c>
      <c r="AC517" s="4">
        <v>1380943.08</v>
      </c>
      <c r="AD517" s="14">
        <f t="shared" si="169"/>
        <v>88291.780000000013</v>
      </c>
      <c r="AE517" s="14">
        <f t="shared" si="170"/>
        <v>53744.97</v>
      </c>
      <c r="AF517" s="14" t="str">
        <f t="shared" si="171"/>
        <v/>
      </c>
      <c r="AG517" s="15">
        <f t="shared" si="172"/>
        <v>1522979.83</v>
      </c>
      <c r="AH517" s="4">
        <v>1313096.1499999999</v>
      </c>
      <c r="AI517" s="17">
        <f t="shared" si="173"/>
        <v>209883.68000000017</v>
      </c>
      <c r="AJ517" s="7">
        <f t="shared" si="177"/>
        <v>3.435561326563465</v>
      </c>
      <c r="AK517" s="7">
        <f t="shared" si="178"/>
        <v>1.0046040060061578</v>
      </c>
      <c r="AL517" s="7">
        <f t="shared" si="179"/>
        <v>5.5926507045497882</v>
      </c>
      <c r="AM517" s="7" t="str">
        <f t="shared" si="180"/>
        <v/>
      </c>
      <c r="AN517" s="4">
        <v>7543.868745531192</v>
      </c>
      <c r="AO517" s="4">
        <v>0</v>
      </c>
      <c r="AP517" s="14">
        <f t="shared" si="174"/>
        <v>1320640.0187455311</v>
      </c>
      <c r="AQ517" s="14">
        <f t="shared" si="175"/>
        <v>1313096.1499999999</v>
      </c>
      <c r="AR517" s="8">
        <v>31064.46</v>
      </c>
      <c r="AS517" s="20">
        <v>42.270046000000001</v>
      </c>
      <c r="AT517" s="8">
        <v>43678511.342555121</v>
      </c>
      <c r="AU517" s="8">
        <v>26407.345000000001</v>
      </c>
      <c r="AV517" s="8">
        <v>283.51819999999998</v>
      </c>
      <c r="AW517" s="8"/>
      <c r="AX517" s="9">
        <v>433.71977902491989</v>
      </c>
      <c r="AY517" s="6">
        <f t="shared" si="181"/>
        <v>2.2223291145885692E-2</v>
      </c>
      <c r="AZ517" s="8">
        <v>415324232.47839999</v>
      </c>
      <c r="BA517" s="10">
        <v>60480066</v>
      </c>
      <c r="BB517" s="11">
        <v>43678511.342555121</v>
      </c>
      <c r="BC517" s="10">
        <v>2971324</v>
      </c>
      <c r="BD517" s="10">
        <f>1000000000-999248841.779+247982.188</f>
        <v>999140.4089999561</v>
      </c>
      <c r="BE517" s="12">
        <f t="shared" si="182"/>
        <v>476546725.77004492</v>
      </c>
      <c r="BF517" s="13">
        <v>234.484938</v>
      </c>
      <c r="BG517" s="13">
        <f t="shared" si="183"/>
        <v>242.06178777004493</v>
      </c>
      <c r="BH517" s="14">
        <f>BE517*42.49</f>
        <v>20248470377.969212</v>
      </c>
    </row>
    <row r="518" spans="1:60" x14ac:dyDescent="0.25">
      <c r="A518" s="3">
        <v>46140</v>
      </c>
      <c r="B518" s="4">
        <v>3400449849</v>
      </c>
      <c r="C518" s="4">
        <v>2422641328.9499998</v>
      </c>
      <c r="D518" s="4">
        <v>94847219</v>
      </c>
      <c r="E518" s="4"/>
      <c r="F518" s="17">
        <v>1559344286.5893979</v>
      </c>
      <c r="G518" s="17">
        <v>5950688.9376678541</v>
      </c>
      <c r="H518" s="17">
        <v>11074674.211989351</v>
      </c>
      <c r="I518" s="17">
        <v>457902164.55263257</v>
      </c>
      <c r="J518" s="17">
        <v>617798.63552220899</v>
      </c>
      <c r="K518" s="17">
        <v>387751716.02279019</v>
      </c>
      <c r="L518" s="14">
        <f t="shared" si="176"/>
        <v>2422641328.9499998</v>
      </c>
      <c r="M518" s="21">
        <v>1.001968293247318</v>
      </c>
      <c r="N518" s="4">
        <v>1127533.5</v>
      </c>
      <c r="O518" s="4">
        <v>246217.86</v>
      </c>
      <c r="P518" s="4">
        <v>53829.22</v>
      </c>
      <c r="Q518" s="4"/>
      <c r="R518" s="14">
        <f t="shared" si="163"/>
        <v>1427580.5799999998</v>
      </c>
      <c r="S518" s="6">
        <v>0.01</v>
      </c>
      <c r="T518" s="14">
        <f t="shared" si="164"/>
        <v>11275.335000000001</v>
      </c>
      <c r="U518" s="14">
        <f t="shared" si="165"/>
        <v>1240.8304999999998</v>
      </c>
      <c r="V518" s="14">
        <f t="shared" si="166"/>
        <v>436.25720000000001</v>
      </c>
      <c r="W518" s="14" t="str">
        <f t="shared" si="167"/>
        <v/>
      </c>
      <c r="X518" s="4">
        <v>10203.5</v>
      </c>
      <c r="Y518" s="4">
        <v>122134.81</v>
      </c>
      <c r="Z518" s="4"/>
      <c r="AA518" s="14">
        <f t="shared" si="168"/>
        <v>145290.73269999999</v>
      </c>
      <c r="AB518" s="4">
        <v>97976.881900000008</v>
      </c>
      <c r="AC518" s="4">
        <v>1127533.5</v>
      </c>
      <c r="AD518" s="14">
        <f t="shared" si="169"/>
        <v>124083.04999999999</v>
      </c>
      <c r="AE518" s="14">
        <f t="shared" si="170"/>
        <v>43625.72</v>
      </c>
      <c r="AF518" s="14" t="str">
        <f t="shared" si="171"/>
        <v/>
      </c>
      <c r="AG518" s="15">
        <f t="shared" si="172"/>
        <v>1295242.27</v>
      </c>
      <c r="AH518" s="4">
        <v>1154158.92</v>
      </c>
      <c r="AI518" s="17">
        <f t="shared" si="173"/>
        <v>141083.35000000009</v>
      </c>
      <c r="AJ518" s="7">
        <f t="shared" si="177"/>
        <v>3.3158362865771527</v>
      </c>
      <c r="AK518" s="7">
        <f t="shared" si="178"/>
        <v>1.0163199028174492</v>
      </c>
      <c r="AL518" s="7">
        <f t="shared" si="179"/>
        <v>5.6753609191219407</v>
      </c>
      <c r="AM518" s="7" t="str">
        <f t="shared" si="180"/>
        <v/>
      </c>
      <c r="AN518" s="4">
        <v>6028.5786622414462</v>
      </c>
      <c r="AO518" s="4">
        <v>0</v>
      </c>
      <c r="AP518" s="14">
        <f t="shared" si="174"/>
        <v>1160187.4986622413</v>
      </c>
      <c r="AQ518" s="14">
        <f t="shared" si="175"/>
        <v>1154158.92</v>
      </c>
      <c r="AR518" s="8">
        <v>28585.59</v>
      </c>
      <c r="AS518" s="20">
        <v>40.375549999999997</v>
      </c>
      <c r="AT518" s="8">
        <v>43707525.312555119</v>
      </c>
      <c r="AU518" s="8">
        <v>26404.9879</v>
      </c>
      <c r="AV518" s="8">
        <v>938.88350000000003</v>
      </c>
      <c r="AW518" s="8"/>
      <c r="AX518" s="9">
        <v>433.40805907747449</v>
      </c>
      <c r="AY518" s="6">
        <f t="shared" si="181"/>
        <v>2.2237289735715728E-2</v>
      </c>
      <c r="AZ518" s="8">
        <v>415297827.49049997</v>
      </c>
      <c r="BA518" s="10">
        <v>60480066</v>
      </c>
      <c r="BB518" s="11">
        <v>43707525.312555119</v>
      </c>
      <c r="BC518" s="10">
        <v>2971324</v>
      </c>
      <c r="BD518" s="10">
        <f>1000000000-999247902.8955+248126.8553</f>
        <v>1000223.9598000553</v>
      </c>
      <c r="BE518" s="12">
        <f t="shared" si="182"/>
        <v>476543033.23714483</v>
      </c>
      <c r="BF518" s="13">
        <v>234.484938</v>
      </c>
      <c r="BG518" s="13">
        <f t="shared" si="183"/>
        <v>242.05809523714481</v>
      </c>
      <c r="BH518" s="14">
        <f>BE518*41.68</f>
        <v>19862313625.324196</v>
      </c>
    </row>
    <row r="519" spans="1:60" x14ac:dyDescent="0.25">
      <c r="A519" s="3">
        <v>46141</v>
      </c>
      <c r="B519" s="4">
        <v>4867206843</v>
      </c>
      <c r="C519" s="4">
        <v>2936770905.1500001</v>
      </c>
      <c r="D519" s="4">
        <v>120108432</v>
      </c>
      <c r="E519" s="4"/>
      <c r="F519" s="17">
        <v>1593629894.3631511</v>
      </c>
      <c r="G519" s="17">
        <v>8518234.5014272127</v>
      </c>
      <c r="H519" s="17">
        <v>10881388.277099499</v>
      </c>
      <c r="I519" s="17">
        <v>739797005.44687152</v>
      </c>
      <c r="J519" s="17">
        <v>1300570.350345867</v>
      </c>
      <c r="K519" s="17">
        <v>582643812.21110451</v>
      </c>
      <c r="L519" s="14">
        <f t="shared" si="176"/>
        <v>2936770905.1500001</v>
      </c>
      <c r="M519" s="21">
        <v>1.000773205314301</v>
      </c>
      <c r="N519" s="4">
        <v>1615661.28</v>
      </c>
      <c r="O519" s="4">
        <v>297327.03999999998</v>
      </c>
      <c r="P519" s="4">
        <v>59520.49</v>
      </c>
      <c r="Q519" s="4"/>
      <c r="R519" s="14">
        <f t="shared" si="163"/>
        <v>1972508.81</v>
      </c>
      <c r="S519" s="6">
        <v>0.01</v>
      </c>
      <c r="T519" s="14">
        <f t="shared" si="164"/>
        <v>16156.612800000001</v>
      </c>
      <c r="U519" s="14">
        <f t="shared" si="165"/>
        <v>1499.6014999999998</v>
      </c>
      <c r="V519" s="14">
        <f t="shared" si="166"/>
        <v>429.17199999999997</v>
      </c>
      <c r="W519" s="14" t="str">
        <f t="shared" si="167"/>
        <v/>
      </c>
      <c r="X519" s="4">
        <v>16603.29</v>
      </c>
      <c r="Y519" s="4">
        <v>147366.89000000001</v>
      </c>
      <c r="Z519" s="4"/>
      <c r="AA519" s="14">
        <f t="shared" si="168"/>
        <v>182055.56630000001</v>
      </c>
      <c r="AB519" s="4">
        <v>138114.82430000001</v>
      </c>
      <c r="AC519" s="4">
        <v>1615661.28</v>
      </c>
      <c r="AD519" s="14">
        <f t="shared" si="169"/>
        <v>149960.14999999997</v>
      </c>
      <c r="AE519" s="14">
        <f t="shared" si="170"/>
        <v>42917.2</v>
      </c>
      <c r="AF519" s="14" t="str">
        <f t="shared" si="171"/>
        <v/>
      </c>
      <c r="AG519" s="15">
        <f t="shared" si="172"/>
        <v>1808538.63</v>
      </c>
      <c r="AH519" s="4">
        <v>1585554.2</v>
      </c>
      <c r="AI519" s="17">
        <f t="shared" si="173"/>
        <v>222984.42999999993</v>
      </c>
      <c r="AJ519" s="7">
        <f t="shared" si="177"/>
        <v>3.3194834986798196</v>
      </c>
      <c r="AK519" s="7">
        <f t="shared" si="178"/>
        <v>1.0124284447200131</v>
      </c>
      <c r="AL519" s="7">
        <f t="shared" si="179"/>
        <v>4.9555629866186246</v>
      </c>
      <c r="AM519" s="7" t="str">
        <f t="shared" si="180"/>
        <v/>
      </c>
      <c r="AN519" s="4">
        <v>6346.3232612229294</v>
      </c>
      <c r="AO519" s="4">
        <v>0</v>
      </c>
      <c r="AP519" s="14">
        <f t="shared" si="174"/>
        <v>1591900.523261223</v>
      </c>
      <c r="AQ519" s="14">
        <f t="shared" si="175"/>
        <v>1585554.2</v>
      </c>
      <c r="AR519" s="8">
        <v>39692.080000000002</v>
      </c>
      <c r="AS519" s="20">
        <v>39.946362000000001</v>
      </c>
      <c r="AT519" s="8">
        <v>43747331.682555117</v>
      </c>
      <c r="AU519" s="8">
        <v>26395.1682</v>
      </c>
      <c r="AV519" s="8">
        <v>538.96609999999998</v>
      </c>
      <c r="AW519" s="8"/>
      <c r="AX519" s="9">
        <v>433.19619491376352</v>
      </c>
      <c r="AY519" s="6">
        <f t="shared" si="181"/>
        <v>2.2239891545949266E-2</v>
      </c>
      <c r="AZ519" s="8">
        <v>415271432.3222</v>
      </c>
      <c r="BA519" s="10">
        <v>60480066</v>
      </c>
      <c r="BB519" s="11">
        <v>43747331.682555117</v>
      </c>
      <c r="BC519" s="10">
        <v>2971324</v>
      </c>
      <c r="BD519" s="10">
        <f>1000000000-999247363.9294+248285.6603</f>
        <v>1000921.7309000328</v>
      </c>
      <c r="BE519" s="12">
        <f t="shared" si="182"/>
        <v>476528924.26434475</v>
      </c>
      <c r="BF519" s="13">
        <v>234.484938</v>
      </c>
      <c r="BG519" s="13">
        <f t="shared" si="183"/>
        <v>242.04398626434477</v>
      </c>
      <c r="BH519" s="14">
        <f>BE519*39.98</f>
        <v>19051626392.088501</v>
      </c>
    </row>
    <row r="520" spans="1:60" x14ac:dyDescent="0.25">
      <c r="A520" s="3">
        <v>46142</v>
      </c>
      <c r="B520" s="4">
        <v>3633545498</v>
      </c>
      <c r="C520" s="4">
        <v>2850353565.02</v>
      </c>
      <c r="D520" s="4">
        <v>108157331</v>
      </c>
      <c r="E520" s="4"/>
      <c r="F520" s="17">
        <v>1489754099.4261949</v>
      </c>
      <c r="G520" s="17">
        <v>4924288.1676820107</v>
      </c>
      <c r="H520" s="17">
        <v>31090579.884758271</v>
      </c>
      <c r="I520" s="17">
        <v>733341760.70923412</v>
      </c>
      <c r="J520" s="17">
        <v>980055.88157018344</v>
      </c>
      <c r="K520" s="17">
        <v>590262780.95056033</v>
      </c>
      <c r="L520" s="14">
        <f t="shared" si="176"/>
        <v>2850353565.0199995</v>
      </c>
      <c r="M520" s="21">
        <v>1.0031477194276499</v>
      </c>
      <c r="N520" s="4">
        <v>1228351.33</v>
      </c>
      <c r="O520" s="4">
        <v>282105.11</v>
      </c>
      <c r="P520" s="4">
        <v>48805.39</v>
      </c>
      <c r="Q520" s="4"/>
      <c r="R520" s="14">
        <f t="shared" si="163"/>
        <v>1559261.8299999998</v>
      </c>
      <c r="S520" s="6">
        <v>0.01</v>
      </c>
      <c r="T520" s="14">
        <f t="shared" si="164"/>
        <v>12283.513300000001</v>
      </c>
      <c r="U520" s="14">
        <f t="shared" si="165"/>
        <v>1417.9431</v>
      </c>
      <c r="V520" s="14">
        <f t="shared" si="166"/>
        <v>354.68119999999993</v>
      </c>
      <c r="W520" s="14" t="str">
        <f t="shared" si="167"/>
        <v/>
      </c>
      <c r="X520" s="4">
        <v>13337.27</v>
      </c>
      <c r="Y520" s="4">
        <v>140310.79999999999</v>
      </c>
      <c r="Z520" s="4"/>
      <c r="AA520" s="14">
        <f t="shared" si="168"/>
        <v>167704.20759999999</v>
      </c>
      <c r="AB520" s="4">
        <v>105685.0861</v>
      </c>
      <c r="AC520" s="4">
        <v>1228351.33</v>
      </c>
      <c r="AD520" s="14">
        <f t="shared" si="169"/>
        <v>141794.31</v>
      </c>
      <c r="AE520" s="14">
        <f t="shared" si="170"/>
        <v>35468.119999999995</v>
      </c>
      <c r="AF520" s="14" t="str">
        <f t="shared" si="171"/>
        <v/>
      </c>
      <c r="AG520" s="15">
        <f t="shared" si="172"/>
        <v>1405613.7600000002</v>
      </c>
      <c r="AH520" s="4">
        <v>1087242.53</v>
      </c>
      <c r="AI520" s="17">
        <f t="shared" si="173"/>
        <v>318371.23000000021</v>
      </c>
      <c r="AJ520" s="7">
        <f t="shared" si="177"/>
        <v>3.3805860713072597</v>
      </c>
      <c r="AK520" s="7">
        <f t="shared" si="178"/>
        <v>0.98971970867768666</v>
      </c>
      <c r="AL520" s="7">
        <f t="shared" si="179"/>
        <v>4.5124440062227498</v>
      </c>
      <c r="AM520" s="7" t="str">
        <f t="shared" si="180"/>
        <v/>
      </c>
      <c r="AN520" s="4">
        <v>3714.748926953403</v>
      </c>
      <c r="AO520" s="4">
        <v>0</v>
      </c>
      <c r="AP520" s="14">
        <f t="shared" si="174"/>
        <v>1090957.2789269534</v>
      </c>
      <c r="AQ520" s="14">
        <f t="shared" si="175"/>
        <v>1087242.53</v>
      </c>
      <c r="AR520" s="8">
        <v>27607.63</v>
      </c>
      <c r="AS520" s="20">
        <v>39.381957999999997</v>
      </c>
      <c r="AT520" s="8">
        <v>43774396.642555118</v>
      </c>
      <c r="AU520" s="8">
        <v>26383.390800000001</v>
      </c>
      <c r="AV520" s="8">
        <v>1196.8639000000001</v>
      </c>
      <c r="AW520" s="8"/>
      <c r="AX520" s="9">
        <v>432.78678525424499</v>
      </c>
      <c r="AY520" s="6">
        <f t="shared" si="181"/>
        <v>2.2250997419763628E-2</v>
      </c>
      <c r="AZ520" s="8">
        <v>415245048.93150002</v>
      </c>
      <c r="BA520" s="10">
        <v>60480066</v>
      </c>
      <c r="BB520" s="11">
        <v>43774396.642555118</v>
      </c>
      <c r="BC520" s="10">
        <v>2971324</v>
      </c>
      <c r="BD520" s="10">
        <f>1000000000-999246167.0655+248378.8669</f>
        <v>1002211.801399979</v>
      </c>
      <c r="BE520" s="12">
        <f t="shared" si="182"/>
        <v>476526952.62454492</v>
      </c>
      <c r="BF520" s="13">
        <v>234.484938</v>
      </c>
      <c r="BG520" s="13">
        <f t="shared" si="183"/>
        <v>242.04201462454495</v>
      </c>
      <c r="BH520" s="14">
        <f>BE520*39.87</f>
        <v>18999129601.140606</v>
      </c>
    </row>
    <row r="521" spans="1:60" x14ac:dyDescent="0.25">
      <c r="A521" s="3">
        <v>46143</v>
      </c>
      <c r="B521" s="4">
        <v>3897568982</v>
      </c>
      <c r="C521" s="4">
        <v>2323981996.7399998</v>
      </c>
      <c r="D521" s="4">
        <v>117949188</v>
      </c>
      <c r="E521" s="4"/>
      <c r="F521" s="17">
        <v>1409372485.4617651</v>
      </c>
      <c r="G521" s="17">
        <v>7920266.3738204921</v>
      </c>
      <c r="H521" s="17">
        <v>16394970.12638347</v>
      </c>
      <c r="I521" s="17">
        <v>421292759.39185113</v>
      </c>
      <c r="J521" s="17">
        <v>415750.3870460983</v>
      </c>
      <c r="K521" s="17">
        <v>468585764.99913341</v>
      </c>
      <c r="L521" s="14">
        <f t="shared" si="176"/>
        <v>2323981996.7399998</v>
      </c>
      <c r="M521" s="21">
        <v>1.002509504596401</v>
      </c>
      <c r="N521" s="4">
        <v>1288832.8799999999</v>
      </c>
      <c r="O521" s="4">
        <v>232813.71</v>
      </c>
      <c r="P521" s="4">
        <v>61862.97</v>
      </c>
      <c r="Q521" s="4"/>
      <c r="R521" s="14">
        <f t="shared" si="163"/>
        <v>1583509.5599999998</v>
      </c>
      <c r="S521" s="6">
        <v>0.01</v>
      </c>
      <c r="T521" s="14">
        <f t="shared" si="164"/>
        <v>12888.328799999999</v>
      </c>
      <c r="U521" s="14">
        <f t="shared" si="165"/>
        <v>1176.4698999999998</v>
      </c>
      <c r="V521" s="14">
        <f t="shared" si="166"/>
        <v>442.14170000000001</v>
      </c>
      <c r="W521" s="14" t="str">
        <f t="shared" si="167"/>
        <v/>
      </c>
      <c r="X521" s="4">
        <v>17648.8</v>
      </c>
      <c r="Y521" s="4">
        <v>115166.72</v>
      </c>
      <c r="Z521" s="4"/>
      <c r="AA521" s="14">
        <f t="shared" si="168"/>
        <v>147322.46040000001</v>
      </c>
      <c r="AB521" s="4">
        <v>109126.38280000001</v>
      </c>
      <c r="AC521" s="4">
        <v>1288832.8799999999</v>
      </c>
      <c r="AD521" s="14">
        <f t="shared" si="169"/>
        <v>117646.98999999999</v>
      </c>
      <c r="AE521" s="14">
        <f t="shared" si="170"/>
        <v>44214.17</v>
      </c>
      <c r="AF521" s="14" t="str">
        <f t="shared" si="171"/>
        <v/>
      </c>
      <c r="AG521" s="15">
        <f t="shared" si="172"/>
        <v>1450694.0399999998</v>
      </c>
      <c r="AH521" s="4">
        <v>1346278.64</v>
      </c>
      <c r="AI521" s="17">
        <f t="shared" si="173"/>
        <v>104415.39999999991</v>
      </c>
      <c r="AJ521" s="7">
        <f t="shared" si="177"/>
        <v>3.3067609218776357</v>
      </c>
      <c r="AK521" s="7">
        <f t="shared" si="178"/>
        <v>1.0017879240311796</v>
      </c>
      <c r="AL521" s="7">
        <f t="shared" si="179"/>
        <v>5.244883076261619</v>
      </c>
      <c r="AM521" s="7" t="str">
        <f t="shared" si="180"/>
        <v/>
      </c>
      <c r="AN521" s="4">
        <v>4206.7530628372269</v>
      </c>
      <c r="AO521" s="4">
        <v>0</v>
      </c>
      <c r="AP521" s="14">
        <f t="shared" si="174"/>
        <v>1350485.3930628372</v>
      </c>
      <c r="AQ521" s="14">
        <f t="shared" si="175"/>
        <v>1346278.64</v>
      </c>
      <c r="AR521" s="8">
        <v>33095.68</v>
      </c>
      <c r="AS521" s="20">
        <v>40.678379999999997</v>
      </c>
      <c r="AT521" s="8">
        <v>43808451.45255512</v>
      </c>
      <c r="AU521" s="8">
        <v>26378.221000000001</v>
      </c>
      <c r="AV521" s="8">
        <v>1011.633</v>
      </c>
      <c r="AW521" s="8"/>
      <c r="AX521" s="9">
        <v>432.83747284970968</v>
      </c>
      <c r="AY521" s="6">
        <f t="shared" si="181"/>
        <v>2.2244032157407646E-2</v>
      </c>
      <c r="AZ521" s="8">
        <v>415218670.71039999</v>
      </c>
      <c r="BA521" s="10">
        <v>60480066</v>
      </c>
      <c r="BB521" s="11">
        <v>43808451.45255512</v>
      </c>
      <c r="BC521" s="10">
        <v>2971324</v>
      </c>
      <c r="BD521" s="10">
        <f>1000000000-999245155.4325+248484.4184</f>
        <v>1003328.9858999952</v>
      </c>
      <c r="BE521" s="12">
        <f t="shared" si="182"/>
        <v>476518158.85114491</v>
      </c>
      <c r="BF521" s="13">
        <v>234.484938</v>
      </c>
      <c r="BG521" s="13">
        <f t="shared" si="183"/>
        <v>242.0332208511449</v>
      </c>
      <c r="BH521" s="14">
        <f>BE521*39.88</f>
        <v>19003544174.983662</v>
      </c>
    </row>
    <row r="522" spans="1:60" x14ac:dyDescent="0.25">
      <c r="A522" s="3">
        <v>46144</v>
      </c>
      <c r="B522" s="4">
        <v>1730786593</v>
      </c>
      <c r="C522" s="4">
        <v>230288116.27000001</v>
      </c>
      <c r="D522" s="4">
        <v>68110382</v>
      </c>
      <c r="E522" s="4">
        <v>0</v>
      </c>
      <c r="F522" s="17">
        <v>90769878.016958281</v>
      </c>
      <c r="G522" s="17">
        <v>4879364.1814511456</v>
      </c>
      <c r="H522" s="17">
        <v>8698987.5584803969</v>
      </c>
      <c r="I522" s="17">
        <v>76667307.288662836</v>
      </c>
      <c r="J522" s="17">
        <v>204774.76684279781</v>
      </c>
      <c r="K522" s="17">
        <v>49067804.457604557</v>
      </c>
      <c r="L522" s="14">
        <f t="shared" si="176"/>
        <v>230288116.27000004</v>
      </c>
      <c r="M522" s="21">
        <v>0.99254183196722867</v>
      </c>
      <c r="N522" s="4">
        <v>569559.26</v>
      </c>
      <c r="O522" s="4">
        <v>51808.97</v>
      </c>
      <c r="P522" s="4">
        <v>36298.71</v>
      </c>
      <c r="Q522" s="4">
        <v>0</v>
      </c>
      <c r="R522" s="14">
        <f t="shared" si="163"/>
        <v>657666.93999999994</v>
      </c>
      <c r="S522" s="6">
        <v>0.01</v>
      </c>
      <c r="T522" s="14">
        <f t="shared" si="164"/>
        <v>5695.5925999999999</v>
      </c>
      <c r="U522" s="14">
        <f t="shared" si="165"/>
        <v>266.50800000000004</v>
      </c>
      <c r="V522" s="14">
        <f t="shared" si="166"/>
        <v>303.1893</v>
      </c>
      <c r="W522" s="14">
        <f t="shared" si="167"/>
        <v>0</v>
      </c>
      <c r="X522" s="4">
        <v>5979.78</v>
      </c>
      <c r="Y522" s="4">
        <v>25158.17</v>
      </c>
      <c r="Z522" s="4">
        <v>0</v>
      </c>
      <c r="AA522" s="14">
        <f t="shared" si="168"/>
        <v>37403.2399</v>
      </c>
      <c r="AB522" s="4">
        <v>49334.915800000002</v>
      </c>
      <c r="AC522" s="4">
        <v>569559.26</v>
      </c>
      <c r="AD522" s="14">
        <f t="shared" si="169"/>
        <v>26650.800000000003</v>
      </c>
      <c r="AE522" s="14">
        <f t="shared" si="170"/>
        <v>30318.93</v>
      </c>
      <c r="AF522" s="14">
        <f t="shared" si="171"/>
        <v>0</v>
      </c>
      <c r="AG522" s="15">
        <f t="shared" si="172"/>
        <v>626528.99000000011</v>
      </c>
      <c r="AH522" s="4">
        <v>554995.43000000005</v>
      </c>
      <c r="AI522" s="17">
        <f t="shared" si="173"/>
        <v>71533.560000000056</v>
      </c>
      <c r="AJ522" s="7">
        <f t="shared" si="177"/>
        <v>3.2907538243220027</v>
      </c>
      <c r="AK522" s="7">
        <f t="shared" si="178"/>
        <v>2.249745702868005</v>
      </c>
      <c r="AL522" s="7">
        <f t="shared" si="179"/>
        <v>5.3293945701258876</v>
      </c>
      <c r="AM522" s="7" t="str">
        <f t="shared" si="180"/>
        <v/>
      </c>
      <c r="AN522" s="4">
        <v>2585.4640508521452</v>
      </c>
      <c r="AO522" s="4">
        <v>0</v>
      </c>
      <c r="AP522" s="14">
        <f t="shared" si="174"/>
        <v>557580.89405085216</v>
      </c>
      <c r="AQ522" s="14">
        <f t="shared" si="175"/>
        <v>554995.43000000005</v>
      </c>
      <c r="AR522" s="8">
        <v>13368.7</v>
      </c>
      <c r="AS522" s="20">
        <v>41.514539999999997</v>
      </c>
      <c r="AT522" s="8">
        <v>43821103.222555123</v>
      </c>
      <c r="AU522" s="8">
        <v>26480.6541</v>
      </c>
      <c r="AV522" s="8">
        <v>493.8365</v>
      </c>
      <c r="AW522" s="8"/>
      <c r="AX522" s="9">
        <v>432.9059000950819</v>
      </c>
      <c r="AY522" s="6">
        <f t="shared" si="181"/>
        <v>2.2326881533324256E-2</v>
      </c>
      <c r="AZ522" s="8">
        <v>415192190.05629998</v>
      </c>
      <c r="BA522" s="10">
        <v>60480066</v>
      </c>
      <c r="BB522" s="11">
        <v>43821103.222555123</v>
      </c>
      <c r="BC522" s="10">
        <v>2971324</v>
      </c>
      <c r="BD522" s="10">
        <f>1000000000-999244661.596+248547.3786</f>
        <v>1003885.7826000438</v>
      </c>
      <c r="BE522" s="12">
        <f t="shared" si="182"/>
        <v>476531430.93854493</v>
      </c>
      <c r="BF522" s="13">
        <v>234.484938</v>
      </c>
      <c r="BG522" s="13">
        <f t="shared" si="183"/>
        <v>242.04649293854493</v>
      </c>
      <c r="BH522" s="14">
        <f>BE522*41.09</f>
        <v>19580676497.264812</v>
      </c>
    </row>
    <row r="523" spans="1:60" x14ac:dyDescent="0.25">
      <c r="A523" s="3">
        <v>46145</v>
      </c>
      <c r="B523" s="4">
        <v>2280774593</v>
      </c>
      <c r="C523" s="4">
        <v>697406420.98000002</v>
      </c>
      <c r="D523" s="4">
        <v>114888326</v>
      </c>
      <c r="E523" s="4">
        <v>5314012.8600000003</v>
      </c>
      <c r="F523" s="17">
        <v>504857603.88794601</v>
      </c>
      <c r="G523" s="17">
        <v>5715687.0825113924</v>
      </c>
      <c r="H523" s="17">
        <v>11388824.760427911</v>
      </c>
      <c r="I523" s="17">
        <v>112000007.89185511</v>
      </c>
      <c r="J523" s="17">
        <v>104882.4249034182</v>
      </c>
      <c r="K523" s="17">
        <v>63339414.932356209</v>
      </c>
      <c r="L523" s="14">
        <f t="shared" si="176"/>
        <v>697406420.98000002</v>
      </c>
      <c r="M523" s="21">
        <v>1.0252992749466641</v>
      </c>
      <c r="N523" s="4">
        <v>777617.04</v>
      </c>
      <c r="O523" s="4">
        <v>116006.6</v>
      </c>
      <c r="P523" s="4">
        <v>43460.67</v>
      </c>
      <c r="Q523" s="4">
        <v>5.0220880000000001</v>
      </c>
      <c r="R523" s="14">
        <f t="shared" si="163"/>
        <v>937089.33208800002</v>
      </c>
      <c r="S523" s="6">
        <v>0.01</v>
      </c>
      <c r="T523" s="14">
        <f t="shared" si="164"/>
        <v>7776.1704000000009</v>
      </c>
      <c r="U523" s="14">
        <f t="shared" si="165"/>
        <v>588.74970000000008</v>
      </c>
      <c r="V523" s="14">
        <f t="shared" si="166"/>
        <v>317.39049999999997</v>
      </c>
      <c r="W523" s="14">
        <f t="shared" si="167"/>
        <v>5.0220880000000002E-2</v>
      </c>
      <c r="X523" s="4">
        <v>11721.62</v>
      </c>
      <c r="Y523" s="4">
        <v>57131.63</v>
      </c>
      <c r="Z523" s="4">
        <v>0</v>
      </c>
      <c r="AA523" s="14">
        <f t="shared" si="168"/>
        <v>77535.61082088</v>
      </c>
      <c r="AB523" s="4">
        <v>82258.537700000001</v>
      </c>
      <c r="AC523" s="4">
        <v>777617.04</v>
      </c>
      <c r="AD523" s="14">
        <f t="shared" si="169"/>
        <v>58874.970000000008</v>
      </c>
      <c r="AE523" s="14">
        <f t="shared" si="170"/>
        <v>31739.049999999996</v>
      </c>
      <c r="AF523" s="14">
        <f t="shared" si="171"/>
        <v>5.0220880000000001</v>
      </c>
      <c r="AG523" s="15">
        <f t="shared" si="172"/>
        <v>868236.08208800002</v>
      </c>
      <c r="AH523" s="4">
        <v>727226.94</v>
      </c>
      <c r="AI523" s="17">
        <f t="shared" si="173"/>
        <v>141009.14208800008</v>
      </c>
      <c r="AJ523" s="7">
        <f t="shared" si="177"/>
        <v>3.4094427497860154</v>
      </c>
      <c r="AK523" s="7">
        <f t="shared" si="178"/>
        <v>1.663400228477776</v>
      </c>
      <c r="AL523" s="7">
        <f t="shared" si="179"/>
        <v>3.7828621508507312</v>
      </c>
      <c r="AM523" s="7">
        <f t="shared" si="180"/>
        <v>9.450650821345585E-3</v>
      </c>
      <c r="AN523" s="4">
        <v>2255.6806759441779</v>
      </c>
      <c r="AO523" s="4">
        <v>0</v>
      </c>
      <c r="AP523" s="14">
        <f t="shared" si="174"/>
        <v>729482.62067594414</v>
      </c>
      <c r="AQ523" s="14">
        <f t="shared" si="175"/>
        <v>727226.94</v>
      </c>
      <c r="AR523" s="8">
        <v>17662.43</v>
      </c>
      <c r="AS523" s="20">
        <v>41.173662999999998</v>
      </c>
      <c r="AT523" s="8">
        <v>43839831.02255512</v>
      </c>
      <c r="AU523" s="8">
        <v>26491.949700000001</v>
      </c>
      <c r="AV523" s="8">
        <v>336.57900000000001</v>
      </c>
      <c r="AW523" s="8"/>
      <c r="AX523" s="9">
        <v>432.8033390345056</v>
      </c>
      <c r="AY523" s="6">
        <f t="shared" si="181"/>
        <v>2.234169833825863E-2</v>
      </c>
      <c r="AZ523" s="8">
        <v>415165698.10659999</v>
      </c>
      <c r="BA523" s="10">
        <v>60480066</v>
      </c>
      <c r="BB523" s="11">
        <v>43839831.02255512</v>
      </c>
      <c r="BC523" s="10">
        <v>2971324</v>
      </c>
      <c r="BD523" s="10">
        <f>1000000000-999244325.0169+248601.9612</f>
        <v>1004276.9443000567</v>
      </c>
      <c r="BE523" s="12">
        <f t="shared" si="182"/>
        <v>476538803.92654479</v>
      </c>
      <c r="BF523" s="13">
        <v>234.484938</v>
      </c>
      <c r="BG523" s="13">
        <f t="shared" si="183"/>
        <v>242.0538659265448</v>
      </c>
      <c r="BH523" s="14">
        <f>BE523*41.32</f>
        <v>19690583378.244831</v>
      </c>
    </row>
    <row r="524" spans="1:60" x14ac:dyDescent="0.25">
      <c r="A524" s="3">
        <v>46146</v>
      </c>
      <c r="B524" s="4">
        <v>6000716741</v>
      </c>
      <c r="C524" s="4">
        <v>3320696889.0599999</v>
      </c>
      <c r="D524" s="4">
        <v>151600204</v>
      </c>
      <c r="E524" s="4">
        <v>5390928.1799999997</v>
      </c>
      <c r="F524" s="17">
        <v>2040859025.985481</v>
      </c>
      <c r="G524" s="17">
        <v>23004089.151728742</v>
      </c>
      <c r="H524" s="17">
        <v>26727232.102374978</v>
      </c>
      <c r="I524" s="17">
        <v>704028259.35001266</v>
      </c>
      <c r="J524" s="17">
        <v>210855.8129352798</v>
      </c>
      <c r="K524" s="17">
        <v>525867426.65746713</v>
      </c>
      <c r="L524" s="14">
        <f t="shared" si="176"/>
        <v>3320696889.0599995</v>
      </c>
      <c r="M524" s="21">
        <v>1.00057390281144</v>
      </c>
      <c r="N524" s="4">
        <v>1716101.41</v>
      </c>
      <c r="O524" s="4">
        <v>277615.08</v>
      </c>
      <c r="P524" s="4">
        <v>68681.52</v>
      </c>
      <c r="Q524" s="4">
        <v>9.1301319999999997</v>
      </c>
      <c r="R524" s="14">
        <f t="shared" si="163"/>
        <v>2062407.140132</v>
      </c>
      <c r="S524" s="6">
        <v>0.01</v>
      </c>
      <c r="T524" s="14">
        <f t="shared" si="164"/>
        <v>17161.0141</v>
      </c>
      <c r="U524" s="14">
        <f t="shared" si="165"/>
        <v>1413.8711000000001</v>
      </c>
      <c r="V524" s="14">
        <f t="shared" si="166"/>
        <v>499.55760000000009</v>
      </c>
      <c r="W524" s="14">
        <f t="shared" si="167"/>
        <v>9.1301320000000005E-2</v>
      </c>
      <c r="X524" s="4">
        <v>18725.759999999998</v>
      </c>
      <c r="Y524" s="4">
        <v>136227.97</v>
      </c>
      <c r="Z524" s="4">
        <v>0</v>
      </c>
      <c r="AA524" s="14">
        <f t="shared" si="168"/>
        <v>174028.26410132</v>
      </c>
      <c r="AB524" s="4">
        <v>149101.9663</v>
      </c>
      <c r="AC524" s="4">
        <v>1716101.41</v>
      </c>
      <c r="AD524" s="14">
        <f t="shared" si="169"/>
        <v>141387.11000000002</v>
      </c>
      <c r="AE524" s="14">
        <f t="shared" si="170"/>
        <v>49955.760000000009</v>
      </c>
      <c r="AF524" s="14">
        <f t="shared" si="171"/>
        <v>9.1301319999999997</v>
      </c>
      <c r="AG524" s="15">
        <f t="shared" si="172"/>
        <v>1907453.410132</v>
      </c>
      <c r="AH524" s="4">
        <v>1908903.31</v>
      </c>
      <c r="AI524" s="17">
        <f t="shared" si="173"/>
        <v>-1449.8998680000659</v>
      </c>
      <c r="AJ524" s="7">
        <f t="shared" si="177"/>
        <v>2.8598273907426885</v>
      </c>
      <c r="AK524" s="7">
        <f t="shared" si="178"/>
        <v>0.83601451525009673</v>
      </c>
      <c r="AL524" s="7">
        <f t="shared" si="179"/>
        <v>4.530437175401163</v>
      </c>
      <c r="AM524" s="7">
        <f t="shared" si="180"/>
        <v>1.6936103941937508E-2</v>
      </c>
      <c r="AN524" s="4">
        <v>6941.6973926638821</v>
      </c>
      <c r="AO524" s="4">
        <v>0</v>
      </c>
      <c r="AP524" s="14">
        <f t="shared" si="174"/>
        <v>1915845.007392664</v>
      </c>
      <c r="AQ524" s="14">
        <f t="shared" si="175"/>
        <v>1908903.31</v>
      </c>
      <c r="AR524" s="8">
        <v>45885.24</v>
      </c>
      <c r="AS524" s="20">
        <v>41.601685000000003</v>
      </c>
      <c r="AT524" s="8">
        <v>43885214.422555119</v>
      </c>
      <c r="AU524" s="8">
        <v>26492.991000000002</v>
      </c>
      <c r="AV524" s="8">
        <v>830.73720000000003</v>
      </c>
      <c r="AW524" s="8"/>
      <c r="AX524" s="9">
        <v>433.01460230832993</v>
      </c>
      <c r="AY524" s="6">
        <f t="shared" si="181"/>
        <v>2.2331675799040319E-2</v>
      </c>
      <c r="AZ524" s="8">
        <v>415139205.11570001</v>
      </c>
      <c r="BA524" s="10">
        <v>60480066</v>
      </c>
      <c r="BB524" s="11">
        <v>43885214.422555119</v>
      </c>
      <c r="BC524" s="10">
        <v>2971324</v>
      </c>
      <c r="BD524" s="10">
        <f>1000000000-999243494.2798+248770.2163</f>
        <v>1005275.9364999426</v>
      </c>
      <c r="BE524" s="12">
        <f t="shared" si="182"/>
        <v>476518914.52524495</v>
      </c>
      <c r="BF524" s="13">
        <v>234.484938</v>
      </c>
      <c r="BG524" s="13">
        <f t="shared" si="183"/>
        <v>242.03397652524495</v>
      </c>
      <c r="BH524" s="14">
        <f>BE524*41.25</f>
        <v>19656405224.166355</v>
      </c>
    </row>
    <row r="525" spans="1:60" x14ac:dyDescent="0.25">
      <c r="A525" s="3">
        <v>46147</v>
      </c>
      <c r="B525" s="4">
        <v>4953210783</v>
      </c>
      <c r="C525" s="4">
        <v>2371482388.8299999</v>
      </c>
      <c r="D525" s="4">
        <v>166682274</v>
      </c>
      <c r="E525" s="4">
        <v>5521581.4000000004</v>
      </c>
      <c r="F525" s="17">
        <v>1287658508.04335</v>
      </c>
      <c r="G525" s="17">
        <v>13820893.930690341</v>
      </c>
      <c r="H525" s="17">
        <v>10353007.766067021</v>
      </c>
      <c r="I525" s="17">
        <v>470065568.95558429</v>
      </c>
      <c r="J525" s="17">
        <v>233836.0467553121</v>
      </c>
      <c r="K525" s="17">
        <v>589350574.08755314</v>
      </c>
      <c r="L525" s="14">
        <f t="shared" si="176"/>
        <v>2371482388.8299999</v>
      </c>
      <c r="M525" s="21">
        <v>1.0076500058825071</v>
      </c>
      <c r="N525" s="4">
        <v>1700892.74</v>
      </c>
      <c r="O525" s="4">
        <v>235179.73</v>
      </c>
      <c r="P525" s="4">
        <v>90962.329999999987</v>
      </c>
      <c r="Q525" s="4">
        <v>13.283787999999999</v>
      </c>
      <c r="R525" s="14">
        <f t="shared" si="163"/>
        <v>2027048.083788</v>
      </c>
      <c r="S525" s="6">
        <v>0.01</v>
      </c>
      <c r="T525" s="14">
        <f t="shared" si="164"/>
        <v>17008.9274</v>
      </c>
      <c r="U525" s="14">
        <f t="shared" si="165"/>
        <v>1197.1509000000001</v>
      </c>
      <c r="V525" s="14">
        <f t="shared" si="166"/>
        <v>674.57289999999978</v>
      </c>
      <c r="W525" s="14">
        <f t="shared" si="167"/>
        <v>0.13283787999999999</v>
      </c>
      <c r="X525" s="4">
        <v>23505.040000000001</v>
      </c>
      <c r="Y525" s="4">
        <v>115464.64</v>
      </c>
      <c r="Z525" s="4">
        <v>0</v>
      </c>
      <c r="AA525" s="14">
        <f t="shared" si="168"/>
        <v>157850.46403788001</v>
      </c>
      <c r="AB525" s="4">
        <v>122211.68210000001</v>
      </c>
      <c r="AC525" s="4">
        <v>1700892.74</v>
      </c>
      <c r="AD525" s="14">
        <f t="shared" si="169"/>
        <v>119715.09000000001</v>
      </c>
      <c r="AE525" s="14">
        <f t="shared" si="170"/>
        <v>67457.289999999979</v>
      </c>
      <c r="AF525" s="14">
        <f t="shared" si="171"/>
        <v>13.283787999999999</v>
      </c>
      <c r="AG525" s="15">
        <f t="shared" si="172"/>
        <v>1888078.4037880001</v>
      </c>
      <c r="AH525" s="4">
        <v>1636317.05</v>
      </c>
      <c r="AI525" s="17">
        <f t="shared" si="173"/>
        <v>251761.35378800007</v>
      </c>
      <c r="AJ525" s="7">
        <f t="shared" si="177"/>
        <v>3.4339195615047582</v>
      </c>
      <c r="AK525" s="7">
        <f t="shared" si="178"/>
        <v>0.99169924730509518</v>
      </c>
      <c r="AL525" s="7">
        <f t="shared" si="179"/>
        <v>5.4572287632696908</v>
      </c>
      <c r="AM525" s="7">
        <f t="shared" si="180"/>
        <v>2.4057941081879187E-2</v>
      </c>
      <c r="AN525" s="4">
        <v>6431.8719388155423</v>
      </c>
      <c r="AO525" s="4">
        <v>0</v>
      </c>
      <c r="AP525" s="14">
        <f t="shared" si="174"/>
        <v>1642748.9219388156</v>
      </c>
      <c r="AQ525" s="14">
        <f t="shared" si="175"/>
        <v>1636317.05</v>
      </c>
      <c r="AR525" s="8">
        <v>37568.980000000003</v>
      </c>
      <c r="AS525" s="20">
        <v>43.555002999999999</v>
      </c>
      <c r="AT525" s="8">
        <v>43923183.102555119</v>
      </c>
      <c r="AU525" s="8">
        <v>26499.8887</v>
      </c>
      <c r="AV525" s="8">
        <v>839.07399999999996</v>
      </c>
      <c r="AW525" s="8"/>
      <c r="AX525" s="9">
        <v>433.11086915384749</v>
      </c>
      <c r="AY525" s="6">
        <f t="shared" si="181"/>
        <v>2.2332525143958452E-2</v>
      </c>
      <c r="AZ525" s="8">
        <v>415112705.227</v>
      </c>
      <c r="BA525" s="10">
        <v>60480066</v>
      </c>
      <c r="BB525" s="11">
        <v>43923183.102555119</v>
      </c>
      <c r="BC525" s="10">
        <v>2971324</v>
      </c>
      <c r="BD525" s="10">
        <f>1000000000-999242655.2057+248924.0667</f>
        <v>1006268.8609999601</v>
      </c>
      <c r="BE525" s="12">
        <f t="shared" si="182"/>
        <v>476506452.80944496</v>
      </c>
      <c r="BF525" s="13">
        <v>234.484938</v>
      </c>
      <c r="BG525" s="13">
        <f t="shared" si="183"/>
        <v>242.02151480944497</v>
      </c>
      <c r="BH525" s="14">
        <f>BE525*41.79</f>
        <v>19913204662.906704</v>
      </c>
    </row>
    <row r="526" spans="1:60" x14ac:dyDescent="0.25">
      <c r="A526" s="3">
        <v>46148</v>
      </c>
      <c r="B526" s="4">
        <v>6011192009</v>
      </c>
      <c r="C526" s="4">
        <v>3569126917.79</v>
      </c>
      <c r="D526" s="4">
        <v>181142114</v>
      </c>
      <c r="E526" s="4">
        <v>4179978.91</v>
      </c>
      <c r="F526" s="17">
        <v>2314462213.0724039</v>
      </c>
      <c r="G526" s="17">
        <v>13725157.0591182</v>
      </c>
      <c r="H526" s="17">
        <v>12327556.63985735</v>
      </c>
      <c r="I526" s="17">
        <v>599548572.86957729</v>
      </c>
      <c r="J526" s="17">
        <v>667765.00653383054</v>
      </c>
      <c r="K526" s="17">
        <v>628395653.14250934</v>
      </c>
      <c r="L526" s="14">
        <f t="shared" si="176"/>
        <v>3569126917.79</v>
      </c>
      <c r="M526" s="21">
        <v>1.0041740257078631</v>
      </c>
      <c r="N526" s="4">
        <v>2016616.53</v>
      </c>
      <c r="O526" s="4">
        <v>348226.55</v>
      </c>
      <c r="P526" s="4">
        <v>95825.35</v>
      </c>
      <c r="Q526" s="4">
        <v>5.1755909999999998</v>
      </c>
      <c r="R526" s="14">
        <f t="shared" si="163"/>
        <v>2460673.6055910001</v>
      </c>
      <c r="S526" s="6">
        <v>0.01</v>
      </c>
      <c r="T526" s="14">
        <f t="shared" si="164"/>
        <v>20166.165300000001</v>
      </c>
      <c r="U526" s="14">
        <f t="shared" si="165"/>
        <v>1762.7964999999999</v>
      </c>
      <c r="V526" s="14">
        <f t="shared" si="166"/>
        <v>763.67690000000005</v>
      </c>
      <c r="W526" s="14">
        <f t="shared" si="167"/>
        <v>5.1755910000000002E-2</v>
      </c>
      <c r="X526" s="4">
        <v>19457.66</v>
      </c>
      <c r="Y526" s="4">
        <v>171946.9</v>
      </c>
      <c r="Z526" s="4">
        <v>0</v>
      </c>
      <c r="AA526" s="14">
        <f t="shared" si="168"/>
        <v>214097.25045590999</v>
      </c>
      <c r="AB526" s="4">
        <v>138074.09940000001</v>
      </c>
      <c r="AC526" s="4">
        <v>2016616.53</v>
      </c>
      <c r="AD526" s="14">
        <f t="shared" si="169"/>
        <v>176279.65</v>
      </c>
      <c r="AE526" s="14">
        <f t="shared" si="170"/>
        <v>76367.69</v>
      </c>
      <c r="AF526" s="14">
        <f t="shared" si="171"/>
        <v>5.1755909999999998</v>
      </c>
      <c r="AG526" s="15">
        <f t="shared" si="172"/>
        <v>2269269.045591</v>
      </c>
      <c r="AH526" s="4">
        <v>1962791.95</v>
      </c>
      <c r="AI526" s="17">
        <f t="shared" si="173"/>
        <v>306477.09559100005</v>
      </c>
      <c r="AJ526" s="7">
        <f t="shared" si="177"/>
        <v>3.3547697810695571</v>
      </c>
      <c r="AK526" s="7">
        <f t="shared" si="178"/>
        <v>0.97566311879887291</v>
      </c>
      <c r="AL526" s="7">
        <f t="shared" si="179"/>
        <v>5.2900646836880796</v>
      </c>
      <c r="AM526" s="7">
        <f t="shared" si="180"/>
        <v>1.2381859122825094E-2</v>
      </c>
      <c r="AN526" s="4">
        <v>6759.0737987278353</v>
      </c>
      <c r="AO526" s="4">
        <v>0</v>
      </c>
      <c r="AP526" s="14">
        <f t="shared" si="174"/>
        <v>1969551.0237987279</v>
      </c>
      <c r="AQ526" s="14">
        <f t="shared" si="175"/>
        <v>1962791.95</v>
      </c>
      <c r="AR526" s="8">
        <v>44694.09</v>
      </c>
      <c r="AS526" s="20">
        <v>43.916141000000003</v>
      </c>
      <c r="AT526" s="8">
        <v>43967293.592555121</v>
      </c>
      <c r="AU526" s="8">
        <v>26556.0013</v>
      </c>
      <c r="AV526" s="8">
        <v>1357.3483000000001</v>
      </c>
      <c r="AW526" s="8">
        <v>421879</v>
      </c>
      <c r="AX526" s="9">
        <v>434.9653688421144</v>
      </c>
      <c r="AY526" s="6">
        <f t="shared" si="181"/>
        <v>2.228439588260275E-2</v>
      </c>
      <c r="AZ526" s="8">
        <v>415086149.22570002</v>
      </c>
      <c r="BA526" s="10">
        <v>60480066</v>
      </c>
      <c r="BB526" s="11">
        <v>43967293.592555121</v>
      </c>
      <c r="BC526" s="10">
        <v>2971324</v>
      </c>
      <c r="BD526" s="10">
        <f>1000000000-999241297.8574+249078.3342</f>
        <v>1007780.4768000596</v>
      </c>
      <c r="BE526" s="12">
        <f t="shared" si="182"/>
        <v>476487386.70494479</v>
      </c>
      <c r="BF526" s="13">
        <v>234.06305900000001</v>
      </c>
      <c r="BG526" s="13">
        <f t="shared" si="183"/>
        <v>242.4243277049448</v>
      </c>
      <c r="BH526" s="14">
        <f>BE526*43.84</f>
        <v>20889207033.144783</v>
      </c>
    </row>
    <row r="527" spans="1:60" x14ac:dyDescent="0.25">
      <c r="A527" s="3">
        <v>46149</v>
      </c>
      <c r="B527" s="4">
        <v>4987338177</v>
      </c>
      <c r="C527" s="4">
        <v>3658443941.02</v>
      </c>
      <c r="D527" s="4">
        <v>140153431</v>
      </c>
      <c r="E527" s="4">
        <v>4846366.55</v>
      </c>
      <c r="F527" s="17">
        <v>2308181740.8745751</v>
      </c>
      <c r="G527" s="17">
        <v>10599099.986045189</v>
      </c>
      <c r="H527" s="17">
        <v>5985862.8849382345</v>
      </c>
      <c r="I527" s="17">
        <v>665617205.73351467</v>
      </c>
      <c r="J527" s="17">
        <v>2702465.5876298998</v>
      </c>
      <c r="K527" s="17">
        <v>665357565.95329738</v>
      </c>
      <c r="L527" s="14">
        <f t="shared" si="176"/>
        <v>3658443941.0200005</v>
      </c>
      <c r="M527" s="21">
        <v>1.0043473146771931</v>
      </c>
      <c r="N527" s="4">
        <v>1634257.38</v>
      </c>
      <c r="O527" s="4">
        <v>338259.12</v>
      </c>
      <c r="P527" s="4">
        <v>70410.86</v>
      </c>
      <c r="Q527" s="4">
        <v>5.5672280000000001</v>
      </c>
      <c r="R527" s="14">
        <f t="shared" si="163"/>
        <v>2042932.927228</v>
      </c>
      <c r="S527" s="6">
        <v>0.01</v>
      </c>
      <c r="T527" s="14">
        <f t="shared" si="164"/>
        <v>16342.5738</v>
      </c>
      <c r="U527" s="14">
        <f t="shared" si="165"/>
        <v>1707.143</v>
      </c>
      <c r="V527" s="14">
        <f t="shared" si="166"/>
        <v>551.51030000000003</v>
      </c>
      <c r="W527" s="14">
        <f t="shared" si="167"/>
        <v>5.5672280000000005E-2</v>
      </c>
      <c r="X527" s="4">
        <v>15259.83</v>
      </c>
      <c r="Y527" s="4">
        <v>167544.82</v>
      </c>
      <c r="Z527" s="4">
        <v>0</v>
      </c>
      <c r="AA527" s="14">
        <f t="shared" si="168"/>
        <v>201405.93277228001</v>
      </c>
      <c r="AB527" s="4">
        <v>120053.46490000001</v>
      </c>
      <c r="AC527" s="4">
        <v>1634257.38</v>
      </c>
      <c r="AD527" s="14">
        <f t="shared" si="169"/>
        <v>170714.3</v>
      </c>
      <c r="AE527" s="14">
        <f t="shared" si="170"/>
        <v>55151.03</v>
      </c>
      <c r="AF527" s="14">
        <f t="shared" si="171"/>
        <v>5.5672280000000001</v>
      </c>
      <c r="AG527" s="15">
        <f t="shared" si="172"/>
        <v>1860128.2772279999</v>
      </c>
      <c r="AH527" s="4">
        <v>1614943.04</v>
      </c>
      <c r="AI527" s="17">
        <f t="shared" si="173"/>
        <v>245185.23722799984</v>
      </c>
      <c r="AJ527" s="7">
        <f t="shared" si="177"/>
        <v>3.2768128448491209</v>
      </c>
      <c r="AK527" s="7">
        <f t="shared" si="178"/>
        <v>0.92459834140766128</v>
      </c>
      <c r="AL527" s="7">
        <f t="shared" si="179"/>
        <v>5.0238413357144287</v>
      </c>
      <c r="AM527" s="7">
        <f t="shared" si="180"/>
        <v>1.148742659591029E-2</v>
      </c>
      <c r="AN527" s="4">
        <v>5298.3601998753647</v>
      </c>
      <c r="AO527" s="4">
        <v>0</v>
      </c>
      <c r="AP527" s="14">
        <f t="shared" si="174"/>
        <v>1620241.4001998755</v>
      </c>
      <c r="AQ527" s="14">
        <f t="shared" si="175"/>
        <v>1614943.04</v>
      </c>
      <c r="AR527" s="8">
        <v>37930.160000000003</v>
      </c>
      <c r="AS527" s="20">
        <v>42.576752999999997</v>
      </c>
      <c r="AT527" s="8">
        <v>44004836.832555123</v>
      </c>
      <c r="AU527" s="8">
        <v>26566.763800000001</v>
      </c>
      <c r="AV527" s="8">
        <v>1003.4752999999999</v>
      </c>
      <c r="AW527" s="8"/>
      <c r="AX527" s="9">
        <v>435.59226580604059</v>
      </c>
      <c r="AY527" s="6">
        <f t="shared" si="181"/>
        <v>2.2261342884627337E-2</v>
      </c>
      <c r="AZ527" s="8">
        <v>415059582.4619</v>
      </c>
      <c r="BA527" s="10">
        <v>60480066</v>
      </c>
      <c r="BB527" s="11">
        <v>44004836.832555123</v>
      </c>
      <c r="BC527" s="10">
        <v>2971324</v>
      </c>
      <c r="BD527" s="10">
        <f>1000000000-999240294.3821+249201.7125</f>
        <v>1008907.3304000139</v>
      </c>
      <c r="BE527" s="12">
        <f t="shared" si="182"/>
        <v>476475283.3751449</v>
      </c>
      <c r="BF527" s="13">
        <v>234.06305900000001</v>
      </c>
      <c r="BG527" s="13">
        <f t="shared" si="183"/>
        <v>242.41222437514489</v>
      </c>
      <c r="BH527" s="14">
        <f>BE527*42.92</f>
        <v>20450319162.46122</v>
      </c>
    </row>
    <row r="528" spans="1:60" x14ac:dyDescent="0.25">
      <c r="A528" s="3">
        <v>46150</v>
      </c>
      <c r="B528" s="4">
        <v>4286714219</v>
      </c>
      <c r="C528" s="4">
        <v>2416964528.0100002</v>
      </c>
      <c r="D528" s="4">
        <v>101417892</v>
      </c>
      <c r="E528" s="4">
        <v>4892464.87</v>
      </c>
      <c r="F528" s="17">
        <v>1215444752.690345</v>
      </c>
      <c r="G528" s="17">
        <v>8030498.8813074343</v>
      </c>
      <c r="H528" s="17">
        <v>6289590.0711711757</v>
      </c>
      <c r="I528" s="17">
        <v>527568098.83265471</v>
      </c>
      <c r="J528" s="17">
        <v>676418.26544348372</v>
      </c>
      <c r="K528" s="17">
        <v>658955169.26907849</v>
      </c>
      <c r="L528" s="14">
        <f t="shared" si="176"/>
        <v>2416964528.0100002</v>
      </c>
      <c r="M528" s="21">
        <v>1.0062979162964329</v>
      </c>
      <c r="N528" s="4">
        <v>1371228.7</v>
      </c>
      <c r="O528" s="4">
        <v>236030.26</v>
      </c>
      <c r="P528" s="4">
        <v>52552.47</v>
      </c>
      <c r="Q528" s="4">
        <v>18.344487999999998</v>
      </c>
      <c r="R528" s="14">
        <f t="shared" si="163"/>
        <v>1659829.774488</v>
      </c>
      <c r="S528" s="6">
        <v>0.01</v>
      </c>
      <c r="T528" s="14">
        <f t="shared" si="164"/>
        <v>13712.287</v>
      </c>
      <c r="U528" s="14">
        <f t="shared" si="165"/>
        <v>1193.3037000000002</v>
      </c>
      <c r="V528" s="14">
        <f t="shared" si="166"/>
        <v>380.3381</v>
      </c>
      <c r="W528" s="14">
        <f t="shared" si="167"/>
        <v>0.18344487999999998</v>
      </c>
      <c r="X528" s="4">
        <v>14518.66</v>
      </c>
      <c r="Y528" s="4">
        <v>116699.89</v>
      </c>
      <c r="Z528" s="4">
        <v>0</v>
      </c>
      <c r="AA528" s="14">
        <f t="shared" si="168"/>
        <v>146504.66224487999</v>
      </c>
      <c r="AB528" s="4">
        <v>100929.6168</v>
      </c>
      <c r="AC528" s="4">
        <v>1371228.7</v>
      </c>
      <c r="AD528" s="14">
        <f t="shared" si="169"/>
        <v>119330.37000000001</v>
      </c>
      <c r="AE528" s="14">
        <f t="shared" si="170"/>
        <v>38033.81</v>
      </c>
      <c r="AF528" s="14">
        <f t="shared" si="171"/>
        <v>18.344487999999998</v>
      </c>
      <c r="AG528" s="15">
        <f t="shared" si="172"/>
        <v>1528611.2244880002</v>
      </c>
      <c r="AH528" s="4">
        <v>1353339.61</v>
      </c>
      <c r="AI528" s="17">
        <f t="shared" si="173"/>
        <v>175271.61448800005</v>
      </c>
      <c r="AJ528" s="7">
        <f t="shared" si="177"/>
        <v>3.1987872994245898</v>
      </c>
      <c r="AK528" s="7">
        <f t="shared" si="178"/>
        <v>0.97655657443319932</v>
      </c>
      <c r="AL528" s="7">
        <f t="shared" si="179"/>
        <v>5.1817750264420805</v>
      </c>
      <c r="AM528" s="7">
        <f t="shared" si="180"/>
        <v>3.7495390334810919E-2</v>
      </c>
      <c r="AN528" s="4">
        <v>4425.6283510364201</v>
      </c>
      <c r="AO528" s="4">
        <v>0</v>
      </c>
      <c r="AP528" s="14">
        <f t="shared" si="174"/>
        <v>1357765.2383510366</v>
      </c>
      <c r="AQ528" s="14">
        <f t="shared" si="175"/>
        <v>1353339.61</v>
      </c>
      <c r="AR528" s="8">
        <v>31682.1</v>
      </c>
      <c r="AS528" s="20">
        <v>42.716222000000002</v>
      </c>
      <c r="AT528" s="8">
        <v>44036284.02255512</v>
      </c>
      <c r="AU528" s="8">
        <v>26584.017100000001</v>
      </c>
      <c r="AV528" s="8">
        <v>2068.2800999999999</v>
      </c>
      <c r="AW528" s="8"/>
      <c r="AX528" s="9">
        <v>435.99920653460441</v>
      </c>
      <c r="AY528" s="6">
        <f t="shared" si="181"/>
        <v>2.2255008945136413E-2</v>
      </c>
      <c r="AZ528" s="8">
        <v>415032998.44480002</v>
      </c>
      <c r="BA528" s="10">
        <v>60480066</v>
      </c>
      <c r="BB528" s="11">
        <v>44036284.02255512</v>
      </c>
      <c r="BC528" s="10">
        <v>2971324</v>
      </c>
      <c r="BD528" s="10">
        <f>1000000000-999238226.102+249305.3766</f>
        <v>1011079.2746000019</v>
      </c>
      <c r="BE528" s="12">
        <f t="shared" si="182"/>
        <v>476468248.25804484</v>
      </c>
      <c r="BF528" s="13">
        <v>234.06305900000001</v>
      </c>
      <c r="BG528" s="13">
        <f t="shared" si="183"/>
        <v>242.40518925804486</v>
      </c>
      <c r="BH528" s="14">
        <f>BE528*42.68</f>
        <v>20335664835.653355</v>
      </c>
    </row>
    <row r="529" spans="1:60" x14ac:dyDescent="0.25">
      <c r="A529" s="3">
        <v>46151</v>
      </c>
      <c r="B529" s="4">
        <v>2582692469</v>
      </c>
      <c r="C529" s="4">
        <v>311782549.37</v>
      </c>
      <c r="D529" s="4">
        <v>81335192</v>
      </c>
      <c r="E529" s="4">
        <v>3168241.85</v>
      </c>
      <c r="F529" s="17">
        <v>143365443.6409916</v>
      </c>
      <c r="G529" s="17">
        <v>4518231.3426734749</v>
      </c>
      <c r="H529" s="17">
        <v>491432.61267420411</v>
      </c>
      <c r="I529" s="17">
        <v>78519145.47130394</v>
      </c>
      <c r="J529" s="17">
        <v>7399008.8322115261</v>
      </c>
      <c r="K529" s="17">
        <v>77489287.470145285</v>
      </c>
      <c r="L529" s="14">
        <f t="shared" si="176"/>
        <v>311782549.37</v>
      </c>
      <c r="M529" s="21">
        <v>0.996249736287939</v>
      </c>
      <c r="N529" s="4">
        <v>922006.79</v>
      </c>
      <c r="O529" s="4">
        <v>63884.18</v>
      </c>
      <c r="P529" s="4">
        <v>42995.46</v>
      </c>
      <c r="Q529" s="4">
        <v>14.904163</v>
      </c>
      <c r="R529" s="14">
        <f t="shared" si="163"/>
        <v>1028901.3341630001</v>
      </c>
      <c r="S529" s="6">
        <v>0.01</v>
      </c>
      <c r="T529" s="14">
        <f t="shared" si="164"/>
        <v>9220.0679</v>
      </c>
      <c r="U529" s="14">
        <f t="shared" si="165"/>
        <v>325.84110000000004</v>
      </c>
      <c r="V529" s="14">
        <f t="shared" si="166"/>
        <v>335.38099999999997</v>
      </c>
      <c r="W529" s="14">
        <f t="shared" si="167"/>
        <v>0.14904163000000001</v>
      </c>
      <c r="X529" s="4">
        <v>9457.36</v>
      </c>
      <c r="Y529" s="4">
        <v>31300.07</v>
      </c>
      <c r="Z529" s="4">
        <v>0</v>
      </c>
      <c r="AA529" s="14">
        <f t="shared" si="168"/>
        <v>50638.869041630001</v>
      </c>
      <c r="AB529" s="4">
        <v>62514.855299999988</v>
      </c>
      <c r="AC529" s="4">
        <v>922006.79</v>
      </c>
      <c r="AD529" s="14">
        <f t="shared" si="169"/>
        <v>32584.11</v>
      </c>
      <c r="AE529" s="14">
        <f t="shared" si="170"/>
        <v>33538.1</v>
      </c>
      <c r="AF529" s="14">
        <f t="shared" si="171"/>
        <v>14.904163</v>
      </c>
      <c r="AG529" s="15">
        <f t="shared" si="172"/>
        <v>988143.90416300006</v>
      </c>
      <c r="AH529" s="4">
        <v>839949.07</v>
      </c>
      <c r="AI529" s="17">
        <f t="shared" si="173"/>
        <v>148194.83416300011</v>
      </c>
      <c r="AJ529" s="7">
        <f t="shared" si="177"/>
        <v>3.5699441612457812</v>
      </c>
      <c r="AK529" s="7">
        <f t="shared" si="178"/>
        <v>2.0489979355511356</v>
      </c>
      <c r="AL529" s="7">
        <f t="shared" si="179"/>
        <v>5.2862062463687307</v>
      </c>
      <c r="AM529" s="7">
        <f t="shared" si="180"/>
        <v>4.7042377778072721E-2</v>
      </c>
      <c r="AN529" s="4">
        <v>5394.0163033830177</v>
      </c>
      <c r="AO529" s="4">
        <v>0</v>
      </c>
      <c r="AP529" s="14">
        <f t="shared" si="174"/>
        <v>845343.086303383</v>
      </c>
      <c r="AQ529" s="14">
        <f t="shared" si="175"/>
        <v>839949.07</v>
      </c>
      <c r="AR529" s="8">
        <v>19300.73</v>
      </c>
      <c r="AS529" s="20">
        <v>43.519030999999998</v>
      </c>
      <c r="AT529" s="8">
        <v>44056402.032555118</v>
      </c>
      <c r="AU529" s="8">
        <v>26600.8439</v>
      </c>
      <c r="AV529" s="8">
        <v>814.87429999999995</v>
      </c>
      <c r="AW529" s="8"/>
      <c r="AX529" s="9">
        <v>436.28438616666517</v>
      </c>
      <c r="AY529" s="6">
        <f t="shared" si="181"/>
        <v>2.2254539312784257E-2</v>
      </c>
      <c r="AZ529" s="8">
        <v>415006397.60089999</v>
      </c>
      <c r="BA529" s="10">
        <v>60480066</v>
      </c>
      <c r="BB529" s="11">
        <v>44056402.032555118</v>
      </c>
      <c r="BC529" s="10">
        <v>2971324</v>
      </c>
      <c r="BD529" s="10">
        <f>1000000000-999237411.2277+249429.7372</f>
        <v>1012018.5095000049</v>
      </c>
      <c r="BE529" s="12">
        <f t="shared" si="182"/>
        <v>476473791.85704494</v>
      </c>
      <c r="BF529" s="13">
        <v>234.06305900000001</v>
      </c>
      <c r="BG529" s="13">
        <f t="shared" si="183"/>
        <v>242.41073285704493</v>
      </c>
      <c r="BH529" s="14">
        <f>BE529*43.37</f>
        <v>20664668352.840038</v>
      </c>
    </row>
    <row r="530" spans="1:60" x14ac:dyDescent="0.25">
      <c r="A530" s="3">
        <v>46152</v>
      </c>
      <c r="B530" s="4">
        <v>3754075741</v>
      </c>
      <c r="C530" s="4">
        <v>837436864.67999995</v>
      </c>
      <c r="D530" s="4">
        <v>89993478</v>
      </c>
      <c r="E530" s="4">
        <v>6999973.4299999997</v>
      </c>
      <c r="F530" s="17">
        <v>470025421.88291931</v>
      </c>
      <c r="G530" s="17">
        <v>10011316.700782759</v>
      </c>
      <c r="H530" s="17">
        <v>4064692.6878573131</v>
      </c>
      <c r="I530" s="17">
        <v>209921792.98761609</v>
      </c>
      <c r="J530" s="17">
        <v>3892740.3640832771</v>
      </c>
      <c r="K530" s="17">
        <v>139520900.05674121</v>
      </c>
      <c r="L530" s="14">
        <f t="shared" si="176"/>
        <v>837436864.68000007</v>
      </c>
      <c r="M530" s="21">
        <v>1.017401775029259</v>
      </c>
      <c r="N530" s="4">
        <v>1286175.3600000001</v>
      </c>
      <c r="O530" s="4">
        <v>115047.78</v>
      </c>
      <c r="P530" s="4">
        <v>42633.14</v>
      </c>
      <c r="Q530" s="4">
        <v>16.861481000000001</v>
      </c>
      <c r="R530" s="14">
        <f t="shared" si="163"/>
        <v>1443873.141481</v>
      </c>
      <c r="S530" s="6">
        <v>0.01</v>
      </c>
      <c r="T530" s="14">
        <f t="shared" si="164"/>
        <v>12861.753600000002</v>
      </c>
      <c r="U530" s="14">
        <f t="shared" si="165"/>
        <v>590.41210000000001</v>
      </c>
      <c r="V530" s="14">
        <f t="shared" si="166"/>
        <v>333.58820000000003</v>
      </c>
      <c r="W530" s="14">
        <f t="shared" si="167"/>
        <v>0.16861481</v>
      </c>
      <c r="X530" s="4">
        <v>9274.32</v>
      </c>
      <c r="Y530" s="4">
        <v>56006.57</v>
      </c>
      <c r="Z530" s="4">
        <v>0</v>
      </c>
      <c r="AA530" s="14">
        <f t="shared" si="168"/>
        <v>79066.812514810008</v>
      </c>
      <c r="AB530" s="4">
        <v>82680.525399999999</v>
      </c>
      <c r="AC530" s="4">
        <v>1286175.3600000001</v>
      </c>
      <c r="AD530" s="14">
        <f t="shared" si="169"/>
        <v>59041.21</v>
      </c>
      <c r="AE530" s="14">
        <f t="shared" si="170"/>
        <v>33358.82</v>
      </c>
      <c r="AF530" s="14">
        <f t="shared" si="171"/>
        <v>16.861481000000001</v>
      </c>
      <c r="AG530" s="15">
        <f t="shared" si="172"/>
        <v>1378592.2514810001</v>
      </c>
      <c r="AH530" s="4">
        <v>1107992.98</v>
      </c>
      <c r="AI530" s="17">
        <f t="shared" si="173"/>
        <v>270599.27148100012</v>
      </c>
      <c r="AJ530" s="7">
        <f t="shared" si="177"/>
        <v>3.4260772790305833</v>
      </c>
      <c r="AK530" s="7">
        <f t="shared" si="178"/>
        <v>1.3738084009946454</v>
      </c>
      <c r="AL530" s="7">
        <f t="shared" si="179"/>
        <v>4.7373588561606654</v>
      </c>
      <c r="AM530" s="7">
        <f t="shared" si="180"/>
        <v>2.4087921430867489E-2</v>
      </c>
      <c r="AN530" s="4">
        <v>4284.6145289556716</v>
      </c>
      <c r="AO530" s="4">
        <v>0</v>
      </c>
      <c r="AP530" s="14">
        <f t="shared" si="174"/>
        <v>1112277.5945289556</v>
      </c>
      <c r="AQ530" s="14">
        <f t="shared" si="175"/>
        <v>1107992.98</v>
      </c>
      <c r="AR530" s="8">
        <v>25784.42</v>
      </c>
      <c r="AS530" s="20">
        <v>42.971414000000003</v>
      </c>
      <c r="AT530" s="8">
        <v>44084955.45255512</v>
      </c>
      <c r="AU530" s="8">
        <v>26614.605500000001</v>
      </c>
      <c r="AV530" s="8">
        <v>1133.6261999999999</v>
      </c>
      <c r="AW530" s="8"/>
      <c r="AX530" s="9">
        <v>436.09534506929373</v>
      </c>
      <c r="AY530" s="6">
        <f t="shared" si="181"/>
        <v>2.2275704424124118E-2</v>
      </c>
      <c r="AZ530" s="8">
        <v>414979782.99540001</v>
      </c>
      <c r="BA530" s="10">
        <v>60480066</v>
      </c>
      <c r="BB530" s="11">
        <v>44084955.45255512</v>
      </c>
      <c r="BC530" s="10">
        <v>2971324</v>
      </c>
      <c r="BD530" s="10">
        <f>1000000000-999236277.6014+249529.9106</f>
        <v>1013252.3091999823</v>
      </c>
      <c r="BE530" s="12">
        <f t="shared" si="182"/>
        <v>476470619.24284494</v>
      </c>
      <c r="BF530" s="13">
        <v>234.06305900000001</v>
      </c>
      <c r="BG530" s="13">
        <f t="shared" si="183"/>
        <v>242.40756024284491</v>
      </c>
      <c r="BH530" s="14">
        <f>BE530*42.78</f>
        <v>20383413091.208908</v>
      </c>
    </row>
    <row r="531" spans="1:60" x14ac:dyDescent="0.25">
      <c r="A531" s="3">
        <v>46153</v>
      </c>
      <c r="B531" s="4">
        <v>4406834193</v>
      </c>
      <c r="C531" s="4">
        <v>2549929223.9400001</v>
      </c>
      <c r="D531" s="4">
        <v>104068488</v>
      </c>
      <c r="E531" s="4">
        <v>6273952.79</v>
      </c>
      <c r="F531" s="17">
        <v>1218753809.320508</v>
      </c>
      <c r="G531" s="17">
        <v>10007782.86265556</v>
      </c>
      <c r="H531" s="17">
        <v>4803006.1078721397</v>
      </c>
      <c r="I531" s="17">
        <v>415348917.41452932</v>
      </c>
      <c r="J531" s="17">
        <v>1257778.530016799</v>
      </c>
      <c r="K531" s="17">
        <v>899757929.70441902</v>
      </c>
      <c r="L531" s="14">
        <f t="shared" si="176"/>
        <v>2549929223.940001</v>
      </c>
      <c r="M531" s="21">
        <v>1.003679439290567</v>
      </c>
      <c r="N531" s="4">
        <v>1426770.73</v>
      </c>
      <c r="O531" s="4">
        <v>262921.34999999998</v>
      </c>
      <c r="P531" s="4">
        <v>54553.96</v>
      </c>
      <c r="Q531" s="4">
        <v>13.857257000000001</v>
      </c>
      <c r="R531" s="14">
        <f t="shared" si="163"/>
        <v>1744259.897257</v>
      </c>
      <c r="S531" s="6">
        <v>0.01</v>
      </c>
      <c r="T531" s="14">
        <f t="shared" si="164"/>
        <v>14267.7073</v>
      </c>
      <c r="U531" s="14">
        <f t="shared" si="165"/>
        <v>1329.2379999999998</v>
      </c>
      <c r="V531" s="14">
        <f t="shared" si="166"/>
        <v>418.21780000000001</v>
      </c>
      <c r="W531" s="14">
        <f t="shared" si="167"/>
        <v>0.13857257000000001</v>
      </c>
      <c r="X531" s="4">
        <v>12732.18</v>
      </c>
      <c r="Y531" s="4">
        <v>129997.55</v>
      </c>
      <c r="Z531" s="4">
        <v>0</v>
      </c>
      <c r="AA531" s="14">
        <f t="shared" si="168"/>
        <v>158745.03167257001</v>
      </c>
      <c r="AB531" s="4">
        <v>110277.1002</v>
      </c>
      <c r="AC531" s="4">
        <v>1426770.73</v>
      </c>
      <c r="AD531" s="14">
        <f t="shared" si="169"/>
        <v>132923.79999999999</v>
      </c>
      <c r="AE531" s="14">
        <f t="shared" si="170"/>
        <v>41821.78</v>
      </c>
      <c r="AF531" s="14">
        <f t="shared" si="171"/>
        <v>13.857257000000001</v>
      </c>
      <c r="AG531" s="15">
        <f t="shared" si="172"/>
        <v>1601530.167257</v>
      </c>
      <c r="AH531" s="4">
        <v>1503455.78</v>
      </c>
      <c r="AI531" s="17">
        <f t="shared" si="173"/>
        <v>98074.387256999966</v>
      </c>
      <c r="AJ531" s="7">
        <f t="shared" si="177"/>
        <v>3.2376319768652571</v>
      </c>
      <c r="AK531" s="7">
        <f t="shared" si="178"/>
        <v>1.0310927359534687</v>
      </c>
      <c r="AL531" s="7">
        <f t="shared" si="179"/>
        <v>5.2421209386649297</v>
      </c>
      <c r="AM531" s="7">
        <f t="shared" si="180"/>
        <v>2.2086964093971134E-2</v>
      </c>
      <c r="AN531" s="4">
        <v>4776.5641134129173</v>
      </c>
      <c r="AO531" s="4">
        <v>0</v>
      </c>
      <c r="AP531" s="14">
        <f t="shared" si="174"/>
        <v>1508232.344113413</v>
      </c>
      <c r="AQ531" s="14">
        <f t="shared" si="175"/>
        <v>1503455.78</v>
      </c>
      <c r="AR531" s="8">
        <v>35854.160000000003</v>
      </c>
      <c r="AS531" s="20">
        <v>41.932533999999997</v>
      </c>
      <c r="AT531" s="8">
        <v>44118026.482555121</v>
      </c>
      <c r="AU531" s="8">
        <v>26610.203799999999</v>
      </c>
      <c r="AV531" s="8">
        <v>579.20630000000006</v>
      </c>
      <c r="AW531" s="8"/>
      <c r="AX531" s="9">
        <v>436.17936256616548</v>
      </c>
      <c r="AY531" s="6">
        <f t="shared" si="181"/>
        <v>2.2267730251741665E-2</v>
      </c>
      <c r="AZ531" s="8">
        <v>414953172.79159999</v>
      </c>
      <c r="BA531" s="10">
        <v>60480066</v>
      </c>
      <c r="BB531" s="11">
        <v>44118026.482555121</v>
      </c>
      <c r="BC531" s="10">
        <v>2971324</v>
      </c>
      <c r="BD531" s="10">
        <f>1000000000-999235698.3951+249641.0503</f>
        <v>1013942.6552000025</v>
      </c>
      <c r="BE531" s="12">
        <f t="shared" si="182"/>
        <v>476463468.07064486</v>
      </c>
      <c r="BF531" s="13">
        <v>234.06305900000001</v>
      </c>
      <c r="BG531" s="13">
        <f t="shared" si="183"/>
        <v>242.40040907064486</v>
      </c>
      <c r="BH531" s="14">
        <f>BE531*42.99</f>
        <v>20483164492.357025</v>
      </c>
    </row>
    <row r="532" spans="1:60" x14ac:dyDescent="0.25">
      <c r="A532" s="3">
        <v>46154</v>
      </c>
      <c r="B532" s="4">
        <v>3827311169</v>
      </c>
      <c r="C532" s="4">
        <v>2481479232.6999998</v>
      </c>
      <c r="D532" s="4">
        <v>115173178</v>
      </c>
      <c r="E532" s="4">
        <v>5284614.03</v>
      </c>
      <c r="F532" s="17">
        <v>1040225466.21351</v>
      </c>
      <c r="G532" s="17">
        <v>7928764.8333855979</v>
      </c>
      <c r="H532" s="17">
        <v>4114493.3687983542</v>
      </c>
      <c r="I532" s="17">
        <v>573795477.4026612</v>
      </c>
      <c r="J532" s="17">
        <v>1087288.1912887141</v>
      </c>
      <c r="K532" s="17">
        <v>854327742.69035554</v>
      </c>
      <c r="L532" s="14">
        <f t="shared" si="176"/>
        <v>2481479232.6999993</v>
      </c>
      <c r="M532" s="21">
        <v>1.0054075660556661</v>
      </c>
      <c r="N532" s="4">
        <v>1325687.04</v>
      </c>
      <c r="O532" s="4">
        <v>253691.26</v>
      </c>
      <c r="P532" s="4">
        <v>58391.49</v>
      </c>
      <c r="Q532" s="4">
        <v>14.773001000000001</v>
      </c>
      <c r="R532" s="14">
        <f t="shared" si="163"/>
        <v>1637784.5630010001</v>
      </c>
      <c r="S532" s="6">
        <v>0.01</v>
      </c>
      <c r="T532" s="14">
        <f t="shared" si="164"/>
        <v>13256.8704</v>
      </c>
      <c r="U532" s="14">
        <f t="shared" si="165"/>
        <v>1277.9733000000001</v>
      </c>
      <c r="V532" s="14">
        <f t="shared" si="166"/>
        <v>457.80779999999999</v>
      </c>
      <c r="W532" s="14">
        <f t="shared" si="167"/>
        <v>0.14773001000000002</v>
      </c>
      <c r="X532" s="4">
        <v>12610.71</v>
      </c>
      <c r="Y532" s="4">
        <v>125893.93</v>
      </c>
      <c r="Z532" s="4">
        <v>0</v>
      </c>
      <c r="AA532" s="14">
        <f t="shared" si="168"/>
        <v>153497.43923001</v>
      </c>
      <c r="AB532" s="4">
        <v>106620.13189999999</v>
      </c>
      <c r="AC532" s="4">
        <v>1325687.04</v>
      </c>
      <c r="AD532" s="14">
        <f t="shared" si="169"/>
        <v>127797.33000000002</v>
      </c>
      <c r="AE532" s="14">
        <f t="shared" si="170"/>
        <v>45780.78</v>
      </c>
      <c r="AF532" s="14">
        <f t="shared" si="171"/>
        <v>14.773001000000001</v>
      </c>
      <c r="AG532" s="15">
        <f t="shared" si="172"/>
        <v>1499279.9230010002</v>
      </c>
      <c r="AH532" s="4">
        <v>1301986.49</v>
      </c>
      <c r="AI532" s="17">
        <f t="shared" si="173"/>
        <v>197293.4330010002</v>
      </c>
      <c r="AJ532" s="7">
        <f t="shared" si="177"/>
        <v>3.4637555752917151</v>
      </c>
      <c r="AK532" s="7">
        <f t="shared" si="178"/>
        <v>1.0223388399022326</v>
      </c>
      <c r="AL532" s="7">
        <f t="shared" si="179"/>
        <v>5.0698861500548329</v>
      </c>
      <c r="AM532" s="7">
        <f t="shared" si="180"/>
        <v>2.7954739771222231E-2</v>
      </c>
      <c r="AN532" s="4">
        <v>4902.0212589885969</v>
      </c>
      <c r="AO532" s="4">
        <v>0</v>
      </c>
      <c r="AP532" s="14">
        <f t="shared" si="174"/>
        <v>1306888.5112589886</v>
      </c>
      <c r="AQ532" s="14">
        <f t="shared" si="175"/>
        <v>1301986.49</v>
      </c>
      <c r="AR532" s="8">
        <v>31952.45</v>
      </c>
      <c r="AS532" s="20">
        <v>40.747625999999997</v>
      </c>
      <c r="AT532" s="8">
        <v>44149672.242555119</v>
      </c>
      <c r="AU532" s="8">
        <v>26614.017800000001</v>
      </c>
      <c r="AV532" s="8">
        <v>1471.4833000000001</v>
      </c>
      <c r="AW532" s="8"/>
      <c r="AX532" s="9">
        <v>436.30830153684519</v>
      </c>
      <c r="AY532" s="6">
        <f t="shared" si="181"/>
        <v>2.2264340290531162E-2</v>
      </c>
      <c r="AZ532" s="8">
        <v>414926558.77380002</v>
      </c>
      <c r="BA532" s="10">
        <v>60480066</v>
      </c>
      <c r="BB532" s="11">
        <v>44149672.242555119</v>
      </c>
      <c r="BC532" s="10">
        <v>2971324</v>
      </c>
      <c r="BD532" s="10">
        <f>1000000000-999234226.9118+249758.36</f>
        <v>1015531.4481999731</v>
      </c>
      <c r="BE532" s="12">
        <f t="shared" si="182"/>
        <v>476456847.53544486</v>
      </c>
      <c r="BF532" s="13">
        <v>234.06305900000001</v>
      </c>
      <c r="BG532" s="13">
        <f t="shared" si="183"/>
        <v>242.39378853544486</v>
      </c>
      <c r="BH532" s="14">
        <f>BE532*41.81</f>
        <v>19920660795.456951</v>
      </c>
    </row>
    <row r="533" spans="1:60" x14ac:dyDescent="0.25">
      <c r="A533" s="3">
        <v>46155</v>
      </c>
      <c r="B533" s="4">
        <v>4161634079</v>
      </c>
      <c r="C533" s="4">
        <v>2383796483.25</v>
      </c>
      <c r="D533" s="4">
        <v>135621685</v>
      </c>
      <c r="E533" s="4">
        <v>5234307.59</v>
      </c>
      <c r="F533" s="17">
        <v>1015344070.734763</v>
      </c>
      <c r="G533" s="17">
        <v>8580933.7910882011</v>
      </c>
      <c r="H533" s="17">
        <v>11825990.21504277</v>
      </c>
      <c r="I533" s="17">
        <v>590951907.67253029</v>
      </c>
      <c r="J533" s="17">
        <v>529135.88785103068</v>
      </c>
      <c r="K533" s="17">
        <v>756564444.94872427</v>
      </c>
      <c r="L533" s="14">
        <f t="shared" si="176"/>
        <v>2383796483.25</v>
      </c>
      <c r="M533" s="21">
        <v>1.003867289727427</v>
      </c>
      <c r="N533" s="4">
        <v>1449219.18</v>
      </c>
      <c r="O533" s="4">
        <v>244189.56</v>
      </c>
      <c r="P533" s="4">
        <v>64879.91</v>
      </c>
      <c r="Q533" s="4">
        <v>14.227130000000001</v>
      </c>
      <c r="R533" s="14">
        <f t="shared" si="163"/>
        <v>1758302.8771299999</v>
      </c>
      <c r="S533" s="6">
        <v>0.01</v>
      </c>
      <c r="T533" s="14">
        <f t="shared" si="164"/>
        <v>14492.191800000001</v>
      </c>
      <c r="U533" s="14">
        <f t="shared" si="165"/>
        <v>1233.9102</v>
      </c>
      <c r="V533" s="14">
        <f t="shared" si="166"/>
        <v>499.70300000000003</v>
      </c>
      <c r="W533" s="14">
        <f t="shared" si="167"/>
        <v>0.14227130000000002</v>
      </c>
      <c r="X533" s="4">
        <v>14909.61</v>
      </c>
      <c r="Y533" s="4">
        <v>120798.54</v>
      </c>
      <c r="Z533" s="4">
        <v>0</v>
      </c>
      <c r="AA533" s="14">
        <f t="shared" si="168"/>
        <v>151934.09727129998</v>
      </c>
      <c r="AB533" s="4">
        <v>107660.56230000001</v>
      </c>
      <c r="AC533" s="4">
        <v>1449219.18</v>
      </c>
      <c r="AD533" s="14">
        <f t="shared" si="169"/>
        <v>123391.02</v>
      </c>
      <c r="AE533" s="14">
        <f t="shared" si="170"/>
        <v>49970.3</v>
      </c>
      <c r="AF533" s="14">
        <f t="shared" si="171"/>
        <v>14.227130000000001</v>
      </c>
      <c r="AG533" s="15">
        <f t="shared" si="172"/>
        <v>1622594.72713</v>
      </c>
      <c r="AH533" s="4">
        <v>1387474.39</v>
      </c>
      <c r="AI533" s="17">
        <f t="shared" si="173"/>
        <v>235120.33713000012</v>
      </c>
      <c r="AJ533" s="7">
        <f t="shared" si="177"/>
        <v>3.4823320659375061</v>
      </c>
      <c r="AK533" s="7">
        <f t="shared" si="178"/>
        <v>1.0243725155055139</v>
      </c>
      <c r="AL533" s="7">
        <f t="shared" si="179"/>
        <v>4.7838890956118121</v>
      </c>
      <c r="AM533" s="7">
        <f t="shared" si="180"/>
        <v>2.7180538696618708E-2</v>
      </c>
      <c r="AN533" s="4">
        <v>5587.2628903739396</v>
      </c>
      <c r="AO533" s="4">
        <v>0</v>
      </c>
      <c r="AP533" s="14">
        <f t="shared" si="174"/>
        <v>1393061.652890374</v>
      </c>
      <c r="AQ533" s="14">
        <f t="shared" si="175"/>
        <v>1387474.39</v>
      </c>
      <c r="AR533" s="8">
        <v>35195.46</v>
      </c>
      <c r="AS533" s="20">
        <v>39.421970000000002</v>
      </c>
      <c r="AT533" s="8">
        <v>44185039.262555122</v>
      </c>
      <c r="AU533" s="8">
        <v>26616.4908</v>
      </c>
      <c r="AV533" s="8">
        <v>902.44039999999995</v>
      </c>
      <c r="AW533" s="8"/>
      <c r="AX533" s="9">
        <v>436.2137014694062</v>
      </c>
      <c r="AY533" s="6">
        <f t="shared" si="181"/>
        <v>2.2271237948910144E-2</v>
      </c>
      <c r="AZ533" s="8">
        <v>414899942.28299999</v>
      </c>
      <c r="BA533" s="10">
        <v>60480066</v>
      </c>
      <c r="BB533" s="11">
        <v>44185039.262555122</v>
      </c>
      <c r="BC533" s="10">
        <v>2971324</v>
      </c>
      <c r="BD533" s="10">
        <f>1000000000-999233324.4715+249897.6342</f>
        <v>1016573.1626999609</v>
      </c>
      <c r="BE533" s="12">
        <f t="shared" si="182"/>
        <v>476447055.29174495</v>
      </c>
      <c r="BF533" s="13">
        <v>234.06305900000001</v>
      </c>
      <c r="BG533" s="13">
        <f t="shared" si="183"/>
        <v>242.38399629174495</v>
      </c>
      <c r="BH533" s="14">
        <f>BE533*40.09</f>
        <v>19100762446.646057</v>
      </c>
    </row>
    <row r="534" spans="1:60" x14ac:dyDescent="0.25">
      <c r="A534" s="3">
        <v>46156</v>
      </c>
      <c r="B534" s="4">
        <v>5319008471</v>
      </c>
      <c r="C534" s="4">
        <v>2781227777.04</v>
      </c>
      <c r="D534" s="4">
        <v>244203831</v>
      </c>
      <c r="E534" s="4">
        <v>5326073.26</v>
      </c>
      <c r="F534" s="17">
        <v>948145637.27040863</v>
      </c>
      <c r="G534" s="17">
        <v>8973450.509291593</v>
      </c>
      <c r="H534" s="17">
        <v>10539673.836897559</v>
      </c>
      <c r="I534" s="17">
        <v>717524101.6858933</v>
      </c>
      <c r="J534" s="17">
        <v>371153.73625621689</v>
      </c>
      <c r="K534" s="17">
        <v>1095673760.0012529</v>
      </c>
      <c r="L534" s="14">
        <f t="shared" si="176"/>
        <v>2781227777.04</v>
      </c>
      <c r="M534" s="21">
        <v>1.003788141628547</v>
      </c>
      <c r="N534" s="4">
        <v>1806226.12</v>
      </c>
      <c r="O534" s="4">
        <v>281161.63</v>
      </c>
      <c r="P534" s="4">
        <v>126438.31</v>
      </c>
      <c r="Q534" s="4">
        <v>9.6743430000000004</v>
      </c>
      <c r="R534" s="14">
        <f t="shared" si="163"/>
        <v>2213835.7343430002</v>
      </c>
      <c r="S534" s="6">
        <v>0.01</v>
      </c>
      <c r="T534" s="14">
        <f t="shared" si="164"/>
        <v>18062.261200000001</v>
      </c>
      <c r="U534" s="14">
        <f t="shared" si="165"/>
        <v>1419.325</v>
      </c>
      <c r="V534" s="14">
        <f t="shared" si="166"/>
        <v>1056.2394999999999</v>
      </c>
      <c r="W534" s="14">
        <f t="shared" si="167"/>
        <v>9.6743430000000005E-2</v>
      </c>
      <c r="X534" s="4">
        <v>20814.36</v>
      </c>
      <c r="Y534" s="4">
        <v>139229.13</v>
      </c>
      <c r="Z534" s="4">
        <v>0</v>
      </c>
      <c r="AA534" s="14">
        <f t="shared" si="168"/>
        <v>180581.41244342999</v>
      </c>
      <c r="AB534" s="4">
        <v>116809.2362</v>
      </c>
      <c r="AC534" s="4">
        <v>1806226.12</v>
      </c>
      <c r="AD534" s="14">
        <f t="shared" si="169"/>
        <v>141932.5</v>
      </c>
      <c r="AE534" s="14">
        <f t="shared" si="170"/>
        <v>105623.95</v>
      </c>
      <c r="AF534" s="14">
        <f t="shared" si="171"/>
        <v>9.6743430000000004</v>
      </c>
      <c r="AG534" s="15">
        <f t="shared" si="172"/>
        <v>2053792.244343</v>
      </c>
      <c r="AH534" s="4">
        <v>1748781.04</v>
      </c>
      <c r="AI534" s="17">
        <f t="shared" si="173"/>
        <v>305011.20434299996</v>
      </c>
      <c r="AJ534" s="7">
        <f t="shared" si="177"/>
        <v>3.3957947798876518</v>
      </c>
      <c r="AK534" s="7">
        <f t="shared" si="178"/>
        <v>1.0109262978066262</v>
      </c>
      <c r="AL534" s="7">
        <f t="shared" si="179"/>
        <v>5.1775727465962644</v>
      </c>
      <c r="AM534" s="7">
        <f t="shared" si="180"/>
        <v>1.8164119282129441E-2</v>
      </c>
      <c r="AN534" s="4">
        <v>33086.836662079011</v>
      </c>
      <c r="AO534" s="4">
        <v>0</v>
      </c>
      <c r="AP534" s="14">
        <f t="shared" si="174"/>
        <v>1781867.876662079</v>
      </c>
      <c r="AQ534" s="14">
        <f t="shared" si="175"/>
        <v>1748781.04</v>
      </c>
      <c r="AR534" s="8">
        <v>41200.400000000001</v>
      </c>
      <c r="AS534" s="20">
        <v>42.445729999999998</v>
      </c>
      <c r="AT534" s="8">
        <v>44226023.88255512</v>
      </c>
      <c r="AU534" s="8">
        <v>26607.390800000001</v>
      </c>
      <c r="AV534" s="8">
        <v>1385.9429</v>
      </c>
      <c r="AW534" s="8"/>
      <c r="AX534" s="9">
        <v>423.88016922543449</v>
      </c>
      <c r="AY534" s="6">
        <f t="shared" si="181"/>
        <v>2.2911422489394581E-2</v>
      </c>
      <c r="AZ534" s="8">
        <v>414873334.89219999</v>
      </c>
      <c r="BA534" s="10">
        <v>60480066</v>
      </c>
      <c r="BB534" s="11">
        <v>44226023.88255512</v>
      </c>
      <c r="BC534" s="10">
        <v>2971324</v>
      </c>
      <c r="BD534" s="10">
        <f>1000000000-999231938.5286+250750.0802</f>
        <v>1018811.5516000225</v>
      </c>
      <c r="BE534" s="12">
        <f t="shared" si="182"/>
        <v>476430439.67364484</v>
      </c>
      <c r="BF534" s="13">
        <v>234.06305900000001</v>
      </c>
      <c r="BG534" s="13">
        <f t="shared" si="183"/>
        <v>242.36738067364485</v>
      </c>
      <c r="BH534" s="14">
        <f>BE534*38.79</f>
        <v>18480736754.940681</v>
      </c>
    </row>
    <row r="535" spans="1:60" x14ac:dyDescent="0.25">
      <c r="A535" s="3">
        <v>46157</v>
      </c>
      <c r="B535" s="4">
        <v>5168551053</v>
      </c>
      <c r="C535" s="4">
        <v>2946135898.9299998</v>
      </c>
      <c r="D535" s="4">
        <v>208127883</v>
      </c>
      <c r="E535" s="4">
        <v>6355170.5300000003</v>
      </c>
      <c r="F535" s="17">
        <v>928520725.75384736</v>
      </c>
      <c r="G535" s="17">
        <v>15655995.726425851</v>
      </c>
      <c r="H535" s="17">
        <v>10529016.766999921</v>
      </c>
      <c r="I535" s="17">
        <v>1013909749.5470819</v>
      </c>
      <c r="J535" s="17">
        <v>542665.25450046477</v>
      </c>
      <c r="K535" s="17">
        <v>976977745.88114369</v>
      </c>
      <c r="L535" s="14">
        <f t="shared" si="176"/>
        <v>2946135898.9299994</v>
      </c>
      <c r="M535" s="21">
        <v>1.000831516472459</v>
      </c>
      <c r="N535" s="4">
        <v>1750277.07</v>
      </c>
      <c r="O535" s="4">
        <v>301347.84999999998</v>
      </c>
      <c r="P535" s="4">
        <v>109040.73</v>
      </c>
      <c r="Q535" s="4">
        <v>3.3678490000000001</v>
      </c>
      <c r="R535" s="14">
        <f t="shared" si="163"/>
        <v>2160669.0178489997</v>
      </c>
      <c r="S535" s="6">
        <v>0.01</v>
      </c>
      <c r="T535" s="14">
        <f t="shared" si="164"/>
        <v>17502.770700000001</v>
      </c>
      <c r="U535" s="14">
        <f t="shared" si="165"/>
        <v>1530.1028999999999</v>
      </c>
      <c r="V535" s="14">
        <f t="shared" si="166"/>
        <v>979.11839999999995</v>
      </c>
      <c r="W535" s="14">
        <f t="shared" si="167"/>
        <v>3.3678489999999998E-2</v>
      </c>
      <c r="X535" s="4">
        <v>11128.89</v>
      </c>
      <c r="Y535" s="4">
        <v>148337.56</v>
      </c>
      <c r="Z535" s="4">
        <v>0</v>
      </c>
      <c r="AA535" s="14">
        <f t="shared" si="168"/>
        <v>179478.47567849001</v>
      </c>
      <c r="AB535" s="4">
        <v>118435.43730000001</v>
      </c>
      <c r="AC535" s="4">
        <v>1750277.07</v>
      </c>
      <c r="AD535" s="14">
        <f t="shared" si="169"/>
        <v>153010.28999999998</v>
      </c>
      <c r="AE535" s="14">
        <f t="shared" si="170"/>
        <v>97911.84</v>
      </c>
      <c r="AF535" s="14">
        <f t="shared" si="171"/>
        <v>3.3678490000000001</v>
      </c>
      <c r="AG535" s="15">
        <f t="shared" si="172"/>
        <v>2001202.5678490002</v>
      </c>
      <c r="AH535" s="4">
        <v>1737412.39</v>
      </c>
      <c r="AI535" s="17">
        <f t="shared" si="173"/>
        <v>263790.17784900032</v>
      </c>
      <c r="AJ535" s="7">
        <f t="shared" si="177"/>
        <v>3.3863979518671496</v>
      </c>
      <c r="AK535" s="7">
        <f t="shared" si="178"/>
        <v>1.0228579411745595</v>
      </c>
      <c r="AL535" s="7">
        <f t="shared" si="179"/>
        <v>5.2391216605994115</v>
      </c>
      <c r="AM535" s="7">
        <f t="shared" si="180"/>
        <v>5.2993841535830515E-3</v>
      </c>
      <c r="AN535" s="4">
        <v>56910.892171329149</v>
      </c>
      <c r="AO535" s="4">
        <v>0</v>
      </c>
      <c r="AP535" s="14">
        <f t="shared" si="174"/>
        <v>1794323.282171329</v>
      </c>
      <c r="AQ535" s="14">
        <f t="shared" si="175"/>
        <v>1737412.39</v>
      </c>
      <c r="AR535" s="8">
        <v>38942.449999999997</v>
      </c>
      <c r="AS535" s="20">
        <v>44.614871000000001</v>
      </c>
      <c r="AT535" s="8">
        <v>44264838.122555122</v>
      </c>
      <c r="AU535" s="8">
        <v>25631.439900000001</v>
      </c>
      <c r="AV535" s="8">
        <v>1654.86</v>
      </c>
      <c r="AW535" s="8"/>
      <c r="AX535" s="9">
        <v>435.36415762765267</v>
      </c>
      <c r="AY535" s="6">
        <f t="shared" si="181"/>
        <v>2.1488851113695299E-2</v>
      </c>
      <c r="AZ535" s="8">
        <v>414847703.45230001</v>
      </c>
      <c r="BA535" s="10">
        <v>60480066</v>
      </c>
      <c r="BB535" s="11">
        <v>44264838.122555122</v>
      </c>
      <c r="BC535" s="10">
        <v>2971324</v>
      </c>
      <c r="BD535" s="10">
        <f>1000000000-999230283.6686+252019.7324</f>
        <v>1021736.0638000368</v>
      </c>
      <c r="BE535" s="12">
        <f t="shared" si="182"/>
        <v>476414332.36134475</v>
      </c>
      <c r="BF535" s="13">
        <v>234.06305900000001</v>
      </c>
      <c r="BG535" s="13">
        <f t="shared" si="183"/>
        <v>242.35127336134474</v>
      </c>
      <c r="BH535" s="14">
        <f>BE535*44.84</f>
        <v>21362418663.082699</v>
      </c>
    </row>
    <row r="536" spans="1:60" x14ac:dyDescent="0.25">
      <c r="A536" s="3">
        <v>46158</v>
      </c>
      <c r="B536" s="4">
        <v>3145515160</v>
      </c>
      <c r="C536" s="4">
        <v>303544790.70999998</v>
      </c>
      <c r="D536" s="4">
        <v>141001530</v>
      </c>
      <c r="E536" s="4">
        <v>3439029.05</v>
      </c>
      <c r="F536" s="17">
        <v>146752841.66842309</v>
      </c>
      <c r="G536" s="17">
        <v>7899271.4443785623</v>
      </c>
      <c r="H536" s="17">
        <v>862726.39368963498</v>
      </c>
      <c r="I536" s="17">
        <v>72952434.77044037</v>
      </c>
      <c r="J536" s="17">
        <v>523258.8116879646</v>
      </c>
      <c r="K536" s="17">
        <v>74554257.621380389</v>
      </c>
      <c r="L536" s="14">
        <f t="shared" si="176"/>
        <v>303544790.71000004</v>
      </c>
      <c r="M536" s="21">
        <v>1.0000138871791799</v>
      </c>
      <c r="N536" s="4">
        <v>1051056.8999999999</v>
      </c>
      <c r="O536" s="4">
        <v>65837.5</v>
      </c>
      <c r="P536" s="4">
        <v>67133.919999999998</v>
      </c>
      <c r="Q536" s="4">
        <v>3.8212130000000002</v>
      </c>
      <c r="R536" s="14">
        <f t="shared" si="163"/>
        <v>1184032.1412129998</v>
      </c>
      <c r="S536" s="6">
        <v>0.01</v>
      </c>
      <c r="T536" s="14">
        <f t="shared" si="164"/>
        <v>10510.569</v>
      </c>
      <c r="U536" s="14">
        <f t="shared" si="165"/>
        <v>342.81220000000002</v>
      </c>
      <c r="V536" s="14">
        <f t="shared" si="166"/>
        <v>599.53909999999996</v>
      </c>
      <c r="W536" s="14">
        <f t="shared" si="167"/>
        <v>3.8212130000000004E-2</v>
      </c>
      <c r="X536" s="4">
        <v>7180.01</v>
      </c>
      <c r="Y536" s="4">
        <v>31556.28</v>
      </c>
      <c r="Z536" s="4">
        <v>0</v>
      </c>
      <c r="AA536" s="14">
        <f t="shared" si="168"/>
        <v>50189.248512129998</v>
      </c>
      <c r="AB536" s="4">
        <v>65331.474899999987</v>
      </c>
      <c r="AC536" s="4">
        <v>1051056.8999999999</v>
      </c>
      <c r="AD536" s="14">
        <f t="shared" si="169"/>
        <v>34281.22</v>
      </c>
      <c r="AE536" s="14">
        <f t="shared" si="170"/>
        <v>59953.909999999996</v>
      </c>
      <c r="AF536" s="14">
        <f t="shared" si="171"/>
        <v>3.8212130000000002</v>
      </c>
      <c r="AG536" s="15">
        <f t="shared" si="172"/>
        <v>1145295.8512129998</v>
      </c>
      <c r="AH536" s="4">
        <v>985592.61</v>
      </c>
      <c r="AI536" s="17">
        <f t="shared" si="173"/>
        <v>159703.2412129998</v>
      </c>
      <c r="AJ536" s="7">
        <f t="shared" si="177"/>
        <v>3.3414459843201008</v>
      </c>
      <c r="AK536" s="7">
        <f t="shared" si="178"/>
        <v>2.1689550278891034</v>
      </c>
      <c r="AL536" s="7">
        <f t="shared" si="179"/>
        <v>4.7612192576917423</v>
      </c>
      <c r="AM536" s="7">
        <f t="shared" si="180"/>
        <v>1.1111313526124475E-2</v>
      </c>
      <c r="AN536" s="4">
        <v>24980.307993947401</v>
      </c>
      <c r="AO536" s="4">
        <v>0</v>
      </c>
      <c r="AP536" s="14">
        <f t="shared" si="174"/>
        <v>1010572.9179939474</v>
      </c>
      <c r="AQ536" s="14">
        <f t="shared" si="175"/>
        <v>985592.61</v>
      </c>
      <c r="AR536" s="8">
        <v>23679.72</v>
      </c>
      <c r="AS536" s="20">
        <v>41.621802000000002</v>
      </c>
      <c r="AT536" s="8">
        <v>44288634.982555121</v>
      </c>
      <c r="AU536" s="8">
        <v>25664.852699999999</v>
      </c>
      <c r="AV536" s="8">
        <v>1916.8977</v>
      </c>
      <c r="AW536" s="8"/>
      <c r="AX536" s="9">
        <v>435.33490115797707</v>
      </c>
      <c r="AY536" s="6">
        <f t="shared" si="181"/>
        <v>2.1518309721049914E-2</v>
      </c>
      <c r="AZ536" s="8">
        <v>414822038.59960002</v>
      </c>
      <c r="BA536" s="10">
        <v>60480066</v>
      </c>
      <c r="BB536" s="11">
        <v>44288634.982555121</v>
      </c>
      <c r="BC536" s="10">
        <v>2971324</v>
      </c>
      <c r="BD536" s="10">
        <f>1000000000-999228366.7708+252584.8978</f>
        <v>1024218.1270000056</v>
      </c>
      <c r="BE536" s="12">
        <f t="shared" si="182"/>
        <v>476413718.29084474</v>
      </c>
      <c r="BF536" s="13">
        <v>234.06305900000001</v>
      </c>
      <c r="BG536" s="13">
        <f t="shared" si="183"/>
        <v>242.3506592908447</v>
      </c>
      <c r="BH536" s="14">
        <f>BE536*44.23</f>
        <v>21071778760.004063</v>
      </c>
    </row>
    <row r="537" spans="1:60" x14ac:dyDescent="0.25">
      <c r="A537" s="3">
        <v>46159</v>
      </c>
      <c r="B537" s="4">
        <v>3505125172</v>
      </c>
      <c r="C537" s="4">
        <v>482789990.18000001</v>
      </c>
      <c r="D537" s="4">
        <v>174221542</v>
      </c>
      <c r="E537" s="4">
        <v>4619129.33</v>
      </c>
      <c r="F537" s="17">
        <v>212642100.568661</v>
      </c>
      <c r="G537" s="17">
        <v>13283303.123634219</v>
      </c>
      <c r="H537" s="17">
        <v>1118137.6882590959</v>
      </c>
      <c r="I537" s="17">
        <v>150197454.23672241</v>
      </c>
      <c r="J537" s="17">
        <v>587968.98074806377</v>
      </c>
      <c r="K537" s="17">
        <v>104961025.58197521</v>
      </c>
      <c r="L537" s="14">
        <f t="shared" si="176"/>
        <v>482789990.18000001</v>
      </c>
      <c r="M537" s="21">
        <v>1.008434799227276</v>
      </c>
      <c r="N537" s="4">
        <v>1160135.1499999999</v>
      </c>
      <c r="O537" s="4">
        <v>67899.959999999992</v>
      </c>
      <c r="P537" s="4">
        <v>82037.2</v>
      </c>
      <c r="Q537" s="4">
        <v>4.2983469999999997</v>
      </c>
      <c r="R537" s="14">
        <f t="shared" si="163"/>
        <v>1310076.6083469999</v>
      </c>
      <c r="S537" s="6">
        <v>0.01</v>
      </c>
      <c r="T537" s="14">
        <f t="shared" si="164"/>
        <v>11601.351499999999</v>
      </c>
      <c r="U537" s="14">
        <f t="shared" si="165"/>
        <v>358.81389999999993</v>
      </c>
      <c r="V537" s="14">
        <f t="shared" si="166"/>
        <v>729.84979999999996</v>
      </c>
      <c r="W537" s="14">
        <f t="shared" si="167"/>
        <v>4.2983469999999996E-2</v>
      </c>
      <c r="X537" s="4">
        <v>9052.2199999999993</v>
      </c>
      <c r="Y537" s="4">
        <v>32018.57</v>
      </c>
      <c r="Z537" s="4">
        <v>0</v>
      </c>
      <c r="AA537" s="14">
        <f t="shared" si="168"/>
        <v>53760.84818347</v>
      </c>
      <c r="AB537" s="4">
        <v>69173.916100000002</v>
      </c>
      <c r="AC537" s="4">
        <v>1160135.1499999999</v>
      </c>
      <c r="AD537" s="14">
        <f t="shared" si="169"/>
        <v>35881.389999999992</v>
      </c>
      <c r="AE537" s="14">
        <f t="shared" si="170"/>
        <v>72984.98</v>
      </c>
      <c r="AF537" s="14">
        <f t="shared" si="171"/>
        <v>4.2983469999999997</v>
      </c>
      <c r="AG537" s="15">
        <f t="shared" si="172"/>
        <v>1269005.8183469998</v>
      </c>
      <c r="AH537" s="4">
        <v>1092883.03</v>
      </c>
      <c r="AI537" s="17">
        <f t="shared" si="173"/>
        <v>176122.78834699979</v>
      </c>
      <c r="AJ537" s="7">
        <f t="shared" si="177"/>
        <v>3.3098251647830166</v>
      </c>
      <c r="AK537" s="7">
        <f t="shared" si="178"/>
        <v>1.4064077835309852</v>
      </c>
      <c r="AL537" s="7">
        <f t="shared" si="179"/>
        <v>4.7087862418299569</v>
      </c>
      <c r="AM537" s="7">
        <f t="shared" si="180"/>
        <v>9.3055350758061567E-3</v>
      </c>
      <c r="AN537" s="4">
        <v>48359.774122160183</v>
      </c>
      <c r="AO537" s="4">
        <v>0</v>
      </c>
      <c r="AP537" s="14">
        <f t="shared" si="174"/>
        <v>1141242.8041221602</v>
      </c>
      <c r="AQ537" s="14">
        <f t="shared" si="175"/>
        <v>1092883.03</v>
      </c>
      <c r="AR537" s="8">
        <v>24689.87</v>
      </c>
      <c r="AS537" s="20">
        <v>44.264429999999997</v>
      </c>
      <c r="AT537" s="8">
        <v>44313760.832555123</v>
      </c>
      <c r="AU537" s="8">
        <v>26298.559000000001</v>
      </c>
      <c r="AV537" s="8">
        <v>1340.9038</v>
      </c>
      <c r="AW537" s="8"/>
      <c r="AX537" s="9">
        <v>434.2063205694235</v>
      </c>
      <c r="AY537" s="6">
        <f t="shared" si="181"/>
        <v>2.2106942207593357E-2</v>
      </c>
      <c r="AZ537" s="8">
        <v>414795740.0406</v>
      </c>
      <c r="BA537" s="10">
        <v>60480066</v>
      </c>
      <c r="BB537" s="11">
        <v>44313760.832555123</v>
      </c>
      <c r="BC537" s="10">
        <v>2971324</v>
      </c>
      <c r="BD537" s="10">
        <f>1000000000-999227025.867+253737.7758</f>
        <v>1026711.9088000162</v>
      </c>
      <c r="BE537" s="12">
        <f t="shared" si="182"/>
        <v>476412397.21804482</v>
      </c>
      <c r="BF537" s="13">
        <v>234.06305900000001</v>
      </c>
      <c r="BG537" s="13">
        <f t="shared" si="183"/>
        <v>242.34933821804481</v>
      </c>
      <c r="BH537" s="14">
        <f>BE537*41.96</f>
        <v>19990264187.269161</v>
      </c>
    </row>
    <row r="538" spans="1:60" x14ac:dyDescent="0.25">
      <c r="A538" s="3">
        <v>46160</v>
      </c>
      <c r="B538" s="4">
        <v>5333036665</v>
      </c>
      <c r="C538" s="4">
        <v>3479381627.8200002</v>
      </c>
      <c r="D538" s="4">
        <v>191591052</v>
      </c>
      <c r="E538" s="4">
        <v>6512470.46</v>
      </c>
      <c r="F538" s="17">
        <v>1321748465.3430891</v>
      </c>
      <c r="G538" s="17">
        <v>24364245.500436299</v>
      </c>
      <c r="H538" s="17">
        <v>3774505.2538804491</v>
      </c>
      <c r="I538" s="17">
        <v>1127443089.6942389</v>
      </c>
      <c r="J538" s="17">
        <v>1112085.432754474</v>
      </c>
      <c r="K538" s="17">
        <v>1000939236.595601</v>
      </c>
      <c r="L538" s="14">
        <f t="shared" si="176"/>
        <v>3479381627.8200006</v>
      </c>
      <c r="M538" s="21">
        <v>1.001315069449322</v>
      </c>
      <c r="N538" s="4">
        <v>1617137.73</v>
      </c>
      <c r="O538" s="4">
        <v>286230.09000000003</v>
      </c>
      <c r="P538" s="4">
        <v>104311.67</v>
      </c>
      <c r="Q538" s="4">
        <v>2.870158</v>
      </c>
      <c r="R538" s="14">
        <f t="shared" si="163"/>
        <v>2007682.3601579999</v>
      </c>
      <c r="S538" s="6">
        <v>0.01</v>
      </c>
      <c r="T538" s="14">
        <f t="shared" si="164"/>
        <v>16171.3773</v>
      </c>
      <c r="U538" s="14">
        <f t="shared" si="165"/>
        <v>1455.5884000000003</v>
      </c>
      <c r="V538" s="14">
        <f t="shared" si="166"/>
        <v>928.14729999999997</v>
      </c>
      <c r="W538" s="14">
        <f t="shared" si="167"/>
        <v>2.8701580000000001E-2</v>
      </c>
      <c r="X538" s="4">
        <v>11496.94</v>
      </c>
      <c r="Y538" s="4">
        <v>140671.25</v>
      </c>
      <c r="Z538" s="4">
        <v>0</v>
      </c>
      <c r="AA538" s="14">
        <f t="shared" si="168"/>
        <v>170723.33170158</v>
      </c>
      <c r="AB538" s="4">
        <v>127281.2522</v>
      </c>
      <c r="AC538" s="4">
        <v>1617137.73</v>
      </c>
      <c r="AD538" s="14">
        <f t="shared" si="169"/>
        <v>145558.84000000003</v>
      </c>
      <c r="AE538" s="14">
        <f t="shared" si="170"/>
        <v>92814.73</v>
      </c>
      <c r="AF538" s="14">
        <f t="shared" si="171"/>
        <v>2.870158</v>
      </c>
      <c r="AG538" s="15">
        <f t="shared" si="172"/>
        <v>1855514.170158</v>
      </c>
      <c r="AH538" s="4">
        <v>1728259.86</v>
      </c>
      <c r="AI538" s="17">
        <f t="shared" si="173"/>
        <v>127254.31015799986</v>
      </c>
      <c r="AJ538" s="7">
        <f t="shared" si="177"/>
        <v>3.0323019164916993</v>
      </c>
      <c r="AK538" s="7">
        <f t="shared" si="178"/>
        <v>0.82264643726171816</v>
      </c>
      <c r="AL538" s="7">
        <f t="shared" si="179"/>
        <v>5.4444959151850165</v>
      </c>
      <c r="AM538" s="7">
        <f t="shared" si="180"/>
        <v>4.4071723896924979E-3</v>
      </c>
      <c r="AN538" s="4">
        <v>44307.313251081971</v>
      </c>
      <c r="AO538" s="4">
        <v>22845.78</v>
      </c>
      <c r="AP538" s="14">
        <f t="shared" si="174"/>
        <v>1795412.9532510822</v>
      </c>
      <c r="AQ538" s="14">
        <f t="shared" si="175"/>
        <v>1728259.86</v>
      </c>
      <c r="AR538" s="8">
        <v>37853.120000000003</v>
      </c>
      <c r="AS538" s="20">
        <v>45.656998999999999</v>
      </c>
      <c r="AT538" s="8">
        <v>44350736.802555121</v>
      </c>
      <c r="AU538" s="8">
        <v>26279.780599999998</v>
      </c>
      <c r="AV538" s="8">
        <v>1626.2892999999999</v>
      </c>
      <c r="AW538" s="8"/>
      <c r="AX538" s="9">
        <v>434.16737068493887</v>
      </c>
      <c r="AY538" s="6">
        <f t="shared" si="181"/>
        <v>2.2093138652652663E-2</v>
      </c>
      <c r="AZ538" s="8">
        <v>414769460.25999999</v>
      </c>
      <c r="BA538" s="10">
        <v>60480066</v>
      </c>
      <c r="BB538" s="11">
        <v>44350736.802555121</v>
      </c>
      <c r="BC538" s="10">
        <v>2971324</v>
      </c>
      <c r="BD538" s="10">
        <f>1000000000-999225399.5777+254700.3505</f>
        <v>1029300.7727999811</v>
      </c>
      <c r="BE538" s="12">
        <f t="shared" si="182"/>
        <v>476399112.1646449</v>
      </c>
      <c r="BF538" s="13">
        <v>234.06305900000001</v>
      </c>
      <c r="BG538" s="13">
        <f t="shared" si="183"/>
        <v>242.33605316464491</v>
      </c>
      <c r="BH538" s="14">
        <f>BE538*46.06</f>
        <v>21942943106.303547</v>
      </c>
    </row>
    <row r="539" spans="1:60" x14ac:dyDescent="0.25">
      <c r="A539" s="3">
        <v>46161</v>
      </c>
      <c r="B539" s="4">
        <v>3287734943</v>
      </c>
      <c r="C539" s="4">
        <v>2810055491.7199998</v>
      </c>
      <c r="D539" s="4">
        <v>163748421</v>
      </c>
      <c r="E539" s="4">
        <v>5660079.7599999998</v>
      </c>
      <c r="F539" s="17">
        <v>1011374943.433445</v>
      </c>
      <c r="G539" s="17">
        <v>12636118.074246241</v>
      </c>
      <c r="H539" s="17">
        <v>5581020.2982451105</v>
      </c>
      <c r="I539" s="17">
        <v>804586592.71968448</v>
      </c>
      <c r="J539" s="17">
        <v>793773.46389203472</v>
      </c>
      <c r="K539" s="17">
        <v>975083043.73048675</v>
      </c>
      <c r="L539" s="14">
        <f t="shared" si="176"/>
        <v>2810055491.7199998</v>
      </c>
      <c r="M539" s="21">
        <v>1.0003701630610551</v>
      </c>
      <c r="N539" s="4">
        <v>1088053.3500000001</v>
      </c>
      <c r="O539" s="4">
        <v>367444.18</v>
      </c>
      <c r="P539" s="4">
        <v>84034.71</v>
      </c>
      <c r="Q539" s="4">
        <v>3.3541669999999999</v>
      </c>
      <c r="R539" s="14">
        <f t="shared" si="163"/>
        <v>1539535.5941669999</v>
      </c>
      <c r="S539" s="6">
        <v>0.01</v>
      </c>
      <c r="T539" s="14">
        <f t="shared" si="164"/>
        <v>10880.533500000001</v>
      </c>
      <c r="U539" s="14">
        <f t="shared" si="165"/>
        <v>1860.0306</v>
      </c>
      <c r="V539" s="14">
        <f t="shared" si="166"/>
        <v>760.89850000000013</v>
      </c>
      <c r="W539" s="14">
        <f t="shared" si="167"/>
        <v>3.3541670000000003E-2</v>
      </c>
      <c r="X539" s="4">
        <v>7944.86</v>
      </c>
      <c r="Y539" s="4">
        <v>181441.12</v>
      </c>
      <c r="Z539" s="4">
        <v>0</v>
      </c>
      <c r="AA539" s="14">
        <f t="shared" si="168"/>
        <v>202887.47614166999</v>
      </c>
      <c r="AB539" s="4">
        <v>69239.999799999991</v>
      </c>
      <c r="AC539" s="4">
        <v>1088053.3500000001</v>
      </c>
      <c r="AD539" s="14">
        <f t="shared" si="169"/>
        <v>186003.06</v>
      </c>
      <c r="AE539" s="14">
        <f t="shared" si="170"/>
        <v>76089.850000000006</v>
      </c>
      <c r="AF539" s="14">
        <f t="shared" si="171"/>
        <v>3.3541669999999999</v>
      </c>
      <c r="AG539" s="15">
        <f t="shared" si="172"/>
        <v>1350149.6141670002</v>
      </c>
      <c r="AH539" s="4">
        <v>1177698.1299999999</v>
      </c>
      <c r="AI539" s="17">
        <f t="shared" si="173"/>
        <v>172451.48416700028</v>
      </c>
      <c r="AJ539" s="7">
        <f t="shared" si="177"/>
        <v>3.3094314744459616</v>
      </c>
      <c r="AK539" s="7">
        <f t="shared" si="178"/>
        <v>1.3076047113044447</v>
      </c>
      <c r="AL539" s="7">
        <f t="shared" si="179"/>
        <v>5.1319401730292107</v>
      </c>
      <c r="AM539" s="7">
        <f t="shared" si="180"/>
        <v>5.9260065974759343E-3</v>
      </c>
      <c r="AN539" s="4">
        <v>26167.70206471924</v>
      </c>
      <c r="AO539" s="4">
        <v>28030.19</v>
      </c>
      <c r="AP539" s="14">
        <f t="shared" si="174"/>
        <v>1231896.0220647191</v>
      </c>
      <c r="AQ539" s="14">
        <f t="shared" si="175"/>
        <v>1177698.1299999999</v>
      </c>
      <c r="AR539" s="8">
        <v>24597.4</v>
      </c>
      <c r="AS539" s="20">
        <v>47.878968</v>
      </c>
      <c r="AT539" s="8">
        <v>44376098.842555121</v>
      </c>
      <c r="AU539" s="8">
        <v>26262.5039</v>
      </c>
      <c r="AV539" s="8">
        <v>2206.8993</v>
      </c>
      <c r="AW539" s="8"/>
      <c r="AX539" s="9">
        <v>434.76515516310729</v>
      </c>
      <c r="AY539" s="6">
        <f t="shared" si="181"/>
        <v>2.2048257109987961E-2</v>
      </c>
      <c r="AZ539" s="8">
        <v>414743197.7561</v>
      </c>
      <c r="BA539" s="10">
        <v>60480066</v>
      </c>
      <c r="BB539" s="11">
        <v>44376098.842555121</v>
      </c>
      <c r="BC539" s="10">
        <v>2971324</v>
      </c>
      <c r="BD539" s="10">
        <f>1000000000-999223192.6783+255241.5086</f>
        <v>1032048.830299977</v>
      </c>
      <c r="BE539" s="12">
        <f t="shared" si="182"/>
        <v>476397264.57104498</v>
      </c>
      <c r="BF539" s="13">
        <v>234.06305900000001</v>
      </c>
      <c r="BG539" s="13">
        <f t="shared" si="183"/>
        <v>242.33420557104495</v>
      </c>
      <c r="BH539" s="14">
        <f>BE539*48.31</f>
        <v>23014751851.427185</v>
      </c>
    </row>
    <row r="540" spans="1:60" x14ac:dyDescent="0.25">
      <c r="A540" s="3">
        <v>46162</v>
      </c>
      <c r="B540" s="4">
        <v>4267552953</v>
      </c>
      <c r="C540" s="4">
        <v>3075139435.8699999</v>
      </c>
      <c r="D540" s="4">
        <v>275987534</v>
      </c>
      <c r="E540" s="4">
        <v>5869855.5300000003</v>
      </c>
      <c r="F540" s="17">
        <v>1259060733.5179019</v>
      </c>
      <c r="G540" s="17">
        <v>10748121.82713037</v>
      </c>
      <c r="H540" s="17">
        <v>4216320.0374593362</v>
      </c>
      <c r="I540" s="17">
        <v>830365091.57817686</v>
      </c>
      <c r="J540" s="17">
        <v>802147.23495382979</v>
      </c>
      <c r="K540" s="17">
        <v>969947021.6743778</v>
      </c>
      <c r="L540" s="14">
        <f t="shared" si="176"/>
        <v>3075139435.8700004</v>
      </c>
      <c r="M540" s="21">
        <v>1.002283537079286</v>
      </c>
      <c r="N540" s="4">
        <v>1288457.6299999999</v>
      </c>
      <c r="O540" s="4">
        <v>228349.53</v>
      </c>
      <c r="P540" s="4">
        <v>127284.11</v>
      </c>
      <c r="Q540" s="4">
        <v>6.6416899999999996</v>
      </c>
      <c r="R540" s="14">
        <f t="shared" si="163"/>
        <v>1644097.91169</v>
      </c>
      <c r="S540" s="6">
        <v>0.01</v>
      </c>
      <c r="T540" s="14">
        <f t="shared" si="164"/>
        <v>12884.576299999999</v>
      </c>
      <c r="U540" s="14">
        <f t="shared" si="165"/>
        <v>1157.5880999999999</v>
      </c>
      <c r="V540" s="14">
        <f t="shared" si="166"/>
        <v>1116.6712</v>
      </c>
      <c r="W540" s="14">
        <f t="shared" si="167"/>
        <v>6.6416900000000001E-2</v>
      </c>
      <c r="X540" s="4">
        <v>15616.99</v>
      </c>
      <c r="Y540" s="4">
        <v>112590.72</v>
      </c>
      <c r="Z540" s="4">
        <v>0</v>
      </c>
      <c r="AA540" s="14">
        <f t="shared" si="168"/>
        <v>143366.61201690001</v>
      </c>
      <c r="AB540" s="4">
        <v>76500.338300000018</v>
      </c>
      <c r="AC540" s="4">
        <v>1288457.6299999999</v>
      </c>
      <c r="AD540" s="14">
        <f t="shared" si="169"/>
        <v>115758.81</v>
      </c>
      <c r="AE540" s="14">
        <f t="shared" si="170"/>
        <v>111667.12</v>
      </c>
      <c r="AF540" s="14">
        <f t="shared" si="171"/>
        <v>6.6416899999999996</v>
      </c>
      <c r="AG540" s="15">
        <f t="shared" si="172"/>
        <v>1515890.20169</v>
      </c>
      <c r="AH540" s="4">
        <v>1430631.52</v>
      </c>
      <c r="AI540" s="17">
        <f t="shared" si="173"/>
        <v>85258.681689999998</v>
      </c>
      <c r="AJ540" s="7">
        <f t="shared" si="177"/>
        <v>3.0191954128987231</v>
      </c>
      <c r="AK540" s="7">
        <f t="shared" si="178"/>
        <v>0.74256642588760113</v>
      </c>
      <c r="AL540" s="7">
        <f t="shared" si="179"/>
        <v>4.6119514224146085</v>
      </c>
      <c r="AM540" s="7">
        <f t="shared" si="180"/>
        <v>1.1314912208750732E-2</v>
      </c>
      <c r="AN540" s="4">
        <v>25850.597326923322</v>
      </c>
      <c r="AO540" s="4">
        <v>0</v>
      </c>
      <c r="AP540" s="14">
        <f t="shared" si="174"/>
        <v>1456482.1173269234</v>
      </c>
      <c r="AQ540" s="14">
        <f t="shared" si="175"/>
        <v>1430631.52</v>
      </c>
      <c r="AR540" s="8">
        <v>28292.52</v>
      </c>
      <c r="AS540" s="20">
        <v>50.565716000000002</v>
      </c>
      <c r="AT540" s="8">
        <v>44403626.722555123</v>
      </c>
      <c r="AU540" s="8">
        <v>26231.873599999999</v>
      </c>
      <c r="AV540" s="8">
        <v>2166.9292999999998</v>
      </c>
      <c r="AW540" s="8"/>
      <c r="AX540" s="9">
        <v>435.54442405300711</v>
      </c>
      <c r="AY540" s="6">
        <f t="shared" si="181"/>
        <v>2.1983139572542748E-2</v>
      </c>
      <c r="AZ540" s="8">
        <v>414716965.88249999</v>
      </c>
      <c r="BA540" s="10">
        <v>60480066</v>
      </c>
      <c r="BB540" s="11">
        <v>44403626.722555123</v>
      </c>
      <c r="BC540" s="10">
        <v>2971324</v>
      </c>
      <c r="BD540" s="10">
        <f>1000000000-999221025.749+255784.9994</f>
        <v>1034759.2504000467</v>
      </c>
      <c r="BE540" s="12">
        <f t="shared" si="182"/>
        <v>476393258.1445449</v>
      </c>
      <c r="BF540" s="13">
        <v>234.06305900000001</v>
      </c>
      <c r="BG540" s="13">
        <f t="shared" si="183"/>
        <v>242.33019914454491</v>
      </c>
      <c r="BH540" s="14">
        <f>BE540*47.56</f>
        <v>22657263357.354557</v>
      </c>
    </row>
    <row r="541" spans="1:60" x14ac:dyDescent="0.25">
      <c r="A541" s="3">
        <v>46163</v>
      </c>
      <c r="B541" s="4">
        <v>6141111449</v>
      </c>
      <c r="C541" s="4">
        <v>3180708164.5799999</v>
      </c>
      <c r="D541" s="4">
        <v>447633068</v>
      </c>
      <c r="E541" s="4">
        <v>4362835.5</v>
      </c>
      <c r="F541" s="17">
        <v>1627343256.6988399</v>
      </c>
      <c r="G541" s="17">
        <v>15286121.05089383</v>
      </c>
      <c r="H541" s="17">
        <v>4220653.0387315974</v>
      </c>
      <c r="I541" s="17">
        <v>651670297.2504909</v>
      </c>
      <c r="J541" s="17">
        <v>1605555.6872041509</v>
      </c>
      <c r="K541" s="17">
        <v>880582280.85383916</v>
      </c>
      <c r="L541" s="14">
        <f t="shared" si="176"/>
        <v>3180708164.5799999</v>
      </c>
      <c r="M541" s="21">
        <v>1.0028953048606291</v>
      </c>
      <c r="N541" s="4">
        <v>1973033.61</v>
      </c>
      <c r="O541" s="4">
        <v>288114.64</v>
      </c>
      <c r="P541" s="4">
        <v>222889.04</v>
      </c>
      <c r="Q541" s="4">
        <v>5.6379029999999997</v>
      </c>
      <c r="R541" s="14">
        <f t="shared" si="163"/>
        <v>2484042.9279030003</v>
      </c>
      <c r="S541" s="6">
        <v>0.01</v>
      </c>
      <c r="T541" s="14">
        <f t="shared" si="164"/>
        <v>19730.3361</v>
      </c>
      <c r="U541" s="14">
        <f t="shared" si="165"/>
        <v>1462.3307000000002</v>
      </c>
      <c r="V541" s="14">
        <f t="shared" si="166"/>
        <v>2085.3117999999999</v>
      </c>
      <c r="W541" s="14">
        <f t="shared" si="167"/>
        <v>5.6379029999999997E-2</v>
      </c>
      <c r="X541" s="4">
        <v>14357.86</v>
      </c>
      <c r="Y541" s="4">
        <v>141881.57</v>
      </c>
      <c r="Z541" s="4">
        <v>0</v>
      </c>
      <c r="AA541" s="14">
        <f t="shared" si="168"/>
        <v>179517.46497903002</v>
      </c>
      <c r="AB541" s="4">
        <v>77388.714399999997</v>
      </c>
      <c r="AC541" s="4">
        <v>1973033.61</v>
      </c>
      <c r="AD541" s="14">
        <f t="shared" si="169"/>
        <v>146233.07</v>
      </c>
      <c r="AE541" s="14">
        <f t="shared" si="170"/>
        <v>208531.18</v>
      </c>
      <c r="AF541" s="14">
        <f t="shared" si="171"/>
        <v>5.6379029999999997</v>
      </c>
      <c r="AG541" s="15">
        <f t="shared" si="172"/>
        <v>2327803.4979030006</v>
      </c>
      <c r="AH541" s="4">
        <v>2138784.46</v>
      </c>
      <c r="AI541" s="17">
        <f t="shared" si="173"/>
        <v>189019.0379030006</v>
      </c>
      <c r="AJ541" s="7">
        <f t="shared" si="177"/>
        <v>3.2128282093321774</v>
      </c>
      <c r="AK541" s="7">
        <f t="shared" si="178"/>
        <v>0.90581916067752299</v>
      </c>
      <c r="AL541" s="7">
        <f t="shared" si="179"/>
        <v>4.979280038354986</v>
      </c>
      <c r="AM541" s="7">
        <f t="shared" si="180"/>
        <v>1.292256606970398E-2</v>
      </c>
      <c r="AN541" s="4">
        <v>58557.588306862017</v>
      </c>
      <c r="AO541" s="4">
        <v>27513.82</v>
      </c>
      <c r="AP541" s="14">
        <f t="shared" si="174"/>
        <v>2224855.8683068617</v>
      </c>
      <c r="AQ541" s="14">
        <f t="shared" si="175"/>
        <v>2138784.46</v>
      </c>
      <c r="AR541" s="8">
        <v>36645.800000000003</v>
      </c>
      <c r="AS541" s="20">
        <v>58.363700000000001</v>
      </c>
      <c r="AT541" s="8">
        <v>44440896.13255512</v>
      </c>
      <c r="AU541" s="8">
        <v>26314.334900000002</v>
      </c>
      <c r="AV541" s="8">
        <v>1494.9204</v>
      </c>
      <c r="AW541" s="8"/>
      <c r="AX541" s="9">
        <v>434.75880961932143</v>
      </c>
      <c r="AY541" s="6">
        <f t="shared" si="181"/>
        <v>2.2092093422810658E-2</v>
      </c>
      <c r="AZ541" s="8">
        <v>414690651.54750001</v>
      </c>
      <c r="BA541" s="10">
        <v>60480066</v>
      </c>
      <c r="BB541" s="11">
        <v>44440896.13255512</v>
      </c>
      <c r="BC541" s="10">
        <v>2971324</v>
      </c>
      <c r="BD541" s="10">
        <f>1000000000-999219530.8286+256843.199</f>
        <v>1037312.370399951</v>
      </c>
      <c r="BE541" s="12">
        <f t="shared" si="182"/>
        <v>476379749.94954491</v>
      </c>
      <c r="BF541" s="13">
        <v>234.06305900000001</v>
      </c>
      <c r="BG541" s="13">
        <f t="shared" si="183"/>
        <v>242.31669094954492</v>
      </c>
      <c r="BH541" s="14">
        <f>BE541*55.31</f>
        <v>26348563969.709332</v>
      </c>
    </row>
    <row r="542" spans="1:60" x14ac:dyDescent="0.25">
      <c r="A542" s="3">
        <v>46164</v>
      </c>
      <c r="B542" s="4">
        <v>5476453331</v>
      </c>
      <c r="C542" s="4">
        <v>2235232375.0999999</v>
      </c>
      <c r="D542" s="4">
        <v>328126033</v>
      </c>
      <c r="E542" s="4">
        <v>5205935.84</v>
      </c>
      <c r="F542" s="17">
        <v>1043029832.440757</v>
      </c>
      <c r="G542" s="17">
        <v>12570719.143325631</v>
      </c>
      <c r="H542" s="17">
        <v>2978569.923620706</v>
      </c>
      <c r="I542" s="17">
        <v>545574540.08835208</v>
      </c>
      <c r="J542" s="17">
        <v>616357.32217933878</v>
      </c>
      <c r="K542" s="17">
        <v>630462356.18176496</v>
      </c>
      <c r="L542" s="14">
        <f t="shared" si="176"/>
        <v>2235232375.0999999</v>
      </c>
      <c r="M542" s="21">
        <v>1.0040809985054431</v>
      </c>
      <c r="N542" s="4">
        <v>1876252.85</v>
      </c>
      <c r="O542" s="4">
        <v>201960.04</v>
      </c>
      <c r="P542" s="4">
        <v>156917.93</v>
      </c>
      <c r="Q542" s="4">
        <v>5.2707990000000002</v>
      </c>
      <c r="R542" s="14">
        <f t="shared" si="163"/>
        <v>2235136.0907990001</v>
      </c>
      <c r="S542" s="6">
        <v>0.01</v>
      </c>
      <c r="T542" s="14">
        <f t="shared" si="164"/>
        <v>18762.5285</v>
      </c>
      <c r="U542" s="14">
        <f t="shared" si="165"/>
        <v>1027.0809000000002</v>
      </c>
      <c r="V542" s="14">
        <f t="shared" si="166"/>
        <v>1435.9935999999998</v>
      </c>
      <c r="W542" s="14">
        <f t="shared" si="167"/>
        <v>5.2707990000000003E-2</v>
      </c>
      <c r="X542" s="4">
        <v>13318.57</v>
      </c>
      <c r="Y542" s="4">
        <v>99251.95</v>
      </c>
      <c r="Z542" s="4">
        <v>0</v>
      </c>
      <c r="AA542" s="14">
        <f t="shared" si="168"/>
        <v>133796.17570799001</v>
      </c>
      <c r="AB542" s="4">
        <v>79903.747699999993</v>
      </c>
      <c r="AC542" s="4">
        <v>1876252.85</v>
      </c>
      <c r="AD542" s="14">
        <f t="shared" si="169"/>
        <v>102708.09000000001</v>
      </c>
      <c r="AE542" s="14">
        <f t="shared" si="170"/>
        <v>143599.35999999999</v>
      </c>
      <c r="AF542" s="14">
        <f t="shared" si="171"/>
        <v>5.2707990000000002</v>
      </c>
      <c r="AG542" s="15">
        <f t="shared" si="172"/>
        <v>2122565.5707990001</v>
      </c>
      <c r="AH542" s="4">
        <v>1813376.99</v>
      </c>
      <c r="AI542" s="17">
        <f t="shared" si="173"/>
        <v>309188.5807990001</v>
      </c>
      <c r="AJ542" s="7">
        <f t="shared" si="177"/>
        <v>3.4260364082339336</v>
      </c>
      <c r="AK542" s="7">
        <f t="shared" si="178"/>
        <v>0.90353039911997846</v>
      </c>
      <c r="AL542" s="7">
        <f t="shared" si="179"/>
        <v>4.7822456683892556</v>
      </c>
      <c r="AM542" s="7">
        <f t="shared" si="180"/>
        <v>1.0124594620436198E-2</v>
      </c>
      <c r="AN542" s="4">
        <v>48932.223406772442</v>
      </c>
      <c r="AO542" s="4">
        <v>29294.63</v>
      </c>
      <c r="AP542" s="14">
        <f t="shared" si="174"/>
        <v>1891603.8434067722</v>
      </c>
      <c r="AQ542" s="14">
        <f t="shared" si="175"/>
        <v>1813376.99</v>
      </c>
      <c r="AR542" s="8">
        <v>31484.36</v>
      </c>
      <c r="AS542" s="20">
        <v>57.596119999999999</v>
      </c>
      <c r="AT542" s="8">
        <v>44472733.042555124</v>
      </c>
      <c r="AU542" s="8">
        <v>26297.795999999998</v>
      </c>
      <c r="AV542" s="8">
        <v>4149.9867000000004</v>
      </c>
      <c r="AW542" s="8"/>
      <c r="AX542" s="9">
        <v>432.49631433503868</v>
      </c>
      <c r="AY542" s="6">
        <f t="shared" si="181"/>
        <v>2.2193704829041039E-2</v>
      </c>
      <c r="AZ542" s="8">
        <v>414664353.75160003</v>
      </c>
      <c r="BA542" s="10">
        <v>60480066</v>
      </c>
      <c r="BB542" s="11">
        <v>44472733.042555124</v>
      </c>
      <c r="BC542" s="10">
        <v>2971324</v>
      </c>
      <c r="BD542" s="10">
        <f>1000000000-999215380.842+257691.7739</f>
        <v>1042310.9318999924</v>
      </c>
      <c r="BE542" s="12">
        <f t="shared" si="182"/>
        <v>476369212.27394491</v>
      </c>
      <c r="BF542" s="13">
        <v>234.06305900000001</v>
      </c>
      <c r="BG542" s="13">
        <f t="shared" si="183"/>
        <v>242.30615327394491</v>
      </c>
      <c r="BH542" s="14">
        <f>BE542*57.61</f>
        <v>27443630319.101967</v>
      </c>
    </row>
    <row r="543" spans="1:60" x14ac:dyDescent="0.25">
      <c r="A543" s="3">
        <v>46165</v>
      </c>
      <c r="B543" s="4">
        <v>5537744041</v>
      </c>
      <c r="C543" s="4">
        <v>1253054488.2</v>
      </c>
      <c r="D543" s="4">
        <v>199549041</v>
      </c>
      <c r="E543" s="4">
        <v>2769843.93</v>
      </c>
      <c r="F543" s="17">
        <v>758351796.41790569</v>
      </c>
      <c r="G543" s="17">
        <v>14167777.03629664</v>
      </c>
      <c r="H543" s="17">
        <v>1438618.8009305501</v>
      </c>
      <c r="I543" s="17">
        <v>307932388.85262293</v>
      </c>
      <c r="J543" s="17">
        <v>215803.01191429229</v>
      </c>
      <c r="K543" s="17">
        <v>170948104.0803301</v>
      </c>
      <c r="L543" s="14">
        <f t="shared" si="176"/>
        <v>1253054488.2</v>
      </c>
      <c r="M543" s="21">
        <v>1.004255588673304</v>
      </c>
      <c r="N543" s="4">
        <v>1861254.36</v>
      </c>
      <c r="O543" s="4">
        <v>153886.94</v>
      </c>
      <c r="P543" s="4">
        <v>95052.79</v>
      </c>
      <c r="Q543" s="4">
        <v>11.879587000000001</v>
      </c>
      <c r="R543" s="14">
        <f t="shared" si="163"/>
        <v>2110205.9695869996</v>
      </c>
      <c r="S543" s="6">
        <v>0.01</v>
      </c>
      <c r="T543" s="14">
        <f t="shared" si="164"/>
        <v>18612.543600000001</v>
      </c>
      <c r="U543" s="14">
        <f t="shared" si="165"/>
        <v>789.05619999999999</v>
      </c>
      <c r="V543" s="14">
        <f t="shared" si="166"/>
        <v>812.73149999999998</v>
      </c>
      <c r="W543" s="14">
        <f t="shared" si="167"/>
        <v>0.11879587000000001</v>
      </c>
      <c r="X543" s="4">
        <v>13779.64</v>
      </c>
      <c r="Y543" s="4">
        <v>74981.320000000007</v>
      </c>
      <c r="Z543" s="4">
        <v>0</v>
      </c>
      <c r="AA543" s="14">
        <f t="shared" si="168"/>
        <v>108975.41009587</v>
      </c>
      <c r="AB543" s="4">
        <v>103505.1606</v>
      </c>
      <c r="AC543" s="4">
        <v>1861254.36</v>
      </c>
      <c r="AD543" s="14">
        <f t="shared" si="169"/>
        <v>78905.62</v>
      </c>
      <c r="AE543" s="14">
        <f t="shared" si="170"/>
        <v>81273.149999999994</v>
      </c>
      <c r="AF543" s="14">
        <f t="shared" si="171"/>
        <v>11.879587000000001</v>
      </c>
      <c r="AG543" s="15">
        <f t="shared" si="172"/>
        <v>2021445.0095869999</v>
      </c>
      <c r="AH543" s="4">
        <v>1682860.59</v>
      </c>
      <c r="AI543" s="17">
        <f t="shared" si="173"/>
        <v>338584.41958699981</v>
      </c>
      <c r="AJ543" s="7">
        <f t="shared" si="177"/>
        <v>3.3610335656898598</v>
      </c>
      <c r="AK543" s="7">
        <f t="shared" si="178"/>
        <v>1.2280945597270636</v>
      </c>
      <c r="AL543" s="7">
        <f t="shared" si="179"/>
        <v>4.7633799452837255</v>
      </c>
      <c r="AM543" s="7">
        <f t="shared" si="180"/>
        <v>4.2889012161779087E-2</v>
      </c>
      <c r="AN543" s="4">
        <v>23782.49680094402</v>
      </c>
      <c r="AO543" s="4">
        <v>0</v>
      </c>
      <c r="AP543" s="14">
        <f t="shared" si="174"/>
        <v>1706643.0868009441</v>
      </c>
      <c r="AQ543" s="14">
        <f t="shared" si="175"/>
        <v>1682860.59</v>
      </c>
      <c r="AR543" s="8">
        <v>29571.64</v>
      </c>
      <c r="AS543" s="20">
        <v>56.907921999999999</v>
      </c>
      <c r="AT543" s="8">
        <v>44501328.52255512</v>
      </c>
      <c r="AU543" s="8">
        <v>26239.649799999999</v>
      </c>
      <c r="AV543" s="8">
        <v>2153.2781</v>
      </c>
      <c r="AW543" s="8"/>
      <c r="AX543" s="9">
        <v>431.41209230890701</v>
      </c>
      <c r="AY543" s="6">
        <f t="shared" si="181"/>
        <v>2.2200286797112247E-2</v>
      </c>
      <c r="AZ543" s="8">
        <v>414638114.10180002</v>
      </c>
      <c r="BA543" s="10">
        <v>60480066</v>
      </c>
      <c r="BB543" s="11">
        <v>44501328.52255512</v>
      </c>
      <c r="BC543" s="10">
        <v>2971324</v>
      </c>
      <c r="BD543" s="10">
        <f>1000000000-999213227.5638+258128.206</f>
        <v>1044900.6422000227</v>
      </c>
      <c r="BE543" s="12">
        <f t="shared" si="182"/>
        <v>476364266.73344493</v>
      </c>
      <c r="BF543" s="13">
        <v>234.06305900000001</v>
      </c>
      <c r="BG543" s="13">
        <f t="shared" si="183"/>
        <v>242.30120773344493</v>
      </c>
      <c r="BH543" s="14">
        <f>BE543*54.49</f>
        <v>25957088894.305416</v>
      </c>
    </row>
    <row r="544" spans="1:60" x14ac:dyDescent="0.25">
      <c r="A544" s="3">
        <v>46166</v>
      </c>
      <c r="B544" s="4">
        <v>3964607265</v>
      </c>
      <c r="C544" s="4">
        <v>931997820.86000001</v>
      </c>
      <c r="D544" s="4">
        <v>268838463</v>
      </c>
      <c r="E544" s="4">
        <v>3581682.53</v>
      </c>
      <c r="F544" s="17">
        <v>600760372.82033575</v>
      </c>
      <c r="G544" s="17">
        <v>19325089.60593221</v>
      </c>
      <c r="H544" s="17">
        <v>1205039.038748635</v>
      </c>
      <c r="I544" s="17">
        <v>177635693.2363461</v>
      </c>
      <c r="J544" s="17">
        <v>474872.73823565932</v>
      </c>
      <c r="K544" s="17">
        <v>132596753.4204018</v>
      </c>
      <c r="L544" s="14">
        <f t="shared" si="176"/>
        <v>931997820.86000025</v>
      </c>
      <c r="M544" s="21">
        <v>1.0099002943518369</v>
      </c>
      <c r="N544" s="4">
        <v>1364201.76</v>
      </c>
      <c r="O544" s="4">
        <v>132257.48000000001</v>
      </c>
      <c r="P544" s="4">
        <v>130030.97</v>
      </c>
      <c r="Q544" s="4">
        <v>5.4216670000000002</v>
      </c>
      <c r="R544" s="14">
        <f t="shared" si="163"/>
        <v>1626495.631667</v>
      </c>
      <c r="S544" s="6">
        <v>0.01</v>
      </c>
      <c r="T544" s="14">
        <f t="shared" si="164"/>
        <v>13642.017600000001</v>
      </c>
      <c r="U544" s="14">
        <f t="shared" si="165"/>
        <v>693.83090000000016</v>
      </c>
      <c r="V544" s="14">
        <f t="shared" si="166"/>
        <v>1208.5083</v>
      </c>
      <c r="W544" s="14">
        <f t="shared" si="167"/>
        <v>5.4216670000000002E-2</v>
      </c>
      <c r="X544" s="4">
        <v>9180.14</v>
      </c>
      <c r="Y544" s="4">
        <v>62874.39</v>
      </c>
      <c r="Z544" s="4">
        <v>0</v>
      </c>
      <c r="AA544" s="14">
        <f t="shared" si="168"/>
        <v>87598.941016669996</v>
      </c>
      <c r="AB544" s="4">
        <v>76897.769499999995</v>
      </c>
      <c r="AC544" s="4">
        <v>1364201.76</v>
      </c>
      <c r="AD544" s="14">
        <f t="shared" si="169"/>
        <v>69383.090000000011</v>
      </c>
      <c r="AE544" s="14">
        <f t="shared" si="170"/>
        <v>120850.83</v>
      </c>
      <c r="AF544" s="14">
        <f t="shared" si="171"/>
        <v>5.4216670000000002</v>
      </c>
      <c r="AG544" s="15">
        <f t="shared" si="172"/>
        <v>1554441.1016670002</v>
      </c>
      <c r="AH544" s="4">
        <v>1343824.84</v>
      </c>
      <c r="AI544" s="17">
        <f t="shared" si="173"/>
        <v>210616.26166700013</v>
      </c>
      <c r="AJ544" s="7">
        <f t="shared" si="177"/>
        <v>3.4409505628548054</v>
      </c>
      <c r="AK544" s="7">
        <f t="shared" si="178"/>
        <v>1.4190749918058774</v>
      </c>
      <c r="AL544" s="7">
        <f t="shared" si="179"/>
        <v>4.836769580846771</v>
      </c>
      <c r="AM544" s="7">
        <f t="shared" si="180"/>
        <v>1.5137207037721459E-2</v>
      </c>
      <c r="AN544" s="4">
        <v>37832.304023777942</v>
      </c>
      <c r="AO544" s="4">
        <v>0</v>
      </c>
      <c r="AP544" s="14">
        <f t="shared" si="174"/>
        <v>1381657.1440237779</v>
      </c>
      <c r="AQ544" s="14">
        <f t="shared" si="175"/>
        <v>1343824.84</v>
      </c>
      <c r="AR544" s="8">
        <v>21560.99</v>
      </c>
      <c r="AS544" s="20">
        <v>62.326675999999999</v>
      </c>
      <c r="AT544" s="8">
        <v>44523373.184739232</v>
      </c>
      <c r="AU544" s="8">
        <v>26223.318299999999</v>
      </c>
      <c r="AV544" s="8">
        <v>867.65380000000005</v>
      </c>
      <c r="AW544" s="8"/>
      <c r="AX544" s="9">
        <v>431.54472672820691</v>
      </c>
      <c r="AY544" s="6">
        <f t="shared" si="181"/>
        <v>2.2179650420171337E-2</v>
      </c>
      <c r="AZ544" s="8">
        <v>414611890.78350002</v>
      </c>
      <c r="BA544" s="10">
        <v>60480066</v>
      </c>
      <c r="BB544" s="11">
        <v>44523373.184739232</v>
      </c>
      <c r="BC544" s="10">
        <v>2971324</v>
      </c>
      <c r="BD544" s="10">
        <f>1000000000-999212359.91+258768.2058</f>
        <v>1046408.2958000334</v>
      </c>
      <c r="BE544" s="12">
        <f t="shared" si="182"/>
        <v>476366937.73596078</v>
      </c>
      <c r="BF544" s="13">
        <v>234.06305900000001</v>
      </c>
      <c r="BG544" s="13">
        <f t="shared" si="183"/>
        <v>242.30387873596078</v>
      </c>
      <c r="BH544" s="14">
        <f>BE544*59.11</f>
        <v>28158049689.572643</v>
      </c>
    </row>
    <row r="545" spans="1:60" x14ac:dyDescent="0.25">
      <c r="A545" s="3">
        <v>46167</v>
      </c>
      <c r="B545" s="4">
        <v>3211068173</v>
      </c>
      <c r="C545" s="4">
        <v>1289271209.0599999</v>
      </c>
      <c r="D545" s="4">
        <v>180363177</v>
      </c>
      <c r="E545" s="4">
        <v>4610551.3899999997</v>
      </c>
      <c r="F545" s="17">
        <v>758614011.18644845</v>
      </c>
      <c r="G545" s="17">
        <v>8799265.1814064719</v>
      </c>
      <c r="H545" s="17">
        <v>2194315.5168807991</v>
      </c>
      <c r="I545" s="17">
        <v>386395544.22169209</v>
      </c>
      <c r="J545" s="17">
        <v>182808.20273227891</v>
      </c>
      <c r="K545" s="17">
        <v>133085264.7508397</v>
      </c>
      <c r="L545" s="14">
        <f t="shared" si="176"/>
        <v>1289271209.0599997</v>
      </c>
      <c r="M545" s="21">
        <v>1.0021763483014869</v>
      </c>
      <c r="N545" s="4">
        <v>1133281.93</v>
      </c>
      <c r="O545" s="4">
        <v>146475.34</v>
      </c>
      <c r="P545" s="4">
        <v>80510.05</v>
      </c>
      <c r="Q545" s="4">
        <v>38.004832999999998</v>
      </c>
      <c r="R545" s="14">
        <f t="shared" si="163"/>
        <v>1360305.3248330001</v>
      </c>
      <c r="S545" s="6">
        <v>0.01</v>
      </c>
      <c r="T545" s="14">
        <f t="shared" si="164"/>
        <v>11332.819299999999</v>
      </c>
      <c r="U545" s="14">
        <f t="shared" si="165"/>
        <v>745.58679999999993</v>
      </c>
      <c r="V545" s="14">
        <f t="shared" si="166"/>
        <v>702.54359999999997</v>
      </c>
      <c r="W545" s="14">
        <f t="shared" si="167"/>
        <v>0.38004832999999999</v>
      </c>
      <c r="X545" s="4">
        <v>10255.69</v>
      </c>
      <c r="Y545" s="4">
        <v>71916.66</v>
      </c>
      <c r="Z545" s="4">
        <v>0</v>
      </c>
      <c r="AA545" s="14">
        <f t="shared" si="168"/>
        <v>94953.679748330003</v>
      </c>
      <c r="AB545" s="4">
        <v>75446.783299999996</v>
      </c>
      <c r="AC545" s="4">
        <v>1133281.93</v>
      </c>
      <c r="AD545" s="14">
        <f t="shared" si="169"/>
        <v>74558.679999999993</v>
      </c>
      <c r="AE545" s="14">
        <f t="shared" si="170"/>
        <v>70254.36</v>
      </c>
      <c r="AF545" s="14">
        <f t="shared" si="171"/>
        <v>38.004832999999998</v>
      </c>
      <c r="AG545" s="15">
        <f t="shared" si="172"/>
        <v>1278132.974833</v>
      </c>
      <c r="AH545" s="4">
        <v>1076230.56</v>
      </c>
      <c r="AI545" s="17">
        <f t="shared" si="173"/>
        <v>201902.41483299993</v>
      </c>
      <c r="AJ545" s="7">
        <f t="shared" si="177"/>
        <v>3.5292988779531589</v>
      </c>
      <c r="AK545" s="7">
        <f t="shared" si="178"/>
        <v>1.1361096018485846</v>
      </c>
      <c r="AL545" s="7">
        <f t="shared" si="179"/>
        <v>4.4637742214975509</v>
      </c>
      <c r="AM545" s="7">
        <f t="shared" si="180"/>
        <v>8.2430125564656162E-2</v>
      </c>
      <c r="AN545" s="4">
        <v>14958.462972943509</v>
      </c>
      <c r="AO545" s="4">
        <v>0</v>
      </c>
      <c r="AP545" s="14">
        <f t="shared" si="174"/>
        <v>1091189.0229729435</v>
      </c>
      <c r="AQ545" s="14">
        <f t="shared" si="175"/>
        <v>1076230.56</v>
      </c>
      <c r="AR545" s="8">
        <v>17286.98</v>
      </c>
      <c r="AS545" s="20">
        <v>62.256714000000002</v>
      </c>
      <c r="AT545" s="8">
        <v>44540757.654739231</v>
      </c>
      <c r="AU545" s="8">
        <v>26233.453000000001</v>
      </c>
      <c r="AV545" s="8">
        <v>1213.153</v>
      </c>
      <c r="AW545" s="8"/>
      <c r="AX545" s="9">
        <v>431.15041080306833</v>
      </c>
      <c r="AY545" s="6">
        <f t="shared" si="181"/>
        <v>2.2208514952276274E-2</v>
      </c>
      <c r="AZ545" s="8">
        <v>414585657.33050001</v>
      </c>
      <c r="BA545" s="10">
        <v>60480066</v>
      </c>
      <c r="BB545" s="11">
        <v>44540757.654739231</v>
      </c>
      <c r="BC545" s="10">
        <v>2971324</v>
      </c>
      <c r="BD545" s="10">
        <f>1000000000-999211146.757+259009.5297</f>
        <v>1047862.7727000306</v>
      </c>
      <c r="BE545" s="12">
        <f t="shared" si="182"/>
        <v>476374332.24206072</v>
      </c>
      <c r="BF545" s="13">
        <v>234.06305900000001</v>
      </c>
      <c r="BG545" s="13">
        <f t="shared" si="183"/>
        <v>242.31127324206074</v>
      </c>
      <c r="BH545" s="14">
        <f>BE545*62.04</f>
        <v>29554263572.297447</v>
      </c>
    </row>
    <row r="546" spans="1:60" x14ac:dyDescent="0.25">
      <c r="A546" s="3">
        <v>46168</v>
      </c>
      <c r="B546" s="4">
        <v>5989568405</v>
      </c>
      <c r="C546" s="4">
        <v>2130706015.3399999</v>
      </c>
      <c r="D546" s="4">
        <v>244937554</v>
      </c>
      <c r="E546" s="4">
        <v>4614672.71</v>
      </c>
      <c r="F546" s="17">
        <v>738075257.71142817</v>
      </c>
      <c r="G546" s="17">
        <v>12948759.68354385</v>
      </c>
      <c r="H546" s="17">
        <v>4797544.0589149566</v>
      </c>
      <c r="I546" s="17">
        <v>547925927.11085105</v>
      </c>
      <c r="J546" s="17">
        <v>1134848.621435202</v>
      </c>
      <c r="K546" s="17">
        <v>825823678.15382659</v>
      </c>
      <c r="L546" s="14">
        <f t="shared" si="176"/>
        <v>2130706015.3399997</v>
      </c>
      <c r="M546" s="21">
        <v>1.002038880602105</v>
      </c>
      <c r="N546" s="4">
        <v>2070518.07</v>
      </c>
      <c r="O546" s="4">
        <v>207607.89</v>
      </c>
      <c r="P546" s="4">
        <v>113472.94</v>
      </c>
      <c r="Q546" s="4">
        <v>10.003695</v>
      </c>
      <c r="R546" s="14">
        <f t="shared" si="163"/>
        <v>2391608.9036949999</v>
      </c>
      <c r="S546" s="6">
        <v>0.01</v>
      </c>
      <c r="T546" s="14">
        <f t="shared" si="164"/>
        <v>20705.180700000001</v>
      </c>
      <c r="U546" s="14">
        <f t="shared" si="165"/>
        <v>1055.9263000000003</v>
      </c>
      <c r="V546" s="14">
        <f t="shared" si="166"/>
        <v>1038.0261</v>
      </c>
      <c r="W546" s="14">
        <f t="shared" si="167"/>
        <v>0.10003695000000001</v>
      </c>
      <c r="X546" s="4">
        <v>9670.33</v>
      </c>
      <c r="Y546" s="4">
        <v>102015.26</v>
      </c>
      <c r="Z546" s="4">
        <v>0</v>
      </c>
      <c r="AA546" s="14">
        <f t="shared" si="168"/>
        <v>134484.82313695</v>
      </c>
      <c r="AB546" s="4">
        <v>122254.1963</v>
      </c>
      <c r="AC546" s="4">
        <v>2070518.07</v>
      </c>
      <c r="AD546" s="14">
        <f t="shared" si="169"/>
        <v>105592.63000000002</v>
      </c>
      <c r="AE546" s="14">
        <f t="shared" si="170"/>
        <v>103802.61</v>
      </c>
      <c r="AF546" s="14">
        <f t="shared" si="171"/>
        <v>10.003695</v>
      </c>
      <c r="AG546" s="15">
        <f t="shared" si="172"/>
        <v>2279923.313695</v>
      </c>
      <c r="AH546" s="4">
        <v>1931355.1</v>
      </c>
      <c r="AI546" s="17">
        <f t="shared" si="173"/>
        <v>348568.21369499993</v>
      </c>
      <c r="AJ546" s="7">
        <f t="shared" si="177"/>
        <v>3.4568735675037341</v>
      </c>
      <c r="AK546" s="7">
        <f t="shared" si="178"/>
        <v>0.97436196502628125</v>
      </c>
      <c r="AL546" s="7">
        <f t="shared" si="179"/>
        <v>4.6327293690537958</v>
      </c>
      <c r="AM546" s="7">
        <f t="shared" si="180"/>
        <v>2.1678016250907643E-2</v>
      </c>
      <c r="AN546" s="4">
        <v>45778.779904079602</v>
      </c>
      <c r="AO546" s="4">
        <v>0</v>
      </c>
      <c r="AP546" s="14">
        <f t="shared" si="174"/>
        <v>1977133.8799040797</v>
      </c>
      <c r="AQ546" s="14">
        <f t="shared" si="175"/>
        <v>1931355.1</v>
      </c>
      <c r="AR546" s="8">
        <v>31505.41</v>
      </c>
      <c r="AS546" s="20">
        <v>61.302332</v>
      </c>
      <c r="AT546" s="8">
        <v>44571681.904739231</v>
      </c>
      <c r="AU546" s="8">
        <v>26233.463100000001</v>
      </c>
      <c r="AV546" s="8">
        <v>1309.9773</v>
      </c>
      <c r="AW546" s="8"/>
      <c r="AX546" s="9">
        <v>431.40618392174298</v>
      </c>
      <c r="AY546" s="6">
        <f t="shared" si="181"/>
        <v>2.2195356460715323E-2</v>
      </c>
      <c r="AZ546" s="8">
        <v>414559423.86739999</v>
      </c>
      <c r="BA546" s="10">
        <v>60480066</v>
      </c>
      <c r="BB546" s="11">
        <v>44571681.904739231</v>
      </c>
      <c r="BC546" s="10">
        <v>2971324</v>
      </c>
      <c r="BD546" s="10">
        <f>1000000000-999209836.7797+259764.8928</f>
        <v>1049928.1130999592</v>
      </c>
      <c r="BE546" s="12">
        <f t="shared" si="182"/>
        <v>476367576.11476088</v>
      </c>
      <c r="BF546" s="13">
        <v>234.06305900000001</v>
      </c>
      <c r="BG546" s="13">
        <f t="shared" si="183"/>
        <v>242.30451711476087</v>
      </c>
      <c r="BH546" s="14">
        <f>BE546*60.6</f>
        <v>28867875112.554508</v>
      </c>
    </row>
    <row r="547" spans="1:60" x14ac:dyDescent="0.25">
      <c r="A547" s="3">
        <v>46169</v>
      </c>
      <c r="B547" s="4">
        <v>4835595358</v>
      </c>
      <c r="C547" s="4">
        <v>2875625920.6300001</v>
      </c>
      <c r="D547" s="4">
        <v>217977224</v>
      </c>
      <c r="E547" s="4">
        <v>4624215.62</v>
      </c>
      <c r="F547" s="17">
        <v>1054485969.187162</v>
      </c>
      <c r="G547" s="17">
        <v>13556369.754585991</v>
      </c>
      <c r="H547" s="17">
        <v>4702013.6831483776</v>
      </c>
      <c r="I547" s="17">
        <v>659947469.7783289</v>
      </c>
      <c r="J547" s="17">
        <v>1213006.1094679821</v>
      </c>
      <c r="K547" s="17">
        <v>1141721092.1173069</v>
      </c>
      <c r="L547" s="14">
        <f t="shared" si="176"/>
        <v>2875625920.6300001</v>
      </c>
      <c r="M547" s="21">
        <v>1.0062361732418059</v>
      </c>
      <c r="N547" s="4">
        <v>1486521.53</v>
      </c>
      <c r="O547" s="4">
        <v>248346.23</v>
      </c>
      <c r="P547" s="4">
        <v>94663.25</v>
      </c>
      <c r="Q547" s="4">
        <v>20.190363999999999</v>
      </c>
      <c r="R547" s="14">
        <f t="shared" si="163"/>
        <v>1829551.2003639999</v>
      </c>
      <c r="S547" s="6">
        <v>0.01</v>
      </c>
      <c r="T547" s="14">
        <f t="shared" si="164"/>
        <v>14865.2153</v>
      </c>
      <c r="U547" s="14">
        <f t="shared" si="165"/>
        <v>1259.7575000000002</v>
      </c>
      <c r="V547" s="14">
        <f t="shared" si="166"/>
        <v>824.87779999999998</v>
      </c>
      <c r="W547" s="14">
        <f t="shared" si="167"/>
        <v>0.20190364</v>
      </c>
      <c r="X547" s="4">
        <v>12175.47</v>
      </c>
      <c r="Y547" s="4">
        <v>122370.48</v>
      </c>
      <c r="Z547" s="4">
        <v>0</v>
      </c>
      <c r="AA547" s="14">
        <f t="shared" si="168"/>
        <v>151496.00250363999</v>
      </c>
      <c r="AB547" s="4">
        <v>117591.36719999999</v>
      </c>
      <c r="AC547" s="4">
        <v>1486521.53</v>
      </c>
      <c r="AD547" s="14">
        <f t="shared" si="169"/>
        <v>125975.75000000001</v>
      </c>
      <c r="AE547" s="14">
        <f t="shared" si="170"/>
        <v>82487.78</v>
      </c>
      <c r="AF547" s="14">
        <f t="shared" si="171"/>
        <v>20.190363999999999</v>
      </c>
      <c r="AG547" s="15">
        <f t="shared" si="172"/>
        <v>1695005.250364</v>
      </c>
      <c r="AH547" s="4">
        <v>1576858.19</v>
      </c>
      <c r="AI547" s="17">
        <f t="shared" si="173"/>
        <v>118147.06036400003</v>
      </c>
      <c r="AJ547" s="7">
        <f t="shared" si="177"/>
        <v>3.0741230809163995</v>
      </c>
      <c r="AK547" s="7">
        <f t="shared" si="178"/>
        <v>0.86362495280885365</v>
      </c>
      <c r="AL547" s="7">
        <f t="shared" si="179"/>
        <v>4.3428046409105567</v>
      </c>
      <c r="AM547" s="7">
        <f t="shared" si="180"/>
        <v>4.3662246009194529E-2</v>
      </c>
      <c r="AN547" s="4">
        <v>22197.938362467939</v>
      </c>
      <c r="AO547" s="4">
        <v>89003.64</v>
      </c>
      <c r="AP547" s="14">
        <f t="shared" si="174"/>
        <v>1688059.7683624679</v>
      </c>
      <c r="AQ547" s="14">
        <f t="shared" si="175"/>
        <v>1576858.19</v>
      </c>
      <c r="AR547" s="8">
        <v>26078.61</v>
      </c>
      <c r="AS547" s="20">
        <v>60.465577000000003</v>
      </c>
      <c r="AT547" s="8">
        <v>44598263.354739226</v>
      </c>
      <c r="AU547" s="8">
        <v>26226.440900000001</v>
      </c>
      <c r="AV547" s="8">
        <v>1606.8676</v>
      </c>
      <c r="AW547" s="8"/>
      <c r="AX547" s="9">
        <v>430.48625958423048</v>
      </c>
      <c r="AY547" s="6">
        <f t="shared" si="181"/>
        <v>2.2236832687169614E-2</v>
      </c>
      <c r="AZ547" s="8">
        <v>414533197.42650002</v>
      </c>
      <c r="BA547" s="10">
        <v>60480066</v>
      </c>
      <c r="BB547" s="11">
        <v>44598263.354739226</v>
      </c>
      <c r="BC547" s="10">
        <v>2971324</v>
      </c>
      <c r="BD547" s="10">
        <f>1000000000-999208229.912+260133.6844</f>
        <v>1051903.772400059</v>
      </c>
      <c r="BE547" s="12">
        <f t="shared" si="182"/>
        <v>476365245.44636059</v>
      </c>
      <c r="BF547" s="13">
        <v>234.06305900000001</v>
      </c>
      <c r="BG547" s="13">
        <f t="shared" si="183"/>
        <v>242.30218644636057</v>
      </c>
      <c r="BH547" s="14">
        <f>BE547*60.22</f>
        <v>28686715080.779835</v>
      </c>
    </row>
    <row r="548" spans="1:60" x14ac:dyDescent="0.25">
      <c r="A548" s="3">
        <v>46170</v>
      </c>
      <c r="B548" s="4">
        <v>6081031158</v>
      </c>
      <c r="C548" s="4">
        <v>2484678221.7399998</v>
      </c>
      <c r="D548" s="4">
        <v>206858804</v>
      </c>
      <c r="E548" s="4">
        <v>4428651.43</v>
      </c>
      <c r="F548" s="17">
        <v>1001094861.301065</v>
      </c>
      <c r="G548" s="17">
        <v>13965834.566069299</v>
      </c>
      <c r="H548" s="17">
        <v>5310764.0315642525</v>
      </c>
      <c r="I548" s="17">
        <v>580633509.53380132</v>
      </c>
      <c r="J548" s="17">
        <v>9637779.7329570036</v>
      </c>
      <c r="K548" s="17">
        <v>874035472.57454324</v>
      </c>
      <c r="L548" s="14">
        <f t="shared" si="176"/>
        <v>2484678221.7399998</v>
      </c>
      <c r="M548" s="21">
        <v>1.0022444445076391</v>
      </c>
      <c r="N548" s="4">
        <v>2031757.76</v>
      </c>
      <c r="O548" s="4">
        <v>286635.84000000003</v>
      </c>
      <c r="P548" s="4">
        <v>97823.97</v>
      </c>
      <c r="Q548" s="4">
        <v>3.6299139999999999</v>
      </c>
      <c r="R548" s="14">
        <f t="shared" si="163"/>
        <v>2416221.1999140005</v>
      </c>
      <c r="S548" s="6">
        <v>0.01</v>
      </c>
      <c r="T548" s="14">
        <f t="shared" si="164"/>
        <v>20317.577600000001</v>
      </c>
      <c r="U548" s="14">
        <f t="shared" si="165"/>
        <v>1453.6380000000001</v>
      </c>
      <c r="V548" s="14">
        <f t="shared" si="166"/>
        <v>869.04830000000004</v>
      </c>
      <c r="W548" s="14">
        <f t="shared" si="167"/>
        <v>3.6299140000000001E-2</v>
      </c>
      <c r="X548" s="4">
        <v>10919.14</v>
      </c>
      <c r="Y548" s="4">
        <v>141272.04</v>
      </c>
      <c r="Z548" s="4">
        <v>0</v>
      </c>
      <c r="AA548" s="14">
        <f t="shared" si="168"/>
        <v>174831.48019914</v>
      </c>
      <c r="AB548" s="4">
        <v>129445.3027</v>
      </c>
      <c r="AC548" s="4">
        <v>2031757.76</v>
      </c>
      <c r="AD548" s="14">
        <f t="shared" si="169"/>
        <v>145363.80000000002</v>
      </c>
      <c r="AE548" s="14">
        <f t="shared" si="170"/>
        <v>86904.83</v>
      </c>
      <c r="AF548" s="14">
        <f t="shared" si="171"/>
        <v>3.6299139999999999</v>
      </c>
      <c r="AG548" s="15">
        <f t="shared" si="172"/>
        <v>2264030.0199140003</v>
      </c>
      <c r="AH548" s="4">
        <v>1940756.76</v>
      </c>
      <c r="AI548" s="17">
        <f t="shared" si="173"/>
        <v>323273.25991400029</v>
      </c>
      <c r="AJ548" s="7">
        <f t="shared" si="177"/>
        <v>3.3411401902242974</v>
      </c>
      <c r="AK548" s="7">
        <f t="shared" si="178"/>
        <v>1.1536135242464969</v>
      </c>
      <c r="AL548" s="7">
        <f t="shared" si="179"/>
        <v>4.729021347334097</v>
      </c>
      <c r="AM548" s="7">
        <f t="shared" si="180"/>
        <v>8.1964319327791392E-3</v>
      </c>
      <c r="AN548" s="4">
        <v>23233.036031080359</v>
      </c>
      <c r="AO548" s="4">
        <v>0</v>
      </c>
      <c r="AP548" s="14">
        <f t="shared" si="174"/>
        <v>1963989.7960310804</v>
      </c>
      <c r="AQ548" s="14">
        <f t="shared" si="175"/>
        <v>1940756.76</v>
      </c>
      <c r="AR548" s="8">
        <v>33367.53</v>
      </c>
      <c r="AS548" s="20">
        <v>58.163032999999999</v>
      </c>
      <c r="AT548" s="8">
        <v>44631473.614739232</v>
      </c>
      <c r="AU548" s="8">
        <v>26218.487799999999</v>
      </c>
      <c r="AV548" s="8">
        <v>2975.1785</v>
      </c>
      <c r="AW548" s="8"/>
      <c r="AX548" s="9">
        <v>431.60810680020842</v>
      </c>
      <c r="AY548" s="6">
        <f t="shared" si="181"/>
        <v>2.2172308388613844E-2</v>
      </c>
      <c r="AZ548" s="8">
        <v>414506978.93870002</v>
      </c>
      <c r="BA548" s="10">
        <v>60480066</v>
      </c>
      <c r="BB548" s="11">
        <v>44631473.614739232</v>
      </c>
      <c r="BC548" s="10">
        <v>2971324</v>
      </c>
      <c r="BD548" s="10">
        <f>1000000000-999205254.7335+260534.0193</f>
        <v>1055279.2857999962</v>
      </c>
      <c r="BE548" s="12">
        <f t="shared" si="182"/>
        <v>476354878.16076082</v>
      </c>
      <c r="BF548" s="13">
        <v>234.06305900000001</v>
      </c>
      <c r="BG548" s="13">
        <f t="shared" si="183"/>
        <v>242.29181916076084</v>
      </c>
      <c r="BH548" s="14">
        <f>BE548*58.05</f>
        <v>27652400677.232162</v>
      </c>
    </row>
    <row r="549" spans="1:60" x14ac:dyDescent="0.25">
      <c r="A549" s="3">
        <v>46171</v>
      </c>
      <c r="B549" s="4">
        <v>5709574256</v>
      </c>
      <c r="C549" s="4">
        <v>2231290275.4099998</v>
      </c>
      <c r="D549" s="4">
        <v>307390361</v>
      </c>
      <c r="E549" s="4">
        <v>5766738.3399999999</v>
      </c>
      <c r="F549" s="17">
        <v>947739245.83710051</v>
      </c>
      <c r="G549" s="17">
        <v>5625543.5658324398</v>
      </c>
      <c r="H549" s="17">
        <v>2893699.6167002022</v>
      </c>
      <c r="I549" s="17">
        <v>467843556.62561429</v>
      </c>
      <c r="J549" s="17">
        <v>7124659.909316143</v>
      </c>
      <c r="K549" s="17">
        <v>800063569.85543644</v>
      </c>
      <c r="L549" s="14">
        <f t="shared" si="176"/>
        <v>2231290275.4099998</v>
      </c>
      <c r="M549" s="21">
        <v>1.001497640125971</v>
      </c>
      <c r="N549" s="4">
        <v>1912383.71</v>
      </c>
      <c r="O549" s="4">
        <v>226585.29</v>
      </c>
      <c r="P549" s="4">
        <v>155480.85</v>
      </c>
      <c r="Q549" s="4">
        <v>7.1720550000000003</v>
      </c>
      <c r="R549" s="14">
        <f t="shared" si="163"/>
        <v>2294457.0220550001</v>
      </c>
      <c r="S549" s="6">
        <v>0.01</v>
      </c>
      <c r="T549" s="14">
        <f t="shared" si="164"/>
        <v>19123.837100000001</v>
      </c>
      <c r="U549" s="14">
        <f t="shared" si="165"/>
        <v>1141.751</v>
      </c>
      <c r="V549" s="14">
        <f t="shared" si="166"/>
        <v>1434.5076000000001</v>
      </c>
      <c r="W549" s="14">
        <f t="shared" si="167"/>
        <v>7.1720550000000008E-2</v>
      </c>
      <c r="X549" s="4">
        <v>12030.09</v>
      </c>
      <c r="Y549" s="4">
        <v>112410.19</v>
      </c>
      <c r="Z549" s="4">
        <v>0</v>
      </c>
      <c r="AA549" s="14">
        <f t="shared" si="168"/>
        <v>146140.44742054999</v>
      </c>
      <c r="AB549" s="4">
        <v>102860.2188</v>
      </c>
      <c r="AC549" s="4">
        <v>1912383.71</v>
      </c>
      <c r="AD549" s="14">
        <f t="shared" si="169"/>
        <v>114175.1</v>
      </c>
      <c r="AE549" s="14">
        <f t="shared" si="170"/>
        <v>143450.76</v>
      </c>
      <c r="AF549" s="14">
        <f t="shared" si="171"/>
        <v>7.1720550000000003</v>
      </c>
      <c r="AG549" s="15">
        <f t="shared" si="172"/>
        <v>2170016.7420550003</v>
      </c>
      <c r="AH549" s="4">
        <v>1821481.39</v>
      </c>
      <c r="AI549" s="17">
        <f t="shared" si="173"/>
        <v>348535.35205500037</v>
      </c>
      <c r="AJ549" s="7">
        <f t="shared" si="177"/>
        <v>3.3494331175224494</v>
      </c>
      <c r="AK549" s="7">
        <f t="shared" si="178"/>
        <v>1.0154899723137321</v>
      </c>
      <c r="AL549" s="7">
        <f t="shared" si="179"/>
        <v>5.0580912652625436</v>
      </c>
      <c r="AM549" s="7">
        <f t="shared" si="180"/>
        <v>1.2436935017932511E-2</v>
      </c>
      <c r="AN549" s="4">
        <v>39285.060051259592</v>
      </c>
      <c r="AO549" s="4">
        <v>0</v>
      </c>
      <c r="AP549" s="14">
        <f t="shared" si="174"/>
        <v>1860766.4500512595</v>
      </c>
      <c r="AQ549" s="14">
        <f t="shared" si="175"/>
        <v>1821481.39</v>
      </c>
      <c r="AR549" s="8">
        <v>28338.47</v>
      </c>
      <c r="AS549" s="20">
        <v>64.275925999999998</v>
      </c>
      <c r="AT549" s="8">
        <v>44659622.074739233</v>
      </c>
      <c r="AU549" s="8">
        <v>26247.926599999999</v>
      </c>
      <c r="AV549" s="8">
        <v>1144.2663</v>
      </c>
      <c r="AW549" s="8"/>
      <c r="AX549" s="9">
        <v>431.63780085415522</v>
      </c>
      <c r="AY549" s="6">
        <f t="shared" si="181"/>
        <v>2.2195677000581147E-2</v>
      </c>
      <c r="AZ549" s="8">
        <v>414480731.01200002</v>
      </c>
      <c r="BA549" s="10">
        <v>60480066</v>
      </c>
      <c r="BB549" s="11">
        <v>44659622.074739233</v>
      </c>
      <c r="BC549" s="10">
        <v>2971324</v>
      </c>
      <c r="BD549" s="10">
        <f>1000000000-999204110.4673+261163.1541</f>
        <v>1057052.6867999425</v>
      </c>
      <c r="BE549" s="12">
        <f t="shared" si="182"/>
        <v>476351204.22646075</v>
      </c>
      <c r="BF549" s="13">
        <v>234.06305900000001</v>
      </c>
      <c r="BG549" s="13">
        <f t="shared" si="183"/>
        <v>242.28814522646076</v>
      </c>
      <c r="BH549" s="14">
        <f>BE549*62.4</f>
        <v>29724315143.731152</v>
      </c>
    </row>
    <row r="550" spans="1:60" x14ac:dyDescent="0.25">
      <c r="A550" s="3">
        <v>46172</v>
      </c>
      <c r="B550" s="4">
        <v>2954074057</v>
      </c>
      <c r="C550" s="4">
        <v>326014451.07999998</v>
      </c>
      <c r="D550" s="4">
        <v>185149823</v>
      </c>
      <c r="E550" s="4">
        <v>5826488.0599999996</v>
      </c>
      <c r="F550" s="17">
        <v>102536791.6496181</v>
      </c>
      <c r="G550" s="17">
        <v>3065535.623208228</v>
      </c>
      <c r="H550" s="17">
        <v>404071.14452908718</v>
      </c>
      <c r="I550" s="17">
        <v>89975868.899859339</v>
      </c>
      <c r="J550" s="17">
        <v>1152279.3073461531</v>
      </c>
      <c r="K550" s="17">
        <v>128879904.45543911</v>
      </c>
      <c r="L550" s="14">
        <f t="shared" si="176"/>
        <v>326014451.08000004</v>
      </c>
      <c r="M550" s="21">
        <v>1.0012441139585671</v>
      </c>
      <c r="N550" s="4">
        <v>1012428.33</v>
      </c>
      <c r="O550" s="4">
        <v>49902.9</v>
      </c>
      <c r="P550" s="4">
        <v>96195.45</v>
      </c>
      <c r="Q550" s="4">
        <v>17.232610000000001</v>
      </c>
      <c r="R550" s="14">
        <f t="shared" si="163"/>
        <v>1158543.91261</v>
      </c>
      <c r="S550" s="6">
        <v>0.01</v>
      </c>
      <c r="T550" s="14">
        <f t="shared" si="164"/>
        <v>10124.283299999999</v>
      </c>
      <c r="U550" s="14">
        <f t="shared" si="165"/>
        <v>254.6234</v>
      </c>
      <c r="V550" s="14">
        <f t="shared" si="166"/>
        <v>880.76580000000001</v>
      </c>
      <c r="W550" s="14">
        <f t="shared" si="167"/>
        <v>0.17232610000000001</v>
      </c>
      <c r="X550" s="4">
        <v>8118.87</v>
      </c>
      <c r="Y550" s="4">
        <v>24440.560000000001</v>
      </c>
      <c r="Z550" s="4">
        <v>0</v>
      </c>
      <c r="AA550" s="14">
        <f t="shared" si="168"/>
        <v>43819.274826100002</v>
      </c>
      <c r="AB550" s="4">
        <v>49322.739600000001</v>
      </c>
      <c r="AC550" s="4">
        <v>1012428.33</v>
      </c>
      <c r="AD550" s="14">
        <f t="shared" si="169"/>
        <v>25462.34</v>
      </c>
      <c r="AE550" s="14">
        <f t="shared" si="170"/>
        <v>88076.58</v>
      </c>
      <c r="AF550" s="14">
        <f t="shared" si="171"/>
        <v>17.232610000000001</v>
      </c>
      <c r="AG550" s="15">
        <f t="shared" si="172"/>
        <v>1125984.4826100001</v>
      </c>
      <c r="AH550" s="4">
        <v>931924.44</v>
      </c>
      <c r="AI550" s="17">
        <f t="shared" si="173"/>
        <v>194060.04261000012</v>
      </c>
      <c r="AJ550" s="7">
        <f t="shared" si="177"/>
        <v>3.4272273154457347</v>
      </c>
      <c r="AK550" s="7">
        <f t="shared" si="178"/>
        <v>1.5306959502771993</v>
      </c>
      <c r="AL550" s="7">
        <f t="shared" si="179"/>
        <v>5.1955464197230148</v>
      </c>
      <c r="AM550" s="7">
        <f t="shared" si="180"/>
        <v>2.957632423261158E-2</v>
      </c>
      <c r="AN550" s="4">
        <v>14919.650416007809</v>
      </c>
      <c r="AO550" s="4">
        <v>0</v>
      </c>
      <c r="AP550" s="14">
        <f t="shared" si="174"/>
        <v>946844.09041600779</v>
      </c>
      <c r="AQ550" s="14">
        <f t="shared" si="175"/>
        <v>931924.44</v>
      </c>
      <c r="AR550" s="8">
        <v>13975.83</v>
      </c>
      <c r="AS550" s="20">
        <v>66.681151</v>
      </c>
      <c r="AT550" s="8">
        <v>44673442.344739228</v>
      </c>
      <c r="AU550" s="8">
        <v>26247.657299999999</v>
      </c>
      <c r="AV550" s="8">
        <v>2078.8074000000001</v>
      </c>
      <c r="AW550" s="8"/>
      <c r="AX550" s="9">
        <v>430.9244244090558</v>
      </c>
      <c r="AY550" s="6">
        <f t="shared" si="181"/>
        <v>2.223219286685359E-2</v>
      </c>
      <c r="AZ550" s="8">
        <v>414454483.35479999</v>
      </c>
      <c r="BA550" s="10">
        <v>60480066</v>
      </c>
      <c r="BB550" s="11">
        <v>44673442.344739228</v>
      </c>
      <c r="BC550" s="10">
        <v>2971324</v>
      </c>
      <c r="BD550" s="10">
        <f>1000000000-999202031.6599+261394.0405</f>
        <v>1059362.3806000501</v>
      </c>
      <c r="BE550" s="12">
        <f t="shared" si="182"/>
        <v>476361321.91986078</v>
      </c>
      <c r="BF550" s="13">
        <v>234.06305900000001</v>
      </c>
      <c r="BG550" s="13">
        <f t="shared" si="183"/>
        <v>242.29826291986075</v>
      </c>
      <c r="BH550" s="14">
        <f>BE550*64.7</f>
        <v>30820577528.214993</v>
      </c>
    </row>
    <row r="551" spans="1:60" x14ac:dyDescent="0.25">
      <c r="A551" s="3">
        <v>46173</v>
      </c>
      <c r="B551" s="4">
        <v>3654574382</v>
      </c>
      <c r="C551" s="4">
        <v>564708895.00999999</v>
      </c>
      <c r="D551" s="4">
        <v>305508082</v>
      </c>
      <c r="E551" s="4">
        <v>5016346.58</v>
      </c>
      <c r="F551" s="17">
        <v>182378118.74906859</v>
      </c>
      <c r="G551" s="17">
        <v>5086840.8128754478</v>
      </c>
      <c r="H551" s="17">
        <v>1585524.905817094</v>
      </c>
      <c r="I551" s="17">
        <v>180025321.0341692</v>
      </c>
      <c r="J551" s="17">
        <v>1294308.087483451</v>
      </c>
      <c r="K551" s="17">
        <v>194338781.42058629</v>
      </c>
      <c r="L551" s="14">
        <f t="shared" si="176"/>
        <v>564708895.01000011</v>
      </c>
      <c r="M551" s="21">
        <v>1.0147618388999811</v>
      </c>
      <c r="N551" s="4">
        <v>1274430.75</v>
      </c>
      <c r="O551" s="4">
        <v>70121.649999999994</v>
      </c>
      <c r="P551" s="4">
        <v>144471.85999999999</v>
      </c>
      <c r="Q551" s="4">
        <v>2.5953680000000001</v>
      </c>
      <c r="R551" s="14">
        <f t="shared" si="163"/>
        <v>1489026.8553679998</v>
      </c>
      <c r="S551" s="6">
        <v>0.01</v>
      </c>
      <c r="T551" s="14">
        <f t="shared" si="164"/>
        <v>12744.307500000001</v>
      </c>
      <c r="U551" s="14">
        <f t="shared" si="165"/>
        <v>358.37619999999998</v>
      </c>
      <c r="V551" s="14">
        <f t="shared" si="166"/>
        <v>1356.5699</v>
      </c>
      <c r="W551" s="14">
        <f t="shared" si="167"/>
        <v>2.5953680000000003E-2</v>
      </c>
      <c r="X551" s="4">
        <v>8814.8700000000008</v>
      </c>
      <c r="Y551" s="4">
        <v>34284.03</v>
      </c>
      <c r="Z551" s="4">
        <v>0</v>
      </c>
      <c r="AA551" s="14">
        <f t="shared" si="168"/>
        <v>57558.179553680005</v>
      </c>
      <c r="AB551" s="4">
        <v>57491.631999999998</v>
      </c>
      <c r="AC551" s="4">
        <v>1274430.75</v>
      </c>
      <c r="AD551" s="14">
        <f t="shared" si="169"/>
        <v>35837.619999999995</v>
      </c>
      <c r="AE551" s="14">
        <f t="shared" si="170"/>
        <v>135656.99</v>
      </c>
      <c r="AF551" s="14">
        <f t="shared" si="171"/>
        <v>2.5953680000000001</v>
      </c>
      <c r="AG551" s="15">
        <f t="shared" si="172"/>
        <v>1445927.9553680001</v>
      </c>
      <c r="AH551" s="4">
        <v>1192802.4099999999</v>
      </c>
      <c r="AI551" s="17">
        <f t="shared" si="173"/>
        <v>253125.54536800017</v>
      </c>
      <c r="AJ551" s="7">
        <f t="shared" si="177"/>
        <v>3.4872207178953514</v>
      </c>
      <c r="AK551" s="7">
        <f t="shared" si="178"/>
        <v>1.2417309275561927</v>
      </c>
      <c r="AL551" s="7">
        <f t="shared" si="179"/>
        <v>4.7289046840993221</v>
      </c>
      <c r="AM551" s="7">
        <f t="shared" si="180"/>
        <v>5.1738211437535883E-3</v>
      </c>
      <c r="AN551" s="4">
        <v>20325.057465137019</v>
      </c>
      <c r="AO551" s="4">
        <v>0</v>
      </c>
      <c r="AP551" s="14">
        <f t="shared" si="174"/>
        <v>1213127.4674651369</v>
      </c>
      <c r="AQ551" s="14">
        <f t="shared" si="175"/>
        <v>1192802.4099999999</v>
      </c>
      <c r="AR551" s="8">
        <v>17143.48</v>
      </c>
      <c r="AS551" s="20">
        <v>69.577612000000002</v>
      </c>
      <c r="AT551" s="8">
        <v>44690872.864739232</v>
      </c>
      <c r="AU551" s="8">
        <v>26470.653699999999</v>
      </c>
      <c r="AV551" s="8">
        <v>834.95519999999999</v>
      </c>
      <c r="AW551" s="8"/>
      <c r="AX551" s="9">
        <v>431.1007442976487</v>
      </c>
      <c r="AY551" s="6">
        <f t="shared" si="181"/>
        <v>2.2411904243498881E-2</v>
      </c>
      <c r="AZ551" s="8">
        <v>414428012.70109999</v>
      </c>
      <c r="BA551" s="10">
        <v>60480066</v>
      </c>
      <c r="BB551" s="11">
        <v>44690872.864739232</v>
      </c>
      <c r="BC551" s="10">
        <v>2971324</v>
      </c>
      <c r="BD551" s="10">
        <f>1000000000-999201196.7047+261689.7336</f>
        <v>1060493.0289000068</v>
      </c>
      <c r="BE551" s="12">
        <f t="shared" si="182"/>
        <v>476369231.40526074</v>
      </c>
      <c r="BF551" s="13">
        <v>234.06305900000001</v>
      </c>
      <c r="BG551" s="13">
        <f t="shared" si="183"/>
        <v>242.30617240526072</v>
      </c>
      <c r="BH551" s="14">
        <f>BE551*68.75</f>
        <v>32750384659.111675</v>
      </c>
    </row>
    <row r="552" spans="1:60" x14ac:dyDescent="0.25">
      <c r="A552" s="3">
        <v>46174</v>
      </c>
      <c r="B552" s="4">
        <v>7622731071</v>
      </c>
      <c r="C552" s="4">
        <v>2835900637.5999999</v>
      </c>
      <c r="D552" s="4">
        <v>398891474</v>
      </c>
      <c r="E552" s="4">
        <v>4312720.5</v>
      </c>
      <c r="F552" s="17">
        <v>1086800803.889056</v>
      </c>
      <c r="G552" s="17">
        <v>8175994.0607022578</v>
      </c>
      <c r="H552" s="17">
        <v>4117188.544377449</v>
      </c>
      <c r="I552" s="17">
        <v>633856368.13087618</v>
      </c>
      <c r="J552" s="17">
        <v>3895250.6127232658</v>
      </c>
      <c r="K552" s="17">
        <v>1099055032.3622651</v>
      </c>
      <c r="L552" s="14">
        <f t="shared" si="176"/>
        <v>2835900637.6000004</v>
      </c>
      <c r="M552" s="21">
        <v>1.0030292321187639</v>
      </c>
      <c r="N552" s="4">
        <v>2676097.71</v>
      </c>
      <c r="O552" s="4">
        <v>294122.26</v>
      </c>
      <c r="P552" s="4">
        <v>203368.39</v>
      </c>
      <c r="Q552" s="4">
        <v>7.3734789999999997</v>
      </c>
      <c r="R552" s="14">
        <f t="shared" si="163"/>
        <v>3173595.7334789997</v>
      </c>
      <c r="S552" s="6">
        <v>0.01</v>
      </c>
      <c r="T552" s="14">
        <f t="shared" si="164"/>
        <v>26760.9771</v>
      </c>
      <c r="U552" s="14">
        <f t="shared" si="165"/>
        <v>1481.9611000000002</v>
      </c>
      <c r="V552" s="14">
        <f t="shared" si="166"/>
        <v>1901.7775000000001</v>
      </c>
      <c r="W552" s="14">
        <f t="shared" si="167"/>
        <v>7.3734789999999995E-2</v>
      </c>
      <c r="X552" s="4">
        <v>13190.64</v>
      </c>
      <c r="Y552" s="4">
        <v>145926.15</v>
      </c>
      <c r="Z552" s="4">
        <v>0</v>
      </c>
      <c r="AA552" s="14">
        <f t="shared" si="168"/>
        <v>189261.57943479001</v>
      </c>
      <c r="AB552" s="4">
        <v>138772.7677</v>
      </c>
      <c r="AC552" s="4">
        <v>2676097.71</v>
      </c>
      <c r="AD552" s="14">
        <f t="shared" si="169"/>
        <v>148196.11000000002</v>
      </c>
      <c r="AE552" s="14">
        <f t="shared" si="170"/>
        <v>190177.75</v>
      </c>
      <c r="AF552" s="14">
        <f t="shared" si="171"/>
        <v>7.3734789999999997</v>
      </c>
      <c r="AG552" s="15">
        <f t="shared" si="172"/>
        <v>3014478.9434789997</v>
      </c>
      <c r="AH552" s="4">
        <v>2512562.06</v>
      </c>
      <c r="AI552" s="17">
        <f t="shared" si="173"/>
        <v>501916.8834789996</v>
      </c>
      <c r="AJ552" s="7">
        <f t="shared" si="177"/>
        <v>3.5106809948746256</v>
      </c>
      <c r="AK552" s="7">
        <f t="shared" si="178"/>
        <v>1.0371388055715285</v>
      </c>
      <c r="AL552" s="7">
        <f t="shared" si="179"/>
        <v>5.0983388529382303</v>
      </c>
      <c r="AM552" s="7">
        <f t="shared" si="180"/>
        <v>1.7097048139335713E-2</v>
      </c>
      <c r="AN552" s="4">
        <v>33471.190457487231</v>
      </c>
      <c r="AO552" s="4">
        <v>0</v>
      </c>
      <c r="AP552" s="14">
        <f t="shared" si="174"/>
        <v>2546033.2504574871</v>
      </c>
      <c r="AQ552" s="14">
        <f t="shared" si="175"/>
        <v>2512562.06</v>
      </c>
      <c r="AR552" s="8">
        <v>34647.199999999997</v>
      </c>
      <c r="AS552" s="20">
        <v>72.518473999999998</v>
      </c>
      <c r="AT552" s="8">
        <v>44725505.094739228</v>
      </c>
      <c r="AU552" s="8">
        <v>26638.993200000001</v>
      </c>
      <c r="AV552" s="8">
        <v>1036.4945</v>
      </c>
      <c r="AW552" s="8"/>
      <c r="AX552" s="9">
        <v>430.39846878027231</v>
      </c>
      <c r="AY552" s="6">
        <f t="shared" si="181"/>
        <v>2.2591233991968315E-2</v>
      </c>
      <c r="AZ552" s="8">
        <v>414401373.70789999</v>
      </c>
      <c r="BA552" s="10">
        <v>60480066</v>
      </c>
      <c r="BB552" s="11">
        <v>44725505.094739228</v>
      </c>
      <c r="BC552" s="10">
        <v>2971324</v>
      </c>
      <c r="BD552" s="10">
        <f>1000000000-999200160.2102+262148.872</f>
        <v>1061988.6618000478</v>
      </c>
      <c r="BE552" s="12">
        <f t="shared" si="182"/>
        <v>476359742.53556073</v>
      </c>
      <c r="BF552" s="13">
        <v>234.06305900000001</v>
      </c>
      <c r="BG552" s="13">
        <f t="shared" si="183"/>
        <v>242.2966835355607</v>
      </c>
      <c r="BH552" s="14">
        <f>BE552*72.81</f>
        <v>34683752854.014175</v>
      </c>
    </row>
    <row r="553" spans="1:60" x14ac:dyDescent="0.25">
      <c r="A553" s="3">
        <v>46175</v>
      </c>
      <c r="B553" s="4">
        <v>11525362419</v>
      </c>
      <c r="C553" s="4">
        <v>2593227417.2600002</v>
      </c>
      <c r="D553" s="4">
        <v>426012653</v>
      </c>
      <c r="E553" s="4">
        <v>3711385.95</v>
      </c>
      <c r="F553" s="17">
        <v>721577642.79711998</v>
      </c>
      <c r="G553" s="17">
        <v>13628279.74091058</v>
      </c>
      <c r="H553" s="17">
        <v>7244321.8947898066</v>
      </c>
      <c r="I553" s="17">
        <v>633025201.22853768</v>
      </c>
      <c r="J553" s="17">
        <v>2898761.148307967</v>
      </c>
      <c r="K553" s="17">
        <v>1214853210.4503341</v>
      </c>
      <c r="L553" s="14">
        <f t="shared" si="176"/>
        <v>2593227417.2600002</v>
      </c>
      <c r="M553" s="21">
        <v>1.001989645445182</v>
      </c>
      <c r="N553" s="4">
        <v>3869380.86</v>
      </c>
      <c r="O553" s="4">
        <v>277181.45</v>
      </c>
      <c r="P553" s="4">
        <v>219977.34</v>
      </c>
      <c r="Q553" s="4">
        <v>18.701058</v>
      </c>
      <c r="R553" s="14">
        <f t="shared" si="163"/>
        <v>4366558.3510580007</v>
      </c>
      <c r="S553" s="6">
        <v>0.01</v>
      </c>
      <c r="T553" s="14">
        <f t="shared" si="164"/>
        <v>38693.808599999997</v>
      </c>
      <c r="U553" s="14">
        <f t="shared" si="165"/>
        <v>1405.8131000000001</v>
      </c>
      <c r="V553" s="14">
        <f t="shared" si="166"/>
        <v>1930.6194</v>
      </c>
      <c r="W553" s="14">
        <f t="shared" si="167"/>
        <v>0.18701058000000001</v>
      </c>
      <c r="X553" s="4">
        <v>26915.4</v>
      </c>
      <c r="Y553" s="4">
        <v>136600.14000000001</v>
      </c>
      <c r="Z553" s="4">
        <v>0</v>
      </c>
      <c r="AA553" s="14">
        <f t="shared" si="168"/>
        <v>205545.96811058</v>
      </c>
      <c r="AB553" s="4">
        <v>207527.978</v>
      </c>
      <c r="AC553" s="4">
        <v>3869380.86</v>
      </c>
      <c r="AD553" s="14">
        <f t="shared" si="169"/>
        <v>140581.31</v>
      </c>
      <c r="AE553" s="14">
        <f t="shared" si="170"/>
        <v>193061.94</v>
      </c>
      <c r="AF553" s="14">
        <f t="shared" si="171"/>
        <v>18.701058</v>
      </c>
      <c r="AG553" s="15">
        <f t="shared" si="172"/>
        <v>4203042.8110580007</v>
      </c>
      <c r="AH553" s="4">
        <v>3522838.43</v>
      </c>
      <c r="AI553" s="17">
        <f t="shared" si="173"/>
        <v>680204.38105800049</v>
      </c>
      <c r="AJ553" s="7">
        <f t="shared" si="177"/>
        <v>3.3572747817640662</v>
      </c>
      <c r="AK553" s="7">
        <f t="shared" si="178"/>
        <v>1.0688667262853078</v>
      </c>
      <c r="AL553" s="7">
        <f t="shared" si="179"/>
        <v>5.1636339543182537</v>
      </c>
      <c r="AM553" s="7">
        <f t="shared" si="180"/>
        <v>5.0388340776038126E-2</v>
      </c>
      <c r="AN553" s="4">
        <v>39700.825869494161</v>
      </c>
      <c r="AO553" s="4">
        <v>0</v>
      </c>
      <c r="AP553" s="14">
        <f t="shared" si="174"/>
        <v>3562539.2558694943</v>
      </c>
      <c r="AQ553" s="14">
        <f t="shared" si="175"/>
        <v>3522838.43</v>
      </c>
      <c r="AR553" s="8">
        <v>49220.21</v>
      </c>
      <c r="AS553" s="20">
        <v>71.573007000000004</v>
      </c>
      <c r="AT553" s="8">
        <v>44774453.234739229</v>
      </c>
      <c r="AU553" s="8">
        <v>26613.781800000001</v>
      </c>
      <c r="AV553" s="8">
        <v>2142.5263</v>
      </c>
      <c r="AW553" s="8"/>
      <c r="AX553" s="9">
        <v>429.80138332186431</v>
      </c>
      <c r="AY553" s="6">
        <f t="shared" si="181"/>
        <v>2.2601207753036659E-2</v>
      </c>
      <c r="AZ553" s="8">
        <v>414374759.92610002</v>
      </c>
      <c r="BA553" s="10">
        <v>60480066</v>
      </c>
      <c r="BB553" s="11">
        <v>44774453.234739229</v>
      </c>
      <c r="BC553" s="10">
        <v>2971324</v>
      </c>
      <c r="BD553" s="10">
        <f>1000000000-999198017.6839+262682.9878</f>
        <v>1064665.3039000013</v>
      </c>
      <c r="BE553" s="12">
        <f t="shared" si="182"/>
        <v>476334731.53526074</v>
      </c>
      <c r="BF553" s="13">
        <v>234.06305900000001</v>
      </c>
      <c r="BG553" s="13">
        <f t="shared" si="183"/>
        <v>242.27167253526073</v>
      </c>
      <c r="BH553" s="14">
        <f>BE553*74.29</f>
        <v>35386907205.754524</v>
      </c>
    </row>
    <row r="554" spans="1:60" x14ac:dyDescent="0.25">
      <c r="A554" s="3">
        <v>46176</v>
      </c>
      <c r="B554" s="4">
        <v>9757775087</v>
      </c>
      <c r="C554" s="4">
        <v>2857088921.8000002</v>
      </c>
      <c r="D554" s="4">
        <v>508700077</v>
      </c>
      <c r="E554" s="4">
        <v>4689967.8600000003</v>
      </c>
      <c r="F554" s="17">
        <v>753781364.45580876</v>
      </c>
      <c r="G554" s="17">
        <v>13887846.254618371</v>
      </c>
      <c r="H554" s="17">
        <v>3890543.1079831659</v>
      </c>
      <c r="I554" s="17">
        <v>675497696.82541716</v>
      </c>
      <c r="J554" s="17">
        <v>3124046.5144787291</v>
      </c>
      <c r="K554" s="17">
        <v>1406907424.6416941</v>
      </c>
      <c r="L554" s="14">
        <f t="shared" si="176"/>
        <v>2857088921.8000002</v>
      </c>
      <c r="M554" s="21">
        <v>1.004946346430037</v>
      </c>
      <c r="N554" s="4">
        <v>3198987.7</v>
      </c>
      <c r="O554" s="4">
        <v>297806.28000000003</v>
      </c>
      <c r="P554" s="4">
        <v>208280.02</v>
      </c>
      <c r="Q554" s="4">
        <v>32.842374999999997</v>
      </c>
      <c r="R554" s="14">
        <f t="shared" si="163"/>
        <v>3705106.8423750005</v>
      </c>
      <c r="S554" s="6">
        <v>0.01</v>
      </c>
      <c r="T554" s="14">
        <f t="shared" si="164"/>
        <v>31989.877000000004</v>
      </c>
      <c r="U554" s="14">
        <f t="shared" si="165"/>
        <v>1506.7847000000004</v>
      </c>
      <c r="V554" s="14">
        <f t="shared" si="166"/>
        <v>1821.595</v>
      </c>
      <c r="W554" s="14">
        <f t="shared" si="167"/>
        <v>0.32842374999999996</v>
      </c>
      <c r="X554" s="4">
        <v>26120.52</v>
      </c>
      <c r="Y554" s="4">
        <v>147127.81</v>
      </c>
      <c r="Z554" s="4">
        <v>0</v>
      </c>
      <c r="AA554" s="14">
        <f t="shared" si="168"/>
        <v>208566.91512374999</v>
      </c>
      <c r="AB554" s="4">
        <v>166370.6972</v>
      </c>
      <c r="AC554" s="4">
        <v>3198987.7</v>
      </c>
      <c r="AD554" s="14">
        <f t="shared" si="169"/>
        <v>150678.47000000003</v>
      </c>
      <c r="AE554" s="14">
        <f t="shared" si="170"/>
        <v>182159.5</v>
      </c>
      <c r="AF554" s="14">
        <f t="shared" si="171"/>
        <v>32.842374999999997</v>
      </c>
      <c r="AG554" s="15">
        <f t="shared" si="172"/>
        <v>3531858.5123750004</v>
      </c>
      <c r="AH554" s="4">
        <v>3079290.68</v>
      </c>
      <c r="AI554" s="17">
        <f t="shared" si="173"/>
        <v>452567.83237500023</v>
      </c>
      <c r="AJ554" s="7">
        <f t="shared" si="177"/>
        <v>3.2783986835912198</v>
      </c>
      <c r="AK554" s="7">
        <f t="shared" si="178"/>
        <v>1.0423416566691195</v>
      </c>
      <c r="AL554" s="7">
        <f t="shared" si="179"/>
        <v>4.0943579412904239</v>
      </c>
      <c r="AM554" s="7">
        <f t="shared" si="180"/>
        <v>7.0026865813106007E-2</v>
      </c>
      <c r="AN554" s="4">
        <v>33902.037776768462</v>
      </c>
      <c r="AO554" s="4">
        <v>0</v>
      </c>
      <c r="AP554" s="14">
        <f t="shared" si="174"/>
        <v>3113192.7177767688</v>
      </c>
      <c r="AQ554" s="14">
        <f t="shared" si="175"/>
        <v>3079290.68</v>
      </c>
      <c r="AR554" s="8">
        <v>42474.53</v>
      </c>
      <c r="AS554" s="20">
        <v>72.497345999999993</v>
      </c>
      <c r="AT554" s="8">
        <v>44818417.394739233</v>
      </c>
      <c r="AU554" s="8">
        <v>26612.7415</v>
      </c>
      <c r="AV554" s="8">
        <v>1590.4883</v>
      </c>
      <c r="AW554" s="8"/>
      <c r="AX554" s="9">
        <v>430.56413786664831</v>
      </c>
      <c r="AY554" s="6">
        <f t="shared" si="181"/>
        <v>2.2560287291061971E-2</v>
      </c>
      <c r="AZ554" s="8">
        <v>414348147.1846</v>
      </c>
      <c r="BA554" s="10">
        <v>60480066</v>
      </c>
      <c r="BB554" s="11">
        <v>44818417.394739233</v>
      </c>
      <c r="BC554" s="10">
        <v>2971324</v>
      </c>
      <c r="BD554" s="10">
        <f>1000000000-999196427.1956+263164.4893</f>
        <v>1066737.2936999672</v>
      </c>
      <c r="BE554" s="12">
        <f t="shared" si="182"/>
        <v>476315308.12696081</v>
      </c>
      <c r="BF554" s="13">
        <v>234.06305900000001</v>
      </c>
      <c r="BG554" s="13">
        <f t="shared" si="183"/>
        <v>242.25224912696081</v>
      </c>
      <c r="BH554" s="14">
        <f>BE554*70.38</f>
        <v>33523071385.975498</v>
      </c>
    </row>
    <row r="555" spans="1:60" x14ac:dyDescent="0.25">
      <c r="A555" s="3">
        <v>46177</v>
      </c>
      <c r="B555" s="4">
        <v>12854393305</v>
      </c>
      <c r="C555" s="4">
        <v>3119395511.5599999</v>
      </c>
      <c r="D555" s="4">
        <v>602949586</v>
      </c>
      <c r="E555" s="4">
        <v>6980861.8399999999</v>
      </c>
      <c r="F555" s="17">
        <v>632036870.08346236</v>
      </c>
      <c r="G555" s="17">
        <v>20519713.412479259</v>
      </c>
      <c r="H555" s="17">
        <v>3766294.6304488028</v>
      </c>
      <c r="I555" s="17">
        <v>1192402832.7646561</v>
      </c>
      <c r="J555" s="17">
        <v>56220525.827450797</v>
      </c>
      <c r="K555" s="17">
        <v>1214449274.8415029</v>
      </c>
      <c r="L555" s="14">
        <f t="shared" si="176"/>
        <v>3119395511.5600004</v>
      </c>
      <c r="M555" s="21">
        <v>1.0009778019843181</v>
      </c>
      <c r="N555" s="4">
        <v>4301081.6900000004</v>
      </c>
      <c r="O555" s="4">
        <v>331048.27</v>
      </c>
      <c r="P555" s="4">
        <v>295946.53000000003</v>
      </c>
      <c r="Q555" s="4">
        <v>44.224867000000003</v>
      </c>
      <c r="R555" s="14">
        <f t="shared" si="163"/>
        <v>4928120.7148670014</v>
      </c>
      <c r="S555" s="6">
        <v>0.01</v>
      </c>
      <c r="T555" s="14">
        <f t="shared" si="164"/>
        <v>43010.816900000005</v>
      </c>
      <c r="U555" s="14">
        <f t="shared" si="165"/>
        <v>1683.0783000000001</v>
      </c>
      <c r="V555" s="14">
        <f t="shared" si="166"/>
        <v>2547.7428000000004</v>
      </c>
      <c r="W555" s="14">
        <f t="shared" si="167"/>
        <v>0.44224867000000007</v>
      </c>
      <c r="X555" s="4">
        <v>41172.25</v>
      </c>
      <c r="Y555" s="4">
        <v>162740.44</v>
      </c>
      <c r="Z555" s="4">
        <v>0</v>
      </c>
      <c r="AA555" s="14">
        <f t="shared" si="168"/>
        <v>251154.77024867001</v>
      </c>
      <c r="AB555" s="4">
        <v>248299.05480000001</v>
      </c>
      <c r="AC555" s="4">
        <v>4301081.6900000004</v>
      </c>
      <c r="AD555" s="14">
        <f t="shared" si="169"/>
        <v>168307.83000000002</v>
      </c>
      <c r="AE555" s="14">
        <f t="shared" si="170"/>
        <v>254774.28000000003</v>
      </c>
      <c r="AF555" s="14">
        <f t="shared" si="171"/>
        <v>44.224867000000003</v>
      </c>
      <c r="AG555" s="15">
        <f t="shared" si="172"/>
        <v>4724208.024867001</v>
      </c>
      <c r="AH555" s="4">
        <v>3978710.18</v>
      </c>
      <c r="AI555" s="17">
        <f t="shared" si="173"/>
        <v>745497.84486700082</v>
      </c>
      <c r="AJ555" s="7">
        <f t="shared" si="177"/>
        <v>3.3460013148399623</v>
      </c>
      <c r="AK555" s="7">
        <f t="shared" si="178"/>
        <v>1.0612577621952268</v>
      </c>
      <c r="AL555" s="7">
        <f t="shared" si="179"/>
        <v>4.9083130144151061</v>
      </c>
      <c r="AM555" s="7">
        <f t="shared" si="180"/>
        <v>6.3351586113040745E-2</v>
      </c>
      <c r="AN555" s="4">
        <v>78930.884342828445</v>
      </c>
      <c r="AO555" s="4">
        <v>0</v>
      </c>
      <c r="AP555" s="14">
        <f t="shared" si="174"/>
        <v>4057641.0643428285</v>
      </c>
      <c r="AQ555" s="14">
        <f t="shared" si="175"/>
        <v>3978710.18</v>
      </c>
      <c r="AR555" s="8">
        <v>57808.65</v>
      </c>
      <c r="AS555" s="20">
        <v>68.825515999999993</v>
      </c>
      <c r="AT555" s="8">
        <v>44875399.844739228</v>
      </c>
      <c r="AU555" s="8">
        <v>26648.945899999999</v>
      </c>
      <c r="AV555" s="8">
        <v>2230.1990000000001</v>
      </c>
      <c r="AW555" s="8"/>
      <c r="AX555" s="9">
        <v>431.81889628800718</v>
      </c>
      <c r="AY555" s="6">
        <f t="shared" si="181"/>
        <v>2.252533489644358E-2</v>
      </c>
      <c r="AZ555" s="8">
        <v>414321498.23869997</v>
      </c>
      <c r="BA555" s="10">
        <v>60480066</v>
      </c>
      <c r="BB555" s="11">
        <v>44875399.844739228</v>
      </c>
      <c r="BC555" s="10">
        <v>2971324</v>
      </c>
      <c r="BD555" s="10">
        <f>1000000000-999194196.9966+264221.977</f>
        <v>1070024.9803999681</v>
      </c>
      <c r="BE555" s="12">
        <f t="shared" si="182"/>
        <v>476281686.93616092</v>
      </c>
      <c r="BF555" s="13">
        <v>234.06305900000001</v>
      </c>
      <c r="BG555" s="13">
        <f t="shared" si="183"/>
        <v>242.21862793616089</v>
      </c>
      <c r="BH555" s="14">
        <f>BE555*74.58</f>
        <v>35521088211.698883</v>
      </c>
    </row>
    <row r="556" spans="1:60" x14ac:dyDescent="0.25">
      <c r="A556" s="3">
        <v>46178</v>
      </c>
      <c r="B556" s="4">
        <v>15878796718</v>
      </c>
      <c r="C556" s="4">
        <v>4286805777.0799999</v>
      </c>
      <c r="D556" s="4">
        <v>567946775</v>
      </c>
      <c r="E556" s="4">
        <v>8178606.1200000001</v>
      </c>
      <c r="F556" s="17">
        <v>825208635.86202443</v>
      </c>
      <c r="G556" s="17">
        <v>29347227.565091599</v>
      </c>
      <c r="H556" s="17">
        <v>7735432.8231037846</v>
      </c>
      <c r="I556" s="17">
        <v>1984097993.7125859</v>
      </c>
      <c r="J556" s="17">
        <v>26197201.58981451</v>
      </c>
      <c r="K556" s="17">
        <v>1414219285.52738</v>
      </c>
      <c r="L556" s="14">
        <f t="shared" si="176"/>
        <v>4286805777.0800004</v>
      </c>
      <c r="M556" s="21">
        <v>1.0016287306824521</v>
      </c>
      <c r="N556" s="4">
        <v>5157444.97</v>
      </c>
      <c r="O556" s="4">
        <v>459623.24</v>
      </c>
      <c r="P556" s="4">
        <v>288671.06</v>
      </c>
      <c r="Q556" s="4">
        <v>23.142512</v>
      </c>
      <c r="R556" s="14">
        <f t="shared" si="163"/>
        <v>5905762.4125119997</v>
      </c>
      <c r="S556" s="6">
        <v>0.01</v>
      </c>
      <c r="T556" s="14">
        <f t="shared" si="164"/>
        <v>51574.449699999997</v>
      </c>
      <c r="U556" s="14">
        <f t="shared" si="165"/>
        <v>2329.4641999999999</v>
      </c>
      <c r="V556" s="14">
        <f t="shared" si="166"/>
        <v>2371.4339</v>
      </c>
      <c r="W556" s="14">
        <f t="shared" si="167"/>
        <v>0.23142512000000001</v>
      </c>
      <c r="X556" s="4">
        <v>51527.67</v>
      </c>
      <c r="Y556" s="4">
        <v>226676.82</v>
      </c>
      <c r="Z556" s="4">
        <v>0</v>
      </c>
      <c r="AA556" s="14">
        <f t="shared" si="168"/>
        <v>334480.06922512001</v>
      </c>
      <c r="AB556" s="4">
        <v>338129.8297</v>
      </c>
      <c r="AC556" s="4">
        <v>5157444.97</v>
      </c>
      <c r="AD556" s="14">
        <f t="shared" si="169"/>
        <v>232946.41999999998</v>
      </c>
      <c r="AE556" s="14">
        <f t="shared" si="170"/>
        <v>237143.39</v>
      </c>
      <c r="AF556" s="14">
        <f t="shared" si="171"/>
        <v>23.142512</v>
      </c>
      <c r="AG556" s="15">
        <f t="shared" si="172"/>
        <v>5627557.9225119995</v>
      </c>
      <c r="AH556" s="4">
        <v>4627268.2699999996</v>
      </c>
      <c r="AI556" s="17">
        <f t="shared" si="173"/>
        <v>1000289.6525119999</v>
      </c>
      <c r="AJ556" s="7">
        <f t="shared" si="177"/>
        <v>3.2480074287704599</v>
      </c>
      <c r="AK556" s="7">
        <f t="shared" si="178"/>
        <v>1.0721811621544395</v>
      </c>
      <c r="AL556" s="7">
        <f t="shared" si="179"/>
        <v>5.0827132524874354</v>
      </c>
      <c r="AM556" s="7">
        <f t="shared" si="180"/>
        <v>2.8296401196540321E-2</v>
      </c>
      <c r="AN556" s="4">
        <v>79612.0660460051</v>
      </c>
      <c r="AO556" s="4">
        <v>0</v>
      </c>
      <c r="AP556" s="14">
        <f t="shared" si="174"/>
        <v>4706880.3360460047</v>
      </c>
      <c r="AQ556" s="14">
        <f t="shared" si="175"/>
        <v>4627268.2699999996</v>
      </c>
      <c r="AR556" s="8">
        <v>76548.58</v>
      </c>
      <c r="AS556" s="20">
        <v>60.448779999999999</v>
      </c>
      <c r="AT556" s="8">
        <v>44951284.994739227</v>
      </c>
      <c r="AU556" s="8">
        <v>26679.3626</v>
      </c>
      <c r="AV556" s="8">
        <v>3126.4863</v>
      </c>
      <c r="AW556" s="8"/>
      <c r="AX556" s="9">
        <v>432.26272102755178</v>
      </c>
      <c r="AY556" s="6">
        <f t="shared" si="181"/>
        <v>2.2527890737030078E-2</v>
      </c>
      <c r="AZ556" s="8">
        <v>414294818.8761</v>
      </c>
      <c r="BA556" s="10">
        <v>60480066</v>
      </c>
      <c r="BB556" s="11">
        <v>44951284.994739227</v>
      </c>
      <c r="BC556" s="10">
        <v>2971324</v>
      </c>
      <c r="BD556" s="10">
        <f>1000000000-999191070.5103+265454.1521</f>
        <v>1074383.6417999598</v>
      </c>
      <c r="BE556" s="12">
        <f t="shared" si="182"/>
        <v>476228122.48736072</v>
      </c>
      <c r="BF556" s="13">
        <v>234.06305900000001</v>
      </c>
      <c r="BG556" s="13">
        <f t="shared" si="183"/>
        <v>242.16506348736073</v>
      </c>
      <c r="BH556" s="14">
        <f>BE556*64.57</f>
        <v>30750049869.008877</v>
      </c>
    </row>
    <row r="557" spans="1:60" x14ac:dyDescent="0.25">
      <c r="A557" s="3">
        <v>46179</v>
      </c>
      <c r="B557" s="4">
        <v>5719301661</v>
      </c>
      <c r="C557" s="4">
        <v>845934328.25999999</v>
      </c>
      <c r="D557" s="4">
        <v>193551087</v>
      </c>
      <c r="E557" s="4">
        <v>6267006.9100000001</v>
      </c>
      <c r="F557" s="17">
        <v>172650228.5070405</v>
      </c>
      <c r="G557" s="17">
        <v>7756574.4871639693</v>
      </c>
      <c r="H557" s="17">
        <v>8185328.1180444928</v>
      </c>
      <c r="I557" s="17">
        <v>274689063.96618748</v>
      </c>
      <c r="J557" s="17">
        <v>2060645.5850108741</v>
      </c>
      <c r="K557" s="17">
        <v>380592487.59655261</v>
      </c>
      <c r="L557" s="14">
        <f t="shared" si="176"/>
        <v>845934328.25999999</v>
      </c>
      <c r="M557" s="21">
        <v>1.0020894253439061</v>
      </c>
      <c r="N557" s="4">
        <v>1753212</v>
      </c>
      <c r="O557" s="4">
        <v>103755.05</v>
      </c>
      <c r="P557" s="4">
        <v>94010.81</v>
      </c>
      <c r="Q557" s="4">
        <v>4.7598190000000002</v>
      </c>
      <c r="R557" s="14">
        <f t="shared" si="163"/>
        <v>1950982.6198190001</v>
      </c>
      <c r="S557" s="6">
        <v>0.01</v>
      </c>
      <c r="T557" s="14">
        <f t="shared" si="164"/>
        <v>17532.12</v>
      </c>
      <c r="U557" s="14">
        <f t="shared" si="165"/>
        <v>527.66070000000002</v>
      </c>
      <c r="V557" s="14">
        <f t="shared" si="166"/>
        <v>742.8818</v>
      </c>
      <c r="W557" s="14">
        <f t="shared" si="167"/>
        <v>4.7598190000000005E-2</v>
      </c>
      <c r="X557" s="4">
        <v>19722.63</v>
      </c>
      <c r="Y557" s="4">
        <v>50988.98</v>
      </c>
      <c r="Z557" s="4">
        <v>0</v>
      </c>
      <c r="AA557" s="14">
        <f t="shared" si="168"/>
        <v>89514.320098190015</v>
      </c>
      <c r="AB557" s="4">
        <v>98198.713799999998</v>
      </c>
      <c r="AC557" s="4">
        <v>1753212</v>
      </c>
      <c r="AD557" s="14">
        <f t="shared" si="169"/>
        <v>52766.07</v>
      </c>
      <c r="AE557" s="14">
        <f t="shared" si="170"/>
        <v>74288.179999999993</v>
      </c>
      <c r="AF557" s="14">
        <f t="shared" si="171"/>
        <v>4.7598190000000002</v>
      </c>
      <c r="AG557" s="15">
        <f t="shared" si="172"/>
        <v>1880271.009819</v>
      </c>
      <c r="AH557" s="4">
        <v>1644970.96</v>
      </c>
      <c r="AI557" s="17">
        <f t="shared" si="173"/>
        <v>235300.04981900007</v>
      </c>
      <c r="AJ557" s="7">
        <f t="shared" si="177"/>
        <v>3.0654301939608777</v>
      </c>
      <c r="AK557" s="7">
        <f t="shared" si="178"/>
        <v>1.2265142403360494</v>
      </c>
      <c r="AL557" s="7">
        <f t="shared" si="179"/>
        <v>4.8571574284157855</v>
      </c>
      <c r="AM557" s="7">
        <f t="shared" si="180"/>
        <v>7.5950434846416984E-3</v>
      </c>
      <c r="AN557" s="4">
        <v>16124.09262209</v>
      </c>
      <c r="AO557" s="4">
        <v>29855.8</v>
      </c>
      <c r="AP557" s="14">
        <f t="shared" si="174"/>
        <v>1690950.8526220899</v>
      </c>
      <c r="AQ557" s="14">
        <f t="shared" si="175"/>
        <v>1644970.96</v>
      </c>
      <c r="AR557" s="8">
        <v>28053.06</v>
      </c>
      <c r="AS557" s="20">
        <v>58.637844000000001</v>
      </c>
      <c r="AT557" s="8">
        <v>44979691.674739227</v>
      </c>
      <c r="AU557" s="8">
        <v>26691.309799999999</v>
      </c>
      <c r="AV557" s="8">
        <v>3039.415</v>
      </c>
      <c r="AW557" s="8">
        <v>331757</v>
      </c>
      <c r="AX557" s="9">
        <v>432.36117250022892</v>
      </c>
      <c r="AY557" s="6">
        <f t="shared" si="181"/>
        <v>2.253284683419356E-2</v>
      </c>
      <c r="AZ557" s="8">
        <v>414268127.56629997</v>
      </c>
      <c r="BA557" s="10">
        <v>60480066</v>
      </c>
      <c r="BB557" s="11">
        <v>44979691.674739227</v>
      </c>
      <c r="BC557" s="10">
        <v>2971324</v>
      </c>
      <c r="BD557" s="10">
        <f>1000000000-999188031.0953+265722.0877</f>
        <v>1077690.9924000409</v>
      </c>
      <c r="BE557" s="12">
        <f t="shared" si="182"/>
        <v>476223099.76656079</v>
      </c>
      <c r="BF557" s="13">
        <v>233.731302</v>
      </c>
      <c r="BG557" s="13">
        <f t="shared" si="183"/>
        <v>242.49179776656078</v>
      </c>
      <c r="BH557" s="14">
        <f>BE557*60.15</f>
        <v>28644819450.95863</v>
      </c>
    </row>
    <row r="558" spans="1:60" x14ac:dyDescent="0.25">
      <c r="A558" s="3">
        <v>46180</v>
      </c>
      <c r="B558" s="4">
        <v>5842742934</v>
      </c>
      <c r="C558" s="4">
        <v>1275429499.3299999</v>
      </c>
      <c r="D558" s="4">
        <v>174107136</v>
      </c>
      <c r="E558" s="4">
        <v>4857983.4800000004</v>
      </c>
      <c r="F558" s="17">
        <v>497607952.30196768</v>
      </c>
      <c r="G558" s="17">
        <v>5978146.4060973749</v>
      </c>
      <c r="H558" s="17">
        <v>3152366.0604984551</v>
      </c>
      <c r="I558" s="17">
        <v>368979687.57740802</v>
      </c>
      <c r="J558" s="17">
        <v>1188021.1227714389</v>
      </c>
      <c r="K558" s="17">
        <v>398523325.8612569</v>
      </c>
      <c r="L558" s="14">
        <f t="shared" si="176"/>
        <v>1275429499.3299999</v>
      </c>
      <c r="M558" s="21">
        <v>1.0196807691073611</v>
      </c>
      <c r="N558" s="4">
        <v>1925480.11</v>
      </c>
      <c r="O558" s="4">
        <v>146827.67000000001</v>
      </c>
      <c r="P558" s="4">
        <v>76158</v>
      </c>
      <c r="Q558" s="4">
        <v>9.6475159999999995</v>
      </c>
      <c r="R558" s="14">
        <f t="shared" si="163"/>
        <v>2148475.4275160003</v>
      </c>
      <c r="S558" s="6">
        <v>0.01</v>
      </c>
      <c r="T558" s="14">
        <f t="shared" si="164"/>
        <v>19254.801100000001</v>
      </c>
      <c r="U558" s="14">
        <f t="shared" si="165"/>
        <v>741.74470000000019</v>
      </c>
      <c r="V558" s="14">
        <f t="shared" si="166"/>
        <v>622.92169999999999</v>
      </c>
      <c r="W558" s="14">
        <f t="shared" si="167"/>
        <v>9.6475160000000004E-2</v>
      </c>
      <c r="X558" s="4">
        <v>13865.83</v>
      </c>
      <c r="Y558" s="4">
        <v>72653.2</v>
      </c>
      <c r="Z558" s="4">
        <v>0</v>
      </c>
      <c r="AA558" s="14">
        <f t="shared" si="168"/>
        <v>107138.59397515999</v>
      </c>
      <c r="AB558" s="4">
        <v>119906.94779999999</v>
      </c>
      <c r="AC558" s="4">
        <v>1925480.11</v>
      </c>
      <c r="AD558" s="14">
        <f t="shared" si="169"/>
        <v>74174.470000000016</v>
      </c>
      <c r="AE558" s="14">
        <f t="shared" si="170"/>
        <v>62292.17</v>
      </c>
      <c r="AF558" s="14">
        <f t="shared" si="171"/>
        <v>9.6475159999999995</v>
      </c>
      <c r="AG558" s="15">
        <f t="shared" si="172"/>
        <v>2061956.3975160001</v>
      </c>
      <c r="AH558" s="4">
        <v>1726268.47</v>
      </c>
      <c r="AI558" s="17">
        <f t="shared" si="173"/>
        <v>335687.92751600011</v>
      </c>
      <c r="AJ558" s="7">
        <f t="shared" si="177"/>
        <v>3.2955071474996371</v>
      </c>
      <c r="AK558" s="7">
        <f t="shared" si="178"/>
        <v>1.1512017722432368</v>
      </c>
      <c r="AL558" s="7">
        <f t="shared" si="179"/>
        <v>4.3742032491993896</v>
      </c>
      <c r="AM558" s="7">
        <f t="shared" si="180"/>
        <v>1.9859095939124105E-2</v>
      </c>
      <c r="AN558" s="4">
        <v>23423.927441688091</v>
      </c>
      <c r="AO558" s="4">
        <v>0</v>
      </c>
      <c r="AP558" s="14">
        <f t="shared" si="174"/>
        <v>1749692.397441688</v>
      </c>
      <c r="AQ558" s="14">
        <f t="shared" si="175"/>
        <v>1726268.47</v>
      </c>
      <c r="AR558" s="8">
        <v>29443.09</v>
      </c>
      <c r="AS558" s="20">
        <v>58.630682999999998</v>
      </c>
      <c r="AT558" s="8">
        <v>45008781.144739233</v>
      </c>
      <c r="AU558" s="8">
        <v>26696.898000000001</v>
      </c>
      <c r="AV558" s="8">
        <v>1738.4409000000001</v>
      </c>
      <c r="AW558" s="8">
        <v>201995</v>
      </c>
      <c r="AX558" s="9">
        <v>432.6605072638236</v>
      </c>
      <c r="AY558" s="6">
        <f t="shared" si="181"/>
        <v>2.2521971861088241E-2</v>
      </c>
      <c r="AZ558" s="8">
        <v>414241430.66820002</v>
      </c>
      <c r="BA558" s="10">
        <v>60480066</v>
      </c>
      <c r="BB558" s="11">
        <v>45008781.144739233</v>
      </c>
      <c r="BC558" s="10">
        <v>2971324</v>
      </c>
      <c r="BD558" s="10">
        <f>1000000000-999186292.6544+266138.3058</f>
        <v>1079845.6514000089</v>
      </c>
      <c r="BE558" s="12">
        <f t="shared" si="182"/>
        <v>476218552.53566074</v>
      </c>
      <c r="BF558" s="13">
        <v>233.52930699999999</v>
      </c>
      <c r="BG558" s="13">
        <f t="shared" si="183"/>
        <v>242.68924553566077</v>
      </c>
      <c r="BH558" s="14">
        <f>BE558*56.32</f>
        <v>26820628878.808414</v>
      </c>
    </row>
    <row r="559" spans="1:60" x14ac:dyDescent="0.25">
      <c r="A559" s="3">
        <v>46181</v>
      </c>
      <c r="B559" s="4">
        <v>6077209079</v>
      </c>
      <c r="C559" s="4">
        <v>3751411348.8699999</v>
      </c>
      <c r="D559" s="4">
        <v>252206207</v>
      </c>
      <c r="E559" s="4">
        <v>3460614.65</v>
      </c>
      <c r="F559" s="17">
        <v>938853818.43627191</v>
      </c>
      <c r="G559" s="17">
        <v>6217888.3945005843</v>
      </c>
      <c r="H559" s="17">
        <v>3777532.3949191291</v>
      </c>
      <c r="I559" s="17">
        <v>1538622855.3471251</v>
      </c>
      <c r="J559" s="17">
        <v>4384898.1018889621</v>
      </c>
      <c r="K559" s="17">
        <v>1259554356.1952951</v>
      </c>
      <c r="L559" s="14">
        <f t="shared" si="176"/>
        <v>3751411348.8700008</v>
      </c>
      <c r="M559" s="21">
        <v>1.001697959706829</v>
      </c>
      <c r="N559" s="4">
        <v>1933670.93</v>
      </c>
      <c r="O559" s="4">
        <v>338313.51</v>
      </c>
      <c r="P559" s="4">
        <v>132174.26999999999</v>
      </c>
      <c r="Q559" s="4">
        <v>3.6999949999999999</v>
      </c>
      <c r="R559" s="14">
        <f t="shared" si="163"/>
        <v>2404162.4099949999</v>
      </c>
      <c r="S559" s="6">
        <v>0.01</v>
      </c>
      <c r="T559" s="14">
        <f t="shared" si="164"/>
        <v>19336.709299999999</v>
      </c>
      <c r="U559" s="14">
        <f t="shared" si="165"/>
        <v>1701.6293000000003</v>
      </c>
      <c r="V559" s="14">
        <f t="shared" si="166"/>
        <v>1152.6431</v>
      </c>
      <c r="W559" s="14">
        <f t="shared" si="167"/>
        <v>3.6999949999999997E-2</v>
      </c>
      <c r="X559" s="4">
        <v>16909.96</v>
      </c>
      <c r="Y559" s="4">
        <v>168150.58</v>
      </c>
      <c r="Z559" s="4">
        <v>0</v>
      </c>
      <c r="AA559" s="14">
        <f t="shared" si="168"/>
        <v>207251.55869994999</v>
      </c>
      <c r="AB559" s="4">
        <v>116382.3509</v>
      </c>
      <c r="AC559" s="4">
        <v>1933670.93</v>
      </c>
      <c r="AD559" s="14">
        <f t="shared" si="169"/>
        <v>170162.93000000002</v>
      </c>
      <c r="AE559" s="14">
        <f t="shared" si="170"/>
        <v>115264.31</v>
      </c>
      <c r="AF559" s="14">
        <f t="shared" si="171"/>
        <v>3.6999949999999999</v>
      </c>
      <c r="AG559" s="15">
        <f t="shared" si="172"/>
        <v>2219101.8699949998</v>
      </c>
      <c r="AH559" s="4">
        <v>1945973.42</v>
      </c>
      <c r="AI559" s="17">
        <f t="shared" si="173"/>
        <v>273128.44999499992</v>
      </c>
      <c r="AJ559" s="7">
        <f t="shared" si="177"/>
        <v>3.1818403890066325</v>
      </c>
      <c r="AK559" s="7">
        <f t="shared" si="178"/>
        <v>0.90182994755269053</v>
      </c>
      <c r="AL559" s="7">
        <f t="shared" si="179"/>
        <v>5.2407223268696157</v>
      </c>
      <c r="AM559" s="7">
        <f t="shared" si="180"/>
        <v>1.0691727840890924E-2</v>
      </c>
      <c r="AN559" s="4">
        <v>30015.367034992079</v>
      </c>
      <c r="AO559" s="4">
        <v>0</v>
      </c>
      <c r="AP559" s="14">
        <f t="shared" si="174"/>
        <v>1975988.7870349919</v>
      </c>
      <c r="AQ559" s="14">
        <f t="shared" si="175"/>
        <v>1945973.42</v>
      </c>
      <c r="AR559" s="8">
        <v>31028.13</v>
      </c>
      <c r="AS559" s="20">
        <v>62.716425999999998</v>
      </c>
      <c r="AT559" s="8">
        <v>45040854.254739232</v>
      </c>
      <c r="AU559" s="8">
        <v>26717.8089</v>
      </c>
      <c r="AV559" s="8">
        <v>1649.4170999999999</v>
      </c>
      <c r="AW559" s="8"/>
      <c r="AX559" s="9">
        <v>433.44444031973768</v>
      </c>
      <c r="AY559" s="6">
        <f t="shared" si="181"/>
        <v>2.2498847237044432E-2</v>
      </c>
      <c r="AZ559" s="8">
        <v>414214712.85930002</v>
      </c>
      <c r="BA559" s="10">
        <v>60480066</v>
      </c>
      <c r="BB559" s="11">
        <v>45040854.254739232</v>
      </c>
      <c r="BC559" s="10">
        <v>2971324</v>
      </c>
      <c r="BD559" s="10">
        <f>1000000000-999184643.2373+266626.0117</f>
        <v>1081982.7743999616</v>
      </c>
      <c r="BE559" s="12">
        <f t="shared" si="182"/>
        <v>476211060.11156082</v>
      </c>
      <c r="BF559" s="13">
        <v>233.52930699999999</v>
      </c>
      <c r="BG559" s="13">
        <f t="shared" si="183"/>
        <v>242.68175311156082</v>
      </c>
      <c r="BH559" s="14">
        <f>BE559*61.56</f>
        <v>29315552860.467686</v>
      </c>
    </row>
    <row r="560" spans="1:60" x14ac:dyDescent="0.25">
      <c r="A560" s="3">
        <v>46182</v>
      </c>
      <c r="B560" s="4">
        <v>6510458901</v>
      </c>
      <c r="C560" s="4">
        <v>4767648514.79</v>
      </c>
      <c r="D560" s="4">
        <v>207271282</v>
      </c>
      <c r="E560" s="4">
        <v>7073046.0999999996</v>
      </c>
      <c r="F560" s="17">
        <v>1067093463.8304141</v>
      </c>
      <c r="G560" s="17">
        <v>6434246.819700988</v>
      </c>
      <c r="H560" s="17">
        <v>3549950.2780446871</v>
      </c>
      <c r="I560" s="17">
        <v>2069995273.779542</v>
      </c>
      <c r="J560" s="17">
        <v>5139263.5460722959</v>
      </c>
      <c r="K560" s="17">
        <v>1615436316.536226</v>
      </c>
      <c r="L560" s="14">
        <f t="shared" si="176"/>
        <v>4767648514.79</v>
      </c>
      <c r="M560" s="21">
        <v>1.0021119806943419</v>
      </c>
      <c r="N560" s="4">
        <v>1895433.68</v>
      </c>
      <c r="O560" s="4">
        <v>390090.39</v>
      </c>
      <c r="P560" s="4">
        <v>96615.41</v>
      </c>
      <c r="Q560" s="4">
        <v>9.7063469999999992</v>
      </c>
      <c r="R560" s="14">
        <f t="shared" si="163"/>
        <v>2382149.1863469998</v>
      </c>
      <c r="S560" s="6">
        <v>0.01</v>
      </c>
      <c r="T560" s="14">
        <f t="shared" si="164"/>
        <v>18954.336800000001</v>
      </c>
      <c r="U560" s="14">
        <f t="shared" si="165"/>
        <v>1959.6968000000002</v>
      </c>
      <c r="V560" s="14">
        <f t="shared" si="166"/>
        <v>860.23469999999998</v>
      </c>
      <c r="W560" s="14">
        <f t="shared" si="167"/>
        <v>9.7063469999999999E-2</v>
      </c>
      <c r="X560" s="4">
        <v>10591.94</v>
      </c>
      <c r="Y560" s="4">
        <v>194120.71</v>
      </c>
      <c r="Z560" s="4">
        <v>0</v>
      </c>
      <c r="AA560" s="14">
        <f t="shared" si="168"/>
        <v>226487.01536347001</v>
      </c>
      <c r="AB560" s="4">
        <v>119267.9249</v>
      </c>
      <c r="AC560" s="4">
        <v>1895433.68</v>
      </c>
      <c r="AD560" s="14">
        <f t="shared" si="169"/>
        <v>195969.68000000002</v>
      </c>
      <c r="AE560" s="14">
        <f t="shared" si="170"/>
        <v>86023.47</v>
      </c>
      <c r="AF560" s="14">
        <f t="shared" si="171"/>
        <v>9.7063469999999992</v>
      </c>
      <c r="AG560" s="15">
        <f t="shared" si="172"/>
        <v>2177436.5363469999</v>
      </c>
      <c r="AH560" s="4">
        <v>2021796.31</v>
      </c>
      <c r="AI560" s="17">
        <f t="shared" si="173"/>
        <v>155640.22634699987</v>
      </c>
      <c r="AJ560" s="7">
        <f t="shared" si="177"/>
        <v>2.9113672458770354</v>
      </c>
      <c r="AK560" s="7">
        <f t="shared" si="178"/>
        <v>0.81820291237887588</v>
      </c>
      <c r="AL560" s="7">
        <f t="shared" si="179"/>
        <v>4.6613022830630246</v>
      </c>
      <c r="AM560" s="7">
        <f t="shared" si="180"/>
        <v>1.3723008252413342E-2</v>
      </c>
      <c r="AN560" s="4">
        <v>22789.424243095909</v>
      </c>
      <c r="AO560" s="4">
        <v>0</v>
      </c>
      <c r="AP560" s="14">
        <f t="shared" si="174"/>
        <v>2044585.7342430959</v>
      </c>
      <c r="AQ560" s="14">
        <f t="shared" si="175"/>
        <v>2021796.31</v>
      </c>
      <c r="AR560" s="8">
        <v>33511.019999999997</v>
      </c>
      <c r="AS560" s="20">
        <v>60.332281999999999</v>
      </c>
      <c r="AT560" s="8">
        <v>45073666.274739228</v>
      </c>
      <c r="AU560" s="8">
        <v>26739.9892</v>
      </c>
      <c r="AV560" s="8">
        <v>1415.258</v>
      </c>
      <c r="AW560" s="8"/>
      <c r="AX560" s="9">
        <v>434.25935428134329</v>
      </c>
      <c r="AY560" s="6">
        <f t="shared" si="181"/>
        <v>2.2475269586655199E-2</v>
      </c>
      <c r="AZ560" s="8">
        <v>414187972.87019998</v>
      </c>
      <c r="BA560" s="10">
        <v>60480066</v>
      </c>
      <c r="BB560" s="11">
        <v>45073666.274739228</v>
      </c>
      <c r="BC560" s="10">
        <v>2971324</v>
      </c>
      <c r="BD560" s="10">
        <f>1000000000-999183227.9793+266987.3815</f>
        <v>1083759.402199978</v>
      </c>
      <c r="BE560" s="12">
        <f t="shared" si="182"/>
        <v>476203211.45286089</v>
      </c>
      <c r="BF560" s="13">
        <v>233.52930699999999</v>
      </c>
      <c r="BG560" s="13">
        <f t="shared" si="183"/>
        <v>242.67390445286091</v>
      </c>
      <c r="BH560" s="14">
        <f>BE560*63.03</f>
        <v>30015088417.873821</v>
      </c>
    </row>
    <row r="561" spans="1:60" x14ac:dyDescent="0.25">
      <c r="A561" s="3">
        <v>46183</v>
      </c>
      <c r="B561" s="4">
        <v>6232773283</v>
      </c>
      <c r="C561" s="4">
        <v>4605521315.0200005</v>
      </c>
      <c r="D561" s="4">
        <v>206263853</v>
      </c>
      <c r="E561" s="4">
        <v>3852447.06</v>
      </c>
      <c r="F561" s="17">
        <v>1325261287.77948</v>
      </c>
      <c r="G561" s="17">
        <v>7088007.2127085011</v>
      </c>
      <c r="H561" s="17">
        <v>3479883.6595339249</v>
      </c>
      <c r="I561" s="17">
        <v>2039524682.7605629</v>
      </c>
      <c r="J561" s="17">
        <v>6572225.419265544</v>
      </c>
      <c r="K561" s="17">
        <v>1223595228.1884501</v>
      </c>
      <c r="L561" s="14">
        <f t="shared" si="176"/>
        <v>4605521315.0200014</v>
      </c>
      <c r="M561" s="21">
        <v>1.0060815882473599</v>
      </c>
      <c r="N561" s="4">
        <v>1974914.11</v>
      </c>
      <c r="O561" s="4">
        <v>415530.78</v>
      </c>
      <c r="P561" s="4">
        <v>100249.36</v>
      </c>
      <c r="Q561" s="4">
        <v>3.9609260000000002</v>
      </c>
      <c r="R561" s="14">
        <f t="shared" ref="R561:R624" si="184">N561+O561+P561+N(Q561)</f>
        <v>2490698.210926</v>
      </c>
      <c r="S561" s="6">
        <v>0.01</v>
      </c>
      <c r="T561" s="14">
        <f t="shared" ref="T561:T624" si="185">N(AC561)*S561</f>
        <v>19749.141100000001</v>
      </c>
      <c r="U561" s="14">
        <f t="shared" ref="U561:U624" si="186">N(AD561)*S561</f>
        <v>2088.0355000000004</v>
      </c>
      <c r="V561" s="14">
        <f t="shared" ref="V561:V624" si="187">N(AE561)*S561</f>
        <v>913.14160000000004</v>
      </c>
      <c r="W561" s="14">
        <f t="shared" ref="W561:W624" si="188">IF(Q561="","",N(AF561)*S561)</f>
        <v>3.960926E-2</v>
      </c>
      <c r="X561" s="4">
        <v>8935.2000000000007</v>
      </c>
      <c r="Y561" s="4">
        <v>206727.23</v>
      </c>
      <c r="Z561" s="4">
        <v>0</v>
      </c>
      <c r="AA561" s="14">
        <f t="shared" ref="AA561:AA624" si="189">T561+U561+V561+N(W561)+X561+Y561+N(Z561)</f>
        <v>238412.78780926001</v>
      </c>
      <c r="AB561" s="4">
        <v>120981.8316</v>
      </c>
      <c r="AC561" s="4">
        <v>1974914.11</v>
      </c>
      <c r="AD561" s="14">
        <f t="shared" ref="AD561:AD624" si="190">O561-Y561</f>
        <v>208803.55000000002</v>
      </c>
      <c r="AE561" s="14">
        <f t="shared" ref="AE561:AE624" si="191">P561-X561</f>
        <v>91314.16</v>
      </c>
      <c r="AF561" s="14">
        <f t="shared" ref="AF561:AF624" si="192">IF(Q561="","",Q561-Z561)</f>
        <v>3.9609260000000002</v>
      </c>
      <c r="AG561" s="15">
        <f t="shared" ref="AG561:AG624" si="193">AC561+AD561+AE561+N(AF561)</f>
        <v>2275035.7809260003</v>
      </c>
      <c r="AH561" s="4">
        <v>1982907.04</v>
      </c>
      <c r="AI561" s="17">
        <f t="shared" ref="AI561:AI624" si="194">AG561-AH561</f>
        <v>292128.74092600029</v>
      </c>
      <c r="AJ561" s="7">
        <f t="shared" si="177"/>
        <v>3.1685960973209366</v>
      </c>
      <c r="AK561" s="7">
        <f t="shared" si="178"/>
        <v>0.90224483088337526</v>
      </c>
      <c r="AL561" s="7">
        <f t="shared" si="179"/>
        <v>4.8602485865519061</v>
      </c>
      <c r="AM561" s="7">
        <f t="shared" si="180"/>
        <v>1.0281584505407844E-2</v>
      </c>
      <c r="AN561" s="4">
        <v>27898.972072107579</v>
      </c>
      <c r="AO561" s="4">
        <v>28879.88</v>
      </c>
      <c r="AP561" s="14">
        <f t="shared" ref="AP561:AP624" si="195">AH561+AN561+AO561</f>
        <v>2039685.8920721074</v>
      </c>
      <c r="AQ561" s="14">
        <f t="shared" ref="AQ561:AQ624" si="196">AH561</f>
        <v>1982907.04</v>
      </c>
      <c r="AR561" s="8">
        <v>35537.79</v>
      </c>
      <c r="AS561" s="20">
        <v>55.797139999999999</v>
      </c>
      <c r="AT561" s="8">
        <v>45108952.044739231</v>
      </c>
      <c r="AU561" s="8">
        <v>26732.8246</v>
      </c>
      <c r="AV561" s="8">
        <v>1315.5038999999999</v>
      </c>
      <c r="AW561" s="8"/>
      <c r="AX561" s="9">
        <v>434.54947540875099</v>
      </c>
      <c r="AY561" s="6">
        <f t="shared" si="181"/>
        <v>2.2454246365898392E-2</v>
      </c>
      <c r="AZ561" s="8">
        <v>414161240.0456</v>
      </c>
      <c r="BA561" s="10">
        <v>60480066</v>
      </c>
      <c r="BB561" s="11">
        <v>45108952.044739231</v>
      </c>
      <c r="BC561" s="10">
        <v>2971324</v>
      </c>
      <c r="BD561" s="10">
        <f>1000000000-999181912.4753+267469.8373</f>
        <v>1085557.3620000456</v>
      </c>
      <c r="BE561" s="12">
        <f t="shared" si="182"/>
        <v>476192860.54766077</v>
      </c>
      <c r="BF561" s="13">
        <v>233.52930699999999</v>
      </c>
      <c r="BG561" s="13">
        <f t="shared" si="183"/>
        <v>242.66355354766077</v>
      </c>
      <c r="BH561" s="14">
        <f>BE561*57.83</f>
        <v>27538233125.471222</v>
      </c>
    </row>
    <row r="562" spans="1:60" x14ac:dyDescent="0.25">
      <c r="A562" s="3">
        <v>46184</v>
      </c>
      <c r="B562" s="4">
        <v>5417781937</v>
      </c>
      <c r="C562" s="4">
        <v>4420845910.0699997</v>
      </c>
      <c r="D562" s="4">
        <v>151046425</v>
      </c>
      <c r="E562" s="4">
        <v>7354738.4100000001</v>
      </c>
      <c r="F562" s="17">
        <v>1546962157.910464</v>
      </c>
      <c r="G562" s="17">
        <v>4689199.369128963</v>
      </c>
      <c r="H562" s="17">
        <v>4763284.0612353962</v>
      </c>
      <c r="I562" s="17">
        <v>1520261293.847676</v>
      </c>
      <c r="J562" s="17">
        <v>9582375.9055591356</v>
      </c>
      <c r="K562" s="17">
        <v>1334587598.9759369</v>
      </c>
      <c r="L562" s="14">
        <f t="shared" si="176"/>
        <v>4420845910.0699997</v>
      </c>
      <c r="M562" s="21">
        <v>1.0036821167617991</v>
      </c>
      <c r="N562" s="4">
        <v>1670760.96</v>
      </c>
      <c r="O562" s="4">
        <v>410483.45</v>
      </c>
      <c r="P562" s="4">
        <v>76382.180000000008</v>
      </c>
      <c r="Q562" s="4">
        <v>5.0973519999999999</v>
      </c>
      <c r="R562" s="14">
        <f t="shared" si="184"/>
        <v>2157631.6873519998</v>
      </c>
      <c r="S562" s="6">
        <v>0.01</v>
      </c>
      <c r="T562" s="14">
        <f t="shared" si="185"/>
        <v>16707.6096</v>
      </c>
      <c r="U562" s="14">
        <f t="shared" si="186"/>
        <v>2058.9906000000001</v>
      </c>
      <c r="V562" s="14">
        <f t="shared" si="187"/>
        <v>660.35490000000004</v>
      </c>
      <c r="W562" s="14">
        <f t="shared" si="188"/>
        <v>5.0973520000000001E-2</v>
      </c>
      <c r="X562" s="4">
        <v>10346.69</v>
      </c>
      <c r="Y562" s="4">
        <v>204584.39</v>
      </c>
      <c r="Z562" s="4">
        <v>0</v>
      </c>
      <c r="AA562" s="14">
        <f t="shared" si="189"/>
        <v>234358.08607352001</v>
      </c>
      <c r="AB562" s="4">
        <v>112135.31939999999</v>
      </c>
      <c r="AC562" s="4">
        <v>1670760.96</v>
      </c>
      <c r="AD562" s="14">
        <f t="shared" si="190"/>
        <v>205899.06</v>
      </c>
      <c r="AE562" s="14">
        <f t="shared" si="191"/>
        <v>66035.490000000005</v>
      </c>
      <c r="AF562" s="14">
        <f t="shared" si="192"/>
        <v>5.0973519999999999</v>
      </c>
      <c r="AG562" s="15">
        <f t="shared" si="193"/>
        <v>1942700.607352</v>
      </c>
      <c r="AH562" s="4">
        <v>1678551.15</v>
      </c>
      <c r="AI562" s="17">
        <f t="shared" si="194"/>
        <v>264149.45735200006</v>
      </c>
      <c r="AJ562" s="7">
        <f t="shared" si="177"/>
        <v>3.0838468203929854</v>
      </c>
      <c r="AK562" s="7">
        <f t="shared" si="178"/>
        <v>0.92851788628276444</v>
      </c>
      <c r="AL562" s="7">
        <f t="shared" si="179"/>
        <v>5.0568677808826008</v>
      </c>
      <c r="AM562" s="7">
        <f t="shared" si="180"/>
        <v>6.9307046910999518E-3</v>
      </c>
      <c r="AN562" s="4">
        <v>22926.50735057026</v>
      </c>
      <c r="AO562" s="4">
        <v>0</v>
      </c>
      <c r="AP562" s="14">
        <f t="shared" si="195"/>
        <v>1701477.6573505702</v>
      </c>
      <c r="AQ562" s="14">
        <f t="shared" si="196"/>
        <v>1678551.15</v>
      </c>
      <c r="AR562" s="8">
        <v>29645.759999999998</v>
      </c>
      <c r="AS562" s="20">
        <v>56.620277000000002</v>
      </c>
      <c r="AT562" s="8">
        <v>45138803.074739233</v>
      </c>
      <c r="AU562" s="8">
        <v>26496.119900000002</v>
      </c>
      <c r="AV562" s="8">
        <v>2317.9857000000002</v>
      </c>
      <c r="AW562" s="8"/>
      <c r="AX562" s="9">
        <v>434.21076812514087</v>
      </c>
      <c r="AY562" s="6">
        <f t="shared" si="181"/>
        <v>2.2272786566897775E-2</v>
      </c>
      <c r="AZ562" s="8">
        <v>414134743.92570001</v>
      </c>
      <c r="BA562" s="10">
        <v>60480066</v>
      </c>
      <c r="BB562" s="11">
        <v>45138803.074739233</v>
      </c>
      <c r="BC562" s="10">
        <v>2971324</v>
      </c>
      <c r="BD562" s="10">
        <f>1000000000-999179594.4896+267897.7223</f>
        <v>1088303.2327000569</v>
      </c>
      <c r="BE562" s="12">
        <f t="shared" si="182"/>
        <v>476186759.76686078</v>
      </c>
      <c r="BF562" s="13">
        <v>233.52930699999999</v>
      </c>
      <c r="BG562" s="13">
        <f t="shared" si="183"/>
        <v>242.65745276686081</v>
      </c>
      <c r="BH562" s="14">
        <f>BE562*53.51</f>
        <v>25480753515.124718</v>
      </c>
    </row>
    <row r="563" spans="1:60" x14ac:dyDescent="0.25">
      <c r="A563" s="3">
        <v>46185</v>
      </c>
      <c r="B563" s="4">
        <v>4730586753</v>
      </c>
      <c r="C563" s="4">
        <v>4594668549.8100004</v>
      </c>
      <c r="D563" s="4">
        <v>221114864</v>
      </c>
      <c r="E563" s="4">
        <v>6460938.3200000003</v>
      </c>
      <c r="F563" s="17">
        <v>1051205076.643903</v>
      </c>
      <c r="G563" s="17">
        <v>5380228.2322166516</v>
      </c>
      <c r="H563" s="17">
        <v>4364479.5547585739</v>
      </c>
      <c r="I563" s="17">
        <v>1181598884.079159</v>
      </c>
      <c r="J563" s="17">
        <v>5801592.7283728011</v>
      </c>
      <c r="K563" s="17">
        <v>2346318288.571589</v>
      </c>
      <c r="L563" s="14">
        <f t="shared" si="176"/>
        <v>4594668549.8099995</v>
      </c>
      <c r="M563" s="21">
        <v>1.0006340731226639</v>
      </c>
      <c r="N563" s="4">
        <v>1510212.75</v>
      </c>
      <c r="O563" s="4">
        <v>445674.12</v>
      </c>
      <c r="P563" s="4">
        <v>107714.91</v>
      </c>
      <c r="Q563" s="4">
        <v>3.7380979999999999</v>
      </c>
      <c r="R563" s="14">
        <f t="shared" si="184"/>
        <v>2063605.518098</v>
      </c>
      <c r="S563" s="6">
        <v>0.01</v>
      </c>
      <c r="T563" s="14">
        <f t="shared" si="185"/>
        <v>15102.127500000001</v>
      </c>
      <c r="U563" s="14">
        <f t="shared" si="186"/>
        <v>2235.6631000000002</v>
      </c>
      <c r="V563" s="14">
        <f t="shared" si="187"/>
        <v>943.52900000000011</v>
      </c>
      <c r="W563" s="14">
        <f t="shared" si="188"/>
        <v>3.7380980000000001E-2</v>
      </c>
      <c r="X563" s="4">
        <v>13362.01</v>
      </c>
      <c r="Y563" s="4">
        <v>222107.81</v>
      </c>
      <c r="Z563" s="4">
        <v>0</v>
      </c>
      <c r="AA563" s="14">
        <f t="shared" si="189"/>
        <v>253751.17698098</v>
      </c>
      <c r="AB563" s="4">
        <v>136487.5626</v>
      </c>
      <c r="AC563" s="4">
        <v>1510212.75</v>
      </c>
      <c r="AD563" s="14">
        <f t="shared" si="190"/>
        <v>223566.31</v>
      </c>
      <c r="AE563" s="14">
        <f t="shared" si="191"/>
        <v>94352.900000000009</v>
      </c>
      <c r="AF563" s="14">
        <f t="shared" si="192"/>
        <v>3.7380979999999999</v>
      </c>
      <c r="AG563" s="15">
        <f t="shared" si="193"/>
        <v>1828135.6980979999</v>
      </c>
      <c r="AH563" s="4">
        <v>1557212.95</v>
      </c>
      <c r="AI563" s="17">
        <f t="shared" si="194"/>
        <v>270922.74809799995</v>
      </c>
      <c r="AJ563" s="7">
        <f t="shared" si="177"/>
        <v>3.1924427747620676</v>
      </c>
      <c r="AK563" s="7">
        <f t="shared" si="178"/>
        <v>0.9699810011723905</v>
      </c>
      <c r="AL563" s="7">
        <f t="shared" si="179"/>
        <v>4.8714459105743346</v>
      </c>
      <c r="AM563" s="7">
        <f t="shared" si="180"/>
        <v>5.7856890359541452E-3</v>
      </c>
      <c r="AN563" s="4">
        <v>23174.694864740901</v>
      </c>
      <c r="AO563" s="4">
        <v>0</v>
      </c>
      <c r="AP563" s="14">
        <f t="shared" si="195"/>
        <v>1580387.6448647408</v>
      </c>
      <c r="AQ563" s="14">
        <f t="shared" si="196"/>
        <v>1557212.95</v>
      </c>
      <c r="AR563" s="8">
        <v>26047.51</v>
      </c>
      <c r="AS563" s="20">
        <v>59.783563000000001</v>
      </c>
      <c r="AT563" s="8">
        <v>45164885.254739232</v>
      </c>
      <c r="AU563" s="8">
        <v>26703.6597</v>
      </c>
      <c r="AV563" s="8">
        <v>1202.001</v>
      </c>
      <c r="AW563" s="8"/>
      <c r="AX563" s="9">
        <v>434.52358612428901</v>
      </c>
      <c r="AY563" s="6">
        <f t="shared" si="181"/>
        <v>2.2431085680380217E-2</v>
      </c>
      <c r="AZ563" s="8">
        <v>414108040.26599997</v>
      </c>
      <c r="BA563" s="10">
        <v>60480066</v>
      </c>
      <c r="BB563" s="11">
        <v>45164885.254739232</v>
      </c>
      <c r="BC563" s="10">
        <v>2971324</v>
      </c>
      <c r="BD563" s="10">
        <f>1000000000-999178392.4886+268288.4541</f>
        <v>1089895.9654999843</v>
      </c>
      <c r="BE563" s="12">
        <f t="shared" si="182"/>
        <v>476185788.51376075</v>
      </c>
      <c r="BF563" s="13">
        <v>233.52930699999999</v>
      </c>
      <c r="BG563" s="13">
        <f t="shared" si="183"/>
        <v>242.65648151376078</v>
      </c>
      <c r="BH563" s="14">
        <f>BE563*59.33</f>
        <v>28252102832.521423</v>
      </c>
    </row>
    <row r="564" spans="1:60" x14ac:dyDescent="0.25">
      <c r="A564" s="3">
        <v>46186</v>
      </c>
      <c r="B564" s="4">
        <v>2369553152</v>
      </c>
      <c r="C564" s="4">
        <v>522062649.44999999</v>
      </c>
      <c r="D564" s="4">
        <v>94165324</v>
      </c>
      <c r="E564" s="4">
        <v>7054951.7999999998</v>
      </c>
      <c r="F564" s="17">
        <v>148417404.96579251</v>
      </c>
      <c r="G564" s="17">
        <v>2429577.5510854372</v>
      </c>
      <c r="H564" s="17">
        <v>1306195.7723958299</v>
      </c>
      <c r="I564" s="17">
        <v>185197378.01273131</v>
      </c>
      <c r="J564" s="17">
        <v>819343.40239025629</v>
      </c>
      <c r="K564" s="17">
        <v>183892749.74560481</v>
      </c>
      <c r="L564" s="14">
        <f t="shared" si="176"/>
        <v>522062649.45000011</v>
      </c>
      <c r="M564" s="21">
        <v>1.0003480417667081</v>
      </c>
      <c r="N564" s="4">
        <v>778447.83</v>
      </c>
      <c r="O564" s="4">
        <v>67594.63</v>
      </c>
      <c r="P564" s="4">
        <v>46288.07</v>
      </c>
      <c r="Q564" s="4">
        <v>0.89513600000000004</v>
      </c>
      <c r="R564" s="14">
        <f t="shared" si="184"/>
        <v>892331.42513599992</v>
      </c>
      <c r="S564" s="6">
        <v>0.01</v>
      </c>
      <c r="T564" s="14">
        <f t="shared" si="185"/>
        <v>7784.4782999999998</v>
      </c>
      <c r="U564" s="14">
        <f t="shared" si="186"/>
        <v>341.7115</v>
      </c>
      <c r="V564" s="14">
        <f t="shared" si="187"/>
        <v>383.69920000000002</v>
      </c>
      <c r="W564" s="14">
        <f t="shared" si="188"/>
        <v>8.9513600000000002E-3</v>
      </c>
      <c r="X564" s="4">
        <v>7918.15</v>
      </c>
      <c r="Y564" s="4">
        <v>33423.480000000003</v>
      </c>
      <c r="Z564" s="4">
        <v>0</v>
      </c>
      <c r="AA564" s="14">
        <f t="shared" si="189"/>
        <v>49851.527951360003</v>
      </c>
      <c r="AB564" s="4">
        <v>62215.4447</v>
      </c>
      <c r="AC564" s="4">
        <v>778447.83</v>
      </c>
      <c r="AD564" s="14">
        <f t="shared" si="190"/>
        <v>34171.15</v>
      </c>
      <c r="AE564" s="14">
        <f t="shared" si="191"/>
        <v>38369.919999999998</v>
      </c>
      <c r="AF564" s="14">
        <f t="shared" si="192"/>
        <v>0.89513600000000004</v>
      </c>
      <c r="AG564" s="15">
        <f t="shared" si="193"/>
        <v>850989.79513600003</v>
      </c>
      <c r="AH564" s="4">
        <v>753393.76</v>
      </c>
      <c r="AI564" s="17">
        <f t="shared" si="194"/>
        <v>97596.03513600002</v>
      </c>
      <c r="AJ564" s="7">
        <f t="shared" si="177"/>
        <v>3.2852094047477185</v>
      </c>
      <c r="AK564" s="7">
        <f t="shared" si="178"/>
        <v>1.2947608887786139</v>
      </c>
      <c r="AL564" s="7">
        <f t="shared" si="179"/>
        <v>4.915617345510328</v>
      </c>
      <c r="AM564" s="7">
        <f t="shared" si="180"/>
        <v>1.26880526667808E-3</v>
      </c>
      <c r="AN564" s="4">
        <v>12047.19388002971</v>
      </c>
      <c r="AO564" s="4">
        <v>29643.71</v>
      </c>
      <c r="AP564" s="14">
        <f t="shared" si="195"/>
        <v>795084.66388002969</v>
      </c>
      <c r="AQ564" s="14">
        <f t="shared" si="196"/>
        <v>753393.76</v>
      </c>
      <c r="AR564" s="8">
        <v>12700.1</v>
      </c>
      <c r="AS564" s="20">
        <v>59.321877000000001</v>
      </c>
      <c r="AT564" s="8">
        <v>45177661.26473923</v>
      </c>
      <c r="AU564" s="8">
        <v>26725.515100000001</v>
      </c>
      <c r="AV564" s="8">
        <v>1984.2946999999999</v>
      </c>
      <c r="AW564" s="8"/>
      <c r="AX564" s="9">
        <v>434.51904926398862</v>
      </c>
      <c r="AY564" s="6">
        <f t="shared" si="181"/>
        <v>2.2449678622889421E-2</v>
      </c>
      <c r="AZ564" s="8">
        <v>414081314.75089997</v>
      </c>
      <c r="BA564" s="10">
        <v>60480066</v>
      </c>
      <c r="BB564" s="11">
        <v>45177661.26473923</v>
      </c>
      <c r="BC564" s="10">
        <v>2971324</v>
      </c>
      <c r="BD564" s="10">
        <f>1000000000-999176408.1939+268492.8898</f>
        <v>1092084.6959000109</v>
      </c>
      <c r="BE564" s="12">
        <f t="shared" si="182"/>
        <v>476197549.28846073</v>
      </c>
      <c r="BF564" s="13">
        <v>233.52930699999999</v>
      </c>
      <c r="BG564" s="13">
        <f t="shared" si="183"/>
        <v>242.66824228846073</v>
      </c>
      <c r="BH564" s="14">
        <f>BE564*58.93</f>
        <v>28062321579.568993</v>
      </c>
    </row>
    <row r="565" spans="1:60" x14ac:dyDescent="0.25">
      <c r="A565" s="3">
        <v>46187</v>
      </c>
      <c r="B565" s="4">
        <v>4072538755</v>
      </c>
      <c r="C565" s="4">
        <v>1194034760.8699999</v>
      </c>
      <c r="D565" s="4">
        <v>108891863</v>
      </c>
      <c r="E565" s="4">
        <v>14883621.560000001</v>
      </c>
      <c r="F565" s="17">
        <v>545376381.99520588</v>
      </c>
      <c r="G565" s="17">
        <v>2378494.639824132</v>
      </c>
      <c r="H565" s="17">
        <v>3883334.4849953591</v>
      </c>
      <c r="I565" s="17">
        <v>375737620.15136337</v>
      </c>
      <c r="J565" s="17">
        <v>665082.57847868768</v>
      </c>
      <c r="K565" s="17">
        <v>265993847.02013221</v>
      </c>
      <c r="L565" s="14">
        <f t="shared" si="176"/>
        <v>1194034760.8699996</v>
      </c>
      <c r="M565" s="21">
        <v>1.018061353087939</v>
      </c>
      <c r="N565" s="4">
        <v>1252132.1100000001</v>
      </c>
      <c r="O565" s="4">
        <v>153427.87</v>
      </c>
      <c r="P565" s="4">
        <v>54891.14</v>
      </c>
      <c r="Q565" s="4">
        <v>3.9019379999999999</v>
      </c>
      <c r="R565" s="14">
        <f t="shared" si="184"/>
        <v>1460455.0219379999</v>
      </c>
      <c r="S565" s="6">
        <v>0.01</v>
      </c>
      <c r="T565" s="14">
        <f t="shared" si="185"/>
        <v>12521.321100000001</v>
      </c>
      <c r="U565" s="14">
        <f t="shared" si="186"/>
        <v>770.3504999999999</v>
      </c>
      <c r="V565" s="14">
        <f t="shared" si="187"/>
        <v>478.18419999999998</v>
      </c>
      <c r="W565" s="14">
        <f t="shared" si="188"/>
        <v>3.9019379999999999E-2</v>
      </c>
      <c r="X565" s="4">
        <v>7072.72</v>
      </c>
      <c r="Y565" s="4">
        <v>76392.820000000007</v>
      </c>
      <c r="Z565" s="4">
        <v>0</v>
      </c>
      <c r="AA565" s="14">
        <f t="shared" si="189"/>
        <v>97235.434819380011</v>
      </c>
      <c r="AB565" s="4">
        <v>83680.6924</v>
      </c>
      <c r="AC565" s="4">
        <v>1252132.1100000001</v>
      </c>
      <c r="AD565" s="14">
        <f t="shared" si="190"/>
        <v>77035.049999999988</v>
      </c>
      <c r="AE565" s="14">
        <f t="shared" si="191"/>
        <v>47818.42</v>
      </c>
      <c r="AF565" s="14">
        <f t="shared" si="192"/>
        <v>3.9019379999999999</v>
      </c>
      <c r="AG565" s="15">
        <f t="shared" si="193"/>
        <v>1376989.4819380001</v>
      </c>
      <c r="AH565" s="4">
        <v>677885.87</v>
      </c>
      <c r="AI565" s="17">
        <f t="shared" si="194"/>
        <v>699103.61193800007</v>
      </c>
      <c r="AJ565" s="7">
        <f t="shared" si="177"/>
        <v>3.0745738354551277</v>
      </c>
      <c r="AK565" s="7">
        <f t="shared" si="178"/>
        <v>1.2849531272289685</v>
      </c>
      <c r="AL565" s="7">
        <f t="shared" si="179"/>
        <v>5.040885378184778</v>
      </c>
      <c r="AM565" s="7">
        <f t="shared" si="180"/>
        <v>2.6216320969128428E-3</v>
      </c>
      <c r="AN565" s="4">
        <v>18880.631718112789</v>
      </c>
      <c r="AO565" s="4">
        <v>0</v>
      </c>
      <c r="AP565" s="14">
        <f t="shared" si="195"/>
        <v>696766.50171811273</v>
      </c>
      <c r="AQ565" s="14">
        <f t="shared" si="196"/>
        <v>677885.87</v>
      </c>
      <c r="AR565" s="8">
        <v>11222.13</v>
      </c>
      <c r="AS565" s="20">
        <v>60.406168000000001</v>
      </c>
      <c r="AT565" s="8">
        <v>45193455.744739227</v>
      </c>
      <c r="AU565" s="8">
        <v>26758.478999999999</v>
      </c>
      <c r="AV565" s="8">
        <v>1215.8047999999999</v>
      </c>
      <c r="AW565" s="8"/>
      <c r="AX565" s="9">
        <v>434.58578970534592</v>
      </c>
      <c r="AY565" s="6">
        <f t="shared" si="181"/>
        <v>2.2473916695762257E-2</v>
      </c>
      <c r="AZ565" s="8">
        <v>414054556.27179998</v>
      </c>
      <c r="BA565" s="10">
        <v>60480066</v>
      </c>
      <c r="BB565" s="11">
        <v>45193455.744739227</v>
      </c>
      <c r="BC565" s="10">
        <v>2971324</v>
      </c>
      <c r="BD565" s="10">
        <f>1000000000-999175192.3892+268803.8408</f>
        <v>1093611.4516000277</v>
      </c>
      <c r="BE565" s="12">
        <f t="shared" si="182"/>
        <v>476206986.53186071</v>
      </c>
      <c r="BF565" s="13">
        <v>233.52930699999999</v>
      </c>
      <c r="BG565" s="13">
        <f t="shared" si="183"/>
        <v>242.67767953186072</v>
      </c>
      <c r="BH565" s="14">
        <f>BE565*60.77</f>
        <v>28939098571.541176</v>
      </c>
    </row>
    <row r="566" spans="1:60" x14ac:dyDescent="0.25">
      <c r="A566" s="3">
        <v>46188</v>
      </c>
      <c r="B566" s="4">
        <v>5261593171</v>
      </c>
      <c r="C566" s="4">
        <v>3205817937.75</v>
      </c>
      <c r="D566" s="4">
        <v>234096578</v>
      </c>
      <c r="E566" s="4">
        <v>8086807.2800000003</v>
      </c>
      <c r="F566" s="17">
        <v>495961656.95582038</v>
      </c>
      <c r="G566" s="17">
        <v>4355377.6712900177</v>
      </c>
      <c r="H566" s="17">
        <v>4919706.1379919173</v>
      </c>
      <c r="I566" s="17">
        <v>1240857606.025465</v>
      </c>
      <c r="J566" s="17">
        <v>1061484.9902054961</v>
      </c>
      <c r="K566" s="17">
        <v>1458662105.969228</v>
      </c>
      <c r="L566" s="14">
        <f t="shared" si="176"/>
        <v>3205817937.750001</v>
      </c>
      <c r="M566" s="21">
        <v>1.005201382111804</v>
      </c>
      <c r="N566" s="4">
        <v>1825704.35</v>
      </c>
      <c r="O566" s="4">
        <v>329000.34000000003</v>
      </c>
      <c r="P566" s="4">
        <v>117511.2</v>
      </c>
      <c r="Q566" s="4">
        <v>3.2168019999999999</v>
      </c>
      <c r="R566" s="14">
        <f t="shared" si="184"/>
        <v>2272219.1068020002</v>
      </c>
      <c r="S566" s="6">
        <v>0.01</v>
      </c>
      <c r="T566" s="14">
        <f t="shared" si="185"/>
        <v>18257.0435</v>
      </c>
      <c r="U566" s="14">
        <f t="shared" si="186"/>
        <v>1651.1894000000004</v>
      </c>
      <c r="V566" s="14">
        <f t="shared" si="187"/>
        <v>964.31459999999993</v>
      </c>
      <c r="W566" s="14">
        <f t="shared" si="188"/>
        <v>3.2168019999999999E-2</v>
      </c>
      <c r="X566" s="4">
        <v>21079.74</v>
      </c>
      <c r="Y566" s="4">
        <v>163881.4</v>
      </c>
      <c r="Z566" s="4">
        <v>0</v>
      </c>
      <c r="AA566" s="14">
        <f t="shared" si="189"/>
        <v>205833.71966802</v>
      </c>
      <c r="AB566" s="4">
        <v>173735.80480000001</v>
      </c>
      <c r="AC566" s="4">
        <v>1825704.35</v>
      </c>
      <c r="AD566" s="14">
        <f t="shared" si="190"/>
        <v>165118.94000000003</v>
      </c>
      <c r="AE566" s="14">
        <f t="shared" si="191"/>
        <v>96431.459999999992</v>
      </c>
      <c r="AF566" s="14">
        <f t="shared" si="192"/>
        <v>3.2168019999999999</v>
      </c>
      <c r="AG566" s="15">
        <f t="shared" si="193"/>
        <v>2087257.9668020001</v>
      </c>
      <c r="AH566" s="4">
        <v>2389743.34</v>
      </c>
      <c r="AI566" s="17">
        <f t="shared" si="194"/>
        <v>-302485.37319799978</v>
      </c>
      <c r="AJ566" s="7">
        <f t="shared" si="177"/>
        <v>3.4698698486660327</v>
      </c>
      <c r="AK566" s="7">
        <f t="shared" si="178"/>
        <v>1.0262602131140004</v>
      </c>
      <c r="AL566" s="7">
        <f t="shared" si="179"/>
        <v>5.0197743599652274</v>
      </c>
      <c r="AM566" s="7">
        <f t="shared" si="180"/>
        <v>3.9778393235061736E-3</v>
      </c>
      <c r="AN566" s="4">
        <v>24840.814951147229</v>
      </c>
      <c r="AO566" s="4">
        <v>0</v>
      </c>
      <c r="AP566" s="14">
        <f t="shared" si="195"/>
        <v>2414584.1549511473</v>
      </c>
      <c r="AQ566" s="14">
        <f t="shared" si="196"/>
        <v>2389743.34</v>
      </c>
      <c r="AR566" s="8">
        <v>36133.730000000003</v>
      </c>
      <c r="AS566" s="20">
        <v>66.136082000000002</v>
      </c>
      <c r="AT566" s="8">
        <v>45225177.614739232</v>
      </c>
      <c r="AU566" s="8">
        <v>26771.878799999999</v>
      </c>
      <c r="AV566" s="8">
        <v>807.57740000000001</v>
      </c>
      <c r="AW566" s="8"/>
      <c r="AX566" s="9">
        <v>435.18454839158272</v>
      </c>
      <c r="AY566" s="6">
        <f t="shared" si="181"/>
        <v>2.245423418206317E-2</v>
      </c>
      <c r="AZ566" s="8">
        <v>414027784.39300001</v>
      </c>
      <c r="BA566" s="10">
        <v>60480066</v>
      </c>
      <c r="BB566" s="11">
        <v>45225177.614739232</v>
      </c>
      <c r="BC566" s="10">
        <v>2971324</v>
      </c>
      <c r="BD566" s="10">
        <f>1000000000-999174384.8118+269192.6164</f>
        <v>1094807.8045999969</v>
      </c>
      <c r="BE566" s="12">
        <f t="shared" si="182"/>
        <v>476200840.18766075</v>
      </c>
      <c r="BF566" s="13">
        <v>233.52930699999999</v>
      </c>
      <c r="BG566" s="13">
        <f t="shared" si="183"/>
        <v>242.67153318766074</v>
      </c>
      <c r="BH566" s="14">
        <f>BE566*63.96</f>
        <v>30457805738.402782</v>
      </c>
    </row>
    <row r="567" spans="1:60" x14ac:dyDescent="0.25">
      <c r="A567" s="3">
        <v>46189</v>
      </c>
      <c r="B567" s="4">
        <v>5348517973</v>
      </c>
      <c r="C567" s="4">
        <v>4008742834.8000002</v>
      </c>
      <c r="D567" s="4">
        <v>335785847</v>
      </c>
      <c r="E567" s="4">
        <v>9631851.6600000001</v>
      </c>
      <c r="F567" s="17">
        <v>530259013.37976402</v>
      </c>
      <c r="G567" s="17">
        <v>3482567.4326134981</v>
      </c>
      <c r="H567" s="17">
        <v>4885047.0522963814</v>
      </c>
      <c r="I567" s="17">
        <v>915058149.48919916</v>
      </c>
      <c r="J567" s="17">
        <v>1196758.1774444119</v>
      </c>
      <c r="K567" s="17">
        <v>2553861299.268682</v>
      </c>
      <c r="L567" s="14">
        <f t="shared" si="176"/>
        <v>4008742834.7999992</v>
      </c>
      <c r="M567" s="21">
        <v>1.001269161165407</v>
      </c>
      <c r="N567" s="4">
        <v>1808751.29</v>
      </c>
      <c r="O567" s="4">
        <v>422439.19</v>
      </c>
      <c r="P567" s="4">
        <v>165391.82</v>
      </c>
      <c r="Q567" s="4">
        <v>7.0580730000000003</v>
      </c>
      <c r="R567" s="14">
        <f t="shared" si="184"/>
        <v>2396589.3580729999</v>
      </c>
      <c r="S567" s="6">
        <v>0.01</v>
      </c>
      <c r="T567" s="14">
        <f t="shared" si="185"/>
        <v>18087.512900000002</v>
      </c>
      <c r="U567" s="14">
        <f t="shared" si="186"/>
        <v>2117.4914000000003</v>
      </c>
      <c r="V567" s="14">
        <f t="shared" si="187"/>
        <v>1539.5253</v>
      </c>
      <c r="W567" s="14">
        <f t="shared" si="188"/>
        <v>7.0580730000000008E-2</v>
      </c>
      <c r="X567" s="4">
        <v>11439.29</v>
      </c>
      <c r="Y567" s="4">
        <v>210690.05</v>
      </c>
      <c r="Z567" s="4">
        <v>0</v>
      </c>
      <c r="AA567" s="14">
        <f t="shared" si="189"/>
        <v>243873.94018072999</v>
      </c>
      <c r="AB567" s="4">
        <v>199519.16329999999</v>
      </c>
      <c r="AC567" s="4">
        <v>1808751.29</v>
      </c>
      <c r="AD567" s="14">
        <f t="shared" si="190"/>
        <v>211749.14</v>
      </c>
      <c r="AE567" s="14">
        <f t="shared" si="191"/>
        <v>153952.53</v>
      </c>
      <c r="AF567" s="14">
        <f t="shared" si="192"/>
        <v>7.0580730000000003</v>
      </c>
      <c r="AG567" s="15">
        <f t="shared" si="193"/>
        <v>2174460.018073</v>
      </c>
      <c r="AH567" s="4">
        <v>1784192.1</v>
      </c>
      <c r="AI567" s="17">
        <f t="shared" si="194"/>
        <v>390267.91807299992</v>
      </c>
      <c r="AJ567" s="7">
        <f t="shared" si="177"/>
        <v>3.3817803345352995</v>
      </c>
      <c r="AK567" s="7">
        <f t="shared" si="178"/>
        <v>1.05379468678508</v>
      </c>
      <c r="AL567" s="7">
        <f t="shared" si="179"/>
        <v>4.9255149220151626</v>
      </c>
      <c r="AM567" s="7">
        <f t="shared" si="180"/>
        <v>7.3278464506584809E-3</v>
      </c>
      <c r="AN567" s="4">
        <v>51634.369001364168</v>
      </c>
      <c r="AO567" s="4">
        <v>0</v>
      </c>
      <c r="AP567" s="14">
        <f t="shared" si="195"/>
        <v>1835826.4690013642</v>
      </c>
      <c r="AQ567" s="14">
        <f t="shared" si="196"/>
        <v>1784192.1</v>
      </c>
      <c r="AR567" s="8">
        <v>24529.14</v>
      </c>
      <c r="AS567" s="20">
        <v>72.737654000000006</v>
      </c>
      <c r="AT567" s="8">
        <v>45249408.634739228</v>
      </c>
      <c r="AU567" s="8">
        <v>26783.739699999998</v>
      </c>
      <c r="AV567" s="8">
        <v>1776.3804</v>
      </c>
      <c r="AW567" s="8"/>
      <c r="AX567" s="9">
        <v>435.53598078525249</v>
      </c>
      <c r="AY567" s="6">
        <f t="shared" si="181"/>
        <v>2.2446055944388744E-2</v>
      </c>
      <c r="AZ567" s="8">
        <v>414001000.65329999</v>
      </c>
      <c r="BA567" s="10">
        <v>60480066</v>
      </c>
      <c r="BB567" s="11">
        <v>45249408.634739228</v>
      </c>
      <c r="BC567" s="10">
        <v>2971324</v>
      </c>
      <c r="BD567" s="10">
        <f>1000000000-999172608.4314+269969.9146</f>
        <v>1097361.4832000586</v>
      </c>
      <c r="BE567" s="12">
        <f t="shared" si="182"/>
        <v>476200839.22876066</v>
      </c>
      <c r="BF567" s="13">
        <v>233.52930699999999</v>
      </c>
      <c r="BG567" s="13">
        <f t="shared" si="183"/>
        <v>242.6715322287607</v>
      </c>
      <c r="BH567" s="14">
        <f>BE567*66.45</f>
        <v>31643545766.751148</v>
      </c>
    </row>
    <row r="568" spans="1:60" x14ac:dyDescent="0.25">
      <c r="A568" s="3">
        <v>46190</v>
      </c>
      <c r="B568" s="4">
        <v>6237913097</v>
      </c>
      <c r="C568" s="4">
        <v>3722778873.4699998</v>
      </c>
      <c r="D568" s="4">
        <v>288133376</v>
      </c>
      <c r="E568" s="4">
        <v>10457395.6</v>
      </c>
      <c r="F568" s="17">
        <v>741923501.3211844</v>
      </c>
      <c r="G568" s="17">
        <v>5682917.043099354</v>
      </c>
      <c r="H568" s="17">
        <v>7810482.7174291518</v>
      </c>
      <c r="I568" s="17">
        <v>1078618306.546016</v>
      </c>
      <c r="J568" s="17">
        <v>1978284.056378175</v>
      </c>
      <c r="K568" s="17">
        <v>1886765381.785892</v>
      </c>
      <c r="L568" s="14">
        <f t="shared" si="176"/>
        <v>3722778873.4699993</v>
      </c>
      <c r="M568" s="21">
        <v>1.002332216455635</v>
      </c>
      <c r="N568" s="4">
        <v>2100203.9</v>
      </c>
      <c r="O568" s="4">
        <v>417691.37</v>
      </c>
      <c r="P568" s="4">
        <v>130133.45</v>
      </c>
      <c r="Q568" s="4">
        <v>29.500222999999998</v>
      </c>
      <c r="R568" s="14">
        <f t="shared" si="184"/>
        <v>2648058.2202230003</v>
      </c>
      <c r="S568" s="6">
        <v>0.01</v>
      </c>
      <c r="T568" s="14">
        <f t="shared" si="185"/>
        <v>21002.039000000001</v>
      </c>
      <c r="U568" s="14">
        <f t="shared" si="186"/>
        <v>2095.4479000000001</v>
      </c>
      <c r="V568" s="14">
        <f t="shared" si="187"/>
        <v>1193.6650999999999</v>
      </c>
      <c r="W568" s="14">
        <f t="shared" si="188"/>
        <v>0.29500222999999998</v>
      </c>
      <c r="X568" s="4">
        <v>10766.94</v>
      </c>
      <c r="Y568" s="4">
        <v>208146.58</v>
      </c>
      <c r="Z568" s="4">
        <v>0</v>
      </c>
      <c r="AA568" s="14">
        <f t="shared" si="189"/>
        <v>243204.96700223</v>
      </c>
      <c r="AB568" s="4">
        <v>204345.9437</v>
      </c>
      <c r="AC568" s="4">
        <v>2100203.9</v>
      </c>
      <c r="AD568" s="14">
        <f t="shared" si="190"/>
        <v>209544.79</v>
      </c>
      <c r="AE568" s="14">
        <f t="shared" si="191"/>
        <v>119366.51</v>
      </c>
      <c r="AF568" s="14">
        <f t="shared" si="192"/>
        <v>29.500222999999998</v>
      </c>
      <c r="AG568" s="15">
        <f t="shared" si="193"/>
        <v>2429144.7002229998</v>
      </c>
      <c r="AH568" s="4">
        <v>2017140.28</v>
      </c>
      <c r="AI568" s="17">
        <f t="shared" si="194"/>
        <v>412004.42022299976</v>
      </c>
      <c r="AJ568" s="7">
        <f t="shared" si="177"/>
        <v>3.3668373818962807</v>
      </c>
      <c r="AK568" s="7">
        <f t="shared" si="178"/>
        <v>1.1219881282142072</v>
      </c>
      <c r="AL568" s="7">
        <f t="shared" si="179"/>
        <v>4.5164309600842634</v>
      </c>
      <c r="AM568" s="7">
        <f t="shared" si="180"/>
        <v>2.8209913948363967E-2</v>
      </c>
      <c r="AN568" s="4">
        <v>66030.444230603549</v>
      </c>
      <c r="AO568" s="4">
        <v>0</v>
      </c>
      <c r="AP568" s="14">
        <f t="shared" si="195"/>
        <v>2083170.7242306035</v>
      </c>
      <c r="AQ568" s="14">
        <f t="shared" si="196"/>
        <v>2017140.28</v>
      </c>
      <c r="AR568" s="8">
        <v>27632.13</v>
      </c>
      <c r="AS568" s="20">
        <v>72.999810999999994</v>
      </c>
      <c r="AT568" s="8">
        <v>45276840.354739226</v>
      </c>
      <c r="AU568" s="8">
        <v>26803.601999999999</v>
      </c>
      <c r="AV568" s="8">
        <v>2026.3433</v>
      </c>
      <c r="AW568" s="8"/>
      <c r="AX568" s="9">
        <v>436.09843463782221</v>
      </c>
      <c r="AY568" s="6">
        <f t="shared" si="181"/>
        <v>2.2433730444652935E-2</v>
      </c>
      <c r="AZ568" s="8">
        <v>413974197.05140001</v>
      </c>
      <c r="BA568" s="10">
        <v>60480066</v>
      </c>
      <c r="BB568" s="11">
        <v>45276840.354739226</v>
      </c>
      <c r="BC568" s="10">
        <v>2971324</v>
      </c>
      <c r="BD568" s="10">
        <f>1000000000-999170582.0881+270868.7772</f>
        <v>1100286.6891000434</v>
      </c>
      <c r="BE568" s="12">
        <f t="shared" si="182"/>
        <v>476197285.90476078</v>
      </c>
      <c r="BF568" s="13">
        <v>233.52930699999999</v>
      </c>
      <c r="BG568" s="13">
        <f t="shared" si="183"/>
        <v>242.66797890476082</v>
      </c>
      <c r="BH568" s="14">
        <f>BE568*73.43</f>
        <v>34967166703.986588</v>
      </c>
    </row>
    <row r="569" spans="1:60" x14ac:dyDescent="0.25">
      <c r="A569" s="3">
        <v>46191</v>
      </c>
      <c r="B569" s="4">
        <v>6027780182</v>
      </c>
      <c r="C569" s="4">
        <v>3502671280.5100002</v>
      </c>
      <c r="D569" s="4">
        <v>278897676</v>
      </c>
      <c r="E569" s="4">
        <v>10348023.460000001</v>
      </c>
      <c r="F569" s="17">
        <v>489944540.53787118</v>
      </c>
      <c r="G569" s="17">
        <v>3749275.9903029338</v>
      </c>
      <c r="H569" s="17">
        <v>8818250.407321753</v>
      </c>
      <c r="I569" s="17">
        <v>950592670.20641267</v>
      </c>
      <c r="J569" s="17">
        <v>3949828.4428605512</v>
      </c>
      <c r="K569" s="17">
        <v>2045616714.925231</v>
      </c>
      <c r="L569" s="14">
        <f t="shared" si="176"/>
        <v>3502671280.5100002</v>
      </c>
      <c r="M569" s="21">
        <v>1.002793937834618</v>
      </c>
      <c r="N569" s="4">
        <v>1943752.04</v>
      </c>
      <c r="O569" s="4">
        <v>361752.64</v>
      </c>
      <c r="P569" s="4">
        <v>131326.07</v>
      </c>
      <c r="Q569" s="4">
        <v>13.778548000000001</v>
      </c>
      <c r="R569" s="14">
        <f t="shared" si="184"/>
        <v>2436844.5285479999</v>
      </c>
      <c r="S569" s="6">
        <v>0.01</v>
      </c>
      <c r="T569" s="14">
        <f t="shared" si="185"/>
        <v>19437.520400000001</v>
      </c>
      <c r="U569" s="14">
        <f t="shared" si="186"/>
        <v>1813.8092000000001</v>
      </c>
      <c r="V569" s="14">
        <f t="shared" si="187"/>
        <v>1176.9762000000001</v>
      </c>
      <c r="W569" s="14">
        <f t="shared" si="188"/>
        <v>0.13778548000000002</v>
      </c>
      <c r="X569" s="4">
        <v>13628.45</v>
      </c>
      <c r="Y569" s="4">
        <v>180371.72</v>
      </c>
      <c r="Z569" s="4">
        <v>0</v>
      </c>
      <c r="AA569" s="14">
        <f t="shared" si="189"/>
        <v>216428.61358548002</v>
      </c>
      <c r="AB569" s="4">
        <v>147145.69349999999</v>
      </c>
      <c r="AC569" s="4">
        <v>1943752.04</v>
      </c>
      <c r="AD569" s="14">
        <f t="shared" si="190"/>
        <v>181380.92</v>
      </c>
      <c r="AE569" s="14">
        <f t="shared" si="191"/>
        <v>117697.62000000001</v>
      </c>
      <c r="AF569" s="14">
        <f t="shared" si="192"/>
        <v>13.778548000000001</v>
      </c>
      <c r="AG569" s="15">
        <f t="shared" si="193"/>
        <v>2242844.358548</v>
      </c>
      <c r="AH569" s="4">
        <v>1900042.6</v>
      </c>
      <c r="AI569" s="17">
        <f t="shared" si="194"/>
        <v>342801.7585479999</v>
      </c>
      <c r="AJ569" s="7">
        <f t="shared" si="177"/>
        <v>3.2246564760347129</v>
      </c>
      <c r="AK569" s="7">
        <f t="shared" si="178"/>
        <v>1.0327907217925618</v>
      </c>
      <c r="AL569" s="7">
        <f t="shared" si="179"/>
        <v>4.7087545469543466</v>
      </c>
      <c r="AM569" s="7">
        <f t="shared" si="180"/>
        <v>1.3315149558039365E-2</v>
      </c>
      <c r="AN569" s="4">
        <v>37364.426782374423</v>
      </c>
      <c r="AO569" s="4">
        <v>0</v>
      </c>
      <c r="AP569" s="14">
        <f t="shared" si="195"/>
        <v>1937407.0267823746</v>
      </c>
      <c r="AQ569" s="14">
        <f t="shared" si="196"/>
        <v>1900042.6</v>
      </c>
      <c r="AR569" s="8">
        <v>27356.74</v>
      </c>
      <c r="AS569" s="20">
        <v>69.454277000000005</v>
      </c>
      <c r="AT569" s="8">
        <v>45304710.414739229</v>
      </c>
      <c r="AU569" s="8">
        <v>26810.6535</v>
      </c>
      <c r="AV569" s="8">
        <v>1721.3577</v>
      </c>
      <c r="AW569" s="8"/>
      <c r="AX569" s="9">
        <v>436.21919917982012</v>
      </c>
      <c r="AY569" s="6">
        <f t="shared" si="181"/>
        <v>2.2433420046388236E-2</v>
      </c>
      <c r="AZ569" s="8">
        <v>413947386.39780003</v>
      </c>
      <c r="BA569" s="10">
        <v>60480066</v>
      </c>
      <c r="BB569" s="11">
        <v>45304710.414739229</v>
      </c>
      <c r="BC569" s="10">
        <v>2971324</v>
      </c>
      <c r="BD569" s="10">
        <f>1000000000-999168860.7303+271387.1444</f>
        <v>1102526.4141000505</v>
      </c>
      <c r="BE569" s="12">
        <f t="shared" si="182"/>
        <v>476193986.77336073</v>
      </c>
      <c r="BF569" s="13">
        <v>233.52930699999999</v>
      </c>
      <c r="BG569" s="13">
        <f t="shared" si="183"/>
        <v>242.66467977336075</v>
      </c>
      <c r="BH569" s="14">
        <f>BE569*72.04</f>
        <v>34305014807.152908</v>
      </c>
    </row>
    <row r="570" spans="1:60" x14ac:dyDescent="0.25">
      <c r="A570" s="3">
        <v>46192</v>
      </c>
      <c r="B570" s="4">
        <v>3381814476</v>
      </c>
      <c r="C570" s="4">
        <v>1217256085.2</v>
      </c>
      <c r="D570" s="4">
        <v>152154234</v>
      </c>
      <c r="E570" s="4">
        <v>8894120.4000000004</v>
      </c>
      <c r="F570" s="17">
        <v>345617176.49694443</v>
      </c>
      <c r="G570" s="17">
        <v>2315824.5748577998</v>
      </c>
      <c r="H570" s="17">
        <v>6774603.5535288816</v>
      </c>
      <c r="I570" s="17">
        <v>309756458.59588659</v>
      </c>
      <c r="J570" s="17">
        <v>901069.22831044765</v>
      </c>
      <c r="K570" s="17">
        <v>551890952.75047183</v>
      </c>
      <c r="L570" s="14">
        <f t="shared" si="176"/>
        <v>1217256085.1999998</v>
      </c>
      <c r="M570" s="21">
        <v>0.99955726506199571</v>
      </c>
      <c r="N570" s="4">
        <v>1106178.1100000001</v>
      </c>
      <c r="O570" s="4">
        <v>146839.76</v>
      </c>
      <c r="P570" s="4">
        <v>74994.009999999995</v>
      </c>
      <c r="Q570" s="4">
        <v>4.6489399999999996</v>
      </c>
      <c r="R570" s="14">
        <f t="shared" si="184"/>
        <v>1328016.5289400001</v>
      </c>
      <c r="S570" s="6">
        <v>0.01</v>
      </c>
      <c r="T570" s="14">
        <f t="shared" si="185"/>
        <v>11061.781100000002</v>
      </c>
      <c r="U570" s="14">
        <f t="shared" si="186"/>
        <v>737.70990000000006</v>
      </c>
      <c r="V570" s="14">
        <f t="shared" si="187"/>
        <v>684.56309999999996</v>
      </c>
      <c r="W570" s="14">
        <f t="shared" si="188"/>
        <v>4.64894E-2</v>
      </c>
      <c r="X570" s="4">
        <v>6537.7</v>
      </c>
      <c r="Y570" s="4">
        <v>73068.77</v>
      </c>
      <c r="Z570" s="4">
        <v>0</v>
      </c>
      <c r="AA570" s="14">
        <f t="shared" si="189"/>
        <v>92090.570589400013</v>
      </c>
      <c r="AB570" s="4">
        <v>85705.241599999994</v>
      </c>
      <c r="AC570" s="4">
        <v>1106178.1100000001</v>
      </c>
      <c r="AD570" s="14">
        <f t="shared" si="190"/>
        <v>73770.990000000005</v>
      </c>
      <c r="AE570" s="14">
        <f t="shared" si="191"/>
        <v>68456.31</v>
      </c>
      <c r="AF570" s="14">
        <f t="shared" si="192"/>
        <v>4.6489399999999996</v>
      </c>
      <c r="AG570" s="15">
        <f t="shared" si="193"/>
        <v>1248410.0589400001</v>
      </c>
      <c r="AH570" s="4">
        <v>1056690.55</v>
      </c>
      <c r="AI570" s="17">
        <f t="shared" si="194"/>
        <v>191719.50894000009</v>
      </c>
      <c r="AJ570" s="7">
        <f t="shared" si="177"/>
        <v>3.2709603612211877</v>
      </c>
      <c r="AK570" s="7">
        <f t="shared" si="178"/>
        <v>1.2063177320314948</v>
      </c>
      <c r="AL570" s="7">
        <f t="shared" si="179"/>
        <v>4.928815191564107</v>
      </c>
      <c r="AM570" s="7">
        <f t="shared" si="180"/>
        <v>5.2269811863576744E-3</v>
      </c>
      <c r="AN570" s="4">
        <v>26935.215078312071</v>
      </c>
      <c r="AO570" s="4">
        <v>0</v>
      </c>
      <c r="AP570" s="14">
        <f t="shared" si="195"/>
        <v>1083625.765078312</v>
      </c>
      <c r="AQ570" s="14">
        <f t="shared" si="196"/>
        <v>1056690.55</v>
      </c>
      <c r="AR570" s="8">
        <v>15525.86</v>
      </c>
      <c r="AS570" s="20">
        <v>68.060033000000004</v>
      </c>
      <c r="AT570" s="8">
        <v>45320009.794739231</v>
      </c>
      <c r="AU570" s="8">
        <v>26822.423299999999</v>
      </c>
      <c r="AV570" s="8">
        <v>1976.7035000000001</v>
      </c>
      <c r="AW570" s="8"/>
      <c r="AX570" s="9">
        <v>436.92890084689549</v>
      </c>
      <c r="AY570" s="6">
        <f t="shared" si="181"/>
        <v>2.2406813752818295E-2</v>
      </c>
      <c r="AZ570" s="8">
        <v>413920563.9745</v>
      </c>
      <c r="BA570" s="10">
        <v>60480066</v>
      </c>
      <c r="BB570" s="11">
        <v>45320009.794739231</v>
      </c>
      <c r="BC570" s="10">
        <v>2971324</v>
      </c>
      <c r="BD570" s="10">
        <f>1000000000-999166884.0268+271783.6529</f>
        <v>1104899.6260999637</v>
      </c>
      <c r="BE570" s="12">
        <f t="shared" si="182"/>
        <v>476203136.60466087</v>
      </c>
      <c r="BF570" s="13">
        <v>233.52930699999999</v>
      </c>
      <c r="BG570" s="13">
        <f t="shared" si="183"/>
        <v>242.67382960466088</v>
      </c>
      <c r="BH570" s="14">
        <f>BE570*67.88</f>
        <v>32324668912.724377</v>
      </c>
    </row>
    <row r="571" spans="1:60" x14ac:dyDescent="0.25">
      <c r="A571" s="3">
        <v>46193</v>
      </c>
      <c r="B571" s="4">
        <v>2489984282</v>
      </c>
      <c r="C571" s="4">
        <v>438722835.06999999</v>
      </c>
      <c r="D571" s="4">
        <v>92356501</v>
      </c>
      <c r="E571" s="4">
        <v>13089778.85</v>
      </c>
      <c r="F571" s="17">
        <v>145539566.2756674</v>
      </c>
      <c r="G571" s="17">
        <v>1692522.0908296991</v>
      </c>
      <c r="H571" s="17">
        <v>1581783.5995695491</v>
      </c>
      <c r="I571" s="17">
        <v>92071422.020089209</v>
      </c>
      <c r="J571" s="17">
        <v>473926.80330453598</v>
      </c>
      <c r="K571" s="17">
        <v>197363614.2805396</v>
      </c>
      <c r="L571" s="14">
        <f t="shared" si="176"/>
        <v>438722835.06999999</v>
      </c>
      <c r="M571" s="21">
        <v>1.004713787867564</v>
      </c>
      <c r="N571" s="4">
        <v>849188.12</v>
      </c>
      <c r="O571" s="4">
        <v>65540.679999999993</v>
      </c>
      <c r="P571" s="4">
        <v>42456.29</v>
      </c>
      <c r="Q571" s="4">
        <v>5.5618410000000003</v>
      </c>
      <c r="R571" s="14">
        <f t="shared" si="184"/>
        <v>957190.65184100007</v>
      </c>
      <c r="S571" s="6">
        <v>0.01</v>
      </c>
      <c r="T571" s="14">
        <f t="shared" si="185"/>
        <v>8491.8811999999998</v>
      </c>
      <c r="U571" s="14">
        <f t="shared" si="186"/>
        <v>329.81399999999996</v>
      </c>
      <c r="V571" s="14">
        <f t="shared" si="187"/>
        <v>349.2174</v>
      </c>
      <c r="W571" s="14">
        <f t="shared" si="188"/>
        <v>5.5618410000000007E-2</v>
      </c>
      <c r="X571" s="4">
        <v>7534.55</v>
      </c>
      <c r="Y571" s="4">
        <v>32559.279999999999</v>
      </c>
      <c r="Z571" s="4">
        <v>0</v>
      </c>
      <c r="AA571" s="14">
        <f t="shared" si="189"/>
        <v>49264.798218409996</v>
      </c>
      <c r="AB571" s="4">
        <v>67561.837899999999</v>
      </c>
      <c r="AC571" s="4">
        <v>849188.12</v>
      </c>
      <c r="AD571" s="14">
        <f t="shared" si="190"/>
        <v>32981.399999999994</v>
      </c>
      <c r="AE571" s="14">
        <f t="shared" si="191"/>
        <v>34921.74</v>
      </c>
      <c r="AF571" s="14">
        <f t="shared" si="192"/>
        <v>5.5618410000000003</v>
      </c>
      <c r="AG571" s="15">
        <f t="shared" si="193"/>
        <v>917096.821841</v>
      </c>
      <c r="AH571" s="4">
        <v>781245.29</v>
      </c>
      <c r="AI571" s="17">
        <f t="shared" si="194"/>
        <v>135851.53184099996</v>
      </c>
      <c r="AJ571" s="7">
        <f t="shared" si="177"/>
        <v>3.4104155843020703</v>
      </c>
      <c r="AK571" s="7">
        <f t="shared" si="178"/>
        <v>1.4938971660671072</v>
      </c>
      <c r="AL571" s="7">
        <f t="shared" si="179"/>
        <v>4.5970007027442499</v>
      </c>
      <c r="AM571" s="7">
        <f t="shared" si="180"/>
        <v>4.2489953907815644E-3</v>
      </c>
      <c r="AN571" s="4">
        <v>13380.667271535091</v>
      </c>
      <c r="AO571" s="4">
        <v>0</v>
      </c>
      <c r="AP571" s="14">
        <f t="shared" si="195"/>
        <v>794625.95727153518</v>
      </c>
      <c r="AQ571" s="14">
        <f t="shared" si="196"/>
        <v>781245.29</v>
      </c>
      <c r="AR571" s="8">
        <v>11136.33</v>
      </c>
      <c r="AS571" s="20">
        <v>70.152850000000001</v>
      </c>
      <c r="AT571" s="8">
        <v>45331070.954739228</v>
      </c>
      <c r="AU571" s="8">
        <v>26831.235700000001</v>
      </c>
      <c r="AV571" s="8">
        <v>969.07169999999996</v>
      </c>
      <c r="AW571" s="8"/>
      <c r="AX571" s="9">
        <v>436.49501084918143</v>
      </c>
      <c r="AY571" s="6">
        <f t="shared" si="181"/>
        <v>2.243645582900794E-2</v>
      </c>
      <c r="AZ571" s="8">
        <v>413893732.73879999</v>
      </c>
      <c r="BA571" s="10">
        <v>60480066</v>
      </c>
      <c r="BB571" s="11">
        <v>45331070.954739228</v>
      </c>
      <c r="BC571" s="10">
        <v>2971324</v>
      </c>
      <c r="BD571" s="10">
        <f>1000000000-999165914.9551+271976.1971</f>
        <v>1106061.2419999405</v>
      </c>
      <c r="BE571" s="12">
        <f t="shared" si="182"/>
        <v>476217745.06446081</v>
      </c>
      <c r="BF571" s="13">
        <v>233.52930699999999</v>
      </c>
      <c r="BG571" s="13">
        <f t="shared" si="183"/>
        <v>242.68843806446083</v>
      </c>
      <c r="BH571" s="14">
        <f>BE571*69.5</f>
        <v>33097133281.980026</v>
      </c>
    </row>
    <row r="572" spans="1:60" x14ac:dyDescent="0.25">
      <c r="A572" s="3">
        <v>46194</v>
      </c>
      <c r="B572" s="4">
        <v>2841777935</v>
      </c>
      <c r="C572" s="4">
        <v>734869317.99000001</v>
      </c>
      <c r="D572" s="4">
        <v>82254769</v>
      </c>
      <c r="E572" s="4">
        <v>13251350.689999999</v>
      </c>
      <c r="F572" s="17">
        <v>326721503.23618507</v>
      </c>
      <c r="G572" s="17">
        <v>1144548.9783492531</v>
      </c>
      <c r="H572" s="17">
        <v>2211308.6476739529</v>
      </c>
      <c r="I572" s="17">
        <v>182818633.1089325</v>
      </c>
      <c r="J572" s="17">
        <v>158870.9077880746</v>
      </c>
      <c r="K572" s="17">
        <v>221814453.11107111</v>
      </c>
      <c r="L572" s="14">
        <f t="shared" si="176"/>
        <v>734869317.99000001</v>
      </c>
      <c r="M572" s="21">
        <v>1.0638048068345609</v>
      </c>
      <c r="N572" s="4">
        <v>939071.27</v>
      </c>
      <c r="O572" s="4">
        <v>96157.7</v>
      </c>
      <c r="P572" s="4">
        <v>36627.879999999997</v>
      </c>
      <c r="Q572" s="4">
        <v>69.025683000000001</v>
      </c>
      <c r="R572" s="14">
        <f t="shared" si="184"/>
        <v>1071925.8756829998</v>
      </c>
      <c r="S572" s="6">
        <v>0.01</v>
      </c>
      <c r="T572" s="14">
        <f t="shared" si="185"/>
        <v>9390.7127</v>
      </c>
      <c r="U572" s="14">
        <f t="shared" si="186"/>
        <v>482.11250000000001</v>
      </c>
      <c r="V572" s="14">
        <f t="shared" si="187"/>
        <v>309.39780000000002</v>
      </c>
      <c r="W572" s="14">
        <f t="shared" si="188"/>
        <v>0.69025683000000004</v>
      </c>
      <c r="X572" s="4">
        <v>5688.1</v>
      </c>
      <c r="Y572" s="4">
        <v>47946.45</v>
      </c>
      <c r="Z572" s="4">
        <v>0</v>
      </c>
      <c r="AA572" s="14">
        <f t="shared" si="189"/>
        <v>63817.46325683</v>
      </c>
      <c r="AB572" s="4">
        <v>62477.873500000002</v>
      </c>
      <c r="AC572" s="4">
        <v>939071.27</v>
      </c>
      <c r="AD572" s="14">
        <f t="shared" si="190"/>
        <v>48211.25</v>
      </c>
      <c r="AE572" s="14">
        <f t="shared" si="191"/>
        <v>30939.78</v>
      </c>
      <c r="AF572" s="14">
        <f t="shared" si="192"/>
        <v>69.025683000000001</v>
      </c>
      <c r="AG572" s="15">
        <f t="shared" si="193"/>
        <v>1018291.325683</v>
      </c>
      <c r="AH572" s="4">
        <v>874230.33</v>
      </c>
      <c r="AI572" s="17">
        <f t="shared" si="194"/>
        <v>144060.99568300007</v>
      </c>
      <c r="AJ572" s="7">
        <f t="shared" si="177"/>
        <v>3.3045202386653059</v>
      </c>
      <c r="AK572" s="7">
        <f t="shared" si="178"/>
        <v>1.3085006768687613</v>
      </c>
      <c r="AL572" s="7">
        <f t="shared" si="179"/>
        <v>4.4529794983680517</v>
      </c>
      <c r="AM572" s="7">
        <f t="shared" si="180"/>
        <v>5.2089545145076833E-2</v>
      </c>
      <c r="AN572" s="4">
        <v>11552.76370300887</v>
      </c>
      <c r="AO572" s="4">
        <v>0</v>
      </c>
      <c r="AP572" s="14">
        <f t="shared" si="195"/>
        <v>885783.09370300884</v>
      </c>
      <c r="AQ572" s="14">
        <f t="shared" si="196"/>
        <v>874230.33</v>
      </c>
      <c r="AR572" s="8">
        <v>12797.8</v>
      </c>
      <c r="AS572" s="20">
        <v>68.310985000000002</v>
      </c>
      <c r="AT572" s="8">
        <v>45343919.274739228</v>
      </c>
      <c r="AU572" s="8">
        <v>26804.686900000001</v>
      </c>
      <c r="AV572" s="8">
        <v>737.85860000000002</v>
      </c>
      <c r="AW572" s="8"/>
      <c r="AX572" s="9">
        <v>436.51029638069127</v>
      </c>
      <c r="AY572" s="6">
        <f t="shared" si="181"/>
        <v>2.2413470654922159E-2</v>
      </c>
      <c r="AZ572" s="8">
        <v>413866928.05190003</v>
      </c>
      <c r="BA572" s="10">
        <v>60480066</v>
      </c>
      <c r="BB572" s="11">
        <v>45343919.274739228</v>
      </c>
      <c r="BC572" s="10">
        <v>2971324</v>
      </c>
      <c r="BD572" s="10">
        <f>1000000000-999165177.0965+272140.2988</f>
        <v>1106963.2022999609</v>
      </c>
      <c r="BE572" s="12">
        <f t="shared" si="182"/>
        <v>476230799.47106081</v>
      </c>
      <c r="BF572" s="13">
        <v>233.52930699999999</v>
      </c>
      <c r="BG572" s="13">
        <f t="shared" si="183"/>
        <v>242.70149247106085</v>
      </c>
      <c r="BH572" s="14">
        <f>BE572*70.4</f>
        <v>33526648282.762684</v>
      </c>
    </row>
    <row r="573" spans="1:60" x14ac:dyDescent="0.25">
      <c r="A573" s="3">
        <v>46195</v>
      </c>
      <c r="B573" s="4">
        <v>5783149465</v>
      </c>
      <c r="C573" s="4">
        <v>3581195097.71</v>
      </c>
      <c r="D573" s="4">
        <v>139459641</v>
      </c>
      <c r="E573" s="4">
        <v>16009075.52</v>
      </c>
      <c r="F573" s="17">
        <v>499425350.08327198</v>
      </c>
      <c r="G573" s="17">
        <v>2547819.1513085691</v>
      </c>
      <c r="H573" s="17">
        <v>28926053.745288219</v>
      </c>
      <c r="I573" s="17">
        <v>839604375.77969551</v>
      </c>
      <c r="J573" s="17">
        <v>10860722.04500775</v>
      </c>
      <c r="K573" s="17">
        <v>2199830776.9054279</v>
      </c>
      <c r="L573" s="14">
        <f t="shared" si="176"/>
        <v>3581195097.71</v>
      </c>
      <c r="M573" s="21">
        <v>1.003986502651536</v>
      </c>
      <c r="N573" s="4">
        <v>1717671.16</v>
      </c>
      <c r="O573" s="4">
        <v>380784.75</v>
      </c>
      <c r="P573" s="4">
        <v>59187.5</v>
      </c>
      <c r="Q573" s="4">
        <v>4.5585490000000002</v>
      </c>
      <c r="R573" s="14">
        <f t="shared" si="184"/>
        <v>2157647.9685490001</v>
      </c>
      <c r="S573" s="6">
        <v>0.01</v>
      </c>
      <c r="T573" s="14">
        <f t="shared" si="185"/>
        <v>17176.711599999999</v>
      </c>
      <c r="U573" s="14">
        <f t="shared" si="186"/>
        <v>1907.4286</v>
      </c>
      <c r="V573" s="14">
        <f t="shared" si="187"/>
        <v>509.63560000000001</v>
      </c>
      <c r="W573" s="14">
        <f t="shared" si="188"/>
        <v>4.5585489999999999E-2</v>
      </c>
      <c r="X573" s="4">
        <v>8223.94</v>
      </c>
      <c r="Y573" s="4">
        <v>190041.89</v>
      </c>
      <c r="Z573" s="4">
        <v>0</v>
      </c>
      <c r="AA573" s="14">
        <f t="shared" si="189"/>
        <v>217859.65138549003</v>
      </c>
      <c r="AB573" s="4">
        <v>144891.04190000001</v>
      </c>
      <c r="AC573" s="4">
        <v>1717671.16</v>
      </c>
      <c r="AD573" s="14">
        <f t="shared" si="190"/>
        <v>190742.86</v>
      </c>
      <c r="AE573" s="14">
        <f t="shared" si="191"/>
        <v>50963.56</v>
      </c>
      <c r="AF573" s="14">
        <f t="shared" si="192"/>
        <v>4.5585490000000002</v>
      </c>
      <c r="AG573" s="15">
        <f t="shared" si="193"/>
        <v>1959382.138549</v>
      </c>
      <c r="AH573" s="4">
        <v>1704488.49</v>
      </c>
      <c r="AI573" s="17">
        <f t="shared" si="194"/>
        <v>254893.64854900003</v>
      </c>
      <c r="AJ573" s="7">
        <f t="shared" si="177"/>
        <v>2.9701310166639447</v>
      </c>
      <c r="AK573" s="7">
        <f t="shared" si="178"/>
        <v>1.0632895991717772</v>
      </c>
      <c r="AL573" s="7">
        <f t="shared" si="179"/>
        <v>4.2440593978009735</v>
      </c>
      <c r="AM573" s="7">
        <f t="shared" si="180"/>
        <v>2.8474779785410123E-3</v>
      </c>
      <c r="AN573" s="4">
        <v>21091.150192334539</v>
      </c>
      <c r="AO573" s="4">
        <v>0</v>
      </c>
      <c r="AP573" s="14">
        <f t="shared" si="195"/>
        <v>1725579.6401923345</v>
      </c>
      <c r="AQ573" s="14">
        <f t="shared" si="196"/>
        <v>1704488.49</v>
      </c>
      <c r="AR573" s="8">
        <v>25197.72</v>
      </c>
      <c r="AS573" s="20">
        <v>67.644552000000004</v>
      </c>
      <c r="AT573" s="8">
        <v>45369236.594739228</v>
      </c>
      <c r="AU573" s="8">
        <v>26825.0245</v>
      </c>
      <c r="AV573" s="8">
        <v>1340.2162000000001</v>
      </c>
      <c r="AW573" s="8"/>
      <c r="AX573" s="9">
        <v>436.66384542115532</v>
      </c>
      <c r="AY573" s="6">
        <f t="shared" si="181"/>
        <v>2.2422589012508251E-2</v>
      </c>
      <c r="AZ573" s="8">
        <v>413840103.02740002</v>
      </c>
      <c r="BA573" s="10">
        <v>60480066</v>
      </c>
      <c r="BB573" s="11">
        <v>45369236.594739228</v>
      </c>
      <c r="BC573" s="10">
        <v>2971324</v>
      </c>
      <c r="BD573" s="10">
        <f>1000000000-999163836.8803+272454.3375</f>
        <v>1108617.4571999549</v>
      </c>
      <c r="BE573" s="12">
        <f t="shared" si="182"/>
        <v>476230652.92066085</v>
      </c>
      <c r="BF573" s="13">
        <v>233.52930699999999</v>
      </c>
      <c r="BG573" s="13">
        <f t="shared" si="183"/>
        <v>242.70134592066088</v>
      </c>
      <c r="BH573" s="14">
        <f>BE573*67.16</f>
        <v>31983650650.151581</v>
      </c>
    </row>
    <row r="574" spans="1:60" x14ac:dyDescent="0.25">
      <c r="A574" s="3">
        <v>46196</v>
      </c>
      <c r="B574" s="4">
        <v>5365191360</v>
      </c>
      <c r="C574" s="4">
        <v>4920994757.8000002</v>
      </c>
      <c r="D574" s="4">
        <v>184224857</v>
      </c>
      <c r="E574" s="4">
        <v>15620622.130000001</v>
      </c>
      <c r="F574" s="17">
        <v>521287274.39337897</v>
      </c>
      <c r="G574" s="17">
        <v>8514664.1963866483</v>
      </c>
      <c r="H574" s="17">
        <v>14370641.000990801</v>
      </c>
      <c r="I574" s="17">
        <v>1372716860.4502101</v>
      </c>
      <c r="J574" s="17">
        <v>9842332.1109070256</v>
      </c>
      <c r="K574" s="17">
        <v>2994262985.6481271</v>
      </c>
      <c r="L574" s="14">
        <f t="shared" si="176"/>
        <v>4920994757.8000011</v>
      </c>
      <c r="M574" s="21">
        <v>1.0026852427534201</v>
      </c>
      <c r="N574" s="4">
        <v>1690048.57</v>
      </c>
      <c r="O574" s="4">
        <v>468849.55</v>
      </c>
      <c r="P574" s="4">
        <v>92810.84</v>
      </c>
      <c r="Q574" s="4">
        <v>6.9691210000000003</v>
      </c>
      <c r="R574" s="14">
        <f t="shared" si="184"/>
        <v>2251715.9291209998</v>
      </c>
      <c r="S574" s="6">
        <v>0.01</v>
      </c>
      <c r="T574" s="14">
        <f t="shared" si="185"/>
        <v>16900.485700000001</v>
      </c>
      <c r="U574" s="14">
        <f t="shared" si="186"/>
        <v>2360.7878999999998</v>
      </c>
      <c r="V574" s="14">
        <f t="shared" si="187"/>
        <v>789.56720000000007</v>
      </c>
      <c r="W574" s="14">
        <f t="shared" si="188"/>
        <v>6.9691210000000003E-2</v>
      </c>
      <c r="X574" s="4">
        <v>13854.12</v>
      </c>
      <c r="Y574" s="4">
        <v>232770.76</v>
      </c>
      <c r="Z574" s="4">
        <v>0</v>
      </c>
      <c r="AA574" s="14">
        <f t="shared" si="189"/>
        <v>266675.79049121001</v>
      </c>
      <c r="AB574" s="4">
        <v>115980.5177</v>
      </c>
      <c r="AC574" s="4">
        <v>1690048.57</v>
      </c>
      <c r="AD574" s="14">
        <f t="shared" si="190"/>
        <v>236078.78999999998</v>
      </c>
      <c r="AE574" s="14">
        <f t="shared" si="191"/>
        <v>78956.72</v>
      </c>
      <c r="AF574" s="14">
        <f t="shared" si="192"/>
        <v>6.9691210000000003</v>
      </c>
      <c r="AG574" s="15">
        <f t="shared" si="193"/>
        <v>2005091.0491210001</v>
      </c>
      <c r="AH574" s="4">
        <v>1714929.13</v>
      </c>
      <c r="AI574" s="17">
        <f t="shared" si="194"/>
        <v>290161.91912100022</v>
      </c>
      <c r="AJ574" s="7">
        <f t="shared" si="177"/>
        <v>3.1500247737668765</v>
      </c>
      <c r="AK574" s="7">
        <f t="shared" si="178"/>
        <v>0.95275360587786073</v>
      </c>
      <c r="AL574" s="7">
        <f t="shared" si="179"/>
        <v>5.0379108178653649</v>
      </c>
      <c r="AM574" s="7">
        <f t="shared" si="180"/>
        <v>4.4614874759792934E-3</v>
      </c>
      <c r="AN574" s="4">
        <v>18578.779803082962</v>
      </c>
      <c r="AO574" s="4">
        <v>0</v>
      </c>
      <c r="AP574" s="14">
        <f t="shared" si="195"/>
        <v>1733507.9098030829</v>
      </c>
      <c r="AQ574" s="14">
        <f t="shared" si="196"/>
        <v>1714929.13</v>
      </c>
      <c r="AR574" s="8">
        <v>26972.49</v>
      </c>
      <c r="AS574" s="20">
        <v>63.580674999999999</v>
      </c>
      <c r="AT574" s="8">
        <v>45395755.524739228</v>
      </c>
      <c r="AU574" s="8">
        <v>26819.4391</v>
      </c>
      <c r="AV574" s="8">
        <v>2370.0088999999998</v>
      </c>
      <c r="AW574" s="8"/>
      <c r="AX574" s="9">
        <v>436.4827856950692</v>
      </c>
      <c r="AY574" s="6">
        <f t="shared" si="181"/>
        <v>2.2427219565856488E-2</v>
      </c>
      <c r="AZ574" s="8">
        <v>413813283.58829999</v>
      </c>
      <c r="BA574" s="10">
        <v>60480066</v>
      </c>
      <c r="BB574" s="11">
        <v>45395755.524739228</v>
      </c>
      <c r="BC574" s="10">
        <v>2971324</v>
      </c>
      <c r="BD574" s="10">
        <f>1000000000-999161466.8714+272735.6083</f>
        <v>1111268.7369000013</v>
      </c>
      <c r="BE574" s="12">
        <f t="shared" si="182"/>
        <v>476228302.15006083</v>
      </c>
      <c r="BF574" s="13">
        <v>233.52930699999999</v>
      </c>
      <c r="BG574" s="13">
        <f t="shared" si="183"/>
        <v>242.69899515006082</v>
      </c>
      <c r="BH574" s="14">
        <f>BE574*66.04</f>
        <v>31450117073.990021</v>
      </c>
    </row>
    <row r="575" spans="1:60" x14ac:dyDescent="0.25">
      <c r="A575" s="3">
        <v>46197</v>
      </c>
      <c r="B575" s="4">
        <v>6364058146</v>
      </c>
      <c r="C575" s="4">
        <v>4199262758.3099999</v>
      </c>
      <c r="D575" s="4">
        <v>212529856</v>
      </c>
      <c r="E575" s="4">
        <v>10910239.42</v>
      </c>
      <c r="F575" s="17">
        <v>619310790.75456643</v>
      </c>
      <c r="G575" s="17">
        <v>6470848.0177839017</v>
      </c>
      <c r="H575" s="17">
        <v>8541499.9358113669</v>
      </c>
      <c r="I575" s="17">
        <v>1279091917.127167</v>
      </c>
      <c r="J575" s="17">
        <v>6490865.9215392238</v>
      </c>
      <c r="K575" s="17">
        <v>2279356836.5531311</v>
      </c>
      <c r="L575" s="14">
        <f t="shared" si="176"/>
        <v>4199262758.309999</v>
      </c>
      <c r="M575" s="21">
        <v>1.003510130751776</v>
      </c>
      <c r="N575" s="4">
        <v>2161693.4700000002</v>
      </c>
      <c r="O575" s="4">
        <v>441280.4</v>
      </c>
      <c r="P575" s="4">
        <v>108074.92</v>
      </c>
      <c r="Q575" s="4">
        <v>8.6801960000000005</v>
      </c>
      <c r="R575" s="14">
        <f t="shared" si="184"/>
        <v>2711057.4701959998</v>
      </c>
      <c r="S575" s="6">
        <v>0.01</v>
      </c>
      <c r="T575" s="14">
        <f t="shared" si="185"/>
        <v>21616.934700000002</v>
      </c>
      <c r="U575" s="14">
        <f t="shared" si="186"/>
        <v>2214.5442000000003</v>
      </c>
      <c r="V575" s="14">
        <f t="shared" si="187"/>
        <v>848.32809999999995</v>
      </c>
      <c r="W575" s="14">
        <f t="shared" si="188"/>
        <v>8.6801960000000011E-2</v>
      </c>
      <c r="X575" s="4">
        <v>23242.11</v>
      </c>
      <c r="Y575" s="4">
        <v>219825.98</v>
      </c>
      <c r="Z575" s="4">
        <v>0</v>
      </c>
      <c r="AA575" s="14">
        <f t="shared" si="189"/>
        <v>267747.98380196001</v>
      </c>
      <c r="AB575" s="4">
        <v>176034.1637</v>
      </c>
      <c r="AC575" s="4">
        <v>2161693.4700000002</v>
      </c>
      <c r="AD575" s="14">
        <f t="shared" si="190"/>
        <v>221454.42</v>
      </c>
      <c r="AE575" s="14">
        <f t="shared" si="191"/>
        <v>84832.81</v>
      </c>
      <c r="AF575" s="14">
        <f t="shared" si="192"/>
        <v>8.6801960000000005</v>
      </c>
      <c r="AG575" s="15">
        <f t="shared" si="193"/>
        <v>2467989.380196</v>
      </c>
      <c r="AH575" s="4">
        <v>1820091.97</v>
      </c>
      <c r="AI575" s="17">
        <f t="shared" si="194"/>
        <v>647897.41019600001</v>
      </c>
      <c r="AJ575" s="7">
        <f t="shared" si="177"/>
        <v>3.3967217464200714</v>
      </c>
      <c r="AK575" s="7">
        <f t="shared" si="178"/>
        <v>1.0508520790387359</v>
      </c>
      <c r="AL575" s="7">
        <f t="shared" si="179"/>
        <v>5.0851641286577633</v>
      </c>
      <c r="AM575" s="7">
        <f t="shared" si="180"/>
        <v>7.9560087234089322E-3</v>
      </c>
      <c r="AN575" s="4">
        <v>22770.58196207033</v>
      </c>
      <c r="AO575" s="4">
        <v>0</v>
      </c>
      <c r="AP575" s="14">
        <f t="shared" si="195"/>
        <v>1842862.5519620704</v>
      </c>
      <c r="AQ575" s="14">
        <f t="shared" si="196"/>
        <v>1820091.97</v>
      </c>
      <c r="AR575" s="8">
        <v>29904.400000000001</v>
      </c>
      <c r="AS575" s="20">
        <v>60.863683999999999</v>
      </c>
      <c r="AT575" s="8">
        <v>45430265.224739231</v>
      </c>
      <c r="AU575" s="8">
        <v>26822.3927</v>
      </c>
      <c r="AV575" s="8">
        <v>3477.7289000000001</v>
      </c>
      <c r="AW575" s="8"/>
      <c r="AX575" s="9">
        <v>436.41995509238268</v>
      </c>
      <c r="AY575" s="6">
        <f t="shared" si="181"/>
        <v>2.2432918617178235E-2</v>
      </c>
      <c r="AZ575" s="8">
        <v>413786461.19559997</v>
      </c>
      <c r="BA575" s="10">
        <v>60480066</v>
      </c>
      <c r="BB575" s="11">
        <v>45430265.224739231</v>
      </c>
      <c r="BC575" s="10">
        <v>2971324</v>
      </c>
      <c r="BD575" s="10">
        <f>1000000000-999157989.1425+273099.251</f>
        <v>1115110.108499957</v>
      </c>
      <c r="BE575" s="12">
        <f t="shared" si="182"/>
        <v>476216773.47116077</v>
      </c>
      <c r="BF575" s="13">
        <v>233.52930699999999</v>
      </c>
      <c r="BG575" s="13">
        <f t="shared" si="183"/>
        <v>242.68746647116077</v>
      </c>
      <c r="BH575" s="14">
        <f>BE575*62.57</f>
        <v>29796883516.09053</v>
      </c>
    </row>
    <row r="576" spans="1:60" x14ac:dyDescent="0.25">
      <c r="A576" s="3">
        <v>46198</v>
      </c>
      <c r="B576" s="4">
        <v>6879035419</v>
      </c>
      <c r="C576" s="4">
        <v>3783181089.6300001</v>
      </c>
      <c r="D576" s="4">
        <v>217015449</v>
      </c>
      <c r="E576" s="4">
        <v>15774703.32</v>
      </c>
      <c r="F576" s="17">
        <v>561652927.85260832</v>
      </c>
      <c r="G576" s="17">
        <v>7579665.097602902</v>
      </c>
      <c r="H576" s="17">
        <v>6110885.2481793584</v>
      </c>
      <c r="I576" s="17">
        <v>1096286085.1679261</v>
      </c>
      <c r="J576" s="17">
        <v>5524913.7864242774</v>
      </c>
      <c r="K576" s="17">
        <v>2106026612.4772589</v>
      </c>
      <c r="L576" s="14">
        <f t="shared" si="176"/>
        <v>3783181089.6299996</v>
      </c>
      <c r="M576" s="21">
        <v>1.0068617841477741</v>
      </c>
      <c r="N576" s="4">
        <v>2317927.7400000002</v>
      </c>
      <c r="O576" s="4">
        <v>375440.67</v>
      </c>
      <c r="P576" s="4">
        <v>103866.28</v>
      </c>
      <c r="Q576" s="4">
        <v>58.235151999999999</v>
      </c>
      <c r="R576" s="14">
        <f t="shared" si="184"/>
        <v>2797292.925152</v>
      </c>
      <c r="S576" s="6">
        <v>0.01</v>
      </c>
      <c r="T576" s="14">
        <f t="shared" si="185"/>
        <v>23179.277400000003</v>
      </c>
      <c r="U576" s="14">
        <f t="shared" si="186"/>
        <v>1885.9670999999998</v>
      </c>
      <c r="V576" s="14">
        <f t="shared" si="187"/>
        <v>845.47580000000005</v>
      </c>
      <c r="W576" s="14">
        <f t="shared" si="188"/>
        <v>0.58235152000000001</v>
      </c>
      <c r="X576" s="4">
        <v>19318.7</v>
      </c>
      <c r="Y576" s="4">
        <v>186843.96</v>
      </c>
      <c r="Z576" s="4">
        <v>0</v>
      </c>
      <c r="AA576" s="14">
        <f t="shared" si="189"/>
        <v>232073.96265151998</v>
      </c>
      <c r="AB576" s="4">
        <v>155584.20269999999</v>
      </c>
      <c r="AC576" s="4">
        <v>2317927.7400000002</v>
      </c>
      <c r="AD576" s="14">
        <f t="shared" si="190"/>
        <v>188596.71</v>
      </c>
      <c r="AE576" s="14">
        <f t="shared" si="191"/>
        <v>84547.58</v>
      </c>
      <c r="AF576" s="14">
        <f t="shared" si="192"/>
        <v>58.235151999999999</v>
      </c>
      <c r="AG576" s="15">
        <f t="shared" si="193"/>
        <v>2591130.2651520004</v>
      </c>
      <c r="AH576" s="4">
        <v>2510389.4500000002</v>
      </c>
      <c r="AI576" s="17">
        <f t="shared" si="194"/>
        <v>80740.81515200017</v>
      </c>
      <c r="AJ576" s="7">
        <f t="shared" si="177"/>
        <v>3.3695534312817301</v>
      </c>
      <c r="AK576" s="7">
        <f t="shared" si="178"/>
        <v>0.99239412839399277</v>
      </c>
      <c r="AL576" s="7">
        <f t="shared" si="179"/>
        <v>4.7861237749944703</v>
      </c>
      <c r="AM576" s="7">
        <f t="shared" si="180"/>
        <v>3.691679698734264E-2</v>
      </c>
      <c r="AN576" s="4">
        <v>35222.274869750887</v>
      </c>
      <c r="AO576" s="4">
        <v>0</v>
      </c>
      <c r="AP576" s="14">
        <f t="shared" si="195"/>
        <v>2545611.7248697509</v>
      </c>
      <c r="AQ576" s="14">
        <f t="shared" si="196"/>
        <v>2510389.4500000002</v>
      </c>
      <c r="AR576" s="8">
        <v>40349.78</v>
      </c>
      <c r="AS576" s="20">
        <v>62.215691</v>
      </c>
      <c r="AT576" s="8">
        <v>45466227.134739228</v>
      </c>
      <c r="AU576" s="8">
        <v>26818.648099999999</v>
      </c>
      <c r="AV576" s="8">
        <v>3186.3364999999999</v>
      </c>
      <c r="AW576" s="8"/>
      <c r="AX576" s="9">
        <v>436.38583712949259</v>
      </c>
      <c r="AY576" s="6">
        <f t="shared" si="181"/>
        <v>2.2431540447989565E-2</v>
      </c>
      <c r="AZ576" s="8">
        <v>413759642.54750001</v>
      </c>
      <c r="BA576" s="10">
        <v>60480066</v>
      </c>
      <c r="BB576" s="11">
        <v>45466227.134739228</v>
      </c>
      <c r="BC576" s="10">
        <v>2971324</v>
      </c>
      <c r="BD576" s="10">
        <f>1000000000-999154802.806+273655.088</f>
        <v>1118852.2820000057</v>
      </c>
      <c r="BE576" s="12">
        <f t="shared" si="182"/>
        <v>476203888.03576076</v>
      </c>
      <c r="BF576" s="13">
        <v>233.52930699999999</v>
      </c>
      <c r="BG576" s="13">
        <f t="shared" si="183"/>
        <v>242.67458103576078</v>
      </c>
      <c r="BH576" s="14">
        <f>BE576*63.4</f>
        <v>30191326501.467232</v>
      </c>
    </row>
    <row r="577" spans="1:60" x14ac:dyDescent="0.25">
      <c r="A577" s="3">
        <v>46199</v>
      </c>
      <c r="B577" s="4">
        <v>5963427099</v>
      </c>
      <c r="C577" s="4">
        <v>3581704824.71</v>
      </c>
      <c r="D577" s="4">
        <v>96703594</v>
      </c>
      <c r="E577" s="4">
        <v>15632022.939999999</v>
      </c>
      <c r="F577" s="17">
        <v>566697283.92416406</v>
      </c>
      <c r="G577" s="17">
        <v>7809351.5622911789</v>
      </c>
      <c r="H577" s="17">
        <v>6462665.8779295422</v>
      </c>
      <c r="I577" s="17">
        <v>1159672245.4650421</v>
      </c>
      <c r="J577" s="17">
        <v>6639328.7415060177</v>
      </c>
      <c r="K577" s="17">
        <v>1834423949.1390669</v>
      </c>
      <c r="L577" s="14">
        <f t="shared" ref="L577:L640" si="197">SUM(F577:K577)</f>
        <v>3581704824.71</v>
      </c>
      <c r="M577" s="21">
        <v>1.000389966008481</v>
      </c>
      <c r="N577" s="4">
        <v>2021699.45</v>
      </c>
      <c r="O577" s="4">
        <v>364724.39</v>
      </c>
      <c r="P577" s="4">
        <v>87558.52</v>
      </c>
      <c r="Q577" s="4">
        <v>244.678168</v>
      </c>
      <c r="R577" s="14">
        <f t="shared" si="184"/>
        <v>2474227.0381680001</v>
      </c>
      <c r="S577" s="6">
        <v>0.01</v>
      </c>
      <c r="T577" s="14">
        <f t="shared" si="185"/>
        <v>20216.994500000001</v>
      </c>
      <c r="U577" s="14">
        <f t="shared" si="186"/>
        <v>1833.6149000000003</v>
      </c>
      <c r="V577" s="14">
        <f t="shared" si="187"/>
        <v>733.7863000000001</v>
      </c>
      <c r="W577" s="14">
        <f t="shared" si="188"/>
        <v>2.44678168</v>
      </c>
      <c r="X577" s="4">
        <v>14179.89</v>
      </c>
      <c r="Y577" s="4">
        <v>181362.9</v>
      </c>
      <c r="Z577" s="4">
        <v>0</v>
      </c>
      <c r="AA577" s="14">
        <f t="shared" si="189"/>
        <v>218329.63248167999</v>
      </c>
      <c r="AB577" s="4">
        <v>179990.4797</v>
      </c>
      <c r="AC577" s="4">
        <v>2021699.45</v>
      </c>
      <c r="AD577" s="14">
        <f t="shared" si="190"/>
        <v>183361.49000000002</v>
      </c>
      <c r="AE577" s="14">
        <f t="shared" si="191"/>
        <v>73378.63</v>
      </c>
      <c r="AF577" s="14">
        <f t="shared" si="192"/>
        <v>244.678168</v>
      </c>
      <c r="AG577" s="15">
        <f t="shared" si="193"/>
        <v>2278684.248168</v>
      </c>
      <c r="AH577" s="4">
        <v>1907933.03</v>
      </c>
      <c r="AI577" s="17">
        <f t="shared" si="194"/>
        <v>370751.21816799999</v>
      </c>
      <c r="AJ577" s="7">
        <f t="shared" si="177"/>
        <v>3.390163770659687</v>
      </c>
      <c r="AK577" s="7">
        <f t="shared" si="178"/>
        <v>1.01829829047828</v>
      </c>
      <c r="AL577" s="7">
        <f t="shared" si="179"/>
        <v>9.0543191186875642</v>
      </c>
      <c r="AM577" s="7">
        <f t="shared" si="180"/>
        <v>0.15652367511175108</v>
      </c>
      <c r="AN577" s="4">
        <v>29933.29283822182</v>
      </c>
      <c r="AO577" s="4">
        <v>0</v>
      </c>
      <c r="AP577" s="14">
        <f t="shared" si="195"/>
        <v>1937866.3228382219</v>
      </c>
      <c r="AQ577" s="14">
        <f t="shared" si="196"/>
        <v>1907933.03</v>
      </c>
      <c r="AR577" s="8">
        <v>30113.279999999999</v>
      </c>
      <c r="AS577" s="20">
        <v>63.358525999999998</v>
      </c>
      <c r="AT577" s="8">
        <v>45496434.304739229</v>
      </c>
      <c r="AU577" s="8">
        <v>26820.1227</v>
      </c>
      <c r="AV577" s="8">
        <v>3234.0916999999999</v>
      </c>
      <c r="AW577" s="8"/>
      <c r="AX577" s="9">
        <v>436.32413743009982</v>
      </c>
      <c r="AY577" s="6">
        <f t="shared" si="181"/>
        <v>2.2435945999132983E-2</v>
      </c>
      <c r="AZ577" s="8">
        <v>413732822.42479998</v>
      </c>
      <c r="BA577" s="10">
        <v>60480066</v>
      </c>
      <c r="BB577" s="11">
        <v>45496434.304739229</v>
      </c>
      <c r="BC577" s="10">
        <v>2971324</v>
      </c>
      <c r="BD577" s="10">
        <f>1000000000-999151568.7142+274124.7182</f>
        <v>1122556.0039999802</v>
      </c>
      <c r="BE577" s="12">
        <f t="shared" si="182"/>
        <v>476196797.26646084</v>
      </c>
      <c r="BF577" s="13">
        <v>233.52930699999999</v>
      </c>
      <c r="BG577" s="13">
        <f t="shared" si="183"/>
        <v>242.66749026646087</v>
      </c>
      <c r="BH577" s="14">
        <f>BE577*63.74</f>
        <v>30352783857.764214</v>
      </c>
    </row>
    <row r="578" spans="1:60" x14ac:dyDescent="0.25">
      <c r="A578" s="3">
        <v>46200</v>
      </c>
      <c r="B578" s="4">
        <v>2028512212</v>
      </c>
      <c r="C578" s="4">
        <v>375075638.13999999</v>
      </c>
      <c r="D578" s="4">
        <v>77999006</v>
      </c>
      <c r="E578" s="4">
        <v>20188759.489999998</v>
      </c>
      <c r="F578" s="17">
        <v>103890898.0762665</v>
      </c>
      <c r="G578" s="17">
        <v>1167805.4494736011</v>
      </c>
      <c r="H578" s="17">
        <v>1376004.083289657</v>
      </c>
      <c r="I578" s="17">
        <v>96264355.998211443</v>
      </c>
      <c r="J578" s="17">
        <v>672047.05387560709</v>
      </c>
      <c r="K578" s="17">
        <v>171704527.47888321</v>
      </c>
      <c r="L578" s="14">
        <f t="shared" si="197"/>
        <v>375075638.13999999</v>
      </c>
      <c r="M578" s="21">
        <v>1.0220423982030371</v>
      </c>
      <c r="N578" s="4">
        <v>705711.82</v>
      </c>
      <c r="O578" s="4">
        <v>50343.88</v>
      </c>
      <c r="P578" s="4">
        <v>40579.39</v>
      </c>
      <c r="Q578" s="4">
        <v>394.41065400000002</v>
      </c>
      <c r="R578" s="14">
        <f t="shared" si="184"/>
        <v>797029.50065399997</v>
      </c>
      <c r="S578" s="6">
        <v>0.01</v>
      </c>
      <c r="T578" s="14">
        <f t="shared" si="185"/>
        <v>7057.1181999999999</v>
      </c>
      <c r="U578" s="14">
        <f t="shared" si="186"/>
        <v>253.09619999999998</v>
      </c>
      <c r="V578" s="14">
        <f t="shared" si="187"/>
        <v>308.09809999999999</v>
      </c>
      <c r="W578" s="14">
        <f t="shared" si="188"/>
        <v>3.9441065400000004</v>
      </c>
      <c r="X578" s="4">
        <v>9769.58</v>
      </c>
      <c r="Y578" s="4">
        <v>25034.26</v>
      </c>
      <c r="Z578" s="4">
        <v>0</v>
      </c>
      <c r="AA578" s="14">
        <f t="shared" si="189"/>
        <v>42426.096606539999</v>
      </c>
      <c r="AB578" s="4">
        <v>58091.814700000003</v>
      </c>
      <c r="AC578" s="4">
        <v>705711.82</v>
      </c>
      <c r="AD578" s="14">
        <f t="shared" si="190"/>
        <v>25309.62</v>
      </c>
      <c r="AE578" s="14">
        <f t="shared" si="191"/>
        <v>30809.809999999998</v>
      </c>
      <c r="AF578" s="14">
        <f t="shared" si="192"/>
        <v>394.41065400000002</v>
      </c>
      <c r="AG578" s="15">
        <f t="shared" si="193"/>
        <v>762225.66065400001</v>
      </c>
      <c r="AH578" s="4">
        <v>655211.06000000006</v>
      </c>
      <c r="AI578" s="17">
        <f t="shared" si="194"/>
        <v>107014.60065399995</v>
      </c>
      <c r="AJ578" s="7">
        <f t="shared" si="177"/>
        <v>3.4789626398364515</v>
      </c>
      <c r="AK578" s="7">
        <f t="shared" si="178"/>
        <v>1.3422327360330648</v>
      </c>
      <c r="AL578" s="7">
        <f t="shared" si="179"/>
        <v>5.2025521966267103</v>
      </c>
      <c r="AM578" s="7">
        <f t="shared" si="180"/>
        <v>0.19536151004986788</v>
      </c>
      <c r="AN578" s="4">
        <v>10573.19495826739</v>
      </c>
      <c r="AO578" s="4">
        <v>0</v>
      </c>
      <c r="AP578" s="14">
        <f t="shared" si="195"/>
        <v>665784.25495826744</v>
      </c>
      <c r="AQ578" s="14">
        <f t="shared" si="196"/>
        <v>655211.06000000006</v>
      </c>
      <c r="AR578" s="8">
        <v>10349.19</v>
      </c>
      <c r="AS578" s="20">
        <v>63.310371000000004</v>
      </c>
      <c r="AT578" s="8">
        <v>45506675.754739232</v>
      </c>
      <c r="AU578" s="8">
        <v>26830.648300000001</v>
      </c>
      <c r="AV578" s="8">
        <v>2904.7860000000001</v>
      </c>
      <c r="AW578" s="8"/>
      <c r="AX578" s="9">
        <v>438.52116514337803</v>
      </c>
      <c r="AY578" s="6">
        <f t="shared" si="181"/>
        <v>2.2332300942186082E-2</v>
      </c>
      <c r="AZ578" s="8">
        <v>413705991.7766</v>
      </c>
      <c r="BA578" s="10">
        <v>60480066</v>
      </c>
      <c r="BB578" s="11">
        <v>45506675.754739232</v>
      </c>
      <c r="BC578" s="10">
        <v>2971324</v>
      </c>
      <c r="BD578" s="10">
        <f>1000000000-999148663.9283+274291.2016</f>
        <v>1125627.273299977</v>
      </c>
      <c r="BE578" s="12">
        <f t="shared" si="182"/>
        <v>476210315.19536078</v>
      </c>
      <c r="BF578" s="13">
        <v>233.52930699999999</v>
      </c>
      <c r="BG578" s="13">
        <f t="shared" si="183"/>
        <v>242.68100819536082</v>
      </c>
      <c r="BH578" s="14">
        <f>BE578*63.56</f>
        <v>30267927633.817131</v>
      </c>
    </row>
    <row r="579" spans="1:60" x14ac:dyDescent="0.25">
      <c r="A579" s="3">
        <v>46201</v>
      </c>
      <c r="B579" s="4">
        <v>2335980769</v>
      </c>
      <c r="C579" s="4">
        <v>750501541.14999998</v>
      </c>
      <c r="D579" s="4">
        <v>88509402</v>
      </c>
      <c r="E579" s="4">
        <v>10821990.07</v>
      </c>
      <c r="F579" s="17">
        <v>225839415.40961239</v>
      </c>
      <c r="G579" s="17">
        <v>4040758.0443294798</v>
      </c>
      <c r="H579" s="17">
        <v>1803613.413244498</v>
      </c>
      <c r="I579" s="17">
        <v>232811839.95069519</v>
      </c>
      <c r="J579" s="17">
        <v>177819.4756385778</v>
      </c>
      <c r="K579" s="17">
        <v>285828094.85647988</v>
      </c>
      <c r="L579" s="14">
        <f t="shared" si="197"/>
        <v>750501541.1500001</v>
      </c>
      <c r="M579" s="21">
        <v>1.021745487426275</v>
      </c>
      <c r="N579" s="4">
        <v>825217.67</v>
      </c>
      <c r="O579" s="4">
        <v>89354.26999999999</v>
      </c>
      <c r="P579" s="4">
        <v>42282.13</v>
      </c>
      <c r="Q579" s="4">
        <v>438.59249899999998</v>
      </c>
      <c r="R579" s="14">
        <f t="shared" si="184"/>
        <v>957292.66249900009</v>
      </c>
      <c r="S579" s="6">
        <v>0.01</v>
      </c>
      <c r="T579" s="14">
        <f t="shared" si="185"/>
        <v>8252.1767</v>
      </c>
      <c r="U579" s="14">
        <f t="shared" si="186"/>
        <v>454.01629999999989</v>
      </c>
      <c r="V579" s="14">
        <f t="shared" si="187"/>
        <v>320.45259999999996</v>
      </c>
      <c r="W579" s="14">
        <f t="shared" si="188"/>
        <v>4.3859249899999995</v>
      </c>
      <c r="X579" s="4">
        <v>10236.870000000001</v>
      </c>
      <c r="Y579" s="4">
        <v>43952.639999999999</v>
      </c>
      <c r="Z579" s="4">
        <v>0</v>
      </c>
      <c r="AA579" s="14">
        <f t="shared" si="189"/>
        <v>63220.541524989996</v>
      </c>
      <c r="AB579" s="4">
        <v>67705.873900000006</v>
      </c>
      <c r="AC579" s="4">
        <v>825217.67</v>
      </c>
      <c r="AD579" s="14">
        <f t="shared" si="190"/>
        <v>45401.62999999999</v>
      </c>
      <c r="AE579" s="14">
        <f t="shared" si="191"/>
        <v>32045.259999999995</v>
      </c>
      <c r="AF579" s="14">
        <f t="shared" si="192"/>
        <v>438.59249899999998</v>
      </c>
      <c r="AG579" s="15">
        <f t="shared" si="193"/>
        <v>903103.15249900008</v>
      </c>
      <c r="AH579" s="4">
        <v>731274.78</v>
      </c>
      <c r="AI579" s="17">
        <f t="shared" si="194"/>
        <v>171828.37249900005</v>
      </c>
      <c r="AJ579" s="7">
        <f t="shared" si="177"/>
        <v>3.5326389709674877</v>
      </c>
      <c r="AK579" s="7">
        <f t="shared" si="178"/>
        <v>1.1905940907607155</v>
      </c>
      <c r="AL579" s="7">
        <f t="shared" si="179"/>
        <v>4.7771342981167129</v>
      </c>
      <c r="AM579" s="7">
        <f t="shared" si="180"/>
        <v>0.40527897009981267</v>
      </c>
      <c r="AN579" s="4">
        <v>9762.6337312611031</v>
      </c>
      <c r="AO579" s="4">
        <v>0</v>
      </c>
      <c r="AP579" s="14">
        <f t="shared" si="195"/>
        <v>741037.41373126116</v>
      </c>
      <c r="AQ579" s="14">
        <f t="shared" si="196"/>
        <v>731274.78</v>
      </c>
      <c r="AR579" s="8">
        <v>11787.75</v>
      </c>
      <c r="AS579" s="20">
        <v>62.036842</v>
      </c>
      <c r="AT579" s="8">
        <v>45519632.19473923</v>
      </c>
      <c r="AU579" s="8">
        <v>26890.2376</v>
      </c>
      <c r="AV579" s="8">
        <v>917.93849999999998</v>
      </c>
      <c r="AW579" s="8"/>
      <c r="AX579" s="9">
        <v>438.6618069757572</v>
      </c>
      <c r="AY579" s="6">
        <f t="shared" si="181"/>
        <v>2.2374723688999953E-2</v>
      </c>
      <c r="AZ579" s="8">
        <v>413679101.53899997</v>
      </c>
      <c r="BA579" s="10">
        <v>60480066</v>
      </c>
      <c r="BB579" s="11">
        <v>45519632.19473923</v>
      </c>
      <c r="BC579" s="10">
        <v>2971324</v>
      </c>
      <c r="BD579" s="10">
        <f>1000000000-999147745.9897+274448.5239</f>
        <v>1126702.5342000402</v>
      </c>
      <c r="BE579" s="12">
        <f t="shared" si="182"/>
        <v>476223173.73206073</v>
      </c>
      <c r="BF579" s="13">
        <v>233.52930699999999</v>
      </c>
      <c r="BG579" s="13">
        <f t="shared" si="183"/>
        <v>242.69386673206074</v>
      </c>
      <c r="BH579" s="14">
        <f>BE579*62.08</f>
        <v>29563934625.286331</v>
      </c>
    </row>
    <row r="580" spans="1:60" x14ac:dyDescent="0.25">
      <c r="A580" s="3">
        <v>46202</v>
      </c>
      <c r="B580" s="4">
        <v>4609163647</v>
      </c>
      <c r="C580" s="4">
        <v>3261693886.0599999</v>
      </c>
      <c r="D580" s="4">
        <v>167118646</v>
      </c>
      <c r="E580" s="4">
        <v>9965756.8800000008</v>
      </c>
      <c r="F580" s="17">
        <v>319268085.06947792</v>
      </c>
      <c r="G580" s="17">
        <v>11401487.01303602</v>
      </c>
      <c r="H580" s="17">
        <v>31072489.452755138</v>
      </c>
      <c r="I580" s="17">
        <v>1030044589.922664</v>
      </c>
      <c r="J580" s="17">
        <v>6058683.0955615481</v>
      </c>
      <c r="K580" s="17">
        <v>1863848551.506505</v>
      </c>
      <c r="L580" s="14">
        <f t="shared" si="197"/>
        <v>3261693886.0599995</v>
      </c>
      <c r="M580" s="21">
        <v>1.00181589806835</v>
      </c>
      <c r="N580" s="4">
        <v>1592152.42</v>
      </c>
      <c r="O580" s="4">
        <v>373870.93</v>
      </c>
      <c r="P580" s="4">
        <v>83609.919999999998</v>
      </c>
      <c r="Q580" s="4">
        <v>195.40694400000001</v>
      </c>
      <c r="R580" s="14">
        <f t="shared" si="184"/>
        <v>2049828.6769439997</v>
      </c>
      <c r="S580" s="6">
        <v>0.01</v>
      </c>
      <c r="T580" s="14">
        <f t="shared" si="185"/>
        <v>15921.5242</v>
      </c>
      <c r="U580" s="14">
        <f t="shared" si="186"/>
        <v>1885.6338000000001</v>
      </c>
      <c r="V580" s="14">
        <f t="shared" si="187"/>
        <v>634.16520000000003</v>
      </c>
      <c r="W580" s="14">
        <f t="shared" si="188"/>
        <v>1.95406944</v>
      </c>
      <c r="X580" s="4">
        <v>20193.400000000001</v>
      </c>
      <c r="Y580" s="4">
        <v>185307.55</v>
      </c>
      <c r="Z580" s="4">
        <v>0</v>
      </c>
      <c r="AA580" s="14">
        <f t="shared" si="189"/>
        <v>223944.22726943999</v>
      </c>
      <c r="AB580" s="4">
        <v>136324.25289999999</v>
      </c>
      <c r="AC580" s="4">
        <v>1592152.42</v>
      </c>
      <c r="AD580" s="14">
        <f t="shared" si="190"/>
        <v>188563.38</v>
      </c>
      <c r="AE580" s="14">
        <f t="shared" si="191"/>
        <v>63416.52</v>
      </c>
      <c r="AF580" s="14">
        <f t="shared" si="192"/>
        <v>195.40694400000001</v>
      </c>
      <c r="AG580" s="15">
        <f t="shared" si="193"/>
        <v>1844327.7269439998</v>
      </c>
      <c r="AH580" s="4">
        <v>1586444.15</v>
      </c>
      <c r="AI580" s="17">
        <f t="shared" si="194"/>
        <v>257883.57694399985</v>
      </c>
      <c r="AJ580" s="7">
        <f t="shared" ref="AJ580:AJ643" si="198">IF(OR(B580="",B580=0,N580=""),"",N580/B580*10000)</f>
        <v>3.4543195727847409</v>
      </c>
      <c r="AK580" s="7">
        <f t="shared" ref="AK580:AK643" si="199">IF(OR(C580="",C580=0),"",O580/C580*10000)</f>
        <v>1.146247756718892</v>
      </c>
      <c r="AL580" s="7">
        <f t="shared" ref="AL580:AL643" si="200">IF(OR(D580="",D580=0),"",P580/D580*10000)</f>
        <v>5.0030276094984636</v>
      </c>
      <c r="AM580" s="7">
        <f t="shared" ref="AM580:AM643" si="201">IF(OR(E580="",E580=0),"",Q580/E580*10000)</f>
        <v>0.1960783775411547</v>
      </c>
      <c r="AN580" s="4">
        <v>22619.96085869856</v>
      </c>
      <c r="AO580" s="4">
        <v>30710.21</v>
      </c>
      <c r="AP580" s="14">
        <f t="shared" si="195"/>
        <v>1639774.3208586983</v>
      </c>
      <c r="AQ580" s="14">
        <f t="shared" si="196"/>
        <v>1586444.15</v>
      </c>
      <c r="AR580" s="8">
        <v>24814.76</v>
      </c>
      <c r="AS580" s="20">
        <v>63.931472999999997</v>
      </c>
      <c r="AT580" s="8">
        <v>45543526.37473923</v>
      </c>
      <c r="AU580" s="8">
        <v>26867.916799999999</v>
      </c>
      <c r="AV580" s="8">
        <v>952.27970000000005</v>
      </c>
      <c r="AW580" s="8"/>
      <c r="AX580" s="9">
        <v>438.63287824617407</v>
      </c>
      <c r="AY580" s="6">
        <f t="shared" ref="AY580:AY643" si="202">IF(OR(AX580="",AX580=0,AU580=""),"",AU580*365/(AX580*1000000))</f>
        <v>2.2357625518660121E-2</v>
      </c>
      <c r="AZ580" s="8">
        <v>413652233.62220001</v>
      </c>
      <c r="BA580" s="10">
        <v>60480066</v>
      </c>
      <c r="BB580" s="11">
        <v>45543526.37473923</v>
      </c>
      <c r="BC580" s="10">
        <v>2971324</v>
      </c>
      <c r="BD580" s="10">
        <f>1000000000-999146793.71+274820.7035</f>
        <v>1128026.9934999619</v>
      </c>
      <c r="BE580" s="12">
        <f t="shared" ref="BE580:BE643" si="203">1000000000-AZ580-BA580-BB580-BC580-BD580</f>
        <v>476224823.00956082</v>
      </c>
      <c r="BF580" s="13">
        <v>233.52930699999999</v>
      </c>
      <c r="BG580" s="13">
        <f t="shared" ref="BG580:BG643" si="204">BE580/1000000-BF580</f>
        <v>242.69551600956086</v>
      </c>
      <c r="BH580" s="14">
        <f>BE580*60.75</f>
        <v>28930657997.830818</v>
      </c>
    </row>
    <row r="581" spans="1:60" x14ac:dyDescent="0.25">
      <c r="A581" s="3">
        <v>46203</v>
      </c>
      <c r="B581" s="4">
        <v>4275587709</v>
      </c>
      <c r="C581" s="4">
        <v>2552673808.0300002</v>
      </c>
      <c r="D581" s="4">
        <v>122699608</v>
      </c>
      <c r="E581" s="4">
        <v>9669535.0899999999</v>
      </c>
      <c r="F581" s="17">
        <v>364589590.37245703</v>
      </c>
      <c r="G581" s="17">
        <v>4662663.5724995583</v>
      </c>
      <c r="H581" s="17">
        <v>11909317.984408081</v>
      </c>
      <c r="I581" s="17">
        <v>675494102.03222358</v>
      </c>
      <c r="J581" s="17">
        <v>7992489.7957965564</v>
      </c>
      <c r="K581" s="17">
        <v>1488025644.272615</v>
      </c>
      <c r="L581" s="14">
        <f t="shared" si="197"/>
        <v>2552673808.0299997</v>
      </c>
      <c r="M581" s="21">
        <v>1.004528315952498</v>
      </c>
      <c r="N581" s="4">
        <v>1471760.42</v>
      </c>
      <c r="O581" s="4">
        <v>267722.87</v>
      </c>
      <c r="P581" s="4">
        <v>61673.81</v>
      </c>
      <c r="Q581" s="4">
        <v>556.93560300000001</v>
      </c>
      <c r="R581" s="14">
        <f t="shared" si="184"/>
        <v>1801714.0356030001</v>
      </c>
      <c r="S581" s="6">
        <v>0.01</v>
      </c>
      <c r="T581" s="14">
        <f t="shared" si="185"/>
        <v>14717.6042</v>
      </c>
      <c r="U581" s="14">
        <f t="shared" si="186"/>
        <v>1344.8616</v>
      </c>
      <c r="V581" s="14">
        <f t="shared" si="187"/>
        <v>490.80119999999994</v>
      </c>
      <c r="W581" s="14">
        <f t="shared" si="188"/>
        <v>5.5693560300000007</v>
      </c>
      <c r="X581" s="4">
        <v>12593.69</v>
      </c>
      <c r="Y581" s="4">
        <v>133236.71</v>
      </c>
      <c r="Z581" s="4">
        <v>0</v>
      </c>
      <c r="AA581" s="14">
        <f t="shared" si="189"/>
        <v>162389.23635602999</v>
      </c>
      <c r="AB581" s="4">
        <v>125376.9636</v>
      </c>
      <c r="AC581" s="4">
        <v>1471760.42</v>
      </c>
      <c r="AD581" s="14">
        <f t="shared" si="190"/>
        <v>134486.16</v>
      </c>
      <c r="AE581" s="14">
        <f t="shared" si="191"/>
        <v>49080.119999999995</v>
      </c>
      <c r="AF581" s="14">
        <f t="shared" si="192"/>
        <v>556.93560300000001</v>
      </c>
      <c r="AG581" s="15">
        <f t="shared" si="193"/>
        <v>1655883.6356029997</v>
      </c>
      <c r="AH581" s="4">
        <v>1385218.58</v>
      </c>
      <c r="AI581" s="17">
        <f t="shared" si="194"/>
        <v>270665.05560299964</v>
      </c>
      <c r="AJ581" s="7">
        <f t="shared" si="198"/>
        <v>3.4422412079209201</v>
      </c>
      <c r="AK581" s="7">
        <f t="shared" si="199"/>
        <v>1.0487938927324694</v>
      </c>
      <c r="AL581" s="7">
        <f t="shared" si="200"/>
        <v>5.0264064413310923</v>
      </c>
      <c r="AM581" s="7">
        <f t="shared" si="201"/>
        <v>0.57596936958837808</v>
      </c>
      <c r="AN581" s="4">
        <v>21269.83479829552</v>
      </c>
      <c r="AO581" s="4">
        <v>0</v>
      </c>
      <c r="AP581" s="14">
        <f t="shared" si="195"/>
        <v>1406488.4147982956</v>
      </c>
      <c r="AQ581" s="14">
        <f t="shared" si="196"/>
        <v>1385218.58</v>
      </c>
      <c r="AR581" s="8">
        <v>21245.65</v>
      </c>
      <c r="AS581" s="20">
        <v>65.200103999999996</v>
      </c>
      <c r="AT581" s="8">
        <v>45564841.794739231</v>
      </c>
      <c r="AU581" s="8">
        <v>26885.214</v>
      </c>
      <c r="AV581" s="8">
        <v>3185.1797000000001</v>
      </c>
      <c r="AW581" s="8"/>
      <c r="AX581" s="9">
        <v>438.10812475972591</v>
      </c>
      <c r="AY581" s="6">
        <f t="shared" si="202"/>
        <v>2.2398815624297894E-2</v>
      </c>
      <c r="AZ581" s="8">
        <v>413625348.40820003</v>
      </c>
      <c r="BA581" s="10">
        <v>60480066</v>
      </c>
      <c r="BB581" s="11">
        <v>45564841.794739231</v>
      </c>
      <c r="BC581" s="10">
        <v>2971324</v>
      </c>
      <c r="BD581" s="10">
        <f>1000000000-999143608.5303+275142.7688</f>
        <v>1131534.2384999788</v>
      </c>
      <c r="BE581" s="12">
        <f t="shared" si="203"/>
        <v>476226885.55856073</v>
      </c>
      <c r="BF581" s="13">
        <v>233.52930699999999</v>
      </c>
      <c r="BG581" s="13">
        <f t="shared" si="204"/>
        <v>242.69757855856076</v>
      </c>
      <c r="BH581" s="14">
        <f>BE581*66.05</f>
        <v>31454785791.142937</v>
      </c>
    </row>
    <row r="582" spans="1:60" x14ac:dyDescent="0.25">
      <c r="A582" s="3">
        <v>46204</v>
      </c>
      <c r="B582" s="4">
        <v>5911005903</v>
      </c>
      <c r="C582" s="4">
        <v>3569373400.9400001</v>
      </c>
      <c r="D582" s="4">
        <v>159299323</v>
      </c>
      <c r="E582" s="4">
        <v>10129752.279999999</v>
      </c>
      <c r="F582" s="17">
        <v>370640633.03981221</v>
      </c>
      <c r="G582" s="17">
        <v>6003594.3326235274</v>
      </c>
      <c r="H582" s="17">
        <v>5729710.8870811174</v>
      </c>
      <c r="I582" s="17">
        <v>889994105.60041547</v>
      </c>
      <c r="J582" s="17">
        <v>5776806.5314070303</v>
      </c>
      <c r="K582" s="17">
        <v>2291228550.5486612</v>
      </c>
      <c r="L582" s="14">
        <f t="shared" si="197"/>
        <v>3569373400.9400005</v>
      </c>
      <c r="M582" s="21">
        <v>1.0080593710903549</v>
      </c>
      <c r="N582" s="4">
        <v>2061434.16</v>
      </c>
      <c r="O582" s="4">
        <v>377607.14</v>
      </c>
      <c r="P582" s="4">
        <v>80370.710000000006</v>
      </c>
      <c r="Q582" s="4">
        <v>322.79381699999999</v>
      </c>
      <c r="R582" s="14">
        <f t="shared" si="184"/>
        <v>2519734.8038169998</v>
      </c>
      <c r="S582" s="6">
        <v>0.01</v>
      </c>
      <c r="T582" s="14">
        <f t="shared" si="185"/>
        <v>20614.3416</v>
      </c>
      <c r="U582" s="14">
        <f t="shared" si="186"/>
        <v>1896.0345000000002</v>
      </c>
      <c r="V582" s="14">
        <f t="shared" si="187"/>
        <v>627.73980000000017</v>
      </c>
      <c r="W582" s="14">
        <f t="shared" si="188"/>
        <v>3.2279381699999998</v>
      </c>
      <c r="X582" s="4">
        <v>17596.73</v>
      </c>
      <c r="Y582" s="4">
        <v>188003.69</v>
      </c>
      <c r="Z582" s="4">
        <v>0</v>
      </c>
      <c r="AA582" s="14">
        <f t="shared" si="189"/>
        <v>228741.76383817001</v>
      </c>
      <c r="AB582" s="4">
        <v>188488.64780000001</v>
      </c>
      <c r="AC582" s="4">
        <v>2061434.16</v>
      </c>
      <c r="AD582" s="14">
        <f t="shared" si="190"/>
        <v>189603.45</v>
      </c>
      <c r="AE582" s="14">
        <f t="shared" si="191"/>
        <v>62773.98000000001</v>
      </c>
      <c r="AF582" s="14">
        <f t="shared" si="192"/>
        <v>322.79381699999999</v>
      </c>
      <c r="AG582" s="15">
        <f t="shared" si="193"/>
        <v>2314134.3838169998</v>
      </c>
      <c r="AH582" s="4">
        <v>1945507.76</v>
      </c>
      <c r="AI582" s="17">
        <f t="shared" si="194"/>
        <v>368626.62381699984</v>
      </c>
      <c r="AJ582" s="7">
        <f t="shared" si="198"/>
        <v>3.4874506874604285</v>
      </c>
      <c r="AK582" s="7">
        <f t="shared" si="199"/>
        <v>1.0579087632035264</v>
      </c>
      <c r="AL582" s="7">
        <f t="shared" si="200"/>
        <v>5.0452637516858756</v>
      </c>
      <c r="AM582" s="7">
        <f t="shared" si="201"/>
        <v>0.318659141978544</v>
      </c>
      <c r="AN582" s="4">
        <v>28409.700541506219</v>
      </c>
      <c r="AO582" s="4">
        <v>0</v>
      </c>
      <c r="AP582" s="14">
        <f t="shared" si="195"/>
        <v>1973917.4605415063</v>
      </c>
      <c r="AQ582" s="14">
        <f t="shared" si="196"/>
        <v>1945507.76</v>
      </c>
      <c r="AR582" s="8">
        <v>30432.03</v>
      </c>
      <c r="AS582" s="20">
        <v>63.929608000000002</v>
      </c>
      <c r="AT582" s="8">
        <v>45595389.924739227</v>
      </c>
      <c r="AU582" s="8">
        <v>26874.941900000002</v>
      </c>
      <c r="AV582" s="8">
        <v>1591.5108</v>
      </c>
      <c r="AW582" s="8"/>
      <c r="AX582" s="9">
        <v>438.11862995504839</v>
      </c>
      <c r="AY582" s="6">
        <f t="shared" si="202"/>
        <v>2.2389720780662658E-2</v>
      </c>
      <c r="AZ582" s="8">
        <v>413598473.46630001</v>
      </c>
      <c r="BA582" s="10">
        <v>60480066</v>
      </c>
      <c r="BB582" s="11">
        <v>45595389.924739227</v>
      </c>
      <c r="BC582" s="10">
        <v>2971324</v>
      </c>
      <c r="BD582" s="10">
        <f>1000000000-999142017.0195+275584.5649</f>
        <v>1133567.5453999829</v>
      </c>
      <c r="BE582" s="12">
        <f t="shared" si="203"/>
        <v>476221179.06356078</v>
      </c>
      <c r="BF582" s="13">
        <v>233.52930699999999</v>
      </c>
      <c r="BG582" s="13">
        <f t="shared" si="204"/>
        <v>242.69187206356079</v>
      </c>
      <c r="BH582" s="14">
        <f>BE582*64.26</f>
        <v>30601972966.62442</v>
      </c>
    </row>
    <row r="583" spans="1:60" x14ac:dyDescent="0.25">
      <c r="A583" s="3">
        <v>46205</v>
      </c>
      <c r="B583" s="4">
        <v>5363488777</v>
      </c>
      <c r="C583" s="4">
        <v>4203200287.1999998</v>
      </c>
      <c r="D583" s="4">
        <v>120640092</v>
      </c>
      <c r="E583" s="4">
        <v>7891034.3200000003</v>
      </c>
      <c r="F583" s="17">
        <v>337922061.06226701</v>
      </c>
      <c r="G583" s="17">
        <v>3740494.016941051</v>
      </c>
      <c r="H583" s="17">
        <v>15797183.56657123</v>
      </c>
      <c r="I583" s="17">
        <v>1163904591.770828</v>
      </c>
      <c r="J583" s="17">
        <v>2826892.2034166451</v>
      </c>
      <c r="K583" s="17">
        <v>2679009064.5799761</v>
      </c>
      <c r="L583" s="14">
        <f t="shared" si="197"/>
        <v>4203200287.1999998</v>
      </c>
      <c r="M583" s="21">
        <v>1.002739225693261</v>
      </c>
      <c r="N583" s="4">
        <v>1844286.95</v>
      </c>
      <c r="O583" s="4">
        <v>404686.37</v>
      </c>
      <c r="P583" s="4">
        <v>65629.2</v>
      </c>
      <c r="Q583" s="4">
        <v>486.65260799999999</v>
      </c>
      <c r="R583" s="14">
        <f t="shared" si="184"/>
        <v>2315089.1726080002</v>
      </c>
      <c r="S583" s="6">
        <v>0.01</v>
      </c>
      <c r="T583" s="14">
        <f t="shared" si="185"/>
        <v>18442.869500000001</v>
      </c>
      <c r="U583" s="14">
        <f t="shared" si="186"/>
        <v>2029.8710999999998</v>
      </c>
      <c r="V583" s="14">
        <f t="shared" si="187"/>
        <v>535.08069999999998</v>
      </c>
      <c r="W583" s="14">
        <f t="shared" si="188"/>
        <v>4.8665260799999999</v>
      </c>
      <c r="X583" s="4">
        <v>12121.13</v>
      </c>
      <c r="Y583" s="4">
        <v>201699.26</v>
      </c>
      <c r="Z583" s="4">
        <v>0</v>
      </c>
      <c r="AA583" s="14">
        <f t="shared" si="189"/>
        <v>234833.07782608</v>
      </c>
      <c r="AB583" s="4">
        <v>146486.87950000001</v>
      </c>
      <c r="AC583" s="4">
        <v>1844286.95</v>
      </c>
      <c r="AD583" s="14">
        <f t="shared" si="190"/>
        <v>202987.11</v>
      </c>
      <c r="AE583" s="14">
        <f t="shared" si="191"/>
        <v>53508.07</v>
      </c>
      <c r="AF583" s="14">
        <f t="shared" si="192"/>
        <v>486.65260799999999</v>
      </c>
      <c r="AG583" s="15">
        <f t="shared" si="193"/>
        <v>2101268.7826080001</v>
      </c>
      <c r="AH583" s="4">
        <v>1736647.61</v>
      </c>
      <c r="AI583" s="17">
        <f t="shared" si="194"/>
        <v>364621.17260799999</v>
      </c>
      <c r="AJ583" s="7">
        <f t="shared" si="198"/>
        <v>3.4385957101444311</v>
      </c>
      <c r="AK583" s="7">
        <f t="shared" si="199"/>
        <v>0.96280534437626208</v>
      </c>
      <c r="AL583" s="7">
        <f t="shared" si="200"/>
        <v>5.4400820582928606</v>
      </c>
      <c r="AM583" s="7">
        <f t="shared" si="201"/>
        <v>0.61671586799029399</v>
      </c>
      <c r="AN583" s="4">
        <v>20359.652792957389</v>
      </c>
      <c r="AO583" s="4">
        <v>31176.44</v>
      </c>
      <c r="AP583" s="14">
        <f t="shared" si="195"/>
        <v>1788183.7027929574</v>
      </c>
      <c r="AQ583" s="14">
        <f t="shared" si="196"/>
        <v>1736647.61</v>
      </c>
      <c r="AR583" s="8">
        <v>26823.01</v>
      </c>
      <c r="AS583" s="20">
        <v>64.744694999999993</v>
      </c>
      <c r="AT583" s="8">
        <v>45622237.834739231</v>
      </c>
      <c r="AU583" s="8">
        <v>26885.515599999999</v>
      </c>
      <c r="AV583" s="8">
        <v>1875.6274000000001</v>
      </c>
      <c r="AW583" s="8"/>
      <c r="AX583" s="9">
        <v>438.52453792133059</v>
      </c>
      <c r="AY583" s="6">
        <f t="shared" si="202"/>
        <v>2.2377797239160307E-2</v>
      </c>
      <c r="AZ583" s="8">
        <v>413571587.95069999</v>
      </c>
      <c r="BA583" s="10">
        <v>60480066</v>
      </c>
      <c r="BB583" s="11">
        <v>45622237.834739231</v>
      </c>
      <c r="BC583" s="10">
        <v>2971324</v>
      </c>
      <c r="BD583" s="10">
        <f>1000000000-999140141.3922+275911.8958</f>
        <v>1135770.5036000069</v>
      </c>
      <c r="BE583" s="12">
        <f t="shared" si="203"/>
        <v>476219013.71096075</v>
      </c>
      <c r="BF583" s="13">
        <v>233.52930699999999</v>
      </c>
      <c r="BG583" s="13">
        <f t="shared" si="204"/>
        <v>242.68970671096073</v>
      </c>
      <c r="BH583" s="14">
        <f>BE583*62.25</f>
        <v>29644633603.507305</v>
      </c>
    </row>
    <row r="584" spans="1:60" x14ac:dyDescent="0.25">
      <c r="A584" s="3">
        <v>46206</v>
      </c>
      <c r="B584" s="4">
        <v>3603063352</v>
      </c>
      <c r="C584" s="4">
        <v>1598787100.1800001</v>
      </c>
      <c r="D584" s="4">
        <v>120240100</v>
      </c>
      <c r="E584" s="4">
        <v>9231630.6600000001</v>
      </c>
      <c r="F584" s="17">
        <v>181169867.47850949</v>
      </c>
      <c r="G584" s="17">
        <v>1779430.1014681139</v>
      </c>
      <c r="H584" s="17">
        <v>3301177.2580382652</v>
      </c>
      <c r="I584" s="17">
        <v>304259636.14077848</v>
      </c>
      <c r="J584" s="17">
        <v>88954.717744574271</v>
      </c>
      <c r="K584" s="17">
        <v>1108188034.4834609</v>
      </c>
      <c r="L584" s="14">
        <f t="shared" si="197"/>
        <v>1598787100.1799998</v>
      </c>
      <c r="M584" s="21">
        <v>1.0005722993026931</v>
      </c>
      <c r="N584" s="4">
        <v>1253502.31</v>
      </c>
      <c r="O584" s="4">
        <v>178427.3</v>
      </c>
      <c r="P584" s="4">
        <v>65113.93</v>
      </c>
      <c r="Q584" s="4">
        <v>435.079162</v>
      </c>
      <c r="R584" s="14">
        <f t="shared" si="184"/>
        <v>1497478.619162</v>
      </c>
      <c r="S584" s="6">
        <v>0.01</v>
      </c>
      <c r="T584" s="14">
        <f t="shared" si="185"/>
        <v>12535.0231</v>
      </c>
      <c r="U584" s="14">
        <f t="shared" si="186"/>
        <v>894.98859999999991</v>
      </c>
      <c r="V584" s="14">
        <f t="shared" si="187"/>
        <v>538.10540000000003</v>
      </c>
      <c r="W584" s="14">
        <f t="shared" si="188"/>
        <v>4.3507916199999999</v>
      </c>
      <c r="X584" s="4">
        <v>11303.39</v>
      </c>
      <c r="Y584" s="4">
        <v>88928.44</v>
      </c>
      <c r="Z584" s="4">
        <v>0</v>
      </c>
      <c r="AA584" s="14">
        <f t="shared" si="189"/>
        <v>114204.29789161999</v>
      </c>
      <c r="AB584" s="4">
        <v>103671.88250000001</v>
      </c>
      <c r="AC584" s="4">
        <v>1253502.31</v>
      </c>
      <c r="AD584" s="14">
        <f t="shared" si="190"/>
        <v>89498.859999999986</v>
      </c>
      <c r="AE584" s="14">
        <f t="shared" si="191"/>
        <v>53810.54</v>
      </c>
      <c r="AF584" s="14">
        <f t="shared" si="192"/>
        <v>435.079162</v>
      </c>
      <c r="AG584" s="15">
        <f t="shared" si="193"/>
        <v>1397246.7891619999</v>
      </c>
      <c r="AH584" s="4">
        <v>1194362.21</v>
      </c>
      <c r="AI584" s="17">
        <f t="shared" si="194"/>
        <v>202884.57916199998</v>
      </c>
      <c r="AJ584" s="7">
        <f t="shared" si="198"/>
        <v>3.4789904798765252</v>
      </c>
      <c r="AK584" s="7">
        <f t="shared" si="199"/>
        <v>1.1160166352349958</v>
      </c>
      <c r="AL584" s="7">
        <f t="shared" si="200"/>
        <v>5.4153256692234955</v>
      </c>
      <c r="AM584" s="7">
        <f t="shared" si="201"/>
        <v>0.47129177717774939</v>
      </c>
      <c r="AN584" s="4">
        <v>15047.47037224248</v>
      </c>
      <c r="AO584" s="4">
        <v>0</v>
      </c>
      <c r="AP584" s="14">
        <f t="shared" si="195"/>
        <v>1209409.6803722424</v>
      </c>
      <c r="AQ584" s="14">
        <f t="shared" si="196"/>
        <v>1194362.21</v>
      </c>
      <c r="AR584" s="8">
        <v>17340.849999999999</v>
      </c>
      <c r="AS584" s="20">
        <v>68.875643999999994</v>
      </c>
      <c r="AT584" s="8">
        <v>45639199.344739228</v>
      </c>
      <c r="AU584" s="8">
        <v>26883.785</v>
      </c>
      <c r="AV584" s="8">
        <v>3006.8690999999999</v>
      </c>
      <c r="AW584" s="8"/>
      <c r="AX584" s="9">
        <v>438.27193345943169</v>
      </c>
      <c r="AY584" s="6">
        <f t="shared" si="202"/>
        <v>2.2389253739215985E-2</v>
      </c>
      <c r="AZ584" s="8">
        <v>413544704.16570002</v>
      </c>
      <c r="BA584" s="10">
        <v>60480066</v>
      </c>
      <c r="BB584" s="11">
        <v>45639199.344739228</v>
      </c>
      <c r="BC584" s="10">
        <v>2971324</v>
      </c>
      <c r="BD584" s="10">
        <f>1000000000-999137134.5231+276138.9623</f>
        <v>1139004.4391999815</v>
      </c>
      <c r="BE584" s="12">
        <f t="shared" si="203"/>
        <v>476225702.05036086</v>
      </c>
      <c r="BF584" s="13">
        <v>233.52930699999999</v>
      </c>
      <c r="BG584" s="13">
        <f t="shared" si="204"/>
        <v>242.69639505036085</v>
      </c>
      <c r="BH584" s="14">
        <f>BE584*66.32</f>
        <v>31583288559.979927</v>
      </c>
    </row>
    <row r="585" spans="1:60" x14ac:dyDescent="0.25">
      <c r="A585" s="3">
        <v>46207</v>
      </c>
      <c r="B585" s="4">
        <v>2818182509</v>
      </c>
      <c r="C585" s="4">
        <v>260604553.99000001</v>
      </c>
      <c r="D585" s="4">
        <v>71733557</v>
      </c>
      <c r="E585" s="4">
        <v>9385460.5199999996</v>
      </c>
      <c r="F585" s="17">
        <v>51887449.300469622</v>
      </c>
      <c r="G585" s="17">
        <v>2106161.328671413</v>
      </c>
      <c r="H585" s="17">
        <v>2467592.295803722</v>
      </c>
      <c r="I585" s="17">
        <v>72891610.792836532</v>
      </c>
      <c r="J585" s="17">
        <v>118084.9787229355</v>
      </c>
      <c r="K585" s="17">
        <v>131133655.2934958</v>
      </c>
      <c r="L585" s="14">
        <f t="shared" si="197"/>
        <v>260604553.99000001</v>
      </c>
      <c r="M585" s="21">
        <v>1.003445301643034</v>
      </c>
      <c r="N585" s="4">
        <v>1005376.76</v>
      </c>
      <c r="O585" s="4">
        <v>48541.91</v>
      </c>
      <c r="P585" s="4">
        <v>36616.870000000003</v>
      </c>
      <c r="Q585" s="4">
        <v>299.94745599999999</v>
      </c>
      <c r="R585" s="14">
        <f t="shared" si="184"/>
        <v>1090835.4874559999</v>
      </c>
      <c r="S585" s="6">
        <v>0.01</v>
      </c>
      <c r="T585" s="14">
        <f t="shared" si="185"/>
        <v>10053.767600000001</v>
      </c>
      <c r="U585" s="14">
        <f t="shared" si="186"/>
        <v>244.95340000000004</v>
      </c>
      <c r="V585" s="14">
        <f t="shared" si="187"/>
        <v>297.84900000000005</v>
      </c>
      <c r="W585" s="14">
        <f t="shared" si="188"/>
        <v>2.9994745599999999</v>
      </c>
      <c r="X585" s="4">
        <v>6831.97</v>
      </c>
      <c r="Y585" s="4">
        <v>24046.57</v>
      </c>
      <c r="Z585" s="4">
        <v>0</v>
      </c>
      <c r="AA585" s="14">
        <f t="shared" si="189"/>
        <v>41478.109474559998</v>
      </c>
      <c r="AB585" s="4">
        <v>94533.139399999985</v>
      </c>
      <c r="AC585" s="4">
        <v>1005376.76</v>
      </c>
      <c r="AD585" s="14">
        <f t="shared" si="190"/>
        <v>24495.340000000004</v>
      </c>
      <c r="AE585" s="14">
        <f t="shared" si="191"/>
        <v>29784.9</v>
      </c>
      <c r="AF585" s="14">
        <f t="shared" si="192"/>
        <v>299.94745599999999</v>
      </c>
      <c r="AG585" s="15">
        <f t="shared" si="193"/>
        <v>1059956.9474559999</v>
      </c>
      <c r="AH585" s="4">
        <v>878302.28</v>
      </c>
      <c r="AI585" s="17">
        <f t="shared" si="194"/>
        <v>181654.66745599988</v>
      </c>
      <c r="AJ585" s="7">
        <f t="shared" si="198"/>
        <v>3.5674650480913908</v>
      </c>
      <c r="AK585" s="7">
        <f t="shared" si="199"/>
        <v>1.862665454490203</v>
      </c>
      <c r="AL585" s="7">
        <f t="shared" si="200"/>
        <v>5.1045663328809976</v>
      </c>
      <c r="AM585" s="7">
        <f t="shared" si="201"/>
        <v>0.31958736106856478</v>
      </c>
      <c r="AN585" s="4">
        <v>12432.61217256925</v>
      </c>
      <c r="AO585" s="4">
        <v>0</v>
      </c>
      <c r="AP585" s="14">
        <f t="shared" si="195"/>
        <v>890734.89217256929</v>
      </c>
      <c r="AQ585" s="14">
        <f t="shared" si="196"/>
        <v>878302.28</v>
      </c>
      <c r="AR585" s="8">
        <v>12455.83</v>
      </c>
      <c r="AS585" s="20">
        <v>70.513347999999993</v>
      </c>
      <c r="AT585" s="8">
        <v>45651516.734739229</v>
      </c>
      <c r="AU585" s="8">
        <v>26881.507399999999</v>
      </c>
      <c r="AV585" s="8">
        <v>1284.9258</v>
      </c>
      <c r="AW585" s="8"/>
      <c r="AX585" s="9">
        <v>438.33285641288671</v>
      </c>
      <c r="AY585" s="6">
        <f t="shared" si="202"/>
        <v>2.2384245345637155E-2</v>
      </c>
      <c r="AZ585" s="8">
        <v>413517822.65829998</v>
      </c>
      <c r="BA585" s="10">
        <v>60480066</v>
      </c>
      <c r="BB585" s="11">
        <v>45651516.734739229</v>
      </c>
      <c r="BC585" s="10">
        <v>2971324</v>
      </c>
      <c r="BD585" s="10">
        <f>1000000000-999135849.5973+276313.8847</f>
        <v>1140464.2873999474</v>
      </c>
      <c r="BE585" s="12">
        <f t="shared" si="203"/>
        <v>476238806.31956089</v>
      </c>
      <c r="BF585" s="13">
        <v>233.52930699999999</v>
      </c>
      <c r="BG585" s="13">
        <f t="shared" si="204"/>
        <v>242.70949931956088</v>
      </c>
      <c r="BH585" s="14">
        <f>BE585*71.05</f>
        <v>33836767189.004799</v>
      </c>
    </row>
    <row r="586" spans="1:60" x14ac:dyDescent="0.25">
      <c r="A586" s="3">
        <v>46208</v>
      </c>
      <c r="B586" s="4">
        <v>2375465564</v>
      </c>
      <c r="C586" s="4">
        <v>454738417.47000003</v>
      </c>
      <c r="D586" s="4">
        <v>83175061</v>
      </c>
      <c r="E586" s="4">
        <v>8342156.9100000001</v>
      </c>
      <c r="F586" s="17">
        <v>60393881.439382553</v>
      </c>
      <c r="G586" s="17">
        <v>1359484.7911914301</v>
      </c>
      <c r="H586" s="17">
        <v>1156053.7090511781</v>
      </c>
      <c r="I586" s="17">
        <v>121617523.690617</v>
      </c>
      <c r="J586" s="17">
        <v>84867.092736316044</v>
      </c>
      <c r="K586" s="17">
        <v>270126606.74702162</v>
      </c>
      <c r="L586" s="14">
        <f t="shared" si="197"/>
        <v>454738417.47000009</v>
      </c>
      <c r="M586" s="21">
        <v>1.0495271358265661</v>
      </c>
      <c r="N586" s="4">
        <v>849931.99</v>
      </c>
      <c r="O586" s="4">
        <v>56363.4</v>
      </c>
      <c r="P586" s="4">
        <v>40180.160000000003</v>
      </c>
      <c r="Q586" s="4">
        <v>161.85475700000001</v>
      </c>
      <c r="R586" s="14">
        <f t="shared" si="184"/>
        <v>946637.40475700004</v>
      </c>
      <c r="S586" s="6">
        <v>0.01</v>
      </c>
      <c r="T586" s="14">
        <f t="shared" si="185"/>
        <v>8499.3199000000004</v>
      </c>
      <c r="U586" s="14">
        <f t="shared" si="186"/>
        <v>283.66590000000002</v>
      </c>
      <c r="V586" s="14">
        <f t="shared" si="187"/>
        <v>330.39300000000003</v>
      </c>
      <c r="W586" s="14">
        <f t="shared" si="188"/>
        <v>1.61854757</v>
      </c>
      <c r="X586" s="4">
        <v>7140.86</v>
      </c>
      <c r="Y586" s="4">
        <v>27996.81</v>
      </c>
      <c r="Z586" s="4">
        <v>0</v>
      </c>
      <c r="AA586" s="14">
        <f t="shared" si="189"/>
        <v>44252.667347570001</v>
      </c>
      <c r="AB586" s="4">
        <v>65044.454599999997</v>
      </c>
      <c r="AC586" s="4">
        <v>849931.99</v>
      </c>
      <c r="AD586" s="14">
        <f t="shared" si="190"/>
        <v>28366.59</v>
      </c>
      <c r="AE586" s="14">
        <f t="shared" si="191"/>
        <v>33039.300000000003</v>
      </c>
      <c r="AF586" s="14">
        <f t="shared" si="192"/>
        <v>161.85475700000001</v>
      </c>
      <c r="AG586" s="15">
        <f t="shared" si="193"/>
        <v>911499.734757</v>
      </c>
      <c r="AH586" s="4">
        <v>770203.17</v>
      </c>
      <c r="AI586" s="17">
        <f t="shared" si="194"/>
        <v>141296.56475699996</v>
      </c>
      <c r="AJ586" s="7">
        <f t="shared" si="198"/>
        <v>3.5779596340214512</v>
      </c>
      <c r="AK586" s="7">
        <f t="shared" si="199"/>
        <v>1.2394686227212901</v>
      </c>
      <c r="AL586" s="7">
        <f t="shared" si="200"/>
        <v>4.8307941727869608</v>
      </c>
      <c r="AM586" s="7">
        <f t="shared" si="201"/>
        <v>0.19402027406842437</v>
      </c>
      <c r="AN586" s="4">
        <v>9361.2698679737314</v>
      </c>
      <c r="AO586" s="4">
        <v>0</v>
      </c>
      <c r="AP586" s="14">
        <f t="shared" si="195"/>
        <v>779564.43986797379</v>
      </c>
      <c r="AQ586" s="14">
        <f t="shared" si="196"/>
        <v>770203.17</v>
      </c>
      <c r="AR586" s="8">
        <v>11052.26</v>
      </c>
      <c r="AS586" s="20">
        <v>69.687391000000005</v>
      </c>
      <c r="AT586" s="8">
        <v>45663048.674739227</v>
      </c>
      <c r="AU586" s="8">
        <v>26878.530699999999</v>
      </c>
      <c r="AV586" s="8">
        <v>808.47640000000001</v>
      </c>
      <c r="AW586" s="8"/>
      <c r="AX586" s="9">
        <v>438.17327304256332</v>
      </c>
      <c r="AY586" s="6">
        <f t="shared" si="202"/>
        <v>2.2389918119325846E-2</v>
      </c>
      <c r="AZ586" s="8">
        <v>413490944.12769997</v>
      </c>
      <c r="BA586" s="10">
        <v>60480066</v>
      </c>
      <c r="BB586" s="11">
        <v>45663048.674739227</v>
      </c>
      <c r="BC586" s="10">
        <v>2971324</v>
      </c>
      <c r="BD586" s="10">
        <f>1000000000-999135041.1209+276448.7209</f>
        <v>1141407.5999999652</v>
      </c>
      <c r="BE586" s="12">
        <f t="shared" si="203"/>
        <v>476253209.59756082</v>
      </c>
      <c r="BF586" s="13">
        <v>233.52930699999999</v>
      </c>
      <c r="BG586" s="13">
        <f t="shared" si="204"/>
        <v>242.72390259756085</v>
      </c>
      <c r="BH586" s="14">
        <f>BE586*69.41</f>
        <v>33056735278.166695</v>
      </c>
    </row>
    <row r="587" spans="1:60" x14ac:dyDescent="0.25">
      <c r="A587" s="3">
        <v>46209</v>
      </c>
      <c r="B587" s="4">
        <v>5247911017</v>
      </c>
      <c r="C587" s="4">
        <v>2641867259.4099998</v>
      </c>
      <c r="D587" s="4">
        <v>125891560</v>
      </c>
      <c r="E587" s="4">
        <v>10067580.119999999</v>
      </c>
      <c r="F587" s="17">
        <v>214738208.5039033</v>
      </c>
      <c r="G587" s="17">
        <v>3992097.1213152129</v>
      </c>
      <c r="H587" s="17">
        <v>8204104.0642694533</v>
      </c>
      <c r="I587" s="17">
        <v>641715935.00530159</v>
      </c>
      <c r="J587" s="17">
        <v>3944157.6857182989</v>
      </c>
      <c r="K587" s="17">
        <v>1769272757.0294919</v>
      </c>
      <c r="L587" s="14">
        <f t="shared" si="197"/>
        <v>2641867259.4099998</v>
      </c>
      <c r="M587" s="21">
        <v>1.009024181046112</v>
      </c>
      <c r="N587" s="4">
        <v>1856731.29</v>
      </c>
      <c r="O587" s="4">
        <v>253395.95</v>
      </c>
      <c r="P587" s="4">
        <v>65268.430000000008</v>
      </c>
      <c r="Q587" s="4">
        <v>257.06212299999999</v>
      </c>
      <c r="R587" s="14">
        <f t="shared" si="184"/>
        <v>2175652.7321230005</v>
      </c>
      <c r="S587" s="6">
        <v>0.01</v>
      </c>
      <c r="T587" s="14">
        <f t="shared" si="185"/>
        <v>18567.312900000001</v>
      </c>
      <c r="U587" s="14">
        <f t="shared" si="186"/>
        <v>1271.9638</v>
      </c>
      <c r="V587" s="14">
        <f t="shared" si="187"/>
        <v>507.82160000000005</v>
      </c>
      <c r="W587" s="14">
        <f t="shared" si="188"/>
        <v>2.57062123</v>
      </c>
      <c r="X587" s="4">
        <v>14486.27</v>
      </c>
      <c r="Y587" s="4">
        <v>126199.57</v>
      </c>
      <c r="Z587" s="4">
        <v>0</v>
      </c>
      <c r="AA587" s="14">
        <f t="shared" si="189"/>
        <v>161035.50892123001</v>
      </c>
      <c r="AB587" s="4">
        <v>156412.60999999999</v>
      </c>
      <c r="AC587" s="4">
        <v>1856731.29</v>
      </c>
      <c r="AD587" s="14">
        <f t="shared" si="190"/>
        <v>127196.38</v>
      </c>
      <c r="AE587" s="14">
        <f t="shared" si="191"/>
        <v>50782.16</v>
      </c>
      <c r="AF587" s="14">
        <f t="shared" si="192"/>
        <v>257.06212299999999</v>
      </c>
      <c r="AG587" s="15">
        <f t="shared" si="193"/>
        <v>2034966.8921229998</v>
      </c>
      <c r="AH587" s="4">
        <v>1724890.52</v>
      </c>
      <c r="AI587" s="17">
        <f t="shared" si="194"/>
        <v>310076.37212299975</v>
      </c>
      <c r="AJ587" s="7">
        <f t="shared" si="198"/>
        <v>3.5380388196090484</v>
      </c>
      <c r="AK587" s="7">
        <f t="shared" si="199"/>
        <v>0.95915473836709786</v>
      </c>
      <c r="AL587" s="7">
        <f t="shared" si="200"/>
        <v>5.1844960853610846</v>
      </c>
      <c r="AM587" s="7">
        <f t="shared" si="201"/>
        <v>0.25533655549393336</v>
      </c>
      <c r="AN587" s="4">
        <v>19839.858287466752</v>
      </c>
      <c r="AO587" s="4">
        <v>0</v>
      </c>
      <c r="AP587" s="14">
        <f t="shared" si="195"/>
        <v>1744730.3782874667</v>
      </c>
      <c r="AQ587" s="14">
        <f t="shared" si="196"/>
        <v>1724890.52</v>
      </c>
      <c r="AR587" s="8">
        <v>24413.23</v>
      </c>
      <c r="AS587" s="20">
        <v>70.653925000000001</v>
      </c>
      <c r="AT587" s="8">
        <v>45686914.804739229</v>
      </c>
      <c r="AU587" s="8">
        <v>26876.785199999998</v>
      </c>
      <c r="AV587" s="8">
        <v>585.36369999999999</v>
      </c>
      <c r="AW587" s="8"/>
      <c r="AX587" s="9">
        <v>438.24542438102583</v>
      </c>
      <c r="AY587" s="6">
        <f t="shared" si="202"/>
        <v>2.2384778145386454E-2</v>
      </c>
      <c r="AZ587" s="8">
        <v>413464067.34240001</v>
      </c>
      <c r="BA587" s="10">
        <v>60480066</v>
      </c>
      <c r="BB587" s="11">
        <v>45686914.804739229</v>
      </c>
      <c r="BC587" s="10">
        <v>2971324</v>
      </c>
      <c r="BD587" s="10">
        <f>1000000000-999134455.7572+276726.2441</f>
        <v>1142270.4868999973</v>
      </c>
      <c r="BE587" s="12">
        <f t="shared" si="203"/>
        <v>476255357.36596072</v>
      </c>
      <c r="BF587" s="13">
        <v>233.52930699999999</v>
      </c>
      <c r="BG587" s="13">
        <f t="shared" si="204"/>
        <v>242.72605036596073</v>
      </c>
      <c r="BH587" s="14">
        <f>BE587*71.49</f>
        <v>34047495498.092529</v>
      </c>
    </row>
    <row r="588" spans="1:60" x14ac:dyDescent="0.25">
      <c r="A588" s="3">
        <v>46210</v>
      </c>
      <c r="B588" s="4">
        <v>4166149716</v>
      </c>
      <c r="C588" s="4">
        <v>3454801433.6799998</v>
      </c>
      <c r="D588" s="4">
        <v>130141572</v>
      </c>
      <c r="E588" s="4">
        <v>16668362.869999999</v>
      </c>
      <c r="F588" s="17">
        <v>482273339.13514501</v>
      </c>
      <c r="G588" s="17">
        <v>2426717.3803910129</v>
      </c>
      <c r="H588" s="17">
        <v>3160192.8677016222</v>
      </c>
      <c r="I588" s="17">
        <v>759143848.07760167</v>
      </c>
      <c r="J588" s="17">
        <v>2617583.708239032</v>
      </c>
      <c r="K588" s="17">
        <v>2205179752.510922</v>
      </c>
      <c r="L588" s="14">
        <f t="shared" si="197"/>
        <v>3454801433.6800003</v>
      </c>
      <c r="M588" s="21">
        <v>1.00413620077675</v>
      </c>
      <c r="N588" s="4">
        <v>1481726.39</v>
      </c>
      <c r="O588" s="4">
        <v>307447.94</v>
      </c>
      <c r="P588" s="4">
        <v>64520.68</v>
      </c>
      <c r="Q588" s="4">
        <v>259.93157300000001</v>
      </c>
      <c r="R588" s="14">
        <f t="shared" si="184"/>
        <v>1853954.9415729998</v>
      </c>
      <c r="S588" s="6">
        <v>0.01</v>
      </c>
      <c r="T588" s="14">
        <f t="shared" si="185"/>
        <v>14817.2639</v>
      </c>
      <c r="U588" s="14">
        <f t="shared" si="186"/>
        <v>1539.9669000000001</v>
      </c>
      <c r="V588" s="14">
        <f t="shared" si="187"/>
        <v>520.75580000000002</v>
      </c>
      <c r="W588" s="14">
        <f t="shared" si="188"/>
        <v>2.5993157300000003</v>
      </c>
      <c r="X588" s="4">
        <v>12445.1</v>
      </c>
      <c r="Y588" s="4">
        <v>153451.25</v>
      </c>
      <c r="Z588" s="4">
        <v>0</v>
      </c>
      <c r="AA588" s="14">
        <f t="shared" si="189"/>
        <v>182776.93591572999</v>
      </c>
      <c r="AB588" s="4">
        <v>162537.79459999999</v>
      </c>
      <c r="AC588" s="4">
        <v>1481726.39</v>
      </c>
      <c r="AD588" s="14">
        <f t="shared" si="190"/>
        <v>153996.69</v>
      </c>
      <c r="AE588" s="14">
        <f t="shared" si="191"/>
        <v>52075.58</v>
      </c>
      <c r="AF588" s="14">
        <f t="shared" si="192"/>
        <v>259.93157300000001</v>
      </c>
      <c r="AG588" s="15">
        <f t="shared" si="193"/>
        <v>1688058.591573</v>
      </c>
      <c r="AH588" s="4">
        <v>1393264.18</v>
      </c>
      <c r="AI588" s="17">
        <f t="shared" si="194"/>
        <v>294794.41157300002</v>
      </c>
      <c r="AJ588" s="7">
        <f t="shared" si="198"/>
        <v>3.5565845949065742</v>
      </c>
      <c r="AK588" s="7">
        <f t="shared" si="199"/>
        <v>0.88991493694186441</v>
      </c>
      <c r="AL588" s="7">
        <f t="shared" si="200"/>
        <v>4.9577301863235519</v>
      </c>
      <c r="AM588" s="7">
        <f t="shared" si="201"/>
        <v>0.15594307313037278</v>
      </c>
      <c r="AN588" s="4">
        <v>21745.828762441699</v>
      </c>
      <c r="AO588" s="4">
        <v>0</v>
      </c>
      <c r="AP588" s="14">
        <f t="shared" si="195"/>
        <v>1415010.0087624416</v>
      </c>
      <c r="AQ588" s="14">
        <f t="shared" si="196"/>
        <v>1393264.18</v>
      </c>
      <c r="AR588" s="8">
        <v>19641.57</v>
      </c>
      <c r="AS588" s="20">
        <v>70.934460999999999</v>
      </c>
      <c r="AT588" s="8">
        <v>45706806.51473923</v>
      </c>
      <c r="AU588" s="8">
        <v>26878.812000000002</v>
      </c>
      <c r="AV588" s="8">
        <v>2075.6891999999998</v>
      </c>
      <c r="AW588" s="8">
        <v>452000</v>
      </c>
      <c r="AX588" s="9">
        <v>438.31572981638152</v>
      </c>
      <c r="AY588" s="6">
        <f t="shared" si="202"/>
        <v>2.2382875431164451E-2</v>
      </c>
      <c r="AZ588" s="8">
        <v>413437188.53039998</v>
      </c>
      <c r="BA588" s="10">
        <v>60480066</v>
      </c>
      <c r="BB588" s="11">
        <v>45706806.51473923</v>
      </c>
      <c r="BC588" s="10">
        <v>2971324</v>
      </c>
      <c r="BD588" s="10">
        <f>1000000000-999132380.068+277032.1916</f>
        <v>1144652.123600041</v>
      </c>
      <c r="BE588" s="12">
        <f t="shared" si="203"/>
        <v>476259962.83126068</v>
      </c>
      <c r="BF588" s="13">
        <v>233.07730699999999</v>
      </c>
      <c r="BG588" s="13">
        <f t="shared" si="204"/>
        <v>243.18265583126069</v>
      </c>
      <c r="BH588" s="14">
        <f>BE588*71.1</f>
        <v>33862083357.302631</v>
      </c>
    </row>
    <row r="589" spans="1:60" x14ac:dyDescent="0.25">
      <c r="A589" s="3">
        <v>46211</v>
      </c>
      <c r="B589" s="4">
        <v>4099480938</v>
      </c>
      <c r="C589" s="4">
        <v>4827344700.9200001</v>
      </c>
      <c r="D589" s="4">
        <v>135519961</v>
      </c>
      <c r="E589" s="4">
        <v>5170654.9800000004</v>
      </c>
      <c r="F589" s="17">
        <v>1017722639.40066</v>
      </c>
      <c r="G589" s="17">
        <v>3710034.9210070781</v>
      </c>
      <c r="H589" s="17">
        <v>9720264.1510305945</v>
      </c>
      <c r="I589" s="17">
        <v>1172365209.105026</v>
      </c>
      <c r="J589" s="17">
        <v>2197093.175981869</v>
      </c>
      <c r="K589" s="17">
        <v>2621629460.1662941</v>
      </c>
      <c r="L589" s="14">
        <f t="shared" si="197"/>
        <v>4827344700.9200001</v>
      </c>
      <c r="M589" s="21">
        <v>1.0037215012634291</v>
      </c>
      <c r="N589" s="4">
        <v>1382862.31</v>
      </c>
      <c r="O589" s="4">
        <v>391558.77</v>
      </c>
      <c r="P589" s="4">
        <v>69301.490000000005</v>
      </c>
      <c r="Q589" s="4">
        <v>192.35902200000001</v>
      </c>
      <c r="R589" s="14">
        <f t="shared" si="184"/>
        <v>1843914.9290220002</v>
      </c>
      <c r="S589" s="6">
        <v>0.01</v>
      </c>
      <c r="T589" s="14">
        <f t="shared" si="185"/>
        <v>13828.623100000001</v>
      </c>
      <c r="U589" s="14">
        <f t="shared" si="186"/>
        <v>1962.7202000000002</v>
      </c>
      <c r="V589" s="14">
        <f t="shared" si="187"/>
        <v>536.82580000000007</v>
      </c>
      <c r="W589" s="14">
        <f t="shared" si="188"/>
        <v>1.9235902200000001</v>
      </c>
      <c r="X589" s="4">
        <v>15618.91</v>
      </c>
      <c r="Y589" s="4">
        <v>195286.75</v>
      </c>
      <c r="Z589" s="4">
        <v>0</v>
      </c>
      <c r="AA589" s="14">
        <f t="shared" si="189"/>
        <v>227235.75269021999</v>
      </c>
      <c r="AB589" s="4">
        <v>119076.13589999999</v>
      </c>
      <c r="AC589" s="4">
        <v>1382862.31</v>
      </c>
      <c r="AD589" s="14">
        <f t="shared" si="190"/>
        <v>196272.02000000002</v>
      </c>
      <c r="AE589" s="14">
        <f t="shared" si="191"/>
        <v>53682.58</v>
      </c>
      <c r="AF589" s="14">
        <f t="shared" si="192"/>
        <v>192.35902200000001</v>
      </c>
      <c r="AG589" s="15">
        <f t="shared" si="193"/>
        <v>1633009.2690220003</v>
      </c>
      <c r="AH589" s="4">
        <v>1366293.74</v>
      </c>
      <c r="AI589" s="17">
        <f t="shared" si="194"/>
        <v>266715.52902200026</v>
      </c>
      <c r="AJ589" s="7">
        <f t="shared" si="198"/>
        <v>3.3732619590485338</v>
      </c>
      <c r="AK589" s="7">
        <f t="shared" si="199"/>
        <v>0.81112660118382762</v>
      </c>
      <c r="AL589" s="7">
        <f t="shared" si="200"/>
        <v>5.1137477821440642</v>
      </c>
      <c r="AM589" s="7">
        <f t="shared" si="201"/>
        <v>0.37202061004658254</v>
      </c>
      <c r="AN589" s="4">
        <v>14737.14229729368</v>
      </c>
      <c r="AO589" s="4">
        <v>34597.96</v>
      </c>
      <c r="AP589" s="14">
        <f t="shared" si="195"/>
        <v>1415628.8422972937</v>
      </c>
      <c r="AQ589" s="14">
        <f t="shared" si="196"/>
        <v>1366293.74</v>
      </c>
      <c r="AR589" s="8">
        <v>20151.03</v>
      </c>
      <c r="AS589" s="20">
        <v>67.802674999999994</v>
      </c>
      <c r="AT589" s="8">
        <v>45727405.954739228</v>
      </c>
      <c r="AU589" s="8">
        <v>26902.5481</v>
      </c>
      <c r="AV589" s="8">
        <v>1858.5264999999999</v>
      </c>
      <c r="AW589" s="8"/>
      <c r="AX589" s="9">
        <v>439.61562249140331</v>
      </c>
      <c r="AY589" s="6">
        <f t="shared" si="202"/>
        <v>2.233639924088917E-2</v>
      </c>
      <c r="AZ589" s="8">
        <v>413410285.98229998</v>
      </c>
      <c r="BA589" s="10">
        <v>60480066</v>
      </c>
      <c r="BB589" s="11">
        <v>45727405.954739228</v>
      </c>
      <c r="BC589" s="10">
        <v>2971324</v>
      </c>
      <c r="BD589" s="10">
        <f>1000000000-999130521.5415+277243.8987</f>
        <v>1146722.3572000277</v>
      </c>
      <c r="BE589" s="12">
        <f t="shared" si="203"/>
        <v>476264195.70576072</v>
      </c>
      <c r="BF589" s="13">
        <v>233.07730699999999</v>
      </c>
      <c r="BG589" s="13">
        <f t="shared" si="204"/>
        <v>243.18688870576071</v>
      </c>
      <c r="BH589" s="14">
        <f>BE589*69.58</f>
        <v>33138462737.206829</v>
      </c>
    </row>
    <row r="590" spans="1:60" x14ac:dyDescent="0.25">
      <c r="A590" s="3">
        <v>46212</v>
      </c>
      <c r="B590" s="4">
        <v>3232468983</v>
      </c>
      <c r="C590" s="4">
        <v>3874747270.6199999</v>
      </c>
      <c r="D590" s="4">
        <v>84299040</v>
      </c>
      <c r="E590" s="4">
        <v>8036840.7800000003</v>
      </c>
      <c r="F590" s="17">
        <v>549581953.88542128</v>
      </c>
      <c r="G590" s="17">
        <v>1901948.068772546</v>
      </c>
      <c r="H590" s="17">
        <v>3529577.5151627711</v>
      </c>
      <c r="I590" s="17">
        <v>967548890.76384354</v>
      </c>
      <c r="J590" s="17">
        <v>1181099.684313677</v>
      </c>
      <c r="K590" s="17">
        <v>2351003800.702486</v>
      </c>
      <c r="L590" s="14">
        <f t="shared" si="197"/>
        <v>3874747270.6199999</v>
      </c>
      <c r="M590" s="21">
        <v>1.004327045195732</v>
      </c>
      <c r="N590" s="4">
        <v>1092756.33</v>
      </c>
      <c r="O590" s="4">
        <v>321517.31</v>
      </c>
      <c r="P590" s="4">
        <v>41732.74</v>
      </c>
      <c r="Q590" s="4">
        <v>458.93099599999999</v>
      </c>
      <c r="R590" s="14">
        <f t="shared" si="184"/>
        <v>1456465.3109960002</v>
      </c>
      <c r="S590" s="6">
        <v>0.01</v>
      </c>
      <c r="T590" s="14">
        <f t="shared" si="185"/>
        <v>10927.563300000002</v>
      </c>
      <c r="U590" s="14">
        <f t="shared" si="186"/>
        <v>1610.3545000000001</v>
      </c>
      <c r="V590" s="14">
        <f t="shared" si="187"/>
        <v>338.18860000000001</v>
      </c>
      <c r="W590" s="14">
        <f t="shared" si="188"/>
        <v>4.5893099600000005</v>
      </c>
      <c r="X590" s="4">
        <v>7913.88</v>
      </c>
      <c r="Y590" s="4">
        <v>160481.85999999999</v>
      </c>
      <c r="Z590" s="4">
        <v>0</v>
      </c>
      <c r="AA590" s="14">
        <f t="shared" si="189"/>
        <v>181276.43570996</v>
      </c>
      <c r="AB590" s="4">
        <v>93926.829099999988</v>
      </c>
      <c r="AC590" s="4">
        <v>1092756.33</v>
      </c>
      <c r="AD590" s="14">
        <f t="shared" si="190"/>
        <v>161035.45000000001</v>
      </c>
      <c r="AE590" s="14">
        <f t="shared" si="191"/>
        <v>33818.86</v>
      </c>
      <c r="AF590" s="14">
        <f t="shared" si="192"/>
        <v>458.93099599999999</v>
      </c>
      <c r="AG590" s="15">
        <f t="shared" si="193"/>
        <v>1288069.5709960002</v>
      </c>
      <c r="AH590" s="4">
        <v>1135980.5</v>
      </c>
      <c r="AI590" s="17">
        <f t="shared" si="194"/>
        <v>152089.0709960002</v>
      </c>
      <c r="AJ590" s="7">
        <f t="shared" si="198"/>
        <v>3.3805624609144167</v>
      </c>
      <c r="AK590" s="7">
        <f t="shared" si="199"/>
        <v>0.82977620872948932</v>
      </c>
      <c r="AL590" s="7">
        <f t="shared" si="200"/>
        <v>4.950559342075544</v>
      </c>
      <c r="AM590" s="7">
        <f t="shared" si="201"/>
        <v>0.57103407739776069</v>
      </c>
      <c r="AN590" s="4">
        <v>11262.965252061051</v>
      </c>
      <c r="AO590" s="4">
        <v>0</v>
      </c>
      <c r="AP590" s="14">
        <f t="shared" si="195"/>
        <v>1147243.4652520611</v>
      </c>
      <c r="AQ590" s="14">
        <f t="shared" si="196"/>
        <v>1135980.5</v>
      </c>
      <c r="AR590" s="8">
        <v>16825.22</v>
      </c>
      <c r="AS590" s="20">
        <v>67.516531999999998</v>
      </c>
      <c r="AT590" s="8">
        <v>45743813.01473923</v>
      </c>
      <c r="AU590" s="8">
        <v>26893.1728</v>
      </c>
      <c r="AV590" s="8">
        <v>3052.3933000000002</v>
      </c>
      <c r="AW590" s="8"/>
      <c r="AX590" s="9">
        <v>439.69748119049387</v>
      </c>
      <c r="AY590" s="6">
        <f t="shared" si="202"/>
        <v>2.2324458273954333E-2</v>
      </c>
      <c r="AZ590" s="8">
        <v>413383392.80949998</v>
      </c>
      <c r="BA590" s="10">
        <v>60480066</v>
      </c>
      <c r="BB590" s="11">
        <v>45743813.01473923</v>
      </c>
      <c r="BC590" s="10">
        <v>2971324</v>
      </c>
      <c r="BD590" s="10">
        <f>1000000000-999127469.1483+277410.8292</f>
        <v>1149941.6808999483</v>
      </c>
      <c r="BE590" s="12">
        <f t="shared" si="203"/>
        <v>476271462.49486083</v>
      </c>
      <c r="BF590" s="13">
        <v>233.07730699999999</v>
      </c>
      <c r="BG590" s="13">
        <f t="shared" si="204"/>
        <v>243.19415549486084</v>
      </c>
      <c r="BH590" s="14">
        <f>BE590*67.46</f>
        <v>32129272859.903309</v>
      </c>
    </row>
    <row r="591" spans="1:60" x14ac:dyDescent="0.25">
      <c r="A591" s="3">
        <v>46213</v>
      </c>
      <c r="B591" s="4">
        <v>3469258829</v>
      </c>
      <c r="C591" s="4">
        <v>3641072208.7800002</v>
      </c>
      <c r="D591" s="4">
        <v>98364106</v>
      </c>
      <c r="E591" s="4">
        <v>7452794.4500000002</v>
      </c>
      <c r="F591" s="17">
        <v>394319611.67386389</v>
      </c>
      <c r="G591" s="17">
        <v>2500072.8283798639</v>
      </c>
      <c r="H591" s="17">
        <v>12514391.377620479</v>
      </c>
      <c r="I591" s="17">
        <v>725000309.90450621</v>
      </c>
      <c r="J591" s="17">
        <v>1258318.9516599509</v>
      </c>
      <c r="K591" s="17">
        <v>2505479504.0439701</v>
      </c>
      <c r="L591" s="14">
        <f t="shared" si="197"/>
        <v>3641072208.7800007</v>
      </c>
      <c r="M591" s="21">
        <v>0.99910459710409483</v>
      </c>
      <c r="N591" s="4">
        <v>1182050.33</v>
      </c>
      <c r="O591" s="4">
        <v>333787.15999999997</v>
      </c>
      <c r="P591" s="4">
        <v>51672.03</v>
      </c>
      <c r="Q591" s="4">
        <v>216.67538300000001</v>
      </c>
      <c r="R591" s="14">
        <f t="shared" si="184"/>
        <v>1567726.195383</v>
      </c>
      <c r="S591" s="6">
        <v>0.01</v>
      </c>
      <c r="T591" s="14">
        <f t="shared" si="185"/>
        <v>11820.5033</v>
      </c>
      <c r="U591" s="14">
        <f t="shared" si="186"/>
        <v>1672.3836999999996</v>
      </c>
      <c r="V591" s="14">
        <f t="shared" si="187"/>
        <v>376.48790000000002</v>
      </c>
      <c r="W591" s="14">
        <f t="shared" si="188"/>
        <v>2.1667538300000002</v>
      </c>
      <c r="X591" s="4">
        <v>14023.24</v>
      </c>
      <c r="Y591" s="4">
        <v>166548.79</v>
      </c>
      <c r="Z591" s="4">
        <v>0</v>
      </c>
      <c r="AA591" s="14">
        <f t="shared" si="189"/>
        <v>194443.57165383</v>
      </c>
      <c r="AB591" s="4">
        <v>96413.339699999982</v>
      </c>
      <c r="AC591" s="4">
        <v>1182050.33</v>
      </c>
      <c r="AD591" s="14">
        <f t="shared" si="190"/>
        <v>167238.36999999997</v>
      </c>
      <c r="AE591" s="14">
        <f t="shared" si="191"/>
        <v>37648.79</v>
      </c>
      <c r="AF591" s="14">
        <f t="shared" si="192"/>
        <v>216.67538300000001</v>
      </c>
      <c r="AG591" s="15">
        <f t="shared" si="193"/>
        <v>1387154.1653829999</v>
      </c>
      <c r="AH591" s="4">
        <v>1159750.04</v>
      </c>
      <c r="AI591" s="17">
        <f t="shared" si="194"/>
        <v>227404.12538299989</v>
      </c>
      <c r="AJ591" s="7">
        <f t="shared" si="198"/>
        <v>3.4072128609116241</v>
      </c>
      <c r="AK591" s="7">
        <f t="shared" si="199"/>
        <v>0.91672765839445058</v>
      </c>
      <c r="AL591" s="7">
        <f t="shared" si="200"/>
        <v>5.253138782148846</v>
      </c>
      <c r="AM591" s="7">
        <f t="shared" si="201"/>
        <v>0.29073038905561122</v>
      </c>
      <c r="AN591" s="4">
        <v>8715.3780350413363</v>
      </c>
      <c r="AO591" s="4">
        <v>0</v>
      </c>
      <c r="AP591" s="14">
        <f t="shared" si="195"/>
        <v>1168465.4180350413</v>
      </c>
      <c r="AQ591" s="14">
        <f t="shared" si="196"/>
        <v>1159750.04</v>
      </c>
      <c r="AR591" s="8">
        <v>17054.23</v>
      </c>
      <c r="AS591" s="20">
        <v>68.003658999999999</v>
      </c>
      <c r="AT591" s="8">
        <v>45760630.214739233</v>
      </c>
      <c r="AU591" s="8">
        <v>26923.089400000001</v>
      </c>
      <c r="AV591" s="8">
        <v>2239.2338</v>
      </c>
      <c r="AW591" s="8"/>
      <c r="AX591" s="9">
        <v>439.85145353486121</v>
      </c>
      <c r="AY591" s="6">
        <f t="shared" si="202"/>
        <v>2.2341469039208597E-2</v>
      </c>
      <c r="AZ591" s="8">
        <v>413356469.72009999</v>
      </c>
      <c r="BA591" s="10">
        <v>60480066</v>
      </c>
      <c r="BB591" s="11">
        <v>45760630.214739233</v>
      </c>
      <c r="BC591" s="10">
        <v>2971324</v>
      </c>
      <c r="BD591" s="10">
        <f>1000000000-999125229.9145+277540.7834</f>
        <v>1152310.868900002</v>
      </c>
      <c r="BE591" s="12">
        <f t="shared" si="203"/>
        <v>476279199.19626087</v>
      </c>
      <c r="BF591" s="13">
        <v>233.07730699999999</v>
      </c>
      <c r="BG591" s="13">
        <f t="shared" si="204"/>
        <v>243.2018921962609</v>
      </c>
      <c r="BH591" s="14">
        <f>BE591*67.12</f>
        <v>31967859850.053032</v>
      </c>
    </row>
    <row r="592" spans="1:60" x14ac:dyDescent="0.25">
      <c r="A592" s="3">
        <v>46214</v>
      </c>
      <c r="B592" s="4">
        <v>1828021219</v>
      </c>
      <c r="C592" s="4">
        <v>464284938.89999998</v>
      </c>
      <c r="D592" s="4">
        <v>80444385</v>
      </c>
      <c r="E592" s="4">
        <v>9187828.1899999995</v>
      </c>
      <c r="F592" s="17">
        <v>128396978.9501048</v>
      </c>
      <c r="G592" s="17">
        <v>1679367.970985089</v>
      </c>
      <c r="H592" s="17">
        <v>1210165.6933956961</v>
      </c>
      <c r="I592" s="17">
        <v>108404624.87107091</v>
      </c>
      <c r="J592" s="17">
        <v>135670.37055470169</v>
      </c>
      <c r="K592" s="17">
        <v>224458131.04388869</v>
      </c>
      <c r="L592" s="14">
        <f t="shared" si="197"/>
        <v>464284938.89999986</v>
      </c>
      <c r="M592" s="21">
        <v>1.014322455891602</v>
      </c>
      <c r="N592" s="4">
        <v>659297.29</v>
      </c>
      <c r="O592" s="4">
        <v>60974.39</v>
      </c>
      <c r="P592" s="4">
        <v>40910.9</v>
      </c>
      <c r="Q592" s="4">
        <v>146.12200200000001</v>
      </c>
      <c r="R592" s="14">
        <f t="shared" si="184"/>
        <v>761328.70200200006</v>
      </c>
      <c r="S592" s="6">
        <v>0.01</v>
      </c>
      <c r="T592" s="14">
        <f t="shared" si="185"/>
        <v>6592.9729000000007</v>
      </c>
      <c r="U592" s="14">
        <f t="shared" si="186"/>
        <v>306.70479999999998</v>
      </c>
      <c r="V592" s="14">
        <f t="shared" si="187"/>
        <v>330.76910000000004</v>
      </c>
      <c r="W592" s="14">
        <f t="shared" si="188"/>
        <v>1.4612200200000001</v>
      </c>
      <c r="X592" s="4">
        <v>7833.99</v>
      </c>
      <c r="Y592" s="4">
        <v>30303.91</v>
      </c>
      <c r="Z592" s="4">
        <v>0</v>
      </c>
      <c r="AA592" s="14">
        <f t="shared" si="189"/>
        <v>45369.808020019998</v>
      </c>
      <c r="AB592" s="4">
        <v>49282.711000000003</v>
      </c>
      <c r="AC592" s="4">
        <v>659297.29</v>
      </c>
      <c r="AD592" s="14">
        <f t="shared" si="190"/>
        <v>30670.48</v>
      </c>
      <c r="AE592" s="14">
        <f t="shared" si="191"/>
        <v>33076.910000000003</v>
      </c>
      <c r="AF592" s="14">
        <f t="shared" si="192"/>
        <v>146.12200200000001</v>
      </c>
      <c r="AG592" s="15">
        <f t="shared" si="193"/>
        <v>723190.80200200004</v>
      </c>
      <c r="AH592" s="4">
        <v>608951.78</v>
      </c>
      <c r="AI592" s="17">
        <f t="shared" si="194"/>
        <v>114239.02200200001</v>
      </c>
      <c r="AJ592" s="7">
        <f t="shared" si="198"/>
        <v>3.6066172708906619</v>
      </c>
      <c r="AK592" s="7">
        <f t="shared" si="199"/>
        <v>1.3132967471325399</v>
      </c>
      <c r="AL592" s="7">
        <f t="shared" si="200"/>
        <v>5.085612874037138</v>
      </c>
      <c r="AM592" s="7">
        <f t="shared" si="201"/>
        <v>0.15903867484052289</v>
      </c>
      <c r="AN592" s="4">
        <v>9401.1809735306688</v>
      </c>
      <c r="AO592" s="4">
        <v>0</v>
      </c>
      <c r="AP592" s="14">
        <f t="shared" si="195"/>
        <v>618352.96097353066</v>
      </c>
      <c r="AQ592" s="14">
        <f t="shared" si="196"/>
        <v>608951.78</v>
      </c>
      <c r="AR592" s="8">
        <v>9065.6200000000008</v>
      </c>
      <c r="AS592" s="20">
        <v>67.171554</v>
      </c>
      <c r="AT592" s="8">
        <v>45769874.064739227</v>
      </c>
      <c r="AU592" s="8">
        <v>26924.612700000001</v>
      </c>
      <c r="AV592" s="8">
        <v>1632.3775000000001</v>
      </c>
      <c r="AW592" s="8"/>
      <c r="AX592" s="9">
        <v>439.77726598896641</v>
      </c>
      <c r="AY592" s="6">
        <f t="shared" si="202"/>
        <v>2.2346502185373453E-2</v>
      </c>
      <c r="AZ592" s="8">
        <v>413329545.1074</v>
      </c>
      <c r="BA592" s="10">
        <v>60480066</v>
      </c>
      <c r="BB592" s="11">
        <v>45769874.064739227</v>
      </c>
      <c r="BC592" s="10">
        <v>2971324</v>
      </c>
      <c r="BD592" s="10">
        <f>1000000000-999123597.5369+277680.273</f>
        <v>1154082.7360999566</v>
      </c>
      <c r="BE592" s="12">
        <f t="shared" si="203"/>
        <v>476295108.09176087</v>
      </c>
      <c r="BF592" s="13">
        <v>233.07730699999999</v>
      </c>
      <c r="BG592" s="13">
        <f t="shared" si="204"/>
        <v>243.21780109176089</v>
      </c>
      <c r="BH592" s="14">
        <f>BE592*67.41</f>
        <v>32107053236.465599</v>
      </c>
    </row>
    <row r="593" spans="1:60" x14ac:dyDescent="0.25">
      <c r="A593" s="3">
        <v>46215</v>
      </c>
      <c r="B593" s="4">
        <v>1859411490</v>
      </c>
      <c r="C593" s="4">
        <v>839611813.98000002</v>
      </c>
      <c r="D593" s="4">
        <v>56464008</v>
      </c>
      <c r="E593" s="4">
        <v>11079367.51</v>
      </c>
      <c r="F593" s="17">
        <v>301564263.55938488</v>
      </c>
      <c r="G593" s="17">
        <v>1188741.5269743821</v>
      </c>
      <c r="H593" s="17">
        <v>2105705.8693168429</v>
      </c>
      <c r="I593" s="17">
        <v>207895302.24216971</v>
      </c>
      <c r="J593" s="17">
        <v>92461.657944051331</v>
      </c>
      <c r="K593" s="17">
        <v>326765339.12421018</v>
      </c>
      <c r="L593" s="14">
        <f t="shared" si="197"/>
        <v>839611813.98000002</v>
      </c>
      <c r="M593" s="21">
        <v>1.0653332434748419</v>
      </c>
      <c r="N593" s="4">
        <v>685496.04</v>
      </c>
      <c r="O593" s="4">
        <v>91325.98000000001</v>
      </c>
      <c r="P593" s="4">
        <v>31232.63</v>
      </c>
      <c r="Q593" s="4">
        <v>246.38586000000001</v>
      </c>
      <c r="R593" s="14">
        <f t="shared" si="184"/>
        <v>808301.03586000006</v>
      </c>
      <c r="S593" s="6">
        <v>0.01</v>
      </c>
      <c r="T593" s="14">
        <f t="shared" si="185"/>
        <v>6854.9604000000008</v>
      </c>
      <c r="U593" s="14">
        <f t="shared" si="186"/>
        <v>458.19510000000008</v>
      </c>
      <c r="V593" s="14">
        <f t="shared" si="187"/>
        <v>239.54590000000002</v>
      </c>
      <c r="W593" s="14">
        <f t="shared" si="188"/>
        <v>2.4638586</v>
      </c>
      <c r="X593" s="4">
        <v>7278.04</v>
      </c>
      <c r="Y593" s="4">
        <v>45506.47</v>
      </c>
      <c r="Z593" s="4">
        <v>0</v>
      </c>
      <c r="AA593" s="14">
        <f t="shared" si="189"/>
        <v>60339.6752586</v>
      </c>
      <c r="AB593" s="4">
        <v>59772.209499999997</v>
      </c>
      <c r="AC593" s="4">
        <v>685496.04</v>
      </c>
      <c r="AD593" s="14">
        <f t="shared" si="190"/>
        <v>45819.510000000009</v>
      </c>
      <c r="AE593" s="14">
        <f t="shared" si="191"/>
        <v>23954.59</v>
      </c>
      <c r="AF593" s="14">
        <f t="shared" si="192"/>
        <v>246.38586000000001</v>
      </c>
      <c r="AG593" s="15">
        <f t="shared" si="193"/>
        <v>755516.52586000005</v>
      </c>
      <c r="AH593" s="4">
        <v>615870.09</v>
      </c>
      <c r="AI593" s="17">
        <f t="shared" si="194"/>
        <v>139646.43586000009</v>
      </c>
      <c r="AJ593" s="7">
        <f t="shared" si="198"/>
        <v>3.6866290419663912</v>
      </c>
      <c r="AK593" s="7">
        <f t="shared" si="199"/>
        <v>1.0877167100244667</v>
      </c>
      <c r="AL593" s="7">
        <f t="shared" si="200"/>
        <v>5.5314227782058971</v>
      </c>
      <c r="AM593" s="7">
        <f t="shared" si="201"/>
        <v>0.22238260422142095</v>
      </c>
      <c r="AN593" s="4">
        <v>6543.8454044888713</v>
      </c>
      <c r="AO593" s="4">
        <v>0</v>
      </c>
      <c r="AP593" s="14">
        <f t="shared" si="195"/>
        <v>622413.93540448882</v>
      </c>
      <c r="AQ593" s="14">
        <f t="shared" si="196"/>
        <v>615870.09</v>
      </c>
      <c r="AR593" s="8">
        <v>9153.08</v>
      </c>
      <c r="AS593" s="20">
        <v>67.285557999999995</v>
      </c>
      <c r="AT593" s="8">
        <v>45778877.784739234</v>
      </c>
      <c r="AU593" s="8">
        <v>26912.150600000001</v>
      </c>
      <c r="AV593" s="8">
        <v>1011.1797</v>
      </c>
      <c r="AW593" s="8"/>
      <c r="AX593" s="9">
        <v>439.81477752465128</v>
      </c>
      <c r="AY593" s="6">
        <f t="shared" si="202"/>
        <v>2.2334254033675421E-2</v>
      </c>
      <c r="AZ593" s="8">
        <v>413302632.9569</v>
      </c>
      <c r="BA593" s="10">
        <v>60480066</v>
      </c>
      <c r="BB593" s="11">
        <v>45778877.784739234</v>
      </c>
      <c r="BC593" s="10">
        <v>2971324</v>
      </c>
      <c r="BD593" s="10">
        <f>1000000000-999122586.3573+277778.1336</f>
        <v>1155191.776299957</v>
      </c>
      <c r="BE593" s="12">
        <f t="shared" si="203"/>
        <v>476311907.48206079</v>
      </c>
      <c r="BF593" s="13">
        <v>233.07730699999999</v>
      </c>
      <c r="BG593" s="13">
        <f t="shared" si="204"/>
        <v>243.23460048206081</v>
      </c>
      <c r="BH593" s="14">
        <f>BE593*66.89</f>
        <v>31860503491.475048</v>
      </c>
    </row>
    <row r="594" spans="1:60" x14ac:dyDescent="0.25">
      <c r="A594" s="3">
        <v>46216</v>
      </c>
      <c r="B594" s="4">
        <v>5001237674</v>
      </c>
      <c r="C594" s="4">
        <v>4671253555.4200001</v>
      </c>
      <c r="D594" s="4">
        <v>135561146</v>
      </c>
      <c r="E594" s="4">
        <v>3382818.22</v>
      </c>
      <c r="F594" s="17">
        <v>816108283.14223361</v>
      </c>
      <c r="G594" s="17">
        <v>4769253.2542297225</v>
      </c>
      <c r="H594" s="17">
        <v>4866882.9280837066</v>
      </c>
      <c r="I594" s="17">
        <v>871257241.84833658</v>
      </c>
      <c r="J594" s="17">
        <v>1740797.5830699259</v>
      </c>
      <c r="K594" s="17">
        <v>2972511096.6640468</v>
      </c>
      <c r="L594" s="14">
        <f t="shared" si="197"/>
        <v>4671253555.4200001</v>
      </c>
      <c r="M594" s="21">
        <v>1.0039881102095001</v>
      </c>
      <c r="N594" s="4">
        <v>1648360.4</v>
      </c>
      <c r="O594" s="4">
        <v>407984.09</v>
      </c>
      <c r="P594" s="4">
        <v>67840.55</v>
      </c>
      <c r="Q594" s="4">
        <v>79.396828999999997</v>
      </c>
      <c r="R594" s="14">
        <f t="shared" si="184"/>
        <v>2124264.4368290002</v>
      </c>
      <c r="S594" s="6">
        <v>0.01</v>
      </c>
      <c r="T594" s="14">
        <f t="shared" si="185"/>
        <v>16483.603999999999</v>
      </c>
      <c r="U594" s="14">
        <f t="shared" si="186"/>
        <v>2046.5243000000003</v>
      </c>
      <c r="V594" s="14">
        <f t="shared" si="187"/>
        <v>558.97360000000003</v>
      </c>
      <c r="W594" s="14">
        <f t="shared" si="188"/>
        <v>0.79396829000000002</v>
      </c>
      <c r="X594" s="4">
        <v>11943.19</v>
      </c>
      <c r="Y594" s="4">
        <v>203331.66</v>
      </c>
      <c r="Z594" s="4">
        <v>0</v>
      </c>
      <c r="AA594" s="14">
        <f t="shared" si="189"/>
        <v>234364.74586829002</v>
      </c>
      <c r="AB594" s="4">
        <v>122974.4422</v>
      </c>
      <c r="AC594" s="4">
        <v>1648360.4</v>
      </c>
      <c r="AD594" s="14">
        <f t="shared" si="190"/>
        <v>204652.43000000002</v>
      </c>
      <c r="AE594" s="14">
        <f t="shared" si="191"/>
        <v>55897.36</v>
      </c>
      <c r="AF594" s="14">
        <f t="shared" si="192"/>
        <v>79.396828999999997</v>
      </c>
      <c r="AG594" s="15">
        <f t="shared" si="193"/>
        <v>1908989.5868289999</v>
      </c>
      <c r="AH594" s="4">
        <v>1607063.88</v>
      </c>
      <c r="AI594" s="17">
        <f t="shared" si="194"/>
        <v>301925.70682900003</v>
      </c>
      <c r="AJ594" s="7">
        <f t="shared" si="198"/>
        <v>3.295904948827673</v>
      </c>
      <c r="AK594" s="7">
        <f t="shared" si="199"/>
        <v>0.87339315915878923</v>
      </c>
      <c r="AL594" s="7">
        <f t="shared" si="200"/>
        <v>5.004424350322326</v>
      </c>
      <c r="AM594" s="7">
        <f t="shared" si="201"/>
        <v>0.23470616461324367</v>
      </c>
      <c r="AN594" s="4">
        <v>17404.926877574031</v>
      </c>
      <c r="AO594" s="4">
        <v>0</v>
      </c>
      <c r="AP594" s="14">
        <f t="shared" si="195"/>
        <v>1624468.806877574</v>
      </c>
      <c r="AQ594" s="14">
        <f t="shared" si="196"/>
        <v>1607063.88</v>
      </c>
      <c r="AR594" s="8">
        <v>24762.69</v>
      </c>
      <c r="AS594" s="20">
        <v>64.898599000000004</v>
      </c>
      <c r="AT594" s="8">
        <v>45804664.51473923</v>
      </c>
      <c r="AU594" s="8">
        <v>26925.544600000001</v>
      </c>
      <c r="AV594" s="8">
        <v>1326.1525999999999</v>
      </c>
      <c r="AW594" s="8"/>
      <c r="AX594" s="9">
        <v>439.900831517776</v>
      </c>
      <c r="AY594" s="6">
        <f t="shared" si="202"/>
        <v>2.2340998413418245E-2</v>
      </c>
      <c r="AZ594" s="8">
        <v>413275707.41229999</v>
      </c>
      <c r="BA594" s="10">
        <v>60480066</v>
      </c>
      <c r="BB594" s="11">
        <v>45804664.51473923</v>
      </c>
      <c r="BC594" s="10">
        <v>2971324</v>
      </c>
      <c r="BD594" s="10">
        <f>1000000000-999121260.2047+278034.9382</f>
        <v>1156774.7335000068</v>
      </c>
      <c r="BE594" s="12">
        <f t="shared" si="203"/>
        <v>476311463.33946079</v>
      </c>
      <c r="BF594" s="13">
        <v>233.07730699999999</v>
      </c>
      <c r="BG594" s="13">
        <f t="shared" si="204"/>
        <v>243.23415633946078</v>
      </c>
      <c r="BH594" s="14">
        <f>BE594*67.8</f>
        <v>32293917214.41544</v>
      </c>
    </row>
    <row r="595" spans="1:60" x14ac:dyDescent="0.25">
      <c r="A595" s="3">
        <v>46217</v>
      </c>
      <c r="B595" s="4">
        <v>4691798769</v>
      </c>
      <c r="C595" s="4">
        <v>5353893495.0299997</v>
      </c>
      <c r="D595" s="4">
        <v>105439396</v>
      </c>
      <c r="E595" s="4">
        <v>16904645.699999999</v>
      </c>
      <c r="F595" s="17">
        <v>902004639.49996674</v>
      </c>
      <c r="G595" s="17">
        <v>2675804.7973275799</v>
      </c>
      <c r="H595" s="17">
        <v>8895348.5350675341</v>
      </c>
      <c r="I595" s="17">
        <v>1003230203.883039</v>
      </c>
      <c r="J595" s="17">
        <v>1528783.9849500391</v>
      </c>
      <c r="K595" s="17">
        <v>3435558714.329649</v>
      </c>
      <c r="L595" s="14">
        <f t="shared" si="197"/>
        <v>5353893495.0299997</v>
      </c>
      <c r="M595" s="21">
        <v>0.99878719530253179</v>
      </c>
      <c r="N595" s="4">
        <v>1587730.69</v>
      </c>
      <c r="O595" s="4">
        <v>447516.36</v>
      </c>
      <c r="P595" s="4">
        <v>55297.960000000006</v>
      </c>
      <c r="Q595" s="4">
        <v>127.931186</v>
      </c>
      <c r="R595" s="14">
        <f t="shared" si="184"/>
        <v>2090672.9411859997</v>
      </c>
      <c r="S595" s="6">
        <v>0.01</v>
      </c>
      <c r="T595" s="14">
        <f t="shared" si="185"/>
        <v>15877.3069</v>
      </c>
      <c r="U595" s="14">
        <f t="shared" si="186"/>
        <v>2241.5081999999998</v>
      </c>
      <c r="V595" s="14">
        <f t="shared" si="187"/>
        <v>415.41300000000001</v>
      </c>
      <c r="W595" s="14">
        <f t="shared" si="188"/>
        <v>1.27931186</v>
      </c>
      <c r="X595" s="4">
        <v>13756.66</v>
      </c>
      <c r="Y595" s="4">
        <v>223365.54</v>
      </c>
      <c r="Z595" s="4">
        <v>0</v>
      </c>
      <c r="AA595" s="14">
        <f t="shared" si="189"/>
        <v>255657.70741186</v>
      </c>
      <c r="AB595" s="4">
        <v>129938.1453</v>
      </c>
      <c r="AC595" s="4">
        <v>1587730.69</v>
      </c>
      <c r="AD595" s="14">
        <f t="shared" si="190"/>
        <v>224150.81999999998</v>
      </c>
      <c r="AE595" s="14">
        <f t="shared" si="191"/>
        <v>41541.300000000003</v>
      </c>
      <c r="AF595" s="14">
        <f t="shared" si="192"/>
        <v>127.931186</v>
      </c>
      <c r="AG595" s="15">
        <f t="shared" si="193"/>
        <v>1853550.7411859999</v>
      </c>
      <c r="AH595" s="4">
        <v>1650035.04</v>
      </c>
      <c r="AI595" s="17">
        <f t="shared" si="194"/>
        <v>203515.7011859999</v>
      </c>
      <c r="AJ595" s="7">
        <f t="shared" si="198"/>
        <v>3.3840553872228525</v>
      </c>
      <c r="AK595" s="7">
        <f t="shared" si="199"/>
        <v>0.83587086746388928</v>
      </c>
      <c r="AL595" s="7">
        <f t="shared" si="200"/>
        <v>5.2445254902636202</v>
      </c>
      <c r="AM595" s="7">
        <f t="shared" si="201"/>
        <v>7.5678123203729727E-2</v>
      </c>
      <c r="AN595" s="4">
        <v>9975.3091258818968</v>
      </c>
      <c r="AO595" s="4">
        <v>0</v>
      </c>
      <c r="AP595" s="14">
        <f t="shared" si="195"/>
        <v>1660010.3491258819</v>
      </c>
      <c r="AQ595" s="14">
        <f t="shared" si="196"/>
        <v>1650035.04</v>
      </c>
      <c r="AR595" s="8">
        <v>25592.91</v>
      </c>
      <c r="AS595" s="20">
        <v>64.472348999999994</v>
      </c>
      <c r="AT595" s="8">
        <v>45829352.994739227</v>
      </c>
      <c r="AU595" s="8">
        <v>26887.6757</v>
      </c>
      <c r="AV595" s="8">
        <v>2041.8195000000001</v>
      </c>
      <c r="AW595" s="8"/>
      <c r="AX595" s="9">
        <v>439.25174623993217</v>
      </c>
      <c r="AY595" s="6">
        <f t="shared" si="202"/>
        <v>2.2342544371216466E-2</v>
      </c>
      <c r="AZ595" s="8">
        <v>413248819.73659998</v>
      </c>
      <c r="BA595" s="10">
        <v>60480066</v>
      </c>
      <c r="BB595" s="11">
        <v>45829352.994739227</v>
      </c>
      <c r="BC595" s="10">
        <v>2971324</v>
      </c>
      <c r="BD595" s="10">
        <f>1000000000-999119218.3852+278192.1757</f>
        <v>1158973.7904999764</v>
      </c>
      <c r="BE595" s="12">
        <f t="shared" si="203"/>
        <v>476311463.47816086</v>
      </c>
      <c r="BF595" s="13">
        <v>233.07730699999999</v>
      </c>
      <c r="BG595" s="13">
        <f t="shared" si="204"/>
        <v>243.23415647816088</v>
      </c>
      <c r="BH595" s="14">
        <f>BE595*63.38</f>
        <v>30188620555.245838</v>
      </c>
    </row>
    <row r="596" spans="1:60" x14ac:dyDescent="0.25">
      <c r="A596" s="3">
        <v>46218</v>
      </c>
      <c r="B596" s="4">
        <v>3689077729</v>
      </c>
      <c r="C596" s="4">
        <v>4590878639.3299999</v>
      </c>
      <c r="D596" s="4">
        <v>126963792</v>
      </c>
      <c r="E596" s="4">
        <v>9439613.1300000008</v>
      </c>
      <c r="F596" s="17">
        <v>607324368.10921729</v>
      </c>
      <c r="G596" s="17">
        <v>2203489.1006836691</v>
      </c>
      <c r="H596" s="17">
        <v>3741909.6495797699</v>
      </c>
      <c r="I596" s="17">
        <v>881959070.83726346</v>
      </c>
      <c r="J596" s="17">
        <v>50313321.97653307</v>
      </c>
      <c r="K596" s="17">
        <v>3045336479.656723</v>
      </c>
      <c r="L596" s="14">
        <f t="shared" si="197"/>
        <v>4590878639.3299999</v>
      </c>
      <c r="M596" s="21">
        <v>1.01106313671029</v>
      </c>
      <c r="N596" s="4">
        <v>1293046.93</v>
      </c>
      <c r="O596" s="4">
        <v>374967.43</v>
      </c>
      <c r="P596" s="4">
        <v>65000.45</v>
      </c>
      <c r="Q596" s="4">
        <v>111.173266</v>
      </c>
      <c r="R596" s="14">
        <f t="shared" si="184"/>
        <v>1733125.9832659999</v>
      </c>
      <c r="S596" s="6">
        <v>0.01</v>
      </c>
      <c r="T596" s="14">
        <f t="shared" si="185"/>
        <v>12930.469299999999</v>
      </c>
      <c r="U596" s="14">
        <f t="shared" si="186"/>
        <v>1878.5181</v>
      </c>
      <c r="V596" s="14">
        <f t="shared" si="187"/>
        <v>540.67020000000002</v>
      </c>
      <c r="W596" s="14">
        <f t="shared" si="188"/>
        <v>1.1117326599999999</v>
      </c>
      <c r="X596" s="4">
        <v>10933.43</v>
      </c>
      <c r="Y596" s="4">
        <v>187115.62</v>
      </c>
      <c r="Z596" s="4">
        <v>0</v>
      </c>
      <c r="AA596" s="14">
        <f t="shared" si="189"/>
        <v>213399.81933266</v>
      </c>
      <c r="AB596" s="4">
        <v>113458.3171</v>
      </c>
      <c r="AC596" s="4">
        <v>1293046.93</v>
      </c>
      <c r="AD596" s="14">
        <f t="shared" si="190"/>
        <v>187851.81</v>
      </c>
      <c r="AE596" s="14">
        <f t="shared" si="191"/>
        <v>54067.02</v>
      </c>
      <c r="AF596" s="14">
        <f t="shared" si="192"/>
        <v>111.173266</v>
      </c>
      <c r="AG596" s="15">
        <f t="shared" si="193"/>
        <v>1535076.9332660001</v>
      </c>
      <c r="AH596" s="4">
        <v>1307357.3600000001</v>
      </c>
      <c r="AI596" s="17">
        <f t="shared" si="194"/>
        <v>227719.57326600002</v>
      </c>
      <c r="AJ596" s="7">
        <f t="shared" si="198"/>
        <v>3.5050682717669566</v>
      </c>
      <c r="AK596" s="7">
        <f t="shared" si="199"/>
        <v>0.81676615623784676</v>
      </c>
      <c r="AL596" s="7">
        <f t="shared" si="200"/>
        <v>5.1196052808504646</v>
      </c>
      <c r="AM596" s="7">
        <f t="shared" si="201"/>
        <v>0.11777311683111318</v>
      </c>
      <c r="AN596" s="4">
        <v>10534.504856607189</v>
      </c>
      <c r="AO596" s="4">
        <v>32741.68</v>
      </c>
      <c r="AP596" s="14">
        <f t="shared" si="195"/>
        <v>1350633.5448566072</v>
      </c>
      <c r="AQ596" s="14">
        <f t="shared" si="196"/>
        <v>1307357.3600000001</v>
      </c>
      <c r="AR596" s="8">
        <v>19373.009999999998</v>
      </c>
      <c r="AS596" s="20">
        <v>67.483440000000002</v>
      </c>
      <c r="AT596" s="8">
        <v>45848906.024739228</v>
      </c>
      <c r="AU596" s="8">
        <v>26903.6309</v>
      </c>
      <c r="AV596" s="8">
        <v>3025.1709000000001</v>
      </c>
      <c r="AW596" s="8"/>
      <c r="AX596" s="9">
        <v>439.22140455754982</v>
      </c>
      <c r="AY596" s="6">
        <f t="shared" si="202"/>
        <v>2.235734683375008E-2</v>
      </c>
      <c r="AZ596" s="8">
        <v>413221916.10570002</v>
      </c>
      <c r="BA596" s="10">
        <v>60480066</v>
      </c>
      <c r="BB596" s="11">
        <v>45848906.024739228</v>
      </c>
      <c r="BC596" s="10">
        <v>2971324</v>
      </c>
      <c r="BD596" s="10">
        <f>1000000000-999116193.2144+278352.2673</f>
        <v>1162159.0528999469</v>
      </c>
      <c r="BE596" s="12">
        <f t="shared" si="203"/>
        <v>476315628.81666082</v>
      </c>
      <c r="BF596" s="13">
        <v>233.07730699999999</v>
      </c>
      <c r="BG596" s="13">
        <f t="shared" si="204"/>
        <v>243.23832181666083</v>
      </c>
      <c r="BH596" s="14">
        <f>BE596*65.77</f>
        <v>31327278907.271782</v>
      </c>
    </row>
    <row r="597" spans="1:60" x14ac:dyDescent="0.25">
      <c r="A597" s="3">
        <v>46219</v>
      </c>
      <c r="B597" s="4">
        <v>3724935567</v>
      </c>
      <c r="C597" s="4">
        <v>4419292128.0200005</v>
      </c>
      <c r="D597" s="4">
        <v>141977334</v>
      </c>
      <c r="E597" s="4">
        <v>7754320.2699999996</v>
      </c>
      <c r="F597" s="17">
        <v>580705376.05432153</v>
      </c>
      <c r="G597" s="17">
        <v>1459242.1256141299</v>
      </c>
      <c r="H597" s="17">
        <v>4159473.6168560381</v>
      </c>
      <c r="I597" s="17">
        <v>1068213578.103094</v>
      </c>
      <c r="J597" s="17">
        <v>14071404.77753792</v>
      </c>
      <c r="K597" s="17">
        <v>2750683053.342576</v>
      </c>
      <c r="L597" s="14">
        <f t="shared" si="197"/>
        <v>4419292128.0199995</v>
      </c>
      <c r="M597" s="21">
        <v>1.008225158803923</v>
      </c>
      <c r="N597" s="4">
        <v>1278173.49</v>
      </c>
      <c r="O597" s="4">
        <v>354889.44</v>
      </c>
      <c r="P597" s="4">
        <v>73643.78</v>
      </c>
      <c r="Q597" s="4">
        <v>24.670773000000001</v>
      </c>
      <c r="R597" s="14">
        <f t="shared" si="184"/>
        <v>1706731.380773</v>
      </c>
      <c r="S597" s="6">
        <v>0.01</v>
      </c>
      <c r="T597" s="14">
        <f t="shared" si="185"/>
        <v>12781.734899999999</v>
      </c>
      <c r="U597" s="14">
        <f t="shared" si="186"/>
        <v>1776.4274</v>
      </c>
      <c r="V597" s="14">
        <f t="shared" si="187"/>
        <v>628.2876</v>
      </c>
      <c r="W597" s="14">
        <f t="shared" si="188"/>
        <v>0.24670773000000001</v>
      </c>
      <c r="X597" s="4">
        <v>10815.02</v>
      </c>
      <c r="Y597" s="4">
        <v>177246.7</v>
      </c>
      <c r="Z597" s="4">
        <v>0</v>
      </c>
      <c r="AA597" s="14">
        <f t="shared" si="189"/>
        <v>203248.41660773</v>
      </c>
      <c r="AB597" s="4">
        <v>112194.1091</v>
      </c>
      <c r="AC597" s="4">
        <v>1278173.49</v>
      </c>
      <c r="AD597" s="14">
        <f t="shared" si="190"/>
        <v>177642.74</v>
      </c>
      <c r="AE597" s="14">
        <f t="shared" si="191"/>
        <v>62828.759999999995</v>
      </c>
      <c r="AF597" s="14">
        <f t="shared" si="192"/>
        <v>24.670773000000001</v>
      </c>
      <c r="AG597" s="15">
        <f t="shared" si="193"/>
        <v>1518669.660773</v>
      </c>
      <c r="AH597" s="4">
        <v>1300884.42</v>
      </c>
      <c r="AI597" s="17">
        <f t="shared" si="194"/>
        <v>217785.24077300006</v>
      </c>
      <c r="AJ597" s="7">
        <f t="shared" si="198"/>
        <v>3.4313975826148835</v>
      </c>
      <c r="AK597" s="7">
        <f t="shared" si="199"/>
        <v>0.803045894499405</v>
      </c>
      <c r="AL597" s="7">
        <f t="shared" si="200"/>
        <v>5.187009639158318</v>
      </c>
      <c r="AM597" s="7">
        <f t="shared" si="201"/>
        <v>3.1815519788944702E-2</v>
      </c>
      <c r="AN597" s="4">
        <v>13490.02214492516</v>
      </c>
      <c r="AO597" s="4">
        <v>0</v>
      </c>
      <c r="AP597" s="14">
        <f t="shared" si="195"/>
        <v>1314374.442144925</v>
      </c>
      <c r="AQ597" s="14">
        <f t="shared" si="196"/>
        <v>1300884.42</v>
      </c>
      <c r="AR597" s="8">
        <v>20105.45</v>
      </c>
      <c r="AS597" s="20">
        <v>64.703074000000001</v>
      </c>
      <c r="AT597" s="8">
        <v>45868890.044739231</v>
      </c>
      <c r="AU597" s="8">
        <v>26872.6865</v>
      </c>
      <c r="AV597" s="8">
        <v>3302.8737000000001</v>
      </c>
      <c r="AW597" s="8"/>
      <c r="AX597" s="9">
        <v>439.20604573517068</v>
      </c>
      <c r="AY597" s="6">
        <f t="shared" si="202"/>
        <v>2.2332412469600379E-2</v>
      </c>
      <c r="AZ597" s="8">
        <v>413195043.41909999</v>
      </c>
      <c r="BA597" s="10">
        <v>60480066</v>
      </c>
      <c r="BB597" s="11">
        <v>45868890.044739231</v>
      </c>
      <c r="BC597" s="10">
        <v>2971324</v>
      </c>
      <c r="BD597" s="10">
        <f>1000000000-999112890.3407+278554.7776</f>
        <v>1165664.4368999696</v>
      </c>
      <c r="BE597" s="12">
        <f t="shared" si="203"/>
        <v>476319012.09926075</v>
      </c>
      <c r="BF597" s="13">
        <v>233.07730699999999</v>
      </c>
      <c r="BG597" s="13">
        <f t="shared" si="204"/>
        <v>243.24170509926077</v>
      </c>
      <c r="BH597" s="14">
        <f>BE597*66.55</f>
        <v>31699030255.205803</v>
      </c>
    </row>
    <row r="598" spans="1:60" x14ac:dyDescent="0.25">
      <c r="A598" s="3">
        <v>46220</v>
      </c>
      <c r="B598" s="4">
        <v>3789773682</v>
      </c>
      <c r="C598" s="4">
        <v>5534002793.9399996</v>
      </c>
      <c r="D598" s="4">
        <v>154811603</v>
      </c>
      <c r="E598" s="4">
        <v>4470952.3899999997</v>
      </c>
      <c r="F598" s="17">
        <v>763198104.3328135</v>
      </c>
      <c r="G598" s="17">
        <v>2938551.798361659</v>
      </c>
      <c r="H598" s="17">
        <v>3925779.1504875561</v>
      </c>
      <c r="I598" s="17">
        <v>1413879567.3933041</v>
      </c>
      <c r="J598" s="17">
        <v>13360385.382738089</v>
      </c>
      <c r="K598" s="17">
        <v>3336700405.8822961</v>
      </c>
      <c r="L598" s="14">
        <f t="shared" si="197"/>
        <v>5534002793.9400005</v>
      </c>
      <c r="M598" s="21">
        <v>1.001650425898021</v>
      </c>
      <c r="N598" s="4">
        <v>1326128.52</v>
      </c>
      <c r="O598" s="4">
        <v>428314.47</v>
      </c>
      <c r="P598" s="4">
        <v>84415.47</v>
      </c>
      <c r="Q598" s="4">
        <v>24.895301</v>
      </c>
      <c r="R598" s="14">
        <f t="shared" si="184"/>
        <v>1838883.3553009999</v>
      </c>
      <c r="S598" s="6">
        <v>0.01</v>
      </c>
      <c r="T598" s="14">
        <f t="shared" si="185"/>
        <v>13261.2852</v>
      </c>
      <c r="U598" s="14">
        <f t="shared" si="186"/>
        <v>2146.0664999999999</v>
      </c>
      <c r="V598" s="14">
        <f t="shared" si="187"/>
        <v>731.39410000000009</v>
      </c>
      <c r="W598" s="14">
        <f t="shared" si="188"/>
        <v>0.24895301</v>
      </c>
      <c r="X598" s="4">
        <v>11276.06</v>
      </c>
      <c r="Y598" s="4">
        <v>213707.82</v>
      </c>
      <c r="Z598" s="4">
        <v>0</v>
      </c>
      <c r="AA598" s="14">
        <f t="shared" si="189"/>
        <v>241122.87475300999</v>
      </c>
      <c r="AB598" s="4">
        <v>108118.10400000001</v>
      </c>
      <c r="AC598" s="4">
        <v>1326128.52</v>
      </c>
      <c r="AD598" s="14">
        <f t="shared" si="190"/>
        <v>214606.64999999997</v>
      </c>
      <c r="AE598" s="14">
        <f t="shared" si="191"/>
        <v>73139.41</v>
      </c>
      <c r="AF598" s="14">
        <f t="shared" si="192"/>
        <v>24.895301</v>
      </c>
      <c r="AG598" s="15">
        <f t="shared" si="193"/>
        <v>1613899.4753009998</v>
      </c>
      <c r="AH598" s="4">
        <v>1382885.21</v>
      </c>
      <c r="AI598" s="17">
        <f t="shared" si="194"/>
        <v>231014.26530099986</v>
      </c>
      <c r="AJ598" s="7">
        <f t="shared" si="198"/>
        <v>3.4992287964281661</v>
      </c>
      <c r="AK598" s="7">
        <f t="shared" si="199"/>
        <v>0.77396865514600932</v>
      </c>
      <c r="AL598" s="7">
        <f t="shared" si="200"/>
        <v>5.4527870239803669</v>
      </c>
      <c r="AM598" s="7">
        <f t="shared" si="201"/>
        <v>5.5682321859839803E-2</v>
      </c>
      <c r="AN598" s="4">
        <v>14856.512043057641</v>
      </c>
      <c r="AO598" s="4">
        <v>30343.32</v>
      </c>
      <c r="AP598" s="14">
        <f t="shared" si="195"/>
        <v>1428085.0420430577</v>
      </c>
      <c r="AQ598" s="14">
        <f t="shared" si="196"/>
        <v>1382885.21</v>
      </c>
      <c r="AR598" s="8">
        <v>23026.400000000001</v>
      </c>
      <c r="AS598" s="20">
        <v>60.056508999999998</v>
      </c>
      <c r="AT598" s="8">
        <v>45891756.204739228</v>
      </c>
      <c r="AU598" s="8">
        <v>26896.072</v>
      </c>
      <c r="AV598" s="8">
        <v>2759.5327000000002</v>
      </c>
      <c r="AW598" s="8"/>
      <c r="AX598" s="9">
        <v>439.26560664350029</v>
      </c>
      <c r="AY598" s="6">
        <f t="shared" si="202"/>
        <v>2.2348816141135645E-2</v>
      </c>
      <c r="AZ598" s="8">
        <v>413168147.34719998</v>
      </c>
      <c r="BA598" s="10">
        <v>60480066</v>
      </c>
      <c r="BB598" s="11">
        <v>45891756.204739228</v>
      </c>
      <c r="BC598" s="10">
        <v>2971324</v>
      </c>
      <c r="BD598" s="10">
        <f>1000000000-999110130.808+278797.5708</f>
        <v>1168666.7628000313</v>
      </c>
      <c r="BE598" s="12">
        <f t="shared" si="203"/>
        <v>476320039.68526083</v>
      </c>
      <c r="BF598" s="13">
        <v>233.07730699999999</v>
      </c>
      <c r="BG598" s="13">
        <f t="shared" si="204"/>
        <v>243.24273268526085</v>
      </c>
      <c r="BH598" s="14">
        <f>BE598*61.18</f>
        <v>29141260027.944256</v>
      </c>
    </row>
    <row r="599" spans="1:60" x14ac:dyDescent="0.25">
      <c r="A599" s="3">
        <v>46221</v>
      </c>
      <c r="B599" s="4">
        <v>1573077481</v>
      </c>
      <c r="C599" s="4">
        <v>554012987.33000004</v>
      </c>
      <c r="D599" s="4">
        <v>53558776</v>
      </c>
      <c r="E599" s="4">
        <v>5061811.4800000004</v>
      </c>
      <c r="F599" s="17">
        <v>198766758.01533461</v>
      </c>
      <c r="G599" s="17">
        <v>965965.68188719964</v>
      </c>
      <c r="H599" s="17">
        <v>1798246.5988171301</v>
      </c>
      <c r="I599" s="17">
        <v>130713720.1776205</v>
      </c>
      <c r="J599" s="17">
        <v>4443497.8915011371</v>
      </c>
      <c r="K599" s="17">
        <v>217324798.96483949</v>
      </c>
      <c r="L599" s="14">
        <f t="shared" si="197"/>
        <v>554012987.33000004</v>
      </c>
      <c r="M599" s="21">
        <v>1.004662938003448</v>
      </c>
      <c r="N599" s="4">
        <v>485246.81</v>
      </c>
      <c r="O599" s="4">
        <v>61608.78</v>
      </c>
      <c r="P599" s="4">
        <v>28479.279999999999</v>
      </c>
      <c r="Q599" s="4">
        <v>71.813100000000006</v>
      </c>
      <c r="R599" s="14">
        <f t="shared" si="184"/>
        <v>575406.68310000002</v>
      </c>
      <c r="S599" s="6">
        <v>0.01</v>
      </c>
      <c r="T599" s="14">
        <f t="shared" si="185"/>
        <v>4852.4681</v>
      </c>
      <c r="U599" s="14">
        <f t="shared" si="186"/>
        <v>308.66000000000003</v>
      </c>
      <c r="V599" s="14">
        <f t="shared" si="187"/>
        <v>222.62779999999998</v>
      </c>
      <c r="W599" s="14">
        <f t="shared" si="188"/>
        <v>0.71813100000000007</v>
      </c>
      <c r="X599" s="4">
        <v>6216.5</v>
      </c>
      <c r="Y599" s="4">
        <v>30742.78</v>
      </c>
      <c r="Z599" s="4">
        <v>0</v>
      </c>
      <c r="AA599" s="14">
        <f t="shared" si="189"/>
        <v>42343.754030999997</v>
      </c>
      <c r="AB599" s="4">
        <v>34247.307000000008</v>
      </c>
      <c r="AC599" s="4">
        <v>485246.81</v>
      </c>
      <c r="AD599" s="14">
        <f t="shared" si="190"/>
        <v>30866</v>
      </c>
      <c r="AE599" s="14">
        <f t="shared" si="191"/>
        <v>22262.78</v>
      </c>
      <c r="AF599" s="14">
        <f t="shared" si="192"/>
        <v>71.813100000000006</v>
      </c>
      <c r="AG599" s="15">
        <f t="shared" si="193"/>
        <v>538447.4031</v>
      </c>
      <c r="AH599" s="4">
        <v>531349.89</v>
      </c>
      <c r="AI599" s="17">
        <f t="shared" si="194"/>
        <v>7097.5130999999819</v>
      </c>
      <c r="AJ599" s="7">
        <f t="shared" si="198"/>
        <v>3.0846974536278422</v>
      </c>
      <c r="AK599" s="7">
        <f t="shared" si="199"/>
        <v>1.1120457716508816</v>
      </c>
      <c r="AL599" s="7">
        <f t="shared" si="200"/>
        <v>5.3173881344861202</v>
      </c>
      <c r="AM599" s="7">
        <f t="shared" si="201"/>
        <v>0.14187233223470425</v>
      </c>
      <c r="AN599" s="4">
        <v>5577.5327709321136</v>
      </c>
      <c r="AO599" s="4">
        <v>0</v>
      </c>
      <c r="AP599" s="14">
        <f t="shared" si="195"/>
        <v>536927.42277093208</v>
      </c>
      <c r="AQ599" s="14">
        <f t="shared" si="196"/>
        <v>531349.89</v>
      </c>
      <c r="AR599" s="8">
        <v>8931.86</v>
      </c>
      <c r="AS599" s="20">
        <v>59.489277000000001</v>
      </c>
      <c r="AT599" s="8">
        <v>45900769.304739229</v>
      </c>
      <c r="AU599" s="8">
        <v>26883.946400000001</v>
      </c>
      <c r="AV599" s="8">
        <v>4344.2601000000004</v>
      </c>
      <c r="AW599" s="8"/>
      <c r="AX599" s="9">
        <v>439.22253828213599</v>
      </c>
      <c r="AY599" s="6">
        <f t="shared" si="202"/>
        <v>2.2340931033226763E-2</v>
      </c>
      <c r="AZ599" s="8">
        <v>413141263.40079999</v>
      </c>
      <c r="BA599" s="10">
        <v>60480066</v>
      </c>
      <c r="BB599" s="11">
        <v>45900769.304739229</v>
      </c>
      <c r="BC599" s="10">
        <v>2971324</v>
      </c>
      <c r="BD599" s="10">
        <f>1000000000-999105786.5479+278890.6336</f>
        <v>1173104.0857000386</v>
      </c>
      <c r="BE599" s="12">
        <f t="shared" si="203"/>
        <v>476333473.20876074</v>
      </c>
      <c r="BF599" s="13">
        <v>233.07730699999999</v>
      </c>
      <c r="BG599" s="13">
        <f t="shared" si="204"/>
        <v>243.25616620876073</v>
      </c>
      <c r="BH599" s="14">
        <f>BE599*59.93</f>
        <v>28546665049.401031</v>
      </c>
    </row>
    <row r="600" spans="1:60" x14ac:dyDescent="0.25">
      <c r="A600" s="3">
        <v>46222</v>
      </c>
      <c r="B600" s="4">
        <v>1705178266</v>
      </c>
      <c r="C600" s="4">
        <v>941464851.84000003</v>
      </c>
      <c r="D600" s="4">
        <v>41592976</v>
      </c>
      <c r="E600" s="4">
        <v>13533370.08</v>
      </c>
      <c r="F600" s="17">
        <v>221101061.19685611</v>
      </c>
      <c r="G600" s="17">
        <v>992559.08949596982</v>
      </c>
      <c r="H600" s="17">
        <v>2293576.6043204558</v>
      </c>
      <c r="I600" s="17">
        <v>235755490.67223331</v>
      </c>
      <c r="J600" s="17">
        <v>6368254.7680536248</v>
      </c>
      <c r="K600" s="17">
        <v>474953909.50904071</v>
      </c>
      <c r="L600" s="14">
        <f t="shared" si="197"/>
        <v>941464851.84000015</v>
      </c>
      <c r="M600" s="21">
        <v>1.0310282000017039</v>
      </c>
      <c r="N600" s="4">
        <v>605573.81999999995</v>
      </c>
      <c r="O600" s="4">
        <v>92314.040000000008</v>
      </c>
      <c r="P600" s="4">
        <v>22421.3</v>
      </c>
      <c r="Q600" s="4">
        <v>224.92109500000001</v>
      </c>
      <c r="R600" s="14">
        <f t="shared" si="184"/>
        <v>720534.08109500003</v>
      </c>
      <c r="S600" s="6">
        <v>0.01</v>
      </c>
      <c r="T600" s="14">
        <f t="shared" si="185"/>
        <v>6055.7381999999998</v>
      </c>
      <c r="U600" s="14">
        <f t="shared" si="186"/>
        <v>462.92420000000004</v>
      </c>
      <c r="V600" s="14">
        <f t="shared" si="187"/>
        <v>156.52759999999998</v>
      </c>
      <c r="W600" s="14">
        <f t="shared" si="188"/>
        <v>2.2492109500000002</v>
      </c>
      <c r="X600" s="4">
        <v>6768.54</v>
      </c>
      <c r="Y600" s="4">
        <v>46021.62</v>
      </c>
      <c r="Z600" s="4">
        <v>0</v>
      </c>
      <c r="AA600" s="14">
        <f t="shared" si="189"/>
        <v>59467.599210950008</v>
      </c>
      <c r="AB600" s="4">
        <v>42884.675200000012</v>
      </c>
      <c r="AC600" s="4">
        <v>605573.81999999995</v>
      </c>
      <c r="AD600" s="14">
        <f t="shared" si="190"/>
        <v>46292.420000000006</v>
      </c>
      <c r="AE600" s="14">
        <f t="shared" si="191"/>
        <v>15652.759999999998</v>
      </c>
      <c r="AF600" s="14">
        <f t="shared" si="192"/>
        <v>224.92109500000001</v>
      </c>
      <c r="AG600" s="15">
        <f t="shared" si="193"/>
        <v>667743.921095</v>
      </c>
      <c r="AH600" s="4">
        <v>561896.07999999996</v>
      </c>
      <c r="AI600" s="17">
        <f t="shared" si="194"/>
        <v>105847.84109500004</v>
      </c>
      <c r="AJ600" s="7">
        <f t="shared" si="198"/>
        <v>3.5513812958720878</v>
      </c>
      <c r="AK600" s="7">
        <f t="shared" si="199"/>
        <v>0.98053623371686505</v>
      </c>
      <c r="AL600" s="7">
        <f t="shared" si="200"/>
        <v>5.3906457667275358</v>
      </c>
      <c r="AM600" s="7">
        <f t="shared" si="201"/>
        <v>0.16619740217730011</v>
      </c>
      <c r="AN600" s="4">
        <v>4715.7054807820759</v>
      </c>
      <c r="AO600" s="4">
        <v>0</v>
      </c>
      <c r="AP600" s="14">
        <f t="shared" si="195"/>
        <v>566611.78548078204</v>
      </c>
      <c r="AQ600" s="14">
        <f t="shared" si="196"/>
        <v>561896.07999999996</v>
      </c>
      <c r="AR600" s="8">
        <v>9229.08</v>
      </c>
      <c r="AS600" s="20">
        <v>60.883217000000002</v>
      </c>
      <c r="AT600" s="8">
        <v>45909913.44473923</v>
      </c>
      <c r="AU600" s="8">
        <v>26906.858800000002</v>
      </c>
      <c r="AV600" s="8">
        <v>1322.1027999999999</v>
      </c>
      <c r="AW600" s="8"/>
      <c r="AX600" s="9">
        <v>439.21469931541532</v>
      </c>
      <c r="AY600" s="6">
        <f t="shared" si="202"/>
        <v>2.2360370628095025E-2</v>
      </c>
      <c r="AZ600" s="8">
        <v>413114356.54189998</v>
      </c>
      <c r="BA600" s="10">
        <v>60480066</v>
      </c>
      <c r="BB600" s="11">
        <v>45909913.44473923</v>
      </c>
      <c r="BC600" s="10">
        <v>2971324</v>
      </c>
      <c r="BD600" s="10">
        <f>1000000000-999104464.4451+278968.8234</f>
        <v>1174504.3783000503</v>
      </c>
      <c r="BE600" s="12">
        <f t="shared" si="203"/>
        <v>476349835.63506079</v>
      </c>
      <c r="BF600" s="13">
        <v>233.07730699999999</v>
      </c>
      <c r="BG600" s="13">
        <f t="shared" si="204"/>
        <v>243.27252863506081</v>
      </c>
      <c r="BH600" s="14">
        <f>BE600*60.34</f>
        <v>28742949082.21957</v>
      </c>
    </row>
    <row r="601" spans="1:60" x14ac:dyDescent="0.25">
      <c r="A601" s="3">
        <v>46223</v>
      </c>
      <c r="B601" s="4">
        <v>4623652741</v>
      </c>
      <c r="C601" s="4">
        <v>3773706102.8000002</v>
      </c>
      <c r="D601" s="4">
        <v>78888589</v>
      </c>
      <c r="E601" s="4">
        <v>10906796.640000001</v>
      </c>
      <c r="F601" s="17">
        <v>704168630.53781223</v>
      </c>
      <c r="G601" s="17">
        <v>1385500.2326151801</v>
      </c>
      <c r="H601" s="17">
        <v>3796363.9397388962</v>
      </c>
      <c r="I601" s="17">
        <v>810718862.62836969</v>
      </c>
      <c r="J601" s="17">
        <v>9523011.980757406</v>
      </c>
      <c r="K601" s="17">
        <v>2244113733.4807072</v>
      </c>
      <c r="L601" s="14">
        <f t="shared" si="197"/>
        <v>3773706102.8000007</v>
      </c>
      <c r="M601" s="21">
        <v>1.002243720005574</v>
      </c>
      <c r="N601" s="4">
        <v>1525144.91</v>
      </c>
      <c r="O601" s="4">
        <v>310119.8</v>
      </c>
      <c r="P601" s="4">
        <v>41579.18</v>
      </c>
      <c r="Q601" s="4">
        <v>16.899571000000002</v>
      </c>
      <c r="R601" s="14">
        <f t="shared" si="184"/>
        <v>1876860.7895709998</v>
      </c>
      <c r="S601" s="6">
        <v>0.01</v>
      </c>
      <c r="T601" s="14">
        <f t="shared" si="185"/>
        <v>15251.4491</v>
      </c>
      <c r="U601" s="14">
        <f t="shared" si="186"/>
        <v>1552.5697</v>
      </c>
      <c r="V601" s="14">
        <f t="shared" si="187"/>
        <v>290.18669999999997</v>
      </c>
      <c r="W601" s="14">
        <f t="shared" si="188"/>
        <v>0.16899571000000002</v>
      </c>
      <c r="X601" s="4">
        <v>12560.51</v>
      </c>
      <c r="Y601" s="4">
        <v>154862.82999999999</v>
      </c>
      <c r="Z601" s="4">
        <v>0</v>
      </c>
      <c r="AA601" s="14">
        <f t="shared" si="189"/>
        <v>184517.71449570998</v>
      </c>
      <c r="AB601" s="4">
        <v>106748.7463</v>
      </c>
      <c r="AC601" s="4">
        <v>1525144.91</v>
      </c>
      <c r="AD601" s="14">
        <f t="shared" si="190"/>
        <v>155256.97</v>
      </c>
      <c r="AE601" s="14">
        <f t="shared" si="191"/>
        <v>29018.67</v>
      </c>
      <c r="AF601" s="14">
        <f t="shared" si="192"/>
        <v>16.899571000000002</v>
      </c>
      <c r="AG601" s="15">
        <f t="shared" si="193"/>
        <v>1709437.4495709997</v>
      </c>
      <c r="AH601" s="4">
        <v>1497938.94</v>
      </c>
      <c r="AI601" s="17">
        <f t="shared" si="194"/>
        <v>211498.50957099977</v>
      </c>
      <c r="AJ601" s="7">
        <f t="shared" si="198"/>
        <v>3.2985714875943359</v>
      </c>
      <c r="AK601" s="7">
        <f t="shared" si="199"/>
        <v>0.82179107633712778</v>
      </c>
      <c r="AL601" s="7">
        <f t="shared" si="200"/>
        <v>5.2706203174707555</v>
      </c>
      <c r="AM601" s="7">
        <f t="shared" si="201"/>
        <v>1.5494532040711084E-2</v>
      </c>
      <c r="AN601" s="4">
        <v>10421.676602014841</v>
      </c>
      <c r="AO601" s="4">
        <v>30554.76</v>
      </c>
      <c r="AP601" s="14">
        <f t="shared" si="195"/>
        <v>1538915.3766020148</v>
      </c>
      <c r="AQ601" s="14">
        <f t="shared" si="196"/>
        <v>1497938.94</v>
      </c>
      <c r="AR601" s="8">
        <v>24445.89</v>
      </c>
      <c r="AS601" s="20">
        <v>61.275697000000001</v>
      </c>
      <c r="AT601" s="8">
        <v>45934435.594739228</v>
      </c>
      <c r="AU601" s="8">
        <v>26907.332200000001</v>
      </c>
      <c r="AV601" s="8">
        <v>1403.0918999999999</v>
      </c>
      <c r="AW601" s="8"/>
      <c r="AX601" s="9">
        <v>439.26637532713539</v>
      </c>
      <c r="AY601" s="6">
        <f t="shared" si="202"/>
        <v>2.2358133480364539E-2</v>
      </c>
      <c r="AZ601" s="8">
        <v>413087449.20969999</v>
      </c>
      <c r="BA601" s="10">
        <v>60480066</v>
      </c>
      <c r="BB601" s="11">
        <v>45934435.594739228</v>
      </c>
      <c r="BC601" s="10">
        <v>2971324</v>
      </c>
      <c r="BD601" s="10">
        <f>1000000000-999103061.3532+279138.7568</f>
        <v>1176077.4036000413</v>
      </c>
      <c r="BE601" s="12">
        <f t="shared" si="203"/>
        <v>476350647.79196078</v>
      </c>
      <c r="BF601" s="13">
        <v>233.07730699999999</v>
      </c>
      <c r="BG601" s="13">
        <f t="shared" si="204"/>
        <v>243.27334079196081</v>
      </c>
      <c r="BH601" s="14">
        <f>BE601*61.33</f>
        <v>29214585229.080952</v>
      </c>
    </row>
    <row r="602" spans="1:60" x14ac:dyDescent="0.25">
      <c r="A602" s="3">
        <v>46224</v>
      </c>
      <c r="B602" s="4">
        <v>3775115765</v>
      </c>
      <c r="C602" s="4">
        <v>3728492697.9200001</v>
      </c>
      <c r="D602" s="4">
        <v>115258915</v>
      </c>
      <c r="E602" s="4">
        <v>1321822.68</v>
      </c>
      <c r="F602" s="17">
        <v>565455881.31255364</v>
      </c>
      <c r="G602" s="17">
        <v>690632.62074814481</v>
      </c>
      <c r="H602" s="17">
        <v>4362387.069204458</v>
      </c>
      <c r="I602" s="17">
        <v>706220758.45957482</v>
      </c>
      <c r="J602" s="17">
        <v>18101971.81361714</v>
      </c>
      <c r="K602" s="17">
        <v>2433661066.6443019</v>
      </c>
      <c r="L602" s="14">
        <f t="shared" si="197"/>
        <v>3728492697.9200001</v>
      </c>
      <c r="M602" s="21">
        <v>1.000239925060344</v>
      </c>
      <c r="N602" s="4">
        <v>1294144.24</v>
      </c>
      <c r="O602" s="4">
        <v>326905.84999999998</v>
      </c>
      <c r="P602" s="4">
        <v>61487.600000000013</v>
      </c>
      <c r="Q602" s="4">
        <v>4.8983369999999997</v>
      </c>
      <c r="R602" s="14">
        <f t="shared" si="184"/>
        <v>1682542.588337</v>
      </c>
      <c r="S602" s="6">
        <v>0.01</v>
      </c>
      <c r="T602" s="14">
        <f t="shared" si="185"/>
        <v>12941.4424</v>
      </c>
      <c r="U602" s="14">
        <f t="shared" si="186"/>
        <v>1635.7432999999999</v>
      </c>
      <c r="V602" s="14">
        <f t="shared" si="187"/>
        <v>480.42480000000012</v>
      </c>
      <c r="W602" s="14">
        <f t="shared" si="188"/>
        <v>4.8983369999999998E-2</v>
      </c>
      <c r="X602" s="4">
        <v>13445.12</v>
      </c>
      <c r="Y602" s="4">
        <v>163331.51999999999</v>
      </c>
      <c r="Z602" s="4">
        <v>0</v>
      </c>
      <c r="AA602" s="14">
        <f t="shared" si="189"/>
        <v>191834.29948336998</v>
      </c>
      <c r="AB602" s="4">
        <v>86367.65389999999</v>
      </c>
      <c r="AC602" s="4">
        <v>1294144.24</v>
      </c>
      <c r="AD602" s="14">
        <f t="shared" si="190"/>
        <v>163574.32999999999</v>
      </c>
      <c r="AE602" s="14">
        <f t="shared" si="191"/>
        <v>48042.48000000001</v>
      </c>
      <c r="AF602" s="14">
        <f t="shared" si="192"/>
        <v>4.8983369999999997</v>
      </c>
      <c r="AG602" s="15">
        <f t="shared" si="193"/>
        <v>1505765.9483370001</v>
      </c>
      <c r="AH602" s="4">
        <v>1286608.02</v>
      </c>
      <c r="AI602" s="17">
        <f t="shared" si="194"/>
        <v>219157.92833700008</v>
      </c>
      <c r="AJ602" s="7">
        <f t="shared" si="198"/>
        <v>3.4280915356247359</v>
      </c>
      <c r="AK602" s="7">
        <f t="shared" si="199"/>
        <v>0.87677749826993012</v>
      </c>
      <c r="AL602" s="7">
        <f t="shared" si="200"/>
        <v>5.3347370136184278</v>
      </c>
      <c r="AM602" s="7">
        <f t="shared" si="201"/>
        <v>3.7057444043856171E-2</v>
      </c>
      <c r="AN602" s="4">
        <v>8941.3366413893455</v>
      </c>
      <c r="AO602" s="4">
        <v>0</v>
      </c>
      <c r="AP602" s="14">
        <f t="shared" si="195"/>
        <v>1295549.3566413894</v>
      </c>
      <c r="AQ602" s="14">
        <f t="shared" si="196"/>
        <v>1286608.02</v>
      </c>
      <c r="AR602" s="8">
        <v>20734.060000000001</v>
      </c>
      <c r="AS602" s="20">
        <v>62.052874000000003</v>
      </c>
      <c r="AT602" s="8">
        <v>45954929.644739233</v>
      </c>
      <c r="AU602" s="8">
        <v>26865.970499999999</v>
      </c>
      <c r="AV602" s="8">
        <v>3253.8316</v>
      </c>
      <c r="AW602" s="8"/>
      <c r="AX602" s="9">
        <v>439.61603218984988</v>
      </c>
      <c r="AY602" s="6">
        <f t="shared" si="202"/>
        <v>2.2306009140870477E-2</v>
      </c>
      <c r="AZ602" s="8">
        <v>413060583.2392</v>
      </c>
      <c r="BA602" s="10">
        <v>60480066</v>
      </c>
      <c r="BB602" s="11">
        <v>45954929.644739233</v>
      </c>
      <c r="BC602" s="10">
        <v>2971324</v>
      </c>
      <c r="BD602" s="10">
        <f>1000000000-999099807.5216+279281.9258</f>
        <v>1179474.4041999921</v>
      </c>
      <c r="BE602" s="12">
        <f t="shared" si="203"/>
        <v>476353622.71186078</v>
      </c>
      <c r="BF602" s="13">
        <v>233.07730699999999</v>
      </c>
      <c r="BG602" s="13">
        <f t="shared" si="204"/>
        <v>243.2763157118608</v>
      </c>
      <c r="BH602" s="14">
        <f>BE602*62.45</f>
        <v>29748283738.355705</v>
      </c>
    </row>
    <row r="603" spans="1:60" x14ac:dyDescent="0.25">
      <c r="A603" s="3">
        <v>46225</v>
      </c>
      <c r="B603" s="4">
        <v>3792908558</v>
      </c>
      <c r="C603" s="4">
        <v>4436156123.5</v>
      </c>
      <c r="D603" s="4">
        <v>103078897</v>
      </c>
      <c r="E603" s="4">
        <v>2156549.1</v>
      </c>
      <c r="F603" s="17">
        <v>710337066.85977364</v>
      </c>
      <c r="G603" s="17">
        <v>1156915.5487045681</v>
      </c>
      <c r="H603" s="17">
        <v>2710356.819638805</v>
      </c>
      <c r="I603" s="17">
        <v>646297715.05929112</v>
      </c>
      <c r="J603" s="17">
        <v>13692037.103197031</v>
      </c>
      <c r="K603" s="17">
        <v>3061962032.109395</v>
      </c>
      <c r="L603" s="14">
        <f t="shared" si="197"/>
        <v>4436156123.5</v>
      </c>
      <c r="M603" s="21">
        <v>1.000288597888741</v>
      </c>
      <c r="N603" s="4">
        <v>1285149.05</v>
      </c>
      <c r="O603" s="4">
        <v>371885.16</v>
      </c>
      <c r="P603" s="4">
        <v>54361</v>
      </c>
      <c r="Q603" s="4">
        <v>22.925765999999999</v>
      </c>
      <c r="R603" s="14">
        <f t="shared" si="184"/>
        <v>1711418.135766</v>
      </c>
      <c r="S603" s="6">
        <v>0.01</v>
      </c>
      <c r="T603" s="14">
        <f t="shared" si="185"/>
        <v>12851.4905</v>
      </c>
      <c r="U603" s="14">
        <f t="shared" si="186"/>
        <v>1861.1858</v>
      </c>
      <c r="V603" s="14">
        <f t="shared" si="187"/>
        <v>438.49169999999998</v>
      </c>
      <c r="W603" s="14">
        <f t="shared" si="188"/>
        <v>0.22925766</v>
      </c>
      <c r="X603" s="4">
        <v>10511.83</v>
      </c>
      <c r="Y603" s="4">
        <v>185766.58</v>
      </c>
      <c r="Z603" s="4">
        <v>0</v>
      </c>
      <c r="AA603" s="14">
        <f t="shared" si="189"/>
        <v>211429.80725766</v>
      </c>
      <c r="AB603" s="4">
        <v>98995.584500000012</v>
      </c>
      <c r="AC603" s="4">
        <v>1285149.05</v>
      </c>
      <c r="AD603" s="14">
        <f t="shared" si="190"/>
        <v>186118.58</v>
      </c>
      <c r="AE603" s="14">
        <f t="shared" si="191"/>
        <v>43849.17</v>
      </c>
      <c r="AF603" s="14">
        <f t="shared" si="192"/>
        <v>22.925765999999999</v>
      </c>
      <c r="AG603" s="15">
        <f t="shared" si="193"/>
        <v>1515139.7257660001</v>
      </c>
      <c r="AH603" s="4">
        <v>1275749.07</v>
      </c>
      <c r="AI603" s="17">
        <f t="shared" si="194"/>
        <v>239390.65576600004</v>
      </c>
      <c r="AJ603" s="7">
        <f t="shared" si="198"/>
        <v>3.3882943138435664</v>
      </c>
      <c r="AK603" s="7">
        <f t="shared" si="199"/>
        <v>0.83830494159117475</v>
      </c>
      <c r="AL603" s="7">
        <f t="shared" si="200"/>
        <v>5.27372736632989</v>
      </c>
      <c r="AM603" s="7">
        <f t="shared" si="201"/>
        <v>0.10630764678624752</v>
      </c>
      <c r="AN603" s="4">
        <v>12875.62204184276</v>
      </c>
      <c r="AO603" s="4">
        <v>30715.53</v>
      </c>
      <c r="AP603" s="14">
        <f t="shared" si="195"/>
        <v>1319340.2220418428</v>
      </c>
      <c r="AQ603" s="14">
        <f t="shared" si="196"/>
        <v>1275749.07</v>
      </c>
      <c r="AR603" s="8">
        <v>21617</v>
      </c>
      <c r="AS603" s="20">
        <v>59.016008999999997</v>
      </c>
      <c r="AT603" s="8">
        <v>45976546.644739233</v>
      </c>
      <c r="AU603" s="8">
        <v>26899.1895</v>
      </c>
      <c r="AV603" s="8">
        <v>2087.4198999999999</v>
      </c>
      <c r="AW603" s="8"/>
      <c r="AX603" s="9">
        <v>437.20282259770761</v>
      </c>
      <c r="AY603" s="6">
        <f t="shared" si="202"/>
        <v>2.2456863634053491E-2</v>
      </c>
      <c r="AZ603" s="8">
        <v>413033684.04970002</v>
      </c>
      <c r="BA603" s="10">
        <v>60480066</v>
      </c>
      <c r="BB603" s="11">
        <v>45976546.644739233</v>
      </c>
      <c r="BC603" s="10">
        <v>2971324</v>
      </c>
      <c r="BD603" s="10">
        <f>1000000000-999097720.1017+279492.8771</f>
        <v>1181772.7754000516</v>
      </c>
      <c r="BE603" s="12">
        <f t="shared" si="203"/>
        <v>476356606.53016073</v>
      </c>
      <c r="BF603" s="13">
        <v>233.07730699999999</v>
      </c>
      <c r="BG603" s="13">
        <f t="shared" si="204"/>
        <v>243.27929953016073</v>
      </c>
      <c r="BH603" s="14">
        <f>BE603*61.08</f>
        <v>29095861526.862217</v>
      </c>
    </row>
    <row r="604" spans="1:60" x14ac:dyDescent="0.25">
      <c r="A604" s="3">
        <v>46226</v>
      </c>
      <c r="B604" s="4">
        <v>3332642668</v>
      </c>
      <c r="C604" s="4">
        <v>5594344184.7399998</v>
      </c>
      <c r="D604" s="4">
        <v>90772125</v>
      </c>
      <c r="E604" s="4">
        <v>1747943.15</v>
      </c>
      <c r="F604" s="17">
        <v>883032299.7563411</v>
      </c>
      <c r="G604" s="17">
        <v>2246425.9304025448</v>
      </c>
      <c r="H604" s="17">
        <v>13601498.5108706</v>
      </c>
      <c r="I604" s="17">
        <v>1379525375.6547201</v>
      </c>
      <c r="J604" s="17">
        <v>12413716.468717139</v>
      </c>
      <c r="K604" s="17">
        <v>3303524868.4189491</v>
      </c>
      <c r="L604" s="14">
        <f t="shared" si="197"/>
        <v>5594344184.7399998</v>
      </c>
      <c r="M604" s="21">
        <v>1.0034364567559471</v>
      </c>
      <c r="N604" s="4">
        <v>1146376.18</v>
      </c>
      <c r="O604" s="4">
        <v>456249.79</v>
      </c>
      <c r="P604" s="4">
        <v>48031.03</v>
      </c>
      <c r="Q604" s="4">
        <v>9.9161129999999993</v>
      </c>
      <c r="R604" s="14">
        <f t="shared" si="184"/>
        <v>1650666.9161129999</v>
      </c>
      <c r="S604" s="6">
        <v>0.01</v>
      </c>
      <c r="T604" s="14">
        <f t="shared" si="185"/>
        <v>11463.7618</v>
      </c>
      <c r="U604" s="14">
        <f t="shared" si="186"/>
        <v>2284.7211999999995</v>
      </c>
      <c r="V604" s="14">
        <f t="shared" si="187"/>
        <v>377.97759999999994</v>
      </c>
      <c r="W604" s="14">
        <f t="shared" si="188"/>
        <v>9.916113E-2</v>
      </c>
      <c r="X604" s="4">
        <v>10233.27</v>
      </c>
      <c r="Y604" s="4">
        <v>227777.67</v>
      </c>
      <c r="Z604" s="4">
        <v>0</v>
      </c>
      <c r="AA604" s="14">
        <f t="shared" si="189"/>
        <v>252137.49976113002</v>
      </c>
      <c r="AB604" s="4">
        <v>115232.91929999999</v>
      </c>
      <c r="AC604" s="4">
        <v>1146376.18</v>
      </c>
      <c r="AD604" s="14">
        <f t="shared" si="190"/>
        <v>228472.11999999997</v>
      </c>
      <c r="AE604" s="14">
        <f t="shared" si="191"/>
        <v>37797.759999999995</v>
      </c>
      <c r="AF604" s="14">
        <f t="shared" si="192"/>
        <v>9.9161129999999993</v>
      </c>
      <c r="AG604" s="15">
        <f t="shared" si="193"/>
        <v>1412655.9761129997</v>
      </c>
      <c r="AH604" s="4">
        <v>1221200.3</v>
      </c>
      <c r="AI604" s="17">
        <f t="shared" si="194"/>
        <v>191455.67611299967</v>
      </c>
      <c r="AJ604" s="7">
        <f t="shared" si="198"/>
        <v>3.4398412737359814</v>
      </c>
      <c r="AK604" s="7">
        <f t="shared" si="199"/>
        <v>0.81555545195902968</v>
      </c>
      <c r="AL604" s="7">
        <f t="shared" si="200"/>
        <v>5.2913854335788653</v>
      </c>
      <c r="AM604" s="7">
        <f t="shared" si="201"/>
        <v>5.6730180269306811E-2</v>
      </c>
      <c r="AN604" s="4">
        <v>7872.7222731732872</v>
      </c>
      <c r="AO604" s="4">
        <v>0</v>
      </c>
      <c r="AP604" s="14">
        <f t="shared" si="195"/>
        <v>1229073.0222731733</v>
      </c>
      <c r="AQ604" s="14">
        <f t="shared" si="196"/>
        <v>1221200.3</v>
      </c>
      <c r="AR604" s="8">
        <v>20736.599999999999</v>
      </c>
      <c r="AS604" s="20">
        <v>58.891058000000001</v>
      </c>
      <c r="AT604" s="8">
        <v>45997631.594739228</v>
      </c>
      <c r="AU604" s="8">
        <v>26836.676200000002</v>
      </c>
      <c r="AV604" s="8">
        <v>3536.6931</v>
      </c>
      <c r="AW604" s="8"/>
      <c r="AX604" s="9">
        <v>433.81317827473481</v>
      </c>
      <c r="AY604" s="6">
        <f t="shared" si="202"/>
        <v>2.2579735479581402E-2</v>
      </c>
      <c r="AZ604" s="8">
        <v>413006847.37349999</v>
      </c>
      <c r="BA604" s="10">
        <v>60480066</v>
      </c>
      <c r="BB604" s="11">
        <v>45997631.594739228</v>
      </c>
      <c r="BC604" s="10">
        <v>2971324</v>
      </c>
      <c r="BD604" s="10">
        <f>1000000000-999094183.4086+279625.1051</f>
        <v>1185441.6965000273</v>
      </c>
      <c r="BE604" s="12">
        <f t="shared" si="203"/>
        <v>476358689.33526081</v>
      </c>
      <c r="BF604" s="13">
        <v>233.07730699999999</v>
      </c>
      <c r="BG604" s="13">
        <f t="shared" si="204"/>
        <v>243.28138233526082</v>
      </c>
      <c r="BH604" s="14">
        <f>BE604*59.55</f>
        <v>28367159949.91478</v>
      </c>
    </row>
    <row r="605" spans="1:60" x14ac:dyDescent="0.25">
      <c r="A605" s="3">
        <v>46227</v>
      </c>
      <c r="B605" s="4">
        <v>3568282845</v>
      </c>
      <c r="C605" s="4">
        <v>4278783661.8299999</v>
      </c>
      <c r="D605" s="4">
        <v>80440775</v>
      </c>
      <c r="E605" s="4">
        <v>1810340.39</v>
      </c>
      <c r="F605" s="17">
        <v>665314056.58990085</v>
      </c>
      <c r="G605" s="17">
        <v>1455809.317101222</v>
      </c>
      <c r="H605" s="17">
        <v>10542565.631827321</v>
      </c>
      <c r="I605" s="17">
        <v>1072290172.9761339</v>
      </c>
      <c r="J605" s="17">
        <v>16780038.429524329</v>
      </c>
      <c r="K605" s="17">
        <v>2512401018.8855119</v>
      </c>
      <c r="L605" s="14">
        <f t="shared" si="197"/>
        <v>4278783661.8299999</v>
      </c>
      <c r="M605" s="21">
        <v>1.0027157050758819</v>
      </c>
      <c r="N605" s="4">
        <v>1220713.31</v>
      </c>
      <c r="O605" s="4">
        <v>337983.48</v>
      </c>
      <c r="P605" s="4">
        <v>45042.18</v>
      </c>
      <c r="Q605" s="4">
        <v>12.801956000000001</v>
      </c>
      <c r="R605" s="14">
        <f t="shared" si="184"/>
        <v>1603751.771956</v>
      </c>
      <c r="S605" s="6">
        <v>0.01</v>
      </c>
      <c r="T605" s="14">
        <f t="shared" si="185"/>
        <v>12207.133100000001</v>
      </c>
      <c r="U605" s="14">
        <f t="shared" si="186"/>
        <v>1692.0680999999997</v>
      </c>
      <c r="V605" s="14">
        <f t="shared" si="187"/>
        <v>358.35210000000001</v>
      </c>
      <c r="W605" s="14">
        <f t="shared" si="188"/>
        <v>0.12801956</v>
      </c>
      <c r="X605" s="4">
        <v>9206.9699999999993</v>
      </c>
      <c r="Y605" s="4">
        <v>168776.67</v>
      </c>
      <c r="Z605" s="4">
        <v>0</v>
      </c>
      <c r="AA605" s="14">
        <f t="shared" si="189"/>
        <v>192241.32131956</v>
      </c>
      <c r="AB605" s="4">
        <v>86697.647099999987</v>
      </c>
      <c r="AC605" s="4">
        <v>1220713.31</v>
      </c>
      <c r="AD605" s="14">
        <f t="shared" si="190"/>
        <v>169206.80999999997</v>
      </c>
      <c r="AE605" s="14">
        <f t="shared" si="191"/>
        <v>35835.21</v>
      </c>
      <c r="AF605" s="14">
        <f t="shared" si="192"/>
        <v>12.801956000000001</v>
      </c>
      <c r="AG605" s="15">
        <f t="shared" si="193"/>
        <v>1425768.1319560001</v>
      </c>
      <c r="AH605" s="4">
        <v>1192653.51</v>
      </c>
      <c r="AI605" s="17">
        <f t="shared" si="194"/>
        <v>233114.6219560001</v>
      </c>
      <c r="AJ605" s="7">
        <f t="shared" si="198"/>
        <v>3.4210105056848432</v>
      </c>
      <c r="AK605" s="7">
        <f t="shared" si="199"/>
        <v>0.789905512202146</v>
      </c>
      <c r="AL605" s="7">
        <f t="shared" si="200"/>
        <v>5.5994214376974858</v>
      </c>
      <c r="AM605" s="7">
        <f t="shared" si="201"/>
        <v>7.0715739817305862E-2</v>
      </c>
      <c r="AN605" s="4">
        <v>8803.8437355742335</v>
      </c>
      <c r="AO605" s="4">
        <v>28754.66</v>
      </c>
      <c r="AP605" s="14">
        <f t="shared" si="195"/>
        <v>1230212.0137355742</v>
      </c>
      <c r="AQ605" s="14">
        <f t="shared" si="196"/>
        <v>1192653.51</v>
      </c>
      <c r="AR605" s="8">
        <v>20456.91</v>
      </c>
      <c r="AS605" s="20">
        <v>58.300764999999998</v>
      </c>
      <c r="AT605" s="8">
        <v>46017952.464739233</v>
      </c>
      <c r="AU605" s="8">
        <v>26720.207600000002</v>
      </c>
      <c r="AV605" s="8">
        <v>2960.5275999999999</v>
      </c>
      <c r="AW605" s="8"/>
      <c r="AX605" s="9">
        <v>434.85781955845579</v>
      </c>
      <c r="AY605" s="6">
        <f t="shared" si="202"/>
        <v>2.2427734618875744E-2</v>
      </c>
      <c r="AZ605" s="8">
        <v>412980127.16589999</v>
      </c>
      <c r="BA605" s="10">
        <v>60480066</v>
      </c>
      <c r="BB605" s="11">
        <v>46017952.464739233</v>
      </c>
      <c r="BC605" s="10">
        <v>2971324</v>
      </c>
      <c r="BD605" s="10">
        <f>1000000000-999091222.881+279778.5089</f>
        <v>1188555.6278999581</v>
      </c>
      <c r="BE605" s="12">
        <f t="shared" si="203"/>
        <v>476361974.74146086</v>
      </c>
      <c r="BF605" s="13">
        <v>233.07730699999999</v>
      </c>
      <c r="BG605" s="13">
        <f t="shared" si="204"/>
        <v>243.28466774146088</v>
      </c>
      <c r="BH605" s="14">
        <f>BE605*57.41</f>
        <v>27347940969.907265</v>
      </c>
    </row>
    <row r="606" spans="1:60" x14ac:dyDescent="0.25">
      <c r="A606" s="3">
        <v>46228</v>
      </c>
      <c r="B606" s="4">
        <v>1322134565</v>
      </c>
      <c r="C606" s="4">
        <v>572983028.38</v>
      </c>
      <c r="D606" s="4">
        <v>44118131</v>
      </c>
      <c r="E606" s="4">
        <v>924720.7</v>
      </c>
      <c r="F606" s="17">
        <v>221426810.854478</v>
      </c>
      <c r="G606" s="17">
        <v>523446.46780576772</v>
      </c>
      <c r="H606" s="17">
        <v>7638145.540277062</v>
      </c>
      <c r="I606" s="17">
        <v>106606234.9020551</v>
      </c>
      <c r="J606" s="17">
        <v>18849420.247949541</v>
      </c>
      <c r="K606" s="17">
        <v>217938970.36743441</v>
      </c>
      <c r="L606" s="14">
        <f t="shared" si="197"/>
        <v>572983028.37999988</v>
      </c>
      <c r="M606" s="21">
        <v>0.99983606739149955</v>
      </c>
      <c r="N606" s="4">
        <v>471742.59</v>
      </c>
      <c r="O606" s="4">
        <v>70919.7</v>
      </c>
      <c r="P606" s="4">
        <v>24240.67</v>
      </c>
      <c r="Q606" s="4">
        <v>15.585106</v>
      </c>
      <c r="R606" s="14">
        <f t="shared" si="184"/>
        <v>566918.54510600003</v>
      </c>
      <c r="S606" s="6">
        <v>0.01</v>
      </c>
      <c r="T606" s="14">
        <f t="shared" si="185"/>
        <v>4717.4259000000002</v>
      </c>
      <c r="U606" s="14">
        <f t="shared" si="186"/>
        <v>355.59879999999998</v>
      </c>
      <c r="V606" s="14">
        <f t="shared" si="187"/>
        <v>149.95409999999998</v>
      </c>
      <c r="W606" s="14">
        <f t="shared" si="188"/>
        <v>0.15585106000000001</v>
      </c>
      <c r="X606" s="4">
        <v>9245.26</v>
      </c>
      <c r="Y606" s="4">
        <v>35359.82</v>
      </c>
      <c r="Z606" s="4">
        <v>0</v>
      </c>
      <c r="AA606" s="14">
        <f t="shared" si="189"/>
        <v>49828.21465106</v>
      </c>
      <c r="AB606" s="4">
        <v>41884.186199999996</v>
      </c>
      <c r="AC606" s="4">
        <v>471742.59</v>
      </c>
      <c r="AD606" s="14">
        <f t="shared" si="190"/>
        <v>35559.879999999997</v>
      </c>
      <c r="AE606" s="14">
        <f t="shared" si="191"/>
        <v>14995.409999999998</v>
      </c>
      <c r="AF606" s="14">
        <f t="shared" si="192"/>
        <v>15.585106</v>
      </c>
      <c r="AG606" s="15">
        <f t="shared" si="193"/>
        <v>522313.46510600002</v>
      </c>
      <c r="AH606" s="4">
        <v>436110.46</v>
      </c>
      <c r="AI606" s="17">
        <f t="shared" si="194"/>
        <v>86203.005105999997</v>
      </c>
      <c r="AJ606" s="7">
        <f t="shared" si="198"/>
        <v>3.568037645245286</v>
      </c>
      <c r="AK606" s="7">
        <f t="shared" si="199"/>
        <v>1.2377277595902254</v>
      </c>
      <c r="AL606" s="7">
        <f t="shared" si="200"/>
        <v>5.4944915957568545</v>
      </c>
      <c r="AM606" s="7">
        <f t="shared" si="201"/>
        <v>0.16853852195587274</v>
      </c>
      <c r="AN606" s="4">
        <v>3273.0485346350001</v>
      </c>
      <c r="AO606" s="4">
        <v>34163.24</v>
      </c>
      <c r="AP606" s="14">
        <f t="shared" si="195"/>
        <v>473546.748534635</v>
      </c>
      <c r="AQ606" s="14">
        <f t="shared" si="196"/>
        <v>436110.46</v>
      </c>
      <c r="AR606" s="8">
        <v>7570.15</v>
      </c>
      <c r="AS606" s="20">
        <v>57.609223999999998</v>
      </c>
      <c r="AT606" s="8">
        <v>46025482.734739229</v>
      </c>
      <c r="AU606" s="8">
        <v>26805.626499999998</v>
      </c>
      <c r="AV606" s="8">
        <v>3008.3670999999999</v>
      </c>
      <c r="AW606" s="8"/>
      <c r="AX606" s="9">
        <v>436.12279855632198</v>
      </c>
      <c r="AY606" s="6">
        <f t="shared" si="202"/>
        <v>2.2434171533539909E-2</v>
      </c>
      <c r="AZ606" s="8">
        <v>412953321.53939998</v>
      </c>
      <c r="BA606" s="10">
        <v>60480066</v>
      </c>
      <c r="BB606" s="11">
        <v>46025482.734739229</v>
      </c>
      <c r="BC606" s="10">
        <v>2971324</v>
      </c>
      <c r="BD606" s="10">
        <f>1000000000-999088214.5139+279835.5277</f>
        <v>1191621.0137999584</v>
      </c>
      <c r="BE606" s="12">
        <f t="shared" si="203"/>
        <v>476378184.71206081</v>
      </c>
      <c r="BF606" s="13">
        <v>233.07730699999999</v>
      </c>
      <c r="BG606" s="13">
        <f t="shared" si="204"/>
        <v>243.30087771206084</v>
      </c>
      <c r="BH606" s="14">
        <f>BE606*57.44</f>
        <v>27363162929.860771</v>
      </c>
    </row>
    <row r="607" spans="1:60" x14ac:dyDescent="0.25">
      <c r="A607" s="3">
        <v>46229</v>
      </c>
      <c r="B607" s="4">
        <v>1803944904</v>
      </c>
      <c r="C607" s="4">
        <v>1012822639.25</v>
      </c>
      <c r="D607" s="4">
        <v>44737809</v>
      </c>
      <c r="E607" s="4">
        <v>1174465.8799999999</v>
      </c>
      <c r="F607" s="17">
        <v>426427054.56293768</v>
      </c>
      <c r="G607" s="17">
        <v>748351.20350396261</v>
      </c>
      <c r="H607" s="17">
        <v>1642555.142659605</v>
      </c>
      <c r="I607" s="17">
        <v>215760555.96523511</v>
      </c>
      <c r="J607" s="17">
        <v>25737916.558560699</v>
      </c>
      <c r="K607" s="17">
        <v>342506205.81710279</v>
      </c>
      <c r="L607" s="14">
        <f t="shared" si="197"/>
        <v>1012822639.2499999</v>
      </c>
      <c r="M607" s="21">
        <v>1.0115458212814989</v>
      </c>
      <c r="N607" s="4">
        <v>667860.65</v>
      </c>
      <c r="O607" s="4">
        <v>100690.65</v>
      </c>
      <c r="P607" s="4">
        <v>24637.59</v>
      </c>
      <c r="Q607" s="4">
        <v>21.023031</v>
      </c>
      <c r="R607" s="14">
        <f t="shared" si="184"/>
        <v>793209.91303100006</v>
      </c>
      <c r="S607" s="6">
        <v>0.01</v>
      </c>
      <c r="T607" s="14">
        <f t="shared" si="185"/>
        <v>6678.6065000000008</v>
      </c>
      <c r="U607" s="14">
        <f t="shared" si="186"/>
        <v>504.29269999999997</v>
      </c>
      <c r="V607" s="14">
        <f t="shared" si="187"/>
        <v>185.19940000000003</v>
      </c>
      <c r="W607" s="14">
        <f t="shared" si="188"/>
        <v>0.21023031</v>
      </c>
      <c r="X607" s="4">
        <v>6117.65</v>
      </c>
      <c r="Y607" s="4">
        <v>50261.38</v>
      </c>
      <c r="Z607" s="4">
        <v>0</v>
      </c>
      <c r="AA607" s="14">
        <f t="shared" si="189"/>
        <v>63747.33883031</v>
      </c>
      <c r="AB607" s="4">
        <v>53675.637900000002</v>
      </c>
      <c r="AC607" s="4">
        <v>667860.65</v>
      </c>
      <c r="AD607" s="14">
        <f t="shared" si="190"/>
        <v>50429.27</v>
      </c>
      <c r="AE607" s="14">
        <f t="shared" si="191"/>
        <v>18519.940000000002</v>
      </c>
      <c r="AF607" s="14">
        <f t="shared" si="192"/>
        <v>21.023031</v>
      </c>
      <c r="AG607" s="15">
        <f t="shared" si="193"/>
        <v>736830.88303100015</v>
      </c>
      <c r="AH607" s="4">
        <v>621753.64</v>
      </c>
      <c r="AI607" s="17">
        <f t="shared" si="194"/>
        <v>115077.24303100014</v>
      </c>
      <c r="AJ607" s="7">
        <f t="shared" si="198"/>
        <v>3.7022231029290906</v>
      </c>
      <c r="AK607" s="7">
        <f t="shared" si="199"/>
        <v>0.9941587608523631</v>
      </c>
      <c r="AL607" s="7">
        <f t="shared" si="200"/>
        <v>5.5071069752208919</v>
      </c>
      <c r="AM607" s="7">
        <f t="shared" si="201"/>
        <v>0.17900078118914786</v>
      </c>
      <c r="AN607" s="4">
        <v>2947.8814685433249</v>
      </c>
      <c r="AO607" s="4">
        <v>0</v>
      </c>
      <c r="AP607" s="14">
        <f t="shared" si="195"/>
        <v>624701.52146854333</v>
      </c>
      <c r="AQ607" s="14">
        <f t="shared" si="196"/>
        <v>621753.64</v>
      </c>
      <c r="AR607" s="8">
        <v>10535.06</v>
      </c>
      <c r="AS607" s="20">
        <v>59.017569999999999</v>
      </c>
      <c r="AT607" s="8">
        <v>46036486.474739231</v>
      </c>
      <c r="AU607" s="8">
        <v>26811.0491</v>
      </c>
      <c r="AV607" s="8">
        <v>1365.9182000000001</v>
      </c>
      <c r="AW607" s="8"/>
      <c r="AX607" s="9">
        <v>436.24697451519933</v>
      </c>
      <c r="AY607" s="6">
        <f t="shared" si="202"/>
        <v>2.2432322728140879E-2</v>
      </c>
      <c r="AZ607" s="8">
        <v>412926510.49019998</v>
      </c>
      <c r="BA607" s="10">
        <v>60480066</v>
      </c>
      <c r="BB607" s="11">
        <v>46036486.474739231</v>
      </c>
      <c r="BC607" s="10">
        <v>2971324</v>
      </c>
      <c r="BD607" s="10">
        <f>1000000000-999086848.5957+279886.0518</f>
        <v>1193037.4560999745</v>
      </c>
      <c r="BE607" s="12">
        <f t="shared" si="203"/>
        <v>476392575.57896072</v>
      </c>
      <c r="BF607" s="13">
        <v>233.07730699999999</v>
      </c>
      <c r="BG607" s="13">
        <f t="shared" si="204"/>
        <v>243.31526857896071</v>
      </c>
      <c r="BH607" s="14">
        <f>BE607*58.37</f>
        <v>27807034636.543938</v>
      </c>
    </row>
    <row r="608" spans="1:60" x14ac:dyDescent="0.25">
      <c r="A608" s="3">
        <v>46230</v>
      </c>
      <c r="B608" s="4">
        <v>3994856538</v>
      </c>
      <c r="C608" s="4">
        <v>5609487387.4399996</v>
      </c>
      <c r="D608" s="4">
        <v>114263923</v>
      </c>
      <c r="E608" s="4">
        <v>1669088.92</v>
      </c>
      <c r="F608" s="17">
        <v>691816901.1688472</v>
      </c>
      <c r="G608" s="17">
        <v>2535618.1238407842</v>
      </c>
      <c r="H608" s="17">
        <v>4137614.7250959808</v>
      </c>
      <c r="I608" s="17">
        <v>1238693569.4107759</v>
      </c>
      <c r="J608" s="17">
        <v>232995721.46889359</v>
      </c>
      <c r="K608" s="17">
        <v>3439307962.5425458</v>
      </c>
      <c r="L608" s="14">
        <f t="shared" si="197"/>
        <v>5609487387.4399986</v>
      </c>
      <c r="M608" s="21">
        <v>1.0062184007247901</v>
      </c>
      <c r="N608" s="4">
        <v>1401069.85</v>
      </c>
      <c r="O608" s="4">
        <v>464894.08</v>
      </c>
      <c r="P608" s="4">
        <v>61211.14</v>
      </c>
      <c r="Q608" s="4">
        <v>39.486516000000002</v>
      </c>
      <c r="R608" s="14">
        <f t="shared" si="184"/>
        <v>1927214.5565160001</v>
      </c>
      <c r="S608" s="6">
        <v>0.01</v>
      </c>
      <c r="T608" s="14">
        <f t="shared" si="185"/>
        <v>14010.6985</v>
      </c>
      <c r="U608" s="14">
        <f t="shared" si="186"/>
        <v>2327.1948000000002</v>
      </c>
      <c r="V608" s="14">
        <f t="shared" si="187"/>
        <v>469.90940000000001</v>
      </c>
      <c r="W608" s="14">
        <f t="shared" si="188"/>
        <v>0.39486516000000005</v>
      </c>
      <c r="X608" s="4">
        <v>14220.2</v>
      </c>
      <c r="Y608" s="4">
        <v>232174.6</v>
      </c>
      <c r="Z608" s="4">
        <v>0</v>
      </c>
      <c r="AA608" s="14">
        <f t="shared" si="189"/>
        <v>263202.99756515998</v>
      </c>
      <c r="AB608" s="4">
        <v>127088.076</v>
      </c>
      <c r="AC608" s="4">
        <v>1401069.85</v>
      </c>
      <c r="AD608" s="14">
        <f t="shared" si="190"/>
        <v>232719.48</v>
      </c>
      <c r="AE608" s="14">
        <f t="shared" si="191"/>
        <v>46990.94</v>
      </c>
      <c r="AF608" s="14">
        <f t="shared" si="192"/>
        <v>39.486516000000002</v>
      </c>
      <c r="AG608" s="15">
        <f t="shared" si="193"/>
        <v>1680819.756516</v>
      </c>
      <c r="AH608" s="4">
        <v>1465166.02</v>
      </c>
      <c r="AI608" s="17">
        <f t="shared" si="194"/>
        <v>215653.736516</v>
      </c>
      <c r="AJ608" s="7">
        <f t="shared" si="198"/>
        <v>3.5071843924123418</v>
      </c>
      <c r="AK608" s="7">
        <f t="shared" si="199"/>
        <v>0.82876392777159558</v>
      </c>
      <c r="AL608" s="7">
        <f t="shared" si="200"/>
        <v>5.3569961885520065</v>
      </c>
      <c r="AM608" s="7">
        <f t="shared" si="201"/>
        <v>0.236575268859852</v>
      </c>
      <c r="AN608" s="4">
        <v>9423.6071099030796</v>
      </c>
      <c r="AO608" s="4">
        <v>30892.42</v>
      </c>
      <c r="AP608" s="14">
        <f t="shared" si="195"/>
        <v>1505482.0471099031</v>
      </c>
      <c r="AQ608" s="14">
        <f t="shared" si="196"/>
        <v>1465166.02</v>
      </c>
      <c r="AR608" s="8">
        <v>25180.67</v>
      </c>
      <c r="AS608" s="20">
        <v>58.186140999999999</v>
      </c>
      <c r="AT608" s="8">
        <v>46061915.534739234</v>
      </c>
      <c r="AU608" s="8">
        <v>26780.623500000002</v>
      </c>
      <c r="AV608" s="8">
        <v>1620.4355</v>
      </c>
      <c r="AW608" s="8"/>
      <c r="AX608" s="9">
        <v>436.30290862024361</v>
      </c>
      <c r="AY608" s="6">
        <f t="shared" si="202"/>
        <v>2.24039936117136E-2</v>
      </c>
      <c r="AZ608" s="8">
        <v>412899729.86669999</v>
      </c>
      <c r="BA608" s="10">
        <v>60480066</v>
      </c>
      <c r="BB608" s="11">
        <v>46061915.534739234</v>
      </c>
      <c r="BC608" s="10">
        <v>2971324</v>
      </c>
      <c r="BD608" s="10">
        <f>1000000000-999085228.1603+280044.8347</f>
        <v>1194816.6743999836</v>
      </c>
      <c r="BE608" s="12">
        <f t="shared" si="203"/>
        <v>476392147.92416084</v>
      </c>
      <c r="BF608" s="13">
        <v>233.07730699999999</v>
      </c>
      <c r="BG608" s="13">
        <f t="shared" si="204"/>
        <v>243.31484092416085</v>
      </c>
      <c r="BH608" s="14">
        <f>BE608*59.36</f>
        <v>28278637900.778187</v>
      </c>
    </row>
    <row r="609" spans="1:60" x14ac:dyDescent="0.25">
      <c r="A609" s="3">
        <v>46231</v>
      </c>
      <c r="B609" s="4">
        <v>3848215242</v>
      </c>
      <c r="C609" s="4">
        <v>6169364273.8199997</v>
      </c>
      <c r="D609" s="4">
        <v>117735564</v>
      </c>
      <c r="E609" s="4">
        <v>1795216.51</v>
      </c>
      <c r="F609" s="17">
        <v>886241138.71173918</v>
      </c>
      <c r="G609" s="17">
        <v>2700309.952308971</v>
      </c>
      <c r="H609" s="17">
        <v>5933421.2451602304</v>
      </c>
      <c r="I609" s="17">
        <v>1174355295.759268</v>
      </c>
      <c r="J609" s="17">
        <v>79914054.018488765</v>
      </c>
      <c r="K609" s="17">
        <v>4020220054.1330352</v>
      </c>
      <c r="L609" s="14">
        <f t="shared" si="197"/>
        <v>6169364273.8200006</v>
      </c>
      <c r="M609" s="21">
        <v>1.004639592034049</v>
      </c>
      <c r="N609" s="4">
        <v>1379890.8</v>
      </c>
      <c r="O609" s="4">
        <v>484746.35</v>
      </c>
      <c r="P609" s="4">
        <v>64123.199999999997</v>
      </c>
      <c r="Q609" s="4">
        <v>30.389088000000001</v>
      </c>
      <c r="R609" s="14">
        <f t="shared" si="184"/>
        <v>1928790.7390879998</v>
      </c>
      <c r="S609" s="6">
        <v>0.01</v>
      </c>
      <c r="T609" s="14">
        <f t="shared" si="185"/>
        <v>13798.908000000001</v>
      </c>
      <c r="U609" s="14">
        <f t="shared" si="186"/>
        <v>2426.9612999999999</v>
      </c>
      <c r="V609" s="14">
        <f t="shared" si="187"/>
        <v>542.68029999999999</v>
      </c>
      <c r="W609" s="14">
        <f t="shared" si="188"/>
        <v>0.30389088000000003</v>
      </c>
      <c r="X609" s="4">
        <v>9855.17</v>
      </c>
      <c r="Y609" s="4">
        <v>242050.22</v>
      </c>
      <c r="Z609" s="4">
        <v>0</v>
      </c>
      <c r="AA609" s="14">
        <f t="shared" si="189"/>
        <v>268674.24349088001</v>
      </c>
      <c r="AB609" s="4">
        <v>151651.19399999999</v>
      </c>
      <c r="AC609" s="4">
        <v>1379890.8</v>
      </c>
      <c r="AD609" s="14">
        <f t="shared" si="190"/>
        <v>242696.12999999998</v>
      </c>
      <c r="AE609" s="14">
        <f t="shared" si="191"/>
        <v>54268.03</v>
      </c>
      <c r="AF609" s="14">
        <f t="shared" si="192"/>
        <v>30.389088000000001</v>
      </c>
      <c r="AG609" s="15">
        <f t="shared" si="193"/>
        <v>1676885.3490879999</v>
      </c>
      <c r="AH609" s="4">
        <v>1383443.82</v>
      </c>
      <c r="AI609" s="17">
        <f t="shared" si="194"/>
        <v>293441.52908799984</v>
      </c>
      <c r="AJ609" s="7">
        <f t="shared" si="198"/>
        <v>3.5857942272554411</v>
      </c>
      <c r="AK609" s="7">
        <f t="shared" si="199"/>
        <v>0.78573144409229478</v>
      </c>
      <c r="AL609" s="7">
        <f t="shared" si="200"/>
        <v>5.4463747249726513</v>
      </c>
      <c r="AM609" s="7">
        <f t="shared" si="201"/>
        <v>0.16927812233634146</v>
      </c>
      <c r="AN609" s="4">
        <v>6498.9650169204124</v>
      </c>
      <c r="AO609" s="4">
        <v>0</v>
      </c>
      <c r="AP609" s="14">
        <f t="shared" si="195"/>
        <v>1389942.7850169204</v>
      </c>
      <c r="AQ609" s="14">
        <f t="shared" si="196"/>
        <v>1383443.82</v>
      </c>
      <c r="AR609" s="8">
        <v>25065.919999999998</v>
      </c>
      <c r="AS609" s="20">
        <v>55.192222000000001</v>
      </c>
      <c r="AT609" s="8">
        <v>46086091.954739228</v>
      </c>
      <c r="AU609" s="8">
        <v>26777.674200000001</v>
      </c>
      <c r="AV609" s="8">
        <v>3838.6482999999998</v>
      </c>
      <c r="AW609" s="8"/>
      <c r="AX609" s="9">
        <v>436.35840391826719</v>
      </c>
      <c r="AY609" s="6">
        <f t="shared" si="202"/>
        <v>2.2398677314876939E-2</v>
      </c>
      <c r="AZ609" s="8">
        <v>412872952.1925</v>
      </c>
      <c r="BA609" s="10">
        <v>60480066</v>
      </c>
      <c r="BB609" s="11">
        <v>46086091.954739228</v>
      </c>
      <c r="BC609" s="10">
        <v>2971324</v>
      </c>
      <c r="BD609" s="10">
        <f>1000000000-999081389.512+280160.7366</f>
        <v>1198771.2246000352</v>
      </c>
      <c r="BE609" s="12">
        <f t="shared" si="203"/>
        <v>476390794.62816077</v>
      </c>
      <c r="BF609" s="13">
        <v>233.07730699999999</v>
      </c>
      <c r="BG609" s="13">
        <f t="shared" si="204"/>
        <v>243.3134876281608</v>
      </c>
      <c r="BH609" s="14">
        <f>BE609*56.07</f>
        <v>26711231854.800976</v>
      </c>
    </row>
    <row r="610" spans="1:60" x14ac:dyDescent="0.25">
      <c r="A610" s="3">
        <v>46232</v>
      </c>
      <c r="B610" s="4">
        <v>4380428561</v>
      </c>
      <c r="C610" s="4">
        <v>9072567823.2299995</v>
      </c>
      <c r="D610" s="4">
        <v>96180351</v>
      </c>
      <c r="E610" s="4">
        <v>3618856.63</v>
      </c>
      <c r="F610" s="17">
        <v>851249815.7491281</v>
      </c>
      <c r="G610" s="17">
        <v>2710642.276773693</v>
      </c>
      <c r="H610" s="17">
        <v>5585681.5147485146</v>
      </c>
      <c r="I610" s="17">
        <v>2190835571.1149702</v>
      </c>
      <c r="J610" s="17">
        <v>68786487.690572947</v>
      </c>
      <c r="K610" s="17">
        <v>5953399624.8838072</v>
      </c>
      <c r="L610" s="14">
        <f t="shared" si="197"/>
        <v>9072567823.2299995</v>
      </c>
      <c r="M610" s="21">
        <v>1.000869356356584</v>
      </c>
      <c r="N610" s="4">
        <v>1498366.91</v>
      </c>
      <c r="O610" s="4">
        <v>727291.26</v>
      </c>
      <c r="P610" s="4">
        <v>51506.17</v>
      </c>
      <c r="Q610" s="4">
        <v>49.758021999999997</v>
      </c>
      <c r="R610" s="14">
        <f t="shared" si="184"/>
        <v>2277214.0980219999</v>
      </c>
      <c r="S610" s="6">
        <v>0.01</v>
      </c>
      <c r="T610" s="14">
        <f t="shared" si="185"/>
        <v>14983.669099999999</v>
      </c>
      <c r="U610" s="14">
        <f t="shared" si="186"/>
        <v>3639.2441000000003</v>
      </c>
      <c r="V610" s="14">
        <f t="shared" si="187"/>
        <v>434.78629999999998</v>
      </c>
      <c r="W610" s="14">
        <f t="shared" si="188"/>
        <v>0.49758021999999996</v>
      </c>
      <c r="X610" s="4">
        <v>8027.54</v>
      </c>
      <c r="Y610" s="4">
        <v>363366.85</v>
      </c>
      <c r="Z610" s="4">
        <v>0</v>
      </c>
      <c r="AA610" s="14">
        <f t="shared" si="189"/>
        <v>390452.58708021999</v>
      </c>
      <c r="AB610" s="4">
        <v>182586.34839999999</v>
      </c>
      <c r="AC610" s="4">
        <v>1498366.91</v>
      </c>
      <c r="AD610" s="14">
        <f t="shared" si="190"/>
        <v>363924.41000000003</v>
      </c>
      <c r="AE610" s="14">
        <f t="shared" si="191"/>
        <v>43478.63</v>
      </c>
      <c r="AF610" s="14">
        <f t="shared" si="192"/>
        <v>49.758021999999997</v>
      </c>
      <c r="AG610" s="15">
        <f t="shared" si="193"/>
        <v>1905819.7080219998</v>
      </c>
      <c r="AH610" s="4">
        <v>1544914.9</v>
      </c>
      <c r="AI610" s="17">
        <f t="shared" si="194"/>
        <v>360904.8080219999</v>
      </c>
      <c r="AJ610" s="7">
        <f t="shared" si="198"/>
        <v>3.4205943302906885</v>
      </c>
      <c r="AK610" s="7">
        <f t="shared" si="199"/>
        <v>0.80163772172393755</v>
      </c>
      <c r="AL610" s="7">
        <f t="shared" si="200"/>
        <v>5.3551655264805591</v>
      </c>
      <c r="AM610" s="7">
        <f t="shared" si="201"/>
        <v>0.13749652745983473</v>
      </c>
      <c r="AN610" s="4">
        <v>8441.4600040630612</v>
      </c>
      <c r="AO610" s="4">
        <v>27567.02</v>
      </c>
      <c r="AP610" s="14">
        <f t="shared" si="195"/>
        <v>1580923.380004063</v>
      </c>
      <c r="AQ610" s="14">
        <f t="shared" si="196"/>
        <v>1544914.9</v>
      </c>
      <c r="AR610" s="8">
        <v>28323.86</v>
      </c>
      <c r="AS610" s="20">
        <v>54.544646</v>
      </c>
      <c r="AT610" s="8">
        <v>46115078.204739228</v>
      </c>
      <c r="AU610" s="8">
        <v>26809.553500000002</v>
      </c>
      <c r="AV610" s="8">
        <v>3898.3652000000002</v>
      </c>
      <c r="AW610" s="8"/>
      <c r="AX610" s="9">
        <v>436.29207208303518</v>
      </c>
      <c r="AY610" s="6">
        <f t="shared" si="202"/>
        <v>2.2428752786591146E-2</v>
      </c>
      <c r="AZ610" s="8">
        <v>412846142.639</v>
      </c>
      <c r="BA610" s="10">
        <v>60480066</v>
      </c>
      <c r="BB610" s="11">
        <v>46115078.204739228</v>
      </c>
      <c r="BC610" s="10">
        <v>2971324</v>
      </c>
      <c r="BD610" s="10">
        <f>1000000000-999077491.1468+280313.8113</f>
        <v>1202822.6644999587</v>
      </c>
      <c r="BE610" s="12">
        <f t="shared" si="203"/>
        <v>476384566.49176091</v>
      </c>
      <c r="BF610" s="13">
        <v>233.07730699999999</v>
      </c>
      <c r="BG610" s="13">
        <f t="shared" si="204"/>
        <v>243.3072594917609</v>
      </c>
      <c r="BH610" s="14">
        <f>BE610*55.16</f>
        <v>26277372687.685532</v>
      </c>
    </row>
    <row r="611" spans="1:60" x14ac:dyDescent="0.25">
      <c r="A611" s="3">
        <v>46233</v>
      </c>
      <c r="B611" s="4">
        <v>2663662350</v>
      </c>
      <c r="C611" s="4">
        <v>7507065672.6800003</v>
      </c>
      <c r="D611" s="4">
        <v>94834215</v>
      </c>
      <c r="E611" s="4">
        <v>5912500.0899999999</v>
      </c>
      <c r="F611" s="17">
        <v>599921889.1812979</v>
      </c>
      <c r="G611" s="17">
        <v>1570227.4432043219</v>
      </c>
      <c r="H611" s="17">
        <v>29217305.429548278</v>
      </c>
      <c r="I611" s="17">
        <v>1661770687.825145</v>
      </c>
      <c r="J611" s="17">
        <v>83414124.243665621</v>
      </c>
      <c r="K611" s="17">
        <v>5131171438.5571394</v>
      </c>
      <c r="L611" s="14">
        <f t="shared" si="197"/>
        <v>7507065672.6800003</v>
      </c>
      <c r="M611" s="21">
        <v>0.99440274983449262</v>
      </c>
      <c r="N611" s="4">
        <v>839637.14</v>
      </c>
      <c r="O611" s="4">
        <v>536821.04</v>
      </c>
      <c r="P611" s="4">
        <v>44729.46</v>
      </c>
      <c r="Q611" s="4">
        <v>16.526803000000001</v>
      </c>
      <c r="R611" s="14">
        <f t="shared" si="184"/>
        <v>1421204.166803</v>
      </c>
      <c r="S611" s="6">
        <v>0.01</v>
      </c>
      <c r="T611" s="14">
        <f t="shared" si="185"/>
        <v>8396.3714</v>
      </c>
      <c r="U611" s="14">
        <f t="shared" si="186"/>
        <v>2686.2067000000006</v>
      </c>
      <c r="V611" s="14">
        <f t="shared" si="187"/>
        <v>379.9468</v>
      </c>
      <c r="W611" s="14">
        <f t="shared" si="188"/>
        <v>0.16526803000000001</v>
      </c>
      <c r="X611" s="4">
        <v>6734.78</v>
      </c>
      <c r="Y611" s="4">
        <v>268200.37</v>
      </c>
      <c r="Z611" s="4">
        <v>0</v>
      </c>
      <c r="AA611" s="14">
        <f t="shared" si="189"/>
        <v>286397.84016803</v>
      </c>
      <c r="AB611" s="4">
        <v>132885.6109</v>
      </c>
      <c r="AC611" s="4">
        <v>839637.14</v>
      </c>
      <c r="AD611" s="14">
        <f t="shared" si="190"/>
        <v>268620.67000000004</v>
      </c>
      <c r="AE611" s="14">
        <f t="shared" si="191"/>
        <v>37994.68</v>
      </c>
      <c r="AF611" s="14">
        <f t="shared" si="192"/>
        <v>16.526803000000001</v>
      </c>
      <c r="AG611" s="15">
        <f t="shared" si="193"/>
        <v>1146269.0168029999</v>
      </c>
      <c r="AH611" s="4">
        <v>1144205</v>
      </c>
      <c r="AI611" s="17">
        <f t="shared" si="194"/>
        <v>2064.0168029998895</v>
      </c>
      <c r="AJ611" s="7">
        <f t="shared" si="198"/>
        <v>3.1521905920245485</v>
      </c>
      <c r="AK611" s="7">
        <f t="shared" si="199"/>
        <v>0.71508770990724069</v>
      </c>
      <c r="AL611" s="7">
        <f t="shared" si="200"/>
        <v>4.7165951655739438</v>
      </c>
      <c r="AM611" s="7">
        <f t="shared" si="201"/>
        <v>2.7952309088252383E-2</v>
      </c>
      <c r="AN611" s="4">
        <v>6790.5747527744006</v>
      </c>
      <c r="AO611" s="4">
        <v>0</v>
      </c>
      <c r="AP611" s="14">
        <f t="shared" si="195"/>
        <v>1150995.5747527743</v>
      </c>
      <c r="AQ611" s="14">
        <f t="shared" si="196"/>
        <v>1144205</v>
      </c>
      <c r="AR611" s="8">
        <v>21122.19</v>
      </c>
      <c r="AS611" s="20">
        <v>54.170755999999997</v>
      </c>
      <c r="AT611" s="8">
        <v>46135975.834739231</v>
      </c>
      <c r="AU611" s="8">
        <v>26791.722900000001</v>
      </c>
      <c r="AV611" s="8">
        <v>4467.4467000000004</v>
      </c>
      <c r="AW611" s="8"/>
      <c r="AX611" s="9">
        <v>435.65551035034667</v>
      </c>
      <c r="AY611" s="6">
        <f t="shared" si="202"/>
        <v>2.2446585951904782E-2</v>
      </c>
      <c r="AZ611" s="8">
        <v>412819350.91610003</v>
      </c>
      <c r="BA611" s="10">
        <v>60480066</v>
      </c>
      <c r="BB611" s="11">
        <v>46135975.834739231</v>
      </c>
      <c r="BC611" s="10">
        <v>2971324</v>
      </c>
      <c r="BD611" s="10">
        <f>1000000000-999073023.7001+280439.4859</f>
        <v>1207415.7858000549</v>
      </c>
      <c r="BE611" s="12">
        <f t="shared" si="203"/>
        <v>476385867.46336073</v>
      </c>
      <c r="BF611" s="13">
        <v>233.07730699999999</v>
      </c>
      <c r="BG611" s="13">
        <f t="shared" si="204"/>
        <v>243.30856046336075</v>
      </c>
      <c r="BH611" s="14">
        <f>BE611*54.05</f>
        <v>25748656136.394646</v>
      </c>
    </row>
    <row r="612" spans="1:60" x14ac:dyDescent="0.25">
      <c r="A612" s="3">
        <v>46234</v>
      </c>
      <c r="B612" s="4">
        <v>3824668041</v>
      </c>
      <c r="C612" s="4">
        <v>7138708167.5100002</v>
      </c>
      <c r="D612" s="4">
        <v>114142882</v>
      </c>
      <c r="E612" s="4">
        <v>1459161.49</v>
      </c>
      <c r="F612" s="17">
        <v>720300547.57466388</v>
      </c>
      <c r="G612" s="17">
        <v>2620454.3002956961</v>
      </c>
      <c r="H612" s="17">
        <v>18978831.68194285</v>
      </c>
      <c r="I612" s="17">
        <v>1538948743.915899</v>
      </c>
      <c r="J612" s="17">
        <v>63236577.854427293</v>
      </c>
      <c r="K612" s="17">
        <v>4794623012.1827726</v>
      </c>
      <c r="L612" s="14">
        <f t="shared" si="197"/>
        <v>7138708167.5100012</v>
      </c>
      <c r="M612" s="21">
        <v>1.005107348116147</v>
      </c>
      <c r="N612" s="4">
        <v>1319491.02</v>
      </c>
      <c r="O612" s="4">
        <v>581556.16999999993</v>
      </c>
      <c r="P612" s="4">
        <v>61496.73</v>
      </c>
      <c r="Q612" s="4">
        <v>4.9088099999999999</v>
      </c>
      <c r="R612" s="14">
        <f t="shared" si="184"/>
        <v>1962548.8288099999</v>
      </c>
      <c r="S612" s="6">
        <v>0.01</v>
      </c>
      <c r="T612" s="14">
        <f t="shared" si="185"/>
        <v>13194.9102</v>
      </c>
      <c r="U612" s="14">
        <f t="shared" si="186"/>
        <v>2910.9260999999992</v>
      </c>
      <c r="V612" s="14">
        <f t="shared" si="187"/>
        <v>497.43440000000004</v>
      </c>
      <c r="W612" s="14">
        <f t="shared" si="188"/>
        <v>4.9088100000000003E-2</v>
      </c>
      <c r="X612" s="4">
        <v>11753.29</v>
      </c>
      <c r="Y612" s="4">
        <v>290463.56</v>
      </c>
      <c r="Z612" s="4">
        <v>0</v>
      </c>
      <c r="AA612" s="14">
        <f t="shared" si="189"/>
        <v>318820.1697881</v>
      </c>
      <c r="AB612" s="4">
        <v>152394.5344</v>
      </c>
      <c r="AC612" s="4">
        <v>1319491.02</v>
      </c>
      <c r="AD612" s="14">
        <f t="shared" si="190"/>
        <v>291092.60999999993</v>
      </c>
      <c r="AE612" s="14">
        <f t="shared" si="191"/>
        <v>49743.44</v>
      </c>
      <c r="AF612" s="14">
        <f t="shared" si="192"/>
        <v>4.9088099999999999</v>
      </c>
      <c r="AG612" s="15">
        <f t="shared" si="193"/>
        <v>1660331.9788099998</v>
      </c>
      <c r="AH612" s="4">
        <v>1410754.99</v>
      </c>
      <c r="AI612" s="17">
        <f t="shared" si="194"/>
        <v>249576.98880999978</v>
      </c>
      <c r="AJ612" s="7">
        <f t="shared" si="198"/>
        <v>3.4499491350757991</v>
      </c>
      <c r="AK612" s="7">
        <f t="shared" si="199"/>
        <v>0.81465183385252204</v>
      </c>
      <c r="AL612" s="7">
        <f t="shared" si="200"/>
        <v>5.3876973248318718</v>
      </c>
      <c r="AM612" s="7">
        <f t="shared" si="201"/>
        <v>3.3641307241462352E-2</v>
      </c>
      <c r="AN612" s="4">
        <v>13252.62956474308</v>
      </c>
      <c r="AO612" s="4">
        <v>27921.09</v>
      </c>
      <c r="AP612" s="14">
        <f t="shared" si="195"/>
        <v>1451928.7095647431</v>
      </c>
      <c r="AQ612" s="14">
        <f t="shared" si="196"/>
        <v>1410754.99</v>
      </c>
      <c r="AR612" s="8">
        <v>25835.11</v>
      </c>
      <c r="AS612" s="20">
        <v>54.606115000000003</v>
      </c>
      <c r="AT612" s="8">
        <v>46161586.664739229</v>
      </c>
      <c r="AU612" s="8">
        <v>26792.562399999999</v>
      </c>
      <c r="AV612" s="8">
        <v>2972.6640000000002</v>
      </c>
      <c r="AW612" s="8"/>
      <c r="AX612" s="9">
        <v>435.94378897051172</v>
      </c>
      <c r="AY612" s="6">
        <f t="shared" si="202"/>
        <v>2.2432445474435909E-2</v>
      </c>
      <c r="AZ612" s="8">
        <v>412792558.35360003</v>
      </c>
      <c r="BA612" s="10">
        <v>60480066</v>
      </c>
      <c r="BB612" s="11">
        <v>46161586.664739229</v>
      </c>
      <c r="BC612" s="10">
        <v>2971324</v>
      </c>
      <c r="BD612" s="10">
        <f>1000000000-999070051.0361+280676.3219</f>
        <v>1210625.2857999699</v>
      </c>
      <c r="BE612" s="12">
        <f t="shared" si="203"/>
        <v>476383839.69586074</v>
      </c>
      <c r="BF612" s="13">
        <v>233.07730699999999</v>
      </c>
      <c r="BG612" s="13">
        <f t="shared" si="204"/>
        <v>243.30653269586074</v>
      </c>
      <c r="BH612" s="14">
        <f>BE612*56</f>
        <v>26677495022.968201</v>
      </c>
    </row>
    <row r="613" spans="1:60" x14ac:dyDescent="0.25">
      <c r="A613" s="3">
        <v>46235</v>
      </c>
      <c r="B613" s="4">
        <v>1488434945</v>
      </c>
      <c r="C613" s="4">
        <v>529095347.77999997</v>
      </c>
      <c r="D613" s="4">
        <v>51338276</v>
      </c>
      <c r="E613" s="4">
        <v>1603959.24</v>
      </c>
      <c r="F613" s="17">
        <v>174420495.6890603</v>
      </c>
      <c r="G613" s="17">
        <v>2360094.673511147</v>
      </c>
      <c r="H613" s="17">
        <v>10530134.65386611</v>
      </c>
      <c r="I613" s="17">
        <v>111738648.17642041</v>
      </c>
      <c r="J613" s="17">
        <v>3846022.9131267779</v>
      </c>
      <c r="K613" s="17">
        <v>226199951.67401519</v>
      </c>
      <c r="L613" s="14">
        <f t="shared" si="197"/>
        <v>529095347.77999997</v>
      </c>
      <c r="M613" s="21">
        <v>0.9995714590485465</v>
      </c>
      <c r="N613" s="4">
        <v>538557.31000000006</v>
      </c>
      <c r="O613" s="4">
        <v>64404.93</v>
      </c>
      <c r="P613" s="4">
        <v>29560.799999999999</v>
      </c>
      <c r="Q613" s="4">
        <v>2.8143509999999998</v>
      </c>
      <c r="R613" s="14">
        <f t="shared" si="184"/>
        <v>632525.85435100016</v>
      </c>
      <c r="S613" s="6">
        <v>0.01</v>
      </c>
      <c r="T613" s="14">
        <f t="shared" si="185"/>
        <v>5385.5731000000005</v>
      </c>
      <c r="U613" s="14">
        <f t="shared" si="186"/>
        <v>322.96590000000003</v>
      </c>
      <c r="V613" s="14">
        <f t="shared" si="187"/>
        <v>250.4982</v>
      </c>
      <c r="W613" s="14">
        <f t="shared" si="188"/>
        <v>2.814351E-2</v>
      </c>
      <c r="X613" s="4">
        <v>4510.9799999999996</v>
      </c>
      <c r="Y613" s="4">
        <v>32108.34</v>
      </c>
      <c r="Z613" s="4">
        <v>0</v>
      </c>
      <c r="AA613" s="14">
        <f t="shared" si="189"/>
        <v>42578.385343510003</v>
      </c>
      <c r="AB613" s="4">
        <v>46748.613299999997</v>
      </c>
      <c r="AC613" s="4">
        <v>538557.31000000006</v>
      </c>
      <c r="AD613" s="14">
        <f t="shared" si="190"/>
        <v>32296.59</v>
      </c>
      <c r="AE613" s="14">
        <f t="shared" si="191"/>
        <v>25049.82</v>
      </c>
      <c r="AF613" s="14">
        <f t="shared" si="192"/>
        <v>2.8143509999999998</v>
      </c>
      <c r="AG613" s="15">
        <f t="shared" si="193"/>
        <v>595906.53435099998</v>
      </c>
      <c r="AH613" s="4">
        <v>503677.34</v>
      </c>
      <c r="AI613" s="17">
        <f t="shared" si="194"/>
        <v>92229.194350999955</v>
      </c>
      <c r="AJ613" s="7">
        <f t="shared" si="198"/>
        <v>3.6182791314403064</v>
      </c>
      <c r="AK613" s="7">
        <f t="shared" si="199"/>
        <v>1.217265097306806</v>
      </c>
      <c r="AL613" s="7">
        <f t="shared" si="200"/>
        <v>5.758042985315674</v>
      </c>
      <c r="AM613" s="7">
        <f t="shared" si="201"/>
        <v>1.7546275053722686E-2</v>
      </c>
      <c r="AN613" s="4">
        <v>6529.1066269255698</v>
      </c>
      <c r="AO613" s="4">
        <v>0</v>
      </c>
      <c r="AP613" s="14">
        <f t="shared" si="195"/>
        <v>510206.44662692561</v>
      </c>
      <c r="AQ613" s="14">
        <f t="shared" si="196"/>
        <v>503677.34</v>
      </c>
      <c r="AR613" s="8">
        <v>9668.2999999999993</v>
      </c>
      <c r="AS613" s="20">
        <v>52.095750000000002</v>
      </c>
      <c r="AT613" s="8">
        <v>46171041.414739229</v>
      </c>
      <c r="AU613" s="8">
        <v>26794.961200000002</v>
      </c>
      <c r="AV613" s="8">
        <v>3232.2323000000001</v>
      </c>
      <c r="AW613" s="8"/>
      <c r="AX613" s="9">
        <v>436.23558041441902</v>
      </c>
      <c r="AY613" s="6">
        <f t="shared" si="202"/>
        <v>2.2419447833001049E-2</v>
      </c>
      <c r="AZ613" s="8">
        <v>412765763.39240003</v>
      </c>
      <c r="BA613" s="10">
        <v>60480066</v>
      </c>
      <c r="BB613" s="11">
        <v>46171041.414739229</v>
      </c>
      <c r="BC613" s="10">
        <v>2971324</v>
      </c>
      <c r="BD613" s="10">
        <f>1000000000-999066818.8038+280800.916</f>
        <v>1213982.1122000131</v>
      </c>
      <c r="BE613" s="12">
        <f t="shared" si="203"/>
        <v>476397823.0806607</v>
      </c>
      <c r="BF613" s="13">
        <v>233.07730699999999</v>
      </c>
      <c r="BG613" s="13">
        <f t="shared" si="204"/>
        <v>243.32051608066072</v>
      </c>
      <c r="BH613" s="14">
        <f>BE613*52.41</f>
        <v>24968009907.657425</v>
      </c>
    </row>
    <row r="614" spans="1:60" x14ac:dyDescent="0.25">
      <c r="A614" s="3">
        <v>46236</v>
      </c>
      <c r="B614" s="4">
        <v>2182631936</v>
      </c>
      <c r="C614" s="4">
        <v>1450683948.0799999</v>
      </c>
      <c r="D614" s="4">
        <v>65216588</v>
      </c>
      <c r="E614" s="4">
        <v>1707061.12</v>
      </c>
      <c r="F614" s="17">
        <v>486133407.38100231</v>
      </c>
      <c r="G614" s="17">
        <v>709381.51549398759</v>
      </c>
      <c r="H614" s="17">
        <v>20163976.857137199</v>
      </c>
      <c r="I614" s="17">
        <v>370045591.47512609</v>
      </c>
      <c r="J614" s="17">
        <v>7956315.4000926763</v>
      </c>
      <c r="K614" s="17">
        <v>565675275.45114756</v>
      </c>
      <c r="L614" s="14">
        <f t="shared" si="197"/>
        <v>1450683948.0799999</v>
      </c>
      <c r="M614" s="21">
        <v>1.0028403880822989</v>
      </c>
      <c r="N614" s="4">
        <v>789600.34</v>
      </c>
      <c r="O614" s="4">
        <v>154589.34</v>
      </c>
      <c r="P614" s="4">
        <v>33400.71</v>
      </c>
      <c r="Q614" s="4">
        <v>2.4353880000000001</v>
      </c>
      <c r="R614" s="14">
        <f t="shared" si="184"/>
        <v>977592.82538799988</v>
      </c>
      <c r="S614" s="6">
        <v>0.01</v>
      </c>
      <c r="T614" s="14">
        <f t="shared" si="185"/>
        <v>7896.0033999999996</v>
      </c>
      <c r="U614" s="14">
        <f t="shared" si="186"/>
        <v>773.78929999999991</v>
      </c>
      <c r="V614" s="14">
        <f t="shared" si="187"/>
        <v>276.01389999999998</v>
      </c>
      <c r="W614" s="14">
        <f t="shared" si="188"/>
        <v>2.4353880000000001E-2</v>
      </c>
      <c r="X614" s="4">
        <v>5799.32</v>
      </c>
      <c r="Y614" s="4">
        <v>77210.41</v>
      </c>
      <c r="Z614" s="4">
        <v>0</v>
      </c>
      <c r="AA614" s="14">
        <f t="shared" si="189"/>
        <v>91955.560953880005</v>
      </c>
      <c r="AB614" s="4">
        <v>84062.982499999998</v>
      </c>
      <c r="AC614" s="4">
        <v>789600.34</v>
      </c>
      <c r="AD614" s="14">
        <f t="shared" si="190"/>
        <v>77378.929999999993</v>
      </c>
      <c r="AE614" s="14">
        <f t="shared" si="191"/>
        <v>27601.39</v>
      </c>
      <c r="AF614" s="14">
        <f t="shared" si="192"/>
        <v>2.4353880000000001</v>
      </c>
      <c r="AG614" s="15">
        <f t="shared" si="193"/>
        <v>894583.09538800002</v>
      </c>
      <c r="AH614" s="4">
        <v>740773.86</v>
      </c>
      <c r="AI614" s="17">
        <f t="shared" si="194"/>
        <v>153809.23538800003</v>
      </c>
      <c r="AJ614" s="7">
        <f t="shared" si="198"/>
        <v>3.617652280150637</v>
      </c>
      <c r="AK614" s="7">
        <f t="shared" si="199"/>
        <v>1.0656307337280537</v>
      </c>
      <c r="AL614" s="7">
        <f t="shared" si="200"/>
        <v>5.1215052832877426</v>
      </c>
      <c r="AM614" s="7">
        <f t="shared" si="201"/>
        <v>1.4266554205159331E-2</v>
      </c>
      <c r="AN614" s="4">
        <v>6575.2850247999859</v>
      </c>
      <c r="AO614" s="4">
        <v>29439</v>
      </c>
      <c r="AP614" s="14">
        <f t="shared" si="195"/>
        <v>776788.14502479997</v>
      </c>
      <c r="AQ614" s="14">
        <f t="shared" si="196"/>
        <v>740773.86</v>
      </c>
      <c r="AR614" s="8">
        <v>14171.64</v>
      </c>
      <c r="AS614" s="20">
        <v>52.271569</v>
      </c>
      <c r="AT614" s="8">
        <v>46185780.854739226</v>
      </c>
      <c r="AU614" s="8">
        <v>26801.6119</v>
      </c>
      <c r="AV614" s="8">
        <v>1305.7760000000001</v>
      </c>
      <c r="AW614" s="8"/>
      <c r="AX614" s="9">
        <v>436.23257723451309</v>
      </c>
      <c r="AY614" s="6">
        <f t="shared" si="202"/>
        <v>2.2425166881200172E-2</v>
      </c>
      <c r="AZ614" s="8">
        <v>412738961.78049999</v>
      </c>
      <c r="BA614" s="10">
        <v>60480066</v>
      </c>
      <c r="BB614" s="11">
        <v>46185780.854739226</v>
      </c>
      <c r="BC614" s="10">
        <v>2971324</v>
      </c>
      <c r="BD614" s="10">
        <f>1000000000-999065513.0278+280926.6553</f>
        <v>1215413.627500036</v>
      </c>
      <c r="BE614" s="12">
        <f t="shared" si="203"/>
        <v>476408453.73726076</v>
      </c>
      <c r="BF614" s="13">
        <v>233.07730699999999</v>
      </c>
      <c r="BG614" s="13">
        <f t="shared" si="204"/>
        <v>243.33114673726075</v>
      </c>
      <c r="BH614" s="14">
        <f>BE614*52.29</f>
        <v>24911398045.921364</v>
      </c>
    </row>
    <row r="615" spans="1:60" x14ac:dyDescent="0.25">
      <c r="A615" s="3">
        <v>46237</v>
      </c>
      <c r="B615" s="4">
        <v>3029460890</v>
      </c>
      <c r="C615" s="4">
        <v>4779493771.79</v>
      </c>
      <c r="D615" s="4">
        <v>61977951</v>
      </c>
      <c r="E615" s="4">
        <v>1432622.74</v>
      </c>
      <c r="F615" s="17">
        <v>575104538.24747348</v>
      </c>
      <c r="G615" s="17">
        <v>1217088.506630559</v>
      </c>
      <c r="H615" s="17">
        <v>20374738.950343799</v>
      </c>
      <c r="I615" s="17">
        <v>1167711685.0250621</v>
      </c>
      <c r="J615" s="17">
        <v>39231999.801792257</v>
      </c>
      <c r="K615" s="17">
        <v>2975853721.258698</v>
      </c>
      <c r="L615" s="14">
        <f t="shared" si="197"/>
        <v>4779493771.79</v>
      </c>
      <c r="M615" s="21">
        <v>1.000471149553894</v>
      </c>
      <c r="N615" s="4">
        <v>1088967.4099999999</v>
      </c>
      <c r="O615" s="4">
        <v>396475.95</v>
      </c>
      <c r="P615" s="4">
        <v>34911.1</v>
      </c>
      <c r="Q615" s="4">
        <v>1.4144460000000001</v>
      </c>
      <c r="R615" s="14">
        <f t="shared" si="184"/>
        <v>1520355.874446</v>
      </c>
      <c r="S615" s="6">
        <v>0.01</v>
      </c>
      <c r="T615" s="14">
        <f t="shared" si="185"/>
        <v>10889.6741</v>
      </c>
      <c r="U615" s="14">
        <f t="shared" si="186"/>
        <v>1983.8091000000002</v>
      </c>
      <c r="V615" s="14">
        <f t="shared" si="187"/>
        <v>279.99919999999997</v>
      </c>
      <c r="W615" s="14">
        <f t="shared" si="188"/>
        <v>1.4144460000000001E-2</v>
      </c>
      <c r="X615" s="4">
        <v>6911.18</v>
      </c>
      <c r="Y615" s="4">
        <v>198095.04</v>
      </c>
      <c r="Z615" s="4">
        <v>0</v>
      </c>
      <c r="AA615" s="14">
        <f t="shared" si="189"/>
        <v>218159.71654446001</v>
      </c>
      <c r="AB615" s="4">
        <v>141013.44940000001</v>
      </c>
      <c r="AC615" s="4">
        <v>1088967.4099999999</v>
      </c>
      <c r="AD615" s="14">
        <f t="shared" si="190"/>
        <v>198380.91</v>
      </c>
      <c r="AE615" s="14">
        <f t="shared" si="191"/>
        <v>27999.919999999998</v>
      </c>
      <c r="AF615" s="14">
        <f t="shared" si="192"/>
        <v>1.4144460000000001</v>
      </c>
      <c r="AG615" s="15">
        <f t="shared" si="193"/>
        <v>1315349.6544459998</v>
      </c>
      <c r="AH615" s="4">
        <v>1092610.97</v>
      </c>
      <c r="AI615" s="17">
        <f t="shared" si="194"/>
        <v>222738.6844459998</v>
      </c>
      <c r="AJ615" s="7">
        <f t="shared" si="198"/>
        <v>3.5945914125994869</v>
      </c>
      <c r="AK615" s="7">
        <f t="shared" si="199"/>
        <v>0.82953544649460476</v>
      </c>
      <c r="AL615" s="7">
        <f t="shared" si="200"/>
        <v>5.6328257770251229</v>
      </c>
      <c r="AM615" s="7">
        <f t="shared" si="201"/>
        <v>9.8731226338065799E-3</v>
      </c>
      <c r="AN615" s="4">
        <v>7693.8683333718127</v>
      </c>
      <c r="AO615" s="4">
        <v>0</v>
      </c>
      <c r="AP615" s="14">
        <f t="shared" si="195"/>
        <v>1100304.8383333718</v>
      </c>
      <c r="AQ615" s="14">
        <f t="shared" si="196"/>
        <v>1092610.97</v>
      </c>
      <c r="AR615" s="8">
        <v>20396.04</v>
      </c>
      <c r="AS615" s="20">
        <v>53.569760000000002</v>
      </c>
      <c r="AT615" s="8">
        <v>46205981.364739232</v>
      </c>
      <c r="AU615" s="8">
        <v>26801.285199999998</v>
      </c>
      <c r="AV615" s="8">
        <v>2756.7143000000001</v>
      </c>
      <c r="AW615" s="8"/>
      <c r="AX615" s="9">
        <v>436.23247732182517</v>
      </c>
      <c r="AY615" s="6">
        <f t="shared" si="202"/>
        <v>2.2424898664257644E-2</v>
      </c>
      <c r="AZ615" s="8">
        <v>412712160.49529999</v>
      </c>
      <c r="BA615" s="10">
        <v>60480066</v>
      </c>
      <c r="BB615" s="11">
        <v>46205981.364739232</v>
      </c>
      <c r="BC615" s="10">
        <v>2971324</v>
      </c>
      <c r="BD615" s="10">
        <f>1000000000-999062756.3134+281073.289</f>
        <v>1218316.9755999697</v>
      </c>
      <c r="BE615" s="12">
        <f t="shared" si="203"/>
        <v>476412151.16436076</v>
      </c>
      <c r="BF615" s="13">
        <v>233.07730699999999</v>
      </c>
      <c r="BG615" s="13">
        <f t="shared" si="204"/>
        <v>243.33484416436076</v>
      </c>
      <c r="BH615" s="14">
        <f>BE615*52.51</f>
        <v>25016402057.640583</v>
      </c>
    </row>
    <row r="616" spans="1:60" x14ac:dyDescent="0.25">
      <c r="A616" s="3">
        <v>46238</v>
      </c>
      <c r="B616" s="4">
        <v>3234216901</v>
      </c>
      <c r="C616" s="4">
        <v>6173094918.7399998</v>
      </c>
      <c r="D616" s="4">
        <v>78028904</v>
      </c>
      <c r="E616" s="4">
        <v>1523842.1</v>
      </c>
      <c r="F616" s="17">
        <v>863624767.52501082</v>
      </c>
      <c r="G616" s="17">
        <v>1371539.932890632</v>
      </c>
      <c r="H616" s="17">
        <v>5919882.1852363804</v>
      </c>
      <c r="I616" s="17">
        <v>1674558038.3814621</v>
      </c>
      <c r="J616" s="17">
        <v>32333962.335377559</v>
      </c>
      <c r="K616" s="17">
        <v>3595286728.380022</v>
      </c>
      <c r="L616" s="14">
        <f t="shared" si="197"/>
        <v>6173094918.7399998</v>
      </c>
      <c r="M616" s="21">
        <v>1.000393586599202</v>
      </c>
      <c r="N616" s="4">
        <v>1162571.52</v>
      </c>
      <c r="O616" s="4">
        <v>573195.30000000005</v>
      </c>
      <c r="P616" s="4">
        <v>39454.83</v>
      </c>
      <c r="Q616" s="4">
        <v>5.8757450000000002</v>
      </c>
      <c r="R616" s="14">
        <f t="shared" si="184"/>
        <v>1775227.5257450002</v>
      </c>
      <c r="S616" s="6">
        <v>0.01</v>
      </c>
      <c r="T616" s="14">
        <f t="shared" si="185"/>
        <v>11625.715200000001</v>
      </c>
      <c r="U616" s="14">
        <f t="shared" si="186"/>
        <v>2867.3853000000004</v>
      </c>
      <c r="V616" s="14">
        <f t="shared" si="187"/>
        <v>327.81819999999999</v>
      </c>
      <c r="W616" s="14">
        <f t="shared" si="188"/>
        <v>5.8757450000000003E-2</v>
      </c>
      <c r="X616" s="4">
        <v>6673.01</v>
      </c>
      <c r="Y616" s="4">
        <v>286456.77</v>
      </c>
      <c r="Z616" s="4">
        <v>0</v>
      </c>
      <c r="AA616" s="14">
        <f t="shared" si="189"/>
        <v>307950.75745745003</v>
      </c>
      <c r="AB616" s="4">
        <v>165646.255</v>
      </c>
      <c r="AC616" s="4">
        <v>1162571.52</v>
      </c>
      <c r="AD616" s="14">
        <f t="shared" si="190"/>
        <v>286738.53000000003</v>
      </c>
      <c r="AE616" s="14">
        <f t="shared" si="191"/>
        <v>32781.82</v>
      </c>
      <c r="AF616" s="14">
        <f t="shared" si="192"/>
        <v>5.8757450000000002</v>
      </c>
      <c r="AG616" s="15">
        <f t="shared" si="193"/>
        <v>1482097.7457450002</v>
      </c>
      <c r="AH616" s="4">
        <v>1218456.03</v>
      </c>
      <c r="AI616" s="17">
        <f t="shared" si="194"/>
        <v>263641.71574500017</v>
      </c>
      <c r="AJ616" s="7">
        <f t="shared" si="198"/>
        <v>3.5945997302795001</v>
      </c>
      <c r="AK616" s="7">
        <f t="shared" si="199"/>
        <v>0.92853796603697114</v>
      </c>
      <c r="AL616" s="7">
        <f t="shared" si="200"/>
        <v>5.0564378041244815</v>
      </c>
      <c r="AM616" s="7">
        <f t="shared" si="201"/>
        <v>3.8558752248674583E-2</v>
      </c>
      <c r="AN616" s="4">
        <v>24436.3954390785</v>
      </c>
      <c r="AO616" s="4">
        <v>26980.98</v>
      </c>
      <c r="AP616" s="14">
        <f t="shared" si="195"/>
        <v>1269873.4054390786</v>
      </c>
      <c r="AQ616" s="14">
        <f t="shared" si="196"/>
        <v>1218456.03</v>
      </c>
      <c r="AR616" s="8">
        <v>22146.29</v>
      </c>
      <c r="AS616" s="20">
        <v>55.018517000000003</v>
      </c>
      <c r="AT616" s="8">
        <v>46228363.524739228</v>
      </c>
      <c r="AU616" s="8">
        <v>26806.1538</v>
      </c>
      <c r="AV616" s="8">
        <v>1757.0289</v>
      </c>
      <c r="AW616" s="8"/>
      <c r="AX616" s="9">
        <v>436.82352869809381</v>
      </c>
      <c r="AY616" s="6">
        <f t="shared" si="202"/>
        <v>2.2398624373922593E-2</v>
      </c>
      <c r="AZ616" s="8">
        <v>412685354.34140003</v>
      </c>
      <c r="BA616" s="10">
        <v>60480066</v>
      </c>
      <c r="BB616" s="11">
        <v>46228363.524739228</v>
      </c>
      <c r="BC616" s="10">
        <v>2971324</v>
      </c>
      <c r="BD616" s="10">
        <f>1000000000-999060999.2846+281527.8604</f>
        <v>1220528.5757999807</v>
      </c>
      <c r="BE616" s="12">
        <f t="shared" si="203"/>
        <v>476414363.55806077</v>
      </c>
      <c r="BF616" s="13">
        <v>233.07730699999999</v>
      </c>
      <c r="BG616" s="13">
        <f t="shared" si="204"/>
        <v>243.33705655806077</v>
      </c>
      <c r="BH616" s="14">
        <f>BE616*53.78</f>
        <v>25621564472.152508</v>
      </c>
    </row>
    <row r="617" spans="1:60" x14ac:dyDescent="0.25">
      <c r="A617" s="3">
        <v>46239</v>
      </c>
      <c r="B617" s="4">
        <v>3581031250</v>
      </c>
      <c r="C617" s="4">
        <v>5383612525.9300003</v>
      </c>
      <c r="D617" s="4">
        <v>103053755</v>
      </c>
      <c r="E617" s="4">
        <v>1618594.05</v>
      </c>
      <c r="F617" s="17">
        <v>689686012.04855299</v>
      </c>
      <c r="G617" s="17">
        <v>865251.17030877562</v>
      </c>
      <c r="H617" s="17">
        <v>4563696.1314360704</v>
      </c>
      <c r="I617" s="17">
        <v>1178881957.059267</v>
      </c>
      <c r="J617" s="17">
        <v>32693993.5647946</v>
      </c>
      <c r="K617" s="17">
        <v>3476921615.9556398</v>
      </c>
      <c r="L617" s="14">
        <f t="shared" si="197"/>
        <v>5383612525.9299994</v>
      </c>
      <c r="M617" s="21">
        <v>1.0015496165108011</v>
      </c>
      <c r="N617" s="4">
        <v>1247588.24</v>
      </c>
      <c r="O617" s="4">
        <v>561281.19999999995</v>
      </c>
      <c r="P617" s="4">
        <v>56486.15</v>
      </c>
      <c r="Q617" s="4">
        <v>16.749725000000002</v>
      </c>
      <c r="R617" s="14">
        <f t="shared" si="184"/>
        <v>1865372.3397249999</v>
      </c>
      <c r="S617" s="6">
        <v>0.01</v>
      </c>
      <c r="T617" s="14">
        <f t="shared" si="185"/>
        <v>12475.8824</v>
      </c>
      <c r="U617" s="14">
        <f t="shared" si="186"/>
        <v>2807.3576999999996</v>
      </c>
      <c r="V617" s="14">
        <f t="shared" si="187"/>
        <v>457.31010000000003</v>
      </c>
      <c r="W617" s="14">
        <f t="shared" si="188"/>
        <v>0.16749725000000001</v>
      </c>
      <c r="X617" s="4">
        <v>10755.14</v>
      </c>
      <c r="Y617" s="4">
        <v>280545.43</v>
      </c>
      <c r="Z617" s="4">
        <v>0</v>
      </c>
      <c r="AA617" s="14">
        <f t="shared" si="189"/>
        <v>307041.28769725002</v>
      </c>
      <c r="AB617" s="4">
        <v>189548.15400000001</v>
      </c>
      <c r="AC617" s="4">
        <v>1247588.24</v>
      </c>
      <c r="AD617" s="14">
        <f t="shared" si="190"/>
        <v>280735.76999999996</v>
      </c>
      <c r="AE617" s="14">
        <f t="shared" si="191"/>
        <v>45731.01</v>
      </c>
      <c r="AF617" s="14">
        <f t="shared" si="192"/>
        <v>16.749725000000002</v>
      </c>
      <c r="AG617" s="15">
        <f t="shared" si="193"/>
        <v>1574071.769725</v>
      </c>
      <c r="AH617" s="4">
        <v>1326354.23</v>
      </c>
      <c r="AI617" s="17">
        <f t="shared" si="194"/>
        <v>247717.53972500004</v>
      </c>
      <c r="AJ617" s="7">
        <f t="shared" si="198"/>
        <v>3.4838797902140617</v>
      </c>
      <c r="AK617" s="7">
        <f t="shared" si="199"/>
        <v>1.0425735457308762</v>
      </c>
      <c r="AL617" s="7">
        <f t="shared" si="200"/>
        <v>5.4812316154806791</v>
      </c>
      <c r="AM617" s="7">
        <f t="shared" si="201"/>
        <v>0.10348317417823202</v>
      </c>
      <c r="AN617" s="4">
        <v>10736.07272278287</v>
      </c>
      <c r="AO617" s="4">
        <v>0</v>
      </c>
      <c r="AP617" s="14">
        <f t="shared" si="195"/>
        <v>1337090.3027227828</v>
      </c>
      <c r="AQ617" s="14">
        <f t="shared" si="196"/>
        <v>1326354.23</v>
      </c>
      <c r="AR617" s="8">
        <v>23323.81</v>
      </c>
      <c r="AS617" s="20">
        <v>56.866962999999998</v>
      </c>
      <c r="AT617" s="8">
        <v>46251079.19473923</v>
      </c>
      <c r="AU617" s="8">
        <v>26815.816299999999</v>
      </c>
      <c r="AV617" s="8">
        <v>3546.2570000000001</v>
      </c>
      <c r="AW617" s="8"/>
      <c r="AX617" s="9">
        <v>436.52136848475931</v>
      </c>
      <c r="AY617" s="6">
        <f t="shared" si="202"/>
        <v>2.2422208066182513E-2</v>
      </c>
      <c r="AZ617" s="8">
        <v>412658538.52509999</v>
      </c>
      <c r="BA617" s="10">
        <v>60480066</v>
      </c>
      <c r="BB617" s="11">
        <v>46251079.19473923</v>
      </c>
      <c r="BC617" s="10">
        <v>2971324</v>
      </c>
      <c r="BD617" s="10">
        <f>1000000000-999057453.0276+281723.282</f>
        <v>1224270.2543999502</v>
      </c>
      <c r="BE617" s="12">
        <f t="shared" si="203"/>
        <v>476414722.02576083</v>
      </c>
      <c r="BF617" s="13">
        <v>233.07730699999999</v>
      </c>
      <c r="BG617" s="13">
        <f t="shared" si="204"/>
        <v>243.33741502576086</v>
      </c>
      <c r="BH617" s="14">
        <f>BE617*54.97</f>
        <v>26188517269.756073</v>
      </c>
    </row>
    <row r="618" spans="1:60" x14ac:dyDescent="0.25">
      <c r="A618" s="3">
        <v>46240</v>
      </c>
      <c r="B618" s="4">
        <v>2569377524</v>
      </c>
      <c r="C618" s="4">
        <v>4585473962</v>
      </c>
      <c r="D618" s="4">
        <v>68060874</v>
      </c>
      <c r="E618" s="4">
        <v>1528911</v>
      </c>
      <c r="F618" s="17">
        <v>678019348.53270328</v>
      </c>
      <c r="G618" s="17">
        <v>1096472.040706208</v>
      </c>
      <c r="H618" s="17">
        <v>4614398.2726426246</v>
      </c>
      <c r="I618" s="17">
        <v>1005419342.00691</v>
      </c>
      <c r="J618" s="17">
        <v>26979575.096728511</v>
      </c>
      <c r="K618" s="17">
        <v>2869344826.0503101</v>
      </c>
      <c r="L618" s="14">
        <f t="shared" si="197"/>
        <v>4585473962.000001</v>
      </c>
      <c r="M618" s="21">
        <v>1.001121153107607</v>
      </c>
      <c r="N618" s="4">
        <v>918205.67</v>
      </c>
      <c r="O618" s="4">
        <v>445887.61</v>
      </c>
      <c r="P618" s="4">
        <v>40450.18</v>
      </c>
      <c r="Q618" s="4">
        <v>11.329955</v>
      </c>
      <c r="R618" s="14">
        <f t="shared" si="184"/>
        <v>1404554.7899549999</v>
      </c>
      <c r="S618" s="6">
        <v>0.01</v>
      </c>
      <c r="T618" s="14">
        <f t="shared" si="185"/>
        <v>9182.056700000001</v>
      </c>
      <c r="U618" s="14">
        <f t="shared" si="186"/>
        <v>2230.9706999999999</v>
      </c>
      <c r="V618" s="14">
        <f t="shared" si="187"/>
        <v>349.58580000000001</v>
      </c>
      <c r="W618" s="14">
        <f t="shared" si="188"/>
        <v>0.11329955</v>
      </c>
      <c r="X618" s="4">
        <v>5491.6</v>
      </c>
      <c r="Y618" s="4">
        <v>222790.54</v>
      </c>
      <c r="Z618" s="4">
        <v>0</v>
      </c>
      <c r="AA618" s="14">
        <f t="shared" si="189"/>
        <v>240044.86649955</v>
      </c>
      <c r="AB618" s="4">
        <v>143249.44889999999</v>
      </c>
      <c r="AC618" s="4">
        <v>918205.67</v>
      </c>
      <c r="AD618" s="14">
        <f t="shared" si="190"/>
        <v>223097.06999999998</v>
      </c>
      <c r="AE618" s="14">
        <f t="shared" si="191"/>
        <v>34958.58</v>
      </c>
      <c r="AF618" s="14">
        <f t="shared" si="192"/>
        <v>11.329955</v>
      </c>
      <c r="AG618" s="15">
        <f t="shared" si="193"/>
        <v>1176272.649955</v>
      </c>
      <c r="AH618" s="4">
        <v>955335.07</v>
      </c>
      <c r="AI618" s="17">
        <f t="shared" si="194"/>
        <v>220937.57995500008</v>
      </c>
      <c r="AJ618" s="7">
        <f t="shared" si="198"/>
        <v>3.5736502768598202</v>
      </c>
      <c r="AK618" s="7">
        <f t="shared" si="199"/>
        <v>0.97239154271747663</v>
      </c>
      <c r="AL618" s="7">
        <f t="shared" si="200"/>
        <v>5.9432354630062498</v>
      </c>
      <c r="AM618" s="7">
        <f t="shared" si="201"/>
        <v>7.4104738601527484E-2</v>
      </c>
      <c r="AN618" s="4">
        <v>5763.0830053248746</v>
      </c>
      <c r="AO618" s="4">
        <v>28536.17</v>
      </c>
      <c r="AP618" s="14">
        <f t="shared" si="195"/>
        <v>989634.32300532481</v>
      </c>
      <c r="AQ618" s="14">
        <f t="shared" si="196"/>
        <v>955335.07</v>
      </c>
      <c r="AR618" s="8">
        <v>17096.36</v>
      </c>
      <c r="AS618" s="20">
        <v>55.879443000000002</v>
      </c>
      <c r="AT618" s="8">
        <v>46268537.254739232</v>
      </c>
      <c r="AU618" s="8">
        <v>26745.7713</v>
      </c>
      <c r="AV618" s="8">
        <v>3239.4025999999999</v>
      </c>
      <c r="AW618" s="8">
        <v>433024</v>
      </c>
      <c r="AX618" s="9">
        <v>436.73177929967602</v>
      </c>
      <c r="AY618" s="6">
        <f t="shared" si="202"/>
        <v>2.2352865047178951E-2</v>
      </c>
      <c r="AZ618" s="8">
        <v>412631792.75379997</v>
      </c>
      <c r="BA618" s="10">
        <v>60480066</v>
      </c>
      <c r="BB618" s="11">
        <v>46268537.254739232</v>
      </c>
      <c r="BC618" s="10">
        <v>2971324</v>
      </c>
      <c r="BD618" s="10">
        <f>1000000000-999054213.625+281824.3639</f>
        <v>1227610.7389</v>
      </c>
      <c r="BE618" s="12">
        <f t="shared" si="203"/>
        <v>476420669.25256085</v>
      </c>
      <c r="BF618" s="13">
        <v>232.644283</v>
      </c>
      <c r="BG618" s="13">
        <f t="shared" si="204"/>
        <v>243.77638625256085</v>
      </c>
      <c r="BH618" s="14">
        <f>BE618*57.04</f>
        <v>27175034974.166069</v>
      </c>
    </row>
    <row r="619" spans="1:60" x14ac:dyDescent="0.25">
      <c r="A619" s="3">
        <v>46241</v>
      </c>
      <c r="B619" s="4">
        <v>3054649075</v>
      </c>
      <c r="C619" s="4">
        <v>4349848221.9799995</v>
      </c>
      <c r="D619" s="4">
        <v>88259912</v>
      </c>
      <c r="E619" s="4">
        <v>1151784.58</v>
      </c>
      <c r="F619" s="17">
        <v>835401249.55925167</v>
      </c>
      <c r="G619" s="17">
        <v>1088730.599988854</v>
      </c>
      <c r="H619" s="17">
        <v>7745815.3842930011</v>
      </c>
      <c r="I619" s="17">
        <v>820443251.68777418</v>
      </c>
      <c r="J619" s="17">
        <v>31292200.18470474</v>
      </c>
      <c r="K619" s="17">
        <v>2653876974.5639868</v>
      </c>
      <c r="L619" s="14">
        <f t="shared" si="197"/>
        <v>4349848221.9799995</v>
      </c>
      <c r="M619" s="21">
        <v>1.0011324440286049</v>
      </c>
      <c r="N619" s="4">
        <v>1101846.1499999999</v>
      </c>
      <c r="O619" s="4">
        <v>483706.25</v>
      </c>
      <c r="P619" s="4">
        <v>50092.72</v>
      </c>
      <c r="Q619" s="4">
        <v>5.2554340000000002</v>
      </c>
      <c r="R619" s="14">
        <f t="shared" si="184"/>
        <v>1635650.3754339998</v>
      </c>
      <c r="S619" s="6">
        <v>0.01</v>
      </c>
      <c r="T619" s="14">
        <f t="shared" si="185"/>
        <v>11018.461499999999</v>
      </c>
      <c r="U619" s="14">
        <f t="shared" si="186"/>
        <v>2419.9254000000001</v>
      </c>
      <c r="V619" s="14">
        <f t="shared" si="187"/>
        <v>390.73540000000003</v>
      </c>
      <c r="W619" s="14">
        <f t="shared" si="188"/>
        <v>5.2554340000000005E-2</v>
      </c>
      <c r="X619" s="4">
        <v>11019.18</v>
      </c>
      <c r="Y619" s="4">
        <v>241713.71</v>
      </c>
      <c r="Z619" s="4">
        <v>0</v>
      </c>
      <c r="AA619" s="14">
        <f t="shared" si="189"/>
        <v>266562.06485433999</v>
      </c>
      <c r="AB619" s="4">
        <v>162386.69880000001</v>
      </c>
      <c r="AC619" s="4">
        <v>1101846.1499999999</v>
      </c>
      <c r="AD619" s="14">
        <f t="shared" si="190"/>
        <v>241992.54</v>
      </c>
      <c r="AE619" s="14">
        <f t="shared" si="191"/>
        <v>39073.54</v>
      </c>
      <c r="AF619" s="14">
        <f t="shared" si="192"/>
        <v>5.2554340000000002</v>
      </c>
      <c r="AG619" s="15">
        <f t="shared" si="193"/>
        <v>1382917.4854339999</v>
      </c>
      <c r="AH619" s="4">
        <v>1158314.4099999999</v>
      </c>
      <c r="AI619" s="17">
        <f t="shared" si="194"/>
        <v>224603.075434</v>
      </c>
      <c r="AJ619" s="7">
        <f t="shared" si="198"/>
        <v>3.6071120542709147</v>
      </c>
      <c r="AK619" s="7">
        <f t="shared" si="199"/>
        <v>1.1120071904022035</v>
      </c>
      <c r="AL619" s="7">
        <f t="shared" si="200"/>
        <v>5.675591428189958</v>
      </c>
      <c r="AM619" s="7">
        <f t="shared" si="201"/>
        <v>4.5628619198913041E-2</v>
      </c>
      <c r="AN619" s="4">
        <v>9031.8106934084863</v>
      </c>
      <c r="AO619" s="4">
        <v>0</v>
      </c>
      <c r="AP619" s="14">
        <f t="shared" si="195"/>
        <v>1167346.2206934085</v>
      </c>
      <c r="AQ619" s="14">
        <f t="shared" si="196"/>
        <v>1158314.4099999999</v>
      </c>
      <c r="AR619" s="8">
        <v>20771.16</v>
      </c>
      <c r="AS619" s="20">
        <v>55.765514000000003</v>
      </c>
      <c r="AT619" s="8">
        <v>46289039.154739231</v>
      </c>
      <c r="AU619" s="8">
        <v>26693.142599999999</v>
      </c>
      <c r="AV619" s="8">
        <v>4433.8721999999998</v>
      </c>
      <c r="AW619" s="8"/>
      <c r="AX619" s="9">
        <v>436.85831105068269</v>
      </c>
      <c r="AY619" s="6">
        <f t="shared" si="202"/>
        <v>2.2302418890846408E-2</v>
      </c>
      <c r="AZ619" s="8">
        <v>412605099.61119998</v>
      </c>
      <c r="BA619" s="10">
        <v>60480066</v>
      </c>
      <c r="BB619" s="11">
        <v>46289039.154739231</v>
      </c>
      <c r="BC619" s="10">
        <v>2971324</v>
      </c>
      <c r="BD619" s="10">
        <f>1000000000-999049779.7528+281986.4538</f>
        <v>1232206.7010000122</v>
      </c>
      <c r="BE619" s="12">
        <f t="shared" si="203"/>
        <v>476422264.53306073</v>
      </c>
      <c r="BF619" s="13">
        <v>232.644283</v>
      </c>
      <c r="BG619" s="13">
        <f t="shared" si="204"/>
        <v>243.77798153306074</v>
      </c>
      <c r="BH619" s="14">
        <f>BE619*55.74</f>
        <v>26555777025.072807</v>
      </c>
    </row>
    <row r="620" spans="1:60" x14ac:dyDescent="0.25">
      <c r="A620" s="3">
        <v>46242</v>
      </c>
      <c r="B620" s="4">
        <v>1036862253</v>
      </c>
      <c r="C620" s="4">
        <v>492765489.43000001</v>
      </c>
      <c r="D620" s="4">
        <v>31322322</v>
      </c>
      <c r="E620" s="4">
        <v>944572.95</v>
      </c>
      <c r="F620" s="17">
        <v>88751992.039507702</v>
      </c>
      <c r="G620" s="17">
        <v>1687406.4426056789</v>
      </c>
      <c r="H620" s="17">
        <v>885186.31987883558</v>
      </c>
      <c r="I620" s="17">
        <v>119016806.6337633</v>
      </c>
      <c r="J620" s="17">
        <v>5444135.2493178863</v>
      </c>
      <c r="K620" s="17">
        <v>276979962.74492657</v>
      </c>
      <c r="L620" s="14">
        <f t="shared" si="197"/>
        <v>492765489.42999995</v>
      </c>
      <c r="M620" s="21">
        <v>1.0055129616659799</v>
      </c>
      <c r="N620" s="4">
        <v>526893.61</v>
      </c>
      <c r="O620" s="4">
        <v>90738.95</v>
      </c>
      <c r="P620" s="4">
        <v>18605.490000000002</v>
      </c>
      <c r="Q620" s="4">
        <v>1.8027899999999999</v>
      </c>
      <c r="R620" s="14">
        <f t="shared" si="184"/>
        <v>636239.85278999992</v>
      </c>
      <c r="S620" s="6">
        <v>0.01</v>
      </c>
      <c r="T620" s="14">
        <f t="shared" si="185"/>
        <v>5268.9360999999999</v>
      </c>
      <c r="U620" s="14">
        <f t="shared" si="186"/>
        <v>454.90600000000001</v>
      </c>
      <c r="V620" s="14">
        <f t="shared" si="187"/>
        <v>148.42230000000001</v>
      </c>
      <c r="W620" s="14">
        <f t="shared" si="188"/>
        <v>1.8027899999999999E-2</v>
      </c>
      <c r="X620" s="4">
        <v>3763.26</v>
      </c>
      <c r="Y620" s="4">
        <v>45248.35</v>
      </c>
      <c r="Z620" s="4">
        <v>0</v>
      </c>
      <c r="AA620" s="14">
        <f t="shared" si="189"/>
        <v>54883.892427899998</v>
      </c>
      <c r="AB620" s="4">
        <v>68106.201799999995</v>
      </c>
      <c r="AC620" s="4">
        <v>526893.61</v>
      </c>
      <c r="AD620" s="14">
        <f t="shared" si="190"/>
        <v>45490.6</v>
      </c>
      <c r="AE620" s="14">
        <f t="shared" si="191"/>
        <v>14842.230000000001</v>
      </c>
      <c r="AF620" s="14">
        <f t="shared" si="192"/>
        <v>1.8027899999999999</v>
      </c>
      <c r="AG620" s="15">
        <f t="shared" si="193"/>
        <v>587228.24278999993</v>
      </c>
      <c r="AH620" s="4">
        <v>376973.63</v>
      </c>
      <c r="AI620" s="17">
        <f t="shared" si="194"/>
        <v>210254.61278999993</v>
      </c>
      <c r="AJ620" s="7">
        <f t="shared" si="198"/>
        <v>5.0816162752141389</v>
      </c>
      <c r="AK620" s="7">
        <f t="shared" si="199"/>
        <v>1.8414225822705459</v>
      </c>
      <c r="AL620" s="7">
        <f t="shared" si="200"/>
        <v>5.9400098115331303</v>
      </c>
      <c r="AM620" s="7">
        <f t="shared" si="201"/>
        <v>1.9085767806499222E-2</v>
      </c>
      <c r="AN620" s="4">
        <v>2114.6960975789571</v>
      </c>
      <c r="AO620" s="4">
        <v>27039.62</v>
      </c>
      <c r="AP620" s="14">
        <f t="shared" si="195"/>
        <v>406127.94609757897</v>
      </c>
      <c r="AQ620" s="14">
        <f t="shared" si="196"/>
        <v>376973.63</v>
      </c>
      <c r="AR620" s="8">
        <v>6897.34</v>
      </c>
      <c r="AS620" s="20">
        <v>54.654929000000003</v>
      </c>
      <c r="AT620" s="8">
        <v>46295844.51473923</v>
      </c>
      <c r="AU620" s="8">
        <v>26673.574100000002</v>
      </c>
      <c r="AV620" s="8">
        <v>2558.6772999999998</v>
      </c>
      <c r="AW620" s="8"/>
      <c r="AX620" s="9">
        <v>436.53393774003558</v>
      </c>
      <c r="AY620" s="6">
        <f t="shared" si="202"/>
        <v>2.2302629199697849E-2</v>
      </c>
      <c r="AZ620" s="8">
        <v>412578426.03710002</v>
      </c>
      <c r="BA620" s="10">
        <v>60480066</v>
      </c>
      <c r="BB620" s="11">
        <v>46295844.51473923</v>
      </c>
      <c r="BC620" s="10">
        <v>2971324</v>
      </c>
      <c r="BD620" s="10">
        <f>1000000000-999047221.0754+282025.5562</f>
        <v>1234804.4808000051</v>
      </c>
      <c r="BE620" s="12">
        <f t="shared" si="203"/>
        <v>476439534.96736068</v>
      </c>
      <c r="BF620" s="13">
        <v>232.644283</v>
      </c>
      <c r="BG620" s="13">
        <f t="shared" si="204"/>
        <v>243.79525196736066</v>
      </c>
      <c r="BH620" s="14">
        <f>BE620*54.11</f>
        <v>25780143237.083885</v>
      </c>
    </row>
    <row r="621" spans="1:60" x14ac:dyDescent="0.25">
      <c r="A621" s="3">
        <v>46243</v>
      </c>
      <c r="B621" s="4">
        <v>1421013424</v>
      </c>
      <c r="C621" s="4">
        <v>666680923.77999997</v>
      </c>
      <c r="D621" s="4">
        <v>44600862</v>
      </c>
      <c r="E621" s="4">
        <v>1077492.5</v>
      </c>
      <c r="F621" s="17">
        <v>182313333.3297947</v>
      </c>
      <c r="G621" s="17">
        <v>675713.37210165442</v>
      </c>
      <c r="H621" s="17">
        <v>1858366.7015854949</v>
      </c>
      <c r="I621" s="17">
        <v>216257879.9388403</v>
      </c>
      <c r="J621" s="17">
        <v>5876318.8274925128</v>
      </c>
      <c r="K621" s="17">
        <v>259699311.6101853</v>
      </c>
      <c r="L621" s="14">
        <f t="shared" si="197"/>
        <v>666680923.77999997</v>
      </c>
      <c r="M621" s="21">
        <v>1.0140263436850441</v>
      </c>
      <c r="N621" s="4">
        <v>698524.51</v>
      </c>
      <c r="O621" s="4">
        <v>105138.11</v>
      </c>
      <c r="P621" s="4">
        <v>26560.93</v>
      </c>
      <c r="Q621" s="4">
        <v>3.2049560000000001</v>
      </c>
      <c r="R621" s="14">
        <f t="shared" si="184"/>
        <v>830226.75495600002</v>
      </c>
      <c r="S621" s="6">
        <v>0.01</v>
      </c>
      <c r="T621" s="14">
        <f t="shared" si="185"/>
        <v>6985.2451000000001</v>
      </c>
      <c r="U621" s="14">
        <f t="shared" si="186"/>
        <v>526.31150000000002</v>
      </c>
      <c r="V621" s="14">
        <f t="shared" si="187"/>
        <v>198.53900000000002</v>
      </c>
      <c r="W621" s="14">
        <f t="shared" si="188"/>
        <v>3.2049560000000005E-2</v>
      </c>
      <c r="X621" s="4">
        <v>6707.03</v>
      </c>
      <c r="Y621" s="4">
        <v>52506.96</v>
      </c>
      <c r="Z621" s="4">
        <v>0</v>
      </c>
      <c r="AA621" s="14">
        <f t="shared" si="189"/>
        <v>66924.117649559994</v>
      </c>
      <c r="AB621" s="4">
        <v>76406.309999999983</v>
      </c>
      <c r="AC621" s="4">
        <v>698524.51</v>
      </c>
      <c r="AD621" s="14">
        <f t="shared" si="190"/>
        <v>52631.15</v>
      </c>
      <c r="AE621" s="14">
        <f t="shared" si="191"/>
        <v>19853.900000000001</v>
      </c>
      <c r="AF621" s="14">
        <f t="shared" si="192"/>
        <v>3.2049560000000001</v>
      </c>
      <c r="AG621" s="15">
        <f t="shared" si="193"/>
        <v>771012.76495600003</v>
      </c>
      <c r="AH621" s="4">
        <v>528359.37</v>
      </c>
      <c r="AI621" s="17">
        <f t="shared" si="194"/>
        <v>242653.39495600003</v>
      </c>
      <c r="AJ621" s="7">
        <f t="shared" si="198"/>
        <v>4.915678474266123</v>
      </c>
      <c r="AK621" s="7">
        <f t="shared" si="199"/>
        <v>1.5770379239873802</v>
      </c>
      <c r="AL621" s="7">
        <f t="shared" si="200"/>
        <v>5.9552503716183782</v>
      </c>
      <c r="AM621" s="7">
        <f t="shared" si="201"/>
        <v>2.974457826852623E-2</v>
      </c>
      <c r="AN621" s="4">
        <v>3202.5622006832209</v>
      </c>
      <c r="AO621" s="4">
        <v>0</v>
      </c>
      <c r="AP621" s="14">
        <f t="shared" si="195"/>
        <v>531561.93220068316</v>
      </c>
      <c r="AQ621" s="14">
        <f t="shared" si="196"/>
        <v>528359.37</v>
      </c>
      <c r="AR621" s="8">
        <v>9681.39</v>
      </c>
      <c r="AS621" s="20">
        <v>54.574742999999998</v>
      </c>
      <c r="AT621" s="8">
        <v>46306397.614739232</v>
      </c>
      <c r="AU621" s="8">
        <v>26661.019700000001</v>
      </c>
      <c r="AV621" s="8">
        <v>1171.6269</v>
      </c>
      <c r="AW621" s="8"/>
      <c r="AX621" s="9">
        <v>436.57639236455827</v>
      </c>
      <c r="AY621" s="6">
        <f t="shared" si="202"/>
        <v>2.2289964278173816E-2</v>
      </c>
      <c r="AZ621" s="8">
        <v>412551765.01740003</v>
      </c>
      <c r="BA621" s="10">
        <v>60480066</v>
      </c>
      <c r="BB621" s="11">
        <v>46306397.614739232</v>
      </c>
      <c r="BC621" s="10">
        <v>2971324</v>
      </c>
      <c r="BD621" s="10">
        <f>1000000000-999046049.4485+282083.6937</f>
        <v>1236034.2451999628</v>
      </c>
      <c r="BE621" s="12">
        <f t="shared" si="203"/>
        <v>476454413.12266076</v>
      </c>
      <c r="BF621" s="13">
        <v>232.644283</v>
      </c>
      <c r="BG621" s="13">
        <f t="shared" si="204"/>
        <v>243.81013012266075</v>
      </c>
      <c r="BH621" s="14">
        <f>BE621*55.12</f>
        <v>26262167251.32106</v>
      </c>
    </row>
    <row r="622" spans="1:60" x14ac:dyDescent="0.25">
      <c r="A622" s="3">
        <v>46244</v>
      </c>
      <c r="B622" s="4">
        <v>3102743771</v>
      </c>
      <c r="C622" s="4">
        <v>3352041531.6799998</v>
      </c>
      <c r="D622" s="4">
        <v>71507029</v>
      </c>
      <c r="E622" s="4">
        <v>1518457.99</v>
      </c>
      <c r="F622" s="17">
        <v>651677619.65413141</v>
      </c>
      <c r="G622" s="17">
        <v>616049.00835168385</v>
      </c>
      <c r="H622" s="17">
        <v>5312528.9249167889</v>
      </c>
      <c r="I622" s="17">
        <v>662190792.94449186</v>
      </c>
      <c r="J622" s="17">
        <v>18569038.616112631</v>
      </c>
      <c r="K622" s="17">
        <v>2013675502.531996</v>
      </c>
      <c r="L622" s="14">
        <f t="shared" si="197"/>
        <v>3352041531.6800003</v>
      </c>
      <c r="M622" s="21">
        <v>1.003102684089342</v>
      </c>
      <c r="N622" s="4">
        <v>1127397.6299999999</v>
      </c>
      <c r="O622" s="4">
        <v>326131.76</v>
      </c>
      <c r="P622" s="4">
        <v>41384.839999999997</v>
      </c>
      <c r="Q622" s="4">
        <v>5.7266950000000003</v>
      </c>
      <c r="R622" s="14">
        <f t="shared" si="184"/>
        <v>1494919.9566949999</v>
      </c>
      <c r="S622" s="6">
        <v>0.01</v>
      </c>
      <c r="T622" s="14">
        <f t="shared" si="185"/>
        <v>11273.976299999998</v>
      </c>
      <c r="U622" s="14">
        <f t="shared" si="186"/>
        <v>1631.3468000000003</v>
      </c>
      <c r="V622" s="14">
        <f t="shared" si="187"/>
        <v>300.12949999999995</v>
      </c>
      <c r="W622" s="14">
        <f t="shared" si="188"/>
        <v>5.7266950000000004E-2</v>
      </c>
      <c r="X622" s="4">
        <v>11371.89</v>
      </c>
      <c r="Y622" s="4">
        <v>162997.07999999999</v>
      </c>
      <c r="Z622" s="4">
        <v>0</v>
      </c>
      <c r="AA622" s="14">
        <f t="shared" si="189"/>
        <v>187574.47986694999</v>
      </c>
      <c r="AB622" s="4">
        <v>132420.22140000001</v>
      </c>
      <c r="AC622" s="4">
        <v>1127397.6299999999</v>
      </c>
      <c r="AD622" s="14">
        <f t="shared" si="190"/>
        <v>163134.68000000002</v>
      </c>
      <c r="AE622" s="14">
        <f t="shared" si="191"/>
        <v>30012.949999999997</v>
      </c>
      <c r="AF622" s="14">
        <f t="shared" si="192"/>
        <v>5.7266950000000003</v>
      </c>
      <c r="AG622" s="15">
        <f t="shared" si="193"/>
        <v>1320550.9866949997</v>
      </c>
      <c r="AH622" s="4">
        <v>1105475.01</v>
      </c>
      <c r="AI622" s="17">
        <f t="shared" si="194"/>
        <v>215075.97669499973</v>
      </c>
      <c r="AJ622" s="7">
        <f t="shared" si="198"/>
        <v>3.6335505385178641</v>
      </c>
      <c r="AK622" s="7">
        <f t="shared" si="199"/>
        <v>0.97293472326563624</v>
      </c>
      <c r="AL622" s="7">
        <f t="shared" si="200"/>
        <v>5.7875205526997915</v>
      </c>
      <c r="AM622" s="7">
        <f t="shared" si="201"/>
        <v>3.7713884991971362E-2</v>
      </c>
      <c r="AN622" s="4">
        <v>7010.6727645619139</v>
      </c>
      <c r="AO622" s="4">
        <v>26927.05</v>
      </c>
      <c r="AP622" s="14">
        <f t="shared" si="195"/>
        <v>1139412.7327645619</v>
      </c>
      <c r="AQ622" s="14">
        <f t="shared" si="196"/>
        <v>1105475.01</v>
      </c>
      <c r="AR622" s="8">
        <v>20254.150000000001</v>
      </c>
      <c r="AS622" s="20">
        <v>54.580173000000002</v>
      </c>
      <c r="AT622" s="8">
        <v>46326169.974739231</v>
      </c>
      <c r="AU622" s="8">
        <v>26663.481400000001</v>
      </c>
      <c r="AV622" s="8">
        <v>1463.8551</v>
      </c>
      <c r="AW622" s="8"/>
      <c r="AX622" s="9">
        <v>436.73949355351328</v>
      </c>
      <c r="AY622" s="6">
        <f t="shared" si="202"/>
        <v>2.2283697386317382E-2</v>
      </c>
      <c r="AZ622" s="8">
        <v>412525101.53600001</v>
      </c>
      <c r="BA622" s="10">
        <v>60480066</v>
      </c>
      <c r="BB622" s="11">
        <v>46326169.974739231</v>
      </c>
      <c r="BC622" s="10">
        <v>2971324</v>
      </c>
      <c r="BD622" s="10">
        <f>1000000000-999044585.5935+282213.7328</f>
        <v>1237628.1392999818</v>
      </c>
      <c r="BE622" s="12">
        <f t="shared" si="203"/>
        <v>476459710.34996074</v>
      </c>
      <c r="BF622" s="13">
        <v>232.644283</v>
      </c>
      <c r="BG622" s="13">
        <f t="shared" si="204"/>
        <v>243.81542734996074</v>
      </c>
      <c r="BH622" s="14">
        <f>BE622*53.94</f>
        <v>25700236776.276882</v>
      </c>
    </row>
    <row r="623" spans="1:60" x14ac:dyDescent="0.25">
      <c r="A623" s="3">
        <v>46245</v>
      </c>
      <c r="B623" s="4">
        <v>2495473821</v>
      </c>
      <c r="C623" s="4">
        <v>2852247265.6399999</v>
      </c>
      <c r="D623" s="4">
        <v>73000655</v>
      </c>
      <c r="E623" s="4">
        <v>1089851.8999999999</v>
      </c>
      <c r="F623" s="17">
        <v>705373448.34856081</v>
      </c>
      <c r="G623" s="17">
        <v>1121763.9720431149</v>
      </c>
      <c r="H623" s="17">
        <v>2209035.6294139661</v>
      </c>
      <c r="I623" s="17">
        <v>546521014.39985108</v>
      </c>
      <c r="J623" s="17">
        <v>18934023.985679641</v>
      </c>
      <c r="K623" s="17">
        <v>1578087979.304451</v>
      </c>
      <c r="L623" s="14">
        <f t="shared" si="197"/>
        <v>2852247265.6399994</v>
      </c>
      <c r="M623" s="21">
        <v>1.00025365746232</v>
      </c>
      <c r="N623" s="4">
        <v>926673.22</v>
      </c>
      <c r="O623" s="4">
        <v>314801.94</v>
      </c>
      <c r="P623" s="4">
        <v>44609.55</v>
      </c>
      <c r="Q623" s="4">
        <v>1.4034789999999999</v>
      </c>
      <c r="R623" s="14">
        <f t="shared" si="184"/>
        <v>1286086.1134790001</v>
      </c>
      <c r="S623" s="6">
        <v>0.01</v>
      </c>
      <c r="T623" s="14">
        <f t="shared" si="185"/>
        <v>9266.7322000000004</v>
      </c>
      <c r="U623" s="14">
        <f t="shared" si="186"/>
        <v>1575.4726000000001</v>
      </c>
      <c r="V623" s="14">
        <f t="shared" si="187"/>
        <v>320.71120000000002</v>
      </c>
      <c r="W623" s="14">
        <f t="shared" si="188"/>
        <v>1.403479E-2</v>
      </c>
      <c r="X623" s="4">
        <v>12538.43</v>
      </c>
      <c r="Y623" s="4">
        <v>157254.68</v>
      </c>
      <c r="Z623" s="4">
        <v>0</v>
      </c>
      <c r="AA623" s="14">
        <f t="shared" si="189"/>
        <v>180956.04003479</v>
      </c>
      <c r="AB623" s="4">
        <v>134686.7377</v>
      </c>
      <c r="AC623" s="4">
        <v>926673.22</v>
      </c>
      <c r="AD623" s="14">
        <f t="shared" si="190"/>
        <v>157547.26</v>
      </c>
      <c r="AE623" s="14">
        <f t="shared" si="191"/>
        <v>32071.120000000003</v>
      </c>
      <c r="AF623" s="14">
        <f t="shared" si="192"/>
        <v>1.4034789999999999</v>
      </c>
      <c r="AG623" s="15">
        <f t="shared" si="193"/>
        <v>1116293.0034790002</v>
      </c>
      <c r="AH623" s="4">
        <v>899682.1</v>
      </c>
      <c r="AI623" s="17">
        <f t="shared" si="194"/>
        <v>216610.9034790002</v>
      </c>
      <c r="AJ623" s="7">
        <f t="shared" si="198"/>
        <v>3.7134159140513776</v>
      </c>
      <c r="AK623" s="7">
        <f t="shared" si="199"/>
        <v>1.103697928970977</v>
      </c>
      <c r="AL623" s="7">
        <f t="shared" si="200"/>
        <v>6.1108424301124424</v>
      </c>
      <c r="AM623" s="7">
        <f t="shared" si="201"/>
        <v>1.2877703842145892E-2</v>
      </c>
      <c r="AN623" s="4">
        <v>5602.290326933964</v>
      </c>
      <c r="AO623" s="4">
        <v>0</v>
      </c>
      <c r="AP623" s="14">
        <f t="shared" si="195"/>
        <v>905284.39032693394</v>
      </c>
      <c r="AQ623" s="14">
        <f t="shared" si="196"/>
        <v>899682.1</v>
      </c>
      <c r="AR623" s="8">
        <v>16464.11</v>
      </c>
      <c r="AS623" s="20">
        <v>54.645049</v>
      </c>
      <c r="AT623" s="8">
        <v>46342893.704739228</v>
      </c>
      <c r="AU623" s="8">
        <v>26665.651300000001</v>
      </c>
      <c r="AV623" s="8">
        <v>2805.3251</v>
      </c>
      <c r="AW623" s="8"/>
      <c r="AX623" s="9">
        <v>436.78675859608131</v>
      </c>
      <c r="AY623" s="6">
        <f t="shared" si="202"/>
        <v>2.2283099322387107E-2</v>
      </c>
      <c r="AZ623" s="8">
        <v>412498435.8847</v>
      </c>
      <c r="BA623" s="10">
        <v>60480066</v>
      </c>
      <c r="BB623" s="11">
        <v>46342893.704739228</v>
      </c>
      <c r="BC623" s="10">
        <v>2971324</v>
      </c>
      <c r="BD623" s="10">
        <f>1000000000-999041780.2683+282315.6705</f>
        <v>1240535.4021999435</v>
      </c>
      <c r="BE623" s="12">
        <f t="shared" si="203"/>
        <v>476466745.0083608</v>
      </c>
      <c r="BF623" s="13">
        <v>232.644283</v>
      </c>
      <c r="BG623" s="13">
        <f t="shared" si="204"/>
        <v>243.82246200836082</v>
      </c>
      <c r="BH623" s="14">
        <f>BE623*54.96</f>
        <v>26186612305.659512</v>
      </c>
    </row>
    <row r="624" spans="1:60" x14ac:dyDescent="0.25">
      <c r="A624" s="3">
        <v>46246</v>
      </c>
      <c r="B624" s="4">
        <v>3008298890</v>
      </c>
      <c r="C624" s="4">
        <v>3651438232.75</v>
      </c>
      <c r="D624" s="4">
        <v>74193896</v>
      </c>
      <c r="E624" s="4">
        <v>1041701.19</v>
      </c>
      <c r="F624" s="17">
        <v>605889809.99124539</v>
      </c>
      <c r="G624" s="17">
        <v>725810.19578275853</v>
      </c>
      <c r="H624" s="17">
        <v>5295591.1448780457</v>
      </c>
      <c r="I624" s="17">
        <v>611673025.7676723</v>
      </c>
      <c r="J624" s="17">
        <v>40645184.397160307</v>
      </c>
      <c r="K624" s="17">
        <v>2387208811.253262</v>
      </c>
      <c r="L624" s="14">
        <f t="shared" si="197"/>
        <v>3651438232.750001</v>
      </c>
      <c r="M624" s="21">
        <v>0.99981630411277356</v>
      </c>
      <c r="N624" s="4">
        <v>1101499.9099999999</v>
      </c>
      <c r="O624" s="4">
        <v>395668.88</v>
      </c>
      <c r="P624" s="4">
        <v>42290.61</v>
      </c>
      <c r="Q624" s="4">
        <v>4.7844879999999996</v>
      </c>
      <c r="R624" s="14">
        <f t="shared" si="184"/>
        <v>1539464.1844880001</v>
      </c>
      <c r="S624" s="6">
        <v>0.01</v>
      </c>
      <c r="T624" s="14">
        <f t="shared" si="185"/>
        <v>11014.999099999999</v>
      </c>
      <c r="U624" s="14">
        <f t="shared" si="186"/>
        <v>1979.3745000000001</v>
      </c>
      <c r="V624" s="14">
        <f t="shared" si="187"/>
        <v>323.44889999999998</v>
      </c>
      <c r="W624" s="14">
        <f t="shared" si="188"/>
        <v>4.7844879999999999E-2</v>
      </c>
      <c r="X624" s="4">
        <v>9945.7199999999993</v>
      </c>
      <c r="Y624" s="4">
        <v>197731.43</v>
      </c>
      <c r="Z624" s="4">
        <v>0</v>
      </c>
      <c r="AA624" s="14">
        <f t="shared" si="189"/>
        <v>220995.02034488</v>
      </c>
      <c r="AB624" s="4">
        <v>150988.8988</v>
      </c>
      <c r="AC624" s="4">
        <v>1101499.9099999999</v>
      </c>
      <c r="AD624" s="14">
        <f t="shared" si="190"/>
        <v>197937.45</v>
      </c>
      <c r="AE624" s="14">
        <f t="shared" si="191"/>
        <v>32344.89</v>
      </c>
      <c r="AF624" s="14">
        <f t="shared" si="192"/>
        <v>4.7844879999999996</v>
      </c>
      <c r="AG624" s="15">
        <f t="shared" si="193"/>
        <v>1331787.0344879997</v>
      </c>
      <c r="AH624" s="4">
        <v>1103857.1399999999</v>
      </c>
      <c r="AI624" s="17">
        <f t="shared" si="194"/>
        <v>227929.89448799985</v>
      </c>
      <c r="AJ624" s="7">
        <f t="shared" si="198"/>
        <v>3.6615374677746861</v>
      </c>
      <c r="AK624" s="7">
        <f t="shared" si="199"/>
        <v>1.0835973520001481</v>
      </c>
      <c r="AL624" s="7">
        <f t="shared" si="200"/>
        <v>5.700012033334926</v>
      </c>
      <c r="AM624" s="7">
        <f t="shared" si="201"/>
        <v>4.5929562584065019E-2</v>
      </c>
      <c r="AN624" s="4">
        <v>7368.0495734284259</v>
      </c>
      <c r="AO624" s="4">
        <v>0</v>
      </c>
      <c r="AP624" s="14">
        <f t="shared" si="195"/>
        <v>1111225.1895734284</v>
      </c>
      <c r="AQ624" s="14">
        <f t="shared" si="196"/>
        <v>1103857.1399999999</v>
      </c>
      <c r="AR624" s="8">
        <v>19864.400000000001</v>
      </c>
      <c r="AS624" s="20">
        <v>55.569619000000003</v>
      </c>
      <c r="AT624" s="8">
        <v>46362108.104739226</v>
      </c>
      <c r="AU624" s="8">
        <v>26668.237799999999</v>
      </c>
      <c r="AV624" s="8">
        <v>1939.0798</v>
      </c>
      <c r="AW624" s="8"/>
      <c r="AX624" s="9">
        <v>436.85851041416993</v>
      </c>
      <c r="AY624" s="6">
        <f t="shared" si="202"/>
        <v>2.2281600483807978E-2</v>
      </c>
      <c r="AZ624" s="8">
        <v>412471767.6469</v>
      </c>
      <c r="BA624" s="10">
        <v>60480066</v>
      </c>
      <c r="BB624" s="11">
        <v>46362108.104739226</v>
      </c>
      <c r="BC624" s="10">
        <v>2971324</v>
      </c>
      <c r="BD624" s="10">
        <f>1000000000-999039841.1885+282450.9336</f>
        <v>1242609.7450999534</v>
      </c>
      <c r="BE624" s="12">
        <f t="shared" si="203"/>
        <v>476472124.50326085</v>
      </c>
      <c r="BF624" s="13">
        <v>232.644283</v>
      </c>
      <c r="BG624" s="13">
        <f t="shared" si="204"/>
        <v>243.82784150326083</v>
      </c>
      <c r="BH624" s="14">
        <f>BE624*54.45</f>
        <v>25943907179.202553</v>
      </c>
    </row>
    <row r="625" spans="1:60" x14ac:dyDescent="0.25">
      <c r="A625" s="3">
        <v>46247</v>
      </c>
      <c r="B625" s="4">
        <v>3132507217</v>
      </c>
      <c r="C625" s="4">
        <v>4183540739.6199999</v>
      </c>
      <c r="D625" s="4">
        <v>72950611</v>
      </c>
      <c r="E625" s="4">
        <v>1189597.01</v>
      </c>
      <c r="F625" s="17">
        <v>601534140.53671825</v>
      </c>
      <c r="G625" s="17">
        <v>725361.66585789819</v>
      </c>
      <c r="H625" s="17">
        <v>2300112.5147576681</v>
      </c>
      <c r="I625" s="17">
        <v>874541797.83472896</v>
      </c>
      <c r="J625" s="17">
        <v>37172286.060468338</v>
      </c>
      <c r="K625" s="17">
        <v>2667267041.0074682</v>
      </c>
      <c r="L625" s="14">
        <f t="shared" si="197"/>
        <v>4183540739.6199994</v>
      </c>
      <c r="M625" s="21">
        <v>0.99930634180812716</v>
      </c>
      <c r="N625" s="4">
        <v>1113839.08</v>
      </c>
      <c r="O625" s="4">
        <v>467315.41</v>
      </c>
      <c r="P625" s="4">
        <v>43221.21</v>
      </c>
      <c r="Q625" s="4">
        <v>6.3904880000000004</v>
      </c>
      <c r="R625" s="14">
        <f t="shared" ref="R625:R688" si="205">N625+O625+P625+N(Q625)</f>
        <v>1624382.0904879998</v>
      </c>
      <c r="S625" s="6">
        <v>0.01</v>
      </c>
      <c r="T625" s="14">
        <f t="shared" ref="T625:T688" si="206">N(AC625)*S625</f>
        <v>11138.390800000001</v>
      </c>
      <c r="U625" s="14">
        <f t="shared" ref="U625:U662" si="207">N(AD625)*S625</f>
        <v>2337.6783</v>
      </c>
      <c r="V625" s="14">
        <f t="shared" ref="V625:V662" si="208">N(AE625)*S625</f>
        <v>355.0188</v>
      </c>
      <c r="W625" s="14">
        <f t="shared" ref="W625:W662" si="209">IF(Q625="","",N(AF625)*S625)</f>
        <v>6.3904880000000011E-2</v>
      </c>
      <c r="X625" s="4">
        <v>7719.33</v>
      </c>
      <c r="Y625" s="4">
        <v>233547.58</v>
      </c>
      <c r="Z625" s="4">
        <v>0</v>
      </c>
      <c r="AA625" s="14">
        <f t="shared" ref="AA625:AA688" si="210">T625+U625+V625+N(W625)+X625+Y625+N(Z625)</f>
        <v>255098.06180487998</v>
      </c>
      <c r="AB625" s="4">
        <v>158271.60159999999</v>
      </c>
      <c r="AC625" s="4">
        <v>1113839.08</v>
      </c>
      <c r="AD625" s="14">
        <f t="shared" ref="AD625:AD662" si="211">O625-Y625</f>
        <v>233767.83</v>
      </c>
      <c r="AE625" s="14">
        <f t="shared" ref="AE625:AE662" si="212">P625-X625</f>
        <v>35501.879999999997</v>
      </c>
      <c r="AF625" s="14">
        <f t="shared" ref="AF625:AF662" si="213">IF(Q625="","",Q625-Z625)</f>
        <v>6.3904880000000004</v>
      </c>
      <c r="AG625" s="15">
        <f t="shared" ref="AG625:AG688" si="214">AC625+AD625+AE625+N(AF625)</f>
        <v>1383115.1804879999</v>
      </c>
      <c r="AH625" s="4">
        <v>1145040.1299999999</v>
      </c>
      <c r="AI625" s="17">
        <f t="shared" ref="AI625:AI688" si="215">AG625-AH625</f>
        <v>238075.05048800004</v>
      </c>
      <c r="AJ625" s="7">
        <f t="shared" si="198"/>
        <v>3.5557430608786369</v>
      </c>
      <c r="AK625" s="7">
        <f t="shared" si="199"/>
        <v>1.1170332478761693</v>
      </c>
      <c r="AL625" s="7">
        <f t="shared" si="200"/>
        <v>5.924722138379348</v>
      </c>
      <c r="AM625" s="7">
        <f t="shared" si="201"/>
        <v>5.3719771874678808E-2</v>
      </c>
      <c r="AN625" s="4">
        <v>6483.8933011755353</v>
      </c>
      <c r="AO625" s="4">
        <v>28018.11</v>
      </c>
      <c r="AP625" s="14">
        <f t="shared" ref="AP625:AP688" si="216">AH625+AN625+AO625</f>
        <v>1179542.1333011754</v>
      </c>
      <c r="AQ625" s="14">
        <f t="shared" ref="AQ625:AQ662" si="217">AH625</f>
        <v>1145040.1299999999</v>
      </c>
      <c r="AR625" s="8">
        <v>19952.41</v>
      </c>
      <c r="AS625" s="20">
        <v>57.388562</v>
      </c>
      <c r="AT625" s="8">
        <v>46382410.674739227</v>
      </c>
      <c r="AU625" s="8">
        <v>26674.8495</v>
      </c>
      <c r="AV625" s="8">
        <v>1796.9511</v>
      </c>
      <c r="AW625" s="8"/>
      <c r="AX625" s="9">
        <v>437.38872501414261</v>
      </c>
      <c r="AY625" s="6">
        <f t="shared" si="202"/>
        <v>2.22601075672108E-2</v>
      </c>
      <c r="AZ625" s="8">
        <v>412445092.79750001</v>
      </c>
      <c r="BA625" s="10">
        <v>60480066</v>
      </c>
      <c r="BB625" s="11">
        <v>46382410.674739227</v>
      </c>
      <c r="BC625" s="10">
        <v>2971324</v>
      </c>
      <c r="BD625" s="10">
        <f>1000000000-999038044.2374+282565.8046</f>
        <v>1244521.567199945</v>
      </c>
      <c r="BE625" s="12">
        <f t="shared" si="203"/>
        <v>476476584.9605608</v>
      </c>
      <c r="BF625" s="13">
        <v>232.644283</v>
      </c>
      <c r="BG625" s="13">
        <f t="shared" si="204"/>
        <v>243.83230196056078</v>
      </c>
      <c r="BH625" s="14">
        <f>BE625*56.42</f>
        <v>26882808923.474842</v>
      </c>
    </row>
    <row r="626" spans="1:60" x14ac:dyDescent="0.25">
      <c r="A626" s="3">
        <v>46248</v>
      </c>
      <c r="B626" s="4">
        <v>2257619731</v>
      </c>
      <c r="C626" s="4">
        <v>3409427345.1799998</v>
      </c>
      <c r="D626" s="4">
        <v>59627124</v>
      </c>
      <c r="E626" s="4">
        <v>934605.14</v>
      </c>
      <c r="F626" s="17">
        <v>421560450.5852437</v>
      </c>
      <c r="G626" s="17">
        <v>601452.44297920621</v>
      </c>
      <c r="H626" s="17">
        <v>5541449.7504409226</v>
      </c>
      <c r="I626" s="17">
        <v>699111420.65564716</v>
      </c>
      <c r="J626" s="17">
        <v>24847345.6667144</v>
      </c>
      <c r="K626" s="17">
        <v>2257765226.0789752</v>
      </c>
      <c r="L626" s="14">
        <f t="shared" si="197"/>
        <v>3409427345.1800003</v>
      </c>
      <c r="M626" s="21">
        <v>1.0000328779433201</v>
      </c>
      <c r="N626" s="4">
        <v>861779.02</v>
      </c>
      <c r="O626" s="4">
        <v>332372.74</v>
      </c>
      <c r="P626" s="4">
        <v>37763.01</v>
      </c>
      <c r="Q626" s="4">
        <v>0.25842100000000001</v>
      </c>
      <c r="R626" s="14">
        <f t="shared" si="205"/>
        <v>1231915.0284210001</v>
      </c>
      <c r="S626" s="6">
        <v>0.01</v>
      </c>
      <c r="T626" s="14">
        <f t="shared" si="206"/>
        <v>8617.7901999999995</v>
      </c>
      <c r="U626" s="14">
        <f t="shared" si="207"/>
        <v>1662.6638999999998</v>
      </c>
      <c r="V626" s="14">
        <f t="shared" si="208"/>
        <v>291.21950000000004</v>
      </c>
      <c r="W626" s="14">
        <f t="shared" si="209"/>
        <v>2.58421E-3</v>
      </c>
      <c r="X626" s="4">
        <v>8641.06</v>
      </c>
      <c r="Y626" s="4">
        <v>166106.35</v>
      </c>
      <c r="Z626" s="4">
        <v>0</v>
      </c>
      <c r="AA626" s="14">
        <f t="shared" si="210"/>
        <v>185319.08618421</v>
      </c>
      <c r="AB626" s="4">
        <v>136795.04699999999</v>
      </c>
      <c r="AC626" s="4">
        <v>861779.02</v>
      </c>
      <c r="AD626" s="14">
        <f t="shared" si="211"/>
        <v>166266.38999999998</v>
      </c>
      <c r="AE626" s="14">
        <f t="shared" si="212"/>
        <v>29121.950000000004</v>
      </c>
      <c r="AF626" s="14">
        <f t="shared" si="213"/>
        <v>0.25842100000000001</v>
      </c>
      <c r="AG626" s="15">
        <f t="shared" si="214"/>
        <v>1057167.6184210002</v>
      </c>
      <c r="AH626" s="4">
        <v>832659.65</v>
      </c>
      <c r="AI626" s="17">
        <f t="shared" si="215"/>
        <v>224507.96842100017</v>
      </c>
      <c r="AJ626" s="7">
        <f t="shared" si="198"/>
        <v>3.8172018439007878</v>
      </c>
      <c r="AK626" s="7">
        <f t="shared" si="199"/>
        <v>0.9748638300501824</v>
      </c>
      <c r="AL626" s="7">
        <f t="shared" si="200"/>
        <v>6.3331932628513163</v>
      </c>
      <c r="AM626" s="7">
        <f t="shared" si="201"/>
        <v>2.7650286622647935E-3</v>
      </c>
      <c r="AN626" s="4">
        <v>4468.3259290277692</v>
      </c>
      <c r="AO626" s="4">
        <v>28725.3</v>
      </c>
      <c r="AP626" s="14">
        <f t="shared" si="216"/>
        <v>865853.27592902782</v>
      </c>
      <c r="AQ626" s="14">
        <f t="shared" si="217"/>
        <v>832659.65</v>
      </c>
      <c r="AR626" s="8">
        <v>14809.31</v>
      </c>
      <c r="AS626" s="20">
        <v>56.225417999999998</v>
      </c>
      <c r="AT626" s="8">
        <v>46397199.69473923</v>
      </c>
      <c r="AU626" s="8">
        <v>26686.621899999998</v>
      </c>
      <c r="AV626" s="8">
        <v>2665.4971999999998</v>
      </c>
      <c r="AW626" s="8"/>
      <c r="AX626" s="9">
        <v>437.35326808847969</v>
      </c>
      <c r="AY626" s="6">
        <f t="shared" si="202"/>
        <v>2.2271737069835734E-2</v>
      </c>
      <c r="AZ626" s="8">
        <v>412418406.17559999</v>
      </c>
      <c r="BA626" s="10">
        <v>60480066</v>
      </c>
      <c r="BB626" s="11">
        <v>46397199.69473923</v>
      </c>
      <c r="BC626" s="10">
        <v>2971324</v>
      </c>
      <c r="BD626" s="10">
        <f>1000000000-999035378.7402+282643.6445</f>
        <v>1247264.9042999572</v>
      </c>
      <c r="BE626" s="12">
        <f t="shared" si="203"/>
        <v>476485739.22536075</v>
      </c>
      <c r="BF626" s="13">
        <v>232.644283</v>
      </c>
      <c r="BG626" s="13">
        <f t="shared" si="204"/>
        <v>243.84145622536076</v>
      </c>
      <c r="BH626" s="14">
        <f>BE626*57.45</f>
        <v>27374105718.496975</v>
      </c>
    </row>
    <row r="627" spans="1:60" x14ac:dyDescent="0.25">
      <c r="A627" s="3">
        <v>46249</v>
      </c>
      <c r="B627" s="4">
        <v>781170684</v>
      </c>
      <c r="C627" s="4">
        <v>294873210.57999998</v>
      </c>
      <c r="D627" s="4">
        <v>30495522</v>
      </c>
      <c r="E627" s="4">
        <v>932121.56</v>
      </c>
      <c r="F627" s="17">
        <v>76994127.950558037</v>
      </c>
      <c r="G627" s="17">
        <v>1132485.9431066271</v>
      </c>
      <c r="H627" s="17">
        <v>1334607.4431047949</v>
      </c>
      <c r="I627" s="17">
        <v>80174203.462250993</v>
      </c>
      <c r="J627" s="17">
        <v>3643001.237160414</v>
      </c>
      <c r="K627" s="17">
        <v>131594784.5438191</v>
      </c>
      <c r="L627" s="14">
        <f t="shared" si="197"/>
        <v>294873210.57999992</v>
      </c>
      <c r="M627" s="21">
        <v>0.99981535341685102</v>
      </c>
      <c r="N627" s="4">
        <v>312628.09000000003</v>
      </c>
      <c r="O627" s="4">
        <v>40579.949999999997</v>
      </c>
      <c r="P627" s="4">
        <v>19209.599999999999</v>
      </c>
      <c r="Q627" s="4">
        <v>40.820056000000001</v>
      </c>
      <c r="R627" s="14">
        <f t="shared" si="205"/>
        <v>372458.46005600004</v>
      </c>
      <c r="S627" s="6">
        <v>0.01</v>
      </c>
      <c r="T627" s="14">
        <f t="shared" si="206"/>
        <v>3126.2809000000002</v>
      </c>
      <c r="U627" s="14">
        <f t="shared" si="207"/>
        <v>204.82939999999999</v>
      </c>
      <c r="V627" s="14">
        <f t="shared" si="208"/>
        <v>157.90009999999998</v>
      </c>
      <c r="W627" s="14">
        <f t="shared" si="209"/>
        <v>0.40820056000000005</v>
      </c>
      <c r="X627" s="4">
        <v>3419.59</v>
      </c>
      <c r="Y627" s="4">
        <v>20097.009999999998</v>
      </c>
      <c r="Z627" s="4">
        <v>0</v>
      </c>
      <c r="AA627" s="14">
        <f t="shared" si="210"/>
        <v>27006.018600559997</v>
      </c>
      <c r="AB627" s="4">
        <v>41155.444300000003</v>
      </c>
      <c r="AC627" s="4">
        <v>312628.09000000003</v>
      </c>
      <c r="AD627" s="14">
        <f t="shared" si="211"/>
        <v>20482.939999999999</v>
      </c>
      <c r="AE627" s="14">
        <f t="shared" si="212"/>
        <v>15790.009999999998</v>
      </c>
      <c r="AF627" s="14">
        <f t="shared" si="213"/>
        <v>40.820056000000001</v>
      </c>
      <c r="AG627" s="15">
        <f t="shared" si="214"/>
        <v>348941.86005600006</v>
      </c>
      <c r="AH627" s="4">
        <v>300036.74</v>
      </c>
      <c r="AI627" s="17">
        <f t="shared" si="215"/>
        <v>48905.120056000073</v>
      </c>
      <c r="AJ627" s="7">
        <f t="shared" si="198"/>
        <v>4.0020458576246316</v>
      </c>
      <c r="AK627" s="7">
        <f t="shared" si="199"/>
        <v>1.3761830015070335</v>
      </c>
      <c r="AL627" s="7">
        <f t="shared" si="200"/>
        <v>6.2991543479727934</v>
      </c>
      <c r="AM627" s="7">
        <f t="shared" si="201"/>
        <v>0.43792631510422309</v>
      </c>
      <c r="AN627" s="4">
        <v>3572.8371238987529</v>
      </c>
      <c r="AO627" s="4">
        <v>28234.13</v>
      </c>
      <c r="AP627" s="14">
        <f t="shared" si="216"/>
        <v>331843.70712389873</v>
      </c>
      <c r="AQ627" s="14">
        <f t="shared" si="217"/>
        <v>300036.74</v>
      </c>
      <c r="AR627" s="8">
        <v>5307.89</v>
      </c>
      <c r="AS627" s="20">
        <v>56.526555000000002</v>
      </c>
      <c r="AT627" s="8">
        <v>46402177.714739233</v>
      </c>
      <c r="AU627" s="8">
        <v>26684.427199999998</v>
      </c>
      <c r="AV627" s="8">
        <v>4429.7885999999999</v>
      </c>
      <c r="AW627" s="8"/>
      <c r="AX627" s="9">
        <v>437.23687658625471</v>
      </c>
      <c r="AY627" s="6">
        <f t="shared" si="202"/>
        <v>2.2275833648899932E-2</v>
      </c>
      <c r="AZ627" s="8">
        <v>412391721.74839997</v>
      </c>
      <c r="BA627" s="10">
        <v>60480066</v>
      </c>
      <c r="BB627" s="11">
        <v>46402177.714739233</v>
      </c>
      <c r="BC627" s="10">
        <v>2971324</v>
      </c>
      <c r="BD627" s="10">
        <f>1000000000-999030948.9516+282707.0242</f>
        <v>1251758.0726000443</v>
      </c>
      <c r="BE627" s="12">
        <f t="shared" si="203"/>
        <v>476502952.46426076</v>
      </c>
      <c r="BF627" s="13">
        <v>232.644283</v>
      </c>
      <c r="BG627" s="13">
        <f t="shared" si="204"/>
        <v>243.85866946426077</v>
      </c>
      <c r="BH627" s="14">
        <f>BE627*56.38</f>
        <v>26865236459.935024</v>
      </c>
    </row>
    <row r="628" spans="1:60" x14ac:dyDescent="0.25">
      <c r="A628" s="3">
        <v>46250</v>
      </c>
      <c r="B628" s="4">
        <v>1283970730</v>
      </c>
      <c r="C628" s="4">
        <v>316060404.60000002</v>
      </c>
      <c r="D628" s="4">
        <v>32558574</v>
      </c>
      <c r="E628" s="4">
        <v>1044381.87</v>
      </c>
      <c r="F628" s="17">
        <v>77035924.47173889</v>
      </c>
      <c r="G628" s="17">
        <v>401977.94024360977</v>
      </c>
      <c r="H628" s="17">
        <v>663761.18980351102</v>
      </c>
      <c r="I628" s="17">
        <v>84811665.95228067</v>
      </c>
      <c r="J628" s="17">
        <v>4136788.5111289131</v>
      </c>
      <c r="K628" s="17">
        <v>149010286.5348044</v>
      </c>
      <c r="L628" s="14">
        <f t="shared" si="197"/>
        <v>316060404.60000002</v>
      </c>
      <c r="M628" s="21">
        <v>1.0068043631401711</v>
      </c>
      <c r="N628" s="4">
        <v>463750.37</v>
      </c>
      <c r="O628" s="4">
        <v>43147.22</v>
      </c>
      <c r="P628" s="4">
        <v>17578.919999999998</v>
      </c>
      <c r="Q628" s="4">
        <v>205.44470000000001</v>
      </c>
      <c r="R628" s="14">
        <f t="shared" si="205"/>
        <v>524681.9547</v>
      </c>
      <c r="S628" s="6">
        <v>0.01</v>
      </c>
      <c r="T628" s="14">
        <f t="shared" si="206"/>
        <v>4637.5037000000002</v>
      </c>
      <c r="U628" s="14">
        <f t="shared" si="207"/>
        <v>216.3614</v>
      </c>
      <c r="V628" s="14">
        <f t="shared" si="208"/>
        <v>129.08989999999997</v>
      </c>
      <c r="W628" s="14">
        <f t="shared" si="209"/>
        <v>2.0544470000000001</v>
      </c>
      <c r="X628" s="4">
        <v>4669.93</v>
      </c>
      <c r="Y628" s="4">
        <v>21511.08</v>
      </c>
      <c r="Z628" s="4">
        <v>0</v>
      </c>
      <c r="AA628" s="14">
        <f t="shared" si="210"/>
        <v>31166.019447000002</v>
      </c>
      <c r="AB628" s="4">
        <v>42124.731299999999</v>
      </c>
      <c r="AC628" s="4">
        <v>463750.37</v>
      </c>
      <c r="AD628" s="14">
        <f t="shared" si="211"/>
        <v>21636.14</v>
      </c>
      <c r="AE628" s="14">
        <f t="shared" si="212"/>
        <v>12908.989999999998</v>
      </c>
      <c r="AF628" s="14">
        <f t="shared" si="213"/>
        <v>205.44470000000001</v>
      </c>
      <c r="AG628" s="15">
        <f t="shared" si="214"/>
        <v>498500.94469999999</v>
      </c>
      <c r="AH628" s="4">
        <v>414334.36</v>
      </c>
      <c r="AI628" s="17">
        <f t="shared" si="215"/>
        <v>84166.584700000007</v>
      </c>
      <c r="AJ628" s="7">
        <f t="shared" si="198"/>
        <v>3.6118453416769087</v>
      </c>
      <c r="AK628" s="7">
        <f t="shared" si="199"/>
        <v>1.3651573994093404</v>
      </c>
      <c r="AL628" s="7">
        <f t="shared" si="200"/>
        <v>5.3991676662497561</v>
      </c>
      <c r="AM628" s="7">
        <f t="shared" si="201"/>
        <v>1.9671415782045316</v>
      </c>
      <c r="AN628" s="4">
        <v>3094.44008180111</v>
      </c>
      <c r="AO628" s="4">
        <v>0</v>
      </c>
      <c r="AP628" s="14">
        <f t="shared" si="216"/>
        <v>417428.80008180108</v>
      </c>
      <c r="AQ628" s="14">
        <f t="shared" si="217"/>
        <v>414334.36</v>
      </c>
      <c r="AR628" s="8">
        <v>7219.24</v>
      </c>
      <c r="AS628" s="20">
        <v>57.393071999999997</v>
      </c>
      <c r="AT628" s="8">
        <v>46409752.69473923</v>
      </c>
      <c r="AU628" s="8">
        <v>26682.1414</v>
      </c>
      <c r="AV628" s="8">
        <v>993.87980000000005</v>
      </c>
      <c r="AW628" s="8"/>
      <c r="AX628" s="9">
        <v>437.24757699112041</v>
      </c>
      <c r="AY628" s="6">
        <f t="shared" si="202"/>
        <v>2.2273380399310431E-2</v>
      </c>
      <c r="AZ628" s="8">
        <v>412365039.60699999</v>
      </c>
      <c r="BA628" s="10">
        <v>60480066</v>
      </c>
      <c r="BB628" s="11">
        <v>46409752.69473923</v>
      </c>
      <c r="BC628" s="10">
        <v>2971324</v>
      </c>
      <c r="BD628" s="10">
        <f>1000000000-999029955.0718+282761.5614</f>
        <v>1252806.4896000065</v>
      </c>
      <c r="BE628" s="12">
        <f t="shared" si="203"/>
        <v>476521011.20866078</v>
      </c>
      <c r="BF628" s="13">
        <v>232.644283</v>
      </c>
      <c r="BG628" s="13">
        <f t="shared" si="204"/>
        <v>243.87672820866081</v>
      </c>
      <c r="BH628" s="14">
        <f>BE628*56.75</f>
        <v>27042567386.091499</v>
      </c>
    </row>
    <row r="629" spans="1:60" x14ac:dyDescent="0.25">
      <c r="A629" s="3">
        <v>46251</v>
      </c>
      <c r="B629" s="4">
        <v>3158203449</v>
      </c>
      <c r="C629" s="4">
        <v>3535705560.0799999</v>
      </c>
      <c r="D629" s="4">
        <v>81728318</v>
      </c>
      <c r="E629" s="4">
        <v>1195402.3700000001</v>
      </c>
      <c r="F629" s="17">
        <v>445761327.55368948</v>
      </c>
      <c r="G629" s="17">
        <v>715486.97946182312</v>
      </c>
      <c r="H629" s="17">
        <v>6194918.4937550873</v>
      </c>
      <c r="I629" s="17">
        <v>677647715.76931036</v>
      </c>
      <c r="J629" s="17">
        <v>58563400.024324529</v>
      </c>
      <c r="K629" s="17">
        <v>2346822711.259459</v>
      </c>
      <c r="L629" s="14">
        <f t="shared" si="197"/>
        <v>3535705560.0799999</v>
      </c>
      <c r="M629" s="21">
        <v>1.006592686505432</v>
      </c>
      <c r="N629" s="4">
        <v>1151487.96</v>
      </c>
      <c r="O629" s="4">
        <v>363086.59</v>
      </c>
      <c r="P629" s="4">
        <v>48269.83</v>
      </c>
      <c r="Q629" s="4">
        <v>227.91333700000001</v>
      </c>
      <c r="R629" s="14">
        <f t="shared" si="205"/>
        <v>1563072.2933370001</v>
      </c>
      <c r="S629" s="6">
        <v>0.01</v>
      </c>
      <c r="T629" s="14">
        <f t="shared" si="206"/>
        <v>11514.8796</v>
      </c>
      <c r="U629" s="14">
        <f t="shared" si="207"/>
        <v>1816.5177000000003</v>
      </c>
      <c r="V629" s="14">
        <f t="shared" si="208"/>
        <v>364.87900000000002</v>
      </c>
      <c r="W629" s="14">
        <f t="shared" si="209"/>
        <v>2.2791333700000003</v>
      </c>
      <c r="X629" s="4">
        <v>11781.93</v>
      </c>
      <c r="Y629" s="4">
        <v>181434.82</v>
      </c>
      <c r="Z629" s="4">
        <v>0</v>
      </c>
      <c r="AA629" s="14">
        <f t="shared" si="210"/>
        <v>206915.30543337</v>
      </c>
      <c r="AB629" s="4">
        <v>154279.10649999999</v>
      </c>
      <c r="AC629" s="4">
        <v>1151487.96</v>
      </c>
      <c r="AD629" s="14">
        <f t="shared" si="211"/>
        <v>181651.77000000002</v>
      </c>
      <c r="AE629" s="14">
        <f t="shared" si="212"/>
        <v>36487.9</v>
      </c>
      <c r="AF629" s="14">
        <f t="shared" si="213"/>
        <v>227.91333700000001</v>
      </c>
      <c r="AG629" s="15">
        <f t="shared" si="214"/>
        <v>1369855.5433369998</v>
      </c>
      <c r="AH629" s="4">
        <v>1078725.18</v>
      </c>
      <c r="AI629" s="17">
        <f t="shared" si="215"/>
        <v>291130.3633369999</v>
      </c>
      <c r="AJ629" s="7">
        <f t="shared" si="198"/>
        <v>3.6460221090715428</v>
      </c>
      <c r="AK629" s="7">
        <f t="shared" si="199"/>
        <v>1.0269141019530617</v>
      </c>
      <c r="AL629" s="7">
        <f t="shared" si="200"/>
        <v>5.9061328045439527</v>
      </c>
      <c r="AM629" s="7">
        <f t="shared" si="201"/>
        <v>1.9065826095024387</v>
      </c>
      <c r="AN629" s="4">
        <v>5328.5840847224772</v>
      </c>
      <c r="AO629" s="4">
        <v>28559.32</v>
      </c>
      <c r="AP629" s="14">
        <f t="shared" si="216"/>
        <v>1112613.0840847224</v>
      </c>
      <c r="AQ629" s="14">
        <f t="shared" si="217"/>
        <v>1078725.18</v>
      </c>
      <c r="AR629" s="8">
        <v>18266.36</v>
      </c>
      <c r="AS629" s="20">
        <v>59.055289999999999</v>
      </c>
      <c r="AT629" s="8">
        <v>46427663.314739227</v>
      </c>
      <c r="AU629" s="8">
        <v>26682.7994</v>
      </c>
      <c r="AV629" s="8">
        <v>1117.7629999999999</v>
      </c>
      <c r="AW629" s="8"/>
      <c r="AX629" s="9">
        <v>437.22537053065167</v>
      </c>
      <c r="AY629" s="6">
        <f t="shared" si="202"/>
        <v>2.2275060958104286E-2</v>
      </c>
      <c r="AZ629" s="8">
        <v>412338356.80760002</v>
      </c>
      <c r="BA629" s="10">
        <v>60480066</v>
      </c>
      <c r="BB629" s="11">
        <v>46427663.314739227</v>
      </c>
      <c r="BC629" s="10">
        <v>2971324</v>
      </c>
      <c r="BD629" s="10">
        <f>1000000000-999028837.3088+282854.6566</f>
        <v>1254017.3478000178</v>
      </c>
      <c r="BE629" s="12">
        <f t="shared" si="203"/>
        <v>476528572.52986073</v>
      </c>
      <c r="BF629" s="13">
        <v>232.644283</v>
      </c>
      <c r="BG629" s="13">
        <f t="shared" si="204"/>
        <v>243.88428952986075</v>
      </c>
      <c r="BH629" s="14">
        <f>BE629*57.22</f>
        <v>27266964920.15863</v>
      </c>
    </row>
    <row r="630" spans="1:60" x14ac:dyDescent="0.25">
      <c r="A630" s="3">
        <v>46252</v>
      </c>
      <c r="B630" s="4">
        <v>2671252505</v>
      </c>
      <c r="C630" s="4">
        <v>4094136487.1700001</v>
      </c>
      <c r="D630" s="4">
        <v>83213833</v>
      </c>
      <c r="E630" s="4">
        <v>902009.9</v>
      </c>
      <c r="F630" s="17">
        <v>424413453.64248991</v>
      </c>
      <c r="G630" s="17">
        <v>1026037.000300184</v>
      </c>
      <c r="H630" s="17">
        <v>5343047.1145408386</v>
      </c>
      <c r="I630" s="17">
        <v>985181188.34589553</v>
      </c>
      <c r="J630" s="17">
        <v>46031273.314814359</v>
      </c>
      <c r="K630" s="17">
        <v>2632141487.7519588</v>
      </c>
      <c r="L630" s="14">
        <f t="shared" si="197"/>
        <v>4094136487.1699996</v>
      </c>
      <c r="M630" s="21">
        <v>1.007608554628499</v>
      </c>
      <c r="N630" s="4">
        <v>965424.69</v>
      </c>
      <c r="O630" s="4">
        <v>397480.41</v>
      </c>
      <c r="P630" s="4">
        <v>46746.490000000013</v>
      </c>
      <c r="Q630" s="4">
        <v>175.20580200000001</v>
      </c>
      <c r="R630" s="14">
        <f t="shared" si="205"/>
        <v>1409826.7958019997</v>
      </c>
      <c r="S630" s="6">
        <v>0.01</v>
      </c>
      <c r="T630" s="14">
        <f t="shared" si="206"/>
        <v>9654.2469000000001</v>
      </c>
      <c r="U630" s="14">
        <f t="shared" si="207"/>
        <v>1989.0400999999999</v>
      </c>
      <c r="V630" s="14">
        <f t="shared" si="208"/>
        <v>378.78910000000013</v>
      </c>
      <c r="W630" s="14">
        <f t="shared" si="209"/>
        <v>1.75205802</v>
      </c>
      <c r="X630" s="4">
        <v>8867.58</v>
      </c>
      <c r="Y630" s="4">
        <v>198576.4</v>
      </c>
      <c r="Z630" s="4">
        <v>0</v>
      </c>
      <c r="AA630" s="14">
        <f t="shared" si="210"/>
        <v>219467.80815801999</v>
      </c>
      <c r="AB630" s="4">
        <v>120511.4482</v>
      </c>
      <c r="AC630" s="4">
        <v>965424.69</v>
      </c>
      <c r="AD630" s="14">
        <f t="shared" si="211"/>
        <v>198904.00999999998</v>
      </c>
      <c r="AE630" s="14">
        <f t="shared" si="212"/>
        <v>37878.910000000011</v>
      </c>
      <c r="AF630" s="14">
        <f t="shared" si="213"/>
        <v>175.20580200000001</v>
      </c>
      <c r="AG630" s="15">
        <f t="shared" si="214"/>
        <v>1202382.8158019998</v>
      </c>
      <c r="AH630" s="4">
        <v>1064398.49</v>
      </c>
      <c r="AI630" s="17">
        <f t="shared" si="215"/>
        <v>137984.32580199977</v>
      </c>
      <c r="AJ630" s="7">
        <f t="shared" si="198"/>
        <v>3.6141274109914217</v>
      </c>
      <c r="AK630" s="7">
        <f t="shared" si="199"/>
        <v>0.97085285565247814</v>
      </c>
      <c r="AL630" s="7">
        <f t="shared" si="200"/>
        <v>5.6176345103583936</v>
      </c>
      <c r="AM630" s="7">
        <f t="shared" si="201"/>
        <v>1.9423933373680267</v>
      </c>
      <c r="AN630" s="4">
        <v>9094.4363860441554</v>
      </c>
      <c r="AO630" s="4">
        <v>29711.8</v>
      </c>
      <c r="AP630" s="14">
        <f t="shared" si="216"/>
        <v>1103204.7263860442</v>
      </c>
      <c r="AQ630" s="14">
        <f t="shared" si="217"/>
        <v>1064398.49</v>
      </c>
      <c r="AR630" s="8">
        <v>17969.669999999998</v>
      </c>
      <c r="AS630" s="20">
        <v>59.233057000000002</v>
      </c>
      <c r="AT630" s="8">
        <v>46446219.01473923</v>
      </c>
      <c r="AU630" s="8">
        <v>26682.458900000001</v>
      </c>
      <c r="AV630" s="8">
        <v>2228.1206000000002</v>
      </c>
      <c r="AW630" s="8"/>
      <c r="AX630" s="9">
        <v>437.29538791913399</v>
      </c>
      <c r="AY630" s="6">
        <f t="shared" si="202"/>
        <v>2.2271210187794127E-2</v>
      </c>
      <c r="AZ630" s="8">
        <v>412311674.34869999</v>
      </c>
      <c r="BA630" s="10">
        <v>60480066</v>
      </c>
      <c r="BB630" s="11">
        <v>46446219.01473923</v>
      </c>
      <c r="BC630" s="10">
        <v>2971324</v>
      </c>
      <c r="BD630" s="10">
        <f>1000000000-999026609.1881+283007.4503</f>
        <v>1256398.2622000198</v>
      </c>
      <c r="BE630" s="12">
        <f t="shared" si="203"/>
        <v>476534318.37436074</v>
      </c>
      <c r="BF630" s="13">
        <v>232.644283</v>
      </c>
      <c r="BG630" s="13">
        <f t="shared" si="204"/>
        <v>243.89003537436074</v>
      </c>
      <c r="BH630" s="14">
        <f>BE630*59.56</f>
        <v>28382384002.376926</v>
      </c>
    </row>
    <row r="631" spans="1:60" x14ac:dyDescent="0.25">
      <c r="A631" s="3">
        <v>46253</v>
      </c>
      <c r="B631" s="4">
        <v>12280971014</v>
      </c>
      <c r="C631" s="4">
        <v>5346201118.29</v>
      </c>
      <c r="D631" s="4">
        <v>339480253</v>
      </c>
      <c r="E631" s="4">
        <v>1288743.8700000001</v>
      </c>
      <c r="F631" s="17">
        <v>519619602.02597868</v>
      </c>
      <c r="G631" s="17">
        <v>3911051.9932779819</v>
      </c>
      <c r="H631" s="17">
        <v>15790710.168831879</v>
      </c>
      <c r="I631" s="17">
        <v>1076423308.600311</v>
      </c>
      <c r="J631" s="17">
        <v>156304012.77256051</v>
      </c>
      <c r="K631" s="17">
        <v>3574152432.7290401</v>
      </c>
      <c r="L631" s="14">
        <f t="shared" si="197"/>
        <v>5346201118.2900009</v>
      </c>
      <c r="M631" s="21">
        <v>1.001460805318013</v>
      </c>
      <c r="N631" s="4">
        <v>4582812.6100000003</v>
      </c>
      <c r="O631" s="4">
        <v>598715.28</v>
      </c>
      <c r="P631" s="4">
        <v>192665.81</v>
      </c>
      <c r="Q631" s="4">
        <v>248.595888</v>
      </c>
      <c r="R631" s="14">
        <f t="shared" si="205"/>
        <v>5374442.2958880002</v>
      </c>
      <c r="S631" s="6">
        <v>0.01</v>
      </c>
      <c r="T631" s="14">
        <f t="shared" si="206"/>
        <v>45828.126100000001</v>
      </c>
      <c r="U631" s="14">
        <f t="shared" si="207"/>
        <v>2998.2110000000002</v>
      </c>
      <c r="V631" s="14">
        <f t="shared" si="208"/>
        <v>1638.7754000000002</v>
      </c>
      <c r="W631" s="14">
        <f t="shared" si="209"/>
        <v>2.4859588800000001</v>
      </c>
      <c r="X631" s="4">
        <v>28788.27</v>
      </c>
      <c r="Y631" s="4">
        <v>298894.18</v>
      </c>
      <c r="Z631" s="4">
        <v>0</v>
      </c>
      <c r="AA631" s="14">
        <f t="shared" si="210"/>
        <v>378150.04845887999</v>
      </c>
      <c r="AB631" s="4">
        <v>397945.67129999993</v>
      </c>
      <c r="AC631" s="4">
        <v>4582812.6100000003</v>
      </c>
      <c r="AD631" s="14">
        <f t="shared" si="211"/>
        <v>299821.10000000003</v>
      </c>
      <c r="AE631" s="14">
        <f t="shared" si="212"/>
        <v>163877.54</v>
      </c>
      <c r="AF631" s="14">
        <f t="shared" si="213"/>
        <v>248.595888</v>
      </c>
      <c r="AG631" s="15">
        <f t="shared" si="214"/>
        <v>5046759.845888</v>
      </c>
      <c r="AH631" s="4">
        <v>4227964.21</v>
      </c>
      <c r="AI631" s="17">
        <f t="shared" si="215"/>
        <v>818795.63588800002</v>
      </c>
      <c r="AJ631" s="7">
        <f t="shared" si="198"/>
        <v>3.7316370218411139</v>
      </c>
      <c r="AK631" s="7">
        <f t="shared" si="199"/>
        <v>1.1198891825294839</v>
      </c>
      <c r="AL631" s="7">
        <f t="shared" si="200"/>
        <v>5.6753171442935155</v>
      </c>
      <c r="AM631" s="7">
        <f t="shared" si="201"/>
        <v>1.9289782383213196</v>
      </c>
      <c r="AN631" s="4">
        <v>138400.8591308312</v>
      </c>
      <c r="AO631" s="4">
        <v>35868.46</v>
      </c>
      <c r="AP631" s="14">
        <f t="shared" si="216"/>
        <v>4402233.5291308314</v>
      </c>
      <c r="AQ631" s="14">
        <f t="shared" si="217"/>
        <v>4227964.21</v>
      </c>
      <c r="AR631" s="8">
        <v>66080.66</v>
      </c>
      <c r="AS631" s="20">
        <v>63.981870000000001</v>
      </c>
      <c r="AT631" s="8">
        <v>46512446.87473923</v>
      </c>
      <c r="AU631" s="8">
        <v>26684.194599999999</v>
      </c>
      <c r="AV631" s="8">
        <v>2734.0567000000001</v>
      </c>
      <c r="AW631" s="8"/>
      <c r="AX631" s="9">
        <v>437.31254267603339</v>
      </c>
      <c r="AY631" s="6">
        <f t="shared" si="202"/>
        <v>2.2271785230306814E-2</v>
      </c>
      <c r="AZ631" s="8">
        <v>412284990.1541</v>
      </c>
      <c r="BA631" s="10">
        <v>60480066</v>
      </c>
      <c r="BB631" s="11">
        <v>46512446.87473923</v>
      </c>
      <c r="BC631" s="10">
        <v>2971324</v>
      </c>
      <c r="BD631" s="10">
        <f>1000000000-999023875.1314+285372.5493</f>
        <v>1261497.4179000109</v>
      </c>
      <c r="BE631" s="12">
        <f t="shared" si="203"/>
        <v>476489675.5532608</v>
      </c>
      <c r="BF631" s="13">
        <v>232.644283</v>
      </c>
      <c r="BG631" s="13">
        <f t="shared" si="204"/>
        <v>243.84539255326078</v>
      </c>
      <c r="BH631" s="14">
        <f>BE631*58.56</f>
        <v>27903235400.398952</v>
      </c>
    </row>
    <row r="632" spans="1:60" x14ac:dyDescent="0.25">
      <c r="A632" s="3">
        <v>46254</v>
      </c>
      <c r="B632" s="4">
        <v>9619444078</v>
      </c>
      <c r="C632" s="4">
        <v>3697678655.3499999</v>
      </c>
      <c r="D632" s="4">
        <v>318784347</v>
      </c>
      <c r="E632" s="4">
        <v>1114887.3899999999</v>
      </c>
      <c r="F632" s="17">
        <v>487260437.63210839</v>
      </c>
      <c r="G632" s="17">
        <v>5719767.8508333126</v>
      </c>
      <c r="H632" s="17">
        <v>10536970.432992101</v>
      </c>
      <c r="I632" s="17">
        <v>788452552.81370461</v>
      </c>
      <c r="J632" s="17">
        <v>99959702.407619193</v>
      </c>
      <c r="K632" s="17">
        <v>2305749224.2127419</v>
      </c>
      <c r="L632" s="14">
        <f t="shared" si="197"/>
        <v>3697678655.3499994</v>
      </c>
      <c r="M632" s="21">
        <v>1.0062381280395629</v>
      </c>
      <c r="N632" s="4">
        <v>3502311</v>
      </c>
      <c r="O632" s="4">
        <v>421633.29</v>
      </c>
      <c r="P632" s="4">
        <v>185319.66</v>
      </c>
      <c r="Q632" s="4">
        <v>213.33517399999999</v>
      </c>
      <c r="R632" s="14">
        <f t="shared" si="205"/>
        <v>4109477.2851740001</v>
      </c>
      <c r="S632" s="6">
        <v>0.01</v>
      </c>
      <c r="T632" s="14">
        <f t="shared" si="206"/>
        <v>35023.11</v>
      </c>
      <c r="U632" s="14">
        <f t="shared" si="207"/>
        <v>2114.6927999999998</v>
      </c>
      <c r="V632" s="14">
        <f t="shared" si="208"/>
        <v>1510.3075000000001</v>
      </c>
      <c r="W632" s="14">
        <f t="shared" si="209"/>
        <v>2.1333517400000002</v>
      </c>
      <c r="X632" s="4">
        <v>34288.910000000003</v>
      </c>
      <c r="Y632" s="4">
        <v>210164.01</v>
      </c>
      <c r="Z632" s="4">
        <v>0</v>
      </c>
      <c r="AA632" s="14">
        <f t="shared" si="210"/>
        <v>283103.16365174</v>
      </c>
      <c r="AB632" s="4">
        <v>349204.29820000002</v>
      </c>
      <c r="AC632" s="4">
        <v>3502311</v>
      </c>
      <c r="AD632" s="14">
        <f t="shared" si="211"/>
        <v>211469.27999999997</v>
      </c>
      <c r="AE632" s="14">
        <f t="shared" si="212"/>
        <v>151030.75</v>
      </c>
      <c r="AF632" s="14">
        <f t="shared" si="213"/>
        <v>213.33517399999999</v>
      </c>
      <c r="AG632" s="15">
        <f t="shared" si="214"/>
        <v>3865024.3651739997</v>
      </c>
      <c r="AH632" s="4">
        <v>3207960.39</v>
      </c>
      <c r="AI632" s="17">
        <f t="shared" si="215"/>
        <v>657063.97517399956</v>
      </c>
      <c r="AJ632" s="7">
        <f t="shared" si="198"/>
        <v>3.640866324084056</v>
      </c>
      <c r="AK632" s="7">
        <f t="shared" si="199"/>
        <v>1.140264823688663</v>
      </c>
      <c r="AL632" s="7">
        <f t="shared" si="200"/>
        <v>5.8133237012418313</v>
      </c>
      <c r="AM632" s="7">
        <f t="shared" si="201"/>
        <v>1.9135132024410106</v>
      </c>
      <c r="AN632" s="4">
        <v>39687.267954462339</v>
      </c>
      <c r="AO632" s="4">
        <v>0</v>
      </c>
      <c r="AP632" s="14">
        <f t="shared" si="216"/>
        <v>3247647.6579544623</v>
      </c>
      <c r="AQ632" s="14">
        <f t="shared" si="217"/>
        <v>3207960.39</v>
      </c>
      <c r="AR632" s="8">
        <v>44384.82</v>
      </c>
      <c r="AS632" s="20">
        <v>72.276071000000002</v>
      </c>
      <c r="AT632" s="8">
        <v>46557754.904739231</v>
      </c>
      <c r="AU632" s="8">
        <v>26676.6731</v>
      </c>
      <c r="AV632" s="8">
        <v>6590.0482000000002</v>
      </c>
      <c r="AW632" s="8"/>
      <c r="AX632" s="9">
        <v>437.22795220730262</v>
      </c>
      <c r="AY632" s="6">
        <f t="shared" si="202"/>
        <v>2.2269815166994195E-2</v>
      </c>
      <c r="AZ632" s="8">
        <v>412258313.48100001</v>
      </c>
      <c r="BA632" s="10">
        <v>60480066</v>
      </c>
      <c r="BB632" s="11">
        <v>46557754.904739231</v>
      </c>
      <c r="BC632" s="10">
        <v>2971324</v>
      </c>
      <c r="BD632" s="10">
        <f>1000000000-999017285.0832+285933.5238</f>
        <v>1268648.4406000222</v>
      </c>
      <c r="BE632" s="12">
        <f t="shared" si="203"/>
        <v>476463893.17366076</v>
      </c>
      <c r="BF632" s="13">
        <v>232.644283</v>
      </c>
      <c r="BG632" s="13">
        <f t="shared" si="204"/>
        <v>243.81961017366078</v>
      </c>
      <c r="BH632" s="14">
        <f>BE632*70.62</f>
        <v>33647880135.923923</v>
      </c>
    </row>
    <row r="633" spans="1:60" x14ac:dyDescent="0.25">
      <c r="A633" s="3">
        <v>46255</v>
      </c>
      <c r="B633" s="4">
        <v>16150193127</v>
      </c>
      <c r="C633" s="4">
        <v>3256017018.71</v>
      </c>
      <c r="D633" s="4">
        <v>457003817</v>
      </c>
      <c r="E633" s="4">
        <v>1630033.89</v>
      </c>
      <c r="F633" s="17">
        <v>374881218.46207452</v>
      </c>
      <c r="G633" s="17">
        <v>12909640.783164689</v>
      </c>
      <c r="H633" s="17">
        <v>7053725.1190411989</v>
      </c>
      <c r="I633" s="17">
        <v>653795990.66599488</v>
      </c>
      <c r="J633" s="17">
        <v>78015326.930933163</v>
      </c>
      <c r="K633" s="17">
        <v>2129361116.748791</v>
      </c>
      <c r="L633" s="14">
        <f t="shared" si="197"/>
        <v>3256017018.7099996</v>
      </c>
      <c r="M633" s="21">
        <v>1.000070350173885</v>
      </c>
      <c r="N633" s="4">
        <v>5843907.4400000004</v>
      </c>
      <c r="O633" s="4">
        <v>395594.1</v>
      </c>
      <c r="P633" s="4">
        <v>256917.79</v>
      </c>
      <c r="Q633" s="4">
        <v>347.89083599999998</v>
      </c>
      <c r="R633" s="14">
        <f t="shared" si="205"/>
        <v>6496767.2208360005</v>
      </c>
      <c r="S633" s="6">
        <v>0.01</v>
      </c>
      <c r="T633" s="14">
        <f t="shared" si="206"/>
        <v>58439.074400000005</v>
      </c>
      <c r="U633" s="14">
        <f t="shared" si="207"/>
        <v>1992.9869999999999</v>
      </c>
      <c r="V633" s="14">
        <f t="shared" si="208"/>
        <v>1946.2462</v>
      </c>
      <c r="W633" s="14">
        <f t="shared" si="209"/>
        <v>3.4789083599999997</v>
      </c>
      <c r="X633" s="4">
        <v>62293.17</v>
      </c>
      <c r="Y633" s="4">
        <v>196295.4</v>
      </c>
      <c r="Z633" s="4">
        <v>0</v>
      </c>
      <c r="AA633" s="14">
        <f t="shared" si="210"/>
        <v>320970.35650836001</v>
      </c>
      <c r="AB633" s="4">
        <v>535147.21239999996</v>
      </c>
      <c r="AC633" s="4">
        <v>5843907.4400000004</v>
      </c>
      <c r="AD633" s="14">
        <f t="shared" si="211"/>
        <v>199298.69999999998</v>
      </c>
      <c r="AE633" s="14">
        <f t="shared" si="212"/>
        <v>194624.62</v>
      </c>
      <c r="AF633" s="14">
        <f t="shared" si="213"/>
        <v>347.89083599999998</v>
      </c>
      <c r="AG633" s="15">
        <f t="shared" si="214"/>
        <v>6238178.6508360012</v>
      </c>
      <c r="AH633" s="4">
        <v>5145795.83</v>
      </c>
      <c r="AI633" s="17">
        <f t="shared" si="215"/>
        <v>1092382.8208360011</v>
      </c>
      <c r="AJ633" s="7">
        <f t="shared" si="198"/>
        <v>3.6184752677849512</v>
      </c>
      <c r="AK633" s="7">
        <f t="shared" si="199"/>
        <v>1.214963244131722</v>
      </c>
      <c r="AL633" s="7">
        <f t="shared" si="200"/>
        <v>5.6217865243781979</v>
      </c>
      <c r="AM633" s="7">
        <f t="shared" si="201"/>
        <v>2.1342552331841396</v>
      </c>
      <c r="AN633" s="4">
        <v>82876.731344334941</v>
      </c>
      <c r="AO633" s="4">
        <v>0</v>
      </c>
      <c r="AP633" s="14">
        <f t="shared" si="216"/>
        <v>5228672.5613443349</v>
      </c>
      <c r="AQ633" s="14">
        <f t="shared" si="217"/>
        <v>5145795.83</v>
      </c>
      <c r="AR633" s="8">
        <v>68874.38</v>
      </c>
      <c r="AS633" s="20">
        <v>74.712772000000001</v>
      </c>
      <c r="AT633" s="8">
        <v>46626209.69473923</v>
      </c>
      <c r="AU633" s="8">
        <v>26655.723300000001</v>
      </c>
      <c r="AV633" s="8">
        <v>4786.3549999999996</v>
      </c>
      <c r="AW633" s="8"/>
      <c r="AX633" s="9">
        <v>436.80458149896481</v>
      </c>
      <c r="AY633" s="6">
        <f t="shared" si="202"/>
        <v>2.2273894131586754E-2</v>
      </c>
      <c r="AZ633" s="8">
        <v>412231657.75779998</v>
      </c>
      <c r="BA633" s="10">
        <v>60480066</v>
      </c>
      <c r="BB633" s="11">
        <v>46626209.69473923</v>
      </c>
      <c r="BC633" s="10">
        <v>2971324</v>
      </c>
      <c r="BD633" s="10">
        <f>1000000000-999012498.7282+287057.9927</f>
        <v>1274559.2645000413</v>
      </c>
      <c r="BE633" s="12">
        <f t="shared" si="203"/>
        <v>476416183.28296077</v>
      </c>
      <c r="BF633" s="13">
        <v>232.644283</v>
      </c>
      <c r="BG633" s="13">
        <f t="shared" si="204"/>
        <v>243.77190028296079</v>
      </c>
      <c r="BH633" s="14">
        <f>BE633*73.62</f>
        <v>35073759413.291573</v>
      </c>
    </row>
    <row r="634" spans="1:60" x14ac:dyDescent="0.25">
      <c r="A634" s="3">
        <v>46256</v>
      </c>
      <c r="B634" s="4">
        <v>10311012646</v>
      </c>
      <c r="C634" s="4">
        <v>445241153.72000003</v>
      </c>
      <c r="D634" s="4">
        <v>350046248</v>
      </c>
      <c r="E634" s="4">
        <v>1422928.84</v>
      </c>
      <c r="F634" s="17">
        <v>75767446.379618928</v>
      </c>
      <c r="G634" s="17">
        <v>9297058.9499225076</v>
      </c>
      <c r="H634" s="17">
        <v>4750611.7040149784</v>
      </c>
      <c r="I634" s="17">
        <v>117545114.083628</v>
      </c>
      <c r="J634" s="17">
        <v>5061540.4750798531</v>
      </c>
      <c r="K634" s="17">
        <v>232819382.12773579</v>
      </c>
      <c r="L634" s="14">
        <f t="shared" si="197"/>
        <v>445241153.72000003</v>
      </c>
      <c r="M634" s="21">
        <v>1.0029354471657239</v>
      </c>
      <c r="N634" s="4">
        <v>3777093.63</v>
      </c>
      <c r="O634" s="4">
        <v>71452.320000000007</v>
      </c>
      <c r="P634" s="4">
        <v>187479.81</v>
      </c>
      <c r="Q634" s="4">
        <v>277.09810199999998</v>
      </c>
      <c r="R634" s="14">
        <f t="shared" si="205"/>
        <v>4036302.8581019999</v>
      </c>
      <c r="S634" s="6">
        <v>0.01</v>
      </c>
      <c r="T634" s="14">
        <f t="shared" si="206"/>
        <v>37770.936300000001</v>
      </c>
      <c r="U634" s="14">
        <f t="shared" si="207"/>
        <v>369.94610000000006</v>
      </c>
      <c r="V634" s="14">
        <f t="shared" si="208"/>
        <v>1552.152</v>
      </c>
      <c r="W634" s="14">
        <f t="shared" si="209"/>
        <v>2.7709810199999998</v>
      </c>
      <c r="X634" s="4">
        <v>32264.61</v>
      </c>
      <c r="Y634" s="4">
        <v>34457.71</v>
      </c>
      <c r="Z634" s="4">
        <v>0</v>
      </c>
      <c r="AA634" s="14">
        <f t="shared" si="210"/>
        <v>106418.12538102001</v>
      </c>
      <c r="AB634" s="4">
        <v>347124.91389999999</v>
      </c>
      <c r="AC634" s="4">
        <v>3777093.63</v>
      </c>
      <c r="AD634" s="14">
        <f t="shared" si="211"/>
        <v>36994.610000000008</v>
      </c>
      <c r="AE634" s="14">
        <f t="shared" si="212"/>
        <v>155215.20000000001</v>
      </c>
      <c r="AF634" s="14">
        <f t="shared" si="213"/>
        <v>277.09810199999998</v>
      </c>
      <c r="AG634" s="15">
        <f t="shared" si="214"/>
        <v>3969580.538102</v>
      </c>
      <c r="AH634" s="4">
        <v>3296756.88</v>
      </c>
      <c r="AI634" s="17">
        <f t="shared" si="215"/>
        <v>672823.65810200013</v>
      </c>
      <c r="AJ634" s="7">
        <f t="shared" si="198"/>
        <v>3.663164579150493</v>
      </c>
      <c r="AK634" s="7">
        <f t="shared" si="199"/>
        <v>1.6048004413566499</v>
      </c>
      <c r="AL634" s="7">
        <f t="shared" si="200"/>
        <v>5.3558582921877234</v>
      </c>
      <c r="AM634" s="7">
        <f t="shared" si="201"/>
        <v>1.947378492939956</v>
      </c>
      <c r="AN634" s="4">
        <v>120983.5848837846</v>
      </c>
      <c r="AO634" s="4">
        <v>0</v>
      </c>
      <c r="AP634" s="14">
        <f t="shared" si="216"/>
        <v>3417740.4648837843</v>
      </c>
      <c r="AQ634" s="14">
        <f t="shared" si="217"/>
        <v>3296756.88</v>
      </c>
      <c r="AR634" s="8">
        <v>41905.68</v>
      </c>
      <c r="AS634" s="20">
        <v>78.670884000000001</v>
      </c>
      <c r="AT634" s="8">
        <v>46667384.964739233</v>
      </c>
      <c r="AU634" s="8">
        <v>26778.609100000001</v>
      </c>
      <c r="AV634" s="8">
        <v>5124.2497999999996</v>
      </c>
      <c r="AW634" s="8"/>
      <c r="AX634" s="9">
        <v>436.70087206510448</v>
      </c>
      <c r="AY634" s="6">
        <f t="shared" si="202"/>
        <v>2.2381893297531218E-2</v>
      </c>
      <c r="AZ634" s="8">
        <v>412204879.1487</v>
      </c>
      <c r="BA634" s="10">
        <v>60480066</v>
      </c>
      <c r="BB634" s="11">
        <v>46667384.964739233</v>
      </c>
      <c r="BC634" s="10">
        <v>2971324</v>
      </c>
      <c r="BD634" s="10">
        <f>1000000000-999007374.4784+288667.1594</f>
        <v>1281292.681000008</v>
      </c>
      <c r="BE634" s="12">
        <f t="shared" si="203"/>
        <v>476395053.2055608</v>
      </c>
      <c r="BF634" s="13">
        <v>232.644283</v>
      </c>
      <c r="BG634" s="13">
        <f t="shared" si="204"/>
        <v>243.75077020556083</v>
      </c>
      <c r="BH634" s="14">
        <f>BE634*75.14</f>
        <v>35796324297.865837</v>
      </c>
    </row>
    <row r="635" spans="1:60" x14ac:dyDescent="0.25">
      <c r="A635" s="3">
        <v>46257</v>
      </c>
      <c r="B635" s="4">
        <v>7035384735</v>
      </c>
      <c r="C635" s="4">
        <v>702593877.45000005</v>
      </c>
      <c r="D635" s="4">
        <v>240924036</v>
      </c>
      <c r="E635" s="4">
        <v>1480354.93</v>
      </c>
      <c r="F635" s="17">
        <v>87169331.461413294</v>
      </c>
      <c r="G635" s="17">
        <v>9140398.2193932608</v>
      </c>
      <c r="H635" s="17">
        <v>17762114.4231604</v>
      </c>
      <c r="I635" s="17">
        <v>231923629.88266101</v>
      </c>
      <c r="J635" s="17">
        <v>8683147.3898766395</v>
      </c>
      <c r="K635" s="17">
        <v>347915256.07349563</v>
      </c>
      <c r="L635" s="14">
        <f t="shared" si="197"/>
        <v>702593877.45000029</v>
      </c>
      <c r="M635" s="21">
        <v>1.0382367267061441</v>
      </c>
      <c r="N635" s="4">
        <v>2643930.69</v>
      </c>
      <c r="O635" s="4">
        <v>91541.75</v>
      </c>
      <c r="P635" s="4">
        <v>139570.48000000001</v>
      </c>
      <c r="Q635" s="4">
        <v>350.339763</v>
      </c>
      <c r="R635" s="14">
        <f t="shared" si="205"/>
        <v>2875393.2597630001</v>
      </c>
      <c r="S635" s="6">
        <v>0.01</v>
      </c>
      <c r="T635" s="14">
        <f t="shared" si="206"/>
        <v>26439.3069</v>
      </c>
      <c r="U635" s="14">
        <f t="shared" si="207"/>
        <v>467.94370000000004</v>
      </c>
      <c r="V635" s="14">
        <f t="shared" si="208"/>
        <v>1116.4243000000001</v>
      </c>
      <c r="W635" s="14">
        <f t="shared" si="209"/>
        <v>3.5033976300000003</v>
      </c>
      <c r="X635" s="4">
        <v>27928.05</v>
      </c>
      <c r="Y635" s="4">
        <v>44747.38</v>
      </c>
      <c r="Z635" s="4">
        <v>0</v>
      </c>
      <c r="AA635" s="14">
        <f t="shared" si="210"/>
        <v>100702.60829762999</v>
      </c>
      <c r="AB635" s="4">
        <v>312014.89730000001</v>
      </c>
      <c r="AC635" s="4">
        <v>2643930.69</v>
      </c>
      <c r="AD635" s="14">
        <f t="shared" si="211"/>
        <v>46794.37</v>
      </c>
      <c r="AE635" s="14">
        <f t="shared" si="212"/>
        <v>111642.43000000001</v>
      </c>
      <c r="AF635" s="14">
        <f t="shared" si="213"/>
        <v>350.339763</v>
      </c>
      <c r="AG635" s="15">
        <f t="shared" si="214"/>
        <v>2802717.8297630004</v>
      </c>
      <c r="AH635" s="4">
        <v>2220476.09</v>
      </c>
      <c r="AI635" s="17">
        <f t="shared" si="215"/>
        <v>582241.73976300051</v>
      </c>
      <c r="AJ635" s="7">
        <f t="shared" si="198"/>
        <v>3.7580470572516602</v>
      </c>
      <c r="AK635" s="7">
        <f t="shared" si="199"/>
        <v>1.3029112968112158</v>
      </c>
      <c r="AL635" s="7">
        <f t="shared" si="200"/>
        <v>5.7931322385783055</v>
      </c>
      <c r="AM635" s="7">
        <f t="shared" si="201"/>
        <v>2.3665930102316746</v>
      </c>
      <c r="AN635" s="4">
        <v>498792.20835305168</v>
      </c>
      <c r="AO635" s="4">
        <v>39745.839999999997</v>
      </c>
      <c r="AP635" s="14">
        <f t="shared" si="216"/>
        <v>2759014.1383530516</v>
      </c>
      <c r="AQ635" s="14">
        <f t="shared" si="217"/>
        <v>2220476.09</v>
      </c>
      <c r="AR635" s="8">
        <v>27826.04</v>
      </c>
      <c r="AS635" s="20">
        <v>79.798494000000005</v>
      </c>
      <c r="AT635" s="8">
        <v>46695577.854739226</v>
      </c>
      <c r="AU635" s="8">
        <v>26773.672500000001</v>
      </c>
      <c r="AV635" s="8">
        <v>4311.7878000000001</v>
      </c>
      <c r="AW635" s="8"/>
      <c r="AX635" s="9">
        <v>436.49744745628192</v>
      </c>
      <c r="AY635" s="6">
        <f t="shared" si="202"/>
        <v>2.238819612680271E-2</v>
      </c>
      <c r="AZ635" s="8">
        <v>412178105.47619998</v>
      </c>
      <c r="BA635" s="10">
        <v>60480066</v>
      </c>
      <c r="BB635" s="11">
        <v>46695577.854739226</v>
      </c>
      <c r="BC635" s="10">
        <v>2971324</v>
      </c>
      <c r="BD635" s="10">
        <f>1000000000-999003062.6906+294885.5056</f>
        <v>1291822.8149999625</v>
      </c>
      <c r="BE635" s="12">
        <f t="shared" si="203"/>
        <v>476383103.85406083</v>
      </c>
      <c r="BF635" s="13">
        <v>232.644283</v>
      </c>
      <c r="BG635" s="13">
        <f t="shared" si="204"/>
        <v>243.73882085406083</v>
      </c>
      <c r="BH635" s="14">
        <f>BE635*80.12</f>
        <v>38167814280.787354</v>
      </c>
    </row>
    <row r="636" spans="1:60" x14ac:dyDescent="0.25">
      <c r="A636" s="3">
        <v>46258</v>
      </c>
      <c r="B636" s="4">
        <v>9860122393</v>
      </c>
      <c r="C636" s="4">
        <v>3285976542.5100002</v>
      </c>
      <c r="D636" s="4">
        <v>268743177</v>
      </c>
      <c r="E636" s="4">
        <v>1665919.05</v>
      </c>
      <c r="F636" s="17">
        <v>359561810.93037862</v>
      </c>
      <c r="G636" s="17">
        <v>5354134.1810074607</v>
      </c>
      <c r="H636" s="17">
        <v>10481037.240562901</v>
      </c>
      <c r="I636" s="17">
        <v>774437569.06291866</v>
      </c>
      <c r="J636" s="17">
        <v>50477412.878003098</v>
      </c>
      <c r="K636" s="17">
        <v>2085664578.2171299</v>
      </c>
      <c r="L636" s="14">
        <f t="shared" si="197"/>
        <v>3285976542.5100007</v>
      </c>
      <c r="M636" s="21">
        <v>1.0445964927108811</v>
      </c>
      <c r="N636" s="4">
        <v>3504317.01</v>
      </c>
      <c r="O636" s="4">
        <v>331861.28000000003</v>
      </c>
      <c r="P636" s="4">
        <v>142289.51999999999</v>
      </c>
      <c r="Q636" s="4">
        <v>304.40601800000002</v>
      </c>
      <c r="R636" s="14">
        <f t="shared" si="205"/>
        <v>3978772.2160180002</v>
      </c>
      <c r="S636" s="6">
        <v>0.01</v>
      </c>
      <c r="T636" s="14">
        <f t="shared" si="206"/>
        <v>35043.170099999996</v>
      </c>
      <c r="U636" s="14">
        <f t="shared" si="207"/>
        <v>1664.9926000000005</v>
      </c>
      <c r="V636" s="14">
        <f t="shared" si="208"/>
        <v>1075.0338999999999</v>
      </c>
      <c r="W636" s="14">
        <f t="shared" si="209"/>
        <v>3.0440601800000002</v>
      </c>
      <c r="X636" s="4">
        <v>34786.129999999997</v>
      </c>
      <c r="Y636" s="4">
        <v>165362.01999999999</v>
      </c>
      <c r="Z636" s="4">
        <v>0</v>
      </c>
      <c r="AA636" s="14">
        <f t="shared" si="210"/>
        <v>237934.39066017998</v>
      </c>
      <c r="AB636" s="4">
        <v>341304.75089999998</v>
      </c>
      <c r="AC636" s="4">
        <v>3504317.01</v>
      </c>
      <c r="AD636" s="14">
        <f t="shared" si="211"/>
        <v>166499.26000000004</v>
      </c>
      <c r="AE636" s="14">
        <f t="shared" si="212"/>
        <v>107503.38999999998</v>
      </c>
      <c r="AF636" s="14">
        <f t="shared" si="213"/>
        <v>304.40601800000002</v>
      </c>
      <c r="AG636" s="15">
        <f t="shared" si="214"/>
        <v>3778624.0660180002</v>
      </c>
      <c r="AH636" s="4">
        <v>3073623.29</v>
      </c>
      <c r="AI636" s="17">
        <f t="shared" si="215"/>
        <v>705000.77601800021</v>
      </c>
      <c r="AJ636" s="7">
        <f t="shared" si="198"/>
        <v>3.5540299301840519</v>
      </c>
      <c r="AK636" s="7">
        <f t="shared" si="199"/>
        <v>1.0099319812749092</v>
      </c>
      <c r="AL636" s="7">
        <f t="shared" si="200"/>
        <v>5.2946281869697476</v>
      </c>
      <c r="AM636" s="7">
        <f t="shared" si="201"/>
        <v>1.8272557601163155</v>
      </c>
      <c r="AN636" s="4">
        <v>113933.9420371255</v>
      </c>
      <c r="AO636" s="4">
        <v>48851.26</v>
      </c>
      <c r="AP636" s="14">
        <f t="shared" si="216"/>
        <v>3236408.4920371254</v>
      </c>
      <c r="AQ636" s="14">
        <f t="shared" si="217"/>
        <v>3073623.29</v>
      </c>
      <c r="AR636" s="8">
        <v>38817.1</v>
      </c>
      <c r="AS636" s="20">
        <v>79.182198</v>
      </c>
      <c r="AT636" s="18">
        <v>46734394.954739228</v>
      </c>
      <c r="AU636" s="8">
        <v>26771.471799999999</v>
      </c>
      <c r="AV636" s="8">
        <v>3662.8622999999998</v>
      </c>
      <c r="AW636" s="8"/>
      <c r="AX636" s="9">
        <v>436.43094787544823</v>
      </c>
      <c r="AY636" s="6">
        <f t="shared" si="202"/>
        <v>2.2389766936942074E-2</v>
      </c>
      <c r="AZ636" s="8">
        <v>412151334.00440001</v>
      </c>
      <c r="BA636" s="10">
        <v>60480066</v>
      </c>
      <c r="BB636" s="18">
        <v>46734394.954739228</v>
      </c>
      <c r="BC636" s="10">
        <v>2971324</v>
      </c>
      <c r="BD636" s="10">
        <f>1000000000-998999399.8283+296292.5492</f>
        <v>1296892.7209000008</v>
      </c>
      <c r="BE636" s="22">
        <f t="shared" si="203"/>
        <v>476365988.31996077</v>
      </c>
      <c r="BF636" s="13">
        <v>232.644283</v>
      </c>
      <c r="BG636" s="23">
        <f t="shared" si="204"/>
        <v>243.72170531996076</v>
      </c>
      <c r="BH636" s="24">
        <f>BE636*80.96</f>
        <v>38566590414.384018</v>
      </c>
    </row>
    <row r="637" spans="1:60" x14ac:dyDescent="0.25">
      <c r="A637" s="3">
        <v>46259</v>
      </c>
      <c r="B637" s="4">
        <v>10589799269</v>
      </c>
      <c r="C637" s="4">
        <v>2774058815.8200002</v>
      </c>
      <c r="D637" s="4">
        <v>317008845</v>
      </c>
      <c r="E637" s="4">
        <v>1321994.8600000001</v>
      </c>
      <c r="F637" s="17">
        <v>591203074.56059647</v>
      </c>
      <c r="G637" s="17">
        <v>3246065.4768017768</v>
      </c>
      <c r="H637" s="17">
        <v>8886435.3685502093</v>
      </c>
      <c r="I637" s="17">
        <v>511234522.5724507</v>
      </c>
      <c r="J637" s="17">
        <v>367997.88267124101</v>
      </c>
      <c r="K637" s="17">
        <v>1659120719.95893</v>
      </c>
      <c r="L637" s="14">
        <f t="shared" si="197"/>
        <v>2774058815.8200006</v>
      </c>
      <c r="M637" s="21">
        <v>1.101728798958219</v>
      </c>
      <c r="N637" s="4">
        <v>3567816.97</v>
      </c>
      <c r="O637" s="4">
        <v>305444.38</v>
      </c>
      <c r="P637" s="4">
        <v>171906.94</v>
      </c>
      <c r="Q637" s="4">
        <v>278.70378799999997</v>
      </c>
      <c r="R637" s="14">
        <f t="shared" si="205"/>
        <v>4045446.9937880002</v>
      </c>
      <c r="S637" s="6">
        <v>0.01</v>
      </c>
      <c r="T637" s="14">
        <f t="shared" si="206"/>
        <v>35678.169700000006</v>
      </c>
      <c r="U637" s="14">
        <f t="shared" si="207"/>
        <v>1531.3172</v>
      </c>
      <c r="V637" s="14">
        <f t="shared" si="208"/>
        <v>1235.6342000000002</v>
      </c>
      <c r="W637" s="14">
        <f t="shared" si="209"/>
        <v>2.7870378799999997</v>
      </c>
      <c r="X637" s="4">
        <v>48343.519999999997</v>
      </c>
      <c r="Y637" s="4">
        <v>152312.66</v>
      </c>
      <c r="Z637" s="4">
        <v>0</v>
      </c>
      <c r="AA637" s="14">
        <f t="shared" si="210"/>
        <v>239104.08813788</v>
      </c>
      <c r="AB637" s="4">
        <v>354394.2708</v>
      </c>
      <c r="AC637" s="4">
        <v>3567816.97</v>
      </c>
      <c r="AD637" s="14">
        <f t="shared" si="211"/>
        <v>153131.72</v>
      </c>
      <c r="AE637" s="14">
        <f t="shared" si="212"/>
        <v>123563.42000000001</v>
      </c>
      <c r="AF637" s="14">
        <f t="shared" si="213"/>
        <v>278.70378799999997</v>
      </c>
      <c r="AG637" s="15">
        <f t="shared" si="214"/>
        <v>3844790.8137880005</v>
      </c>
      <c r="AH637" s="4">
        <v>3277850.75</v>
      </c>
      <c r="AI637" s="17">
        <f t="shared" si="215"/>
        <v>566940.06378800049</v>
      </c>
      <c r="AJ637" s="7">
        <f t="shared" si="198"/>
        <v>3.3691072695251485</v>
      </c>
      <c r="AK637" s="7">
        <f t="shared" si="199"/>
        <v>1.101073914720557</v>
      </c>
      <c r="AL637" s="7">
        <f t="shared" si="200"/>
        <v>5.4227805536466978</v>
      </c>
      <c r="AM637" s="7">
        <f t="shared" si="201"/>
        <v>2.1082062906053958</v>
      </c>
      <c r="AN637" s="4">
        <v>57086.852418251838</v>
      </c>
      <c r="AO637" s="4">
        <v>0</v>
      </c>
      <c r="AP637" s="14">
        <f t="shared" si="216"/>
        <v>3334937.6024182518</v>
      </c>
      <c r="AQ637" s="14">
        <f t="shared" si="217"/>
        <v>3277850.75</v>
      </c>
      <c r="AR637" s="8">
        <v>40776.01</v>
      </c>
      <c r="AS637" s="20">
        <v>80.386746000000002</v>
      </c>
      <c r="AT637" s="8">
        <v>46774544.464739233</v>
      </c>
      <c r="AU637" s="8">
        <v>26759.258699999998</v>
      </c>
      <c r="AV637" s="8">
        <v>4129.3856999999998</v>
      </c>
      <c r="AW637" s="8"/>
      <c r="AX637" s="9">
        <v>436.02632558133058</v>
      </c>
      <c r="AY637" s="6">
        <f t="shared" si="202"/>
        <v>2.2400320467985523E-2</v>
      </c>
      <c r="AZ637" s="8">
        <v>412124574.7457</v>
      </c>
      <c r="BA637" s="10">
        <v>60480066</v>
      </c>
      <c r="BB637" s="11">
        <v>46774544.464739233</v>
      </c>
      <c r="BC637" s="10">
        <v>2971324</v>
      </c>
      <c r="BD637" s="10">
        <f>1000000000-998995270.4427+297015.0212</f>
        <v>1301744.5784999717</v>
      </c>
      <c r="BE637" s="12">
        <f t="shared" si="203"/>
        <v>476347746.21106082</v>
      </c>
      <c r="BF637" s="13">
        <v>232.644283</v>
      </c>
      <c r="BG637" s="13">
        <f t="shared" si="204"/>
        <v>243.70346321106084</v>
      </c>
      <c r="BH637" s="14">
        <f>BE637*78.92</f>
        <v>37593364130.976921</v>
      </c>
    </row>
    <row r="638" spans="1:60" x14ac:dyDescent="0.25">
      <c r="A638" s="3">
        <v>46260</v>
      </c>
      <c r="B638" s="4">
        <v>6806646652</v>
      </c>
      <c r="C638" s="4">
        <v>2802438913.6199999</v>
      </c>
      <c r="D638" s="4">
        <v>279622217</v>
      </c>
      <c r="E638" s="4">
        <v>1131279.03</v>
      </c>
      <c r="F638" s="17">
        <v>405192725.7995885</v>
      </c>
      <c r="G638" s="17">
        <v>1951070.460635361</v>
      </c>
      <c r="H638" s="17">
        <v>4418985.1987871286</v>
      </c>
      <c r="I638" s="17">
        <v>547879768.0224129</v>
      </c>
      <c r="J638" s="17">
        <v>329509.21006521158</v>
      </c>
      <c r="K638" s="17">
        <v>1842666854.92851</v>
      </c>
      <c r="L638" s="14">
        <f t="shared" si="197"/>
        <v>2802438913.6199989</v>
      </c>
      <c r="M638" s="21">
        <v>1.1111794698707249</v>
      </c>
      <c r="N638" s="4">
        <v>2316198.14</v>
      </c>
      <c r="O638" s="4">
        <v>295597.96000000002</v>
      </c>
      <c r="P638" s="4">
        <v>149094.67000000001</v>
      </c>
      <c r="Q638" s="4">
        <v>224.93662599999999</v>
      </c>
      <c r="R638" s="14">
        <f t="shared" si="205"/>
        <v>2761115.7066259999</v>
      </c>
      <c r="S638" s="6">
        <v>0.01</v>
      </c>
      <c r="T638" s="14">
        <f t="shared" si="206"/>
        <v>23161.981400000001</v>
      </c>
      <c r="U638" s="14">
        <f t="shared" si="207"/>
        <v>1480.2472000000002</v>
      </c>
      <c r="V638" s="14">
        <f t="shared" si="208"/>
        <v>1060.5316</v>
      </c>
      <c r="W638" s="14">
        <f t="shared" si="209"/>
        <v>2.24936626</v>
      </c>
      <c r="X638" s="4">
        <v>43041.51</v>
      </c>
      <c r="Y638" s="4">
        <v>147573.24</v>
      </c>
      <c r="Z638" s="4">
        <v>0</v>
      </c>
      <c r="AA638" s="14">
        <f t="shared" si="210"/>
        <v>216319.75956625998</v>
      </c>
      <c r="AB638" s="4">
        <v>243045.95819999999</v>
      </c>
      <c r="AC638" s="4">
        <v>2316198.14</v>
      </c>
      <c r="AD638" s="14">
        <f t="shared" si="211"/>
        <v>148024.72000000003</v>
      </c>
      <c r="AE638" s="14">
        <f t="shared" si="212"/>
        <v>106053.16</v>
      </c>
      <c r="AF638" s="14">
        <f t="shared" si="213"/>
        <v>224.93662599999999</v>
      </c>
      <c r="AG638" s="15">
        <f t="shared" si="214"/>
        <v>2570500.9566260003</v>
      </c>
      <c r="AH638" s="4">
        <v>2073412.29</v>
      </c>
      <c r="AI638" s="17">
        <f t="shared" si="215"/>
        <v>497088.66662600031</v>
      </c>
      <c r="AJ638" s="7">
        <f t="shared" si="198"/>
        <v>3.4028476258855465</v>
      </c>
      <c r="AK638" s="7">
        <f t="shared" si="199"/>
        <v>1.0547882366440833</v>
      </c>
      <c r="AL638" s="7">
        <f t="shared" si="200"/>
        <v>5.3320037155702833</v>
      </c>
      <c r="AM638" s="7">
        <f t="shared" si="201"/>
        <v>1.9883390395736409</v>
      </c>
      <c r="AN638" s="4">
        <v>52655.650566491597</v>
      </c>
      <c r="AO638" s="4">
        <v>39818.410000000003</v>
      </c>
      <c r="AP638" s="14">
        <f t="shared" si="216"/>
        <v>2165886.350566492</v>
      </c>
      <c r="AQ638" s="14">
        <f t="shared" si="217"/>
        <v>2073412.29</v>
      </c>
      <c r="AR638" s="8">
        <v>25437.39</v>
      </c>
      <c r="AS638" s="20">
        <v>81.510418000000001</v>
      </c>
      <c r="AT638" s="8">
        <v>46800905.464739233</v>
      </c>
      <c r="AU638" s="8">
        <v>26757.3959</v>
      </c>
      <c r="AV638" s="8">
        <v>3503.4292</v>
      </c>
      <c r="AW638" s="8"/>
      <c r="AX638" s="9">
        <v>436.04014560061307</v>
      </c>
      <c r="AY638" s="6">
        <f t="shared" si="202"/>
        <v>2.2398051193307986E-2</v>
      </c>
      <c r="AZ638" s="8">
        <v>412097817.34979999</v>
      </c>
      <c r="BA638" s="10">
        <v>60480066</v>
      </c>
      <c r="BB638" s="11">
        <v>46800905.464739233</v>
      </c>
      <c r="BC638" s="10">
        <v>2971324</v>
      </c>
      <c r="BD638" s="10">
        <f>1000000000-998991767.0135+297668.5036</f>
        <v>1305901.4901000247</v>
      </c>
      <c r="BE638" s="12">
        <f t="shared" si="203"/>
        <v>476343985.69536078</v>
      </c>
      <c r="BF638" s="13">
        <v>232.644283</v>
      </c>
      <c r="BG638" s="13">
        <f t="shared" si="204"/>
        <v>243.6997026953608</v>
      </c>
      <c r="BH638" s="14">
        <f>BE638*80.58</f>
        <v>38383798367.332169</v>
      </c>
    </row>
    <row r="639" spans="1:60" x14ac:dyDescent="0.25">
      <c r="A639" s="3">
        <v>46261</v>
      </c>
      <c r="B639" s="4">
        <v>8691970269</v>
      </c>
      <c r="C639" s="4">
        <v>3083142755.5100002</v>
      </c>
      <c r="D639" s="4">
        <v>301035217</v>
      </c>
      <c r="E639" s="4">
        <v>1388773.64</v>
      </c>
      <c r="F639" s="17">
        <v>567499677.80021501</v>
      </c>
      <c r="G639" s="17">
        <v>3684882.0855465499</v>
      </c>
      <c r="H639" s="17">
        <v>6190219.3352153217</v>
      </c>
      <c r="I639" s="17">
        <v>656058757.50326717</v>
      </c>
      <c r="J639" s="17">
        <v>273927.57283935149</v>
      </c>
      <c r="K639" s="17">
        <v>1849435291.2129159</v>
      </c>
      <c r="L639" s="14">
        <f t="shared" si="197"/>
        <v>3083142755.5099993</v>
      </c>
      <c r="M639" s="21">
        <v>1.086098719761265</v>
      </c>
      <c r="N639" s="4">
        <v>3011326.45</v>
      </c>
      <c r="O639" s="4">
        <v>378938.57</v>
      </c>
      <c r="P639" s="4">
        <v>161278.21</v>
      </c>
      <c r="Q639" s="4">
        <v>287.50840799999997</v>
      </c>
      <c r="R639" s="14">
        <f t="shared" si="205"/>
        <v>3551830.7384080002</v>
      </c>
      <c r="S639" s="6">
        <v>0.01</v>
      </c>
      <c r="T639" s="14">
        <f t="shared" si="206"/>
        <v>30113.264500000001</v>
      </c>
      <c r="U639" s="14">
        <f t="shared" si="207"/>
        <v>1898.9464000000003</v>
      </c>
      <c r="V639" s="14">
        <f t="shared" si="208"/>
        <v>1204.789</v>
      </c>
      <c r="W639" s="14">
        <f t="shared" si="209"/>
        <v>2.8750840799999997</v>
      </c>
      <c r="X639" s="4">
        <v>40799.31</v>
      </c>
      <c r="Y639" s="4">
        <v>189043.93</v>
      </c>
      <c r="Z639" s="4">
        <v>0</v>
      </c>
      <c r="AA639" s="14">
        <f t="shared" si="210"/>
        <v>263063.11498407996</v>
      </c>
      <c r="AB639" s="4">
        <v>354972.02309999987</v>
      </c>
      <c r="AC639" s="4">
        <v>3011326.45</v>
      </c>
      <c r="AD639" s="14">
        <f t="shared" si="211"/>
        <v>189894.64</v>
      </c>
      <c r="AE639" s="14">
        <f t="shared" si="212"/>
        <v>120478.9</v>
      </c>
      <c r="AF639" s="14">
        <f t="shared" si="213"/>
        <v>287.50840799999997</v>
      </c>
      <c r="AG639" s="15">
        <f t="shared" si="214"/>
        <v>3321987.4984080005</v>
      </c>
      <c r="AH639" s="4">
        <v>2736390.66</v>
      </c>
      <c r="AI639" s="17">
        <f t="shared" si="215"/>
        <v>585596.8384080003</v>
      </c>
      <c r="AJ639" s="7">
        <f t="shared" si="198"/>
        <v>3.4644923496113722</v>
      </c>
      <c r="AK639" s="7">
        <f t="shared" si="199"/>
        <v>1.2290659241216926</v>
      </c>
      <c r="AL639" s="7">
        <f t="shared" si="200"/>
        <v>5.357453244415586</v>
      </c>
      <c r="AM639" s="7">
        <f t="shared" si="201"/>
        <v>2.070232323822045</v>
      </c>
      <c r="AN639" s="4">
        <v>47006.516470482602</v>
      </c>
      <c r="AO639" s="4">
        <v>0</v>
      </c>
      <c r="AP639" s="14">
        <f t="shared" si="216"/>
        <v>2783397.1764704827</v>
      </c>
      <c r="AQ639" s="14">
        <f t="shared" si="217"/>
        <v>2736390.66</v>
      </c>
      <c r="AR639" s="8">
        <v>32836.660000000003</v>
      </c>
      <c r="AS639" s="20">
        <v>83.333404000000002</v>
      </c>
      <c r="AT639" s="8">
        <v>46832944.504739232</v>
      </c>
      <c r="AU639" s="8">
        <v>26755.496299999999</v>
      </c>
      <c r="AV639" s="8">
        <v>3486.1441</v>
      </c>
      <c r="AW639" s="8"/>
      <c r="AX639" s="9">
        <v>436.55189547998418</v>
      </c>
      <c r="AY639" s="6">
        <f t="shared" si="202"/>
        <v>2.2370206728257711E-2</v>
      </c>
      <c r="AZ639" s="8">
        <v>412071061.85350001</v>
      </c>
      <c r="BA639" s="10">
        <v>60480066</v>
      </c>
      <c r="BB639" s="11">
        <v>46832944.504739232</v>
      </c>
      <c r="BC639" s="10">
        <v>2971324</v>
      </c>
      <c r="BD639" s="10">
        <f>1000000000-998988280.8694+298242.0406</f>
        <v>1309961.1711999755</v>
      </c>
      <c r="BE639" s="12">
        <f t="shared" si="203"/>
        <v>476334642.47056079</v>
      </c>
      <c r="BF639" s="13">
        <v>232.644283</v>
      </c>
      <c r="BG639" s="13">
        <f t="shared" si="204"/>
        <v>243.69035947056076</v>
      </c>
      <c r="BH639" s="14">
        <f>BE639*81.92</f>
        <v>39021333911.188339</v>
      </c>
    </row>
    <row r="640" spans="1:60" x14ac:dyDescent="0.25">
      <c r="A640" s="3">
        <v>46262</v>
      </c>
      <c r="B640" s="4">
        <v>8946040654</v>
      </c>
      <c r="C640" s="4">
        <v>2780197060.3000002</v>
      </c>
      <c r="D640" s="4">
        <v>299802521</v>
      </c>
      <c r="E640" s="4">
        <v>1455731.8</v>
      </c>
      <c r="F640" s="17">
        <v>571919229.75573444</v>
      </c>
      <c r="G640" s="17">
        <v>4283477.9462127592</v>
      </c>
      <c r="H640" s="17">
        <v>8287719.45542337</v>
      </c>
      <c r="I640" s="17">
        <v>640173027.9434557</v>
      </c>
      <c r="J640" s="17">
        <v>618827.90705344582</v>
      </c>
      <c r="K640" s="17">
        <v>1554914777.2921209</v>
      </c>
      <c r="L640" s="14">
        <f t="shared" si="197"/>
        <v>2780197060.3000007</v>
      </c>
      <c r="M640" s="21">
        <v>1.081742467053707</v>
      </c>
      <c r="N640" s="4">
        <v>3098332.59</v>
      </c>
      <c r="O640" s="4">
        <v>381331.68000000011</v>
      </c>
      <c r="P640" s="4">
        <v>156469.19</v>
      </c>
      <c r="Q640" s="4">
        <v>269.79798199999999</v>
      </c>
      <c r="R640" s="14">
        <f t="shared" si="205"/>
        <v>3636403.2579819998</v>
      </c>
      <c r="S640" s="6">
        <v>0.01</v>
      </c>
      <c r="T640" s="14">
        <f t="shared" si="206"/>
        <v>30983.3259</v>
      </c>
      <c r="U640" s="14">
        <f t="shared" si="207"/>
        <v>1912.032300000001</v>
      </c>
      <c r="V640" s="14">
        <f t="shared" si="208"/>
        <v>1257.1754000000001</v>
      </c>
      <c r="W640" s="14">
        <f t="shared" si="209"/>
        <v>2.69797982</v>
      </c>
      <c r="X640" s="4">
        <v>30751.65</v>
      </c>
      <c r="Y640" s="4">
        <v>190128.45</v>
      </c>
      <c r="Z640" s="4">
        <v>0</v>
      </c>
      <c r="AA640" s="14">
        <f t="shared" si="210"/>
        <v>255035.33157982002</v>
      </c>
      <c r="AB640" s="4">
        <v>328834.26150000002</v>
      </c>
      <c r="AC640" s="4">
        <v>3098332.59</v>
      </c>
      <c r="AD640" s="14">
        <f t="shared" si="211"/>
        <v>191203.2300000001</v>
      </c>
      <c r="AE640" s="14">
        <f t="shared" si="212"/>
        <v>125717.54000000001</v>
      </c>
      <c r="AF640" s="14">
        <f t="shared" si="213"/>
        <v>269.79798199999999</v>
      </c>
      <c r="AG640" s="15">
        <f t="shared" si="214"/>
        <v>3415523.1579819997</v>
      </c>
      <c r="AH640" s="4">
        <v>2799105.79</v>
      </c>
      <c r="AI640" s="17">
        <f t="shared" si="215"/>
        <v>616417.36798199965</v>
      </c>
      <c r="AJ640" s="7">
        <f t="shared" si="198"/>
        <v>3.4633562598607881</v>
      </c>
      <c r="AK640" s="7">
        <f t="shared" si="199"/>
        <v>1.3715994648194185</v>
      </c>
      <c r="AL640" s="7">
        <f t="shared" si="200"/>
        <v>5.2190751924997985</v>
      </c>
      <c r="AM640" s="7">
        <f t="shared" si="201"/>
        <v>1.8533495112217784</v>
      </c>
      <c r="AN640" s="4">
        <v>38051.09412554586</v>
      </c>
      <c r="AO640" s="4">
        <v>42340.63</v>
      </c>
      <c r="AP640" s="14">
        <f t="shared" si="216"/>
        <v>2879497.514125546</v>
      </c>
      <c r="AQ640" s="14">
        <f t="shared" si="217"/>
        <v>2799105.79</v>
      </c>
      <c r="AR640" s="8">
        <v>33962.03</v>
      </c>
      <c r="AS640" s="20">
        <v>82.418683000000001</v>
      </c>
      <c r="AT640" s="8">
        <v>46867083.26473923</v>
      </c>
      <c r="AU640" s="8">
        <v>26773.3433</v>
      </c>
      <c r="AV640" s="8">
        <v>3420.9639000000002</v>
      </c>
      <c r="AW640" s="8"/>
      <c r="AX640" s="9">
        <v>436.43681007660291</v>
      </c>
      <c r="AY640" s="6">
        <f t="shared" si="202"/>
        <v>2.2391031367827982E-2</v>
      </c>
      <c r="AZ640" s="8">
        <v>412044288.51020002</v>
      </c>
      <c r="BA640" s="10">
        <v>60480066</v>
      </c>
      <c r="BB640" s="11">
        <v>46867083.26473923</v>
      </c>
      <c r="BC640" s="10">
        <v>2971324</v>
      </c>
      <c r="BD640" s="10">
        <f>1000000000-998984859.9055+298692.5466</f>
        <v>1313832.6410999456</v>
      </c>
      <c r="BE640" s="12">
        <f t="shared" si="203"/>
        <v>476323405.58396083</v>
      </c>
      <c r="BF640" s="13">
        <v>232.644283</v>
      </c>
      <c r="BG640" s="13">
        <f t="shared" si="204"/>
        <v>243.67912258396083</v>
      </c>
      <c r="BH640" s="14">
        <f>BE640*84.51</f>
        <v>40254091005.900536</v>
      </c>
    </row>
    <row r="641" spans="1:60" x14ac:dyDescent="0.25">
      <c r="A641" s="3">
        <v>46263</v>
      </c>
      <c r="B641" s="4">
        <v>2337127194</v>
      </c>
      <c r="C641" s="4">
        <v>287866059.35000002</v>
      </c>
      <c r="D641" s="4">
        <v>182830199</v>
      </c>
      <c r="E641" s="4">
        <v>1402602.29</v>
      </c>
      <c r="F641" s="17">
        <v>81138090.57219243</v>
      </c>
      <c r="G641" s="17">
        <v>3219305.276724631</v>
      </c>
      <c r="H641" s="17">
        <v>1227029.353572852</v>
      </c>
      <c r="I641" s="17">
        <v>65643387.057004876</v>
      </c>
      <c r="J641" s="17">
        <v>22363.424243744568</v>
      </c>
      <c r="K641" s="17">
        <v>136615883.66626149</v>
      </c>
      <c r="L641" s="14">
        <f t="shared" ref="L641:L704" si="218">SUM(F641:K641)</f>
        <v>287866059.35000002</v>
      </c>
      <c r="M641" s="21">
        <v>1.2917136741240161</v>
      </c>
      <c r="N641" s="4">
        <v>819596.93</v>
      </c>
      <c r="O641" s="4">
        <v>43245.48</v>
      </c>
      <c r="P641" s="4">
        <v>94287.69</v>
      </c>
      <c r="Q641" s="4">
        <v>325.15849500000002</v>
      </c>
      <c r="R641" s="14">
        <f t="shared" si="205"/>
        <v>957455.25849500007</v>
      </c>
      <c r="S641" s="6">
        <v>0.01</v>
      </c>
      <c r="T641" s="14">
        <f t="shared" si="206"/>
        <v>8195.9693000000007</v>
      </c>
      <c r="U641" s="14">
        <f t="shared" si="207"/>
        <v>220.07620000000003</v>
      </c>
      <c r="V641" s="14">
        <f t="shared" si="208"/>
        <v>686.17600000000004</v>
      </c>
      <c r="W641" s="14">
        <f t="shared" si="209"/>
        <v>3.2515849500000003</v>
      </c>
      <c r="X641" s="4">
        <v>25670.09</v>
      </c>
      <c r="Y641" s="4">
        <v>21237.86</v>
      </c>
      <c r="Z641" s="4">
        <v>0</v>
      </c>
      <c r="AA641" s="14">
        <f t="shared" si="210"/>
        <v>56013.423084950002</v>
      </c>
      <c r="AB641" s="4">
        <v>83382.616099999985</v>
      </c>
      <c r="AC641" s="4">
        <v>819596.93</v>
      </c>
      <c r="AD641" s="14">
        <f t="shared" si="211"/>
        <v>22007.620000000003</v>
      </c>
      <c r="AE641" s="14">
        <f t="shared" si="212"/>
        <v>68617.600000000006</v>
      </c>
      <c r="AF641" s="14">
        <f t="shared" si="213"/>
        <v>325.15849500000002</v>
      </c>
      <c r="AG641" s="15">
        <f t="shared" si="214"/>
        <v>910547.308495</v>
      </c>
      <c r="AH641" s="4">
        <v>729680.44</v>
      </c>
      <c r="AI641" s="17">
        <f t="shared" si="215"/>
        <v>180866.86849500006</v>
      </c>
      <c r="AJ641" s="7">
        <f t="shared" si="198"/>
        <v>3.5068563324414428</v>
      </c>
      <c r="AK641" s="7">
        <f t="shared" si="199"/>
        <v>1.502277833574686</v>
      </c>
      <c r="AL641" s="7">
        <f t="shared" si="200"/>
        <v>5.1571179441750754</v>
      </c>
      <c r="AM641" s="7">
        <f t="shared" si="201"/>
        <v>2.318251562244348</v>
      </c>
      <c r="AN641" s="4">
        <v>11918.459591112531</v>
      </c>
      <c r="AO641" s="4">
        <v>0</v>
      </c>
      <c r="AP641" s="14">
        <f t="shared" si="216"/>
        <v>741598.89959111251</v>
      </c>
      <c r="AQ641" s="14">
        <f t="shared" si="217"/>
        <v>729680.44</v>
      </c>
      <c r="AR641" s="8">
        <v>8879.44</v>
      </c>
      <c r="AS641" s="20">
        <v>82.176402999999993</v>
      </c>
      <c r="AT641" s="8">
        <v>46875687.134739228</v>
      </c>
      <c r="AU641" s="8">
        <v>26779.1672</v>
      </c>
      <c r="AV641" s="8">
        <v>4089.1116000000002</v>
      </c>
      <c r="AW641" s="8"/>
      <c r="AX641" s="9">
        <v>436.83923204579719</v>
      </c>
      <c r="AY641" s="6">
        <f t="shared" si="202"/>
        <v>2.2375270605217247E-2</v>
      </c>
      <c r="AZ641" s="8">
        <v>412017509.34299999</v>
      </c>
      <c r="BA641" s="10">
        <v>60480066</v>
      </c>
      <c r="BB641" s="11">
        <v>46875687.134739228</v>
      </c>
      <c r="BC641" s="10">
        <v>2971324</v>
      </c>
      <c r="BD641" s="10">
        <f>1000000000-998980770.7939+298840.4165</f>
        <v>1318069.6225999871</v>
      </c>
      <c r="BE641" s="12">
        <f t="shared" si="203"/>
        <v>476337343.89966089</v>
      </c>
      <c r="BF641" s="13">
        <v>232.644283</v>
      </c>
      <c r="BG641" s="13">
        <f t="shared" si="204"/>
        <v>243.69306089966088</v>
      </c>
      <c r="BH641" s="14">
        <f>BE641*80.61</f>
        <v>38397553291.751663</v>
      </c>
    </row>
    <row r="642" spans="1:60" x14ac:dyDescent="0.25">
      <c r="A642" s="3">
        <v>46264</v>
      </c>
      <c r="B642" s="4">
        <v>4796600904</v>
      </c>
      <c r="C642" s="4">
        <v>941755092.66999996</v>
      </c>
      <c r="D642" s="4">
        <v>148240207</v>
      </c>
      <c r="E642" s="4">
        <v>3064127.87</v>
      </c>
      <c r="F642" s="17">
        <v>321000807.47618508</v>
      </c>
      <c r="G642" s="17">
        <v>1912502.3513800041</v>
      </c>
      <c r="H642" s="17">
        <v>1383776.9154436011</v>
      </c>
      <c r="I642" s="17">
        <v>215131502.0749009</v>
      </c>
      <c r="J642" s="17">
        <v>29869.888493390488</v>
      </c>
      <c r="K642" s="17">
        <v>402296633.96359712</v>
      </c>
      <c r="L642" s="14">
        <f t="shared" si="218"/>
        <v>941755092.67000008</v>
      </c>
      <c r="M642" s="21">
        <v>1.1215623748194901</v>
      </c>
      <c r="N642" s="4">
        <v>1645403.06</v>
      </c>
      <c r="O642" s="4">
        <v>131945.82</v>
      </c>
      <c r="P642" s="4">
        <v>76037.8</v>
      </c>
      <c r="Q642" s="4">
        <v>839.65382499999998</v>
      </c>
      <c r="R642" s="14">
        <f t="shared" si="205"/>
        <v>1854226.3338250001</v>
      </c>
      <c r="S642" s="6">
        <v>0.01</v>
      </c>
      <c r="T642" s="14">
        <f t="shared" si="206"/>
        <v>16454.030600000002</v>
      </c>
      <c r="U642" s="14">
        <f t="shared" si="207"/>
        <v>662.1917000000002</v>
      </c>
      <c r="V642" s="14">
        <f t="shared" si="208"/>
        <v>551.78499999999997</v>
      </c>
      <c r="W642" s="14">
        <f t="shared" si="209"/>
        <v>8.3965382500000008</v>
      </c>
      <c r="X642" s="4">
        <v>20859.3</v>
      </c>
      <c r="Y642" s="4">
        <v>65726.649999999994</v>
      </c>
      <c r="Z642" s="4">
        <v>0</v>
      </c>
      <c r="AA642" s="14">
        <f t="shared" si="210"/>
        <v>104262.35383825</v>
      </c>
      <c r="AB642" s="4">
        <v>158266.68419999999</v>
      </c>
      <c r="AC642" s="4">
        <v>1645403.06</v>
      </c>
      <c r="AD642" s="14">
        <f t="shared" si="211"/>
        <v>66219.170000000013</v>
      </c>
      <c r="AE642" s="14">
        <f t="shared" si="212"/>
        <v>55178.5</v>
      </c>
      <c r="AF642" s="14">
        <f t="shared" si="213"/>
        <v>839.65382499999998</v>
      </c>
      <c r="AG642" s="15">
        <f t="shared" si="214"/>
        <v>1767640.3838249999</v>
      </c>
      <c r="AH642" s="4">
        <v>1469774.99</v>
      </c>
      <c r="AI642" s="17">
        <f t="shared" si="215"/>
        <v>297865.39382499992</v>
      </c>
      <c r="AJ642" s="7">
        <f t="shared" si="198"/>
        <v>3.4303522284454795</v>
      </c>
      <c r="AK642" s="7">
        <f t="shared" si="199"/>
        <v>1.4010629836459518</v>
      </c>
      <c r="AL642" s="7">
        <f t="shared" si="200"/>
        <v>5.1293641272370873</v>
      </c>
      <c r="AM642" s="7">
        <f t="shared" si="201"/>
        <v>2.7402701865702492</v>
      </c>
      <c r="AN642" s="4">
        <v>14772.28153019895</v>
      </c>
      <c r="AO642" s="4">
        <v>41836.480000000003</v>
      </c>
      <c r="AP642" s="14">
        <f t="shared" si="216"/>
        <v>1526383.7515301988</v>
      </c>
      <c r="AQ642" s="14">
        <f t="shared" si="217"/>
        <v>1469774.99</v>
      </c>
      <c r="AR642" s="8">
        <v>17858.82</v>
      </c>
      <c r="AS642" s="20">
        <v>82.299670000000006</v>
      </c>
      <c r="AT642" s="8">
        <v>46893938.054739229</v>
      </c>
      <c r="AU642" s="8">
        <v>26823.874199999998</v>
      </c>
      <c r="AV642" s="8">
        <v>1888.2301</v>
      </c>
      <c r="AW642" s="8"/>
      <c r="AX642" s="9">
        <v>436.06339918148558</v>
      </c>
      <c r="AY642" s="6">
        <f t="shared" si="202"/>
        <v>2.2452501405478411E-2</v>
      </c>
      <c r="AZ642" s="8">
        <v>411990685.46880001</v>
      </c>
      <c r="BA642" s="10">
        <v>60480066</v>
      </c>
      <c r="BB642" s="11">
        <v>46893938.054739229</v>
      </c>
      <c r="BC642" s="10">
        <v>2971324</v>
      </c>
      <c r="BD642" s="10">
        <f>1000000000-998978882.5638+299018.0149</f>
        <v>1320135.4511000228</v>
      </c>
      <c r="BE642" s="12">
        <f t="shared" si="203"/>
        <v>476343851.02536064</v>
      </c>
      <c r="BF642" s="13">
        <v>232.644283</v>
      </c>
      <c r="BG642" s="13">
        <f t="shared" si="204"/>
        <v>243.69956802536066</v>
      </c>
      <c r="BH642" s="14">
        <f>BE642*83.19</f>
        <v>39627044966.799751</v>
      </c>
    </row>
    <row r="643" spans="1:60" x14ac:dyDescent="0.25">
      <c r="A643" s="3">
        <v>46265</v>
      </c>
      <c r="B643" s="4">
        <v>5743480379</v>
      </c>
      <c r="C643" s="4">
        <v>2515478612.7199998</v>
      </c>
      <c r="D643" s="4">
        <v>211275154</v>
      </c>
      <c r="E643" s="4">
        <v>4177778.53</v>
      </c>
      <c r="F643" s="17">
        <v>563342271.36638927</v>
      </c>
      <c r="G643" s="17">
        <v>3246907.1734598181</v>
      </c>
      <c r="H643" s="17">
        <v>4809799.8541231528</v>
      </c>
      <c r="I643" s="17">
        <v>471099154.2137506</v>
      </c>
      <c r="J643" s="17">
        <v>439760.53908120398</v>
      </c>
      <c r="K643" s="17">
        <v>1472540719.573195</v>
      </c>
      <c r="L643" s="14">
        <f t="shared" si="218"/>
        <v>2515478612.7199988</v>
      </c>
      <c r="M643" s="21">
        <v>1.101541741095327</v>
      </c>
      <c r="N643" s="4">
        <v>1942767.29</v>
      </c>
      <c r="O643" s="4">
        <v>293841.84000000003</v>
      </c>
      <c r="P643" s="4">
        <v>108531.26</v>
      </c>
      <c r="Q643" s="4">
        <v>1329.2666690000001</v>
      </c>
      <c r="R643" s="14">
        <f t="shared" si="205"/>
        <v>2346469.6566689997</v>
      </c>
      <c r="S643" s="6">
        <v>0.01</v>
      </c>
      <c r="T643" s="14">
        <f t="shared" si="206"/>
        <v>19427.672900000001</v>
      </c>
      <c r="U643" s="14">
        <f t="shared" si="207"/>
        <v>1474.0811000000001</v>
      </c>
      <c r="V643" s="14">
        <f t="shared" si="208"/>
        <v>767.73039999999992</v>
      </c>
      <c r="W643" s="14">
        <f t="shared" si="209"/>
        <v>13.292666690000001</v>
      </c>
      <c r="X643" s="4">
        <v>31758.22</v>
      </c>
      <c r="Y643" s="4">
        <v>146433.73000000001</v>
      </c>
      <c r="Z643" s="4">
        <v>0</v>
      </c>
      <c r="AA643" s="14">
        <f t="shared" si="210"/>
        <v>199874.72706669001</v>
      </c>
      <c r="AB643" s="4">
        <v>199168.02040000001</v>
      </c>
      <c r="AC643" s="4">
        <v>1942767.29</v>
      </c>
      <c r="AD643" s="14">
        <f t="shared" si="211"/>
        <v>147408.11000000002</v>
      </c>
      <c r="AE643" s="14">
        <f t="shared" si="212"/>
        <v>76773.039999999994</v>
      </c>
      <c r="AF643" s="14">
        <f t="shared" si="213"/>
        <v>1329.2666690000001</v>
      </c>
      <c r="AG643" s="15">
        <f t="shared" si="214"/>
        <v>2168277.706669</v>
      </c>
      <c r="AH643" s="4">
        <v>1785981.78</v>
      </c>
      <c r="AI643" s="17">
        <f t="shared" si="215"/>
        <v>382295.92666899995</v>
      </c>
      <c r="AJ643" s="7">
        <f t="shared" si="198"/>
        <v>3.3825610288552186</v>
      </c>
      <c r="AK643" s="7">
        <f t="shared" si="199"/>
        <v>1.1681349168072128</v>
      </c>
      <c r="AL643" s="7">
        <f t="shared" si="200"/>
        <v>5.1369627684663763</v>
      </c>
      <c r="AM643" s="7">
        <f t="shared" si="201"/>
        <v>3.1817547518489455</v>
      </c>
      <c r="AN643" s="4">
        <v>58281.259345843362</v>
      </c>
      <c r="AO643" s="4">
        <v>40023.370000000003</v>
      </c>
      <c r="AP643" s="14">
        <f t="shared" si="216"/>
        <v>1884286.4093458436</v>
      </c>
      <c r="AQ643" s="14">
        <f t="shared" si="217"/>
        <v>1785981.78</v>
      </c>
      <c r="AR643" s="8">
        <v>21824.51</v>
      </c>
      <c r="AS643" s="20">
        <v>81.833763000000005</v>
      </c>
      <c r="AT643" s="8">
        <v>46915496.984739229</v>
      </c>
      <c r="AU643" s="8">
        <v>26810.4908</v>
      </c>
      <c r="AV643" s="8">
        <v>2256.3227999999999</v>
      </c>
      <c r="AW643" s="8"/>
      <c r="AX643" s="9">
        <v>436.18995954114013</v>
      </c>
      <c r="AY643" s="6">
        <f t="shared" si="202"/>
        <v>2.2434787706471792E-2</v>
      </c>
      <c r="AZ643" s="8">
        <v>411963874.97799999</v>
      </c>
      <c r="BA643" s="10">
        <v>60480066</v>
      </c>
      <c r="BB643" s="11">
        <v>46915496.984739229</v>
      </c>
      <c r="BC643" s="10">
        <v>2971324</v>
      </c>
      <c r="BD643" s="10">
        <f>1000000000-998976626.241+299743.3573</f>
        <v>1323117.1162999438</v>
      </c>
      <c r="BE643" s="12">
        <f t="shared" si="203"/>
        <v>476346120.9209609</v>
      </c>
      <c r="BF643" s="13">
        <v>232.644283</v>
      </c>
      <c r="BG643" s="13">
        <f t="shared" si="204"/>
        <v>243.70183792096091</v>
      </c>
      <c r="BH643" s="14">
        <f>BE643*80.36</f>
        <v>38279174277.20842</v>
      </c>
    </row>
    <row r="644" spans="1:60" x14ac:dyDescent="0.25">
      <c r="A644" s="3">
        <v>46266</v>
      </c>
      <c r="B644" s="4">
        <v>5842941864</v>
      </c>
      <c r="C644" s="4">
        <v>2815379391.6900001</v>
      </c>
      <c r="D644" s="4">
        <v>176649339</v>
      </c>
      <c r="E644" s="4">
        <v>5833216.4900000002</v>
      </c>
      <c r="F644" s="17">
        <v>832940660.38125837</v>
      </c>
      <c r="G644" s="17">
        <v>2275545.3909719479</v>
      </c>
      <c r="H644" s="17">
        <v>6004302.3704471467</v>
      </c>
      <c r="I644" s="17">
        <v>723596277.3972671</v>
      </c>
      <c r="J644" s="17">
        <v>977303.70121430105</v>
      </c>
      <c r="K644" s="17">
        <v>1249585302.4488411</v>
      </c>
      <c r="L644" s="14">
        <f t="shared" si="218"/>
        <v>2815379391.6900001</v>
      </c>
      <c r="M644" s="21">
        <v>1.085345863569863</v>
      </c>
      <c r="N644" s="4">
        <v>2036593.84</v>
      </c>
      <c r="O644" s="4">
        <v>380163.77</v>
      </c>
      <c r="P644" s="4">
        <v>91110.040000000008</v>
      </c>
      <c r="Q644" s="4">
        <v>2379.7808789999999</v>
      </c>
      <c r="R644" s="14">
        <f t="shared" si="205"/>
        <v>2510247.4308790006</v>
      </c>
      <c r="S644" s="6">
        <v>0.01</v>
      </c>
      <c r="T644" s="14">
        <f t="shared" si="206"/>
        <v>20365.938400000003</v>
      </c>
      <c r="U644" s="14">
        <f t="shared" si="207"/>
        <v>1903.6114000000002</v>
      </c>
      <c r="V644" s="14">
        <f t="shared" si="208"/>
        <v>690.40250000000003</v>
      </c>
      <c r="W644" s="14">
        <f t="shared" si="209"/>
        <v>23.797808790000001</v>
      </c>
      <c r="X644" s="4">
        <v>22069.79</v>
      </c>
      <c r="Y644" s="4">
        <v>189802.63</v>
      </c>
      <c r="Z644" s="4">
        <v>0</v>
      </c>
      <c r="AA644" s="14">
        <f t="shared" si="210"/>
        <v>234856.17010879001</v>
      </c>
      <c r="AB644" s="4">
        <v>274447.19439999998</v>
      </c>
      <c r="AC644" s="4">
        <v>2036593.84</v>
      </c>
      <c r="AD644" s="14">
        <f t="shared" si="211"/>
        <v>190361.14</v>
      </c>
      <c r="AE644" s="14">
        <f t="shared" si="212"/>
        <v>69040.25</v>
      </c>
      <c r="AF644" s="14">
        <f t="shared" si="213"/>
        <v>2379.7808789999999</v>
      </c>
      <c r="AG644" s="15">
        <f t="shared" si="214"/>
        <v>2298375.0108790002</v>
      </c>
      <c r="AH644" s="4">
        <v>1828875.68</v>
      </c>
      <c r="AI644" s="17">
        <f t="shared" si="215"/>
        <v>469499.33087900025</v>
      </c>
      <c r="AJ644" s="7">
        <f t="shared" ref="AJ644:AJ662" si="219">IF(OR(B644="",B644=0,N644=""),"",N644/B644*10000)</f>
        <v>3.4855623886111631</v>
      </c>
      <c r="AK644" s="7">
        <f t="shared" ref="AK644:AK662" si="220">IF(OR(C644="",C644=0),"",O644/C644*10000)</f>
        <v>1.3503109780589728</v>
      </c>
      <c r="AL644" s="7">
        <f t="shared" ref="AL644:AL662" si="221">IF(OR(D644="",D644=0),"",P644/D644*10000)</f>
        <v>5.1576779463635587</v>
      </c>
      <c r="AM644" s="7">
        <f t="shared" ref="AM644:AM662" si="222">IF(OR(E644="",E644=0),"",Q644/E644*10000)</f>
        <v>4.0797060816784461</v>
      </c>
      <c r="AN644" s="4">
        <v>48156.267832700083</v>
      </c>
      <c r="AO644" s="4">
        <v>0</v>
      </c>
      <c r="AP644" s="14">
        <f t="shared" si="216"/>
        <v>1877031.9478327001</v>
      </c>
      <c r="AQ644" s="14">
        <f t="shared" si="217"/>
        <v>1828875.68</v>
      </c>
      <c r="AR644" s="8">
        <v>22061.38</v>
      </c>
      <c r="AS644" s="20">
        <v>82.899422999999999</v>
      </c>
      <c r="AT644" s="8">
        <v>46937278.604739226</v>
      </c>
      <c r="AU644" s="8">
        <v>26814.4686</v>
      </c>
      <c r="AV644" s="8">
        <v>3008.9126000000001</v>
      </c>
      <c r="AW644" s="8"/>
      <c r="AX644" s="9">
        <v>437.27467706479848</v>
      </c>
      <c r="AY644" s="6">
        <f t="shared" ref="AY644:AY707" si="223">IF(OR(AX644="",AX644=0,AU644=""),"",AU644*365/(AX644*1000000))</f>
        <v>2.2382455587634343E-2</v>
      </c>
      <c r="AZ644" s="8">
        <v>411937060.50940001</v>
      </c>
      <c r="BA644" s="10">
        <v>60480066</v>
      </c>
      <c r="BB644" s="11">
        <v>46937278.604739226</v>
      </c>
      <c r="BC644" s="10">
        <v>2971324</v>
      </c>
      <c r="BD644" s="10">
        <f>1000000000-998973617.3284+300314.8297</f>
        <v>1326697.5012999843</v>
      </c>
      <c r="BE644" s="12">
        <f t="shared" ref="BE644:BE707" si="224">1000000000-AZ644-BA644-BB644-BC644-BD644</f>
        <v>476347573.38456076</v>
      </c>
      <c r="BF644" s="13">
        <v>232.644283</v>
      </c>
      <c r="BG644" s="13">
        <f t="shared" ref="BG644:BG707" si="225">BE644/1000000-BF644</f>
        <v>243.70329038456074</v>
      </c>
      <c r="BH644" s="14">
        <f>BE644*84.21</f>
        <v>40113229154.71386</v>
      </c>
    </row>
    <row r="645" spans="1:60" x14ac:dyDescent="0.25">
      <c r="A645" s="3">
        <v>46267</v>
      </c>
      <c r="B645" s="4">
        <v>5428862578</v>
      </c>
      <c r="C645" s="4">
        <v>2374679691.7399998</v>
      </c>
      <c r="D645" s="4">
        <v>190554439</v>
      </c>
      <c r="E645" s="4">
        <v>6801346.2199999997</v>
      </c>
      <c r="F645" s="17">
        <v>777602963.11444664</v>
      </c>
      <c r="G645" s="17">
        <v>981274.68498123344</v>
      </c>
      <c r="H645" s="17">
        <v>13556170.03277595</v>
      </c>
      <c r="I645" s="17">
        <v>472312974.81969428</v>
      </c>
      <c r="J645" s="17">
        <v>588244.14909182442</v>
      </c>
      <c r="K645" s="17">
        <v>1109638064.9390099</v>
      </c>
      <c r="L645" s="14">
        <f t="shared" si="218"/>
        <v>2374679691.7399998</v>
      </c>
      <c r="M645" s="21">
        <v>1.0770651299984271</v>
      </c>
      <c r="N645" s="4">
        <v>1790800.97</v>
      </c>
      <c r="O645" s="4">
        <v>306695.12</v>
      </c>
      <c r="P645" s="4">
        <v>94099.82</v>
      </c>
      <c r="Q645" s="4">
        <v>2594.8899780000002</v>
      </c>
      <c r="R645" s="14">
        <f t="shared" si="205"/>
        <v>2194190.7999779996</v>
      </c>
      <c r="S645" s="6">
        <v>0.01</v>
      </c>
      <c r="T645" s="14">
        <f t="shared" si="206"/>
        <v>17908.009699999999</v>
      </c>
      <c r="U645" s="14">
        <f t="shared" si="207"/>
        <v>1534.9416000000001</v>
      </c>
      <c r="V645" s="14">
        <f t="shared" si="208"/>
        <v>752.33440000000007</v>
      </c>
      <c r="W645" s="14">
        <f t="shared" si="209"/>
        <v>25.948899780000001</v>
      </c>
      <c r="X645" s="4">
        <v>18866.38</v>
      </c>
      <c r="Y645" s="4">
        <v>153200.95999999999</v>
      </c>
      <c r="Z645" s="4">
        <v>0</v>
      </c>
      <c r="AA645" s="14">
        <f t="shared" si="210"/>
        <v>192288.57459978</v>
      </c>
      <c r="AB645" s="4">
        <v>165897.67139999999</v>
      </c>
      <c r="AC645" s="4">
        <v>1790800.97</v>
      </c>
      <c r="AD645" s="14">
        <f t="shared" si="211"/>
        <v>153494.16</v>
      </c>
      <c r="AE645" s="14">
        <f t="shared" si="212"/>
        <v>75233.440000000002</v>
      </c>
      <c r="AF645" s="14">
        <f t="shared" si="213"/>
        <v>2594.8899780000002</v>
      </c>
      <c r="AG645" s="15">
        <f t="shared" si="214"/>
        <v>2022123.4599779998</v>
      </c>
      <c r="AH645" s="4">
        <v>1713354.46</v>
      </c>
      <c r="AI645" s="17">
        <f t="shared" si="215"/>
        <v>308768.99997799983</v>
      </c>
      <c r="AJ645" s="7">
        <f t="shared" si="219"/>
        <v>3.2986669753938282</v>
      </c>
      <c r="AK645" s="7">
        <f t="shared" si="220"/>
        <v>1.2915220569190751</v>
      </c>
      <c r="AL645" s="7">
        <f t="shared" si="221"/>
        <v>4.9382119090912386</v>
      </c>
      <c r="AM645" s="7">
        <f t="shared" si="222"/>
        <v>3.8152593531696439</v>
      </c>
      <c r="AN645" s="4">
        <v>16009.46139407927</v>
      </c>
      <c r="AO645" s="4">
        <v>0</v>
      </c>
      <c r="AP645" s="14">
        <f t="shared" si="216"/>
        <v>1729363.9213940792</v>
      </c>
      <c r="AQ645" s="14">
        <f t="shared" si="217"/>
        <v>1713354.46</v>
      </c>
      <c r="AR645" s="8">
        <v>20962.419999999998</v>
      </c>
      <c r="AS645" s="20">
        <v>81.734573999999995</v>
      </c>
      <c r="AT645" s="8">
        <v>46958725.424739227</v>
      </c>
      <c r="AU645" s="8">
        <v>26850.2166</v>
      </c>
      <c r="AV645" s="8">
        <v>3025.9423000000002</v>
      </c>
      <c r="AW645" s="8"/>
      <c r="AX645" s="9">
        <v>437.53113688161432</v>
      </c>
      <c r="AY645" s="6">
        <f t="shared" si="223"/>
        <v>2.2399157986444606E-2</v>
      </c>
      <c r="AZ645" s="8">
        <v>411910210.29280001</v>
      </c>
      <c r="BA645" s="10">
        <v>60480066</v>
      </c>
      <c r="BB645" s="11">
        <v>46958725.424739227</v>
      </c>
      <c r="BC645" s="10">
        <v>2971324</v>
      </c>
      <c r="BD645" s="10">
        <f>1000000000-998970591.3862+300508.113</f>
        <v>1329916.7268000487</v>
      </c>
      <c r="BE645" s="12">
        <f t="shared" si="224"/>
        <v>476349757.55566078</v>
      </c>
      <c r="BF645" s="13">
        <v>232.644283</v>
      </c>
      <c r="BG645" s="13">
        <f t="shared" si="225"/>
        <v>243.7054745556608</v>
      </c>
      <c r="BH645" s="14">
        <f>BE645*82.87</f>
        <v>39475104408.637611</v>
      </c>
    </row>
    <row r="646" spans="1:60" x14ac:dyDescent="0.25">
      <c r="A646" s="3">
        <v>46268</v>
      </c>
      <c r="B646" s="4">
        <v>8312744611</v>
      </c>
      <c r="C646" s="4">
        <v>2802713657.5</v>
      </c>
      <c r="D646" s="4">
        <v>237152223</v>
      </c>
      <c r="E646" s="4">
        <v>5870741.5700000003</v>
      </c>
      <c r="F646" s="17">
        <v>722230979.51149368</v>
      </c>
      <c r="G646" s="17">
        <v>577716.80407525576</v>
      </c>
      <c r="H646" s="17">
        <v>25418528.888128482</v>
      </c>
      <c r="I646" s="17">
        <v>555519955.42269993</v>
      </c>
      <c r="J646" s="17">
        <v>372611.99207462359</v>
      </c>
      <c r="K646" s="17">
        <v>1498593864.8815291</v>
      </c>
      <c r="L646" s="14">
        <f t="shared" si="218"/>
        <v>2802713657.500001</v>
      </c>
      <c r="M646" s="21">
        <v>1.087412479777816</v>
      </c>
      <c r="N646" s="4">
        <v>2914010.65</v>
      </c>
      <c r="O646" s="4">
        <v>347039.52</v>
      </c>
      <c r="P646" s="4">
        <v>114650.02</v>
      </c>
      <c r="Q646" s="4">
        <v>1857.426757</v>
      </c>
      <c r="R646" s="14">
        <f t="shared" si="205"/>
        <v>3377557.6167569999</v>
      </c>
      <c r="S646" s="6">
        <v>0.01</v>
      </c>
      <c r="T646" s="14">
        <f t="shared" si="206"/>
        <v>29140.106499999998</v>
      </c>
      <c r="U646" s="14">
        <f t="shared" si="207"/>
        <v>1735.1976000000002</v>
      </c>
      <c r="V646" s="14">
        <f t="shared" si="208"/>
        <v>870.02779999999996</v>
      </c>
      <c r="W646" s="14">
        <f t="shared" si="209"/>
        <v>18.57426757</v>
      </c>
      <c r="X646" s="4">
        <v>27647.24</v>
      </c>
      <c r="Y646" s="4">
        <v>173519.76</v>
      </c>
      <c r="Z646" s="4">
        <v>0</v>
      </c>
      <c r="AA646" s="14">
        <f t="shared" si="210"/>
        <v>232930.90616757001</v>
      </c>
      <c r="AB646" s="4">
        <v>342740.55229999998</v>
      </c>
      <c r="AC646" s="4">
        <v>2914010.65</v>
      </c>
      <c r="AD646" s="14">
        <f t="shared" si="211"/>
        <v>173519.76</v>
      </c>
      <c r="AE646" s="14">
        <f t="shared" si="212"/>
        <v>87002.78</v>
      </c>
      <c r="AF646" s="14">
        <f t="shared" si="213"/>
        <v>1857.426757</v>
      </c>
      <c r="AG646" s="15">
        <f t="shared" si="214"/>
        <v>3176390.6167569999</v>
      </c>
      <c r="AH646" s="4">
        <v>2492959.2999999998</v>
      </c>
      <c r="AI646" s="17">
        <f t="shared" si="215"/>
        <v>683431.31675700005</v>
      </c>
      <c r="AJ646" s="7">
        <f t="shared" si="219"/>
        <v>3.5054735666292203</v>
      </c>
      <c r="AK646" s="7">
        <f t="shared" si="220"/>
        <v>1.2382268130436012</v>
      </c>
      <c r="AL646" s="7">
        <f t="shared" si="221"/>
        <v>4.8344484630869351</v>
      </c>
      <c r="AM646" s="7">
        <f t="shared" si="222"/>
        <v>3.1638707561096062</v>
      </c>
      <c r="AN646" s="4">
        <v>17591.539629787181</v>
      </c>
      <c r="AO646" s="4">
        <v>40958.129999999997</v>
      </c>
      <c r="AP646" s="14">
        <f t="shared" si="216"/>
        <v>2551508.9696297869</v>
      </c>
      <c r="AQ646" s="14">
        <f t="shared" si="217"/>
        <v>2492959.2999999998</v>
      </c>
      <c r="AR646" s="8">
        <v>29850.37</v>
      </c>
      <c r="AS646" s="20">
        <v>83.515189000000007</v>
      </c>
      <c r="AT646" s="8">
        <v>46989515.394739233</v>
      </c>
      <c r="AU646" s="8">
        <v>26863.596699999998</v>
      </c>
      <c r="AV646" s="8">
        <v>2397.9483</v>
      </c>
      <c r="AW646" s="8"/>
      <c r="AX646" s="9">
        <v>438.21540432565291</v>
      </c>
      <c r="AY646" s="6">
        <f t="shared" si="223"/>
        <v>2.2375326605847495E-2</v>
      </c>
      <c r="AZ646" s="8">
        <v>411883346.6961</v>
      </c>
      <c r="BA646" s="10">
        <v>60480066</v>
      </c>
      <c r="BB646" s="11">
        <v>46989515.394739233</v>
      </c>
      <c r="BC646" s="10">
        <v>2971324</v>
      </c>
      <c r="BD646" s="10">
        <f>1000000000-998968193.4379+300723.7643</f>
        <v>1332530.3264000528</v>
      </c>
      <c r="BE646" s="12">
        <f t="shared" si="224"/>
        <v>476343217.58276075</v>
      </c>
      <c r="BF646" s="13">
        <v>232.644283</v>
      </c>
      <c r="BG646" s="13">
        <f t="shared" si="225"/>
        <v>243.69893458276076</v>
      </c>
      <c r="BH646" s="14">
        <f>BE646*81.59</f>
        <v>38864843122.577454</v>
      </c>
    </row>
    <row r="647" spans="1:60" x14ac:dyDescent="0.25">
      <c r="A647" s="3">
        <v>46269</v>
      </c>
      <c r="B647" s="4">
        <v>6662518670</v>
      </c>
      <c r="C647" s="4">
        <v>2640071944.8099999</v>
      </c>
      <c r="D647" s="4">
        <v>237936953</v>
      </c>
      <c r="E647" s="4">
        <v>4706569.43</v>
      </c>
      <c r="F647" s="17">
        <v>782773126.7774905</v>
      </c>
      <c r="G647" s="17">
        <v>227796.9173015852</v>
      </c>
      <c r="H647" s="17">
        <v>20748382.49578217</v>
      </c>
      <c r="I647" s="17">
        <v>413830761.26993161</v>
      </c>
      <c r="J647" s="17">
        <v>532951.33722679829</v>
      </c>
      <c r="K647" s="17">
        <v>1421958926.0122681</v>
      </c>
      <c r="L647" s="14">
        <f t="shared" si="218"/>
        <v>2640071944.8100004</v>
      </c>
      <c r="M647" s="21">
        <v>1.0763332483962851</v>
      </c>
      <c r="N647" s="4">
        <v>2402887.19</v>
      </c>
      <c r="O647" s="4">
        <v>336126.14</v>
      </c>
      <c r="P647" s="4">
        <v>126465.95</v>
      </c>
      <c r="Q647" s="4">
        <v>1592.031954</v>
      </c>
      <c r="R647" s="14">
        <f t="shared" si="205"/>
        <v>2867071.311954</v>
      </c>
      <c r="S647" s="6">
        <v>0.01</v>
      </c>
      <c r="T647" s="14">
        <f t="shared" si="206"/>
        <v>24028.871899999998</v>
      </c>
      <c r="U647" s="14">
        <f t="shared" si="207"/>
        <v>1680.6307000000002</v>
      </c>
      <c r="V647" s="14">
        <f t="shared" si="208"/>
        <v>968.9645999999999</v>
      </c>
      <c r="W647" s="14">
        <f t="shared" si="209"/>
        <v>15.920319540000001</v>
      </c>
      <c r="X647" s="4">
        <v>29569.49</v>
      </c>
      <c r="Y647" s="4">
        <v>168063.07</v>
      </c>
      <c r="Z647" s="4">
        <v>0</v>
      </c>
      <c r="AA647" s="14">
        <f t="shared" si="210"/>
        <v>224326.94751954</v>
      </c>
      <c r="AB647" s="4">
        <v>245226.89129999999</v>
      </c>
      <c r="AC647" s="4">
        <v>2402887.19</v>
      </c>
      <c r="AD647" s="14">
        <f t="shared" si="211"/>
        <v>168063.07</v>
      </c>
      <c r="AE647" s="14">
        <f t="shared" si="212"/>
        <v>96896.459999999992</v>
      </c>
      <c r="AF647" s="14">
        <f t="shared" si="213"/>
        <v>1592.031954</v>
      </c>
      <c r="AG647" s="15">
        <f t="shared" si="214"/>
        <v>2669438.7519539995</v>
      </c>
      <c r="AH647" s="4">
        <v>2183542.9300000002</v>
      </c>
      <c r="AI647" s="17">
        <f t="shared" si="215"/>
        <v>485895.82195399934</v>
      </c>
      <c r="AJ647" s="7">
        <f t="shared" si="219"/>
        <v>3.60657479403356</v>
      </c>
      <c r="AK647" s="7">
        <f t="shared" si="220"/>
        <v>1.2731703795450553</v>
      </c>
      <c r="AL647" s="7">
        <f t="shared" si="221"/>
        <v>5.3151033668990459</v>
      </c>
      <c r="AM647" s="7">
        <f t="shared" si="222"/>
        <v>3.3825740333336589</v>
      </c>
      <c r="AN647" s="4">
        <v>17869.485809278769</v>
      </c>
      <c r="AO647" s="4">
        <v>0</v>
      </c>
      <c r="AP647" s="14">
        <f t="shared" si="216"/>
        <v>2201412.4158092788</v>
      </c>
      <c r="AQ647" s="14">
        <f t="shared" si="217"/>
        <v>2183542.9300000002</v>
      </c>
      <c r="AR647" s="8">
        <v>25496.59</v>
      </c>
      <c r="AS647" s="20">
        <v>85.640586999999996</v>
      </c>
      <c r="AT647" s="8">
        <v>47013846.01473923</v>
      </c>
      <c r="AU647" s="8">
        <v>26878.7916</v>
      </c>
      <c r="AV647" s="8">
        <v>3200.529</v>
      </c>
      <c r="AW647" s="8"/>
      <c r="AX647" s="9">
        <v>438.49634959728849</v>
      </c>
      <c r="AY647" s="6">
        <f t="shared" si="223"/>
        <v>2.2373638784017522E-2</v>
      </c>
      <c r="AZ647" s="8">
        <v>411856467.90450001</v>
      </c>
      <c r="BA647" s="10">
        <v>60480066</v>
      </c>
      <c r="BB647" s="11">
        <v>47013846.01473923</v>
      </c>
      <c r="BC647" s="10">
        <v>2971324</v>
      </c>
      <c r="BD647" s="10">
        <f>1000000000-998964992.9088+300929.2741</f>
        <v>1335936.3652999941</v>
      </c>
      <c r="BE647" s="12">
        <f t="shared" si="224"/>
        <v>476342359.71546078</v>
      </c>
      <c r="BF647" s="13">
        <v>232.644283</v>
      </c>
      <c r="BG647" s="13">
        <f t="shared" si="225"/>
        <v>243.69807671546076</v>
      </c>
      <c r="BH647" s="14">
        <f>BE647*86.9</f>
        <v>41394151059.273544</v>
      </c>
    </row>
    <row r="648" spans="1:60" x14ac:dyDescent="0.25">
      <c r="A648" s="3">
        <v>46270</v>
      </c>
      <c r="B648" s="4">
        <v>2437498577</v>
      </c>
      <c r="C648" s="4">
        <v>350678392.29000002</v>
      </c>
      <c r="D648" s="4">
        <v>99912719</v>
      </c>
      <c r="E648" s="4">
        <v>3268341.17</v>
      </c>
      <c r="F648" s="17">
        <v>95448771.2466629</v>
      </c>
      <c r="G648" s="17">
        <v>310851.03582042648</v>
      </c>
      <c r="H648" s="17">
        <v>2761006.1744966642</v>
      </c>
      <c r="I648" s="17">
        <v>73424241.97886318</v>
      </c>
      <c r="J648" s="17">
        <v>60542.244253877449</v>
      </c>
      <c r="K648" s="17">
        <v>178672979.60990301</v>
      </c>
      <c r="L648" s="14">
        <f t="shared" si="218"/>
        <v>350678392.29000008</v>
      </c>
      <c r="M648" s="21">
        <v>1.138195609417969</v>
      </c>
      <c r="N648" s="4">
        <v>921935</v>
      </c>
      <c r="O648" s="4">
        <v>51295.64</v>
      </c>
      <c r="P648" s="4">
        <v>52746.25</v>
      </c>
      <c r="Q648" s="4">
        <v>854.711859</v>
      </c>
      <c r="R648" s="14">
        <f t="shared" si="205"/>
        <v>1026831.601859</v>
      </c>
      <c r="S648" s="6">
        <v>0.01</v>
      </c>
      <c r="T648" s="14">
        <f t="shared" si="206"/>
        <v>9219.35</v>
      </c>
      <c r="U648" s="14">
        <f t="shared" si="207"/>
        <v>256.47820000000002</v>
      </c>
      <c r="V648" s="14">
        <f t="shared" si="208"/>
        <v>432.19639999999998</v>
      </c>
      <c r="W648" s="14">
        <f t="shared" si="209"/>
        <v>8.5471185900000002</v>
      </c>
      <c r="X648" s="4">
        <v>9526.61</v>
      </c>
      <c r="Y648" s="4">
        <v>25647.82</v>
      </c>
      <c r="Z648" s="4">
        <v>0</v>
      </c>
      <c r="AA648" s="14">
        <f t="shared" si="210"/>
        <v>45091.00171859</v>
      </c>
      <c r="AB648" s="4">
        <v>99579.135999999984</v>
      </c>
      <c r="AC648" s="4">
        <v>921935</v>
      </c>
      <c r="AD648" s="14">
        <f t="shared" si="211"/>
        <v>25647.82</v>
      </c>
      <c r="AE648" s="14">
        <f t="shared" si="212"/>
        <v>43219.64</v>
      </c>
      <c r="AF648" s="14">
        <f t="shared" si="213"/>
        <v>854.711859</v>
      </c>
      <c r="AG648" s="15">
        <f t="shared" si="214"/>
        <v>991657.17185899999</v>
      </c>
      <c r="AH648" s="4">
        <v>825319.38</v>
      </c>
      <c r="AI648" s="17">
        <f t="shared" si="215"/>
        <v>166337.79185899999</v>
      </c>
      <c r="AJ648" s="7">
        <f t="shared" si="219"/>
        <v>3.7822996439845715</v>
      </c>
      <c r="AK648" s="7">
        <f t="shared" si="220"/>
        <v>1.4627545103372126</v>
      </c>
      <c r="AL648" s="7">
        <f t="shared" si="221"/>
        <v>5.2792327671514974</v>
      </c>
      <c r="AM648" s="7">
        <f t="shared" si="222"/>
        <v>2.6151243537405855</v>
      </c>
      <c r="AN648" s="4">
        <v>7822.3208885367967</v>
      </c>
      <c r="AO648" s="4">
        <v>42213.57</v>
      </c>
      <c r="AP648" s="14">
        <f t="shared" si="216"/>
        <v>875355.2708885367</v>
      </c>
      <c r="AQ648" s="14">
        <f t="shared" si="217"/>
        <v>825319.38</v>
      </c>
      <c r="AR648" s="8">
        <v>9703.7199999999993</v>
      </c>
      <c r="AS648" s="20">
        <v>85.051854000000006</v>
      </c>
      <c r="AT648" s="8">
        <v>47023171.494739227</v>
      </c>
      <c r="AU648" s="8">
        <v>26888.84</v>
      </c>
      <c r="AV648" s="8">
        <v>2293.4684000000002</v>
      </c>
      <c r="AW648" s="8"/>
      <c r="AX648" s="9">
        <v>438.69202768358417</v>
      </c>
      <c r="AY648" s="6">
        <f t="shared" si="223"/>
        <v>2.2372019504942681E-2</v>
      </c>
      <c r="AZ648" s="8">
        <v>411829579.06449997</v>
      </c>
      <c r="BA648" s="10">
        <v>60480066</v>
      </c>
      <c r="BB648" s="11">
        <v>47023171.494739227</v>
      </c>
      <c r="BC648" s="10">
        <v>2971324</v>
      </c>
      <c r="BD648" s="10">
        <f>1000000000-998962699.4405+301021.7409</f>
        <v>1338322.3003999791</v>
      </c>
      <c r="BE648" s="12">
        <f t="shared" si="224"/>
        <v>476357537.14036083</v>
      </c>
      <c r="BF648" s="13">
        <v>232.644283</v>
      </c>
      <c r="BG648" s="13">
        <f t="shared" si="225"/>
        <v>243.71325414036082</v>
      </c>
      <c r="BH648" s="14">
        <f>BE648*84.54</f>
        <v>40271266189.846107</v>
      </c>
    </row>
    <row r="649" spans="1:60" x14ac:dyDescent="0.25">
      <c r="A649" s="3">
        <v>46271</v>
      </c>
      <c r="B649" s="4">
        <v>3836039708</v>
      </c>
      <c r="C649" s="4">
        <v>547880644.42999995</v>
      </c>
      <c r="D649" s="4">
        <v>180702339</v>
      </c>
      <c r="E649" s="4">
        <v>3437566.92</v>
      </c>
      <c r="F649" s="17">
        <v>137587566.3356519</v>
      </c>
      <c r="G649" s="17">
        <v>199309.12679196359</v>
      </c>
      <c r="H649" s="17">
        <v>4190742.5109581528</v>
      </c>
      <c r="I649" s="17">
        <v>142673467.9314937</v>
      </c>
      <c r="J649" s="17">
        <v>138917.8593080056</v>
      </c>
      <c r="K649" s="17">
        <v>263090640.66579619</v>
      </c>
      <c r="L649" s="14">
        <f t="shared" si="218"/>
        <v>547880644.42999995</v>
      </c>
      <c r="M649" s="21">
        <v>1.117307578334527</v>
      </c>
      <c r="N649" s="4">
        <v>1446980.73</v>
      </c>
      <c r="O649" s="4">
        <v>69957.899999999994</v>
      </c>
      <c r="P649" s="4">
        <v>93106.67</v>
      </c>
      <c r="Q649" s="4">
        <v>856.75063399999999</v>
      </c>
      <c r="R649" s="14">
        <f t="shared" si="205"/>
        <v>1610902.0506339998</v>
      </c>
      <c r="S649" s="6">
        <v>0.01</v>
      </c>
      <c r="T649" s="14">
        <f t="shared" si="206"/>
        <v>14469.8073</v>
      </c>
      <c r="U649" s="14">
        <f t="shared" si="207"/>
        <v>349.78949999999998</v>
      </c>
      <c r="V649" s="14">
        <f t="shared" si="208"/>
        <v>725.64610000000005</v>
      </c>
      <c r="W649" s="14">
        <f t="shared" si="209"/>
        <v>8.5675063399999996</v>
      </c>
      <c r="X649" s="4">
        <v>20542.060000000001</v>
      </c>
      <c r="Y649" s="4">
        <v>34978.949999999997</v>
      </c>
      <c r="Z649" s="4">
        <v>0</v>
      </c>
      <c r="AA649" s="14">
        <f t="shared" si="210"/>
        <v>71074.820406340004</v>
      </c>
      <c r="AB649" s="4">
        <v>154813.33369999999</v>
      </c>
      <c r="AC649" s="4">
        <v>1446980.73</v>
      </c>
      <c r="AD649" s="14">
        <f t="shared" si="211"/>
        <v>34978.949999999997</v>
      </c>
      <c r="AE649" s="14">
        <f t="shared" si="212"/>
        <v>72564.61</v>
      </c>
      <c r="AF649" s="14">
        <f t="shared" si="213"/>
        <v>856.75063399999999</v>
      </c>
      <c r="AG649" s="15">
        <f t="shared" si="214"/>
        <v>1555381.040634</v>
      </c>
      <c r="AH649" s="4">
        <v>1176712.31</v>
      </c>
      <c r="AI649" s="17">
        <f t="shared" si="215"/>
        <v>378668.73063399992</v>
      </c>
      <c r="AJ649" s="7">
        <f t="shared" si="219"/>
        <v>3.7720692175900701</v>
      </c>
      <c r="AK649" s="7">
        <f t="shared" si="220"/>
        <v>1.2768821222509563</v>
      </c>
      <c r="AL649" s="7">
        <f t="shared" si="221"/>
        <v>5.1524883692844732</v>
      </c>
      <c r="AM649" s="7">
        <f t="shared" si="222"/>
        <v>2.4923169612069689</v>
      </c>
      <c r="AN649" s="4">
        <v>28498.765988851159</v>
      </c>
      <c r="AO649" s="4">
        <v>0</v>
      </c>
      <c r="AP649" s="14">
        <f t="shared" si="216"/>
        <v>1205211.0759888513</v>
      </c>
      <c r="AQ649" s="14">
        <f t="shared" si="217"/>
        <v>1176712.31</v>
      </c>
      <c r="AR649" s="8">
        <v>13463.69</v>
      </c>
      <c r="AS649" s="20">
        <v>87.398945999999995</v>
      </c>
      <c r="AT649" s="8">
        <v>47037928.654739231</v>
      </c>
      <c r="AU649" s="8">
        <v>26908.121299999999</v>
      </c>
      <c r="AV649" s="8">
        <v>2223.0171</v>
      </c>
      <c r="AW649" s="8">
        <v>433419</v>
      </c>
      <c r="AX649" s="9">
        <v>440.01473429738212</v>
      </c>
      <c r="AY649" s="6">
        <f t="shared" si="223"/>
        <v>2.2320762258525199E-2</v>
      </c>
      <c r="AZ649" s="8">
        <v>411802670.94319999</v>
      </c>
      <c r="BA649" s="10">
        <v>60480066</v>
      </c>
      <c r="BB649" s="11">
        <v>47037928.654739231</v>
      </c>
      <c r="BC649" s="10">
        <v>2971324</v>
      </c>
      <c r="BD649" s="10">
        <f>1000000000-998960476.4233+301354.9039</f>
        <v>1340878.4805999722</v>
      </c>
      <c r="BE649" s="12">
        <f t="shared" si="224"/>
        <v>476367131.92146075</v>
      </c>
      <c r="BF649" s="13">
        <v>232.21086399999999</v>
      </c>
      <c r="BG649" s="13">
        <f t="shared" si="225"/>
        <v>244.15626792146074</v>
      </c>
      <c r="BH649" s="14">
        <f>BE649*85.55</f>
        <v>40753208135.880966</v>
      </c>
    </row>
    <row r="650" spans="1:60" x14ac:dyDescent="0.25">
      <c r="A650" s="3">
        <v>46272</v>
      </c>
      <c r="B650" s="4">
        <v>4153793549</v>
      </c>
      <c r="C650" s="4">
        <v>1257497481.78</v>
      </c>
      <c r="D650" s="4">
        <v>157741904</v>
      </c>
      <c r="E650" s="4">
        <v>2493588.2200000002</v>
      </c>
      <c r="F650" s="17">
        <v>443988109.49040282</v>
      </c>
      <c r="G650" s="17">
        <v>321005.40518504073</v>
      </c>
      <c r="H650" s="17">
        <v>7022189.0979184043</v>
      </c>
      <c r="I650" s="17">
        <v>233894902.28319809</v>
      </c>
      <c r="J650" s="17">
        <v>63114.938723842482</v>
      </c>
      <c r="K650" s="17">
        <v>572208160.56457186</v>
      </c>
      <c r="L650" s="14">
        <f t="shared" si="218"/>
        <v>1257497481.78</v>
      </c>
      <c r="M650" s="21">
        <v>1.1051143302772759</v>
      </c>
      <c r="N650" s="4">
        <v>1517784.71</v>
      </c>
      <c r="O650" s="4">
        <v>166588.76</v>
      </c>
      <c r="P650" s="4">
        <v>79044.69</v>
      </c>
      <c r="Q650" s="4">
        <v>759.06336799999997</v>
      </c>
      <c r="R650" s="14">
        <f t="shared" si="205"/>
        <v>1764177.223368</v>
      </c>
      <c r="S650" s="6">
        <v>0.01</v>
      </c>
      <c r="T650" s="14">
        <f t="shared" si="206"/>
        <v>15177.847099999999</v>
      </c>
      <c r="U650" s="14">
        <f t="shared" si="207"/>
        <v>832.94380000000001</v>
      </c>
      <c r="V650" s="14">
        <f t="shared" si="208"/>
        <v>635.22289999999998</v>
      </c>
      <c r="W650" s="14">
        <f t="shared" si="209"/>
        <v>7.5906336799999998</v>
      </c>
      <c r="X650" s="4">
        <v>15522.4</v>
      </c>
      <c r="Y650" s="4">
        <v>83294.38</v>
      </c>
      <c r="Z650" s="4">
        <v>0</v>
      </c>
      <c r="AA650" s="14">
        <f t="shared" si="210"/>
        <v>115470.38443368001</v>
      </c>
      <c r="AB650" s="4">
        <v>160669.82380000001</v>
      </c>
      <c r="AC650" s="4">
        <v>1517784.71</v>
      </c>
      <c r="AD650" s="14">
        <f t="shared" si="211"/>
        <v>83294.38</v>
      </c>
      <c r="AE650" s="14">
        <f t="shared" si="212"/>
        <v>63522.29</v>
      </c>
      <c r="AF650" s="14">
        <f t="shared" si="213"/>
        <v>759.06336799999997</v>
      </c>
      <c r="AG650" s="15">
        <f t="shared" si="214"/>
        <v>1665360.443368</v>
      </c>
      <c r="AH650" s="4">
        <v>1429820.62</v>
      </c>
      <c r="AI650" s="17">
        <f t="shared" si="215"/>
        <v>235539.82336799987</v>
      </c>
      <c r="AJ650" s="7">
        <f t="shared" si="219"/>
        <v>3.6539724280841956</v>
      </c>
      <c r="AK650" s="7">
        <f t="shared" si="220"/>
        <v>1.3247641638549603</v>
      </c>
      <c r="AL650" s="7">
        <f t="shared" si="221"/>
        <v>5.0110140676379817</v>
      </c>
      <c r="AM650" s="7">
        <f t="shared" si="222"/>
        <v>3.0440606107771875</v>
      </c>
      <c r="AN650" s="4">
        <v>11559.887972689139</v>
      </c>
      <c r="AO650" s="4">
        <v>0</v>
      </c>
      <c r="AP650" s="14">
        <f t="shared" si="216"/>
        <v>1441380.5079726893</v>
      </c>
      <c r="AQ650" s="14">
        <f t="shared" si="217"/>
        <v>1429820.62</v>
      </c>
      <c r="AR650" s="8">
        <v>16539.32</v>
      </c>
      <c r="AS650" s="20">
        <v>86.449782999999996</v>
      </c>
      <c r="AT650" s="8">
        <v>47053409.174739227</v>
      </c>
      <c r="AU650" s="8">
        <v>26929.8344</v>
      </c>
      <c r="AV650" s="8">
        <v>2178.4429</v>
      </c>
      <c r="AX650" s="9">
        <v>440.01693055422572</v>
      </c>
      <c r="AY650" s="6">
        <f t="shared" si="223"/>
        <v>2.2338662159247687E-2</v>
      </c>
      <c r="AZ650" s="8">
        <v>411775741.10879999</v>
      </c>
      <c r="BA650" s="10">
        <v>60480066</v>
      </c>
      <c r="BB650" s="11">
        <v>47053409.174739227</v>
      </c>
      <c r="BC650" s="10">
        <v>2971324</v>
      </c>
      <c r="BD650" s="10">
        <f>1000000000-998958297.9804+301486.6916</f>
        <v>1343188.7112000338</v>
      </c>
      <c r="BE650" s="12">
        <f t="shared" si="224"/>
        <v>476376271.00526077</v>
      </c>
      <c r="BF650" s="23">
        <v>232.21086399999999</v>
      </c>
      <c r="BG650" s="23">
        <f t="shared" si="225"/>
        <v>244.16540700526079</v>
      </c>
      <c r="BH650" s="14">
        <f>BE650*87.72</f>
        <v>41787726492.581474</v>
      </c>
    </row>
    <row r="651" spans="1:60" x14ac:dyDescent="0.25">
      <c r="A651" s="3">
        <v>46273</v>
      </c>
      <c r="B651" s="4">
        <v>5209148370</v>
      </c>
      <c r="C651" s="4">
        <v>3127780260.5599999</v>
      </c>
      <c r="D651" s="4">
        <v>168110612</v>
      </c>
      <c r="E651" s="4">
        <v>4686354.22</v>
      </c>
      <c r="F651" s="17">
        <v>704542339.53833818</v>
      </c>
      <c r="G651" s="17">
        <v>358132.80175497202</v>
      </c>
      <c r="H651" s="17">
        <v>30011892.363947909</v>
      </c>
      <c r="I651" s="17">
        <v>599873476.99760103</v>
      </c>
      <c r="J651" s="17">
        <v>1100023.676193743</v>
      </c>
      <c r="K651" s="17">
        <v>1791894395.182164</v>
      </c>
      <c r="L651" s="14">
        <f t="shared" si="218"/>
        <v>3127780260.5599995</v>
      </c>
      <c r="M651" s="21">
        <v>1.08051887596412</v>
      </c>
      <c r="N651" s="4">
        <v>1824806.88</v>
      </c>
      <c r="O651" s="4">
        <v>334785.76</v>
      </c>
      <c r="P651" s="4">
        <v>88527.47</v>
      </c>
      <c r="Q651" s="4">
        <v>1076.0905479999999</v>
      </c>
      <c r="R651" s="14">
        <f t="shared" si="205"/>
        <v>2249196.2005479997</v>
      </c>
      <c r="S651" s="6">
        <v>0.01</v>
      </c>
      <c r="T651" s="14">
        <f t="shared" si="206"/>
        <v>18248.068800000001</v>
      </c>
      <c r="U651" s="14">
        <f t="shared" si="207"/>
        <v>1673.9288000000001</v>
      </c>
      <c r="V651" s="14">
        <f t="shared" si="208"/>
        <v>637.57690000000002</v>
      </c>
      <c r="W651" s="14">
        <f t="shared" si="209"/>
        <v>10.76090548</v>
      </c>
      <c r="X651" s="4">
        <v>24769.78</v>
      </c>
      <c r="Y651" s="4">
        <v>167392.88</v>
      </c>
      <c r="Z651" s="4">
        <v>0</v>
      </c>
      <c r="AA651" s="14">
        <f t="shared" si="210"/>
        <v>212732.99540548</v>
      </c>
      <c r="AB651" s="4">
        <v>210935.58379999999</v>
      </c>
      <c r="AC651" s="4">
        <v>1824806.88</v>
      </c>
      <c r="AD651" s="14">
        <f t="shared" si="211"/>
        <v>167392.88</v>
      </c>
      <c r="AE651" s="14">
        <f t="shared" si="212"/>
        <v>63757.69</v>
      </c>
      <c r="AF651" s="14">
        <f t="shared" si="213"/>
        <v>1076.0905479999999</v>
      </c>
      <c r="AG651" s="15">
        <f t="shared" si="214"/>
        <v>2057033.5405479998</v>
      </c>
      <c r="AH651" s="4">
        <v>1686963.54</v>
      </c>
      <c r="AI651" s="17">
        <f t="shared" si="215"/>
        <v>370070.00054799975</v>
      </c>
      <c r="AJ651" s="7">
        <f t="shared" si="219"/>
        <v>3.5030810228198583</v>
      </c>
      <c r="AK651" s="7">
        <f t="shared" si="220"/>
        <v>1.0703621485866777</v>
      </c>
      <c r="AL651" s="7">
        <f t="shared" si="221"/>
        <v>5.2660250859118873</v>
      </c>
      <c r="AM651" s="7">
        <f t="shared" si="222"/>
        <v>2.2962211081005308</v>
      </c>
      <c r="AN651" s="4">
        <v>16341.837719976549</v>
      </c>
      <c r="AO651" s="4">
        <v>0</v>
      </c>
      <c r="AP651" s="14">
        <f t="shared" si="216"/>
        <v>1703305.3777199765</v>
      </c>
      <c r="AQ651" s="14">
        <f t="shared" si="217"/>
        <v>1686963.54</v>
      </c>
      <c r="AR651" s="8">
        <v>20126.09</v>
      </c>
      <c r="AS651" s="20">
        <v>83.819736000000006</v>
      </c>
      <c r="AT651" s="8">
        <v>47073300.104739226</v>
      </c>
      <c r="AU651" s="8">
        <v>26945.068599999999</v>
      </c>
      <c r="AV651" s="8">
        <v>2132.7332000000001</v>
      </c>
      <c r="AX651" s="9">
        <v>440.46046283239042</v>
      </c>
      <c r="AY651" s="6">
        <f t="shared" si="223"/>
        <v>2.2328791955028477E-2</v>
      </c>
      <c r="AZ651" s="8">
        <v>411748796.04009998</v>
      </c>
      <c r="BA651" s="10">
        <v>60480066</v>
      </c>
      <c r="BB651" s="11">
        <v>47073300.104739226</v>
      </c>
      <c r="BC651" s="10">
        <v>2971324</v>
      </c>
      <c r="BD651" s="10">
        <f>1000000000-998956165.2473+301679.4611</f>
        <v>1345514.2137999712</v>
      </c>
      <c r="BE651" s="12">
        <f t="shared" si="224"/>
        <v>476380999.64136082</v>
      </c>
      <c r="BF651" s="23">
        <v>232.21086399999999</v>
      </c>
      <c r="BG651" s="23">
        <f t="shared" si="225"/>
        <v>244.17013564136082</v>
      </c>
      <c r="BH651" s="14">
        <f>BE651*84.75</f>
        <v>40373289719.605331</v>
      </c>
    </row>
    <row r="652" spans="1:60" x14ac:dyDescent="0.25">
      <c r="A652" s="3">
        <v>46274</v>
      </c>
      <c r="B652" s="4">
        <v>6728011579</v>
      </c>
      <c r="C652" s="4">
        <v>2808920525.98</v>
      </c>
      <c r="D652" s="4">
        <v>180725138</v>
      </c>
      <c r="E652" s="4">
        <v>3664854.87</v>
      </c>
      <c r="F652" s="17">
        <v>711843455.48960674</v>
      </c>
      <c r="G652" s="17">
        <v>704264.06338598812</v>
      </c>
      <c r="H652" s="17">
        <v>24185037.528511431</v>
      </c>
      <c r="I652" s="17">
        <v>567552211.67996693</v>
      </c>
      <c r="J652" s="17">
        <v>918011.51555971301</v>
      </c>
      <c r="K652" s="17">
        <v>1503717545.7029691</v>
      </c>
      <c r="L652" s="14">
        <f t="shared" si="218"/>
        <v>2808920525.9799995</v>
      </c>
      <c r="M652" s="21">
        <v>1.09228053292583</v>
      </c>
      <c r="N652" s="4">
        <v>2353760.9500000002</v>
      </c>
      <c r="O652" s="4">
        <v>325131.64</v>
      </c>
      <c r="P652" s="4">
        <v>92751.92</v>
      </c>
      <c r="Q652" s="4">
        <v>1156.582858</v>
      </c>
      <c r="R652" s="14">
        <f t="shared" si="205"/>
        <v>2772801.0928580002</v>
      </c>
      <c r="S652" s="6">
        <v>0.01</v>
      </c>
      <c r="T652" s="14">
        <f t="shared" si="206"/>
        <v>23537.609500000002</v>
      </c>
      <c r="U652" s="14">
        <f t="shared" si="207"/>
        <v>1625.6582000000001</v>
      </c>
      <c r="V652" s="14">
        <f t="shared" si="208"/>
        <v>737.73789999999997</v>
      </c>
      <c r="W652" s="14">
        <f t="shared" si="209"/>
        <v>11.56582858</v>
      </c>
      <c r="X652" s="4">
        <v>18978.13</v>
      </c>
      <c r="Y652" s="4">
        <v>162565.82</v>
      </c>
      <c r="Z652" s="4">
        <v>0</v>
      </c>
      <c r="AA652" s="14">
        <f t="shared" si="210"/>
        <v>207456.52142858002</v>
      </c>
      <c r="AB652" s="4">
        <v>246698.22889999999</v>
      </c>
      <c r="AC652" s="4">
        <v>2353760.9500000002</v>
      </c>
      <c r="AD652" s="14">
        <f t="shared" si="211"/>
        <v>162565.82</v>
      </c>
      <c r="AE652" s="14">
        <f t="shared" si="212"/>
        <v>73773.789999999994</v>
      </c>
      <c r="AF652" s="14">
        <f t="shared" si="213"/>
        <v>1156.582858</v>
      </c>
      <c r="AG652" s="15">
        <f t="shared" si="214"/>
        <v>2591257.142858</v>
      </c>
      <c r="AH652" s="4">
        <v>2175473.92</v>
      </c>
      <c r="AI652" s="17">
        <f t="shared" si="215"/>
        <v>415783.22285800008</v>
      </c>
      <c r="AJ652" s="7">
        <f t="shared" si="219"/>
        <v>3.4984496122847712</v>
      </c>
      <c r="AK652" s="7">
        <f t="shared" si="220"/>
        <v>1.1574967571806445</v>
      </c>
      <c r="AL652" s="7">
        <f t="shared" si="221"/>
        <v>5.132209111938816</v>
      </c>
      <c r="AM652" s="7">
        <f t="shared" si="222"/>
        <v>3.1558762871283905</v>
      </c>
      <c r="AN652" s="4">
        <v>69125.451246925324</v>
      </c>
      <c r="AO652" s="4">
        <v>0</v>
      </c>
      <c r="AP652" s="14">
        <f t="shared" si="216"/>
        <v>2244599.3712469251</v>
      </c>
      <c r="AQ652" s="14">
        <f t="shared" si="217"/>
        <v>2175473.92</v>
      </c>
      <c r="AR652" s="8">
        <v>25409.439999999999</v>
      </c>
      <c r="AS652" s="20">
        <v>85.616759999999999</v>
      </c>
      <c r="AT652" s="8">
        <v>47099207.774739228</v>
      </c>
      <c r="AU652" s="8">
        <v>26939.789700000001</v>
      </c>
      <c r="AV652" s="8">
        <v>1957.9324999999999</v>
      </c>
      <c r="AX652" s="9">
        <v>440.34290045972699</v>
      </c>
      <c r="AY652" s="6">
        <f t="shared" si="223"/>
        <v>2.2330377599443806E-2</v>
      </c>
      <c r="AZ652" s="8">
        <v>411721856.25040001</v>
      </c>
      <c r="BA652" s="10">
        <v>60480066</v>
      </c>
      <c r="BB652" s="11">
        <v>47099207.774739228</v>
      </c>
      <c r="BC652" s="10">
        <v>2971324</v>
      </c>
      <c r="BD652" s="10">
        <f>1000000000-998954207.3147+302487.7568</f>
        <v>1348280.4420999927</v>
      </c>
      <c r="BE652" s="12">
        <f t="shared" si="224"/>
        <v>476379265.53276074</v>
      </c>
      <c r="BF652" s="23">
        <v>232.21086399999999</v>
      </c>
      <c r="BG652" s="23">
        <f t="shared" si="225"/>
        <v>244.16840153276073</v>
      </c>
      <c r="BH652" s="14">
        <f>BE652*85.56</f>
        <v>40759009958.983009</v>
      </c>
    </row>
    <row r="653" spans="1:60" x14ac:dyDescent="0.25">
      <c r="A653" s="3">
        <v>46275</v>
      </c>
      <c r="B653" s="4">
        <v>5858288919</v>
      </c>
      <c r="C653" s="4">
        <v>3099438597.2399998</v>
      </c>
      <c r="D653" s="4">
        <v>214237818</v>
      </c>
      <c r="E653" s="4">
        <v>4628172.07</v>
      </c>
      <c r="F653" s="17">
        <v>1209599981.706116</v>
      </c>
      <c r="G653" s="17">
        <v>521804.07207661017</v>
      </c>
      <c r="H653" s="17">
        <v>7086106.1200144254</v>
      </c>
      <c r="I653" s="17">
        <v>550782882.40229475</v>
      </c>
      <c r="J653" s="17">
        <v>642173.02437627851</v>
      </c>
      <c r="K653" s="17">
        <v>1330805649.915122</v>
      </c>
      <c r="L653" s="14">
        <f t="shared" si="218"/>
        <v>3099438597.2400002</v>
      </c>
      <c r="M653" s="21">
        <v>1.0786475694972111</v>
      </c>
      <c r="N653" s="4">
        <v>2174370.16</v>
      </c>
      <c r="O653" s="4">
        <v>353088.26</v>
      </c>
      <c r="P653" s="4">
        <v>98035.920000000013</v>
      </c>
      <c r="Q653" s="4">
        <v>1291.1908840000001</v>
      </c>
      <c r="R653" s="14">
        <f t="shared" si="205"/>
        <v>2626785.530884</v>
      </c>
      <c r="S653" s="6">
        <v>0.01</v>
      </c>
      <c r="T653" s="14">
        <f t="shared" si="206"/>
        <v>21743.7016</v>
      </c>
      <c r="U653" s="14">
        <f t="shared" si="207"/>
        <v>1765.4413000000002</v>
      </c>
      <c r="V653" s="14">
        <f t="shared" si="208"/>
        <v>782.11020000000019</v>
      </c>
      <c r="W653" s="14">
        <f t="shared" si="209"/>
        <v>12.911908840000001</v>
      </c>
      <c r="X653" s="4">
        <v>19824.900000000001</v>
      </c>
      <c r="Y653" s="4">
        <v>176544.13</v>
      </c>
      <c r="Z653" s="4">
        <v>0</v>
      </c>
      <c r="AA653" s="14">
        <f t="shared" si="210"/>
        <v>220673.19500884</v>
      </c>
      <c r="AB653" s="4">
        <v>363571.34509999992</v>
      </c>
      <c r="AC653" s="4">
        <v>2174370.16</v>
      </c>
      <c r="AD653" s="14">
        <f t="shared" si="211"/>
        <v>176544.13</v>
      </c>
      <c r="AE653" s="14">
        <f t="shared" si="212"/>
        <v>78211.020000000019</v>
      </c>
      <c r="AF653" s="14">
        <f t="shared" si="213"/>
        <v>1291.1908840000001</v>
      </c>
      <c r="AG653" s="15">
        <f t="shared" si="214"/>
        <v>2430416.5008840002</v>
      </c>
      <c r="AH653" s="4">
        <v>1919760.77</v>
      </c>
      <c r="AI653" s="17">
        <f t="shared" si="215"/>
        <v>510655.73088400019</v>
      </c>
      <c r="AJ653" s="7">
        <f t="shared" si="219"/>
        <v>3.7116130495850679</v>
      </c>
      <c r="AK653" s="7">
        <f t="shared" si="220"/>
        <v>1.1392006936818153</v>
      </c>
      <c r="AL653" s="7">
        <f t="shared" si="221"/>
        <v>4.5760324164615982</v>
      </c>
      <c r="AM653" s="7">
        <f t="shared" si="222"/>
        <v>2.7898506461536985</v>
      </c>
      <c r="AN653" s="4">
        <v>17440.609692500821</v>
      </c>
      <c r="AO653" s="4">
        <v>41781.64</v>
      </c>
      <c r="AP653" s="14">
        <f t="shared" si="216"/>
        <v>1978983.0196925008</v>
      </c>
      <c r="AQ653" s="14">
        <f t="shared" si="217"/>
        <v>1919760.77</v>
      </c>
      <c r="AR653" s="8">
        <v>23569.119999999999</v>
      </c>
      <c r="AS653" s="20">
        <v>81.452374000000006</v>
      </c>
      <c r="AT653" s="8">
        <v>47122745.894739233</v>
      </c>
      <c r="AU653" s="8">
        <v>26918.723699999999</v>
      </c>
      <c r="AV653" s="8">
        <v>2762.3272999999999</v>
      </c>
      <c r="AX653" s="9">
        <v>440.04488953221312</v>
      </c>
      <c r="AY653" s="6">
        <f t="shared" si="223"/>
        <v>2.2328026945034534E-2</v>
      </c>
      <c r="AZ653" s="8">
        <v>411694937.52670002</v>
      </c>
      <c r="BA653" s="10">
        <v>60480066</v>
      </c>
      <c r="BB653" s="11">
        <v>47122745.894739233</v>
      </c>
      <c r="BC653" s="10">
        <v>2971324</v>
      </c>
      <c r="BD653" s="10">
        <f>1000000000-998951444.9874+302697.0525</f>
        <v>1351252.0650999451</v>
      </c>
      <c r="BE653" s="12">
        <f t="shared" si="224"/>
        <v>476379674.51346081</v>
      </c>
      <c r="BF653" s="23">
        <v>232.21086399999999</v>
      </c>
      <c r="BG653" s="23">
        <f t="shared" si="225"/>
        <v>244.16881051346084</v>
      </c>
      <c r="BH653" s="14">
        <f>BE653*83.37</f>
        <v>39715773464.187233</v>
      </c>
    </row>
    <row r="654" spans="1:60" x14ac:dyDescent="0.25">
      <c r="A654" s="3">
        <v>46276</v>
      </c>
      <c r="B654" s="4">
        <v>8801070032</v>
      </c>
      <c r="C654" s="4">
        <v>2521879983.4899998</v>
      </c>
      <c r="D654" s="4">
        <v>258990256</v>
      </c>
      <c r="E654" s="4">
        <v>3649293.59</v>
      </c>
      <c r="F654" s="17">
        <v>856724876.78695989</v>
      </c>
      <c r="G654" s="17">
        <v>254564.5678596317</v>
      </c>
      <c r="H654" s="17">
        <v>22606485.413601119</v>
      </c>
      <c r="I654" s="17">
        <v>617139782.85072005</v>
      </c>
      <c r="J654" s="17">
        <v>407580.45181321597</v>
      </c>
      <c r="K654" s="17">
        <v>1024746693.419046</v>
      </c>
      <c r="L654" s="14">
        <f t="shared" si="218"/>
        <v>2521879983.4899998</v>
      </c>
      <c r="M654" s="21">
        <v>1.0733660302139789</v>
      </c>
      <c r="N654" s="4">
        <v>2132286.04</v>
      </c>
      <c r="O654" s="4">
        <v>206045.38</v>
      </c>
      <c r="P654" s="4">
        <v>111783.47</v>
      </c>
      <c r="Q654" s="4">
        <v>981.80733399999997</v>
      </c>
      <c r="R654" s="14">
        <f t="shared" si="205"/>
        <v>2451096.6973339999</v>
      </c>
      <c r="S654" s="6">
        <v>0.01</v>
      </c>
      <c r="T654" s="14">
        <f t="shared" si="206"/>
        <v>21322.860400000001</v>
      </c>
      <c r="U654" s="14">
        <f t="shared" si="207"/>
        <v>1030.2269000000001</v>
      </c>
      <c r="V654" s="14">
        <f t="shared" si="208"/>
        <v>897.2677000000001</v>
      </c>
      <c r="W654" s="14">
        <f t="shared" si="209"/>
        <v>9.8180733399999998</v>
      </c>
      <c r="X654" s="4">
        <v>22056.7</v>
      </c>
      <c r="Y654" s="4">
        <v>103022.69</v>
      </c>
      <c r="Z654" s="4">
        <v>0</v>
      </c>
      <c r="AA654" s="14">
        <f t="shared" si="210"/>
        <v>148339.56307333999</v>
      </c>
      <c r="AB654" s="4">
        <v>209205.3009</v>
      </c>
      <c r="AC654" s="4">
        <v>2132286.04</v>
      </c>
      <c r="AD654" s="14">
        <f t="shared" si="211"/>
        <v>103022.69</v>
      </c>
      <c r="AE654" s="14">
        <f t="shared" si="212"/>
        <v>89726.77</v>
      </c>
      <c r="AF654" s="14">
        <f t="shared" si="213"/>
        <v>981.80733399999997</v>
      </c>
      <c r="AG654" s="15">
        <f t="shared" si="214"/>
        <v>2326017.3073339998</v>
      </c>
      <c r="AH654" s="4">
        <v>2688383.28</v>
      </c>
      <c r="AI654" s="17">
        <f t="shared" si="215"/>
        <v>-362365.97266600002</v>
      </c>
      <c r="AJ654" s="7">
        <f t="shared" si="219"/>
        <v>2.422757724057615</v>
      </c>
      <c r="AK654" s="7">
        <f t="shared" si="220"/>
        <v>0.81703087121083473</v>
      </c>
      <c r="AL654" s="7">
        <f t="shared" si="221"/>
        <v>4.3161264723411064</v>
      </c>
      <c r="AM654" s="7">
        <f t="shared" si="222"/>
        <v>2.6904037994926027</v>
      </c>
      <c r="AN654" s="4">
        <v>26759.741314971991</v>
      </c>
      <c r="AO654" s="4">
        <v>0</v>
      </c>
      <c r="AP654" s="14">
        <f t="shared" si="216"/>
        <v>2715143.0213149716</v>
      </c>
      <c r="AQ654" s="14">
        <f t="shared" si="217"/>
        <v>2688383.28</v>
      </c>
      <c r="AR654" s="8">
        <v>33194.67</v>
      </c>
      <c r="AS654" s="20">
        <v>80.988401999999994</v>
      </c>
      <c r="AT654" s="8">
        <v>47155741.704739228</v>
      </c>
      <c r="AU654" s="8">
        <v>26919.039799999999</v>
      </c>
      <c r="AV654" s="8">
        <v>3319.5816</v>
      </c>
      <c r="AX654" s="9">
        <v>438.81223690716519</v>
      </c>
      <c r="AY654" s="6">
        <f t="shared" si="223"/>
        <v>2.2391010780035893E-2</v>
      </c>
      <c r="AZ654" s="8">
        <v>411668018.48689997</v>
      </c>
      <c r="BA654" s="10">
        <v>60480066</v>
      </c>
      <c r="BB654" s="11">
        <v>47155741.704739228</v>
      </c>
      <c r="BC654" s="10">
        <v>2971324</v>
      </c>
      <c r="BD654" s="10">
        <f>1000000000-998948125.4058+303035.4065</f>
        <v>1354910.0007000151</v>
      </c>
      <c r="BE654" s="12">
        <f t="shared" si="224"/>
        <v>476369939.80766082</v>
      </c>
      <c r="BF654" s="23">
        <v>232.21086399999999</v>
      </c>
      <c r="BG654" s="23">
        <f t="shared" si="225"/>
        <v>244.15907580766086</v>
      </c>
      <c r="BH654" s="14">
        <f>BE654*79.09</f>
        <v>37676098539.387894</v>
      </c>
    </row>
    <row r="655" spans="1:60" x14ac:dyDescent="0.25">
      <c r="A655" s="3">
        <v>46277</v>
      </c>
      <c r="B655" s="4">
        <v>1722833811</v>
      </c>
      <c r="C655" s="4">
        <v>357342726.20999998</v>
      </c>
      <c r="D655" s="4">
        <v>123612963</v>
      </c>
      <c r="E655" s="4">
        <v>3382677.9</v>
      </c>
      <c r="F655" s="17">
        <v>87671124.891329408</v>
      </c>
      <c r="G655" s="17">
        <v>128570.2245014801</v>
      </c>
      <c r="H655" s="17">
        <v>711789.23464973387</v>
      </c>
      <c r="I655" s="17">
        <v>60740410.452760413</v>
      </c>
      <c r="J655" s="17">
        <v>10712.310337665929</v>
      </c>
      <c r="K655" s="17">
        <v>208080119.09642121</v>
      </c>
      <c r="L655" s="14">
        <f t="shared" si="218"/>
        <v>357342726.20999992</v>
      </c>
      <c r="M655" s="21">
        <v>1.107520330661286</v>
      </c>
      <c r="N655" s="4">
        <v>590633.73</v>
      </c>
      <c r="O655" s="4">
        <v>44572.62</v>
      </c>
      <c r="P655" s="4">
        <v>60752.75</v>
      </c>
      <c r="Q655" s="4">
        <v>1079.2738850000001</v>
      </c>
      <c r="R655" s="14">
        <f t="shared" si="205"/>
        <v>697038.37388500001</v>
      </c>
      <c r="S655" s="6">
        <v>0.01</v>
      </c>
      <c r="T655" s="14">
        <f t="shared" si="206"/>
        <v>5906.3373000000001</v>
      </c>
      <c r="U655" s="14">
        <f t="shared" si="207"/>
        <v>222.86310000000003</v>
      </c>
      <c r="V655" s="14">
        <f t="shared" si="208"/>
        <v>494.73419999999999</v>
      </c>
      <c r="W655" s="14">
        <f t="shared" si="209"/>
        <v>10.792738850000001</v>
      </c>
      <c r="X655" s="4">
        <v>11279.33</v>
      </c>
      <c r="Y655" s="4">
        <v>22286.31</v>
      </c>
      <c r="Z655" s="4">
        <v>0</v>
      </c>
      <c r="AA655" s="14">
        <f t="shared" si="210"/>
        <v>40200.367338850003</v>
      </c>
      <c r="AB655" s="4">
        <v>53530.612400000013</v>
      </c>
      <c r="AC655" s="4">
        <v>590633.73</v>
      </c>
      <c r="AD655" s="14">
        <f t="shared" si="211"/>
        <v>22286.31</v>
      </c>
      <c r="AE655" s="14">
        <f t="shared" si="212"/>
        <v>49473.42</v>
      </c>
      <c r="AF655" s="14">
        <f t="shared" si="213"/>
        <v>1079.2738850000001</v>
      </c>
      <c r="AG655" s="15">
        <f t="shared" si="214"/>
        <v>663472.73388500011</v>
      </c>
      <c r="AH655" s="4">
        <v>560618.25</v>
      </c>
      <c r="AI655" s="17">
        <f t="shared" si="215"/>
        <v>102854.48388500011</v>
      </c>
      <c r="AJ655" s="7">
        <f t="shared" si="219"/>
        <v>3.42826874089018</v>
      </c>
      <c r="AK655" s="7">
        <f t="shared" si="220"/>
        <v>1.2473353095147643</v>
      </c>
      <c r="AL655" s="7">
        <f t="shared" si="221"/>
        <v>4.9147555827134406</v>
      </c>
      <c r="AM655" s="7">
        <f t="shared" si="222"/>
        <v>3.1905901682214557</v>
      </c>
      <c r="AN655" s="4">
        <v>5910.7581427223049</v>
      </c>
      <c r="AO655" s="4">
        <v>0</v>
      </c>
      <c r="AP655" s="14">
        <f t="shared" si="216"/>
        <v>566529.0081427223</v>
      </c>
      <c r="AQ655" s="14">
        <f t="shared" si="217"/>
        <v>560618.25</v>
      </c>
      <c r="AR655" s="8">
        <v>7045.85</v>
      </c>
      <c r="AS655" s="20">
        <v>79.567155999999997</v>
      </c>
      <c r="AT655" s="8">
        <v>47162644.834739231</v>
      </c>
      <c r="AU655" s="8">
        <v>26865.3969</v>
      </c>
      <c r="AV655" s="8">
        <v>2707.8112000000001</v>
      </c>
      <c r="AX655" s="9">
        <v>441.16772838468319</v>
      </c>
      <c r="AY655" s="6">
        <f t="shared" si="223"/>
        <v>2.2227078812867326E-2</v>
      </c>
      <c r="AZ655" s="8">
        <v>411641153.08999997</v>
      </c>
      <c r="BA655" s="10">
        <v>60480066</v>
      </c>
      <c r="BB655" s="11">
        <v>47162644.834739231</v>
      </c>
      <c r="BC655" s="10">
        <v>2971324</v>
      </c>
      <c r="BD655" s="10">
        <f>1000000000-998945417.5946+303110.4275</f>
        <v>1357692.8329000378</v>
      </c>
      <c r="BE655" s="12">
        <f t="shared" si="224"/>
        <v>476387119.24236083</v>
      </c>
      <c r="BF655" s="23">
        <v>232.21086399999999</v>
      </c>
      <c r="BG655" s="23">
        <f t="shared" si="225"/>
        <v>244.17625524236084</v>
      </c>
      <c r="BH655" s="14">
        <f>BE655*78.83</f>
        <v>37553596609.875305</v>
      </c>
    </row>
    <row r="656" spans="1:60" x14ac:dyDescent="0.25">
      <c r="A656" s="3">
        <v>46278</v>
      </c>
      <c r="B656" s="4">
        <v>3350173809</v>
      </c>
      <c r="C656" s="4">
        <v>1243272297.9300001</v>
      </c>
      <c r="D656" s="4">
        <v>106844645</v>
      </c>
      <c r="E656" s="4">
        <v>2711845.19</v>
      </c>
      <c r="F656" s="17">
        <v>310010495.00441778</v>
      </c>
      <c r="G656" s="17">
        <v>426707.52173691167</v>
      </c>
      <c r="H656" s="17">
        <v>2038723.7169536259</v>
      </c>
      <c r="I656" s="17">
        <v>351528192.7650063</v>
      </c>
      <c r="J656" s="17">
        <v>77294.760836820002</v>
      </c>
      <c r="K656" s="17">
        <v>579190884.16104853</v>
      </c>
      <c r="L656" s="14">
        <f t="shared" si="218"/>
        <v>1243272297.9299998</v>
      </c>
      <c r="M656" s="21">
        <v>1.107648904646686</v>
      </c>
      <c r="N656" s="4">
        <v>1136800.45</v>
      </c>
      <c r="O656" s="4">
        <v>137587.44</v>
      </c>
      <c r="P656" s="4">
        <v>53607.33</v>
      </c>
      <c r="Q656" s="4">
        <v>872.21842400000003</v>
      </c>
      <c r="R656" s="14">
        <f t="shared" si="205"/>
        <v>1328867.4384240001</v>
      </c>
      <c r="S656" s="6">
        <v>0.01</v>
      </c>
      <c r="T656" s="14">
        <f t="shared" si="206"/>
        <v>11368.004499999999</v>
      </c>
      <c r="U656" s="14">
        <f t="shared" si="207"/>
        <v>687.93720000000008</v>
      </c>
      <c r="V656" s="14">
        <f t="shared" si="208"/>
        <v>423.50810000000001</v>
      </c>
      <c r="W656" s="14">
        <f t="shared" si="209"/>
        <v>8.7221842400000007</v>
      </c>
      <c r="X656" s="4">
        <v>11256.52</v>
      </c>
      <c r="Y656" s="4">
        <v>68793.72</v>
      </c>
      <c r="Z656" s="4">
        <v>0</v>
      </c>
      <c r="AA656" s="14">
        <f t="shared" si="210"/>
        <v>92538.411984239996</v>
      </c>
      <c r="AB656" s="4">
        <v>118014.3839</v>
      </c>
      <c r="AC656" s="4">
        <v>1136800.45</v>
      </c>
      <c r="AD656" s="14">
        <f t="shared" si="211"/>
        <v>68793.72</v>
      </c>
      <c r="AE656" s="14">
        <f t="shared" si="212"/>
        <v>42350.81</v>
      </c>
      <c r="AF656" s="14">
        <f t="shared" si="213"/>
        <v>872.21842400000003</v>
      </c>
      <c r="AG656" s="15">
        <f t="shared" si="214"/>
        <v>1248817.1984240001</v>
      </c>
      <c r="AH656" s="4">
        <v>1045807.78</v>
      </c>
      <c r="AI656" s="17">
        <f t="shared" si="215"/>
        <v>203009.41842400003</v>
      </c>
      <c r="AJ656" s="7">
        <f t="shared" si="219"/>
        <v>3.3932581257308727</v>
      </c>
      <c r="AK656" s="7">
        <f t="shared" si="220"/>
        <v>1.1066557199824827</v>
      </c>
      <c r="AL656" s="7">
        <f t="shared" si="221"/>
        <v>5.0173155612993057</v>
      </c>
      <c r="AM656" s="7">
        <f t="shared" si="222"/>
        <v>3.2163282300048994</v>
      </c>
      <c r="AN656" s="4">
        <v>9618.7516813883321</v>
      </c>
      <c r="AO656" s="4">
        <v>0</v>
      </c>
      <c r="AP656" s="14">
        <f t="shared" si="216"/>
        <v>1055426.5316813884</v>
      </c>
      <c r="AQ656" s="14">
        <f t="shared" si="217"/>
        <v>1045807.78</v>
      </c>
      <c r="AR656" s="8">
        <v>13400.38</v>
      </c>
      <c r="AS656" s="20">
        <v>78.043143000000001</v>
      </c>
      <c r="AT656" s="8">
        <v>47176497.774739228</v>
      </c>
      <c r="AU656" s="8">
        <v>26895.624400000001</v>
      </c>
      <c r="AV656" s="8">
        <v>995.16229999999996</v>
      </c>
      <c r="AX656" s="9">
        <v>441.52865803832981</v>
      </c>
      <c r="AY656" s="6">
        <f t="shared" si="223"/>
        <v>2.223389745439305E-2</v>
      </c>
      <c r="AZ656" s="8">
        <v>411614257.46560001</v>
      </c>
      <c r="BA656" s="10">
        <v>60480066</v>
      </c>
      <c r="BB656" s="11">
        <v>47176497.774739228</v>
      </c>
      <c r="BC656" s="10">
        <v>2971324</v>
      </c>
      <c r="BD656" s="10">
        <f>1000000000-998944422.4323+303231.5004</f>
        <v>1358809.0681000284</v>
      </c>
      <c r="BE656" s="12">
        <f t="shared" si="224"/>
        <v>476399045.69156075</v>
      </c>
      <c r="BF656" s="23">
        <v>232.21086399999999</v>
      </c>
      <c r="BG656" s="23">
        <f t="shared" si="225"/>
        <v>244.18818169156074</v>
      </c>
      <c r="BH656" s="14">
        <f>BE656*79.45</f>
        <v>37849904180.194504</v>
      </c>
    </row>
    <row r="657" spans="1:60" x14ac:dyDescent="0.25">
      <c r="A657" s="3">
        <v>46279</v>
      </c>
      <c r="B657" s="4">
        <v>6543389385</v>
      </c>
      <c r="C657" s="4">
        <v>3155178841.25</v>
      </c>
      <c r="D657" s="4">
        <v>178028986</v>
      </c>
      <c r="E657" s="4">
        <v>3404214.87</v>
      </c>
      <c r="F657" s="17">
        <v>833085809.08218634</v>
      </c>
      <c r="G657" s="17">
        <v>88756.187278699683</v>
      </c>
      <c r="H657" s="17">
        <v>10415032.3257092</v>
      </c>
      <c r="I657" s="17">
        <v>724803191.62834537</v>
      </c>
      <c r="J657" s="17">
        <v>207370.30003968129</v>
      </c>
      <c r="K657" s="17">
        <v>1586578681.7264409</v>
      </c>
      <c r="L657" s="14">
        <f t="shared" si="218"/>
        <v>3155178841.2500005</v>
      </c>
      <c r="M657" s="21">
        <v>1.081763966198013</v>
      </c>
      <c r="N657" s="4">
        <v>2311979.2200000002</v>
      </c>
      <c r="O657" s="4">
        <v>360598.44</v>
      </c>
      <c r="P657" s="4">
        <v>105500.2</v>
      </c>
      <c r="Q657" s="4">
        <v>1143.18373</v>
      </c>
      <c r="R657" s="14">
        <f t="shared" si="205"/>
        <v>2779221.0437300005</v>
      </c>
      <c r="S657" s="6">
        <v>0.01</v>
      </c>
      <c r="T657" s="14">
        <f t="shared" si="206"/>
        <v>23119.792200000004</v>
      </c>
      <c r="U657" s="14">
        <f t="shared" si="207"/>
        <v>1802.9922000000001</v>
      </c>
      <c r="V657" s="14">
        <f t="shared" si="208"/>
        <v>824.11199999999997</v>
      </c>
      <c r="W657" s="14">
        <f t="shared" si="209"/>
        <v>11.4318373</v>
      </c>
      <c r="X657" s="4">
        <v>23089</v>
      </c>
      <c r="Y657" s="4">
        <v>180299.22</v>
      </c>
      <c r="Z657" s="4">
        <v>0</v>
      </c>
      <c r="AA657" s="14">
        <f t="shared" si="210"/>
        <v>229146.54823730001</v>
      </c>
      <c r="AB657" s="4">
        <v>311134.02350000001</v>
      </c>
      <c r="AC657" s="4">
        <v>2311979.2200000002</v>
      </c>
      <c r="AD657" s="14">
        <f t="shared" si="211"/>
        <v>180299.22</v>
      </c>
      <c r="AE657" s="14">
        <f t="shared" si="212"/>
        <v>82411.199999999997</v>
      </c>
      <c r="AF657" s="14">
        <f t="shared" si="213"/>
        <v>1143.18373</v>
      </c>
      <c r="AG657" s="15">
        <f t="shared" si="214"/>
        <v>2575832.8237300008</v>
      </c>
      <c r="AH657" s="4">
        <v>2017864.56</v>
      </c>
      <c r="AI657" s="17">
        <f t="shared" si="215"/>
        <v>557968.2637300007</v>
      </c>
      <c r="AJ657" s="7">
        <f t="shared" si="219"/>
        <v>3.5333052703541656</v>
      </c>
      <c r="AK657" s="7">
        <f t="shared" si="220"/>
        <v>1.1428779734626398</v>
      </c>
      <c r="AL657" s="7">
        <f t="shared" si="221"/>
        <v>5.9260125202308354</v>
      </c>
      <c r="AM657" s="7">
        <f t="shared" si="222"/>
        <v>3.3581421081096443</v>
      </c>
      <c r="AN657" s="4">
        <v>16435.421047661868</v>
      </c>
      <c r="AO657" s="4">
        <v>0</v>
      </c>
      <c r="AP657" s="14">
        <f t="shared" si="216"/>
        <v>2034299.981047662</v>
      </c>
      <c r="AQ657" s="14">
        <f t="shared" si="217"/>
        <v>2017864.56</v>
      </c>
      <c r="AR657" s="8">
        <v>25139.75</v>
      </c>
      <c r="AS657" s="20">
        <v>80.265895999999998</v>
      </c>
      <c r="AT657" s="8">
        <v>47201728.564739227</v>
      </c>
      <c r="AU657" s="8">
        <v>26971.207900000001</v>
      </c>
      <c r="AV657" s="8">
        <v>2113.7478999999998</v>
      </c>
      <c r="AX657" s="9">
        <v>441.78698795840262</v>
      </c>
      <c r="AY657" s="6">
        <f t="shared" si="223"/>
        <v>2.2283342768861559E-2</v>
      </c>
      <c r="AZ657" s="8">
        <v>411587286.25779998</v>
      </c>
      <c r="BA657" s="10">
        <v>60480066</v>
      </c>
      <c r="BB657" s="11">
        <v>47201728.564739227</v>
      </c>
      <c r="BC657" s="10">
        <v>2971324</v>
      </c>
      <c r="BD657" s="10">
        <f>1000000000-998942308.6845+303444.6567</f>
        <v>1361135.9722000209</v>
      </c>
      <c r="BE657" s="12">
        <f t="shared" si="224"/>
        <v>476398459.20526075</v>
      </c>
      <c r="BF657" s="23">
        <v>232.21086399999999</v>
      </c>
      <c r="BG657" s="23">
        <f t="shared" si="225"/>
        <v>244.18759520526075</v>
      </c>
      <c r="BH657" s="14">
        <f>BE657*77.13</f>
        <v>36744613158.501762</v>
      </c>
    </row>
    <row r="658" spans="1:60" x14ac:dyDescent="0.25">
      <c r="A658" s="3">
        <v>46280</v>
      </c>
      <c r="B658" s="4">
        <v>10071659644</v>
      </c>
      <c r="C658" s="4">
        <v>2321093913.6199999</v>
      </c>
      <c r="D658" s="4">
        <v>184764421</v>
      </c>
      <c r="E658" s="4">
        <v>5130647.8499999996</v>
      </c>
      <c r="F658" s="17">
        <v>764614947.68009472</v>
      </c>
      <c r="G658" s="17">
        <v>810506.34777958016</v>
      </c>
      <c r="H658" s="17">
        <v>6575103.2606447265</v>
      </c>
      <c r="I658" s="17">
        <v>530728641.24215722</v>
      </c>
      <c r="J658" s="17">
        <v>269046.70331732719</v>
      </c>
      <c r="K658" s="17">
        <v>1018095668.386006</v>
      </c>
      <c r="L658" s="14">
        <f t="shared" si="218"/>
        <v>2321093913.6199999</v>
      </c>
      <c r="M658" s="21">
        <v>1.0803824101220649</v>
      </c>
      <c r="N658" s="4">
        <v>3433523.56</v>
      </c>
      <c r="O658" s="4">
        <v>261983.78</v>
      </c>
      <c r="P658" s="4">
        <v>99405.329999999987</v>
      </c>
      <c r="Q658" s="4">
        <v>1478.818902</v>
      </c>
      <c r="R658" s="14">
        <f t="shared" si="205"/>
        <v>3796391.4889019998</v>
      </c>
      <c r="S658" s="6">
        <v>0.01</v>
      </c>
      <c r="T658" s="14">
        <f t="shared" si="206"/>
        <v>34335.2356</v>
      </c>
      <c r="U658" s="14">
        <f t="shared" si="207"/>
        <v>1309.9189000000001</v>
      </c>
      <c r="V658" s="14">
        <f t="shared" si="208"/>
        <v>763.45119999999997</v>
      </c>
      <c r="W658" s="14">
        <f t="shared" si="209"/>
        <v>14.788189020000001</v>
      </c>
      <c r="X658" s="4">
        <v>23060.21</v>
      </c>
      <c r="Y658" s="4">
        <v>130991.89</v>
      </c>
      <c r="Z658" s="4">
        <v>0</v>
      </c>
      <c r="AA658" s="14">
        <f t="shared" si="210"/>
        <v>190475.49388902</v>
      </c>
      <c r="AB658" s="4">
        <v>348382.00179999991</v>
      </c>
      <c r="AC658" s="4">
        <v>3433523.56</v>
      </c>
      <c r="AD658" s="14">
        <f t="shared" si="211"/>
        <v>130991.89</v>
      </c>
      <c r="AE658" s="14">
        <f t="shared" si="212"/>
        <v>76345.119999999995</v>
      </c>
      <c r="AF658" s="14">
        <f t="shared" si="213"/>
        <v>1478.818902</v>
      </c>
      <c r="AG658" s="15">
        <f t="shared" si="214"/>
        <v>3642339.3889020002</v>
      </c>
      <c r="AH658" s="4">
        <v>3072207.61</v>
      </c>
      <c r="AI658" s="17">
        <f t="shared" si="215"/>
        <v>570131.77890200028</v>
      </c>
      <c r="AJ658" s="7">
        <f t="shared" si="219"/>
        <v>3.4090941129503483</v>
      </c>
      <c r="AK658" s="7">
        <f t="shared" si="220"/>
        <v>1.128708228748089</v>
      </c>
      <c r="AL658" s="7">
        <f t="shared" si="221"/>
        <v>5.3801121158494034</v>
      </c>
      <c r="AM658" s="7">
        <f t="shared" si="222"/>
        <v>2.8823239193857364</v>
      </c>
      <c r="AN658" s="4">
        <v>20280.38448846716</v>
      </c>
      <c r="AO658" s="4">
        <v>0</v>
      </c>
      <c r="AP658" s="14">
        <f t="shared" si="216"/>
        <v>3092487.994488467</v>
      </c>
      <c r="AQ658" s="14">
        <f t="shared" si="217"/>
        <v>3072207.61</v>
      </c>
      <c r="AR658" s="8">
        <v>39527.160000000003</v>
      </c>
      <c r="AS658" s="20">
        <v>77.723965000000007</v>
      </c>
      <c r="AT658" s="8">
        <v>47240610.12473923</v>
      </c>
      <c r="AU658" s="8">
        <v>26913.902900000001</v>
      </c>
      <c r="AV658" s="8">
        <v>2327.0684999999999</v>
      </c>
      <c r="AX658" s="9">
        <v>442.1256325193649</v>
      </c>
      <c r="AY658" s="6">
        <f t="shared" si="223"/>
        <v>2.2218966366013022E-2</v>
      </c>
      <c r="AZ658" s="8">
        <v>411560372.3549</v>
      </c>
      <c r="BA658" s="10">
        <v>60480066</v>
      </c>
      <c r="BB658" s="11">
        <v>47240610.12473923</v>
      </c>
      <c r="BC658" s="10">
        <v>2971324</v>
      </c>
      <c r="BD658" s="10">
        <f>1000000000-998939981.6159+303697.1924</f>
        <v>1363715.5764999604</v>
      </c>
      <c r="BE658" s="12">
        <f t="shared" si="224"/>
        <v>476383911.94386083</v>
      </c>
      <c r="BF658" s="23">
        <v>232.21086399999999</v>
      </c>
      <c r="BG658" s="23">
        <f t="shared" si="225"/>
        <v>244.17304794386084</v>
      </c>
      <c r="BH658" s="14">
        <f>BE658*80.32</f>
        <v>38263155807.330902</v>
      </c>
    </row>
    <row r="659" spans="1:60" x14ac:dyDescent="0.25">
      <c r="A659" s="3">
        <v>46281</v>
      </c>
      <c r="B659" s="4">
        <v>6664213028</v>
      </c>
      <c r="C659" s="4">
        <v>2425358713.7199998</v>
      </c>
      <c r="D659" s="4">
        <v>224771820</v>
      </c>
      <c r="E659" s="4">
        <v>6950667.8499999996</v>
      </c>
      <c r="F659" s="17">
        <v>647587834.60471451</v>
      </c>
      <c r="G659" s="17">
        <v>134367.74247764869</v>
      </c>
      <c r="H659" s="17">
        <v>9678784.0492199995</v>
      </c>
      <c r="I659" s="17">
        <v>686693021.05135334</v>
      </c>
      <c r="J659" s="17">
        <v>345087.23217706982</v>
      </c>
      <c r="K659" s="17">
        <v>1080919619.0400569</v>
      </c>
      <c r="L659" s="14">
        <f t="shared" si="218"/>
        <v>2425358713.7199993</v>
      </c>
      <c r="M659" s="21">
        <v>1.080769925935988</v>
      </c>
      <c r="N659" s="4">
        <v>1740999.37</v>
      </c>
      <c r="O659" s="4">
        <v>224331.62</v>
      </c>
      <c r="P659" s="4">
        <v>100065.05</v>
      </c>
      <c r="Q659" s="4">
        <v>2908.3870870000001</v>
      </c>
      <c r="R659" s="14">
        <f t="shared" si="205"/>
        <v>2068304.4270870003</v>
      </c>
      <c r="S659" s="6">
        <v>0.01</v>
      </c>
      <c r="T659" s="14">
        <f t="shared" si="206"/>
        <v>17409.993700000003</v>
      </c>
      <c r="U659" s="14">
        <f t="shared" si="207"/>
        <v>1121.6581000000001</v>
      </c>
      <c r="V659" s="14">
        <f t="shared" si="208"/>
        <v>715.42980000000011</v>
      </c>
      <c r="W659" s="14">
        <f t="shared" si="209"/>
        <v>29.083870870000002</v>
      </c>
      <c r="X659" s="4">
        <v>28522.07</v>
      </c>
      <c r="Y659" s="4">
        <v>112165.81</v>
      </c>
      <c r="Z659" s="4">
        <v>0</v>
      </c>
      <c r="AA659" s="14">
        <f t="shared" si="210"/>
        <v>159964.04547086998</v>
      </c>
      <c r="AB659" s="4">
        <v>192122.24919999999</v>
      </c>
      <c r="AC659" s="4">
        <v>1740999.37</v>
      </c>
      <c r="AD659" s="14">
        <f t="shared" si="211"/>
        <v>112165.81</v>
      </c>
      <c r="AE659" s="14">
        <f t="shared" si="212"/>
        <v>71542.98000000001</v>
      </c>
      <c r="AF659" s="14">
        <f t="shared" si="213"/>
        <v>2908.3870870000001</v>
      </c>
      <c r="AG659" s="15">
        <f t="shared" si="214"/>
        <v>1927616.5470870002</v>
      </c>
      <c r="AH659" s="4">
        <v>2082466.74</v>
      </c>
      <c r="AI659" s="17">
        <f t="shared" si="215"/>
        <v>-154850.19291299977</v>
      </c>
      <c r="AJ659" s="7">
        <f t="shared" si="219"/>
        <v>2.6124605601368245</v>
      </c>
      <c r="AK659" s="7">
        <f t="shared" si="220"/>
        <v>0.92494202499193034</v>
      </c>
      <c r="AL659" s="7">
        <f t="shared" si="221"/>
        <v>4.4518503253655197</v>
      </c>
      <c r="AM659" s="7">
        <f t="shared" si="222"/>
        <v>4.184327534799408</v>
      </c>
      <c r="AN659" s="4">
        <v>22882.99125813038</v>
      </c>
      <c r="AO659" s="4">
        <v>0</v>
      </c>
      <c r="AP659" s="14">
        <f t="shared" si="216"/>
        <v>2105349.7312581302</v>
      </c>
      <c r="AQ659" s="14">
        <f t="shared" si="217"/>
        <v>2082466.74</v>
      </c>
      <c r="AR659" s="8">
        <v>26585.38</v>
      </c>
      <c r="AS659" s="20">
        <v>78.331276000000003</v>
      </c>
      <c r="AT659" s="8">
        <v>47267919.814739227</v>
      </c>
      <c r="AU659" s="8">
        <v>26973.1993</v>
      </c>
      <c r="AV659" s="8">
        <v>4789.7022999999999</v>
      </c>
      <c r="AX659" s="9">
        <v>442.07793114789251</v>
      </c>
      <c r="AY659" s="6">
        <f t="shared" si="223"/>
        <v>2.2270321703089915E-2</v>
      </c>
      <c r="AZ659" s="8">
        <v>411533399.15549999</v>
      </c>
      <c r="BA659" s="10">
        <v>60480066</v>
      </c>
      <c r="BB659" s="11">
        <v>47267919.814739227</v>
      </c>
      <c r="BC659" s="10">
        <v>2971324</v>
      </c>
      <c r="BD659" s="10">
        <f>1000000000-998935191.9136+303993.4469</f>
        <v>1368801.5333000319</v>
      </c>
      <c r="BE659" s="12">
        <f t="shared" si="224"/>
        <v>476378489.4964608</v>
      </c>
      <c r="BF659" s="23">
        <v>232.21086399999999</v>
      </c>
      <c r="BG659" s="23">
        <f t="shared" si="225"/>
        <v>244.16762549646083</v>
      </c>
      <c r="BH659" s="14">
        <f>BE659*77.25</f>
        <v>36800238313.601593</v>
      </c>
    </row>
    <row r="660" spans="1:60" x14ac:dyDescent="0.25">
      <c r="A660" s="3">
        <v>46282</v>
      </c>
      <c r="B660" s="4">
        <v>5352836823</v>
      </c>
      <c r="C660" s="4">
        <v>2183735364.7399998</v>
      </c>
      <c r="D660" s="4">
        <v>264650339</v>
      </c>
      <c r="E660" s="4">
        <v>3303815.98</v>
      </c>
      <c r="F660" s="17">
        <v>460887695.74834728</v>
      </c>
      <c r="G660" s="17">
        <v>786370.64877661725</v>
      </c>
      <c r="H660" s="17">
        <v>8412681.8791112769</v>
      </c>
      <c r="I660" s="17">
        <v>658892881.8841908</v>
      </c>
      <c r="J660" s="17">
        <v>374777.25028409978</v>
      </c>
      <c r="K660" s="17">
        <v>1054380957.32929</v>
      </c>
      <c r="L660" s="14">
        <f t="shared" si="218"/>
        <v>2183735364.7400002</v>
      </c>
      <c r="M660" s="21">
        <v>1.0675463517973129</v>
      </c>
      <c r="N660" s="4">
        <v>2007037.9</v>
      </c>
      <c r="O660" s="4">
        <v>242698.58</v>
      </c>
      <c r="P660" s="4">
        <v>145406.66</v>
      </c>
      <c r="Q660" s="4">
        <v>1038.3917489999999</v>
      </c>
      <c r="R660" s="14">
        <f t="shared" si="205"/>
        <v>2396181.5317490003</v>
      </c>
      <c r="S660" s="6">
        <v>0.01</v>
      </c>
      <c r="T660" s="14">
        <f t="shared" si="206"/>
        <v>20070.379000000001</v>
      </c>
      <c r="U660" s="14">
        <f t="shared" si="207"/>
        <v>1213.4929</v>
      </c>
      <c r="V660" s="14">
        <f t="shared" si="208"/>
        <v>1210.6266000000001</v>
      </c>
      <c r="W660" s="14">
        <f t="shared" si="209"/>
        <v>10.38391749</v>
      </c>
      <c r="X660" s="4">
        <v>24344</v>
      </c>
      <c r="Y660" s="4">
        <v>121349.29</v>
      </c>
      <c r="Z660" s="4">
        <v>0</v>
      </c>
      <c r="AA660" s="14">
        <f t="shared" si="210"/>
        <v>168198.17241748999</v>
      </c>
      <c r="AB660" s="4">
        <v>235334.55470000001</v>
      </c>
      <c r="AC660" s="4">
        <v>2007037.9</v>
      </c>
      <c r="AD660" s="14">
        <f t="shared" si="211"/>
        <v>121349.29</v>
      </c>
      <c r="AE660" s="14">
        <f t="shared" si="212"/>
        <v>121062.66</v>
      </c>
      <c r="AF660" s="14">
        <f t="shared" si="213"/>
        <v>1038.3917489999999</v>
      </c>
      <c r="AG660" s="15">
        <f t="shared" si="214"/>
        <v>2250488.2417490003</v>
      </c>
      <c r="AH660" s="4">
        <v>1742851.12</v>
      </c>
      <c r="AI660" s="17">
        <f t="shared" si="215"/>
        <v>507637.12174900016</v>
      </c>
      <c r="AJ660" s="7">
        <f t="shared" si="219"/>
        <v>3.7494845562565731</v>
      </c>
      <c r="AK660" s="7">
        <f t="shared" si="220"/>
        <v>1.1113919017787954</v>
      </c>
      <c r="AL660" s="7">
        <f t="shared" si="221"/>
        <v>5.4942933589062966</v>
      </c>
      <c r="AM660" s="7">
        <f t="shared" si="222"/>
        <v>3.1430072234228978</v>
      </c>
      <c r="AN660" s="4">
        <v>25626.960666561779</v>
      </c>
      <c r="AO660" s="4">
        <v>0</v>
      </c>
      <c r="AP660" s="14">
        <f t="shared" si="216"/>
        <v>1768478.0806665618</v>
      </c>
      <c r="AQ660" s="14">
        <f t="shared" si="217"/>
        <v>1742851.12</v>
      </c>
      <c r="AR660" s="8">
        <v>21535.7</v>
      </c>
      <c r="AS660" s="20">
        <v>80.928464000000005</v>
      </c>
      <c r="AT660" s="8">
        <v>47288707.554739229</v>
      </c>
      <c r="AU660" s="8">
        <v>26973.775699999998</v>
      </c>
      <c r="AV660" s="8">
        <v>2416.9803000000002</v>
      </c>
      <c r="AX660" s="9">
        <v>442.19368332883499</v>
      </c>
      <c r="AY660" s="6">
        <f t="shared" si="223"/>
        <v>2.226496782220767E-2</v>
      </c>
      <c r="AZ660" s="8">
        <v>411506425.37989998</v>
      </c>
      <c r="BA660" s="10">
        <v>60480066</v>
      </c>
      <c r="BB660" s="11">
        <v>47288707.554739229</v>
      </c>
      <c r="BC660" s="10">
        <v>2971324</v>
      </c>
      <c r="BD660" s="10">
        <f>1000000000-998932774.9333+304321.6905</f>
        <v>1371546.7571999817</v>
      </c>
      <c r="BE660" s="12">
        <f t="shared" si="224"/>
        <v>476381930.30816078</v>
      </c>
      <c r="BF660" s="23">
        <v>232.21086399999999</v>
      </c>
      <c r="BG660" s="23">
        <f t="shared" si="225"/>
        <v>244.17106630816082</v>
      </c>
      <c r="BH660" s="14">
        <f>BE660*78.07</f>
        <v>37191137299.158112</v>
      </c>
    </row>
    <row r="661" spans="1:60" x14ac:dyDescent="0.25">
      <c r="A661" s="3">
        <v>46283</v>
      </c>
      <c r="B661" s="4">
        <v>8842011852</v>
      </c>
      <c r="C661" s="4">
        <v>2179986040.1799998</v>
      </c>
      <c r="D661" s="4">
        <v>436499056</v>
      </c>
      <c r="E661" s="4">
        <v>4123012.36</v>
      </c>
      <c r="F661" s="17">
        <v>460963246.50125837</v>
      </c>
      <c r="G661" s="17">
        <v>963755.311939426</v>
      </c>
      <c r="H661" s="17">
        <v>9482672.0470933355</v>
      </c>
      <c r="I661" s="17">
        <v>679495208.31078362</v>
      </c>
      <c r="J661" s="17">
        <v>300447.28066910268</v>
      </c>
      <c r="K661" s="17">
        <v>1028780710.728256</v>
      </c>
      <c r="L661" s="14">
        <f t="shared" si="218"/>
        <v>2179986040.1800003</v>
      </c>
      <c r="M661" s="21">
        <v>1.081094632992307</v>
      </c>
      <c r="N661" s="4">
        <v>3304032.51</v>
      </c>
      <c r="O661" s="4">
        <v>255336.68</v>
      </c>
      <c r="P661" s="4">
        <v>242920.34</v>
      </c>
      <c r="Q661" s="4">
        <v>1123.5084320000001</v>
      </c>
      <c r="R661" s="14">
        <f t="shared" si="205"/>
        <v>3803413.0384319997</v>
      </c>
      <c r="S661" s="6">
        <v>0.01</v>
      </c>
      <c r="T661" s="14">
        <f t="shared" si="206"/>
        <v>33040.325100000002</v>
      </c>
      <c r="U661" s="14">
        <f t="shared" si="207"/>
        <v>1276.6833999999999</v>
      </c>
      <c r="V661" s="14">
        <f t="shared" si="208"/>
        <v>1624.7494000000002</v>
      </c>
      <c r="W661" s="14">
        <f t="shared" si="209"/>
        <v>11.23508432</v>
      </c>
      <c r="X661" s="4">
        <v>80445.399999999994</v>
      </c>
      <c r="Y661" s="4">
        <v>127668.34</v>
      </c>
      <c r="Z661" s="4">
        <v>0</v>
      </c>
      <c r="AA661" s="14">
        <f t="shared" si="210"/>
        <v>244066.73298432</v>
      </c>
      <c r="AB661" s="4">
        <v>367539.25109999999</v>
      </c>
      <c r="AC661" s="4">
        <v>3304032.51</v>
      </c>
      <c r="AD661" s="14">
        <f t="shared" si="211"/>
        <v>127668.34</v>
      </c>
      <c r="AE661" s="14">
        <f t="shared" si="212"/>
        <v>162474.94</v>
      </c>
      <c r="AF661" s="14">
        <f t="shared" si="213"/>
        <v>1123.5084320000001</v>
      </c>
      <c r="AG661" s="15">
        <f t="shared" si="214"/>
        <v>3595299.2984319995</v>
      </c>
      <c r="AH661" s="4">
        <v>2973288.14</v>
      </c>
      <c r="AI661" s="17">
        <f t="shared" si="215"/>
        <v>622011.15843199939</v>
      </c>
      <c r="AJ661" s="7">
        <f t="shared" si="219"/>
        <v>3.7367429102152259</v>
      </c>
      <c r="AK661" s="7">
        <f t="shared" si="220"/>
        <v>1.1712766746841967</v>
      </c>
      <c r="AL661" s="7">
        <f t="shared" si="221"/>
        <v>5.5651973735310891</v>
      </c>
      <c r="AM661" s="7">
        <f t="shared" si="222"/>
        <v>2.7249698373448488</v>
      </c>
      <c r="AN661" s="4">
        <v>18589.734608611379</v>
      </c>
      <c r="AO661" s="4">
        <v>0</v>
      </c>
      <c r="AP661" s="14">
        <f t="shared" si="216"/>
        <v>2991877.8746086117</v>
      </c>
      <c r="AQ661" s="14">
        <f t="shared" si="217"/>
        <v>2973288.14</v>
      </c>
      <c r="AR661" s="8">
        <v>33015.699999999997</v>
      </c>
      <c r="AS661" s="20">
        <v>90.056794999999994</v>
      </c>
      <c r="AT661" s="8">
        <v>47321831.454739228</v>
      </c>
      <c r="AU661" s="8">
        <v>26974.9974</v>
      </c>
      <c r="AV661" s="8">
        <v>3470.9872999999998</v>
      </c>
      <c r="AX661" s="9">
        <v>442.05252059975572</v>
      </c>
      <c r="AY661" s="6">
        <f t="shared" si="223"/>
        <v>2.2273086550081402E-2</v>
      </c>
      <c r="AZ661" s="8">
        <v>411479450.38249999</v>
      </c>
      <c r="BA661" s="10">
        <v>60480066</v>
      </c>
      <c r="BB661" s="11">
        <v>47321831.454739228</v>
      </c>
      <c r="BC661" s="10">
        <v>2971324</v>
      </c>
      <c r="BD661" s="10">
        <f>1000000000-998929303.946+304539.244</f>
        <v>1375235.29800002</v>
      </c>
      <c r="BE661" s="12">
        <f t="shared" si="224"/>
        <v>476372092.86476082</v>
      </c>
      <c r="BF661" s="23">
        <v>232.21086399999999</v>
      </c>
      <c r="BG661" s="23">
        <f t="shared" si="225"/>
        <v>244.16122886476083</v>
      </c>
      <c r="BH661" s="14">
        <f>BE661*85.45</f>
        <v>40705995335.293816</v>
      </c>
    </row>
    <row r="662" spans="1:60" x14ac:dyDescent="0.25">
      <c r="A662" s="3">
        <v>46284</v>
      </c>
      <c r="B662" s="4">
        <v>4354713969</v>
      </c>
      <c r="C662" s="4">
        <v>359350400.42000002</v>
      </c>
      <c r="D662" s="4">
        <v>171765339</v>
      </c>
      <c r="E662" s="4">
        <v>2803133.37</v>
      </c>
      <c r="F662" s="17">
        <v>88958278.887401447</v>
      </c>
      <c r="G662" s="17">
        <v>1110115.4340333929</v>
      </c>
      <c r="H662" s="17">
        <v>28247070.314053912</v>
      </c>
      <c r="I662" s="17">
        <v>81821522.444230989</v>
      </c>
      <c r="J662" s="17">
        <v>45188.321509681547</v>
      </c>
      <c r="K662" s="17">
        <v>159168225.01877061</v>
      </c>
      <c r="L662" s="14">
        <f t="shared" si="218"/>
        <v>359350400.42000002</v>
      </c>
      <c r="M662" s="21">
        <v>1.0915490722889289</v>
      </c>
      <c r="N662" s="4">
        <v>1669467.25</v>
      </c>
      <c r="O662" s="4">
        <v>59494.8</v>
      </c>
      <c r="P662" s="4">
        <v>99705.739999999991</v>
      </c>
      <c r="Q662" s="4">
        <v>905.76546099999996</v>
      </c>
      <c r="R662" s="14">
        <f t="shared" si="205"/>
        <v>1829573.555461</v>
      </c>
      <c r="S662" s="6">
        <v>0.01</v>
      </c>
      <c r="T662" s="14">
        <f t="shared" si="206"/>
        <v>16694.672500000001</v>
      </c>
      <c r="U662" s="14">
        <f t="shared" si="207"/>
        <v>297.47400000000005</v>
      </c>
      <c r="V662" s="14">
        <f t="shared" si="208"/>
        <v>799.84230000000002</v>
      </c>
      <c r="W662" s="14">
        <f t="shared" si="209"/>
        <v>9.0576546100000002</v>
      </c>
      <c r="X662" s="4">
        <v>19721.509999999998</v>
      </c>
      <c r="Y662" s="4">
        <v>29747.4</v>
      </c>
      <c r="Z662" s="4">
        <v>0</v>
      </c>
      <c r="AA662" s="14">
        <f t="shared" si="210"/>
        <v>67269.956454609986</v>
      </c>
      <c r="AB662" s="4">
        <v>183495.63959999999</v>
      </c>
      <c r="AC662" s="4">
        <v>1669467.25</v>
      </c>
      <c r="AD662" s="14">
        <f t="shared" si="211"/>
        <v>29747.4</v>
      </c>
      <c r="AE662" s="14">
        <f t="shared" si="212"/>
        <v>79984.23</v>
      </c>
      <c r="AF662" s="14">
        <f t="shared" si="213"/>
        <v>905.76546099999996</v>
      </c>
      <c r="AG662" s="15">
        <f t="shared" si="214"/>
        <v>1780104.6454609998</v>
      </c>
      <c r="AH662" s="4">
        <v>1390214.56</v>
      </c>
      <c r="AI662" s="17">
        <f t="shared" si="215"/>
        <v>389890.08546099975</v>
      </c>
      <c r="AJ662" s="7">
        <f t="shared" si="219"/>
        <v>3.8337012760986693</v>
      </c>
      <c r="AK662" s="7">
        <f t="shared" si="220"/>
        <v>1.6556208071693792</v>
      </c>
      <c r="AL662" s="7">
        <f t="shared" si="221"/>
        <v>5.8047648367520752</v>
      </c>
      <c r="AM662" s="7">
        <f t="shared" si="222"/>
        <v>3.2312606695556547</v>
      </c>
      <c r="AN662" s="4">
        <v>11706.92082436489</v>
      </c>
      <c r="AO662" s="4">
        <v>46269.73</v>
      </c>
      <c r="AP662" s="14">
        <f t="shared" si="216"/>
        <v>1448191.210824365</v>
      </c>
      <c r="AQ662" s="14">
        <f t="shared" si="217"/>
        <v>1390214.56</v>
      </c>
      <c r="AR662" s="8">
        <v>15011.55</v>
      </c>
      <c r="AS662" s="20">
        <v>92.609661000000003</v>
      </c>
      <c r="AT662" s="8">
        <v>47336734.804739229</v>
      </c>
      <c r="AU662" s="8">
        <v>26995.256700000002</v>
      </c>
      <c r="AV662" s="8">
        <v>2986.8773000000001</v>
      </c>
      <c r="AX662" s="9">
        <v>441.89348988202602</v>
      </c>
      <c r="AY662" s="6">
        <f t="shared" si="223"/>
        <v>2.2297836291117496E-2</v>
      </c>
      <c r="AZ662" s="8">
        <v>411452455.12580001</v>
      </c>
      <c r="BA662" s="10">
        <v>60480066</v>
      </c>
      <c r="BB662" s="11">
        <v>47336734.804739229</v>
      </c>
      <c r="BC662" s="10">
        <v>2971324</v>
      </c>
      <c r="BD662" s="10">
        <f>1000000000-998926317.0688+304664.8144</f>
        <v>1378347.7456000275</v>
      </c>
      <c r="BE662" s="12">
        <f t="shared" si="224"/>
        <v>476381072.3238607</v>
      </c>
      <c r="BF662" s="23">
        <v>232.21086399999999</v>
      </c>
      <c r="BG662" s="23">
        <f t="shared" si="225"/>
        <v>244.17020832386069</v>
      </c>
      <c r="BH662" s="14">
        <f>BE662*93.18</f>
        <v>44389188319.137344</v>
      </c>
    </row>
  </sheetData>
  <autoFilter ref="A3:BH662" xr:uid="{00000000-0009-0000-0000-000000000000}"/>
  <mergeCells count="10">
    <mergeCell ref="A1:BH1"/>
    <mergeCell ref="N2:R2"/>
    <mergeCell ref="B2:E2"/>
    <mergeCell ref="S2:AB2"/>
    <mergeCell ref="AC2:AI2"/>
    <mergeCell ref="AQ2:AY2"/>
    <mergeCell ref="F2:M2"/>
    <mergeCell ref="AJ2:AM2"/>
    <mergeCell ref="AN2:AP2"/>
    <mergeCell ref="AZ2:BH2"/>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1"/>
  <sheetViews>
    <sheetView showGridLines="0" workbookViewId="0">
      <pane xSplit="3" ySplit="3" topLeftCell="D4" activePane="bottomRight" state="frozen"/>
      <selection pane="topRight"/>
      <selection pane="bottomLeft"/>
      <selection pane="bottomRight" activeCell="D4" sqref="D4"/>
    </sheetView>
  </sheetViews>
  <sheetFormatPr defaultRowHeight="15" x14ac:dyDescent="0.25"/>
  <cols>
    <col min="1" max="3" width="12" customWidth="1"/>
    <col min="4" max="62" width="15" customWidth="1"/>
  </cols>
  <sheetData>
    <row r="1" spans="1:62" ht="24" customHeight="1" x14ac:dyDescent="0.25">
      <c r="A1" s="35" t="s">
        <v>304</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row>
    <row r="2" spans="1:62" ht="14.1" customHeight="1" x14ac:dyDescent="0.25">
      <c r="D2" s="30" t="s">
        <v>0</v>
      </c>
      <c r="E2" s="31"/>
      <c r="F2" s="31"/>
      <c r="G2" s="31"/>
      <c r="H2" s="32" t="s">
        <v>1</v>
      </c>
      <c r="I2" s="31"/>
      <c r="J2" s="31"/>
      <c r="K2" s="31"/>
      <c r="L2" s="31"/>
      <c r="M2" s="31"/>
      <c r="N2" s="31"/>
      <c r="O2" s="31"/>
      <c r="P2" s="36" t="s">
        <v>2</v>
      </c>
      <c r="Q2" s="31"/>
      <c r="R2" s="31"/>
      <c r="S2" s="31"/>
      <c r="T2" s="31"/>
      <c r="U2" s="33" t="s">
        <v>3</v>
      </c>
      <c r="V2" s="31"/>
      <c r="W2" s="31"/>
      <c r="X2" s="31"/>
      <c r="Y2" s="31"/>
      <c r="Z2" s="31"/>
      <c r="AA2" s="31"/>
      <c r="AB2" s="31"/>
      <c r="AC2" s="31"/>
      <c r="AD2" s="31"/>
      <c r="AE2" s="37" t="s">
        <v>4</v>
      </c>
      <c r="AF2" s="31"/>
      <c r="AG2" s="31"/>
      <c r="AH2" s="31"/>
      <c r="AI2" s="31"/>
      <c r="AJ2" s="31"/>
      <c r="AK2" s="31"/>
      <c r="AL2" s="33" t="s">
        <v>5</v>
      </c>
      <c r="AM2" s="31"/>
      <c r="AN2" s="31"/>
      <c r="AO2" s="31"/>
      <c r="AP2" s="34" t="s">
        <v>6</v>
      </c>
      <c r="AQ2" s="31"/>
      <c r="AR2" s="31"/>
      <c r="AS2" s="30" t="s">
        <v>7</v>
      </c>
      <c r="AT2" s="31"/>
      <c r="AU2" s="31"/>
      <c r="AV2" s="31"/>
      <c r="AW2" s="31"/>
      <c r="AX2" s="31"/>
      <c r="AY2" s="31"/>
      <c r="AZ2" s="31"/>
      <c r="BA2" s="31"/>
      <c r="BB2" s="32" t="s">
        <v>8</v>
      </c>
      <c r="BC2" s="31"/>
      <c r="BD2" s="31"/>
      <c r="BE2" s="31"/>
      <c r="BF2" s="31"/>
      <c r="BG2" s="31"/>
      <c r="BH2" s="31"/>
      <c r="BI2" s="31"/>
      <c r="BJ2" s="31"/>
    </row>
    <row r="3" spans="1:62" ht="62.1" customHeight="1" x14ac:dyDescent="0.25">
      <c r="A3" s="1" t="s">
        <v>69</v>
      </c>
      <c r="B3" s="1" t="s">
        <v>70</v>
      </c>
      <c r="C3" s="1" t="s">
        <v>71</v>
      </c>
      <c r="D3" s="2" t="s">
        <v>10</v>
      </c>
      <c r="E3" s="2" t="s">
        <v>11</v>
      </c>
      <c r="F3" s="2" t="s">
        <v>12</v>
      </c>
      <c r="G3" s="2" t="s">
        <v>13</v>
      </c>
      <c r="H3" s="2" t="s">
        <v>14</v>
      </c>
      <c r="I3" s="2" t="s">
        <v>15</v>
      </c>
      <c r="J3" s="2" t="s">
        <v>16</v>
      </c>
      <c r="K3" s="2" t="s">
        <v>17</v>
      </c>
      <c r="L3" s="2" t="s">
        <v>18</v>
      </c>
      <c r="M3" s="2" t="s">
        <v>19</v>
      </c>
      <c r="N3" s="2" t="s">
        <v>20</v>
      </c>
      <c r="O3" s="2" t="s">
        <v>21</v>
      </c>
      <c r="P3" s="2" t="s">
        <v>22</v>
      </c>
      <c r="Q3" s="2" t="s">
        <v>23</v>
      </c>
      <c r="R3" s="2" t="s">
        <v>24</v>
      </c>
      <c r="S3" s="2" t="s">
        <v>25</v>
      </c>
      <c r="T3" s="2" t="s">
        <v>26</v>
      </c>
      <c r="U3" s="2" t="s">
        <v>27</v>
      </c>
      <c r="V3" s="2" t="s">
        <v>28</v>
      </c>
      <c r="W3" s="2" t="s">
        <v>29</v>
      </c>
      <c r="X3" s="2" t="s">
        <v>30</v>
      </c>
      <c r="Y3" s="2" t="s">
        <v>31</v>
      </c>
      <c r="Z3" s="2" t="s">
        <v>32</v>
      </c>
      <c r="AA3" s="2" t="s">
        <v>33</v>
      </c>
      <c r="AB3" s="2" t="s">
        <v>34</v>
      </c>
      <c r="AC3" s="2" t="s">
        <v>35</v>
      </c>
      <c r="AD3" s="2" t="s">
        <v>36</v>
      </c>
      <c r="AE3" s="2" t="s">
        <v>37</v>
      </c>
      <c r="AF3" s="2" t="s">
        <v>38</v>
      </c>
      <c r="AG3" s="2" t="s">
        <v>39</v>
      </c>
      <c r="AH3" s="2" t="s">
        <v>40</v>
      </c>
      <c r="AI3" s="2" t="s">
        <v>41</v>
      </c>
      <c r="AJ3" s="2" t="s">
        <v>42</v>
      </c>
      <c r="AK3" s="2" t="s">
        <v>43</v>
      </c>
      <c r="AL3" s="2" t="s">
        <v>44</v>
      </c>
      <c r="AM3" s="2" t="s">
        <v>45</v>
      </c>
      <c r="AN3" s="2" t="s">
        <v>46</v>
      </c>
      <c r="AO3" s="2" t="s">
        <v>47</v>
      </c>
      <c r="AP3" s="2" t="s">
        <v>48</v>
      </c>
      <c r="AQ3" s="2" t="s">
        <v>49</v>
      </c>
      <c r="AR3" s="2" t="s">
        <v>50</v>
      </c>
      <c r="AS3" s="2" t="s">
        <v>51</v>
      </c>
      <c r="AT3" s="2" t="s">
        <v>52</v>
      </c>
      <c r="AU3" s="2" t="s">
        <v>53</v>
      </c>
      <c r="AV3" s="2" t="s">
        <v>54</v>
      </c>
      <c r="AW3" s="2" t="s">
        <v>55</v>
      </c>
      <c r="AX3" s="2" t="s">
        <v>56</v>
      </c>
      <c r="AY3" s="2" t="s">
        <v>57</v>
      </c>
      <c r="AZ3" s="2" t="s">
        <v>58</v>
      </c>
      <c r="BA3" s="2" t="s">
        <v>59</v>
      </c>
      <c r="BB3" s="2" t="s">
        <v>60</v>
      </c>
      <c r="BC3" s="2" t="s">
        <v>61</v>
      </c>
      <c r="BD3" s="2" t="s">
        <v>62</v>
      </c>
      <c r="BE3" s="2" t="s">
        <v>63</v>
      </c>
      <c r="BF3" s="2" t="s">
        <v>64</v>
      </c>
      <c r="BG3" s="2" t="s">
        <v>65</v>
      </c>
      <c r="BH3" s="2" t="s">
        <v>66</v>
      </c>
      <c r="BI3" s="2" t="s">
        <v>67</v>
      </c>
      <c r="BJ3" s="2" t="s">
        <v>68</v>
      </c>
    </row>
    <row r="4" spans="1:62" x14ac:dyDescent="0.25">
      <c r="A4" s="25" t="s">
        <v>72</v>
      </c>
      <c r="B4" s="26">
        <v>45626</v>
      </c>
      <c r="C4" s="26">
        <v>45657</v>
      </c>
      <c r="D4" s="14">
        <f>SUMIFS('Daily '!$B$4:$B$662,'Daily '!$A$4:$A$662,"&gt;="&amp;$B4,'Daily '!$A$4:$A$662,"&lt;="&amp;$C4)</f>
        <v>164982084997</v>
      </c>
      <c r="E4" s="14">
        <f>SUMIFS('Daily '!$C$4:$C$662,'Daily '!$A$4:$A$662,"&gt;="&amp;$B4,'Daily '!$A$4:$A$662,"&lt;="&amp;$C4)</f>
        <v>0</v>
      </c>
      <c r="F4" s="14">
        <f>SUMIFS('Daily '!$D$4:$D$662,'Daily '!$A$4:$A$662,"&gt;="&amp;$B4,'Daily '!$A$4:$A$662,"&lt;="&amp;$C4)</f>
        <v>11366603254</v>
      </c>
      <c r="G4" s="14">
        <f>SUMIFS('Daily '!$E$4:$E$662,'Daily '!$A$4:$A$662,"&gt;="&amp;$B4,'Daily '!$A$4:$A$662,"&lt;="&amp;$C4)</f>
        <v>0</v>
      </c>
      <c r="H4" s="14">
        <f>SUMIFS('Daily '!$F$4:$F$662,'Daily '!$A$4:$A$662,"&gt;="&amp;$B4,'Daily '!$A$4:$A$662,"&lt;="&amp;$C4)</f>
        <v>0</v>
      </c>
      <c r="I4" s="14">
        <f>SUMIFS('Daily '!$G$4:$G$662,'Daily '!$A$4:$A$662,"&gt;="&amp;$B4,'Daily '!$A$4:$A$662,"&lt;="&amp;$C4)</f>
        <v>0</v>
      </c>
      <c r="J4" s="14">
        <f>SUMIFS('Daily '!$H$4:$H$662,'Daily '!$A$4:$A$662,"&gt;="&amp;$B4,'Daily '!$A$4:$A$662,"&lt;="&amp;$C4)</f>
        <v>0</v>
      </c>
      <c r="K4" s="14">
        <f>SUMIFS('Daily '!$I$4:$I$662,'Daily '!$A$4:$A$662,"&gt;="&amp;$B4,'Daily '!$A$4:$A$662,"&lt;="&amp;$C4)</f>
        <v>0</v>
      </c>
      <c r="L4" s="14">
        <f>SUMIFS('Daily '!$J$4:$J$662,'Daily '!$A$4:$A$662,"&gt;="&amp;$B4,'Daily '!$A$4:$A$662,"&lt;="&amp;$C4)</f>
        <v>0</v>
      </c>
      <c r="M4" s="14">
        <f>SUMIFS('Daily '!$K$4:$K$662,'Daily '!$A$4:$A$662,"&gt;="&amp;$B4,'Daily '!$A$4:$A$662,"&lt;="&amp;$C4)</f>
        <v>0</v>
      </c>
      <c r="N4" s="14">
        <f>SUMIFS('Daily '!$L$4:$L$662,'Daily '!$A$4:$A$662,"&gt;="&amp;$B4,'Daily '!$A$4:$A$662,"&lt;="&amp;$C4)</f>
        <v>0</v>
      </c>
      <c r="O4" s="21" t="str">
        <f t="shared" ref="O4:O11" si="0">IF(E4=0,"",N4/E4)</f>
        <v/>
      </c>
      <c r="P4" s="14">
        <f>SUMIFS('Daily '!$N$4:$N$662,'Daily '!$A$4:$A$662,"&gt;="&amp;$B4,'Daily '!$A$4:$A$662,"&lt;="&amp;$C4)</f>
        <v>0</v>
      </c>
      <c r="Q4" s="14">
        <f>SUMIFS('Daily '!$O$4:$O$662,'Daily '!$A$4:$A$662,"&gt;="&amp;$B4,'Daily '!$A$4:$A$662,"&lt;="&amp;$C4)</f>
        <v>0</v>
      </c>
      <c r="R4" s="14">
        <f>SUMIFS('Daily '!$P$4:$P$662,'Daily '!$A$4:$A$662,"&gt;="&amp;$B4,'Daily '!$A$4:$A$662,"&lt;="&amp;$C4)</f>
        <v>411908</v>
      </c>
      <c r="S4" s="14">
        <f>SUMIFS('Daily '!$Q$4:$Q$662,'Daily '!$A$4:$A$662,"&gt;="&amp;$B4,'Daily '!$A$4:$A$662,"&lt;="&amp;$C4)</f>
        <v>0</v>
      </c>
      <c r="T4" s="14">
        <f>SUMIFS('Daily '!$R$4:$R$662,'Daily '!$A$4:$A$662,"&gt;="&amp;$B4,'Daily '!$A$4:$A$662,"&lt;="&amp;$C4)</f>
        <v>411908</v>
      </c>
      <c r="U4" s="6"/>
      <c r="V4" s="14">
        <f>SUMIFS('Daily '!$T$4:$T$662,'Daily '!$A$4:$A$662,"&gt;="&amp;$B4,'Daily '!$A$4:$A$662,"&lt;="&amp;$C4)</f>
        <v>0</v>
      </c>
      <c r="W4" s="14">
        <f>SUMIFS('Daily '!$U$4:$U$662,'Daily '!$A$4:$A$662,"&gt;="&amp;$B4,'Daily '!$A$4:$A$662,"&lt;="&amp;$C4)</f>
        <v>0</v>
      </c>
      <c r="X4" s="14">
        <f>SUMIFS('Daily '!$V$4:$V$662,'Daily '!$A$4:$A$662,"&gt;="&amp;$B4,'Daily '!$A$4:$A$662,"&lt;="&amp;$C4)</f>
        <v>12357.239999999998</v>
      </c>
      <c r="Y4" s="14">
        <f>SUMIFS('Daily '!$W$4:$W$662,'Daily '!$A$4:$A$662,"&gt;="&amp;$B4,'Daily '!$A$4:$A$662,"&lt;="&amp;$C4)</f>
        <v>0</v>
      </c>
      <c r="Z4" s="14">
        <f>SUMIFS('Daily '!$X$4:$X$662,'Daily '!$A$4:$A$662,"&gt;="&amp;$B4,'Daily '!$A$4:$A$662,"&lt;="&amp;$C4)</f>
        <v>0</v>
      </c>
      <c r="AA4" s="14">
        <f>SUMIFS('Daily '!$Y$4:$Y$662,'Daily '!$A$4:$A$662,"&gt;="&amp;$B4,'Daily '!$A$4:$A$662,"&lt;="&amp;$C4)</f>
        <v>0</v>
      </c>
      <c r="AB4" s="14">
        <f>SUMIFS('Daily '!$Z$4:$Z$662,'Daily '!$A$4:$A$662,"&gt;="&amp;$B4,'Daily '!$A$4:$A$662,"&lt;="&amp;$C4)</f>
        <v>0</v>
      </c>
      <c r="AC4" s="14">
        <f>SUMIFS('Daily '!$AA$4:$AA$662,'Daily '!$A$4:$A$662,"&gt;="&amp;$B4,'Daily '!$A$4:$A$662,"&lt;="&amp;$C4)</f>
        <v>12357.239999999998</v>
      </c>
      <c r="AD4" s="14">
        <f>SUMIFS('Daily '!$AB$4:$AB$662,'Daily '!$A$4:$A$662,"&gt;="&amp;$B4,'Daily '!$A$4:$A$662,"&lt;="&amp;$C4)</f>
        <v>0</v>
      </c>
      <c r="AE4" s="14">
        <f>SUMIFS('Daily '!$AC$4:$AC$662,'Daily '!$A$4:$A$662,"&gt;="&amp;$B4,'Daily '!$A$4:$A$662,"&lt;="&amp;$C4)</f>
        <v>0</v>
      </c>
      <c r="AF4" s="14">
        <f>SUMIFS('Daily '!$AD$4:$AD$662,'Daily '!$A$4:$A$662,"&gt;="&amp;$B4,'Daily '!$A$4:$A$662,"&lt;="&amp;$C4)</f>
        <v>0</v>
      </c>
      <c r="AG4" s="14">
        <f>SUMIFS('Daily '!$AE$4:$AE$662,'Daily '!$A$4:$A$662,"&gt;="&amp;$B4,'Daily '!$A$4:$A$662,"&lt;="&amp;$C4)</f>
        <v>411908</v>
      </c>
      <c r="AH4" s="14">
        <f>SUMIFS('Daily '!$AF$4:$AF$662,'Daily '!$A$4:$A$662,"&gt;="&amp;$B4,'Daily '!$A$4:$A$662,"&lt;="&amp;$C4)</f>
        <v>0</v>
      </c>
      <c r="AI4" s="14">
        <f>SUMIFS('Daily '!$AG$4:$AG$662,'Daily '!$A$4:$A$662,"&gt;="&amp;$B4,'Daily '!$A$4:$A$662,"&lt;="&amp;$C4)</f>
        <v>411908</v>
      </c>
      <c r="AJ4" s="14">
        <f>SUMIFS('Daily '!$AH$4:$AH$662,'Daily '!$A$4:$A$662,"&gt;="&amp;$B4,'Daily '!$A$4:$A$662,"&lt;="&amp;$C4)</f>
        <v>10510315</v>
      </c>
      <c r="AK4" s="17">
        <f t="shared" ref="AK4:AK11" si="1">AI4-AJ4</f>
        <v>-10098407</v>
      </c>
      <c r="AL4" s="7">
        <f t="shared" ref="AL4:AO11" si="2">IF(D4=0,"",P4/D4*10000)</f>
        <v>0</v>
      </c>
      <c r="AM4" s="7" t="str">
        <f t="shared" si="2"/>
        <v/>
      </c>
      <c r="AN4" s="7">
        <f t="shared" si="2"/>
        <v>0.36238442637209689</v>
      </c>
      <c r="AO4" s="7" t="str">
        <f t="shared" si="2"/>
        <v/>
      </c>
      <c r="AP4" s="14">
        <f>SUMIFS('Daily '!$AN$4:$AN$662,'Daily '!$A$4:$A$662,"&gt;="&amp;$B4,'Daily '!$A$4:$A$662,"&lt;="&amp;$C4)</f>
        <v>0</v>
      </c>
      <c r="AQ4" s="14">
        <f>SUMIFS('Daily '!$AO$4:$AO$662,'Daily '!$A$4:$A$662,"&gt;="&amp;$B4,'Daily '!$A$4:$A$662,"&lt;="&amp;$C4)</f>
        <v>0</v>
      </c>
      <c r="AR4" s="14">
        <f>SUMIFS('Daily '!$AP$4:$AP$662,'Daily '!$A$4:$A$662,"&gt;="&amp;$B4,'Daily '!$A$4:$A$662,"&lt;="&amp;$C4)</f>
        <v>10510315</v>
      </c>
      <c r="AS4" s="14">
        <f>SUMIFS('Daily '!$AQ$4:$AQ$662,'Daily '!$A$4:$A$662,"&gt;="&amp;$B4,'Daily '!$A$4:$A$662,"&lt;="&amp;$C4)</f>
        <v>10510315</v>
      </c>
      <c r="AT4" s="10">
        <f>SUMIFS('Daily '!$AR$4:$AR$662,'Daily '!$A$4:$A$662,"&gt;="&amp;$B4,'Daily '!$A$4:$A$662,"&lt;="&amp;$C4)</f>
        <v>379798.28000000119</v>
      </c>
      <c r="AU4" s="27">
        <f t="shared" ref="AU4:AU11" si="3">IF(AT4=0,"",AS4/AT4)</f>
        <v>27.673413897503607</v>
      </c>
      <c r="AV4" s="10">
        <v>11670797.460000001</v>
      </c>
      <c r="AW4" s="10">
        <f>SUMIFS('Daily '!$AU$4:$AU$662,'Daily '!$A$4:$A$662,"&gt;="&amp;$B4,'Daily '!$A$4:$A$662,"&lt;="&amp;$C4)</f>
        <v>45253.950599999996</v>
      </c>
      <c r="AX4" s="10">
        <f>SUMIFS('Daily '!$AV$4:$AV$662,'Daily '!$A$4:$A$662,"&gt;="&amp;$B4,'Daily '!$A$4:$A$662,"&lt;="&amp;$C4)</f>
        <v>110094.6673</v>
      </c>
      <c r="AY4" s="10">
        <f>SUMIFS('Daily '!$AW$4:$AW$662,'Daily '!$A$4:$A$662,"&gt;="&amp;$B4,'Daily '!$A$4:$A$662,"&lt;="&amp;$C4)</f>
        <v>0</v>
      </c>
      <c r="AZ4" s="13">
        <v>352.79860000000002</v>
      </c>
      <c r="BA4" s="6">
        <v>1.2699999999999999E-2</v>
      </c>
      <c r="BB4" s="10">
        <v>428004781.79189998</v>
      </c>
      <c r="BC4" s="10">
        <v>60480066</v>
      </c>
      <c r="BD4" s="10">
        <v>11670797.460000001</v>
      </c>
      <c r="BE4" s="10">
        <v>2971324</v>
      </c>
      <c r="BF4" s="10">
        <v>110094.6672</v>
      </c>
      <c r="BG4" s="12">
        <v>496762936.08090001</v>
      </c>
      <c r="BH4" s="13">
        <v>238</v>
      </c>
      <c r="BI4" s="13">
        <v>258.7629</v>
      </c>
      <c r="BJ4" s="14">
        <v>13387761127.380301</v>
      </c>
    </row>
    <row r="5" spans="1:62" x14ac:dyDescent="0.25">
      <c r="A5" s="25" t="s">
        <v>73</v>
      </c>
      <c r="B5" s="26">
        <v>45658</v>
      </c>
      <c r="C5" s="26">
        <v>45747</v>
      </c>
      <c r="D5" s="14">
        <f>SUMIFS('Daily '!$B$4:$B$662,'Daily '!$A$4:$A$662,"&gt;="&amp;$B5,'Daily '!$A$4:$A$662,"&lt;="&amp;$C5)</f>
        <v>554802601520</v>
      </c>
      <c r="E5" s="14">
        <f>SUMIFS('Daily '!$C$4:$C$662,'Daily '!$A$4:$A$662,"&gt;="&amp;$B5,'Daily '!$A$4:$A$662,"&lt;="&amp;$C5)</f>
        <v>0</v>
      </c>
      <c r="F5" s="14">
        <f>SUMIFS('Daily '!$D$4:$D$662,'Daily '!$A$4:$A$662,"&gt;="&amp;$B5,'Daily '!$A$4:$A$662,"&lt;="&amp;$C5)</f>
        <v>15849231942</v>
      </c>
      <c r="G5" s="14">
        <f>SUMIFS('Daily '!$E$4:$E$662,'Daily '!$A$4:$A$662,"&gt;="&amp;$B5,'Daily '!$A$4:$A$662,"&lt;="&amp;$C5)</f>
        <v>0</v>
      </c>
      <c r="H5" s="14">
        <f>SUMIFS('Daily '!$F$4:$F$662,'Daily '!$A$4:$A$662,"&gt;="&amp;$B5,'Daily '!$A$4:$A$662,"&lt;="&amp;$C5)</f>
        <v>0</v>
      </c>
      <c r="I5" s="14">
        <f>SUMIFS('Daily '!$G$4:$G$662,'Daily '!$A$4:$A$662,"&gt;="&amp;$B5,'Daily '!$A$4:$A$662,"&lt;="&amp;$C5)</f>
        <v>0</v>
      </c>
      <c r="J5" s="14">
        <f>SUMIFS('Daily '!$H$4:$H$662,'Daily '!$A$4:$A$662,"&gt;="&amp;$B5,'Daily '!$A$4:$A$662,"&lt;="&amp;$C5)</f>
        <v>0</v>
      </c>
      <c r="K5" s="14">
        <f>SUMIFS('Daily '!$I$4:$I$662,'Daily '!$A$4:$A$662,"&gt;="&amp;$B5,'Daily '!$A$4:$A$662,"&lt;="&amp;$C5)</f>
        <v>0</v>
      </c>
      <c r="L5" s="14">
        <f>SUMIFS('Daily '!$J$4:$J$662,'Daily '!$A$4:$A$662,"&gt;="&amp;$B5,'Daily '!$A$4:$A$662,"&lt;="&amp;$C5)</f>
        <v>0</v>
      </c>
      <c r="M5" s="14">
        <f>SUMIFS('Daily '!$K$4:$K$662,'Daily '!$A$4:$A$662,"&gt;="&amp;$B5,'Daily '!$A$4:$A$662,"&lt;="&amp;$C5)</f>
        <v>0</v>
      </c>
      <c r="N5" s="14">
        <f>SUMIFS('Daily '!$L$4:$L$662,'Daily '!$A$4:$A$662,"&gt;="&amp;$B5,'Daily '!$A$4:$A$662,"&lt;="&amp;$C5)</f>
        <v>0</v>
      </c>
      <c r="O5" s="21" t="str">
        <f t="shared" si="0"/>
        <v/>
      </c>
      <c r="P5" s="14">
        <f>SUMIFS('Daily '!$N$4:$N$662,'Daily '!$A$4:$A$662,"&gt;="&amp;$B5,'Daily '!$A$4:$A$662,"&lt;="&amp;$C5)</f>
        <v>0</v>
      </c>
      <c r="Q5" s="14">
        <f>SUMIFS('Daily '!$O$4:$O$662,'Daily '!$A$4:$A$662,"&gt;="&amp;$B5,'Daily '!$A$4:$A$662,"&lt;="&amp;$C5)</f>
        <v>0</v>
      </c>
      <c r="R5" s="14">
        <f>SUMIFS('Daily '!$P$4:$P$662,'Daily '!$A$4:$A$662,"&gt;="&amp;$B5,'Daily '!$A$4:$A$662,"&lt;="&amp;$C5)</f>
        <v>2254941</v>
      </c>
      <c r="S5" s="14">
        <f>SUMIFS('Daily '!$Q$4:$Q$662,'Daily '!$A$4:$A$662,"&gt;="&amp;$B5,'Daily '!$A$4:$A$662,"&lt;="&amp;$C5)</f>
        <v>0</v>
      </c>
      <c r="T5" s="14">
        <f>SUMIFS('Daily '!$R$4:$R$662,'Daily '!$A$4:$A$662,"&gt;="&amp;$B5,'Daily '!$A$4:$A$662,"&lt;="&amp;$C5)</f>
        <v>2254941</v>
      </c>
      <c r="U5" s="6"/>
      <c r="V5" s="14">
        <f>SUMIFS('Daily '!$T$4:$T$662,'Daily '!$A$4:$A$662,"&gt;="&amp;$B5,'Daily '!$A$4:$A$662,"&lt;="&amp;$C5)</f>
        <v>0</v>
      </c>
      <c r="W5" s="14">
        <f>SUMIFS('Daily '!$U$4:$U$662,'Daily '!$A$4:$A$662,"&gt;="&amp;$B5,'Daily '!$A$4:$A$662,"&lt;="&amp;$C5)</f>
        <v>0</v>
      </c>
      <c r="X5" s="14">
        <f>SUMIFS('Daily '!$V$4:$V$662,'Daily '!$A$4:$A$662,"&gt;="&amp;$B5,'Daily '!$A$4:$A$662,"&lt;="&amp;$C5)</f>
        <v>67648.23</v>
      </c>
      <c r="Y5" s="14">
        <f>SUMIFS('Daily '!$W$4:$W$662,'Daily '!$A$4:$A$662,"&gt;="&amp;$B5,'Daily '!$A$4:$A$662,"&lt;="&amp;$C5)</f>
        <v>0</v>
      </c>
      <c r="Z5" s="14">
        <f>SUMIFS('Daily '!$X$4:$X$662,'Daily '!$A$4:$A$662,"&gt;="&amp;$B5,'Daily '!$A$4:$A$662,"&lt;="&amp;$C5)</f>
        <v>0</v>
      </c>
      <c r="AA5" s="14">
        <f>SUMIFS('Daily '!$Y$4:$Y$662,'Daily '!$A$4:$A$662,"&gt;="&amp;$B5,'Daily '!$A$4:$A$662,"&lt;="&amp;$C5)</f>
        <v>0</v>
      </c>
      <c r="AB5" s="14">
        <f>SUMIFS('Daily '!$Z$4:$Z$662,'Daily '!$A$4:$A$662,"&gt;="&amp;$B5,'Daily '!$A$4:$A$662,"&lt;="&amp;$C5)</f>
        <v>0</v>
      </c>
      <c r="AC5" s="14">
        <f>SUMIFS('Daily '!$AA$4:$AA$662,'Daily '!$A$4:$A$662,"&gt;="&amp;$B5,'Daily '!$A$4:$A$662,"&lt;="&amp;$C5)</f>
        <v>67648.23</v>
      </c>
      <c r="AD5" s="14">
        <f>SUMIFS('Daily '!$AB$4:$AB$662,'Daily '!$A$4:$A$662,"&gt;="&amp;$B5,'Daily '!$A$4:$A$662,"&lt;="&amp;$C5)</f>
        <v>0</v>
      </c>
      <c r="AE5" s="14">
        <f>SUMIFS('Daily '!$AC$4:$AC$662,'Daily '!$A$4:$A$662,"&gt;="&amp;$B5,'Daily '!$A$4:$A$662,"&lt;="&amp;$C5)</f>
        <v>0</v>
      </c>
      <c r="AF5" s="14">
        <f>SUMIFS('Daily '!$AD$4:$AD$662,'Daily '!$A$4:$A$662,"&gt;="&amp;$B5,'Daily '!$A$4:$A$662,"&lt;="&amp;$C5)</f>
        <v>0</v>
      </c>
      <c r="AG5" s="14">
        <f>SUMIFS('Daily '!$AE$4:$AE$662,'Daily '!$A$4:$A$662,"&gt;="&amp;$B5,'Daily '!$A$4:$A$662,"&lt;="&amp;$C5)</f>
        <v>2254941</v>
      </c>
      <c r="AH5" s="14">
        <f>SUMIFS('Daily '!$AF$4:$AF$662,'Daily '!$A$4:$A$662,"&gt;="&amp;$B5,'Daily '!$A$4:$A$662,"&lt;="&amp;$C5)</f>
        <v>0</v>
      </c>
      <c r="AI5" s="14">
        <f>SUMIFS('Daily '!$AG$4:$AG$662,'Daily '!$A$4:$A$662,"&gt;="&amp;$B5,'Daily '!$A$4:$A$662,"&lt;="&amp;$C5)</f>
        <v>2254941</v>
      </c>
      <c r="AJ5" s="14">
        <f>SUMIFS('Daily '!$AH$4:$AH$662,'Daily '!$A$4:$A$662,"&gt;="&amp;$B5,'Daily '!$A$4:$A$662,"&lt;="&amp;$C5)</f>
        <v>132017620.7148</v>
      </c>
      <c r="AK5" s="17">
        <f t="shared" si="1"/>
        <v>-129762679.7148</v>
      </c>
      <c r="AL5" s="7">
        <f t="shared" si="2"/>
        <v>0</v>
      </c>
      <c r="AM5" s="7" t="str">
        <f t="shared" si="2"/>
        <v/>
      </c>
      <c r="AN5" s="7">
        <f t="shared" si="2"/>
        <v>1.4227446530228842</v>
      </c>
      <c r="AO5" s="7" t="str">
        <f t="shared" si="2"/>
        <v/>
      </c>
      <c r="AP5" s="14">
        <f>SUMIFS('Daily '!$AN$4:$AN$662,'Daily '!$A$4:$A$662,"&gt;="&amp;$B5,'Daily '!$A$4:$A$662,"&lt;="&amp;$C5)</f>
        <v>5738.4518960927508</v>
      </c>
      <c r="AQ5" s="14">
        <f>SUMIFS('Daily '!$AO$4:$AO$662,'Daily '!$A$4:$A$662,"&gt;="&amp;$B5,'Daily '!$A$4:$A$662,"&lt;="&amp;$C5)</f>
        <v>495900.75999999995</v>
      </c>
      <c r="AR5" s="14">
        <f>SUMIFS('Daily '!$AP$4:$AP$662,'Daily '!$A$4:$A$662,"&gt;="&amp;$B5,'Daily '!$A$4:$A$662,"&lt;="&amp;$C5)</f>
        <v>132519259.92669611</v>
      </c>
      <c r="AS5" s="14">
        <f>SUMIFS('Daily '!$AQ$4:$AQ$662,'Daily '!$A$4:$A$662,"&gt;="&amp;$B5,'Daily '!$A$4:$A$662,"&lt;="&amp;$C5)</f>
        <v>132017620.7148</v>
      </c>
      <c r="AT5" s="10">
        <f>SUMIFS('Daily '!$AR$4:$AR$662,'Daily '!$A$4:$A$662,"&gt;="&amp;$B5,'Daily '!$A$4:$A$662,"&lt;="&amp;$C5)</f>
        <v>6676117.0399999991</v>
      </c>
      <c r="AU5" s="27">
        <f t="shared" si="3"/>
        <v>19.774611488057438</v>
      </c>
      <c r="AV5" s="10">
        <v>18407963.609999999</v>
      </c>
      <c r="AW5" s="10">
        <f>SUMIFS('Daily '!$AU$4:$AU$662,'Daily '!$A$4:$A$662,"&gt;="&amp;$B5,'Daily '!$A$4:$A$662,"&lt;="&amp;$C5)</f>
        <v>2370516.1318999995</v>
      </c>
      <c r="AX5" s="10">
        <f>SUMIFS('Daily '!$AV$4:$AV$662,'Daily '!$A$4:$A$662,"&gt;="&amp;$B5,'Daily '!$A$4:$A$662,"&lt;="&amp;$C5)</f>
        <v>84921.752899999949</v>
      </c>
      <c r="AY5" s="10">
        <f>SUMIFS('Daily '!$AW$4:$AW$662,'Daily '!$A$4:$A$662,"&gt;="&amp;$B5,'Daily '!$A$4:$A$662,"&lt;="&amp;$C5)</f>
        <v>0</v>
      </c>
      <c r="AZ5" s="13">
        <v>421.33210000000003</v>
      </c>
      <c r="BA5" s="6">
        <v>2.2800000000000001E-2</v>
      </c>
      <c r="BB5" s="10">
        <v>425634265.66000003</v>
      </c>
      <c r="BC5" s="10">
        <v>60480066</v>
      </c>
      <c r="BD5" s="10">
        <v>18407963.609999999</v>
      </c>
      <c r="BE5" s="10">
        <v>2971324</v>
      </c>
      <c r="BF5" s="10">
        <v>195393.44510000001</v>
      </c>
      <c r="BG5" s="12">
        <v>492310987.28490001</v>
      </c>
      <c r="BH5" s="13">
        <v>238</v>
      </c>
      <c r="BI5" s="13">
        <v>254.31100000000001</v>
      </c>
      <c r="BJ5" s="14">
        <v>6144041121.3154001</v>
      </c>
    </row>
    <row r="6" spans="1:62" x14ac:dyDescent="0.25">
      <c r="A6" s="25" t="s">
        <v>74</v>
      </c>
      <c r="B6" s="26">
        <v>45748</v>
      </c>
      <c r="C6" s="26">
        <v>45838</v>
      </c>
      <c r="D6" s="14">
        <f>SUMIFS('Daily '!$B$4:$B$662,'Daily '!$A$4:$A$662,"&gt;="&amp;$B6,'Daily '!$A$4:$A$662,"&lt;="&amp;$C6)</f>
        <v>654128076158</v>
      </c>
      <c r="E6" s="14">
        <f>SUMIFS('Daily '!$C$4:$C$662,'Daily '!$A$4:$A$662,"&gt;="&amp;$B6,'Daily '!$A$4:$A$662,"&lt;="&amp;$C6)</f>
        <v>0</v>
      </c>
      <c r="F6" s="14">
        <f>SUMIFS('Daily '!$D$4:$D$662,'Daily '!$A$4:$A$662,"&gt;="&amp;$B6,'Daily '!$A$4:$A$662,"&lt;="&amp;$C6)</f>
        <v>22001354657</v>
      </c>
      <c r="G6" s="14">
        <f>SUMIFS('Daily '!$E$4:$E$662,'Daily '!$A$4:$A$662,"&gt;="&amp;$B6,'Daily '!$A$4:$A$662,"&lt;="&amp;$C6)</f>
        <v>0</v>
      </c>
      <c r="H6" s="14">
        <f>SUMIFS('Daily '!$F$4:$F$662,'Daily '!$A$4:$A$662,"&gt;="&amp;$B6,'Daily '!$A$4:$A$662,"&lt;="&amp;$C6)</f>
        <v>0</v>
      </c>
      <c r="I6" s="14">
        <f>SUMIFS('Daily '!$G$4:$G$662,'Daily '!$A$4:$A$662,"&gt;="&amp;$B6,'Daily '!$A$4:$A$662,"&lt;="&amp;$C6)</f>
        <v>0</v>
      </c>
      <c r="J6" s="14">
        <f>SUMIFS('Daily '!$H$4:$H$662,'Daily '!$A$4:$A$662,"&gt;="&amp;$B6,'Daily '!$A$4:$A$662,"&lt;="&amp;$C6)</f>
        <v>0</v>
      </c>
      <c r="K6" s="14">
        <f>SUMIFS('Daily '!$I$4:$I$662,'Daily '!$A$4:$A$662,"&gt;="&amp;$B6,'Daily '!$A$4:$A$662,"&lt;="&amp;$C6)</f>
        <v>0</v>
      </c>
      <c r="L6" s="14">
        <f>SUMIFS('Daily '!$J$4:$J$662,'Daily '!$A$4:$A$662,"&gt;="&amp;$B6,'Daily '!$A$4:$A$662,"&lt;="&amp;$C6)</f>
        <v>0</v>
      </c>
      <c r="M6" s="14">
        <f>SUMIFS('Daily '!$K$4:$K$662,'Daily '!$A$4:$A$662,"&gt;="&amp;$B6,'Daily '!$A$4:$A$662,"&lt;="&amp;$C6)</f>
        <v>0</v>
      </c>
      <c r="N6" s="14">
        <f>SUMIFS('Daily '!$L$4:$L$662,'Daily '!$A$4:$A$662,"&gt;="&amp;$B6,'Daily '!$A$4:$A$662,"&lt;="&amp;$C6)</f>
        <v>0</v>
      </c>
      <c r="O6" s="21" t="str">
        <f t="shared" si="0"/>
        <v/>
      </c>
      <c r="P6" s="14">
        <f>SUMIFS('Daily '!$N$4:$N$662,'Daily '!$A$4:$A$662,"&gt;="&amp;$B6,'Daily '!$A$4:$A$662,"&lt;="&amp;$C6)</f>
        <v>0</v>
      </c>
      <c r="Q6" s="14">
        <f>SUMIFS('Daily '!$O$4:$O$662,'Daily '!$A$4:$A$662,"&gt;="&amp;$B6,'Daily '!$A$4:$A$662,"&lt;="&amp;$C6)</f>
        <v>0</v>
      </c>
      <c r="R6" s="14">
        <f>SUMIFS('Daily '!$P$4:$P$662,'Daily '!$A$4:$A$662,"&gt;="&amp;$B6,'Daily '!$A$4:$A$662,"&lt;="&amp;$C6)</f>
        <v>4388223</v>
      </c>
      <c r="S6" s="14">
        <f>SUMIFS('Daily '!$Q$4:$Q$662,'Daily '!$A$4:$A$662,"&gt;="&amp;$B6,'Daily '!$A$4:$A$662,"&lt;="&amp;$C6)</f>
        <v>0</v>
      </c>
      <c r="T6" s="14">
        <f>SUMIFS('Daily '!$R$4:$R$662,'Daily '!$A$4:$A$662,"&gt;="&amp;$B6,'Daily '!$A$4:$A$662,"&lt;="&amp;$C6)</f>
        <v>4388223</v>
      </c>
      <c r="U6" s="6"/>
      <c r="V6" s="14">
        <f>SUMIFS('Daily '!$T$4:$T$662,'Daily '!$A$4:$A$662,"&gt;="&amp;$B6,'Daily '!$A$4:$A$662,"&lt;="&amp;$C6)</f>
        <v>0</v>
      </c>
      <c r="W6" s="14">
        <f>SUMIFS('Daily '!$U$4:$U$662,'Daily '!$A$4:$A$662,"&gt;="&amp;$B6,'Daily '!$A$4:$A$662,"&lt;="&amp;$C6)</f>
        <v>0</v>
      </c>
      <c r="X6" s="14">
        <f>SUMIFS('Daily '!$V$4:$V$662,'Daily '!$A$4:$A$662,"&gt;="&amp;$B6,'Daily '!$A$4:$A$662,"&lt;="&amp;$C6)</f>
        <v>105865.82999999996</v>
      </c>
      <c r="Y6" s="14">
        <f>SUMIFS('Daily '!$W$4:$W$662,'Daily '!$A$4:$A$662,"&gt;="&amp;$B6,'Daily '!$A$4:$A$662,"&lt;="&amp;$C6)</f>
        <v>0</v>
      </c>
      <c r="Z6" s="14">
        <f>SUMIFS('Daily '!$X$4:$X$662,'Daily '!$A$4:$A$662,"&gt;="&amp;$B6,'Daily '!$A$4:$A$662,"&lt;="&amp;$C6)</f>
        <v>859362</v>
      </c>
      <c r="AA6" s="14">
        <f>SUMIFS('Daily '!$Y$4:$Y$662,'Daily '!$A$4:$A$662,"&gt;="&amp;$B6,'Daily '!$A$4:$A$662,"&lt;="&amp;$C6)</f>
        <v>0</v>
      </c>
      <c r="AB6" s="14">
        <f>SUMIFS('Daily '!$Z$4:$Z$662,'Daily '!$A$4:$A$662,"&gt;="&amp;$B6,'Daily '!$A$4:$A$662,"&lt;="&amp;$C6)</f>
        <v>0</v>
      </c>
      <c r="AC6" s="14">
        <f>SUMIFS('Daily '!$AA$4:$AA$662,'Daily '!$A$4:$A$662,"&gt;="&amp;$B6,'Daily '!$A$4:$A$662,"&lt;="&amp;$C6)</f>
        <v>965227.83000000019</v>
      </c>
      <c r="AD6" s="14">
        <f>SUMIFS('Daily '!$AB$4:$AB$662,'Daily '!$A$4:$A$662,"&gt;="&amp;$B6,'Daily '!$A$4:$A$662,"&lt;="&amp;$C6)</f>
        <v>0</v>
      </c>
      <c r="AE6" s="14">
        <f>SUMIFS('Daily '!$AC$4:$AC$662,'Daily '!$A$4:$A$662,"&gt;="&amp;$B6,'Daily '!$A$4:$A$662,"&lt;="&amp;$C6)</f>
        <v>0</v>
      </c>
      <c r="AF6" s="14">
        <f>SUMIFS('Daily '!$AD$4:$AD$662,'Daily '!$A$4:$A$662,"&gt;="&amp;$B6,'Daily '!$A$4:$A$662,"&lt;="&amp;$C6)</f>
        <v>0</v>
      </c>
      <c r="AG6" s="14">
        <f>SUMIFS('Daily '!$AE$4:$AE$662,'Daily '!$A$4:$A$662,"&gt;="&amp;$B6,'Daily '!$A$4:$A$662,"&lt;="&amp;$C6)</f>
        <v>3528861</v>
      </c>
      <c r="AH6" s="14">
        <f>SUMIFS('Daily '!$AF$4:$AF$662,'Daily '!$A$4:$A$662,"&gt;="&amp;$B6,'Daily '!$A$4:$A$662,"&lt;="&amp;$C6)</f>
        <v>0</v>
      </c>
      <c r="AI6" s="14">
        <f>SUMIFS('Daily '!$AG$4:$AG$662,'Daily '!$A$4:$A$662,"&gt;="&amp;$B6,'Daily '!$A$4:$A$662,"&lt;="&amp;$C6)</f>
        <v>3528861</v>
      </c>
      <c r="AJ6" s="14">
        <f>SUMIFS('Daily '!$AH$4:$AH$662,'Daily '!$A$4:$A$662,"&gt;="&amp;$B6,'Daily '!$A$4:$A$662,"&lt;="&amp;$C6)</f>
        <v>174795222.90960008</v>
      </c>
      <c r="AK6" s="17">
        <f t="shared" si="1"/>
        <v>-171266361.90960008</v>
      </c>
      <c r="AL6" s="7">
        <f t="shared" si="2"/>
        <v>0</v>
      </c>
      <c r="AM6" s="7" t="str">
        <f t="shared" si="2"/>
        <v/>
      </c>
      <c r="AN6" s="7">
        <f t="shared" si="2"/>
        <v>1.9945240047316055</v>
      </c>
      <c r="AO6" s="7" t="str">
        <f t="shared" si="2"/>
        <v/>
      </c>
      <c r="AP6" s="14">
        <f>SUMIFS('Daily '!$AN$4:$AN$662,'Daily '!$A$4:$A$662,"&gt;="&amp;$B6,'Daily '!$A$4:$A$662,"&lt;="&amp;$C6)</f>
        <v>1503329.3829320283</v>
      </c>
      <c r="AQ6" s="14">
        <f>SUMIFS('Daily '!$AO$4:$AO$662,'Daily '!$A$4:$A$662,"&gt;="&amp;$B6,'Daily '!$A$4:$A$662,"&lt;="&amp;$C6)</f>
        <v>1946562.9399999997</v>
      </c>
      <c r="AR6" s="14">
        <f>SUMIFS('Daily '!$AP$4:$AP$662,'Daily '!$A$4:$A$662,"&gt;="&amp;$B6,'Daily '!$A$4:$A$662,"&lt;="&amp;$C6)</f>
        <v>178245115.23253211</v>
      </c>
      <c r="AS6" s="14">
        <f>SUMIFS('Daily '!$AQ$4:$AQ$662,'Daily '!$A$4:$A$662,"&gt;="&amp;$B6,'Daily '!$A$4:$A$662,"&lt;="&amp;$C6)</f>
        <v>174795222.90960008</v>
      </c>
      <c r="AT6" s="10">
        <f>SUMIFS('Daily '!$AR$4:$AR$662,'Daily '!$A$4:$A$662,"&gt;="&amp;$B6,'Daily '!$A$4:$A$662,"&lt;="&amp;$C6)</f>
        <v>7100912.0100000016</v>
      </c>
      <c r="AU6" s="27">
        <f t="shared" si="3"/>
        <v>24.615883517982084</v>
      </c>
      <c r="AV6" s="10">
        <v>25508875.620000001</v>
      </c>
      <c r="AW6" s="10">
        <f>SUMIFS('Daily '!$AU$4:$AU$662,'Daily '!$A$4:$A$662,"&gt;="&amp;$B6,'Daily '!$A$4:$A$662,"&lt;="&amp;$C6)</f>
        <v>2361973.0471000005</v>
      </c>
      <c r="AX6" s="10">
        <f>SUMIFS('Daily '!$AV$4:$AV$662,'Daily '!$A$4:$A$662,"&gt;="&amp;$B6,'Daily '!$A$4:$A$662,"&lt;="&amp;$C6)</f>
        <v>113573.91669999996</v>
      </c>
      <c r="AY6" s="10">
        <f>SUMIFS('Daily '!$AW$4:$AW$662,'Daily '!$A$4:$A$662,"&gt;="&amp;$B6,'Daily '!$A$4:$A$662,"&lt;="&amp;$C6)</f>
        <v>0</v>
      </c>
      <c r="AZ6" s="13">
        <v>422.07139999999998</v>
      </c>
      <c r="BA6" s="6">
        <v>2.2599999999999999E-2</v>
      </c>
      <c r="BB6" s="10">
        <v>423245951.29100001</v>
      </c>
      <c r="BC6" s="10">
        <v>60480066</v>
      </c>
      <c r="BD6" s="10">
        <v>25508875.620000001</v>
      </c>
      <c r="BE6" s="10">
        <v>2971324</v>
      </c>
      <c r="BF6" s="10">
        <v>355352.01510000002</v>
      </c>
      <c r="BG6" s="12">
        <v>487438431.07389998</v>
      </c>
      <c r="BH6" s="13">
        <v>238</v>
      </c>
      <c r="BI6" s="13">
        <v>249.4384</v>
      </c>
      <c r="BJ6" s="14">
        <v>19268441180.351299</v>
      </c>
    </row>
    <row r="7" spans="1:62" x14ac:dyDescent="0.25">
      <c r="A7" s="25" t="s">
        <v>75</v>
      </c>
      <c r="B7" s="26">
        <v>45839</v>
      </c>
      <c r="C7" s="26">
        <v>45930</v>
      </c>
      <c r="D7" s="14">
        <f>SUMIFS('Daily '!$B$4:$B$662,'Daily '!$A$4:$A$662,"&gt;="&amp;$B7,'Daily '!$A$4:$A$662,"&lt;="&amp;$C7)</f>
        <v>995759179915</v>
      </c>
      <c r="E7" s="14">
        <f>SUMIFS('Daily '!$C$4:$C$662,'Daily '!$A$4:$A$662,"&gt;="&amp;$B7,'Daily '!$A$4:$A$662,"&lt;="&amp;$C7)</f>
        <v>0</v>
      </c>
      <c r="F7" s="14">
        <f>SUMIFS('Daily '!$D$4:$D$662,'Daily '!$A$4:$A$662,"&gt;="&amp;$B7,'Daily '!$A$4:$A$662,"&lt;="&amp;$C7)</f>
        <v>57404523609</v>
      </c>
      <c r="G7" s="14">
        <f>SUMIFS('Daily '!$E$4:$E$662,'Daily '!$A$4:$A$662,"&gt;="&amp;$B7,'Daily '!$A$4:$A$662,"&lt;="&amp;$C7)</f>
        <v>0</v>
      </c>
      <c r="H7" s="14">
        <f>SUMIFS('Daily '!$F$4:$F$662,'Daily '!$A$4:$A$662,"&gt;="&amp;$B7,'Daily '!$A$4:$A$662,"&lt;="&amp;$C7)</f>
        <v>0</v>
      </c>
      <c r="I7" s="14">
        <f>SUMIFS('Daily '!$G$4:$G$662,'Daily '!$A$4:$A$662,"&gt;="&amp;$B7,'Daily '!$A$4:$A$662,"&lt;="&amp;$C7)</f>
        <v>0</v>
      </c>
      <c r="J7" s="14">
        <f>SUMIFS('Daily '!$H$4:$H$662,'Daily '!$A$4:$A$662,"&gt;="&amp;$B7,'Daily '!$A$4:$A$662,"&lt;="&amp;$C7)</f>
        <v>0</v>
      </c>
      <c r="K7" s="14">
        <f>SUMIFS('Daily '!$I$4:$I$662,'Daily '!$A$4:$A$662,"&gt;="&amp;$B7,'Daily '!$A$4:$A$662,"&lt;="&amp;$C7)</f>
        <v>0</v>
      </c>
      <c r="L7" s="14">
        <f>SUMIFS('Daily '!$J$4:$J$662,'Daily '!$A$4:$A$662,"&gt;="&amp;$B7,'Daily '!$A$4:$A$662,"&lt;="&amp;$C7)</f>
        <v>0</v>
      </c>
      <c r="M7" s="14">
        <f>SUMIFS('Daily '!$K$4:$K$662,'Daily '!$A$4:$A$662,"&gt;="&amp;$B7,'Daily '!$A$4:$A$662,"&lt;="&amp;$C7)</f>
        <v>0</v>
      </c>
      <c r="N7" s="14">
        <f>SUMIFS('Daily '!$L$4:$L$662,'Daily '!$A$4:$A$662,"&gt;="&amp;$B7,'Daily '!$A$4:$A$662,"&lt;="&amp;$C7)</f>
        <v>0</v>
      </c>
      <c r="O7" s="21" t="str">
        <f t="shared" si="0"/>
        <v/>
      </c>
      <c r="P7" s="14">
        <f>SUMIFS('Daily '!$N$4:$N$662,'Daily '!$A$4:$A$662,"&gt;="&amp;$B7,'Daily '!$A$4:$A$662,"&lt;="&amp;$C7)</f>
        <v>139163993.38999996</v>
      </c>
      <c r="Q7" s="14">
        <f>SUMIFS('Daily '!$O$4:$O$662,'Daily '!$A$4:$A$662,"&gt;="&amp;$B7,'Daily '!$A$4:$A$662,"&lt;="&amp;$C7)</f>
        <v>0</v>
      </c>
      <c r="R7" s="14">
        <f>SUMIFS('Daily '!$P$4:$P$662,'Daily '!$A$4:$A$662,"&gt;="&amp;$B7,'Daily '!$A$4:$A$662,"&lt;="&amp;$C7)</f>
        <v>23134791.500000004</v>
      </c>
      <c r="S7" s="14">
        <f>SUMIFS('Daily '!$Q$4:$Q$662,'Daily '!$A$4:$A$662,"&gt;="&amp;$B7,'Daily '!$A$4:$A$662,"&lt;="&amp;$C7)</f>
        <v>0</v>
      </c>
      <c r="T7" s="14">
        <f>SUMIFS('Daily '!$R$4:$R$662,'Daily '!$A$4:$A$662,"&gt;="&amp;$B7,'Daily '!$A$4:$A$662,"&lt;="&amp;$C7)</f>
        <v>162298784.89000002</v>
      </c>
      <c r="U7" s="6"/>
      <c r="V7" s="14">
        <f>SUMIFS('Daily '!$T$4:$T$662,'Daily '!$A$4:$A$662,"&gt;="&amp;$B7,'Daily '!$A$4:$A$662,"&lt;="&amp;$C7)</f>
        <v>2405724.5854999986</v>
      </c>
      <c r="W7" s="14">
        <f>SUMIFS('Daily '!$U$4:$U$662,'Daily '!$A$4:$A$662,"&gt;="&amp;$B7,'Daily '!$A$4:$A$662,"&lt;="&amp;$C7)</f>
        <v>0</v>
      </c>
      <c r="X7" s="14">
        <f>SUMIFS('Daily '!$V$4:$V$662,'Daily '!$A$4:$A$662,"&gt;="&amp;$B7,'Daily '!$A$4:$A$662,"&lt;="&amp;$C7)</f>
        <v>330416.30460000003</v>
      </c>
      <c r="Y7" s="14">
        <f>SUMIFS('Daily '!$W$4:$W$662,'Daily '!$A$4:$A$662,"&gt;="&amp;$B7,'Daily '!$A$4:$A$662,"&lt;="&amp;$C7)</f>
        <v>0</v>
      </c>
      <c r="Z7" s="14">
        <f>SUMIFS('Daily '!$X$4:$X$662,'Daily '!$A$4:$A$662,"&gt;="&amp;$B7,'Daily '!$A$4:$A$662,"&lt;="&amp;$C7)</f>
        <v>5109814.7399999993</v>
      </c>
      <c r="AA7" s="14">
        <f>SUMIFS('Daily '!$Y$4:$Y$662,'Daily '!$A$4:$A$662,"&gt;="&amp;$B7,'Daily '!$A$4:$A$662,"&lt;="&amp;$C7)</f>
        <v>0</v>
      </c>
      <c r="AB7" s="14">
        <f>SUMIFS('Daily '!$Z$4:$Z$662,'Daily '!$A$4:$A$662,"&gt;="&amp;$B7,'Daily '!$A$4:$A$662,"&lt;="&amp;$C7)</f>
        <v>0</v>
      </c>
      <c r="AC7" s="14">
        <f>SUMIFS('Daily '!$AA$4:$AA$662,'Daily '!$A$4:$A$662,"&gt;="&amp;$B7,'Daily '!$A$4:$A$662,"&lt;="&amp;$C7)</f>
        <v>7845955.6300999979</v>
      </c>
      <c r="AD7" s="14">
        <f>SUMIFS('Daily '!$AB$4:$AB$662,'Daily '!$A$4:$A$662,"&gt;="&amp;$B7,'Daily '!$A$4:$A$662,"&lt;="&amp;$C7)</f>
        <v>5727519.1820999999</v>
      </c>
      <c r="AE7" s="14">
        <f>SUMIFS('Daily '!$AC$4:$AC$662,'Daily '!$A$4:$A$662,"&gt;="&amp;$B7,'Daily '!$A$4:$A$662,"&lt;="&amp;$C7)</f>
        <v>139163993.38999996</v>
      </c>
      <c r="AF7" s="14">
        <f>SUMIFS('Daily '!$AD$4:$AD$662,'Daily '!$A$4:$A$662,"&gt;="&amp;$B7,'Daily '!$A$4:$A$662,"&lt;="&amp;$C7)</f>
        <v>0</v>
      </c>
      <c r="AG7" s="14">
        <f>SUMIFS('Daily '!$AE$4:$AE$662,'Daily '!$A$4:$A$662,"&gt;="&amp;$B7,'Daily '!$A$4:$A$662,"&lt;="&amp;$C7)</f>
        <v>18024976.759999998</v>
      </c>
      <c r="AH7" s="14">
        <f>SUMIFS('Daily '!$AF$4:$AF$662,'Daily '!$A$4:$A$662,"&gt;="&amp;$B7,'Daily '!$A$4:$A$662,"&lt;="&amp;$C7)</f>
        <v>0</v>
      </c>
      <c r="AI7" s="14">
        <f>SUMIFS('Daily '!$AG$4:$AG$662,'Daily '!$A$4:$A$662,"&gt;="&amp;$B7,'Daily '!$A$4:$A$662,"&lt;="&amp;$C7)</f>
        <v>157188970.14999998</v>
      </c>
      <c r="AJ7" s="14">
        <f>SUMIFS('Daily '!$AH$4:$AH$662,'Daily '!$A$4:$A$662,"&gt;="&amp;$B7,'Daily '!$A$4:$A$662,"&lt;="&amp;$C7)</f>
        <v>280878171.84458995</v>
      </c>
      <c r="AK7" s="17">
        <f t="shared" si="1"/>
        <v>-123689201.69458997</v>
      </c>
      <c r="AL7" s="7">
        <f t="shared" si="2"/>
        <v>1.3975667630990787</v>
      </c>
      <c r="AM7" s="7" t="str">
        <f t="shared" si="2"/>
        <v/>
      </c>
      <c r="AN7" s="7">
        <f t="shared" si="2"/>
        <v>4.0301338719537574</v>
      </c>
      <c r="AO7" s="7" t="str">
        <f t="shared" si="2"/>
        <v/>
      </c>
      <c r="AP7" s="14">
        <f>SUMIFS('Daily '!$AN$4:$AN$662,'Daily '!$A$4:$A$662,"&gt;="&amp;$B7,'Daily '!$A$4:$A$662,"&lt;="&amp;$C7)</f>
        <v>2690642.3846523482</v>
      </c>
      <c r="AQ7" s="14">
        <f>SUMIFS('Daily '!$AO$4:$AO$662,'Daily '!$A$4:$A$662,"&gt;="&amp;$B7,'Daily '!$A$4:$A$662,"&lt;="&amp;$C7)</f>
        <v>2080362.5900000003</v>
      </c>
      <c r="AR7" s="14">
        <f>SUMIFS('Daily '!$AP$4:$AP$662,'Daily '!$A$4:$A$662,"&gt;="&amp;$B7,'Daily '!$A$4:$A$662,"&lt;="&amp;$C7)</f>
        <v>285649176.81924236</v>
      </c>
      <c r="AS7" s="14">
        <f>SUMIFS('Daily '!$AQ$4:$AQ$662,'Daily '!$A$4:$A$662,"&gt;="&amp;$B7,'Daily '!$A$4:$A$662,"&lt;="&amp;$C7)</f>
        <v>280878171.84458995</v>
      </c>
      <c r="AT7" s="10">
        <f>SUMIFS('Daily '!$AR$4:$AR$662,'Daily '!$A$4:$A$662,"&gt;="&amp;$B7,'Daily '!$A$4:$A$662,"&lt;="&amp;$C7)</f>
        <v>6219840.7400000002</v>
      </c>
      <c r="AU7" s="27">
        <f t="shared" si="3"/>
        <v>45.158418613237664</v>
      </c>
      <c r="AV7" s="10">
        <v>31785059.149999999</v>
      </c>
      <c r="AW7" s="10">
        <f>SUMIFS('Daily '!$AU$4:$AU$662,'Daily '!$A$4:$A$662,"&gt;="&amp;$B7,'Daily '!$A$4:$A$662,"&lt;="&amp;$C7)</f>
        <v>2421595.5841000001</v>
      </c>
      <c r="AX7" s="10">
        <f>SUMIFS('Daily '!$AV$4:$AV$662,'Daily '!$A$4:$A$662,"&gt;="&amp;$B7,'Daily '!$A$4:$A$662,"&lt;="&amp;$C7)</f>
        <v>115837.35499999994</v>
      </c>
      <c r="AY7" s="10">
        <f>SUMIFS('Daily '!$AW$4:$AW$662,'Daily '!$A$4:$A$662,"&gt;="&amp;$B7,'Daily '!$A$4:$A$662,"&lt;="&amp;$C7)</f>
        <v>0</v>
      </c>
      <c r="AZ7" s="13">
        <v>425.49310000000003</v>
      </c>
      <c r="BA7" s="6">
        <v>2.24E-2</v>
      </c>
      <c r="BB7" s="10">
        <v>420824355.7069</v>
      </c>
      <c r="BC7" s="10">
        <v>60480066</v>
      </c>
      <c r="BD7" s="10">
        <v>31785059.149999999</v>
      </c>
      <c r="BE7" s="10">
        <v>2971324</v>
      </c>
      <c r="BF7" s="10">
        <v>529777.16599999997</v>
      </c>
      <c r="BG7" s="12">
        <v>483409417.97710001</v>
      </c>
      <c r="BH7" s="13">
        <v>238</v>
      </c>
      <c r="BI7" s="13">
        <v>245.40940000000001</v>
      </c>
      <c r="BJ7" s="14">
        <v>22290008262.922901</v>
      </c>
    </row>
    <row r="8" spans="1:62" x14ac:dyDescent="0.25">
      <c r="A8" s="25" t="s">
        <v>76</v>
      </c>
      <c r="B8" s="26">
        <v>45931</v>
      </c>
      <c r="C8" s="26">
        <v>46022</v>
      </c>
      <c r="D8" s="14">
        <f>SUMIFS('Daily '!$B$4:$B$662,'Daily '!$A$4:$A$662,"&gt;="&amp;$B8,'Daily '!$A$4:$A$662,"&lt;="&amp;$C8)</f>
        <v>736416007436</v>
      </c>
      <c r="E8" s="14">
        <f>SUMIFS('Daily '!$C$4:$C$662,'Daily '!$A$4:$A$662,"&gt;="&amp;$B8,'Daily '!$A$4:$A$662,"&lt;="&amp;$C8)</f>
        <v>13083575323.160002</v>
      </c>
      <c r="F8" s="14">
        <f>SUMIFS('Daily '!$D$4:$D$662,'Daily '!$A$4:$A$662,"&gt;="&amp;$B8,'Daily '!$A$4:$A$662,"&lt;="&amp;$C8)</f>
        <v>26372740554</v>
      </c>
      <c r="G8" s="14">
        <f>SUMIFS('Daily '!$E$4:$E$662,'Daily '!$A$4:$A$662,"&gt;="&amp;$B8,'Daily '!$A$4:$A$662,"&lt;="&amp;$C8)</f>
        <v>0</v>
      </c>
      <c r="H8" s="14">
        <f>SUMIFS('Daily '!$F$4:$F$662,'Daily '!$A$4:$A$662,"&gt;="&amp;$B8,'Daily '!$A$4:$A$662,"&lt;="&amp;$C8)</f>
        <v>305522697.13988936</v>
      </c>
      <c r="I8" s="14">
        <f>SUMIFS('Daily '!$G$4:$G$662,'Daily '!$A$4:$A$662,"&gt;="&amp;$B8,'Daily '!$A$4:$A$662,"&lt;="&amp;$C8)</f>
        <v>329605523.40317166</v>
      </c>
      <c r="J8" s="14">
        <f>SUMIFS('Daily '!$H$4:$H$662,'Daily '!$A$4:$A$662,"&gt;="&amp;$B8,'Daily '!$A$4:$A$662,"&lt;="&amp;$C8)</f>
        <v>6085282.8471642211</v>
      </c>
      <c r="K8" s="14">
        <f>SUMIFS('Daily '!$I$4:$I$662,'Daily '!$A$4:$A$662,"&gt;="&amp;$B8,'Daily '!$A$4:$A$662,"&lt;="&amp;$C8)</f>
        <v>8389356246.150075</v>
      </c>
      <c r="L8" s="14">
        <f>SUMIFS('Daily '!$J$4:$J$662,'Daily '!$A$4:$A$662,"&gt;="&amp;$B8,'Daily '!$A$4:$A$662,"&lt;="&amp;$C8)</f>
        <v>51147216.417086735</v>
      </c>
      <c r="M8" s="14">
        <f>SUMIFS('Daily '!$K$4:$K$662,'Daily '!$A$4:$A$662,"&gt;="&amp;$B8,'Daily '!$A$4:$A$662,"&lt;="&amp;$C8)</f>
        <v>4001858357.2026134</v>
      </c>
      <c r="N8" s="14">
        <f>SUMIFS('Daily '!$L$4:$L$662,'Daily '!$A$4:$A$662,"&gt;="&amp;$B8,'Daily '!$A$4:$A$662,"&lt;="&amp;$C8)</f>
        <v>13083575323.16</v>
      </c>
      <c r="O8" s="21">
        <f t="shared" si="0"/>
        <v>0.99999999999999989</v>
      </c>
      <c r="P8" s="14">
        <f>SUMIFS('Daily '!$N$4:$N$662,'Daily '!$A$4:$A$662,"&gt;="&amp;$B8,'Daily '!$A$4:$A$662,"&lt;="&amp;$C8)</f>
        <v>227009033.32000002</v>
      </c>
      <c r="Q8" s="14">
        <f>SUMIFS('Daily '!$O$4:$O$662,'Daily '!$A$4:$A$662,"&gt;="&amp;$B8,'Daily '!$A$4:$A$662,"&lt;="&amp;$C8)</f>
        <v>4594926.6399999997</v>
      </c>
      <c r="R8" s="14">
        <f>SUMIFS('Daily '!$P$4:$P$662,'Daily '!$A$4:$A$662,"&gt;="&amp;$B8,'Daily '!$A$4:$A$662,"&lt;="&amp;$C8)</f>
        <v>14039425.079999996</v>
      </c>
      <c r="S8" s="14">
        <f>SUMIFS('Daily '!$Q$4:$Q$662,'Daily '!$A$4:$A$662,"&gt;="&amp;$B8,'Daily '!$A$4:$A$662,"&lt;="&amp;$C8)</f>
        <v>0</v>
      </c>
      <c r="T8" s="14">
        <f>SUMIFS('Daily '!$R$4:$R$662,'Daily '!$A$4:$A$662,"&gt;="&amp;$B8,'Daily '!$A$4:$A$662,"&lt;="&amp;$C8)</f>
        <v>245643385.03999999</v>
      </c>
      <c r="U8" s="6"/>
      <c r="V8" s="14">
        <f>SUMIFS('Daily '!$T$4:$T$662,'Daily '!$A$4:$A$662,"&gt;="&amp;$B8,'Daily '!$A$4:$A$662,"&lt;="&amp;$C8)</f>
        <v>2270090.3331999993</v>
      </c>
      <c r="W8" s="14">
        <f>SUMIFS('Daily '!$U$4:$U$662,'Daily '!$A$4:$A$662,"&gt;="&amp;$B8,'Daily '!$A$4:$A$662,"&lt;="&amp;$C8)</f>
        <v>22974.6332</v>
      </c>
      <c r="X8" s="14">
        <f>SUMIFS('Daily '!$V$4:$V$662,'Daily '!$A$4:$A$662,"&gt;="&amp;$B8,'Daily '!$A$4:$A$662,"&lt;="&amp;$C8)</f>
        <v>113707.76729999998</v>
      </c>
      <c r="Y8" s="14">
        <f>SUMIFS('Daily '!$W$4:$W$662,'Daily '!$A$4:$A$662,"&gt;="&amp;$B8,'Daily '!$A$4:$A$662,"&lt;="&amp;$C8)</f>
        <v>0</v>
      </c>
      <c r="Z8" s="14">
        <f>SUMIFS('Daily '!$X$4:$X$662,'Daily '!$A$4:$A$662,"&gt;="&amp;$B8,'Daily '!$A$4:$A$662,"&lt;="&amp;$C8)</f>
        <v>2668648.3500000006</v>
      </c>
      <c r="AA8" s="14">
        <f>SUMIFS('Daily '!$Y$4:$Y$662,'Daily '!$A$4:$A$662,"&gt;="&amp;$B8,'Daily '!$A$4:$A$662,"&lt;="&amp;$C8)</f>
        <v>2297463.3199999998</v>
      </c>
      <c r="AB8" s="14">
        <f>SUMIFS('Daily '!$Z$4:$Z$662,'Daily '!$A$4:$A$662,"&gt;="&amp;$B8,'Daily '!$A$4:$A$662,"&lt;="&amp;$C8)</f>
        <v>0</v>
      </c>
      <c r="AC8" s="14">
        <f>SUMIFS('Daily '!$AA$4:$AA$662,'Daily '!$A$4:$A$662,"&gt;="&amp;$B8,'Daily '!$A$4:$A$662,"&lt;="&amp;$C8)</f>
        <v>7372884.4036999978</v>
      </c>
      <c r="AD8" s="14">
        <f>SUMIFS('Daily '!$AB$4:$AB$662,'Daily '!$A$4:$A$662,"&gt;="&amp;$B8,'Daily '!$A$4:$A$662,"&lt;="&amp;$C8)</f>
        <v>19494285.819099996</v>
      </c>
      <c r="AE8" s="14">
        <f>SUMIFS('Daily '!$AC$4:$AC$662,'Daily '!$A$4:$A$662,"&gt;="&amp;$B8,'Daily '!$A$4:$A$662,"&lt;="&amp;$C8)</f>
        <v>227009033.32000002</v>
      </c>
      <c r="AF8" s="14">
        <f>SUMIFS('Daily '!$AD$4:$AD$662,'Daily '!$A$4:$A$662,"&gt;="&amp;$B8,'Daily '!$A$4:$A$662,"&lt;="&amp;$C8)</f>
        <v>2297463.3199999998</v>
      </c>
      <c r="AG8" s="14">
        <f>SUMIFS('Daily '!$AE$4:$AE$662,'Daily '!$A$4:$A$662,"&gt;="&amp;$B8,'Daily '!$A$4:$A$662,"&lt;="&amp;$C8)</f>
        <v>11370776.729999997</v>
      </c>
      <c r="AH8" s="14">
        <f>SUMIFS('Daily '!$AF$4:$AF$662,'Daily '!$A$4:$A$662,"&gt;="&amp;$B8,'Daily '!$A$4:$A$662,"&lt;="&amp;$C8)</f>
        <v>0</v>
      </c>
      <c r="AI8" s="14">
        <f>SUMIFS('Daily '!$AG$4:$AG$662,'Daily '!$A$4:$A$662,"&gt;="&amp;$B8,'Daily '!$A$4:$A$662,"&lt;="&amp;$C8)</f>
        <v>240677273.36999997</v>
      </c>
      <c r="AJ8" s="14">
        <f>SUMIFS('Daily '!$AH$4:$AH$662,'Daily '!$A$4:$A$662,"&gt;="&amp;$B8,'Daily '!$A$4:$A$662,"&lt;="&amp;$C8)</f>
        <v>221665338.06402004</v>
      </c>
      <c r="AK8" s="17">
        <f t="shared" si="1"/>
        <v>19011935.305979937</v>
      </c>
      <c r="AL8" s="7">
        <f t="shared" si="2"/>
        <v>3.0826194844729633</v>
      </c>
      <c r="AM8" s="7">
        <f t="shared" si="2"/>
        <v>3.5119808817596301</v>
      </c>
      <c r="AN8" s="7">
        <f t="shared" si="2"/>
        <v>5.3234608103216683</v>
      </c>
      <c r="AO8" s="7" t="str">
        <f t="shared" si="2"/>
        <v/>
      </c>
      <c r="AP8" s="14">
        <f>SUMIFS('Daily '!$AN$4:$AN$662,'Daily '!$A$4:$A$662,"&gt;="&amp;$B8,'Daily '!$A$4:$A$662,"&lt;="&amp;$C8)</f>
        <v>3261330.8481859132</v>
      </c>
      <c r="AQ8" s="14">
        <f>SUMIFS('Daily '!$AO$4:$AO$662,'Daily '!$A$4:$A$662,"&gt;="&amp;$B8,'Daily '!$A$4:$A$662,"&lt;="&amp;$C8)</f>
        <v>854091.95000000019</v>
      </c>
      <c r="AR8" s="14">
        <f>SUMIFS('Daily '!$AP$4:$AP$662,'Daily '!$A$4:$A$662,"&gt;="&amp;$B8,'Daily '!$A$4:$A$662,"&lt;="&amp;$C8)</f>
        <v>225780760.86220604</v>
      </c>
      <c r="AS8" s="14">
        <f>SUMIFS('Daily '!$AQ$4:$AQ$662,'Daily '!$A$4:$A$662,"&gt;="&amp;$B8,'Daily '!$A$4:$A$662,"&lt;="&amp;$C8)</f>
        <v>221665338.06402004</v>
      </c>
      <c r="AT8" s="10">
        <f>SUMIFS('Daily '!$AR$4:$AR$662,'Daily '!$A$4:$A$662,"&gt;="&amp;$B8,'Daily '!$A$4:$A$662,"&lt;="&amp;$C8)</f>
        <v>6069597.6900000013</v>
      </c>
      <c r="AU8" s="27">
        <f t="shared" si="3"/>
        <v>36.520598132760263</v>
      </c>
      <c r="AV8" s="10">
        <v>37855111.8226</v>
      </c>
      <c r="AW8" s="10">
        <f>SUMIFS('Daily '!$AU$4:$AU$662,'Daily '!$A$4:$A$662,"&gt;="&amp;$B8,'Daily '!$A$4:$A$662,"&lt;="&amp;$C8)</f>
        <v>2380114.5773000005</v>
      </c>
      <c r="AX8" s="10">
        <f>SUMIFS('Daily '!$AV$4:$AV$662,'Daily '!$A$4:$A$662,"&gt;="&amp;$B8,'Daily '!$A$4:$A$662,"&lt;="&amp;$C8)</f>
        <v>122406.05320000001</v>
      </c>
      <c r="AY8" s="10">
        <f>SUMIFS('Daily '!$AW$4:$AW$662,'Daily '!$A$4:$A$662,"&gt;="&amp;$B8,'Daily '!$A$4:$A$662,"&lt;="&amp;$C8)</f>
        <v>1745746</v>
      </c>
      <c r="AZ8" s="13">
        <v>432.32170000000002</v>
      </c>
      <c r="BA8" s="6">
        <v>2.23E-2</v>
      </c>
      <c r="BB8" s="10">
        <v>418419030.74849999</v>
      </c>
      <c r="BC8" s="10">
        <v>60480066</v>
      </c>
      <c r="BD8" s="10">
        <v>37855111.8226</v>
      </c>
      <c r="BE8" s="10">
        <v>2971324</v>
      </c>
      <c r="BF8" s="10">
        <v>744540.85569999996</v>
      </c>
      <c r="BG8" s="12">
        <v>479529926.57319999</v>
      </c>
      <c r="BH8" s="13">
        <v>236.2543</v>
      </c>
      <c r="BI8" s="13">
        <v>243.2757</v>
      </c>
      <c r="BJ8" s="14">
        <v>12400643901.183599</v>
      </c>
    </row>
    <row r="9" spans="1:62" x14ac:dyDescent="0.25">
      <c r="A9" s="25" t="s">
        <v>77</v>
      </c>
      <c r="B9" s="26">
        <v>46023</v>
      </c>
      <c r="C9" s="26">
        <v>46112</v>
      </c>
      <c r="D9" s="14">
        <f>SUMIFS('Daily '!$B$4:$B$662,'Daily '!$A$4:$A$662,"&gt;="&amp;$B9,'Daily '!$A$4:$A$662,"&lt;="&amp;$C9)</f>
        <v>499390218098</v>
      </c>
      <c r="E9" s="14">
        <f>SUMIFS('Daily '!$C$4:$C$662,'Daily '!$A$4:$A$662,"&gt;="&amp;$B9,'Daily '!$A$4:$A$662,"&lt;="&amp;$C9)</f>
        <v>133635995806.75999</v>
      </c>
      <c r="F9" s="14">
        <f>SUMIFS('Daily '!$D$4:$D$662,'Daily '!$A$4:$A$662,"&gt;="&amp;$B9,'Daily '!$A$4:$A$662,"&lt;="&amp;$C9)</f>
        <v>15336139162</v>
      </c>
      <c r="G9" s="14">
        <f>SUMIFS('Daily '!$E$4:$E$662,'Daily '!$A$4:$A$662,"&gt;="&amp;$B9,'Daily '!$A$4:$A$662,"&lt;="&amp;$C9)</f>
        <v>0</v>
      </c>
      <c r="H9" s="14">
        <f>SUMIFS('Daily '!$F$4:$F$662,'Daily '!$A$4:$A$662,"&gt;="&amp;$B9,'Daily '!$A$4:$A$662,"&lt;="&amp;$C9)</f>
        <v>81070374777.934937</v>
      </c>
      <c r="I9" s="14">
        <f>SUMIFS('Daily '!$G$4:$G$662,'Daily '!$A$4:$A$662,"&gt;="&amp;$B9,'Daily '!$A$4:$A$662,"&lt;="&amp;$C9)</f>
        <v>2938092369.1309285</v>
      </c>
      <c r="J9" s="14">
        <f>SUMIFS('Daily '!$H$4:$H$662,'Daily '!$A$4:$A$662,"&gt;="&amp;$B9,'Daily '!$A$4:$A$662,"&lt;="&amp;$C9)</f>
        <v>1197494127.5173016</v>
      </c>
      <c r="K9" s="14">
        <f>SUMIFS('Daily '!$I$4:$I$662,'Daily '!$A$4:$A$662,"&gt;="&amp;$B9,'Daily '!$A$4:$A$662,"&lt;="&amp;$C9)</f>
        <v>30960174178.520283</v>
      </c>
      <c r="L9" s="14">
        <f>SUMIFS('Daily '!$J$4:$J$662,'Daily '!$A$4:$A$662,"&gt;="&amp;$B9,'Daily '!$A$4:$A$662,"&lt;="&amp;$C9)</f>
        <v>39905003.106395453</v>
      </c>
      <c r="M9" s="14">
        <f>SUMIFS('Daily '!$K$4:$K$662,'Daily '!$A$4:$A$662,"&gt;="&amp;$B9,'Daily '!$A$4:$A$662,"&lt;="&amp;$C9)</f>
        <v>17429955350.550163</v>
      </c>
      <c r="N9" s="14">
        <f>SUMIFS('Daily '!$L$4:$L$662,'Daily '!$A$4:$A$662,"&gt;="&amp;$B9,'Daily '!$A$4:$A$662,"&lt;="&amp;$C9)</f>
        <v>133635995806.75996</v>
      </c>
      <c r="O9" s="21">
        <f t="shared" si="0"/>
        <v>0.99999999999999978</v>
      </c>
      <c r="P9" s="14">
        <f>SUMIFS('Daily '!$N$4:$N$662,'Daily '!$A$4:$A$662,"&gt;="&amp;$B9,'Daily '!$A$4:$A$662,"&lt;="&amp;$C9)</f>
        <v>159611622.90999997</v>
      </c>
      <c r="Q9" s="14">
        <f>SUMIFS('Daily '!$O$4:$O$662,'Daily '!$A$4:$A$662,"&gt;="&amp;$B9,'Daily '!$A$4:$A$662,"&lt;="&amp;$C9)</f>
        <v>20043524.169999998</v>
      </c>
      <c r="R9" s="14">
        <f>SUMIFS('Daily '!$P$4:$P$662,'Daily '!$A$4:$A$662,"&gt;="&amp;$B9,'Daily '!$A$4:$A$662,"&lt;="&amp;$C9)</f>
        <v>7698550.9699999988</v>
      </c>
      <c r="S9" s="14">
        <f>SUMIFS('Daily '!$Q$4:$Q$662,'Daily '!$A$4:$A$662,"&gt;="&amp;$B9,'Daily '!$A$4:$A$662,"&lt;="&amp;$C9)</f>
        <v>0</v>
      </c>
      <c r="T9" s="14">
        <f>SUMIFS('Daily '!$R$4:$R$662,'Daily '!$A$4:$A$662,"&gt;="&amp;$B9,'Daily '!$A$4:$A$662,"&lt;="&amp;$C9)</f>
        <v>187353698.04999992</v>
      </c>
      <c r="U9" s="6"/>
      <c r="V9" s="14">
        <f>SUMIFS('Daily '!$T$4:$T$662,'Daily '!$A$4:$A$662,"&gt;="&amp;$B9,'Daily '!$A$4:$A$662,"&lt;="&amp;$C9)</f>
        <v>1596116.2290999999</v>
      </c>
      <c r="W9" s="14">
        <f>SUMIFS('Daily '!$U$4:$U$662,'Daily '!$A$4:$A$662,"&gt;="&amp;$B9,'Daily '!$A$4:$A$662,"&lt;="&amp;$C9)</f>
        <v>103802.31319999999</v>
      </c>
      <c r="X9" s="14">
        <f>SUMIFS('Daily '!$V$4:$V$662,'Daily '!$A$4:$A$662,"&gt;="&amp;$B9,'Daily '!$A$4:$A$662,"&lt;="&amp;$C9)</f>
        <v>62433.500600000021</v>
      </c>
      <c r="Y9" s="14">
        <f>SUMIFS('Daily '!$W$4:$W$662,'Daily '!$A$4:$A$662,"&gt;="&amp;$B9,'Daily '!$A$4:$A$662,"&lt;="&amp;$C9)</f>
        <v>0</v>
      </c>
      <c r="Z9" s="14">
        <f>SUMIFS('Daily '!$X$4:$X$662,'Daily '!$A$4:$A$662,"&gt;="&amp;$B9,'Daily '!$A$4:$A$662,"&lt;="&amp;$C9)</f>
        <v>1455200.9099999997</v>
      </c>
      <c r="AA9" s="14">
        <f>SUMIFS('Daily '!$Y$4:$Y$662,'Daily '!$A$4:$A$662,"&gt;="&amp;$B9,'Daily '!$A$4:$A$662,"&lt;="&amp;$C9)</f>
        <v>9663292.8499999959</v>
      </c>
      <c r="AB9" s="14">
        <f>SUMIFS('Daily '!$Z$4:$Z$662,'Daily '!$A$4:$A$662,"&gt;="&amp;$B9,'Daily '!$A$4:$A$662,"&lt;="&amp;$C9)</f>
        <v>0</v>
      </c>
      <c r="AC9" s="14">
        <f>SUMIFS('Daily '!$AA$4:$AA$662,'Daily '!$A$4:$A$662,"&gt;="&amp;$B9,'Daily '!$A$4:$A$662,"&lt;="&amp;$C9)</f>
        <v>12880845.802900005</v>
      </c>
      <c r="AD9" s="14">
        <f>SUMIFS('Daily '!$AB$4:$AB$662,'Daily '!$A$4:$A$662,"&gt;="&amp;$B9,'Daily '!$A$4:$A$662,"&lt;="&amp;$C9)</f>
        <v>13876589.204700006</v>
      </c>
      <c r="AE9" s="14">
        <f>SUMIFS('Daily '!$AC$4:$AC$662,'Daily '!$A$4:$A$662,"&gt;="&amp;$B9,'Daily '!$A$4:$A$662,"&lt;="&amp;$C9)</f>
        <v>159611622.90999997</v>
      </c>
      <c r="AF9" s="14">
        <f>SUMIFS('Daily '!$AD$4:$AD$662,'Daily '!$A$4:$A$662,"&gt;="&amp;$B9,'Daily '!$A$4:$A$662,"&lt;="&amp;$C9)</f>
        <v>10380231.319999998</v>
      </c>
      <c r="AG9" s="14">
        <f>SUMIFS('Daily '!$AE$4:$AE$662,'Daily '!$A$4:$A$662,"&gt;="&amp;$B9,'Daily '!$A$4:$A$662,"&lt;="&amp;$C9)</f>
        <v>6243350.0599999996</v>
      </c>
      <c r="AH9" s="14">
        <f>SUMIFS('Daily '!$AF$4:$AF$662,'Daily '!$A$4:$A$662,"&gt;="&amp;$B9,'Daily '!$A$4:$A$662,"&lt;="&amp;$C9)</f>
        <v>0</v>
      </c>
      <c r="AI9" s="14">
        <f>SUMIFS('Daily '!$AG$4:$AG$662,'Daily '!$A$4:$A$662,"&gt;="&amp;$B9,'Daily '!$A$4:$A$662,"&lt;="&amp;$C9)</f>
        <v>176235204.29000002</v>
      </c>
      <c r="AJ9" s="14">
        <f>SUMIFS('Daily '!$AH$4:$AH$662,'Daily '!$A$4:$A$662,"&gt;="&amp;$B9,'Daily '!$A$4:$A$662,"&lt;="&amp;$C9)</f>
        <v>147722445.87999997</v>
      </c>
      <c r="AK9" s="17">
        <f t="shared" si="1"/>
        <v>28512758.410000056</v>
      </c>
      <c r="AL9" s="7">
        <f t="shared" si="2"/>
        <v>3.1961303430792851</v>
      </c>
      <c r="AM9" s="7">
        <f t="shared" si="2"/>
        <v>1.4998596784494567</v>
      </c>
      <c r="AN9" s="7">
        <f t="shared" si="2"/>
        <v>5.0198755297392745</v>
      </c>
      <c r="AO9" s="7" t="str">
        <f t="shared" si="2"/>
        <v/>
      </c>
      <c r="AP9" s="14">
        <f>SUMIFS('Daily '!$AN$4:$AN$662,'Daily '!$A$4:$A$662,"&gt;="&amp;$B9,'Daily '!$A$4:$A$662,"&lt;="&amp;$C9)</f>
        <v>1583252.4827140244</v>
      </c>
      <c r="AQ9" s="14">
        <f>SUMIFS('Daily '!$AO$4:$AO$662,'Daily '!$A$4:$A$662,"&gt;="&amp;$B9,'Daily '!$A$4:$A$662,"&lt;="&amp;$C9)</f>
        <v>596394.60999999987</v>
      </c>
      <c r="AR9" s="14">
        <f>SUMIFS('Daily '!$AP$4:$AP$662,'Daily '!$A$4:$A$662,"&gt;="&amp;$B9,'Daily '!$A$4:$A$662,"&lt;="&amp;$C9)</f>
        <v>149902092.97271395</v>
      </c>
      <c r="AS9" s="14">
        <f>SUMIFS('Daily '!$AQ$4:$AQ$662,'Daily '!$A$4:$A$662,"&gt;="&amp;$B9,'Daily '!$A$4:$A$662,"&lt;="&amp;$C9)</f>
        <v>147722445.87999997</v>
      </c>
      <c r="AT9" s="10">
        <f>SUMIFS('Daily '!$AR$4:$AR$662,'Daily '!$A$4:$A$662,"&gt;="&amp;$B9,'Daily '!$A$4:$A$662,"&lt;="&amp;$C9)</f>
        <v>4939842.4300000006</v>
      </c>
      <c r="AU9" s="27">
        <f t="shared" si="3"/>
        <v>29.904282975276995</v>
      </c>
      <c r="AV9" s="10">
        <v>42797054.992600001</v>
      </c>
      <c r="AW9" s="10">
        <f>SUMIFS('Daily '!$AU$4:$AU$662,'Daily '!$A$4:$A$662,"&gt;="&amp;$B9,'Daily '!$A$4:$A$662,"&lt;="&amp;$C9)</f>
        <v>2381641.4318999993</v>
      </c>
      <c r="AX9" s="10">
        <f>SUMIFS('Daily '!$AV$4:$AV$662,'Daily '!$A$4:$A$662,"&gt;="&amp;$B9,'Daily '!$A$4:$A$662,"&lt;="&amp;$C9)</f>
        <v>178986.61529999992</v>
      </c>
      <c r="AY9" s="10">
        <f>SUMIFS('Daily '!$AW$4:$AW$662,'Daily '!$A$4:$A$662,"&gt;="&amp;$B9,'Daily '!$A$4:$A$662,"&lt;="&amp;$C9)</f>
        <v>1439316</v>
      </c>
      <c r="AZ9" s="13">
        <v>434.67660000000001</v>
      </c>
      <c r="BA9" s="6">
        <v>2.2200000000000001E-2</v>
      </c>
      <c r="BB9" s="10">
        <v>416037389.31620002</v>
      </c>
      <c r="BC9" s="10">
        <v>60480066</v>
      </c>
      <c r="BD9" s="10">
        <v>42797054.992600001</v>
      </c>
      <c r="BE9" s="10">
        <v>2971324</v>
      </c>
      <c r="BF9" s="10">
        <v>974830.64969999995</v>
      </c>
      <c r="BG9" s="12">
        <v>476739335.04159999</v>
      </c>
      <c r="BH9" s="13">
        <v>234.81489999999999</v>
      </c>
      <c r="BI9" s="13">
        <v>241.92439999999999</v>
      </c>
      <c r="BJ9" s="14">
        <v>17567844496.282101</v>
      </c>
    </row>
    <row r="10" spans="1:62" x14ac:dyDescent="0.25">
      <c r="A10" s="25" t="s">
        <v>78</v>
      </c>
      <c r="B10" s="26">
        <v>46113</v>
      </c>
      <c r="C10" s="26">
        <v>46203</v>
      </c>
      <c r="D10" s="14">
        <f>SUMIFS('Daily '!$B$4:$B$662,'Daily '!$A$4:$A$662,"&gt;="&amp;$B10,'Daily '!$A$4:$A$662,"&lt;="&amp;$C10)</f>
        <v>437669498981</v>
      </c>
      <c r="E10" s="14">
        <f>SUMIFS('Daily '!$C$4:$C$662,'Daily '!$A$4:$A$662,"&gt;="&amp;$B10,'Daily '!$A$4:$A$662,"&lt;="&amp;$C10)</f>
        <v>213338911698.97995</v>
      </c>
      <c r="F10" s="14">
        <f>SUMIFS('Daily '!$D$4:$D$662,'Daily '!$A$4:$A$662,"&gt;="&amp;$B10,'Daily '!$A$4:$A$662,"&lt;="&amp;$C10)</f>
        <v>16302925421</v>
      </c>
      <c r="G10" s="14">
        <f>SUMIFS('Daily '!$E$4:$E$662,'Daily '!$A$4:$A$662,"&gt;="&amp;$B10,'Daily '!$A$4:$A$662,"&lt;="&amp;$C10)</f>
        <v>433187115.66999996</v>
      </c>
      <c r="H10" s="14">
        <f>SUMIFS('Daily '!$F$4:$F$662,'Daily '!$A$4:$A$662,"&gt;="&amp;$B10,'Daily '!$A$4:$A$662,"&lt;="&amp;$C10)</f>
        <v>89700496872.457687</v>
      </c>
      <c r="I10" s="14">
        <f>SUMIFS('Daily '!$G$4:$G$662,'Daily '!$A$4:$A$662,"&gt;="&amp;$B10,'Daily '!$A$4:$A$662,"&lt;="&amp;$C10)</f>
        <v>1119641346.4988647</v>
      </c>
      <c r="J10" s="14">
        <f>SUMIFS('Daily '!$H$4:$H$662,'Daily '!$A$4:$A$662,"&gt;="&amp;$B10,'Daily '!$A$4:$A$662,"&lt;="&amp;$C10)</f>
        <v>737445621.55239224</v>
      </c>
      <c r="K10" s="14">
        <f>SUMIFS('Daily '!$I$4:$I$662,'Daily '!$A$4:$A$662,"&gt;="&amp;$B10,'Daily '!$A$4:$A$662,"&lt;="&amp;$C10)</f>
        <v>56836755419.21843</v>
      </c>
      <c r="L10" s="14">
        <f>SUMIFS('Daily '!$J$4:$J$662,'Daily '!$A$4:$A$662,"&gt;="&amp;$B10,'Daily '!$A$4:$A$662,"&lt;="&amp;$C10)</f>
        <v>259266709.02989796</v>
      </c>
      <c r="M10" s="14">
        <f>SUMIFS('Daily '!$K$4:$K$662,'Daily '!$A$4:$A$662,"&gt;="&amp;$B10,'Daily '!$A$4:$A$662,"&lt;="&amp;$C10)</f>
        <v>64685305730.22274</v>
      </c>
      <c r="N10" s="14">
        <f>SUMIFS('Daily '!$L$4:$L$662,'Daily '!$A$4:$A$662,"&gt;="&amp;$B10,'Daily '!$A$4:$A$662,"&lt;="&amp;$C10)</f>
        <v>213338911698.97998</v>
      </c>
      <c r="O10" s="21">
        <f t="shared" si="0"/>
        <v>1.0000000000000002</v>
      </c>
      <c r="P10" s="14">
        <f>SUMIFS('Daily '!$N$4:$N$662,'Daily '!$A$4:$A$662,"&gt;="&amp;$B10,'Daily '!$A$4:$A$662,"&lt;="&amp;$C10)</f>
        <v>144704945.70999995</v>
      </c>
      <c r="Q10" s="14">
        <f>SUMIFS('Daily '!$O$4:$O$662,'Daily '!$A$4:$A$662,"&gt;="&amp;$B10,'Daily '!$A$4:$A$662,"&lt;="&amp;$C10)</f>
        <v>21962847.23</v>
      </c>
      <c r="R10" s="14">
        <f>SUMIFS('Daily '!$P$4:$P$662,'Daily '!$A$4:$A$662,"&gt;="&amp;$B10,'Daily '!$A$4:$A$662,"&lt;="&amp;$C10)</f>
        <v>8120143.7699999986</v>
      </c>
      <c r="S10" s="14">
        <f>SUMIFS('Daily '!$Q$4:$Q$662,'Daily '!$A$4:$A$662,"&gt;="&amp;$B10,'Daily '!$A$4:$A$662,"&lt;="&amp;$C10)</f>
        <v>2505.1613229999998</v>
      </c>
      <c r="T10" s="14">
        <f>SUMIFS('Daily '!$R$4:$R$662,'Daily '!$A$4:$A$662,"&gt;="&amp;$B10,'Daily '!$A$4:$A$662,"&lt;="&amp;$C10)</f>
        <v>174790441.87132302</v>
      </c>
      <c r="U10" s="6"/>
      <c r="V10" s="14">
        <f>SUMIFS('Daily '!$T$4:$T$662,'Daily '!$A$4:$A$662,"&gt;="&amp;$B10,'Daily '!$A$4:$A$662,"&lt;="&amp;$C10)</f>
        <v>1447049.4571000005</v>
      </c>
      <c r="W10" s="14">
        <f>SUMIFS('Daily '!$U$4:$U$662,'Daily '!$A$4:$A$662,"&gt;="&amp;$B10,'Daily '!$A$4:$A$662,"&lt;="&amp;$C10)</f>
        <v>111335.54969999997</v>
      </c>
      <c r="X10" s="14">
        <f>SUMIFS('Daily '!$V$4:$V$662,'Daily '!$A$4:$A$662,"&gt;="&amp;$B10,'Daily '!$A$4:$A$662,"&lt;="&amp;$C10)</f>
        <v>68421.557300000029</v>
      </c>
      <c r="Y10" s="14">
        <f>SUMIFS('Daily '!$W$4:$W$662,'Daily '!$A$4:$A$662,"&gt;="&amp;$B10,'Daily '!$A$4:$A$662,"&lt;="&amp;$C10)</f>
        <v>25.051613230000001</v>
      </c>
      <c r="Z10" s="14">
        <f>SUMIFS('Daily '!$X$4:$X$662,'Daily '!$A$4:$A$662,"&gt;="&amp;$B10,'Daily '!$A$4:$A$662,"&lt;="&amp;$C10)</f>
        <v>1277988.0399999993</v>
      </c>
      <c r="AA10" s="14">
        <f>SUMIFS('Daily '!$Y$4:$Y$662,'Daily '!$A$4:$A$662,"&gt;="&amp;$B10,'Daily '!$A$4:$A$662,"&lt;="&amp;$C10)</f>
        <v>10829292.260000007</v>
      </c>
      <c r="AB10" s="14">
        <f>SUMIFS('Daily '!$Z$4:$Z$662,'Daily '!$A$4:$A$662,"&gt;="&amp;$B10,'Daily '!$A$4:$A$662,"&lt;="&amp;$C10)</f>
        <v>0</v>
      </c>
      <c r="AC10" s="14">
        <f>SUMIFS('Daily '!$AA$4:$AA$662,'Daily '!$A$4:$A$662,"&gt;="&amp;$B10,'Daily '!$A$4:$A$662,"&lt;="&amp;$C10)</f>
        <v>13734111.915713228</v>
      </c>
      <c r="AD10" s="14">
        <f>SUMIFS('Daily '!$AB$4:$AB$662,'Daily '!$A$4:$A$662,"&gt;="&amp;$B10,'Daily '!$A$4:$A$662,"&lt;="&amp;$C10)</f>
        <v>10608666.662000002</v>
      </c>
      <c r="AE10" s="14">
        <f>SUMIFS('Daily '!$AC$4:$AC$662,'Daily '!$A$4:$A$662,"&gt;="&amp;$B10,'Daily '!$A$4:$A$662,"&lt;="&amp;$C10)</f>
        <v>144704945.70999995</v>
      </c>
      <c r="AF10" s="14">
        <f>SUMIFS('Daily '!$AD$4:$AD$662,'Daily '!$A$4:$A$662,"&gt;="&amp;$B10,'Daily '!$A$4:$A$662,"&lt;="&amp;$C10)</f>
        <v>11133554.969999999</v>
      </c>
      <c r="AG10" s="14">
        <f>SUMIFS('Daily '!$AE$4:$AE$662,'Daily '!$A$4:$A$662,"&gt;="&amp;$B10,'Daily '!$A$4:$A$662,"&lt;="&amp;$C10)</f>
        <v>6842155.7299999986</v>
      </c>
      <c r="AH10" s="14">
        <f>SUMIFS('Daily '!$AF$4:$AF$662,'Daily '!$A$4:$A$662,"&gt;="&amp;$B10,'Daily '!$A$4:$A$662,"&lt;="&amp;$C10)</f>
        <v>2505.1613229999998</v>
      </c>
      <c r="AI10" s="14">
        <f>SUMIFS('Daily '!$AG$4:$AG$662,'Daily '!$A$4:$A$662,"&gt;="&amp;$B10,'Daily '!$A$4:$A$662,"&lt;="&amp;$C10)</f>
        <v>162683161.57132298</v>
      </c>
      <c r="AJ10" s="14">
        <f>SUMIFS('Daily '!$AH$4:$AH$662,'Daily '!$A$4:$A$662,"&gt;="&amp;$B10,'Daily '!$A$4:$A$662,"&lt;="&amp;$C10)</f>
        <v>140660938.84000003</v>
      </c>
      <c r="AK10" s="17">
        <f t="shared" si="1"/>
        <v>22022222.731322944</v>
      </c>
      <c r="AL10" s="7">
        <f t="shared" si="2"/>
        <v>3.3062606840757218</v>
      </c>
      <c r="AM10" s="7">
        <f t="shared" si="2"/>
        <v>1.0294815444164944</v>
      </c>
      <c r="AN10" s="7">
        <f t="shared" si="2"/>
        <v>4.9807893738754032</v>
      </c>
      <c r="AO10" s="7">
        <f t="shared" si="2"/>
        <v>5.7830928769091565E-2</v>
      </c>
      <c r="AP10" s="14">
        <f>SUMIFS('Daily '!$AN$4:$AN$662,'Daily '!$A$4:$A$662,"&gt;="&amp;$B10,'Daily '!$A$4:$A$662,"&lt;="&amp;$C10)</f>
        <v>1782394.8910281847</v>
      </c>
      <c r="AQ10" s="14">
        <f>SUMIFS('Daily '!$AO$4:$AO$662,'Daily '!$A$4:$A$662,"&gt;="&amp;$B10,'Daily '!$A$4:$A$662,"&lt;="&amp;$C10)</f>
        <v>438213.70000000007</v>
      </c>
      <c r="AR10" s="14">
        <f>SUMIFS('Daily '!$AP$4:$AP$662,'Daily '!$A$4:$A$662,"&gt;="&amp;$B10,'Daily '!$A$4:$A$662,"&lt;="&amp;$C10)</f>
        <v>142881547.43102813</v>
      </c>
      <c r="AS10" s="14">
        <f>SUMIFS('Daily '!$AQ$4:$AQ$662,'Daily '!$A$4:$A$662,"&gt;="&amp;$B10,'Daily '!$A$4:$A$662,"&lt;="&amp;$C10)</f>
        <v>140660938.84000003</v>
      </c>
      <c r="AT10" s="10">
        <f>SUMIFS('Daily '!$AR$4:$AR$662,'Daily '!$A$4:$A$662,"&gt;="&amp;$B10,'Daily '!$A$4:$A$662,"&lt;="&amp;$C10)</f>
        <v>2769366.0799999987</v>
      </c>
      <c r="AU10" s="27">
        <f t="shared" si="3"/>
        <v>50.791746116858661</v>
      </c>
      <c r="AV10" s="10">
        <v>45564841.794699997</v>
      </c>
      <c r="AW10" s="10">
        <f>SUMIFS('Daily '!$AU$4:$AU$662,'Daily '!$A$4:$A$662,"&gt;="&amp;$B10,'Daily '!$A$4:$A$662,"&lt;="&amp;$C10)</f>
        <v>2412040.9084000001</v>
      </c>
      <c r="AX10" s="10">
        <f>SUMIFS('Daily '!$AV$4:$AV$662,'Daily '!$A$4:$A$662,"&gt;="&amp;$B10,'Daily '!$A$4:$A$662,"&lt;="&amp;$C10)</f>
        <v>124468.60249999999</v>
      </c>
      <c r="AY10" s="10">
        <f>SUMIFS('Daily '!$AW$4:$AW$662,'Daily '!$A$4:$A$662,"&gt;="&amp;$B10,'Daily '!$A$4:$A$662,"&lt;="&amp;$C10)</f>
        <v>1285631</v>
      </c>
      <c r="AZ10" s="13">
        <v>438.10809999999998</v>
      </c>
      <c r="BA10" s="6">
        <v>2.23E-2</v>
      </c>
      <c r="BB10" s="10">
        <v>413625348.40820003</v>
      </c>
      <c r="BC10" s="10">
        <v>60480066</v>
      </c>
      <c r="BD10" s="10">
        <v>45564841.794699997</v>
      </c>
      <c r="BE10" s="10">
        <v>2971324</v>
      </c>
      <c r="BF10" s="10">
        <v>1131534.2385</v>
      </c>
      <c r="BG10" s="12">
        <v>476226885.55860001</v>
      </c>
      <c r="BH10" s="13">
        <v>233.52930000000001</v>
      </c>
      <c r="BI10" s="13">
        <v>242.69759999999999</v>
      </c>
      <c r="BJ10" s="14">
        <v>31454785791.143002</v>
      </c>
    </row>
    <row r="11" spans="1:62" x14ac:dyDescent="0.25">
      <c r="A11" s="25" t="s">
        <v>79</v>
      </c>
      <c r="B11" s="26">
        <v>46204</v>
      </c>
      <c r="C11" s="26">
        <v>46284</v>
      </c>
      <c r="D11" s="14">
        <f>SUMIFS('Daily '!$B$4:$B$662,'Daily '!$A$4:$A$662,"&gt;="&amp;$B11,'Daily '!$A$4:$A$662,"&lt;="&amp;$C11)</f>
        <v>375909963331</v>
      </c>
      <c r="E11" s="14">
        <f>SUMIFS('Daily '!$C$4:$C$662,'Daily '!$A$4:$A$662,"&gt;="&amp;$B11,'Daily '!$A$4:$A$662,"&lt;="&amp;$C11)</f>
        <v>239380818032.48999</v>
      </c>
      <c r="F11" s="14">
        <f>SUMIFS('Daily '!$D$4:$D$662,'Daily '!$A$4:$A$662,"&gt;="&amp;$B11,'Daily '!$A$4:$A$662,"&lt;="&amp;$C11)</f>
        <v>11800152517</v>
      </c>
      <c r="G11" s="14">
        <f>SUMIFS('Daily '!$E$4:$E$662,'Daily '!$A$4:$A$662,"&gt;="&amp;$B11,'Daily '!$A$4:$A$662,"&lt;="&amp;$C11)</f>
        <v>333520642.38000017</v>
      </c>
      <c r="H11" s="14">
        <f>SUMIFS('Daily '!$F$4:$F$662,'Daily '!$A$4:$A$662,"&gt;="&amp;$B11,'Daily '!$A$4:$A$662,"&lt;="&amp;$C11)</f>
        <v>40623825004.726501</v>
      </c>
      <c r="I11" s="14">
        <f>SUMIFS('Daily '!$G$4:$G$662,'Daily '!$A$4:$A$662,"&gt;="&amp;$B11,'Daily '!$A$4:$A$662,"&lt;="&amp;$C11)</f>
        <v>165933124.0930784</v>
      </c>
      <c r="J11" s="14">
        <f>SUMIFS('Daily '!$H$4:$H$662,'Daily '!$A$4:$A$662,"&gt;="&amp;$B11,'Daily '!$A$4:$A$662,"&lt;="&amp;$C11)</f>
        <v>658307145.64473569</v>
      </c>
      <c r="K11" s="14">
        <f>SUMIFS('Daily '!$I$4:$I$662,'Daily '!$A$4:$A$662,"&gt;="&amp;$B11,'Daily '!$A$4:$A$662,"&lt;="&amp;$C11)</f>
        <v>52842802319.377106</v>
      </c>
      <c r="L11" s="14">
        <f>SUMIFS('Daily '!$J$4:$J$662,'Daily '!$A$4:$A$662,"&gt;="&amp;$B11,'Daily '!$A$4:$A$662,"&lt;="&amp;$C11)</f>
        <v>1601805178.5157135</v>
      </c>
      <c r="M11" s="14">
        <f>SUMIFS('Daily '!$K$4:$K$662,'Daily '!$A$4:$A$662,"&gt;="&amp;$B11,'Daily '!$A$4:$A$662,"&lt;="&amp;$C11)</f>
        <v>143488145260.13284</v>
      </c>
      <c r="N11" s="14">
        <f>SUMIFS('Daily '!$L$4:$L$662,'Daily '!$A$4:$A$662,"&gt;="&amp;$B11,'Daily '!$A$4:$A$662,"&lt;="&amp;$C11)</f>
        <v>239380818032.49002</v>
      </c>
      <c r="O11" s="21">
        <f t="shared" si="0"/>
        <v>1.0000000000000002</v>
      </c>
      <c r="P11" s="14">
        <f>SUMIFS('Daily '!$N$4:$N$662,'Daily '!$A$4:$A$662,"&gt;="&amp;$B11,'Daily '!$A$4:$A$662,"&lt;="&amp;$C11)</f>
        <v>131693039.11000004</v>
      </c>
      <c r="Q11" s="14">
        <f>SUMIFS('Daily '!$O$4:$O$662,'Daily '!$A$4:$A$662,"&gt;="&amp;$B11,'Daily '!$A$4:$A$662,"&lt;="&amp;$C11)</f>
        <v>23523959.700000007</v>
      </c>
      <c r="R11" s="14">
        <f>SUMIFS('Daily '!$P$4:$P$662,'Daily '!$A$4:$A$662,"&gt;="&amp;$B11,'Daily '!$A$4:$A$662,"&lt;="&amp;$C11)</f>
        <v>6274225.9299999997</v>
      </c>
      <c r="S11" s="14">
        <f>SUMIFS('Daily '!$Q$4:$Q$662,'Daily '!$A$4:$A$662,"&gt;="&amp;$B11,'Daily '!$A$4:$A$662,"&lt;="&amp;$C11)</f>
        <v>36359.111981000002</v>
      </c>
      <c r="T11" s="14">
        <f>SUMIFS('Daily '!$R$4:$R$662,'Daily '!$A$4:$A$662,"&gt;="&amp;$B11,'Daily '!$A$4:$A$662,"&lt;="&amp;$C11)</f>
        <v>161527583.85198098</v>
      </c>
      <c r="U11" s="6"/>
      <c r="V11" s="14">
        <f>SUMIFS('Daily '!$T$4:$T$662,'Daily '!$A$4:$A$662,"&gt;="&amp;$B11,'Daily '!$A$4:$A$662,"&lt;="&amp;$C11)</f>
        <v>1316930.3911000001</v>
      </c>
      <c r="W11" s="14">
        <f>SUMIFS('Daily '!$U$4:$U$662,'Daily '!$A$4:$A$662,"&gt;="&amp;$B11,'Daily '!$A$4:$A$662,"&lt;="&amp;$C11)</f>
        <v>117819.38249999998</v>
      </c>
      <c r="X11" s="14">
        <f>SUMIFS('Daily '!$V$4:$V$662,'Daily '!$A$4:$A$662,"&gt;="&amp;$B11,'Daily '!$A$4:$A$662,"&lt;="&amp;$C11)</f>
        <v>48927.610099999998</v>
      </c>
      <c r="Y11" s="14">
        <f>SUMIFS('Daily '!$W$4:$W$662,'Daily '!$A$4:$A$662,"&gt;="&amp;$B11,'Daily '!$A$4:$A$662,"&lt;="&amp;$C11)</f>
        <v>363.5911198099999</v>
      </c>
      <c r="Z11" s="14">
        <f>SUMIFS('Daily '!$X$4:$X$662,'Daily '!$A$4:$A$662,"&gt;="&amp;$B11,'Daily '!$A$4:$A$662,"&lt;="&amp;$C11)</f>
        <v>1381464.92</v>
      </c>
      <c r="AA11" s="14">
        <f>SUMIFS('Daily '!$Y$4:$Y$662,'Daily '!$A$4:$A$662,"&gt;="&amp;$B11,'Daily '!$A$4:$A$662,"&lt;="&amp;$C11)</f>
        <v>11742021.450000005</v>
      </c>
      <c r="AB11" s="14">
        <f>SUMIFS('Daily '!$Z$4:$Z$662,'Daily '!$A$4:$A$662,"&gt;="&amp;$B11,'Daily '!$A$4:$A$662,"&lt;="&amp;$C11)</f>
        <v>0</v>
      </c>
      <c r="AC11" s="14">
        <f>SUMIFS('Daily '!$AA$4:$AA$662,'Daily '!$A$4:$A$662,"&gt;="&amp;$B11,'Daily '!$A$4:$A$662,"&lt;="&amp;$C11)</f>
        <v>14607527.344819808</v>
      </c>
      <c r="AD11" s="14">
        <f>SUMIFS('Daily '!$AB$4:$AB$662,'Daily '!$A$4:$A$662,"&gt;="&amp;$B11,'Daily '!$A$4:$A$662,"&lt;="&amp;$C11)</f>
        <v>13772214.579</v>
      </c>
      <c r="AE11" s="14">
        <f>SUMIFS('Daily '!$AC$4:$AC$662,'Daily '!$A$4:$A$662,"&gt;="&amp;$B11,'Daily '!$A$4:$A$662,"&lt;="&amp;$C11)</f>
        <v>131693039.11000004</v>
      </c>
      <c r="AF11" s="14">
        <f>SUMIFS('Daily '!$AD$4:$AD$662,'Daily '!$A$4:$A$662,"&gt;="&amp;$B11,'Daily '!$A$4:$A$662,"&lt;="&amp;$C11)</f>
        <v>11781938.250000004</v>
      </c>
      <c r="AG11" s="14">
        <f>SUMIFS('Daily '!$AE$4:$AE$662,'Daily '!$A$4:$A$662,"&gt;="&amp;$B11,'Daily '!$A$4:$A$662,"&lt;="&amp;$C11)</f>
        <v>4892761.0100000007</v>
      </c>
      <c r="AH11" s="14">
        <f>SUMIFS('Daily '!$AF$4:$AF$662,'Daily '!$A$4:$A$662,"&gt;="&amp;$B11,'Daily '!$A$4:$A$662,"&lt;="&amp;$C11)</f>
        <v>36359.111981000002</v>
      </c>
      <c r="AI11" s="14">
        <f>SUMIFS('Daily '!$AG$4:$AG$662,'Daily '!$A$4:$A$662,"&gt;="&amp;$B11,'Daily '!$A$4:$A$662,"&lt;="&amp;$C11)</f>
        <v>148404097.48198101</v>
      </c>
      <c r="AJ11" s="14">
        <f>SUMIFS('Daily '!$AH$4:$AH$662,'Daily '!$A$4:$A$662,"&gt;="&amp;$B11,'Daily '!$A$4:$A$662,"&lt;="&amp;$C11)</f>
        <v>124248316.48000003</v>
      </c>
      <c r="AK11" s="17">
        <f t="shared" si="1"/>
        <v>24155781.001980975</v>
      </c>
      <c r="AL11" s="7">
        <f t="shared" si="2"/>
        <v>3.5033133451171752</v>
      </c>
      <c r="AM11" s="7">
        <f t="shared" si="2"/>
        <v>0.98270028038784696</v>
      </c>
      <c r="AN11" s="7">
        <f t="shared" si="2"/>
        <v>5.3170718945886319</v>
      </c>
      <c r="AO11" s="7">
        <f t="shared" si="2"/>
        <v>1.0901607685072121</v>
      </c>
      <c r="AP11" s="14">
        <f>SUMIFS('Daily '!$AN$4:$AN$662,'Daily '!$A$4:$A$662,"&gt;="&amp;$B11,'Daily '!$A$4:$A$662,"&lt;="&amp;$C11)</f>
        <v>2164735.1954801809</v>
      </c>
      <c r="AQ11" s="14">
        <f>SUMIFS('Daily '!$AO$4:$AO$662,'Daily '!$A$4:$A$662,"&gt;="&amp;$B11,'Daily '!$A$4:$A$662,"&lt;="&amp;$C11)</f>
        <v>1081307.1199999999</v>
      </c>
      <c r="AR11" s="14">
        <f>SUMIFS('Daily '!$AP$4:$AP$662,'Daily '!$A$4:$A$662,"&gt;="&amp;$B11,'Daily '!$A$4:$A$662,"&lt;="&amp;$C11)</f>
        <v>127494358.79548018</v>
      </c>
      <c r="AS11" s="14">
        <f>SUMIFS('Daily '!$AQ$4:$AQ$662,'Daily '!$A$4:$A$662,"&gt;="&amp;$B11,'Daily '!$A$4:$A$662,"&lt;="&amp;$C11)</f>
        <v>124248316.48000003</v>
      </c>
      <c r="AT11" s="10">
        <f>SUMIFS('Daily '!$AR$4:$AR$662,'Daily '!$A$4:$A$662,"&gt;="&amp;$B11,'Daily '!$A$4:$A$662,"&lt;="&amp;$C11)</f>
        <v>1772414.47</v>
      </c>
      <c r="AU11" s="27">
        <f t="shared" si="3"/>
        <v>70.101163459808603</v>
      </c>
      <c r="AV11" s="10">
        <v>47336734.804700002</v>
      </c>
      <c r="AW11" s="10">
        <f>SUMIFS('Daily '!$AU$4:$AU$662,'Daily '!$A$4:$A$662,"&gt;="&amp;$B11,'Daily '!$A$4:$A$662,"&lt;="&amp;$C11)</f>
        <v>2172893.2823000001</v>
      </c>
      <c r="AX11" s="10">
        <f>SUMIFS('Daily '!$AV$4:$AV$662,'Daily '!$A$4:$A$662,"&gt;="&amp;$B11,'Daily '!$A$4:$A$662,"&lt;="&amp;$C11)</f>
        <v>217291.46190000002</v>
      </c>
      <c r="AY11" s="10">
        <f>SUMIFS('Daily '!$AW$4:$AW$662,'Daily '!$A$4:$A$662,"&gt;="&amp;$B11,'Daily '!$A$4:$A$662,"&lt;="&amp;$C11)</f>
        <v>1318443</v>
      </c>
      <c r="AZ11" s="13">
        <v>441.89350000000002</v>
      </c>
      <c r="BA11" s="6">
        <v>2.24E-2</v>
      </c>
      <c r="BB11" s="10">
        <v>411452455.12580001</v>
      </c>
      <c r="BC11" s="10">
        <v>60480066</v>
      </c>
      <c r="BD11" s="10">
        <v>47336734.804700002</v>
      </c>
      <c r="BE11" s="10">
        <v>2971324</v>
      </c>
      <c r="BF11" s="10">
        <v>1378347.7456</v>
      </c>
      <c r="BG11" s="12">
        <v>476381072.32389998</v>
      </c>
      <c r="BH11" s="23">
        <v>232.21090000000001</v>
      </c>
      <c r="BI11" s="23">
        <v>244.17019999999999</v>
      </c>
      <c r="BJ11" s="14">
        <v>44389188319.1418</v>
      </c>
    </row>
  </sheetData>
  <mergeCells count="10">
    <mergeCell ref="D2:G2"/>
    <mergeCell ref="U2:AD2"/>
    <mergeCell ref="A1:BJ1"/>
    <mergeCell ref="AL2:AO2"/>
    <mergeCell ref="AS2:BA2"/>
    <mergeCell ref="H2:O2"/>
    <mergeCell ref="AP2:AR2"/>
    <mergeCell ref="BB2:BJ2"/>
    <mergeCell ref="P2:T2"/>
    <mergeCell ref="AE2:AK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3"/>
  <sheetViews>
    <sheetView showGridLines="0" workbookViewId="0"/>
  </sheetViews>
  <sheetFormatPr defaultRowHeight="15" x14ac:dyDescent="0.25"/>
  <cols>
    <col min="1" max="1" width="32" customWidth="1"/>
    <col min="2" max="2" width="22" customWidth="1"/>
    <col min="3" max="3" width="58" customWidth="1"/>
    <col min="4" max="4" width="44" customWidth="1"/>
  </cols>
  <sheetData>
    <row r="1" spans="1:4" ht="20.100000000000001" customHeight="1" x14ac:dyDescent="0.25">
      <c r="A1" s="40" t="s">
        <v>80</v>
      </c>
      <c r="B1" s="31"/>
      <c r="C1" s="31"/>
      <c r="D1" s="31"/>
    </row>
    <row r="2" spans="1:4" ht="182.1" customHeight="1" x14ac:dyDescent="0.25">
      <c r="A2" s="38" t="s">
        <v>81</v>
      </c>
      <c r="B2" s="31"/>
      <c r="C2" s="31"/>
      <c r="D2" s="31"/>
    </row>
    <row r="3" spans="1:4" ht="350.1" customHeight="1" x14ac:dyDescent="0.25">
      <c r="A3" s="38" t="s">
        <v>82</v>
      </c>
      <c r="B3" s="31"/>
      <c r="C3" s="31"/>
      <c r="D3" s="31"/>
    </row>
    <row r="4" spans="1:4" ht="98.1" customHeight="1" x14ac:dyDescent="0.25">
      <c r="A4" s="38" t="s">
        <v>83</v>
      </c>
      <c r="B4" s="31"/>
      <c r="C4" s="31"/>
      <c r="D4" s="31"/>
    </row>
    <row r="5" spans="1:4" ht="140.1" customHeight="1" x14ac:dyDescent="0.25">
      <c r="A5" s="38" t="s">
        <v>84</v>
      </c>
      <c r="B5" s="31"/>
      <c r="C5" s="31"/>
      <c r="D5" s="31"/>
    </row>
    <row r="6" spans="1:4" ht="56.1" customHeight="1" x14ac:dyDescent="0.25">
      <c r="A6" s="38" t="s">
        <v>85</v>
      </c>
      <c r="B6" s="31"/>
      <c r="C6" s="31"/>
      <c r="D6" s="31"/>
    </row>
    <row r="7" spans="1:4" ht="56.1" customHeight="1" x14ac:dyDescent="0.25">
      <c r="A7" s="38" t="s">
        <v>86</v>
      </c>
      <c r="B7" s="31"/>
      <c r="C7" s="31"/>
      <c r="D7" s="31"/>
    </row>
    <row r="8" spans="1:4" ht="56.1" customHeight="1" x14ac:dyDescent="0.25">
      <c r="A8" s="38" t="s">
        <v>87</v>
      </c>
      <c r="B8" s="31"/>
      <c r="C8" s="31"/>
      <c r="D8" s="31"/>
    </row>
    <row r="9" spans="1:4" ht="182.1" customHeight="1" x14ac:dyDescent="0.25">
      <c r="A9" s="38" t="s">
        <v>88</v>
      </c>
      <c r="B9" s="31"/>
      <c r="C9" s="31"/>
      <c r="D9" s="31"/>
    </row>
    <row r="10" spans="1:4" ht="182.1" customHeight="1" x14ac:dyDescent="0.25">
      <c r="A10" s="38" t="s">
        <v>89</v>
      </c>
      <c r="B10" s="31"/>
      <c r="C10" s="31"/>
      <c r="D10" s="31"/>
    </row>
    <row r="11" spans="1:4" ht="56.1" customHeight="1" x14ac:dyDescent="0.25">
      <c r="A11" s="38" t="s">
        <v>90</v>
      </c>
      <c r="B11" s="31"/>
      <c r="C11" s="31"/>
      <c r="D11" s="31"/>
    </row>
    <row r="12" spans="1:4" ht="98.1" customHeight="1" x14ac:dyDescent="0.25">
      <c r="A12" s="38" t="s">
        <v>91</v>
      </c>
      <c r="B12" s="31"/>
      <c r="C12" s="31"/>
      <c r="D12" s="31"/>
    </row>
    <row r="13" spans="1:4" ht="56.1" customHeight="1" x14ac:dyDescent="0.25">
      <c r="A13" s="38" t="s">
        <v>92</v>
      </c>
      <c r="B13" s="31"/>
      <c r="C13" s="31"/>
      <c r="D13" s="31"/>
    </row>
    <row r="14" spans="1:4" ht="98.1" customHeight="1" x14ac:dyDescent="0.25">
      <c r="A14" s="38" t="s">
        <v>93</v>
      </c>
      <c r="B14" s="31"/>
      <c r="C14" s="31"/>
      <c r="D14" s="31"/>
    </row>
    <row r="15" spans="1:4" ht="56.1" customHeight="1" x14ac:dyDescent="0.25">
      <c r="A15" s="38" t="s">
        <v>94</v>
      </c>
      <c r="B15" s="31"/>
      <c r="C15" s="31"/>
      <c r="D15" s="31"/>
    </row>
    <row r="16" spans="1:4" ht="56.1" customHeight="1" x14ac:dyDescent="0.25">
      <c r="A16" s="38" t="s">
        <v>95</v>
      </c>
      <c r="B16" s="31"/>
      <c r="C16" s="31"/>
      <c r="D16" s="31"/>
    </row>
    <row r="17" spans="1:4" ht="98.1" customHeight="1" x14ac:dyDescent="0.25">
      <c r="A17" s="38" t="s">
        <v>96</v>
      </c>
      <c r="B17" s="31"/>
      <c r="C17" s="31"/>
      <c r="D17" s="31"/>
    </row>
    <row r="18" spans="1:4" ht="153.94999999999999" customHeight="1" x14ac:dyDescent="0.25">
      <c r="A18" s="38" t="s">
        <v>97</v>
      </c>
      <c r="B18" s="31"/>
      <c r="C18" s="31"/>
      <c r="D18" s="31"/>
    </row>
    <row r="19" spans="1:4" ht="56.1" customHeight="1" x14ac:dyDescent="0.25">
      <c r="A19" s="38" t="s">
        <v>98</v>
      </c>
      <c r="B19" s="31"/>
      <c r="C19" s="31"/>
      <c r="D19" s="31"/>
    </row>
    <row r="20" spans="1:4" ht="56.1" customHeight="1" x14ac:dyDescent="0.25">
      <c r="A20" s="38" t="s">
        <v>99</v>
      </c>
      <c r="B20" s="31"/>
      <c r="C20" s="31"/>
      <c r="D20" s="31"/>
    </row>
    <row r="21" spans="1:4" ht="56.1" customHeight="1" x14ac:dyDescent="0.25">
      <c r="A21" s="38" t="s">
        <v>100</v>
      </c>
      <c r="B21" s="31"/>
      <c r="C21" s="31"/>
      <c r="D21" s="31"/>
    </row>
    <row r="24" spans="1:4" ht="18" customHeight="1" x14ac:dyDescent="0.25">
      <c r="A24" s="39" t="s">
        <v>101</v>
      </c>
      <c r="B24" s="31"/>
      <c r="C24" s="31"/>
      <c r="D24" s="31"/>
    </row>
    <row r="25" spans="1:4" x14ac:dyDescent="0.25">
      <c r="A25" s="28" t="s">
        <v>102</v>
      </c>
      <c r="B25" s="28" t="s">
        <v>103</v>
      </c>
      <c r="C25" s="28" t="s">
        <v>104</v>
      </c>
      <c r="D25" s="28" t="s">
        <v>105</v>
      </c>
    </row>
    <row r="26" spans="1:4" ht="33.950000000000003" customHeight="1" x14ac:dyDescent="0.25">
      <c r="A26" s="29" t="s">
        <v>106</v>
      </c>
      <c r="B26" s="29" t="s">
        <v>107</v>
      </c>
      <c r="C26" s="29" t="s">
        <v>108</v>
      </c>
      <c r="D26" s="29" t="s">
        <v>109</v>
      </c>
    </row>
    <row r="27" spans="1:4" ht="33.950000000000003" customHeight="1" x14ac:dyDescent="0.25">
      <c r="A27" s="29" t="s">
        <v>110</v>
      </c>
      <c r="B27" s="29" t="s">
        <v>107</v>
      </c>
      <c r="C27" s="29" t="s">
        <v>111</v>
      </c>
      <c r="D27" s="29" t="s">
        <v>112</v>
      </c>
    </row>
    <row r="28" spans="1:4" ht="33.950000000000003" customHeight="1" x14ac:dyDescent="0.25">
      <c r="A28" s="29" t="s">
        <v>113</v>
      </c>
      <c r="B28" s="29" t="s">
        <v>107</v>
      </c>
      <c r="C28" s="29" t="s">
        <v>114</v>
      </c>
      <c r="D28" s="29" t="s">
        <v>112</v>
      </c>
    </row>
    <row r="29" spans="1:4" ht="33.950000000000003" customHeight="1" x14ac:dyDescent="0.25">
      <c r="A29" s="29" t="s">
        <v>115</v>
      </c>
      <c r="B29" s="29" t="s">
        <v>116</v>
      </c>
      <c r="C29" s="29" t="s">
        <v>117</v>
      </c>
      <c r="D29" s="29" t="s">
        <v>118</v>
      </c>
    </row>
    <row r="30" spans="1:4" ht="33.950000000000003" customHeight="1" x14ac:dyDescent="0.25">
      <c r="A30" s="29" t="s">
        <v>119</v>
      </c>
      <c r="B30" s="29" t="s">
        <v>120</v>
      </c>
      <c r="C30" s="29" t="s">
        <v>121</v>
      </c>
      <c r="D30" s="29" t="s">
        <v>122</v>
      </c>
    </row>
    <row r="31" spans="1:4" ht="33.950000000000003" customHeight="1" x14ac:dyDescent="0.25">
      <c r="A31" s="29" t="s">
        <v>123</v>
      </c>
      <c r="B31" s="29" t="s">
        <v>120</v>
      </c>
      <c r="C31" s="29" t="s">
        <v>124</v>
      </c>
      <c r="D31" s="29" t="s">
        <v>125</v>
      </c>
    </row>
    <row r="32" spans="1:4" ht="33.950000000000003" customHeight="1" x14ac:dyDescent="0.25">
      <c r="A32" s="29" t="s">
        <v>126</v>
      </c>
      <c r="B32" s="29" t="s">
        <v>120</v>
      </c>
      <c r="C32" s="29" t="s">
        <v>127</v>
      </c>
      <c r="D32" s="29" t="s">
        <v>128</v>
      </c>
    </row>
    <row r="33" spans="1:4" ht="33.950000000000003" customHeight="1" x14ac:dyDescent="0.25">
      <c r="A33" s="29" t="s">
        <v>129</v>
      </c>
      <c r="B33" s="29" t="s">
        <v>120</v>
      </c>
      <c r="C33" s="29" t="s">
        <v>130</v>
      </c>
      <c r="D33" s="29" t="s">
        <v>131</v>
      </c>
    </row>
    <row r="34" spans="1:4" ht="33.950000000000003" customHeight="1" x14ac:dyDescent="0.25">
      <c r="A34" s="29" t="s">
        <v>132</v>
      </c>
      <c r="B34" s="29" t="s">
        <v>133</v>
      </c>
      <c r="C34" s="29" t="s">
        <v>134</v>
      </c>
      <c r="D34" s="29" t="s">
        <v>135</v>
      </c>
    </row>
    <row r="35" spans="1:4" ht="33.950000000000003" customHeight="1" x14ac:dyDescent="0.25">
      <c r="A35" s="29" t="s">
        <v>136</v>
      </c>
      <c r="B35" s="29" t="s">
        <v>137</v>
      </c>
      <c r="C35" s="29"/>
      <c r="D35" s="29" t="s">
        <v>138</v>
      </c>
    </row>
    <row r="36" spans="1:4" ht="33.950000000000003" customHeight="1" x14ac:dyDescent="0.25">
      <c r="A36" s="29" t="s">
        <v>139</v>
      </c>
      <c r="B36" s="29" t="s">
        <v>137</v>
      </c>
      <c r="C36" s="29"/>
      <c r="D36" s="29" t="s">
        <v>140</v>
      </c>
    </row>
    <row r="37" spans="1:4" ht="33.950000000000003" customHeight="1" x14ac:dyDescent="0.25">
      <c r="A37" s="29" t="s">
        <v>141</v>
      </c>
      <c r="B37" s="29" t="s">
        <v>142</v>
      </c>
      <c r="C37" s="29" t="s">
        <v>143</v>
      </c>
      <c r="D37" s="29" t="s">
        <v>144</v>
      </c>
    </row>
    <row r="38" spans="1:4" ht="33.950000000000003" customHeight="1" x14ac:dyDescent="0.25">
      <c r="A38" s="29" t="s">
        <v>145</v>
      </c>
      <c r="B38" s="29" t="s">
        <v>146</v>
      </c>
      <c r="C38" s="29" t="s">
        <v>147</v>
      </c>
      <c r="D38" s="29" t="s">
        <v>148</v>
      </c>
    </row>
    <row r="39" spans="1:4" ht="33.950000000000003" customHeight="1" x14ac:dyDescent="0.25">
      <c r="A39" s="29" t="s">
        <v>149</v>
      </c>
      <c r="B39" s="29" t="s">
        <v>150</v>
      </c>
      <c r="C39" s="29" t="s">
        <v>151</v>
      </c>
      <c r="D39" s="29" t="s">
        <v>152</v>
      </c>
    </row>
    <row r="40" spans="1:4" ht="33.950000000000003" customHeight="1" x14ac:dyDescent="0.25">
      <c r="A40" s="29" t="s">
        <v>153</v>
      </c>
      <c r="B40" s="29" t="s">
        <v>154</v>
      </c>
      <c r="C40" s="29" t="s">
        <v>155</v>
      </c>
      <c r="D40" s="29" t="s">
        <v>156</v>
      </c>
    </row>
    <row r="41" spans="1:4" ht="33.950000000000003" customHeight="1" x14ac:dyDescent="0.25">
      <c r="A41" s="29" t="s">
        <v>157</v>
      </c>
      <c r="B41" s="29" t="s">
        <v>158</v>
      </c>
      <c r="C41" s="29" t="s">
        <v>159</v>
      </c>
      <c r="D41" s="29" t="s">
        <v>160</v>
      </c>
    </row>
    <row r="42" spans="1:4" ht="33.950000000000003" customHeight="1" x14ac:dyDescent="0.25">
      <c r="A42" s="29" t="s">
        <v>161</v>
      </c>
      <c r="B42" s="29" t="s">
        <v>162</v>
      </c>
      <c r="C42" s="29" t="s">
        <v>163</v>
      </c>
      <c r="D42" s="29" t="s">
        <v>164</v>
      </c>
    </row>
    <row r="43" spans="1:4" ht="33.950000000000003" customHeight="1" x14ac:dyDescent="0.25">
      <c r="A43" s="29" t="s">
        <v>54</v>
      </c>
      <c r="B43" s="29" t="s">
        <v>165</v>
      </c>
      <c r="C43" s="29" t="s">
        <v>166</v>
      </c>
      <c r="D43" s="29" t="s">
        <v>167</v>
      </c>
    </row>
    <row r="44" spans="1:4" ht="33.950000000000003" customHeight="1" x14ac:dyDescent="0.25">
      <c r="A44" s="29" t="s">
        <v>168</v>
      </c>
      <c r="B44" s="29" t="s">
        <v>169</v>
      </c>
      <c r="C44" s="29" t="s">
        <v>170</v>
      </c>
      <c r="D44" s="29" t="s">
        <v>171</v>
      </c>
    </row>
    <row r="45" spans="1:4" ht="33.950000000000003" customHeight="1" x14ac:dyDescent="0.25">
      <c r="A45" s="29" t="s">
        <v>172</v>
      </c>
      <c r="B45" s="29" t="s">
        <v>173</v>
      </c>
      <c r="C45" s="29" t="s">
        <v>174</v>
      </c>
      <c r="D45" s="29" t="s">
        <v>164</v>
      </c>
    </row>
    <row r="46" spans="1:4" ht="33.950000000000003" customHeight="1" x14ac:dyDescent="0.25">
      <c r="A46" s="29" t="s">
        <v>175</v>
      </c>
      <c r="B46" s="29" t="s">
        <v>176</v>
      </c>
      <c r="C46" s="29" t="s">
        <v>177</v>
      </c>
      <c r="D46" s="29" t="s">
        <v>178</v>
      </c>
    </row>
    <row r="47" spans="1:4" ht="33.950000000000003" customHeight="1" x14ac:dyDescent="0.25">
      <c r="A47" s="29" t="s">
        <v>179</v>
      </c>
      <c r="B47" s="29" t="s">
        <v>180</v>
      </c>
      <c r="C47" s="29" t="s">
        <v>181</v>
      </c>
      <c r="D47" s="29" t="s">
        <v>182</v>
      </c>
    </row>
    <row r="48" spans="1:4" ht="33.950000000000003" customHeight="1" x14ac:dyDescent="0.25">
      <c r="A48" s="29" t="s">
        <v>183</v>
      </c>
      <c r="B48" s="29" t="s">
        <v>184</v>
      </c>
      <c r="C48" s="29" t="s">
        <v>185</v>
      </c>
      <c r="D48" s="29" t="s">
        <v>186</v>
      </c>
    </row>
    <row r="50" spans="1:4" x14ac:dyDescent="0.25">
      <c r="A50" s="28" t="s">
        <v>187</v>
      </c>
      <c r="B50" s="28" t="s">
        <v>188</v>
      </c>
      <c r="C50" s="28" t="s">
        <v>189</v>
      </c>
      <c r="D50" s="28" t="s">
        <v>190</v>
      </c>
    </row>
    <row r="53" spans="1:4" x14ac:dyDescent="0.25">
      <c r="A53" s="39" t="s">
        <v>191</v>
      </c>
      <c r="B53" s="31"/>
      <c r="C53" s="31"/>
      <c r="D53" s="31"/>
    </row>
    <row r="54" spans="1:4" x14ac:dyDescent="0.25">
      <c r="A54" s="28" t="s">
        <v>102</v>
      </c>
      <c r="B54" s="28" t="s">
        <v>103</v>
      </c>
      <c r="C54" s="28" t="s">
        <v>192</v>
      </c>
      <c r="D54" s="28" t="s">
        <v>193</v>
      </c>
    </row>
    <row r="55" spans="1:4" ht="26.1" customHeight="1" x14ac:dyDescent="0.25">
      <c r="A55" s="29" t="s">
        <v>42</v>
      </c>
      <c r="B55" s="29" t="s">
        <v>194</v>
      </c>
      <c r="C55" s="29" t="s">
        <v>108</v>
      </c>
      <c r="D55" s="29" t="s">
        <v>195</v>
      </c>
    </row>
    <row r="56" spans="1:4" ht="26.1" customHeight="1" x14ac:dyDescent="0.25">
      <c r="A56" s="29" t="s">
        <v>48</v>
      </c>
      <c r="B56" s="29" t="s">
        <v>194</v>
      </c>
      <c r="C56" s="29" t="s">
        <v>111</v>
      </c>
      <c r="D56" s="29" t="s">
        <v>196</v>
      </c>
    </row>
    <row r="57" spans="1:4" ht="26.1" customHeight="1" x14ac:dyDescent="0.25">
      <c r="A57" s="29" t="s">
        <v>49</v>
      </c>
      <c r="B57" s="29" t="s">
        <v>194</v>
      </c>
      <c r="C57" s="29" t="s">
        <v>114</v>
      </c>
      <c r="D57" s="29" t="s">
        <v>196</v>
      </c>
    </row>
    <row r="58" spans="1:4" ht="26.1" customHeight="1" x14ac:dyDescent="0.25">
      <c r="A58" s="29" t="s">
        <v>50</v>
      </c>
      <c r="B58" s="29" t="s">
        <v>117</v>
      </c>
      <c r="C58" s="29" t="e">
        <f>HyperCore Revenue + HyperEVM Burn + Auction Burn</f>
        <v>#NAME?</v>
      </c>
      <c r="D58" s="29" t="s">
        <v>197</v>
      </c>
    </row>
    <row r="59" spans="1:4" ht="26.1" customHeight="1" x14ac:dyDescent="0.25">
      <c r="A59" s="29" t="s">
        <v>37</v>
      </c>
      <c r="B59" s="29" t="s">
        <v>198</v>
      </c>
      <c r="C59" s="29" t="s">
        <v>199</v>
      </c>
      <c r="D59" s="29" t="s">
        <v>196</v>
      </c>
    </row>
    <row r="60" spans="1:4" ht="26.1" customHeight="1" x14ac:dyDescent="0.25">
      <c r="A60" s="29" t="s">
        <v>38</v>
      </c>
      <c r="B60" s="29" t="s">
        <v>200</v>
      </c>
      <c r="C60" s="29"/>
      <c r="D60" s="29" t="s">
        <v>201</v>
      </c>
    </row>
    <row r="61" spans="1:4" ht="26.1" customHeight="1" x14ac:dyDescent="0.25">
      <c r="A61" s="29" t="s">
        <v>39</v>
      </c>
      <c r="B61" s="29" t="s">
        <v>200</v>
      </c>
      <c r="C61" s="29"/>
      <c r="D61" s="29" t="s">
        <v>201</v>
      </c>
    </row>
    <row r="62" spans="1:4" ht="26.1" customHeight="1" x14ac:dyDescent="0.25">
      <c r="A62" s="29" t="s">
        <v>40</v>
      </c>
      <c r="B62" s="29" t="s">
        <v>202</v>
      </c>
      <c r="C62" s="29"/>
      <c r="D62" s="29" t="s">
        <v>203</v>
      </c>
    </row>
    <row r="63" spans="1:4" ht="26.1" customHeight="1" x14ac:dyDescent="0.25">
      <c r="A63" s="29" t="e">
        <f>HyperCore Revenue (model)</f>
        <v>#NAME?</v>
      </c>
      <c r="B63" s="29" t="s">
        <v>117</v>
      </c>
      <c r="C63" s="29" t="e">
        <f>Core + HIP-3 + Spot + HIP-4</f>
        <v>#NAME?</v>
      </c>
      <c r="D63" s="29" t="s">
        <v>204</v>
      </c>
    </row>
    <row r="64" spans="1:4" ht="26.1" customHeight="1" x14ac:dyDescent="0.25">
      <c r="A64" s="29" t="s">
        <v>205</v>
      </c>
      <c r="B64" s="29" t="s">
        <v>117</v>
      </c>
      <c r="C64" s="29" t="e">
        <f>accrual - cash. NOT zero: real accrual-vs-buyback gap</f>
        <v>#NAME?</v>
      </c>
      <c r="D64" s="29" t="s">
        <v>206</v>
      </c>
    </row>
    <row r="65" spans="1:4" ht="26.1" customHeight="1" x14ac:dyDescent="0.25">
      <c r="A65" s="29" t="s">
        <v>23</v>
      </c>
      <c r="B65" s="29" t="s">
        <v>200</v>
      </c>
      <c r="C65" s="29" t="e">
        <f>fees_hip3 + fees_hip3_deployer</f>
        <v>#NAME?</v>
      </c>
      <c r="D65" s="29" t="s">
        <v>137</v>
      </c>
    </row>
    <row r="66" spans="1:4" ht="26.1" customHeight="1" x14ac:dyDescent="0.25">
      <c r="A66" s="29" t="s">
        <v>33</v>
      </c>
      <c r="B66" s="29" t="s">
        <v>200</v>
      </c>
      <c r="C66" s="29" t="s">
        <v>130</v>
      </c>
      <c r="D66" s="29" t="s">
        <v>196</v>
      </c>
    </row>
    <row r="67" spans="1:4" ht="26.1" customHeight="1" x14ac:dyDescent="0.25">
      <c r="A67" s="29" t="s">
        <v>24</v>
      </c>
      <c r="B67" s="29" t="s">
        <v>200</v>
      </c>
      <c r="C67" s="29" t="e">
        <f>fees_spot + fees_spot_unit</f>
        <v>#NAME?</v>
      </c>
      <c r="D67" s="29" t="s">
        <v>137</v>
      </c>
    </row>
    <row r="68" spans="1:4" ht="26.1" customHeight="1" x14ac:dyDescent="0.25">
      <c r="A68" s="29" t="s">
        <v>32</v>
      </c>
      <c r="B68" s="29" t="s">
        <v>200</v>
      </c>
      <c r="C68" s="29" t="s">
        <v>127</v>
      </c>
      <c r="D68" s="29" t="s">
        <v>196</v>
      </c>
    </row>
    <row r="69" spans="1:4" ht="26.1" customHeight="1" x14ac:dyDescent="0.25">
      <c r="A69" s="29" t="s">
        <v>207</v>
      </c>
      <c r="B69" s="29" t="s">
        <v>208</v>
      </c>
      <c r="C69" s="29" t="e">
        <f>segment Revenue x HLP Rate</f>
        <v>#NAME?</v>
      </c>
      <c r="D69" s="29" t="s">
        <v>209</v>
      </c>
    </row>
    <row r="70" spans="1:4" ht="26.1" customHeight="1" x14ac:dyDescent="0.25">
      <c r="A70" s="29" t="s">
        <v>27</v>
      </c>
      <c r="B70" s="29" t="s">
        <v>210</v>
      </c>
      <c r="C70" s="29" t="s">
        <v>211</v>
      </c>
      <c r="D70" s="29" t="s">
        <v>212</v>
      </c>
    </row>
    <row r="71" spans="1:4" ht="26.1" customHeight="1" x14ac:dyDescent="0.25">
      <c r="A71" s="29" t="s">
        <v>10</v>
      </c>
      <c r="B71" s="29" t="s">
        <v>213</v>
      </c>
      <c r="C71" s="29" t="s">
        <v>214</v>
      </c>
      <c r="D71" s="29" t="s">
        <v>137</v>
      </c>
    </row>
    <row r="72" spans="1:4" ht="26.1" customHeight="1" x14ac:dyDescent="0.25">
      <c r="A72" s="29" t="s">
        <v>11</v>
      </c>
      <c r="B72" s="29" t="s">
        <v>215</v>
      </c>
      <c r="C72" s="29" t="s">
        <v>216</v>
      </c>
      <c r="D72" s="29" t="s">
        <v>196</v>
      </c>
    </row>
    <row r="73" spans="1:4" ht="26.1" customHeight="1" x14ac:dyDescent="0.25">
      <c r="A73" s="29" t="s">
        <v>12</v>
      </c>
      <c r="B73" s="29" t="s">
        <v>217</v>
      </c>
      <c r="C73" s="29" t="s">
        <v>218</v>
      </c>
      <c r="D73" s="29" t="s">
        <v>219</v>
      </c>
    </row>
    <row r="74" spans="1:4" ht="26.1" customHeight="1" x14ac:dyDescent="0.25">
      <c r="A74" s="29" t="s">
        <v>220</v>
      </c>
      <c r="B74" s="29" t="s">
        <v>202</v>
      </c>
      <c r="C74" s="29" t="s">
        <v>221</v>
      </c>
      <c r="D74" s="29" t="s">
        <v>196</v>
      </c>
    </row>
    <row r="75" spans="1:4" ht="26.1" customHeight="1" x14ac:dyDescent="0.25">
      <c r="A75" s="29" t="s">
        <v>34</v>
      </c>
      <c r="B75" s="29" t="s">
        <v>117</v>
      </c>
      <c r="C75" s="29" t="s">
        <v>222</v>
      </c>
      <c r="D75" s="29" t="s">
        <v>212</v>
      </c>
    </row>
    <row r="76" spans="1:4" ht="26.1" customHeight="1" x14ac:dyDescent="0.25">
      <c r="A76" s="29" t="s">
        <v>157</v>
      </c>
      <c r="B76" s="29" t="s">
        <v>223</v>
      </c>
      <c r="C76" s="29" t="s">
        <v>224</v>
      </c>
      <c r="D76" s="29" t="s">
        <v>225</v>
      </c>
    </row>
    <row r="77" spans="1:4" ht="26.1" customHeight="1" x14ac:dyDescent="0.25">
      <c r="A77" s="29" t="s">
        <v>226</v>
      </c>
      <c r="B77" s="29" t="s">
        <v>227</v>
      </c>
      <c r="C77" s="29" t="s">
        <v>163</v>
      </c>
      <c r="D77" s="29" t="s">
        <v>196</v>
      </c>
    </row>
    <row r="78" spans="1:4" ht="26.1" customHeight="1" x14ac:dyDescent="0.25">
      <c r="A78" s="29" t="s">
        <v>54</v>
      </c>
      <c r="B78" s="29" t="s">
        <v>228</v>
      </c>
      <c r="C78" s="29" t="s">
        <v>166</v>
      </c>
      <c r="D78" s="29" t="s">
        <v>196</v>
      </c>
    </row>
    <row r="79" spans="1:4" ht="26.1" customHeight="1" x14ac:dyDescent="0.25">
      <c r="A79" s="29" t="s">
        <v>229</v>
      </c>
      <c r="B79" s="29" t="s">
        <v>230</v>
      </c>
      <c r="C79" s="29" t="s">
        <v>231</v>
      </c>
      <c r="D79" s="29" t="s">
        <v>196</v>
      </c>
    </row>
    <row r="80" spans="1:4" ht="26.1" customHeight="1" x14ac:dyDescent="0.25">
      <c r="A80" s="29" t="s">
        <v>232</v>
      </c>
      <c r="B80" s="29" t="s">
        <v>233</v>
      </c>
      <c r="C80" s="29" t="s">
        <v>170</v>
      </c>
      <c r="D80" s="29" t="s">
        <v>196</v>
      </c>
    </row>
    <row r="81" spans="1:4" ht="26.1" customHeight="1" x14ac:dyDescent="0.25">
      <c r="A81" s="29" t="s">
        <v>175</v>
      </c>
      <c r="B81" s="29" t="s">
        <v>234</v>
      </c>
      <c r="C81" s="29" t="s">
        <v>177</v>
      </c>
      <c r="D81" s="29" t="s">
        <v>196</v>
      </c>
    </row>
    <row r="82" spans="1:4" ht="26.1" customHeight="1" x14ac:dyDescent="0.25">
      <c r="A82" s="29" t="s">
        <v>179</v>
      </c>
      <c r="B82" s="29" t="s">
        <v>235</v>
      </c>
      <c r="C82" s="29" t="s">
        <v>181</v>
      </c>
      <c r="D82" s="29" t="s">
        <v>196</v>
      </c>
    </row>
    <row r="83" spans="1:4" ht="26.1" customHeight="1" x14ac:dyDescent="0.25">
      <c r="A83" s="29" t="s">
        <v>236</v>
      </c>
      <c r="B83" s="29" t="s">
        <v>237</v>
      </c>
      <c r="C83" s="29" t="s">
        <v>238</v>
      </c>
      <c r="D83" s="29" t="s">
        <v>196</v>
      </c>
    </row>
    <row r="84" spans="1:4" ht="26.1" customHeight="1" x14ac:dyDescent="0.25">
      <c r="A84" s="29" t="s">
        <v>239</v>
      </c>
      <c r="B84" s="29" t="s">
        <v>184</v>
      </c>
      <c r="C84" s="29" t="s">
        <v>185</v>
      </c>
      <c r="D84" s="29" t="s">
        <v>240</v>
      </c>
    </row>
    <row r="85" spans="1:4" ht="26.1" customHeight="1" x14ac:dyDescent="0.25">
      <c r="A85" s="29" t="s">
        <v>241</v>
      </c>
      <c r="B85" s="29" t="s">
        <v>242</v>
      </c>
      <c r="C85" s="29" t="s">
        <v>243</v>
      </c>
      <c r="D85" s="29" t="s">
        <v>196</v>
      </c>
    </row>
    <row r="86" spans="1:4" ht="33.950000000000003" customHeight="1" x14ac:dyDescent="0.25">
      <c r="A86" s="29" t="s">
        <v>244</v>
      </c>
      <c r="B86" s="29" t="s">
        <v>245</v>
      </c>
      <c r="C86" s="29" t="s">
        <v>246</v>
      </c>
      <c r="D86" s="29" t="s">
        <v>247</v>
      </c>
    </row>
    <row r="87" spans="1:4" ht="33.950000000000003" customHeight="1" x14ac:dyDescent="0.25">
      <c r="A87" s="29" t="s">
        <v>248</v>
      </c>
      <c r="B87" s="29" t="s">
        <v>154</v>
      </c>
      <c r="C87" s="29" t="s">
        <v>249</v>
      </c>
      <c r="D87" s="29" t="s">
        <v>250</v>
      </c>
    </row>
    <row r="88" spans="1:4" ht="33.950000000000003" customHeight="1" x14ac:dyDescent="0.25">
      <c r="A88" s="29" t="s">
        <v>251</v>
      </c>
      <c r="B88" s="29" t="s">
        <v>154</v>
      </c>
      <c r="C88" s="29" t="s">
        <v>252</v>
      </c>
      <c r="D88" s="29" t="s">
        <v>253</v>
      </c>
    </row>
    <row r="89" spans="1:4" ht="33.950000000000003" customHeight="1" x14ac:dyDescent="0.25">
      <c r="A89" s="29" t="s">
        <v>254</v>
      </c>
      <c r="B89" s="29" t="s">
        <v>154</v>
      </c>
      <c r="C89" s="29" t="s">
        <v>255</v>
      </c>
      <c r="D89" s="29" t="s">
        <v>256</v>
      </c>
    </row>
    <row r="90" spans="1:4" ht="33.950000000000003" customHeight="1" x14ac:dyDescent="0.25">
      <c r="A90" s="29" t="s">
        <v>257</v>
      </c>
      <c r="B90" s="29" t="s">
        <v>258</v>
      </c>
      <c r="C90" s="29" t="s">
        <v>259</v>
      </c>
      <c r="D90" s="29" t="s">
        <v>260</v>
      </c>
    </row>
    <row r="91" spans="1:4" ht="33.950000000000003" customHeight="1" x14ac:dyDescent="0.25">
      <c r="A91" s="29" t="s">
        <v>261</v>
      </c>
      <c r="B91" s="29" t="s">
        <v>245</v>
      </c>
      <c r="C91" s="29" t="s">
        <v>262</v>
      </c>
      <c r="D91" s="29" t="s">
        <v>263</v>
      </c>
    </row>
    <row r="92" spans="1:4" ht="33.950000000000003" customHeight="1" x14ac:dyDescent="0.25">
      <c r="A92" s="29" t="s">
        <v>264</v>
      </c>
      <c r="B92" s="29" t="s">
        <v>245</v>
      </c>
      <c r="C92" s="29" t="s">
        <v>265</v>
      </c>
      <c r="D92" s="29" t="s">
        <v>266</v>
      </c>
    </row>
    <row r="93" spans="1:4" ht="33.950000000000003" customHeight="1" x14ac:dyDescent="0.25">
      <c r="A93" s="29" t="s">
        <v>267</v>
      </c>
      <c r="B93" s="29" t="s">
        <v>268</v>
      </c>
      <c r="C93" s="29" t="s">
        <v>269</v>
      </c>
      <c r="D93" s="29" t="s">
        <v>270</v>
      </c>
    </row>
    <row r="94" spans="1:4" ht="33.950000000000003" customHeight="1" x14ac:dyDescent="0.25">
      <c r="A94" s="29" t="s">
        <v>271</v>
      </c>
      <c r="B94" s="29" t="s">
        <v>268</v>
      </c>
      <c r="C94" s="29" t="s">
        <v>272</v>
      </c>
      <c r="D94" s="29" t="s">
        <v>273</v>
      </c>
    </row>
    <row r="95" spans="1:4" ht="33.950000000000003" customHeight="1" x14ac:dyDescent="0.25">
      <c r="A95" s="29" t="s">
        <v>274</v>
      </c>
      <c r="B95" s="29" t="s">
        <v>245</v>
      </c>
      <c r="C95" s="29" t="s">
        <v>275</v>
      </c>
      <c r="D95" s="29" t="s">
        <v>276</v>
      </c>
    </row>
    <row r="96" spans="1:4" ht="33.950000000000003" customHeight="1" x14ac:dyDescent="0.25">
      <c r="A96" s="29" t="s">
        <v>277</v>
      </c>
      <c r="B96" s="29" t="s">
        <v>245</v>
      </c>
      <c r="C96" s="29" t="s">
        <v>278</v>
      </c>
      <c r="D96" s="29" t="s">
        <v>279</v>
      </c>
    </row>
    <row r="97" spans="1:4" ht="33.950000000000003" customHeight="1" x14ac:dyDescent="0.25">
      <c r="A97" s="29" t="s">
        <v>280</v>
      </c>
      <c r="B97" s="29" t="s">
        <v>245</v>
      </c>
      <c r="C97" s="29" t="s">
        <v>281</v>
      </c>
      <c r="D97" s="29" t="s">
        <v>282</v>
      </c>
    </row>
    <row r="98" spans="1:4" ht="33.950000000000003" customHeight="1" x14ac:dyDescent="0.25">
      <c r="A98" s="29" t="s">
        <v>283</v>
      </c>
      <c r="B98" s="29" t="s">
        <v>245</v>
      </c>
      <c r="C98" s="29" t="s">
        <v>284</v>
      </c>
      <c r="D98" s="29" t="s">
        <v>285</v>
      </c>
    </row>
    <row r="99" spans="1:4" ht="33.950000000000003" customHeight="1" x14ac:dyDescent="0.25">
      <c r="A99" s="29" t="s">
        <v>286</v>
      </c>
      <c r="B99" s="29" t="s">
        <v>210</v>
      </c>
      <c r="C99" s="29" t="s">
        <v>287</v>
      </c>
      <c r="D99" s="29" t="s">
        <v>288</v>
      </c>
    </row>
    <row r="100" spans="1:4" ht="33.950000000000003" customHeight="1" x14ac:dyDescent="0.25">
      <c r="A100" s="29" t="s">
        <v>289</v>
      </c>
      <c r="B100" s="29" t="s">
        <v>290</v>
      </c>
      <c r="C100" s="29" t="s">
        <v>291</v>
      </c>
      <c r="D100" s="29" t="s">
        <v>292</v>
      </c>
    </row>
    <row r="101" spans="1:4" ht="33.950000000000003" customHeight="1" x14ac:dyDescent="0.25">
      <c r="A101" s="29" t="s">
        <v>293</v>
      </c>
      <c r="B101" s="29" t="s">
        <v>294</v>
      </c>
      <c r="C101" s="29" t="s">
        <v>295</v>
      </c>
      <c r="D101" s="29" t="s">
        <v>296</v>
      </c>
    </row>
    <row r="102" spans="1:4" ht="33.950000000000003" customHeight="1" x14ac:dyDescent="0.25">
      <c r="A102" s="29" t="s">
        <v>297</v>
      </c>
      <c r="B102" s="29" t="s">
        <v>298</v>
      </c>
      <c r="C102" s="29" t="s">
        <v>299</v>
      </c>
      <c r="D102" s="29" t="s">
        <v>300</v>
      </c>
    </row>
    <row r="103" spans="1:4" ht="33.950000000000003" customHeight="1" x14ac:dyDescent="0.25">
      <c r="A103" s="29" t="s">
        <v>301</v>
      </c>
      <c r="B103" s="29" t="s">
        <v>268</v>
      </c>
      <c r="C103" s="29" t="s">
        <v>302</v>
      </c>
      <c r="D103" s="29" t="s">
        <v>303</v>
      </c>
    </row>
  </sheetData>
  <mergeCells count="23">
    <mergeCell ref="A1:D1"/>
    <mergeCell ref="A6:D6"/>
    <mergeCell ref="A7:D7"/>
    <mergeCell ref="A16:D16"/>
    <mergeCell ref="A18:D18"/>
    <mergeCell ref="A12:D12"/>
    <mergeCell ref="A3:D3"/>
    <mergeCell ref="A2:D2"/>
    <mergeCell ref="A14:D14"/>
    <mergeCell ref="A5:D5"/>
    <mergeCell ref="A17:D17"/>
    <mergeCell ref="A8:D8"/>
    <mergeCell ref="A53:D53"/>
    <mergeCell ref="A4:D4"/>
    <mergeCell ref="A20:D20"/>
    <mergeCell ref="A19:D19"/>
    <mergeCell ref="A10:D10"/>
    <mergeCell ref="A13:D13"/>
    <mergeCell ref="A9:D9"/>
    <mergeCell ref="A15:D15"/>
    <mergeCell ref="A24:D24"/>
    <mergeCell ref="A11:D11"/>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vt:lpstr>
      <vt:lpstr>Quarterly </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206_Harsh Misra</cp:lastModifiedBy>
  <dcterms:created xsi:type="dcterms:W3CDTF">2026-09-21T06:04:37Z</dcterms:created>
  <dcterms:modified xsi:type="dcterms:W3CDTF">2026-09-21T06:15:57Z</dcterms:modified>
</cp:coreProperties>
</file>