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Assumptions" sheetId="2" state="visible" r:id="rId4"/>
    <sheet name="Anchors_SEC" sheetId="3" state="visible" r:id="rId5"/>
    <sheet name="Weekly_Dashboard" sheetId="4" state="visible" r:id="rId6"/>
    <sheet name="Share_Count" sheetId="5" state="visible" r:id="rId7"/>
    <sheet name="Diluted_Shares" sheetId="6" state="visible" r:id="rId8"/>
    <sheet name="Token_RollForward" sheetId="7" state="visible" r:id="rId9"/>
    <sheet name="Master_Series" sheetId="8" state="visible" r:id="rId10"/>
    <sheet name="Third_Party_Check" sheetId="9" state="visible" r:id="rId11"/>
    <sheet name="Source_Log" sheetId="10" state="visible" r:id="rId1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<sst xmlns="http://schemas.openxmlformats.org/spreadsheetml/2006/main" count="517" uniqueCount="444">
  <si>
    <t xml:space="preserve">Hyperliquid Strategies Inc (NASDAQ: PURR) - HYPE token holdings time series</t>
  </si>
  <si>
    <t xml:space="preserve">Compiled 2026-08-27 09:45 UTC  |  CIK 0002078856  |  Fiscal year end 30 June</t>
  </si>
  <si>
    <t xml:space="preserve">BOTTOM LINE</t>
  </si>
  <si>
    <t xml:space="preserve">There is NO dependable DAILY series of HSI's HYPE holdings in the public domain, and no</t>
  </si>
  <si>
    <t xml:space="preserve">continuous weekly series going back to inception. Anyone who tells you otherwise is either</t>
  </si>
  <si>
    <t xml:space="preserve">interpolating between disclosed points or reading a third-party tracker that is wrong.</t>
  </si>
  <si>
    <t xml:space="preserve">What does exist, and what this file contains:</t>
  </si>
  <si>
    <t xml:space="preserve">  Tier 1  -  7 dated, company-disclosed observations from SEC filings (2 Dec 2025 - 15 Jul 2026).</t>
  </si>
  <si>
    <t xml:space="preserve">            Three are exact to the token; four are rounded to 0.1m by the company.</t>
  </si>
  <si>
    <t xml:space="preserve">  Tier 2  -  9 weekly observations from the company's own treasury dashboard (2 Jul - 20 Aug 2026).</t>
  </si>
  <si>
    <t xml:space="preserve">            Company estimate, unaudited, and only 9 weeks are publicly retrievable (see caveat 3).</t>
  </si>
  <si>
    <t xml:space="preserve">  Tier 3  -  A full unit-level roll-forward from the 10-Q for Q2 and Q3 FY2026 - the only place</t>
  </si>
  <si>
    <t xml:space="preserve">            where purchases, staking receipts and closing balances are separately disclosed.</t>
  </si>
  <si>
    <t xml:space="preserve">READ THIS BEFORE PUBLISHING - 8 things I would flag to a reviewer</t>
  </si>
  <si>
    <t xml:space="preserve">1.  FY2026 RESULTS LAND TODAY. The FY2026 earnings webcast is 27 Aug 2026, 08:00 ET (12:00 UTC).</t>
  </si>
  <si>
    <t xml:space="preserve">    As at 09:45 UTC no 8-K or 10-K had been filed. An audited 30-Jun-2026 token balance is hours</t>
  </si>
  <si>
    <t xml:space="preserve">    away and will supersede the mid-June estimate in this file. Do not publish before it lands.</t>
  </si>
  <si>
    <t xml:space="preserve">2.  THE WEEKLY DASHBOARD NUMBER IS LAGGED. The company states that weekly items are as of one</t>
  </si>
  <si>
    <t xml:space="preserve">    week BEFORE the 'date of last update' shown on the page. So the headline 29.35m carried on</t>
  </si>
  <si>
    <t xml:space="preserve">    the 20-Aug page is, on the company's own convention, a 13-Aug figure. Both dates are carried</t>
  </si>
  <si>
    <t xml:space="preserve">    in the Weekly_Dashboard sheet; I have not picked one for you. Cross-checking against the</t>
  </si>
  <si>
    <t xml:space="preserve">    S-1/A ('approx 29.3m as of 15 Jul 2026') does not discriminate between the two conventions,</t>
  </si>
  <si>
    <t xml:space="preserve">    because the dashboard reads 29.28m on both candidate dates. Unresolved - state your choice.</t>
  </si>
  <si>
    <t xml:space="preserve">3.  PROVENANCE OF THE WEEKLY SERIES. Only the CURRENT week is published on the dashboard page.</t>
  </si>
  <si>
    <t xml:space="preserve">    The eight prior weeks came from https://hypestrat.xyz/api/dashboard-history, which is the</t>
  </si>
  <si>
    <t xml:space="preserve">    version-history feed behind the site's admin editor and is served without authentication.</t>
  </si>
  <si>
    <t xml:space="preserve">    I accessed only public unauthenticated URLs; no credentials were used and nothing was</t>
  </si>
  <si>
    <t xml:space="preserve">    bypassed. But it is not an IR-published dataset: it retains ~8 snapshots, it can be pulled or</t>
  </si>
  <si>
    <t xml:space="preserve">    rotated at any time, and it is not 'furnished' to anyone. My recommendation: use it for your</t>
  </si>
  <si>
    <t xml:space="preserve">    own conviction, cite the SEC anchors in print. If you do cite it, footnote it honestly.</t>
  </si>
  <si>
    <t xml:space="preserve">    Separately - the company may not realise this endpoint is open. Worth an IR call.</t>
  </si>
  <si>
    <t xml:space="preserve">4.  THIRD-PARTY TRACKERS ARE MATERIALLY WRONG ON THIS NAME. CoinGecko carries 17.6m HYPE (a</t>
  </si>
  <si>
    <t xml:space="preserve">    3-Feb-2026 figure) at an average cost of $7.36; DefiLlama carries 16.89m at an average cost</t>
  </si>
  <si>
    <t xml:space="preserve">    of $46.37 across '2 transactions'. Both are wrong, in opposite directions, and for the same</t>
  </si>
  <si>
    <t xml:space="preserve">    root cause: the initial 12.5m tokens were CONTRIBUTED in kind at closing, not purchased, so</t>
  </si>
  <si>
    <t xml:space="preserve">    any cost-basis maths that divides total cost by total tokens is meaningless. See the</t>
  </si>
  <si>
    <t xml:space="preserve">    Third_Party_Check sheet. Do not source a cost basis from either.</t>
  </si>
  <si>
    <t xml:space="preserve">5.  THE COMPANY'S OWN 'SINCE INCEPTION' MATHS DRIFTS. The Q2 release implies a 12.6m opening</t>
  </si>
  <si>
    <t xml:space="preserve">    base (17.6 - 5.0); the Q3 release implies 12.7m (20.0 - 7.3); the balance sheet says</t>
  </si>
  <si>
    <t xml:space="preserve">    12,517,592. The drift is rounding in the press releases, not a restatement - but if you</t>
  </si>
  <si>
    <t xml:space="preserve">    quote 'tokens acquired since inception' you will not tie to the filings. Use 12,517,592.</t>
  </si>
  <si>
    <t xml:space="preserve">6.  TOKEN GROWTH IS NOT ALL PURCHASES. Staking receipts added 18,717 tokens in Q2 FY26 and</t>
  </si>
  <si>
    <t xml:space="preserve">    83,832 in Q3 FY26. Roughly 100% of the treasury is staked. Any 'tokens bought per dollar</t>
  </si>
  <si>
    <t xml:space="preserve">    raised' calculation that ignores this overstates purchasing efficiency.</t>
  </si>
  <si>
    <t xml:space="preserve">7.  ACCUMULATION APPEARS TO HAVE STOPPED IN LATE JULY, AND THE CASH WENT TO BUYBACKS INSTEAD.</t>
  </si>
  <si>
    <t xml:space="preserve">    Between the 23-Jul and 20-Aug dashboards: HYPE held flat at 29.28m, cumulative treasury</t>
  </si>
  <si>
    <t xml:space="preserve">    deployment +$17.3m, cash -$16.8m, and share count -2.68m (implying roughly $6.47/share).</t>
  </si>
  <si>
    <t xml:space="preserve">    This is an inference from four dashboard inputs, not a company statement - but if it holds</t>
  </si>
  <si>
    <t xml:space="preserve">    it is the most important thing in the dataset and it is not in any tracker. Verify on the call.</t>
  </si>
  <si>
    <t xml:space="preserve">8.  TICKER COLLISION - DATA HYGIENE. 'PURR' is both HSI's Nasdaq ticker AND a long-standing</t>
  </si>
  <si>
    <t xml:space="preserve">    Hyperliquid-native spot token, and a HIP-3 perp called PURRDAT references the equity. Any</t>
  </si>
  <si>
    <t xml:space="preserve">    automated price pull keyed on 'PURR' can silently return the wrong instrument.</t>
  </si>
  <si>
    <t xml:space="preserve">WHAT I COULD NOT GET, AND WHERE YOU MIGHT</t>
  </si>
  <si>
    <t xml:space="preserve">*  Daily on-chain balances. HSI custodies at Anchorage Digital and has not published wallet</t>
  </si>
  <si>
    <t xml:space="preserve">   addresses. Its validator ('Hyperliquid Strategies x Unit', 0xd6a72f04b9868d5d6050376d5d7b729</t>
  </si>
  <si>
    <t xml:space="preserve">   f47305cec, 23.1m HYPE total stake) also carries third-party delegations, so validator stake</t>
  </si>
  <si>
    <t xml:space="preserve">   is NOT a clean proxy for treasury. Attributing unlabelled addresses is not defensible in print.</t>
  </si>
  <si>
    <t xml:space="preserve">*  Weekly dashboard values before 2 Jul 2026. The archive retains ~8 snapshots. The Wayback</t>
  </si>
  <si>
    <t xml:space="preserve">   Machine has only two captures of the dashboard's data file (29 Jun and 19 Jul 2026) and was</t>
  </si>
  <si>
    <t xml:space="preserve">   not reachable from my environment - worth 10 minutes on your own machine if you want them.</t>
  </si>
  <si>
    <t xml:space="preserve">*  A 30-Jun-2026 balance. Filed with the FY2026 10-K, not yet available.</t>
  </si>
  <si>
    <t xml:space="preserve">CONVENTIONS IN THIS FILE</t>
  </si>
  <si>
    <t xml:space="preserve">Blue text = hardcoded input taken from a source.  Black = formula.  Green = cross-sheet link.</t>
  </si>
  <si>
    <t xml:space="preserve">Yellow fill = you must check or update this before publishing.</t>
  </si>
  <si>
    <t xml:space="preserve">Pink fill = a flagged inconsistency, shown rather than smoothed away.</t>
  </si>
  <si>
    <t xml:space="preserve">Blank cells are blank on purpose. Nothing in this file is interpolated.</t>
  </si>
  <si>
    <t xml:space="preserve">Assumptions and live inputs</t>
  </si>
  <si>
    <t xml:space="preserve">Input</t>
  </si>
  <si>
    <t xml:space="preserve">Value</t>
  </si>
  <si>
    <t xml:space="preserve">Unit</t>
  </si>
  <si>
    <t xml:space="preserve">Source / note</t>
  </si>
  <si>
    <t xml:space="preserve">HYPE spot price</t>
  </si>
  <si>
    <t xml:space="preserve">USD</t>
  </si>
  <si>
    <t xml:space="preserve">CoinGecko simple/price api, 27-Aug-2026 09:45 UTC. Hyperliquid perp mid was $83.08 at the same moment. UPDATE BEFORE USE.</t>
  </si>
  <si>
    <t xml:space="preserve">PURR share price</t>
  </si>
  <si>
    <t xml:space="preserve">PURR close not independently retrieved - enter manually. Nasdaq close is the price of record; beware the Hyperliquid PURR spot token and the PURRDAT perp.</t>
  </si>
  <si>
    <t xml:space="preserve">Series A preferred, as-converted</t>
  </si>
  <si>
    <t xml:space="preserve">shares</t>
  </si>
  <si>
    <t xml:space="preserve">hypestrat.xyz dashboard footnote 2, subject to blocker provisions.</t>
  </si>
  <si>
    <t xml:space="preserve">Data retrieved</t>
  </si>
  <si>
    <t xml:space="preserve">2026-08-27 09:45 UTC</t>
  </si>
  <si>
    <t xml:space="preserve">All figures in this workbook were pulled at this timestamp.</t>
  </si>
  <si>
    <t xml:space="preserve">Tier 1 - HYPE token holdings disclosed in SEC filings</t>
  </si>
  <si>
    <t xml:space="preserve">Every figure below is quoted or arithmetically reconciled from the filing named in column G. Nothing is estimated.</t>
  </si>
  <si>
    <t xml:space="preserve">As-of date</t>
  </si>
  <si>
    <t xml:space="preserve">HYPE tokens held</t>
  </si>
  <si>
    <t xml:space="preserve">Precision</t>
  </si>
  <si>
    <t xml:space="preserve">Delta vs prior</t>
  </si>
  <si>
    <t xml:space="preserve">Days elapsed</t>
  </si>
  <si>
    <t xml:space="preserve">Implied tokens/day</t>
  </si>
  <si>
    <t xml:space="preserve">Source document</t>
  </si>
  <si>
    <t xml:space="preserve">Verbatim basis</t>
  </si>
  <si>
    <t xml:space="preserve">Exact</t>
  </si>
  <si>
    <t xml:space="preserve">10-Q QE 31-Mar-2026, Note 3 digital asset roll-forward (accession 0001193125-26-212519)</t>
  </si>
  <si>
    <t xml:space="preserve">'Contributions of HYPE digital assets from Rorschach Contributions 12,517,592'. Contributed in kind at closing, valued $580.5m at commitment ($46.37) but recognised at $411.3m.</t>
  </si>
  <si>
    <t xml:space="preserve">10-Q QE 31-Dec-2025, Note 3 (accession 0001193125-26-045901); XBRL CryptoAssetNumberOfUnits</t>
  </si>
  <si>
    <t xml:space="preserve">12,517,592 contributed + 321,224 purchased ($9.0m) + 18,717 staking receipts. Fair value $327.610m at $25.48.</t>
  </si>
  <si>
    <t xml:space="preserve">Rounded 0.1m</t>
  </si>
  <si>
    <t xml:space="preserve">8-K 11-Feb-2026, Ex-99.1 'Treasury Strategy Progress (as of February 3, 2026)'</t>
  </si>
  <si>
    <t xml:space="preserve">'Deployed $129.5 million to acquire ~5.0 million additional HYPE tokens, increasing total HYPE holdings to 17.6 million.' Note the implied 12.6m base does not tie to 12,517,592.</t>
  </si>
  <si>
    <t xml:space="preserve">10-Q QE 31-Mar-2026, Note 3 (accession 0001193125-26-212519)</t>
  </si>
  <si>
    <t xml:space="preserve">Balance, March 31, 2026 = 18,826,355 HYPE. Fair value $689.045m at $36.60. Separate $0.5m USDC brings total digital assets to $689.545m.</t>
  </si>
  <si>
    <t xml:space="preserve">8-K 7-May-2026, Ex-99.1 'Treasury Strategy Progress (as of April 29, 2026)'</t>
  </si>
  <si>
    <t xml:space="preserve">'Materially increased treasury to 20.0 million HYPE tokens (as of April 29, 2026), with $103 million in cash remaining.'</t>
  </si>
  <si>
    <t xml:space="preserve">S-1 22-May-2026 (accession 0001193125-26-234992); repeated unchanged in S-1/A 16-Jun and 25-Jun</t>
  </si>
  <si>
    <t xml:space="preserve">'As of May 14, 2026, the Company holds approximately 20.8 million HYPE tokens.' The June amendments did NOT refresh this date - it is stale in those documents.</t>
  </si>
  <si>
    <t xml:space="preserve">S-1/A 21-Jul-2026 (accession 0001193125-26-309340)</t>
  </si>
  <si>
    <t xml:space="preserve">'As of July 15, 2026, the Company holds approximately 29.3 million HYPE tokens.' Same filing: 21.2m staked to own validator (72.5%), 8.1m delegated to Anchorage (27.5%).</t>
  </si>
  <si>
    <t xml:space="preserve">Total 2-Dec-25 to 15-Jul-26</t>
  </si>
  <si>
    <t xml:space="preserve">Net add</t>
  </si>
  <si>
    <t xml:space="preserve">Cross-check: D column total must equal B column difference.</t>
  </si>
  <si>
    <t xml:space="preserve">Current market value of the 15-Jul-2026 position</t>
  </si>
  <si>
    <t xml:space="preserve">Priced at the HYPE assumption on the Assumptions tab. Update that cell.</t>
  </si>
  <si>
    <t xml:space="preserve">Tier 2 - Company treasury dashboard, weekly inputs</t>
  </si>
  <si>
    <t xml:space="preserve">Company estimates, unaudited. Only the 20-Aug row is published on the dashboard page; the rest come from the site's unauthenticated version-history feed. See README caveat 3.</t>
  </si>
  <si>
    <t xml:space="preserve">Page date (as published)</t>
  </si>
  <si>
    <t xml:space="preserve">Data as-of date (page date less 7d, per company note)</t>
  </si>
  <si>
    <t xml:space="preserve">HYPE held (m)</t>
  </si>
  <si>
    <t xml:space="preserve">WoW change (m)</t>
  </si>
  <si>
    <t xml:space="preserve">Shares, common + pref as-converted (m)</t>
  </si>
  <si>
    <t xml:space="preserve">WoW share change (m)</t>
  </si>
  <si>
    <t xml:space="preserve">Cash ($m)</t>
  </si>
  <si>
    <t xml:space="preserve">Cumulative treasury deployment ($m)</t>
  </si>
  <si>
    <t xml:space="preserve">WoW deployment ($m)</t>
  </si>
  <si>
    <t xml:space="preserve">Est. tax basis in HYPE ($m)</t>
  </si>
  <si>
    <t xml:space="preserve">WoW basis change ($m)</t>
  </si>
  <si>
    <t xml:space="preserve">Implied $ per incremental token</t>
  </si>
  <si>
    <t xml:space="preserve">Published (UTC)</t>
  </si>
  <si>
    <t xml:space="preserve">Note</t>
  </si>
  <si>
    <t xml:space="preserve">2026-07-03 00:37</t>
  </si>
  <si>
    <t xml:space="preserve">2026-07-09 11:26</t>
  </si>
  <si>
    <t xml:space="preserve">2026-07-16 12:10</t>
  </si>
  <si>
    <t xml:space="preserve">2026-07-23 06:49</t>
  </si>
  <si>
    <t xml:space="preserve">2026-07-30 15:02</t>
  </si>
  <si>
    <t xml:space="preserve">Deployment rises, cash falls, share count falls, HYPE flat -&gt; buyback, not accumulation.</t>
  </si>
  <si>
    <t xml:space="preserve">2026-08-06 10:30</t>
  </si>
  <si>
    <t xml:space="preserve">Largest weekly deployment in the window; share count -2.16m. HYPE still flat.</t>
  </si>
  <si>
    <t xml:space="preserve">2026-08-13 11:56</t>
  </si>
  <si>
    <t xml:space="preserve">2026-08-20 01:14</t>
  </si>
  <si>
    <t xml:space="preserve">SUPERSEDED - republished 13 hours later as the 20-Aug page. Shown for completeness; exclude from the series.</t>
  </si>
  <si>
    <t xml:space="preserve">2026-08-20 14:17</t>
  </si>
  <si>
    <t xml:space="preserve">+0.07m HYPE and +$4.89m tax basis with NO change to cash or cumulative deployment. Most likely a periodic booking of staking rewards (implies c.$70/token), but the inputs are internally inconsistent as published. FLAGGED.</t>
  </si>
  <si>
    <t xml:space="preserve">Series summary (excl. superseded 19-Aug row)</t>
  </si>
  <si>
    <t xml:space="preserve">Over 7 weeks: HYPE +0.09m (+0.3%), shares -2.68m (-1.2%), cash -$16.8m, deployment +$17.3m.</t>
  </si>
  <si>
    <t xml:space="preserve">Derived: implied buyback price over 23-Jul to 13-Aug</t>
  </si>
  <si>
    <t xml:space="preserve">USD/share</t>
  </si>
  <si>
    <t xml:space="preserve">Cumulative deployment added divided by shares retired, over a window where HYPE held was unchanged. An inference, not a company disclosure.</t>
  </si>
  <si>
    <t xml:space="preserve">Derived: HYPE per 1,000 as-converted shares, latest</t>
  </si>
  <si>
    <t xml:space="preserve">HYPE / 1,000 sh</t>
  </si>
  <si>
    <t xml:space="preserve">Excludes warrant dilution. See README - this is the metric that matters for a DAT, not the raw token count.</t>
  </si>
  <si>
    <t xml:space="preserve">PURR share count - every dated observation</t>
  </si>
  <si>
    <t xml:space="preserve">Common shares OUTSTANDING (net of treasury) unless noted. Preferred is shown as-converted at a fixed 26,587,647. NOTHING IS INTERPOLATED - blank months are blank.</t>
  </si>
  <si>
    <t xml:space="preserve">Confirmed from the dashboard's own source code: its 'Basic Shares' input = common + preferred as-converted. Common is therefore derived as Basic x 1,000,000 less 26,587,647.</t>
  </si>
  <si>
    <t xml:space="preserve">Month</t>
  </si>
  <si>
    <t xml:space="preserve">Common shares outstanding</t>
  </si>
  <si>
    <t xml:space="preserve">Preferred, as-converted</t>
  </si>
  <si>
    <t xml:space="preserve">Common + preferred (as-converted)</t>
  </si>
  <si>
    <t xml:space="preserve">Change vs prior obs.</t>
  </si>
  <si>
    <t xml:space="preserve">Days since prior obs.</t>
  </si>
  <si>
    <t xml:space="preserve">Tier</t>
  </si>
  <si>
    <t xml:space="preserve">Month-end?</t>
  </si>
  <si>
    <t xml:space="preserve">Source</t>
  </si>
  <si>
    <t xml:space="preserve">Dec-25</t>
  </si>
  <si>
    <t xml:space="preserve">No</t>
  </si>
  <si>
    <t xml:space="preserve">10-Q cover page (dei:EntityCommonStockSharesOutstanding), filed 8-Dec-25</t>
  </si>
  <si>
    <t xml:space="preserve">First post-listing count. Treasury shares still nil at this date.</t>
  </si>
  <si>
    <t xml:space="preserve">YES</t>
  </si>
  <si>
    <t xml:space="preserve">10-Q QE 31-Dec-25, balance sheet</t>
  </si>
  <si>
    <t xml:space="preserve">Issued 127,034,605 less 2,941,557 treasury shares ($10.143m, avg $3.45). Buyback programme underway.</t>
  </si>
  <si>
    <t xml:space="preserve">Jan-26</t>
  </si>
  <si>
    <t xml:space="preserve">NO DATA</t>
  </si>
  <si>
    <t xml:space="preserve">GAP - no filing or dashboard covers January</t>
  </si>
  <si>
    <t xml:space="preserve">Genuine hole. Do not interpolate across the Dec-Feb buyback.</t>
  </si>
  <si>
    <t xml:space="preserve">Feb-26</t>
  </si>
  <si>
    <t xml:space="preserve">10-Q cover page, filed 11-Feb-26</t>
  </si>
  <si>
    <t xml:space="preserve">Ties exactly: 124,093,048 less 125,540 = 123,967,508, and treasury rose by exactly 125,540 to 3,067,097. All Q3 FY26 buybacks were complete by this date.</t>
  </si>
  <si>
    <t xml:space="preserve">Mar-26</t>
  </si>
  <si>
    <t xml:space="preserve">10-Q QE 31-Mar-26, balance sheet</t>
  </si>
  <si>
    <t xml:space="preserve">Issued 127,287,205 less 3,067,097 treasury.</t>
  </si>
  <si>
    <t xml:space="preserve">Apr-26</t>
  </si>
  <si>
    <t xml:space="preserve">GAP - no filing or dashboard covers April</t>
  </si>
  <si>
    <t xml:space="preserve">Genuine hole, and it sits in the middle of the largest equity issuance window. Do not interpolate.</t>
  </si>
  <si>
    <t xml:space="preserve">May-26</t>
  </si>
  <si>
    <t xml:space="preserve">10-Q cover page, filed 8-May-26</t>
  </si>
  <si>
    <t xml:space="preserve">+10.4m vs 31-Mar in five weeks - ATM issuance under the $1bn Chardan equity facility.</t>
  </si>
  <si>
    <t xml:space="preserve">S-1 filed 22-May-26</t>
  </si>
  <si>
    <t xml:space="preserve">'As of May 19, 2026, there were 144,447,571 shares... outstanding and 166,173 shares of Series A preferred'.</t>
  </si>
  <si>
    <t xml:space="preserve">Jun-26</t>
  </si>
  <si>
    <t xml:space="preserve">S-1/A filed 16-Jun-26 (repeated unchanged in the 25-Jun amendment)</t>
  </si>
  <si>
    <t xml:space="preserve">+52.1m in four weeks. This is the peak issuance month.</t>
  </si>
  <si>
    <t xml:space="preserve">~ proxy</t>
  </si>
  <si>
    <t xml:space="preserve">Dashboard page dated 02-Jul-26, data as-of 25-Jun on the company's stated one-week lag</t>
  </si>
  <si>
    <t xml:space="preserve">Derived: 227.11m basic less 26,587,647 preferred. Precision is only +/-10,000 (basic is rounded to 0.01m).</t>
  </si>
  <si>
    <t xml:space="preserve">Jul-26</t>
  </si>
  <si>
    <t xml:space="preserve">S-1/A filed 21-Jul-26</t>
  </si>
  <si>
    <t xml:space="preserve">Best mid-July anchor. A 13G/A filed 6-Aug cites 200,563,860 for the same date - a 169-share transcription difference. Use the S-1/A.</t>
  </si>
  <si>
    <t xml:space="preserve">Dashboard page dated 30-Jul-26, data as-of 23-Jul</t>
  </si>
  <si>
    <t xml:space="preserve">First observed decline - buyback resumes.</t>
  </si>
  <si>
    <t xml:space="preserve">Dashboard page dated 06-Aug-26, data as-of 30-Jul</t>
  </si>
  <si>
    <t xml:space="preserve">-2.16m in one week, the largest single-week retirement in the series.</t>
  </si>
  <si>
    <t xml:space="preserve">Aug-26</t>
  </si>
  <si>
    <t xml:space="preserve">Dashboard page dated 13-Aug-26, data as-of 06-Aug</t>
  </si>
  <si>
    <t xml:space="preserve">LATEST</t>
  </si>
  <si>
    <t xml:space="preserve">Dashboard page dated 20-Aug-26, data as-of 13-Aug</t>
  </si>
  <si>
    <t xml:space="preserve">Most recent observation of any kind. Not yet in any SEC filing.</t>
  </si>
  <si>
    <t xml:space="preserve">Latest observed</t>
  </si>
  <si>
    <t xml:space="preserve">Change vs 31-Dec-25 in shares (col F); in per cent -&gt;</t>
  </si>
  <si>
    <t xml:space="preserve">HYPE per 1,000 as-converted shares, latest</t>
  </si>
  <si>
    <t xml:space="preserve">per 1,000 as-converted</t>
  </si>
  <si>
    <t xml:space="preserve">per 1,000 common</t>
  </si>
  <si>
    <t xml:space="preserve">Latest HYPE holdings divided by the latest share count. Both are 13-Aug-2026 dashboard estimates on the company's lag convention, so the numerator and denominator are at least date-consistent.</t>
  </si>
  <si>
    <t xml:space="preserve">FLAGS ON THIS SHEET</t>
  </si>
  <si>
    <t xml:space="preserve">1.  Two definitions in play. Cover-page counts (dei) and balance-sheet counts are both net of treasury, and they tie</t>
  </si>
  <si>
    <t xml:space="preserve">    where they overlap. Dashboard counts are DERIVED from a figure rounded to 0.01m, so they carry +/-10,000 precision.</t>
  </si>
  <si>
    <t xml:space="preserve">2.  Dashboard vs registration statement disagree by ~41,000 shares on the same mid-July date (200,522,353 derived vs</t>
  </si>
  <si>
    <t xml:space="preserve">    200,563,691 stated). That is larger than the rounding band, so the two are not the same measure - the dashboard may</t>
  </si>
  <si>
    <t xml:space="preserve">    exclude unvested restricted shares. Immaterial at 0.02%, but do not present them as the same series.</t>
  </si>
  <si>
    <t xml:space="preserve">3.  January and April 2026 have no observation of any kind. Both sit inside periods of real activity (a buyback and the</t>
  </si>
  <si>
    <t xml:space="preserve">    largest issuance window respectively). Leave them blank in any chart.</t>
  </si>
  <si>
    <t xml:space="preserve">4.  Warrants do not reconcile between sources. The 10-Q lists Advisor Warrants 27,394,800 plus Sonnet warrants 2,426,481</t>
  </si>
  <si>
    <t xml:space="preserve">    = 29,821,281, all antidilutive at the time. The dashboard lists five tranches totalling 28.63m at strikes of $6.25,</t>
  </si>
  <si>
    <t xml:space="preserve">    $9.38, $12.50 and $18.75. I have NOT built a fully-diluted series because of this - if you need one, ask IR which</t>
  </si>
  <si>
    <t xml:space="preserve">    schedule is current before you publish a number.</t>
  </si>
  <si>
    <t xml:space="preserve">5.  The Feb-2026 release's '150.6m fully diluted' = 123,967,508 common + 26,587,647 preferred. It excludes warrants</t>
  </si>
  <si>
    <t xml:space="preserve">    entirely (all were out of the money). Check what any 'fully diluted' figure you quote actually contains.</t>
  </si>
  <si>
    <t xml:space="preserve">6.  The ~2.7m shares retired since mid-July are NOT yet in any SEC filing. They appear only in dashboard inputs.</t>
  </si>
  <si>
    <t xml:space="preserve">PURR diluted share count - treasury stock method</t>
  </si>
  <si>
    <t xml:space="preserve">Diluted share count is PRICE-DEPENDENT. It is not a fact you can look up; it is a calculation that changes every day the stock moves. Everything below recalculates off the PURR price in each row.</t>
  </si>
  <si>
    <t xml:space="preserve">Method matches the company's own stated formula: each warrant adds (Share Price less Exercise) x Amount / Share Price, counted only when Exercise is below Share Price. The Advisor Warrants carry a cashless exercise provision, so treasury-stock method is the correct treatment and no cash proceeds arrive.</t>
  </si>
  <si>
    <t xml:space="preserve">A.  INSTRUMENT INVENTORY (as of 31 March 2026 - the latest full disclosure)</t>
  </si>
  <si>
    <t xml:space="preserve">Instrument</t>
  </si>
  <si>
    <t xml:space="preserve">Warrant shares</t>
  </si>
  <si>
    <t xml:space="preserve">Exercise price</t>
  </si>
  <si>
    <t xml:space="preserve">Value (shares x strike)</t>
  </si>
  <si>
    <t xml:space="preserve">Source and note</t>
  </si>
  <si>
    <t xml:space="preserve">Advisor Warrants - tranche 1 of 3</t>
  </si>
  <si>
    <t xml:space="preserve">S-1/A 21-Jul-26: 27,394,800 Advisor Warrants issued at Closing, exercisable 5 years, one third each at $9.375 / $12.50 / $18.75. Matches the dashboard's 'Sponsor 1.5x' tranche.</t>
  </si>
  <si>
    <t xml:space="preserve">Advisor Warrants - tranche 2 of 3</t>
  </si>
  <si>
    <t xml:space="preserve">Dashboard 'Sponsor 2.0x'.</t>
  </si>
  <si>
    <t xml:space="preserve">Advisor Warrants - tranche 3 of 3</t>
  </si>
  <si>
    <t xml:space="preserve">Dashboard 'Sponsor 3.0x'.</t>
  </si>
  <si>
    <t xml:space="preserve">2025 Bridge Financing Warrants (200% coverage)</t>
  </si>
  <si>
    <t xml:space="preserve">Strike and amount per the dashboard's warrant table only - not separately quantified in the filings. Part of the 2,426,481 non-Advisor block.</t>
  </si>
  <si>
    <t xml:space="preserve">2025 PIPE Financing Warrants</t>
  </si>
  <si>
    <t xml:space="preserve">Dashboard only, as above.</t>
  </si>
  <si>
    <t xml:space="preserve">Legacy warrant remainder - NOT IDENTIFIED</t>
  </si>
  <si>
    <t xml:space="preserve">PLUG. The filings give 29,821,281 total warrants at a weighted average strike of $13.93; the Advisor block accounts for 27,394,800 at an average of $13.5417. That leaves 2,426,481 at an implied average of $18.31. Net of the two dashboard tranches above, this residual is implied at ~$30.92. Deep out of the money on any current view, so it does not affect the diluted count - but the strike is DERIVED, not disclosed.</t>
  </si>
  <si>
    <t xml:space="preserve">Total warrants outstanding</t>
  </si>
  <si>
    <t xml:space="preserve">Weighted average strike in column C is calculated, and must equal the $13.93 disclosed in the S-1/A.</t>
  </si>
  <si>
    <t xml:space="preserve">TIE-OUT vs disclosure</t>
  </si>
  <si>
    <t xml:space="preserve">Memo - other potentially dilutive instruments</t>
  </si>
  <si>
    <t xml:space="preserve">Fixed conversion into 26,587,647 common. INCLUDED in the basic count throughout this workbook, per the company's own convention. Subject to blocker provisions, so the full amount may not be convertible at a point in time.</t>
  </si>
  <si>
    <t xml:space="preserve">Unvested RSUs, 2025 Equity Incentive Plan</t>
  </si>
  <si>
    <t xml:space="preserve">As of 31-Mar-26. EXCLUDED from the bridge below because the dashboard excludes them and the treasury-stock effect is small: the reported dilutive effect in Q3 FY26 was only 7,901 shares. Stale by five months and will have grown - 326,312 RSUs were granted in the nine months to March.</t>
  </si>
  <si>
    <t xml:space="preserve">Shares reserved for future issuance under the EIP</t>
  </si>
  <si>
    <t xml:space="preserve">As of 31-Mar-26. EXCLUDED - reserved, not outstanding. Do not add these to a diluted count.</t>
  </si>
  <si>
    <t xml:space="preserve">B.  DILUTED SHARE COUNT AT EACH DATED OBSERVATION</t>
  </si>
  <si>
    <t xml:space="preserve">PURR close ($)</t>
  </si>
  <si>
    <t xml:space="preserve">Common shares o/s</t>
  </si>
  <si>
    <t xml:space="preserve">Preferred as-converted</t>
  </si>
  <si>
    <t xml:space="preserve">Basic (common + preferred)</t>
  </si>
  <si>
    <t xml:space="preserve">Warrant dilution (TSM)</t>
  </si>
  <si>
    <t xml:space="preserve">Diluted shares</t>
  </si>
  <si>
    <t xml:space="preserve">Dilution vs basic (%)</t>
  </si>
  <si>
    <t xml:space="preserve">ITM tranches</t>
  </si>
  <si>
    <t xml:space="preserve">10-Q cover</t>
  </si>
  <si>
    <t xml:space="preserve">10-Q balance sheet</t>
  </si>
  <si>
    <t xml:space="preserve">S-1</t>
  </si>
  <si>
    <t xml:space="preserve">S-1/A. PURR closed 3.5 cents below the $9.375 strike - the first tranche was very nearly in the money.</t>
  </si>
  <si>
    <t xml:space="preserve">S-1/A</t>
  </si>
  <si>
    <t xml:space="preserve">Dashboard, data as-of</t>
  </si>
  <si>
    <t xml:space="preserve">Dashboard, data as-of. Last date on which share count and price are both properly dated.</t>
  </si>
  <si>
    <t xml:space="preserve">MISMATCHED DATES: price is the 26-Aug close, share count is still the 13-Aug estimate. PURR rose 70% over those nine sessions and crossed the $9.375 strike. Shown because it is the only current view available, but the numerator and denominator are not date-consistent.</t>
  </si>
  <si>
    <t xml:space="preserve">C.  SENSITIVITY - diluted shares at the 13-Aug-2026 basic count, across PURR prices</t>
  </si>
  <si>
    <t xml:space="preserve">PURR price</t>
  </si>
  <si>
    <t xml:space="preserve">Below every strike - no dilution at all.</t>
  </si>
  <si>
    <t xml:space="preserve">At the first Advisor strike. One cent higher and 9.13m warrants begin to count.</t>
  </si>
  <si>
    <t xml:space="preserve">Last close, 26-Aug-2026.</t>
  </si>
  <si>
    <t xml:space="preserve">Second Advisor tranche starts to count here.</t>
  </si>
  <si>
    <t xml:space="preserve">Third Advisor tranche starts to count here.</t>
  </si>
  <si>
    <t xml:space="preserve">All warrants deep in the money; dilution asymptotes toward the full 29.8m share count.</t>
  </si>
  <si>
    <t xml:space="preserve">D.  HYPE PER SHARE ON A DILUTED BASIS</t>
  </si>
  <si>
    <t xml:space="preserve">Latest HYPE holdings (13-Aug-26 dashboard estimate)</t>
  </si>
  <si>
    <t xml:space="preserve">Green = link to another sheet in this workbook.</t>
  </si>
  <si>
    <t xml:space="preserve">HYPE per 1,000 basic shares (13-Aug price and count)</t>
  </si>
  <si>
    <t xml:space="preserve">HYPE per 1,000 diluted shares (13-Aug price and count)</t>
  </si>
  <si>
    <t xml:space="preserve">HYPE per 1,000 diluted shares (at $11.56, stale 13-Aug count)</t>
  </si>
  <si>
    <t xml:space="preserve">Uses the mismatched-date row. Directionally right, not publishable as stated.</t>
  </si>
  <si>
    <t xml:space="preserve">1.  There is no single 'diluted share count'. It moves with the PURR price. Any number you print must name the price</t>
  </si>
  <si>
    <t xml:space="preserve">    and the date it was struck at. Section C shows how much it moves.</t>
  </si>
  <si>
    <t xml:space="preserve">2.  PURR crossed the first Advisor strike in the last two weeks. On 13-Aug the stock was $6.82 and nothing was in the</t>
  </si>
  <si>
    <t xml:space="preserve">    money except the two small $6.25 tranches. On 26-Aug it closed at $11.56 and 9,131,600 warrants came into the money.</t>
  </si>
  <si>
    <t xml:space="preserve">    No filing and no dashboard update yet reflects that. This is the single most likely place for an error in a note</t>
  </si>
  <si>
    <t xml:space="preserve">    written this week.</t>
  </si>
  <si>
    <t xml:space="preserve">3.  The $12.50 tranche is 8% above the last close. A modest further move adds another 9.13m warrants to the count.</t>
  </si>
  <si>
    <t xml:space="preserve">    Treat the diluted number as a range, not a point.</t>
  </si>
  <si>
    <t xml:space="preserve">4.  The 1,186,481-share residual and its ~$30.92 strike are DERIVED from the disclosed $13.93 weighted average, not</t>
  </si>
  <si>
    <t xml:space="preserve">    disclosed directly. That average is itself rounded to two decimals, so the implied strike carries roughly +/-$0.13</t>
  </si>
  <si>
    <t xml:space="preserve">    of uncertainty. It is deep out of the money either way, so the diluted count is unaffected - but do not present the</t>
  </si>
  <si>
    <t xml:space="preserve">    $30.92 as a company figure.</t>
  </si>
  <si>
    <t xml:space="preserve">5.  RSUs are excluded here, matching the dashboard. If you want them in, the count is 747,935 as of 31-Mar-26 and stale.</t>
  </si>
  <si>
    <t xml:space="preserve">    The reported treasury-stock effect was only 7,901 shares in Q3 FY26, so including them changes little today.</t>
  </si>
  <si>
    <t xml:space="preserve">6.  The 5,783,343 EIP reserve is NOT outstanding. It appears in the S-1/A 'as adjusted' bullets next to the warrant and</t>
  </si>
  <si>
    <t xml:space="preserve">    RSU figures, which is exactly where people pick it up by mistake.</t>
  </si>
  <si>
    <t xml:space="preserve">7.  Preferred is carried at the full 26,587,647 throughout, in both basic and diluted. Blocker provisions may cap actual</t>
  </si>
  <si>
    <t xml:space="preserve">    conversion, so a strict as-converted count could be lower. The company's own dashboard makes the same simplification.</t>
  </si>
  <si>
    <t xml:space="preserve">8.  Share counts after 15-Jul-2026 come from the dashboard and are not in any SEC filing. Same caveat as elsewhere.</t>
  </si>
  <si>
    <t xml:space="preserve">Tier 3 - Unit-level roll-forward, per 10-Q Note 3 (Digital Assets)</t>
  </si>
  <si>
    <t xml:space="preserve">Source: 10-Q for the quarter ended 31 March 2026, accession 0001193125-26-212519, Note 3. Dollar and unit tables reproduced side by side.</t>
  </si>
  <si>
    <t xml:space="preserve">Line</t>
  </si>
  <si>
    <t xml:space="preserve">HYPE tokens</t>
  </si>
  <si>
    <t xml:space="preserve">HYPE $000</t>
  </si>
  <si>
    <t xml:space="preserve">Implied $/token</t>
  </si>
  <si>
    <t xml:space="preserve">Comment</t>
  </si>
  <si>
    <t xml:space="preserve">Balance, 30 June 2025</t>
  </si>
  <si>
    <t xml:space="preserve">Balance, 30 September 2025</t>
  </si>
  <si>
    <t xml:space="preserve">Contributions of HYPE from Rorschach Contributions</t>
  </si>
  <si>
    <t xml:space="preserve">Recognised at commitment-date fair value of $46.37. Actual closing-date value was $411.3m ($32.86), producing a $169.2m loss on contribution commitment.</t>
  </si>
  <si>
    <t xml:space="preserve">Purchases (quarter to 31 December 2025)</t>
  </si>
  <si>
    <t xml:space="preserve">First open-market accumulation.</t>
  </si>
  <si>
    <t xml:space="preserve">Unrealized loss</t>
  </si>
  <si>
    <t xml:space="preserve">Loss on HYPE contribution commitment</t>
  </si>
  <si>
    <t xml:space="preserve">Receipt of HYPE from staking activities</t>
  </si>
  <si>
    <t xml:space="preserve">Non-cash. Adds tokens without deploying capital.</t>
  </si>
  <si>
    <t xml:space="preserve">Balance, 31 December 2025</t>
  </si>
  <si>
    <t xml:space="preserve">Ties to XBRL CryptoAssetNumberOfUnits. Quarter-end HYPE $25.48.</t>
  </si>
  <si>
    <t xml:space="preserve">Purchases (quarter to 31 March 2026)</t>
  </si>
  <si>
    <t xml:space="preserve">Unrealized gains</t>
  </si>
  <si>
    <t xml:space="preserve">4.5x the prior quarter's staking receipts, on a larger staked base.</t>
  </si>
  <si>
    <t xml:space="preserve">Other receipts of HYPE</t>
  </si>
  <si>
    <t xml:space="preserve">Balance, 31 March 2026</t>
  </si>
  <si>
    <t xml:space="preserve">Quarter-end HYPE $36.60. A further $0.5m of USDC brings total digital assets to $689.545m.</t>
  </si>
  <si>
    <t xml:space="preserve">TIE-OUT: 12,857,533 + 5,884,940 + 83,832 + 50</t>
  </si>
  <si>
    <t xml:space="preserve">Weighted average cash cost of tokens PURCHASED (Dec-25 + Q3 FY26)</t>
  </si>
  <si>
    <t xml:space="preserve">This is the only defensible average cost figure. It EXCLUDES the 12.5m contributed tokens, which were never purchased. Do not blend the two.</t>
  </si>
  <si>
    <t xml:space="preserve">Merged observation series - every dated HYPE holdings datapoint, by source tier</t>
  </si>
  <si>
    <t xml:space="preserve">Sorted by as-of date. NOTHING IS INTERPOLATED. Gaps between rows are real gaps in disclosure and should be shown as such in any chart.</t>
  </si>
  <si>
    <t xml:space="preserve">Tokens (m)</t>
  </si>
  <si>
    <t xml:space="preserve">Change vs prior (tokens)</t>
  </si>
  <si>
    <t xml:space="preserve">Implied tokens added per day</t>
  </si>
  <si>
    <t xml:space="preserve">Value at current HYPE ($m)</t>
  </si>
  <si>
    <t xml:space="preserve">10-Q Q3 FY26 Note 3 (roll-forward)</t>
  </si>
  <si>
    <t xml:space="preserve">10-Q Q2 FY26 Note 3 / XBRL</t>
  </si>
  <si>
    <t xml:space="preserve">8-K 11-Feb-26 Ex-99.1</t>
  </si>
  <si>
    <t xml:space="preserve">10-Q Q3 FY26 Note 3</t>
  </si>
  <si>
    <t xml:space="preserve">8-K 7-May-26 Ex-99.1</t>
  </si>
  <si>
    <t xml:space="preserve">S-1 22-May-26</t>
  </si>
  <si>
    <t xml:space="preserve">NOT DISCLOSED</t>
  </si>
  <si>
    <t xml:space="preserve">GAP - S-1/A amendments of 16-Jun and 25-Jun did not refresh the holdings date</t>
  </si>
  <si>
    <t xml:space="preserve">AWAITED</t>
  </si>
  <si>
    <t xml:space="preserve">FY2026 10-K / earnings release - webcast 27-Aug-26 08:00 ET, not filed as at 09:45 UTC</t>
  </si>
  <si>
    <t xml:space="preserve">Rounded 0.01m</t>
  </si>
  <si>
    <t xml:space="preserve">Dashboard version history (page dated 02-Jul-26)</t>
  </si>
  <si>
    <t xml:space="preserve">Dashboard version history</t>
  </si>
  <si>
    <t xml:space="preserve">S-1/A 21-Jul-26</t>
  </si>
  <si>
    <t xml:space="preserve">Dashboard version history. The apparent -20k vs the 15-Jul S-1/A figure is a rounding artefact of mixing a 0.1m-rounded disclosure with a 0.01m-rounded estimate - NOT a sale.</t>
  </si>
  <si>
    <t xml:space="preserve">Dashboard, live (current published page)</t>
  </si>
  <si>
    <t xml:space="preserve">Latest observed holdings</t>
  </si>
  <si>
    <t xml:space="preserve">Gap-aware LOOKUP - returns the last non-blank observation, not the last row.</t>
  </si>
  <si>
    <t xml:space="preserve">Growth, 2-Dec-25 to latest</t>
  </si>
  <si>
    <t xml:space="preserve">Multiple of the opening in-kind contribution.</t>
  </si>
  <si>
    <t xml:space="preserve">CHART GUIDANCE</t>
  </si>
  <si>
    <t xml:space="preserve">Plot Tier 1 as markers with a dashed connector; plot Tier 2 as a separate stepped series. Do not draw one continuous line through both - the two are different measurement bases (audited/disclosed vs weekly company estimate) and the 25-Jun and 30-Jun rows are genuine holes.</t>
  </si>
  <si>
    <t xml:space="preserve">Third-party trackers - do not use</t>
  </si>
  <si>
    <t xml:space="preserve">Checked 27-Aug-2026. Both are materially wrong, in opposite directions.</t>
  </si>
  <si>
    <t xml:space="preserve">HYPE holdings shown</t>
  </si>
  <si>
    <t xml:space="preserve">Avg cost shown</t>
  </si>
  <si>
    <t xml:space="preserve">Total cost shown</t>
  </si>
  <si>
    <t xml:space="preserve">What is actually wrong</t>
  </si>
  <si>
    <t xml:space="preserve">Verdict</t>
  </si>
  <si>
    <t xml:space="preserve">CoinGecko treasuries</t>
  </si>
  <si>
    <t xml:space="preserve">17,600,000</t>
  </si>
  <si>
    <t xml:space="preserve">$7.36</t>
  </si>
  <si>
    <t xml:space="preserve">$129.5m</t>
  </si>
  <si>
    <t xml:space="preserve">The 17.6m figure is the 3-Feb-2026 press release number, six months stale and 40% below the current position. The cost basis divides $129.5m (the cash spent on ~5.0m purchased tokens) by all 17.6m tokens, 12.5m of which were contributed in kind and cost the company nothing in cash. The stock price shown ($10.08) also did not match the market.</t>
  </si>
  <si>
    <t xml:space="preserve">Stale and methodologically wrong</t>
  </si>
  <si>
    <t xml:space="preserve">DefiLlama DAT page</t>
  </si>
  <si>
    <t xml:space="preserve">16,890,000</t>
  </si>
  <si>
    <t xml:space="preserve">$46.37</t>
  </si>
  <si>
    <t xml:space="preserve">$783.15m</t>
  </si>
  <si>
    <t xml:space="preserve">Holdings figure does not correspond to any disclosed balance. $46.37 is the commitment-date valuation of the contributed tokens, not a purchase price - the tokens were actually recognised at $32.86 on the closing date. 'Total transactions: 2' and 'latest announcement 3-Dec-2025' show the feed stopped updating at listing.</t>
  </si>
  <si>
    <t xml:space="preserve">Correct, per filings</t>
  </si>
  <si>
    <t xml:space="preserve">29,350,000 (20-Aug-26 dashboard) / 18,826,355 (31-Mar-26 audited-period balance)</t>
  </si>
  <si>
    <t xml:space="preserve">See Token_RollForward</t>
  </si>
  <si>
    <t xml:space="preserve">n/a</t>
  </si>
  <si>
    <t xml:space="preserve">Cash cost only applies to purchased tokens. Contributed tokens must be carried separately or the average is meaningless.</t>
  </si>
  <si>
    <t xml:space="preserve">Use this</t>
  </si>
  <si>
    <t xml:space="preserve">Source log - every endpoint and document used</t>
  </si>
  <si>
    <t xml:space="preserve">#</t>
  </si>
  <si>
    <t xml:space="preserve">URL</t>
  </si>
  <si>
    <t xml:space="preserve">What it gave</t>
  </si>
  <si>
    <t xml:space="preserve">Access notes</t>
  </si>
  <si>
    <t xml:space="preserve">SEC EDGAR submissions</t>
  </si>
  <si>
    <t xml:space="preserve">https://data.sec.gov/submissions/CIK0002078856.json</t>
  </si>
  <si>
    <t xml:space="preserve">Entity verification: name, CIK, ticker PURR, Nasdaq, full filing index</t>
  </si>
  <si>
    <t xml:space="preserve">Public. Confirms hypestrat.xyz is the genuine IR site.</t>
  </si>
  <si>
    <t xml:space="preserve">10-Q, QE 31-Mar-2026</t>
  </si>
  <si>
    <t xml:space="preserve">https://www.sec.gov/Archives/edgar/data/2078856/000119312526212519/purr-20260331.htm</t>
  </si>
  <si>
    <t xml:space="preserve">Note 3 unit and dollar roll-forward; 31-Mar balance 18,826,355</t>
  </si>
  <si>
    <t xml:space="preserve">Primary source. Highest reliability.</t>
  </si>
  <si>
    <t xml:space="preserve">10-Q, QE 31-Dec-2025</t>
  </si>
  <si>
    <t xml:space="preserve">https://www.sec.gov/Archives/edgar/data/2078856/000119312526045901/purr-20251231.htm</t>
  </si>
  <si>
    <t xml:space="preserve">31-Dec balance 12,857,533</t>
  </si>
  <si>
    <t xml:space="preserve">Primary source.</t>
  </si>
  <si>
    <t xml:space="preserve">XBRL company facts</t>
  </si>
  <si>
    <t xml:space="preserve">https://data.sec.gov/api/xbrl/companyfacts/CIK0002078856.json</t>
  </si>
  <si>
    <t xml:space="preserve">CryptoAssetNumberOfUnits, CryptoAssetFairValue, share counts</t>
  </si>
  <si>
    <t xml:space="preserve">Only 31-Dec-2025 units are XBRL-tagged; 31-Mar units are in the note text only.</t>
  </si>
  <si>
    <t xml:space="preserve">8-K 11-Feb-2026, Ex-99.1</t>
  </si>
  <si>
    <t xml:space="preserve">https://www.sec.gov/Archives/edgar/data/2078856/000119312526045553/purr-ex99_1.htm</t>
  </si>
  <si>
    <t xml:space="preserve">17.6m as of 3-Feb-2026; 150.6m FD shares</t>
  </si>
  <si>
    <t xml:space="preserve">Rounded figures.</t>
  </si>
  <si>
    <t xml:space="preserve">8-K 7-May-2026, Ex-99.1</t>
  </si>
  <si>
    <t xml:space="preserve">https://www.sec.gov/Archives/edgar/data/2078856/000119312526212109/purr-ex99_1.htm</t>
  </si>
  <si>
    <t xml:space="preserve">20.0m as of 29-Apr-2026; $216.0m deployed since inception</t>
  </si>
  <si>
    <t xml:space="preserve">S-1 22-May-2026</t>
  </si>
  <si>
    <t xml:space="preserve">https://www.sec.gov/Archives/edgar/data/2078856/000119312526234992/d50758ds1.htm</t>
  </si>
  <si>
    <t xml:space="preserve">20.8m as of 14-May-2026</t>
  </si>
  <si>
    <t xml:space="preserve">S-1/A 21-Jul-2026</t>
  </si>
  <si>
    <t xml:space="preserve">https://www.sec.gov/Archives/edgar/data/2078856/000119312526309340/d50758ds1a.htm</t>
  </si>
  <si>
    <t xml:space="preserve">29.3m as of 15-Jul-2026; staking split 21.2m / 8.1m; $645m equity issued since 31-Mar</t>
  </si>
  <si>
    <t xml:space="preserve">Most recent primary disclosure.</t>
  </si>
  <si>
    <t xml:space="preserve">HSI dashboard (live)</t>
  </si>
  <si>
    <t xml:space="preserve">https://hypestrat.xyz/api/dashboard-inputs</t>
  </si>
  <si>
    <t xml:space="preserve">Current week's inputs: 29.35m HYPE, effective 20-Aug-2026</t>
  </si>
  <si>
    <t xml:space="preserve">Public JSON behind the published dashboard page.</t>
  </si>
  <si>
    <t xml:space="preserve">HSI dashboard (archive)</t>
  </si>
  <si>
    <t xml:space="preserve">https://hypestrat.xyz/api/dashboard-history</t>
  </si>
  <si>
    <t xml:space="preserve">Eight prior weekly snapshots, 02-Jul to 19-Aug-2026</t>
  </si>
  <si>
    <t xml:space="preserve">UNAUTHENTICATED admin version-history feed. Not IR-published. See README caveat 3. Retains ~8 snapshots only.</t>
  </si>
  <si>
    <t xml:space="preserve">Hyperliquid /info API</t>
  </si>
  <si>
    <t xml:space="preserve">https://api.hyperliquid.xyz/info (type: validatorSummaries)</t>
  </si>
  <si>
    <t xml:space="preserve">HSI x Unit validator 0xd6a72f04b9868d5d6050376d5d7b729f47305cec, 23.1m total stake</t>
  </si>
  <si>
    <t xml:space="preserve">Contains third-party delegations - NOT a treasury proxy.</t>
  </si>
  <si>
    <t xml:space="preserve">CoinGecko price API</t>
  </si>
  <si>
    <t xml:space="preserve">https://api.coingecko.com/api/v3/simple/price?ids=hyperliquid</t>
  </si>
  <si>
    <t xml:space="preserve">HYPE $82.88 at 09:45 UTC 27-Aug-2026</t>
  </si>
  <si>
    <t xml:space="preserve">Cross-checked against Hyperliquid perp mid $83.08.</t>
  </si>
  <si>
    <t xml:space="preserve">https://www.coingecko.com/en/treasuries/companies/hyperliquid-strategies-inc</t>
  </si>
  <si>
    <t xml:space="preserve">17.6m HYPE, avg cost $7.36</t>
  </si>
  <si>
    <t xml:space="preserve">WRONG - see Third_Party_Check.</t>
  </si>
  <si>
    <t xml:space="preserve">DefiLlama DAT</t>
  </si>
  <si>
    <t xml:space="preserve">https://defillama.com/digital-asset-treasury/PURR</t>
  </si>
  <si>
    <t xml:space="preserve">16.89m HYPE, avg cost $46.37</t>
  </si>
</sst>
</file>

<file path=xl/styles.xml><?xml version="1.0" encoding="utf-8"?>
<styleSheet xmlns="http://schemas.openxmlformats.org/spreadsheetml/2006/main">
  <numFmts count="14">
    <numFmt numFmtId="164" formatCode="General"/>
    <numFmt numFmtId="165" formatCode="#,##0.00"/>
    <numFmt numFmtId="166" formatCode="#,##0"/>
    <numFmt numFmtId="167" formatCode="yyyy\-mm\-dd"/>
    <numFmt numFmtId="168" formatCode="#,##0;\(#,##0\);\-"/>
    <numFmt numFmtId="169" formatCode="\$#,##0"/>
    <numFmt numFmtId="170" formatCode="#,##0.00;\(#,##0.00\);\-"/>
    <numFmt numFmtId="171" formatCode="\$#,##0.0"/>
    <numFmt numFmtId="172" formatCode="\$#,##0.00"/>
    <numFmt numFmtId="173" formatCode="#,##0.0"/>
    <numFmt numFmtId="174" formatCode="0"/>
    <numFmt numFmtId="175" formatCode="0.0%"/>
    <numFmt numFmtId="176" formatCode="\$#,##0.000"/>
    <numFmt numFmtId="177" formatCode="0.00%"/>
  </numFmts>
  <fonts count="13">
    <font>
      <sz val="11"/>
      <color theme="1"/>
      <name val="Calibri"/>
      <family val="2"/>
      <charset val="1"/>
    </font>
    <font>
      <sz val="10"/>
      <name val="Arial"/>
      <family val="0"/>
    </font>
    <font>
      <sz val="10"/>
      <name val="Arial"/>
      <family val="0"/>
    </font>
    <font>
      <sz val="10"/>
      <name val="Arial"/>
      <family val="0"/>
    </font>
    <font>
      <b val="true"/>
      <sz val="13"/>
      <color rgb="FF1F3864"/>
      <name val="Arial"/>
      <family val="0"/>
      <charset val="1"/>
    </font>
    <font>
      <i val="true"/>
      <sz val="9"/>
      <color rgb="FF404040"/>
      <name val="Arial"/>
      <family val="0"/>
      <charset val="1"/>
    </font>
    <font>
      <b val="true"/>
      <sz val="11"/>
      <color rgb="FF1F3864"/>
      <name val="Arial"/>
      <family val="0"/>
      <charset val="1"/>
    </font>
    <font>
      <sz val="10"/>
      <name val="Arial"/>
      <family val="0"/>
      <charset val="1"/>
    </font>
    <font>
      <b val="true"/>
      <sz val="10"/>
      <color rgb="FFFFFFFF"/>
      <name val="Arial"/>
      <family val="0"/>
      <charset val="1"/>
    </font>
    <font>
      <b val="true"/>
      <sz val="10"/>
      <name val="Arial"/>
      <family val="0"/>
      <charset val="1"/>
    </font>
    <font>
      <sz val="10"/>
      <color rgb="FF0000FF"/>
      <name val="Arial"/>
      <family val="0"/>
      <charset val="1"/>
    </font>
    <font>
      <sz val="10"/>
      <color rgb="FFC00000"/>
      <name val="Arial"/>
      <family val="0"/>
      <charset val="1"/>
    </font>
    <font>
      <sz val="10"/>
      <color rgb="FF008000"/>
      <name val="Arial"/>
      <family val="0"/>
      <charset val="1"/>
    </font>
  </fonts>
  <fills count="7">
    <fill>
      <patternFill patternType="none"/>
    </fill>
    <fill>
      <patternFill patternType="gray125"/>
    </fill>
    <fill>
      <patternFill patternType="solid">
        <fgColor rgb="FFDDEBF7"/>
        <bgColor rgb="FFF2F2F2"/>
      </patternFill>
    </fill>
    <fill>
      <patternFill patternType="solid">
        <fgColor rgb="FF1F3864"/>
        <bgColor rgb="FF333399"/>
      </patternFill>
    </fill>
    <fill>
      <patternFill patternType="solid">
        <fgColor rgb="FFFFFF00"/>
        <bgColor rgb="FFFFFF00"/>
      </patternFill>
    </fill>
    <fill>
      <patternFill patternType="solid">
        <fgColor rgb="FFFCE4EC"/>
        <bgColor rgb="FFF2F2F2"/>
      </patternFill>
    </fill>
    <fill>
      <patternFill patternType="solid">
        <fgColor rgb="FFF2F2F2"/>
        <bgColor rgb="FFFCE4EC"/>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5" fontId="10" fillId="4"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10" fillId="4" borderId="1" xfId="0" applyFont="true" applyBorder="true" applyAlignment="false" applyProtection="false">
      <alignment horizontal="general" vertical="bottom" textRotation="0" wrapText="false" indent="0" shrinkToFit="false"/>
      <protection locked="true" hidden="false"/>
    </xf>
    <xf numFmtId="166" fontId="10" fillId="4" borderId="1" xfId="0" applyFont="true" applyBorder="true" applyAlignment="false" applyProtection="false">
      <alignment horizontal="general" vertical="bottom" textRotation="0" wrapText="false" indent="0" shrinkToFit="false"/>
      <protection locked="true" hidden="false"/>
    </xf>
    <xf numFmtId="167" fontId="10" fillId="0" borderId="1" xfId="0" applyFont="true" applyBorder="true" applyAlignment="false" applyProtection="false">
      <alignment horizontal="general" vertical="bottom" textRotation="0" wrapText="false" indent="0" shrinkToFit="false"/>
      <protection locked="true" hidden="false"/>
    </xf>
    <xf numFmtId="166" fontId="10" fillId="0" borderId="1" xfId="0" applyFont="true" applyBorder="true" applyAlignment="false" applyProtection="false">
      <alignment horizontal="general" vertical="bottom" textRotation="0" wrapText="false" indent="0" shrinkToFit="false"/>
      <protection locked="true" hidden="false"/>
    </xf>
    <xf numFmtId="168" fontId="7" fillId="0" borderId="1" xfId="0" applyFont="true" applyBorder="true" applyAlignment="false" applyProtection="false">
      <alignment horizontal="general" vertical="bottom" textRotation="0" wrapText="false" indent="0" shrinkToFit="false"/>
      <protection locked="true" hidden="false"/>
    </xf>
    <xf numFmtId="166" fontId="7" fillId="0" borderId="1" xfId="0" applyFont="tru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4" fontId="9" fillId="2" borderId="1" xfId="0" applyFont="true" applyBorder="true" applyAlignment="false" applyProtection="false">
      <alignment horizontal="general" vertical="bottom" textRotation="0" wrapText="false" indent="0" shrinkToFit="false"/>
      <protection locked="true" hidden="false"/>
    </xf>
    <xf numFmtId="166" fontId="9" fillId="2" borderId="1" xfId="0" applyFont="true" applyBorder="true" applyAlignment="false" applyProtection="false">
      <alignment horizontal="general" vertical="bottom" textRotation="0" wrapText="false" indent="0" shrinkToFit="false"/>
      <protection locked="true" hidden="false"/>
    </xf>
    <xf numFmtId="164" fontId="5" fillId="2" borderId="1" xfId="0" applyFont="true" applyBorder="true" applyAlignment="true" applyProtection="false">
      <alignment horizontal="general" vertical="top" textRotation="0" wrapText="true" indent="0" shrinkToFit="false"/>
      <protection locked="true" hidden="false"/>
    </xf>
    <xf numFmtId="169" fontId="12" fillId="0"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7" fontId="7" fillId="0" borderId="1" xfId="0" applyFont="true" applyBorder="true" applyAlignment="false" applyProtection="false">
      <alignment horizontal="general" vertical="bottom" textRotation="0" wrapText="false" indent="0" shrinkToFit="false"/>
      <protection locked="true" hidden="false"/>
    </xf>
    <xf numFmtId="165" fontId="10" fillId="0" borderId="1" xfId="0" applyFont="true" applyBorder="true" applyAlignment="false" applyProtection="false">
      <alignment horizontal="general" vertical="bottom" textRotation="0" wrapText="false" indent="0" shrinkToFit="false"/>
      <protection locked="true" hidden="false"/>
    </xf>
    <xf numFmtId="170" fontId="7" fillId="0" borderId="1" xfId="0" applyFont="true" applyBorder="true" applyAlignment="false" applyProtection="false">
      <alignment horizontal="general" vertical="bottom" textRotation="0" wrapText="false" indent="0" shrinkToFit="false"/>
      <protection locked="true" hidden="false"/>
    </xf>
    <xf numFmtId="171" fontId="7" fillId="0" borderId="1" xfId="0" applyFont="true" applyBorder="true" applyAlignment="false" applyProtection="false">
      <alignment horizontal="general" vertical="bottom" textRotation="0" wrapText="false" indent="0" shrinkToFit="false"/>
      <protection locked="true" hidden="false"/>
    </xf>
    <xf numFmtId="167" fontId="10" fillId="5" borderId="1" xfId="0" applyFont="true" applyBorder="true" applyAlignment="false" applyProtection="false">
      <alignment horizontal="general" vertical="bottom" textRotation="0" wrapText="false" indent="0" shrinkToFit="false"/>
      <protection locked="true" hidden="false"/>
    </xf>
    <xf numFmtId="167" fontId="7" fillId="5" borderId="1" xfId="0" applyFont="true" applyBorder="true" applyAlignment="false" applyProtection="false">
      <alignment horizontal="general" vertical="bottom" textRotation="0" wrapText="false" indent="0" shrinkToFit="false"/>
      <protection locked="true" hidden="false"/>
    </xf>
    <xf numFmtId="165" fontId="10" fillId="5" borderId="1" xfId="0" applyFont="true" applyBorder="true" applyAlignment="false" applyProtection="false">
      <alignment horizontal="general" vertical="bottom" textRotation="0" wrapText="false" indent="0" shrinkToFit="false"/>
      <protection locked="true" hidden="false"/>
    </xf>
    <xf numFmtId="170" fontId="7" fillId="5" borderId="1" xfId="0" applyFont="true" applyBorder="true" applyAlignment="false" applyProtection="false">
      <alignment horizontal="general" vertical="bottom" textRotation="0" wrapText="false" indent="0" shrinkToFit="false"/>
      <protection locked="true" hidden="false"/>
    </xf>
    <xf numFmtId="171" fontId="7" fillId="5" borderId="1" xfId="0" applyFont="true" applyBorder="true" applyAlignment="false" applyProtection="false">
      <alignment horizontal="general" vertical="bottom" textRotation="0" wrapText="false" indent="0" shrinkToFit="false"/>
      <protection locked="true" hidden="false"/>
    </xf>
    <xf numFmtId="164" fontId="5" fillId="5" borderId="1" xfId="0" applyFont="true" applyBorder="true" applyAlignment="false" applyProtection="false">
      <alignment horizontal="general" vertical="bottom" textRotation="0" wrapText="false" indent="0" shrinkToFit="false"/>
      <protection locked="true" hidden="false"/>
    </xf>
    <xf numFmtId="164" fontId="5" fillId="5" borderId="1" xfId="0" applyFont="true" applyBorder="true" applyAlignment="true" applyProtection="false">
      <alignment horizontal="general" vertical="top" textRotation="0" wrapText="true" indent="0" shrinkToFit="false"/>
      <protection locked="true" hidden="false"/>
    </xf>
    <xf numFmtId="164" fontId="7" fillId="2" borderId="1" xfId="0" applyFont="true" applyBorder="true" applyAlignment="false" applyProtection="false">
      <alignment horizontal="general" vertical="bottom" textRotation="0" wrapText="false" indent="0" shrinkToFit="false"/>
      <protection locked="true" hidden="false"/>
    </xf>
    <xf numFmtId="165" fontId="9" fillId="2" borderId="1" xfId="0" applyFont="true" applyBorder="true" applyAlignment="false" applyProtection="false">
      <alignment horizontal="general" vertical="bottom" textRotation="0" wrapText="false" indent="0" shrinkToFit="false"/>
      <protection locked="true" hidden="false"/>
    </xf>
    <xf numFmtId="170" fontId="9" fillId="2" borderId="1" xfId="0" applyFont="true" applyBorder="true" applyAlignment="false" applyProtection="false">
      <alignment horizontal="general" vertical="bottom" textRotation="0" wrapText="false" indent="0" shrinkToFit="false"/>
      <protection locked="true" hidden="false"/>
    </xf>
    <xf numFmtId="172" fontId="7" fillId="0" borderId="1" xfId="0" applyFont="true" applyBorder="true" applyAlignment="false" applyProtection="false">
      <alignment horizontal="general" vertical="bottom" textRotation="0" wrapText="false" indent="0" shrinkToFit="false"/>
      <protection locked="true" hidden="false"/>
    </xf>
    <xf numFmtId="173" fontId="7" fillId="0" borderId="1" xfId="0" applyFont="true" applyBorder="true" applyAlignment="false" applyProtection="false">
      <alignment horizontal="general" vertical="bottom" textRotation="0" wrapText="false" indent="0" shrinkToFit="false"/>
      <protection locked="true" hidden="false"/>
    </xf>
    <xf numFmtId="174" fontId="7" fillId="0" borderId="1" xfId="0" applyFont="true" applyBorder="true" applyAlignment="false" applyProtection="false">
      <alignment horizontal="general" vertical="bottom" textRotation="0" wrapText="false" indent="0" shrinkToFit="false"/>
      <protection locked="true" hidden="false"/>
    </xf>
    <xf numFmtId="167" fontId="10" fillId="4" borderId="1" xfId="0" applyFont="true" applyBorder="true" applyAlignment="false" applyProtection="false">
      <alignment horizontal="general" vertical="bottom" textRotation="0" wrapText="false" indent="0" shrinkToFit="false"/>
      <protection locked="true" hidden="false"/>
    </xf>
    <xf numFmtId="164" fontId="7" fillId="4" borderId="1" xfId="0" applyFont="true" applyBorder="true" applyAlignment="false" applyProtection="false">
      <alignment horizontal="general" vertical="bottom" textRotation="0" wrapText="false" indent="0" shrinkToFit="false"/>
      <protection locked="true" hidden="false"/>
    </xf>
    <xf numFmtId="166" fontId="7" fillId="4" borderId="1" xfId="0" applyFont="true" applyBorder="true" applyAlignment="false" applyProtection="false">
      <alignment horizontal="general" vertical="bottom" textRotation="0" wrapText="false" indent="0" shrinkToFit="false"/>
      <protection locked="true" hidden="false"/>
    </xf>
    <xf numFmtId="174" fontId="7" fillId="4" borderId="1" xfId="0" applyFont="true" applyBorder="true" applyAlignment="false" applyProtection="false">
      <alignment horizontal="general" vertical="bottom" textRotation="0" wrapText="fals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7" fontId="10" fillId="6" borderId="1" xfId="0" applyFont="true" applyBorder="true" applyAlignment="false" applyProtection="false">
      <alignment horizontal="general" vertical="bottom" textRotation="0" wrapText="false" indent="0" shrinkToFit="false"/>
      <protection locked="true" hidden="false"/>
    </xf>
    <xf numFmtId="164" fontId="7" fillId="6" borderId="1" xfId="0" applyFont="true" applyBorder="true" applyAlignment="false" applyProtection="false">
      <alignment horizontal="general" vertical="bottom" textRotation="0" wrapText="false" indent="0" shrinkToFit="false"/>
      <protection locked="true" hidden="false"/>
    </xf>
    <xf numFmtId="166" fontId="10" fillId="6" borderId="1" xfId="0" applyFont="true" applyBorder="true" applyAlignment="false" applyProtection="false">
      <alignment horizontal="general" vertical="bottom" textRotation="0" wrapText="false" indent="0" shrinkToFit="false"/>
      <protection locked="true" hidden="false"/>
    </xf>
    <xf numFmtId="166" fontId="7" fillId="6" borderId="1" xfId="0" applyFont="true" applyBorder="true" applyAlignment="false" applyProtection="false">
      <alignment horizontal="general" vertical="bottom" textRotation="0" wrapText="false" indent="0" shrinkToFit="false"/>
      <protection locked="true" hidden="false"/>
    </xf>
    <xf numFmtId="168" fontId="7" fillId="6" borderId="1" xfId="0" applyFont="true" applyBorder="true" applyAlignment="false" applyProtection="false">
      <alignment horizontal="general" vertical="bottom" textRotation="0" wrapText="false" indent="0" shrinkToFit="false"/>
      <protection locked="true" hidden="false"/>
    </xf>
    <xf numFmtId="174" fontId="7" fillId="6" borderId="1" xfId="0" applyFont="true" applyBorder="true" applyAlignment="false" applyProtection="false">
      <alignment horizontal="general" vertical="bottom" textRotation="0" wrapText="false" indent="0" shrinkToFit="false"/>
      <protection locked="true" hidden="false"/>
    </xf>
    <xf numFmtId="164" fontId="5" fillId="6" borderId="1" xfId="0" applyFont="true" applyBorder="true" applyAlignment="true" applyProtection="false">
      <alignment horizontal="general" vertical="top" textRotation="0" wrapText="true" indent="0" shrinkToFit="false"/>
      <protection locked="true" hidden="false"/>
    </xf>
    <xf numFmtId="164" fontId="9" fillId="6" borderId="1" xfId="0" applyFont="true" applyBorder="true" applyAlignment="false" applyProtection="false">
      <alignment horizontal="general" vertical="bottom" textRotation="0" wrapText="false" indent="0" shrinkToFit="false"/>
      <protection locked="true" hidden="false"/>
    </xf>
    <xf numFmtId="168" fontId="9" fillId="2" borderId="1" xfId="0" applyFont="true" applyBorder="true" applyAlignment="false" applyProtection="false">
      <alignment horizontal="general" vertical="bottom" textRotation="0" wrapText="false" indent="0" shrinkToFit="false"/>
      <protection locked="true" hidden="false"/>
    </xf>
    <xf numFmtId="175" fontId="9" fillId="2" borderId="1" xfId="0" applyFont="true" applyBorder="true" applyAlignment="false" applyProtection="false">
      <alignment horizontal="general" vertical="bottom" textRotation="0" wrapText="false" indent="0" shrinkToFit="false"/>
      <protection locked="true" hidden="false"/>
    </xf>
    <xf numFmtId="173" fontId="12" fillId="0" borderId="1" xfId="0" applyFont="true" applyBorder="true" applyAlignment="false" applyProtection="false">
      <alignment horizontal="general" vertical="bottom" textRotation="0" wrapText="false" indent="0" shrinkToFit="false"/>
      <protection locked="true" hidden="false"/>
    </xf>
    <xf numFmtId="176" fontId="10" fillId="0" borderId="1" xfId="0" applyFont="true" applyBorder="true" applyAlignment="false" applyProtection="false">
      <alignment horizontal="general" vertical="bottom" textRotation="0" wrapText="false" indent="0" shrinkToFit="false"/>
      <protection locked="true" hidden="false"/>
    </xf>
    <xf numFmtId="169" fontId="7" fillId="0" borderId="1" xfId="0" applyFont="true" applyBorder="true" applyAlignment="false" applyProtection="false">
      <alignment horizontal="general" vertical="bottom" textRotation="0" wrapText="false" indent="0" shrinkToFit="false"/>
      <protection locked="true" hidden="false"/>
    </xf>
    <xf numFmtId="164" fontId="9" fillId="5" borderId="1" xfId="0" applyFont="true" applyBorder="true" applyAlignment="false" applyProtection="false">
      <alignment horizontal="general" vertical="bottom" textRotation="0" wrapText="false" indent="0" shrinkToFit="false"/>
      <protection locked="true" hidden="false"/>
    </xf>
    <xf numFmtId="166" fontId="10" fillId="5" borderId="1" xfId="0" applyFont="true" applyBorder="true" applyAlignment="false" applyProtection="false">
      <alignment horizontal="general" vertical="bottom" textRotation="0" wrapText="false" indent="0" shrinkToFit="false"/>
      <protection locked="true" hidden="false"/>
    </xf>
    <xf numFmtId="176" fontId="10" fillId="5" borderId="1" xfId="0" applyFont="true" applyBorder="true" applyAlignment="false" applyProtection="false">
      <alignment horizontal="general" vertical="bottom" textRotation="0" wrapText="false" indent="0" shrinkToFit="false"/>
      <protection locked="true" hidden="false"/>
    </xf>
    <xf numFmtId="169" fontId="7" fillId="5" borderId="1" xfId="0" applyFont="true" applyBorder="true" applyAlignment="false" applyProtection="false">
      <alignment horizontal="general" vertical="bottom" textRotation="0" wrapText="false" indent="0" shrinkToFit="false"/>
      <protection locked="true" hidden="false"/>
    </xf>
    <xf numFmtId="172" fontId="9" fillId="2" borderId="1" xfId="0" applyFont="true" applyBorder="true" applyAlignment="false" applyProtection="false">
      <alignment horizontal="general" vertical="bottom" textRotation="0" wrapText="false" indent="0" shrinkToFit="false"/>
      <protection locked="true" hidden="false"/>
    </xf>
    <xf numFmtId="169" fontId="9" fillId="2" borderId="1" xfId="0" applyFont="true" applyBorder="true" applyAlignment="false" applyProtection="false">
      <alignment horizontal="general" vertical="bottom" textRotation="0" wrapText="false" indent="0" shrinkToFit="false"/>
      <protection locked="true" hidden="false"/>
    </xf>
    <xf numFmtId="172" fontId="10" fillId="0"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6" fontId="9" fillId="0" borderId="1" xfId="0" applyFont="true" applyBorder="true" applyAlignment="false" applyProtection="false">
      <alignment horizontal="general" vertical="bottom" textRotation="0" wrapText="false" indent="0" shrinkToFit="false"/>
      <protection locked="true" hidden="false"/>
    </xf>
    <xf numFmtId="177" fontId="7" fillId="0" borderId="1" xfId="0" applyFont="true" applyBorder="true" applyAlignment="false" applyProtection="false">
      <alignment horizontal="general" vertical="bottom" textRotation="0" wrapText="false" indent="0" shrinkToFit="false"/>
      <protection locked="true" hidden="false"/>
    </xf>
    <xf numFmtId="172" fontId="10" fillId="6" borderId="1" xfId="0" applyFont="true" applyBorder="true" applyAlignment="false" applyProtection="false">
      <alignment horizontal="general" vertical="bottom" textRotation="0" wrapText="false" indent="0" shrinkToFit="false"/>
      <protection locked="true" hidden="false"/>
    </xf>
    <xf numFmtId="166" fontId="9" fillId="6" borderId="1" xfId="0" applyFont="true" applyBorder="true" applyAlignment="false" applyProtection="false">
      <alignment horizontal="general" vertical="bottom" textRotation="0" wrapText="false" indent="0" shrinkToFit="false"/>
      <protection locked="true" hidden="false"/>
    </xf>
    <xf numFmtId="177" fontId="7" fillId="6" borderId="1" xfId="0" applyFont="true" applyBorder="true" applyAlignment="false" applyProtection="false">
      <alignment horizontal="general" vertical="bottom" textRotation="0" wrapText="false" indent="0" shrinkToFit="false"/>
      <protection locked="true" hidden="false"/>
    </xf>
    <xf numFmtId="172" fontId="10" fillId="5" borderId="1" xfId="0" applyFont="true" applyBorder="true" applyAlignment="false" applyProtection="false">
      <alignment horizontal="general" vertical="bottom" textRotation="0" wrapText="false" indent="0" shrinkToFit="false"/>
      <protection locked="true" hidden="false"/>
    </xf>
    <xf numFmtId="166" fontId="7" fillId="5" borderId="1" xfId="0" applyFont="true" applyBorder="true" applyAlignment="false" applyProtection="false">
      <alignment horizontal="general" vertical="bottom" textRotation="0" wrapText="false" indent="0" shrinkToFit="false"/>
      <protection locked="true" hidden="false"/>
    </xf>
    <xf numFmtId="166" fontId="9" fillId="5" borderId="1" xfId="0" applyFont="true" applyBorder="true" applyAlignment="false" applyProtection="false">
      <alignment horizontal="general" vertical="bottom" textRotation="0" wrapText="false" indent="0" shrinkToFit="false"/>
      <protection locked="true" hidden="false"/>
    </xf>
    <xf numFmtId="177" fontId="7" fillId="5" borderId="1" xfId="0" applyFont="true" applyBorder="true" applyAlignment="false" applyProtection="false">
      <alignment horizontal="general" vertical="bottom" textRotation="0" wrapText="false" indent="0" shrinkToFit="false"/>
      <protection locked="true" hidden="false"/>
    </xf>
    <xf numFmtId="174" fontId="7" fillId="5" borderId="1" xfId="0" applyFont="true" applyBorder="true" applyAlignment="false" applyProtection="false">
      <alignment horizontal="general" vertical="bottom" textRotation="0" wrapText="false" indent="0" shrinkToFit="false"/>
      <protection locked="true" hidden="false"/>
    </xf>
    <xf numFmtId="176" fontId="10" fillId="4" borderId="1" xfId="0" applyFont="true" applyBorder="true" applyAlignment="false" applyProtection="false">
      <alignment horizontal="general" vertical="bottom" textRotation="0" wrapText="false" indent="0" shrinkToFit="false"/>
      <protection locked="true" hidden="false"/>
    </xf>
    <xf numFmtId="166" fontId="9" fillId="4" borderId="1" xfId="0" applyFont="true" applyBorder="true" applyAlignment="false" applyProtection="false">
      <alignment horizontal="general" vertical="bottom" textRotation="0" wrapText="false" indent="0" shrinkToFit="false"/>
      <protection locked="true" hidden="false"/>
    </xf>
    <xf numFmtId="177" fontId="7" fillId="4" borderId="1" xfId="0" applyFont="true" applyBorder="true" applyAlignment="false" applyProtection="false">
      <alignment horizontal="general" vertical="bottom" textRotation="0" wrapText="false" indent="0" shrinkToFit="false"/>
      <protection locked="true" hidden="false"/>
    </xf>
    <xf numFmtId="166" fontId="12" fillId="0" borderId="1" xfId="0" applyFont="true" applyBorder="true" applyAlignment="false" applyProtection="false">
      <alignment horizontal="general" vertical="bottom" textRotation="0" wrapText="false" indent="0" shrinkToFit="false"/>
      <protection locked="true" hidden="false"/>
    </xf>
    <xf numFmtId="173" fontId="7" fillId="4" borderId="1" xfId="0" applyFont="true" applyBorder="true" applyAlignment="false" applyProtection="false">
      <alignment horizontal="general" vertical="bottom" textRotation="0" wrapText="false" indent="0" shrinkToFit="false"/>
      <protection locked="true" hidden="false"/>
    </xf>
    <xf numFmtId="168" fontId="10" fillId="2" borderId="1" xfId="0" applyFont="true" applyBorder="true" applyAlignment="false" applyProtection="false">
      <alignment horizontal="general" vertical="bottom" textRotation="0" wrapText="false" indent="0" shrinkToFit="false"/>
      <protection locked="true" hidden="false"/>
    </xf>
    <xf numFmtId="172" fontId="7" fillId="2" borderId="1" xfId="0" applyFont="true" applyBorder="true" applyAlignment="false" applyProtection="false">
      <alignment horizontal="general" vertical="bottom" textRotation="0" wrapText="false" indent="0" shrinkToFit="false"/>
      <protection locked="true" hidden="false"/>
    </xf>
    <xf numFmtId="168" fontId="10" fillId="0" borderId="1" xfId="0" applyFont="true" applyBorder="true" applyAlignment="false" applyProtection="false">
      <alignment horizontal="general" vertical="bottom" textRotation="0" wrapText="false" indent="0" shrinkToFit="false"/>
      <protection locked="true" hidden="false"/>
    </xf>
    <xf numFmtId="172" fontId="9" fillId="0"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65" fontId="7" fillId="4" borderId="1" xfId="0" applyFont="true" applyBorder="true" applyAlignment="false" applyProtection="false">
      <alignment horizontal="general" vertical="bottom" textRotation="0" wrapText="false" indent="0" shrinkToFit="false"/>
      <protection locked="true" hidden="false"/>
    </xf>
    <xf numFmtId="166" fontId="12" fillId="4" borderId="1" xfId="0" applyFont="true" applyBorder="true" applyAlignment="false" applyProtection="false">
      <alignment horizontal="general" vertical="bottom" textRotation="0" wrapText="false" indent="0" shrinkToFit="false"/>
      <protection locked="true" hidden="false"/>
    </xf>
    <xf numFmtId="165" fontId="7" fillId="6" borderId="1" xfId="0" applyFont="true" applyBorder="true" applyAlignment="false" applyProtection="false">
      <alignment horizontal="general" vertical="bottom" textRotation="0" wrapText="false" indent="0" shrinkToFit="false"/>
      <protection locked="true" hidden="false"/>
    </xf>
    <xf numFmtId="166" fontId="12" fillId="6" borderId="1" xfId="0" applyFont="true" applyBorder="true" applyAlignment="false" applyProtection="false">
      <alignment horizontal="general" vertical="bottom" textRotation="0" wrapText="false" indent="0" shrinkToFit="false"/>
      <protection locked="true" hidden="false"/>
    </xf>
    <xf numFmtId="164" fontId="7" fillId="5" borderId="1" xfId="0" applyFont="true" applyBorder="true" applyAlignment="false" applyProtection="false">
      <alignment horizontal="general" vertical="bottom" textRotation="0" wrapText="false" indent="0" shrinkToFit="false"/>
      <protection locked="true" hidden="false"/>
    </xf>
    <xf numFmtId="164" fontId="7" fillId="5" borderId="1" xfId="0" applyFont="true" applyBorder="true" applyAlignment="true" applyProtection="false">
      <alignment horizontal="general" vertical="top" textRotation="0" wrapText="true" indent="0" shrinkToFit="false"/>
      <protection locked="true" hidden="false"/>
    </xf>
    <xf numFmtId="164" fontId="9" fillId="2"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DDEBF7"/>
      <rgbColor rgb="FF660066"/>
      <rgbColor rgb="FFFF8080"/>
      <rgbColor rgb="FF0066CC"/>
      <rgbColor rgb="FFFCE4EC"/>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B7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18"/>
  </cols>
  <sheetData>
    <row r="2" customFormat="false" ht="16.15" hidden="false" customHeight="false" outlineLevel="0" collapsed="false">
      <c r="B2" s="1" t="s">
        <v>0</v>
      </c>
    </row>
    <row r="3" customFormat="false" ht="15" hidden="false" customHeight="false" outlineLevel="0" collapsed="false">
      <c r="B3" s="2" t="s">
        <v>1</v>
      </c>
    </row>
    <row r="5" customFormat="false" ht="15" hidden="false" customHeight="false" outlineLevel="0" collapsed="false">
      <c r="B5" s="3" t="s">
        <v>2</v>
      </c>
    </row>
    <row r="6" customFormat="false" ht="15" hidden="false" customHeight="false" outlineLevel="0" collapsed="false">
      <c r="B6" s="4" t="s">
        <v>3</v>
      </c>
    </row>
    <row r="7" customFormat="false" ht="15" hidden="false" customHeight="false" outlineLevel="0" collapsed="false">
      <c r="B7" s="4" t="s">
        <v>4</v>
      </c>
    </row>
    <row r="8" customFormat="false" ht="15" hidden="false" customHeight="false" outlineLevel="0" collapsed="false">
      <c r="B8" s="4" t="s">
        <v>5</v>
      </c>
    </row>
    <row r="9" customFormat="false" ht="15" hidden="false" customHeight="false" outlineLevel="0" collapsed="false">
      <c r="B9" s="4"/>
    </row>
    <row r="10" customFormat="false" ht="15" hidden="false" customHeight="false" outlineLevel="0" collapsed="false">
      <c r="B10" s="4" t="s">
        <v>6</v>
      </c>
    </row>
    <row r="11" customFormat="false" ht="15" hidden="false" customHeight="false" outlineLevel="0" collapsed="false">
      <c r="B11" s="4" t="s">
        <v>7</v>
      </c>
    </row>
    <row r="12" customFormat="false" ht="15" hidden="false" customHeight="false" outlineLevel="0" collapsed="false">
      <c r="B12" s="4" t="s">
        <v>8</v>
      </c>
    </row>
    <row r="13" customFormat="false" ht="15" hidden="false" customHeight="false" outlineLevel="0" collapsed="false">
      <c r="B13" s="4" t="s">
        <v>9</v>
      </c>
    </row>
    <row r="14" customFormat="false" ht="15" hidden="false" customHeight="false" outlineLevel="0" collapsed="false">
      <c r="B14" s="4" t="s">
        <v>10</v>
      </c>
    </row>
    <row r="15" customFormat="false" ht="15" hidden="false" customHeight="false" outlineLevel="0" collapsed="false">
      <c r="B15" s="4" t="s">
        <v>11</v>
      </c>
    </row>
    <row r="16" customFormat="false" ht="15" hidden="false" customHeight="false" outlineLevel="0" collapsed="false">
      <c r="B16" s="4" t="s">
        <v>12</v>
      </c>
    </row>
    <row r="18" customFormat="false" ht="15" hidden="false" customHeight="false" outlineLevel="0" collapsed="false">
      <c r="B18" s="3" t="s">
        <v>13</v>
      </c>
    </row>
    <row r="19" customFormat="false" ht="15" hidden="false" customHeight="false" outlineLevel="0" collapsed="false">
      <c r="B19" s="4" t="s">
        <v>14</v>
      </c>
    </row>
    <row r="20" customFormat="false" ht="15" hidden="false" customHeight="false" outlineLevel="0" collapsed="false">
      <c r="B20" s="4" t="s">
        <v>15</v>
      </c>
    </row>
    <row r="21" customFormat="false" ht="15" hidden="false" customHeight="false" outlineLevel="0" collapsed="false">
      <c r="B21" s="4" t="s">
        <v>16</v>
      </c>
    </row>
    <row r="22" customFormat="false" ht="15" hidden="false" customHeight="false" outlineLevel="0" collapsed="false">
      <c r="B22" s="4"/>
    </row>
    <row r="23" customFormat="false" ht="15" hidden="false" customHeight="false" outlineLevel="0" collapsed="false">
      <c r="B23" s="4" t="s">
        <v>17</v>
      </c>
    </row>
    <row r="24" customFormat="false" ht="15" hidden="false" customHeight="false" outlineLevel="0" collapsed="false">
      <c r="B24" s="4" t="s">
        <v>18</v>
      </c>
    </row>
    <row r="25" customFormat="false" ht="15" hidden="false" customHeight="false" outlineLevel="0" collapsed="false">
      <c r="B25" s="4" t="s">
        <v>19</v>
      </c>
    </row>
    <row r="26" customFormat="false" ht="15" hidden="false" customHeight="false" outlineLevel="0" collapsed="false">
      <c r="B26" s="4" t="s">
        <v>20</v>
      </c>
    </row>
    <row r="27" customFormat="false" ht="15" hidden="false" customHeight="false" outlineLevel="0" collapsed="false">
      <c r="B27" s="4" t="s">
        <v>21</v>
      </c>
    </row>
    <row r="28" customFormat="false" ht="15" hidden="false" customHeight="false" outlineLevel="0" collapsed="false">
      <c r="B28" s="4" t="s">
        <v>22</v>
      </c>
    </row>
    <row r="29" customFormat="false" ht="15" hidden="false" customHeight="false" outlineLevel="0" collapsed="false">
      <c r="B29" s="4"/>
    </row>
    <row r="30" customFormat="false" ht="15" hidden="false" customHeight="false" outlineLevel="0" collapsed="false">
      <c r="B30" s="4" t="s">
        <v>23</v>
      </c>
    </row>
    <row r="31" customFormat="false" ht="15" hidden="false" customHeight="false" outlineLevel="0" collapsed="false">
      <c r="B31" s="4" t="s">
        <v>24</v>
      </c>
    </row>
    <row r="32" customFormat="false" ht="15" hidden="false" customHeight="false" outlineLevel="0" collapsed="false">
      <c r="B32" s="4" t="s">
        <v>25</v>
      </c>
    </row>
    <row r="33" customFormat="false" ht="15" hidden="false" customHeight="false" outlineLevel="0" collapsed="false">
      <c r="B33" s="4" t="s">
        <v>26</v>
      </c>
    </row>
    <row r="34" customFormat="false" ht="15" hidden="false" customHeight="false" outlineLevel="0" collapsed="false">
      <c r="B34" s="4" t="s">
        <v>27</v>
      </c>
    </row>
    <row r="35" customFormat="false" ht="15" hidden="false" customHeight="false" outlineLevel="0" collapsed="false">
      <c r="B35" s="4" t="s">
        <v>28</v>
      </c>
    </row>
    <row r="36" customFormat="false" ht="15" hidden="false" customHeight="false" outlineLevel="0" collapsed="false">
      <c r="B36" s="4" t="s">
        <v>29</v>
      </c>
    </row>
    <row r="37" customFormat="false" ht="15" hidden="false" customHeight="false" outlineLevel="0" collapsed="false">
      <c r="B37" s="4" t="s">
        <v>30</v>
      </c>
    </row>
    <row r="38" customFormat="false" ht="15" hidden="false" customHeight="false" outlineLevel="0" collapsed="false">
      <c r="B38" s="4"/>
    </row>
    <row r="39" customFormat="false" ht="15" hidden="false" customHeight="false" outlineLevel="0" collapsed="false">
      <c r="B39" s="4" t="s">
        <v>31</v>
      </c>
    </row>
    <row r="40" customFormat="false" ht="15" hidden="false" customHeight="false" outlineLevel="0" collapsed="false">
      <c r="B40" s="4" t="s">
        <v>32</v>
      </c>
    </row>
    <row r="41" customFormat="false" ht="15" hidden="false" customHeight="false" outlineLevel="0" collapsed="false">
      <c r="B41" s="4" t="s">
        <v>33</v>
      </c>
    </row>
    <row r="42" customFormat="false" ht="15" hidden="false" customHeight="false" outlineLevel="0" collapsed="false">
      <c r="B42" s="4" t="s">
        <v>34</v>
      </c>
    </row>
    <row r="43" customFormat="false" ht="15" hidden="false" customHeight="false" outlineLevel="0" collapsed="false">
      <c r="B43" s="4" t="s">
        <v>35</v>
      </c>
    </row>
    <row r="44" customFormat="false" ht="15" hidden="false" customHeight="false" outlineLevel="0" collapsed="false">
      <c r="B44" s="4" t="s">
        <v>36</v>
      </c>
    </row>
    <row r="45" customFormat="false" ht="15" hidden="false" customHeight="false" outlineLevel="0" collapsed="false">
      <c r="B45" s="4"/>
    </row>
    <row r="46" customFormat="false" ht="15" hidden="false" customHeight="false" outlineLevel="0" collapsed="false">
      <c r="B46" s="4" t="s">
        <v>37</v>
      </c>
    </row>
    <row r="47" customFormat="false" ht="15" hidden="false" customHeight="false" outlineLevel="0" collapsed="false">
      <c r="B47" s="4" t="s">
        <v>38</v>
      </c>
    </row>
    <row r="48" customFormat="false" ht="15" hidden="false" customHeight="false" outlineLevel="0" collapsed="false">
      <c r="B48" s="4" t="s">
        <v>39</v>
      </c>
    </row>
    <row r="49" customFormat="false" ht="15" hidden="false" customHeight="false" outlineLevel="0" collapsed="false">
      <c r="B49" s="4" t="s">
        <v>40</v>
      </c>
    </row>
    <row r="50" customFormat="false" ht="15" hidden="false" customHeight="false" outlineLevel="0" collapsed="false">
      <c r="B50" s="4"/>
    </row>
    <row r="51" customFormat="false" ht="15" hidden="false" customHeight="false" outlineLevel="0" collapsed="false">
      <c r="B51" s="4" t="s">
        <v>41</v>
      </c>
    </row>
    <row r="52" customFormat="false" ht="15" hidden="false" customHeight="false" outlineLevel="0" collapsed="false">
      <c r="B52" s="4" t="s">
        <v>42</v>
      </c>
    </row>
    <row r="53" customFormat="false" ht="15" hidden="false" customHeight="false" outlineLevel="0" collapsed="false">
      <c r="B53" s="4" t="s">
        <v>43</v>
      </c>
    </row>
    <row r="54" customFormat="false" ht="15" hidden="false" customHeight="false" outlineLevel="0" collapsed="false">
      <c r="B54" s="4"/>
    </row>
    <row r="55" customFormat="false" ht="15" hidden="false" customHeight="false" outlineLevel="0" collapsed="false">
      <c r="B55" s="4" t="s">
        <v>44</v>
      </c>
    </row>
    <row r="56" customFormat="false" ht="15" hidden="false" customHeight="false" outlineLevel="0" collapsed="false">
      <c r="B56" s="4" t="s">
        <v>45</v>
      </c>
    </row>
    <row r="57" customFormat="false" ht="15" hidden="false" customHeight="false" outlineLevel="0" collapsed="false">
      <c r="B57" s="4" t="s">
        <v>46</v>
      </c>
    </row>
    <row r="58" customFormat="false" ht="15" hidden="false" customHeight="false" outlineLevel="0" collapsed="false">
      <c r="B58" s="4" t="s">
        <v>47</v>
      </c>
    </row>
    <row r="59" customFormat="false" ht="15" hidden="false" customHeight="false" outlineLevel="0" collapsed="false">
      <c r="B59" s="4" t="s">
        <v>48</v>
      </c>
    </row>
    <row r="60" customFormat="false" ht="15" hidden="false" customHeight="false" outlineLevel="0" collapsed="false">
      <c r="B60" s="4"/>
    </row>
    <row r="61" customFormat="false" ht="15" hidden="false" customHeight="false" outlineLevel="0" collapsed="false">
      <c r="B61" s="4" t="s">
        <v>49</v>
      </c>
    </row>
    <row r="62" customFormat="false" ht="15" hidden="false" customHeight="false" outlineLevel="0" collapsed="false">
      <c r="B62" s="4" t="s">
        <v>50</v>
      </c>
    </row>
    <row r="63" customFormat="false" ht="15" hidden="false" customHeight="false" outlineLevel="0" collapsed="false">
      <c r="B63" s="4" t="s">
        <v>51</v>
      </c>
    </row>
    <row r="65" customFormat="false" ht="15" hidden="false" customHeight="false" outlineLevel="0" collapsed="false">
      <c r="B65" s="3" t="s">
        <v>52</v>
      </c>
    </row>
    <row r="66" customFormat="false" ht="15" hidden="false" customHeight="false" outlineLevel="0" collapsed="false">
      <c r="B66" s="4" t="s">
        <v>53</v>
      </c>
    </row>
    <row r="67" customFormat="false" ht="15" hidden="false" customHeight="false" outlineLevel="0" collapsed="false">
      <c r="B67" s="4" t="s">
        <v>54</v>
      </c>
    </row>
    <row r="68" customFormat="false" ht="15" hidden="false" customHeight="false" outlineLevel="0" collapsed="false">
      <c r="B68" s="4" t="s">
        <v>55</v>
      </c>
    </row>
    <row r="69" customFormat="false" ht="15" hidden="false" customHeight="false" outlineLevel="0" collapsed="false">
      <c r="B69" s="4" t="s">
        <v>56</v>
      </c>
    </row>
    <row r="70" customFormat="false" ht="15" hidden="false" customHeight="false" outlineLevel="0" collapsed="false">
      <c r="B70" s="4" t="s">
        <v>57</v>
      </c>
    </row>
    <row r="71" customFormat="false" ht="15" hidden="false" customHeight="false" outlineLevel="0" collapsed="false">
      <c r="B71" s="4" t="s">
        <v>58</v>
      </c>
    </row>
    <row r="72" customFormat="false" ht="15" hidden="false" customHeight="false" outlineLevel="0" collapsed="false">
      <c r="B72" s="4" t="s">
        <v>59</v>
      </c>
    </row>
    <row r="73" customFormat="false" ht="15" hidden="false" customHeight="false" outlineLevel="0" collapsed="false">
      <c r="B73" s="4" t="s">
        <v>60</v>
      </c>
    </row>
    <row r="75" customFormat="false" ht="15" hidden="false" customHeight="false" outlineLevel="0" collapsed="false">
      <c r="B75" s="3" t="s">
        <v>61</v>
      </c>
    </row>
    <row r="76" customFormat="false" ht="15" hidden="false" customHeight="false" outlineLevel="0" collapsed="false">
      <c r="B76" s="4" t="s">
        <v>62</v>
      </c>
    </row>
    <row r="77" customFormat="false" ht="15" hidden="false" customHeight="false" outlineLevel="0" collapsed="false">
      <c r="B77" s="4" t="s">
        <v>63</v>
      </c>
    </row>
    <row r="78" customFormat="false" ht="15" hidden="false" customHeight="false" outlineLevel="0" collapsed="false">
      <c r="B78" s="4" t="s">
        <v>64</v>
      </c>
    </row>
    <row r="79" customFormat="false" ht="15" hidden="false" customHeight="false" outlineLevel="0" collapsed="false">
      <c r="B79" s="4" t="s">
        <v>65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6"/>
    <col collapsed="false" customWidth="true" hidden="false" outlineLevel="0" max="3" min="3" style="0" width="12"/>
    <col collapsed="false" customWidth="true" hidden="false" outlineLevel="0" max="4" min="4" style="0" width="92"/>
  </cols>
  <sheetData>
    <row r="1" customFormat="false" ht="16.15" hidden="false" customHeight="false" outlineLevel="0" collapsed="false">
      <c r="A1" s="1" t="s">
        <v>66</v>
      </c>
    </row>
    <row r="3" customFormat="false" ht="30" hidden="false" customHeight="true" outlineLevel="0" collapsed="false">
      <c r="A3" s="5" t="s">
        <v>67</v>
      </c>
      <c r="B3" s="5" t="s">
        <v>68</v>
      </c>
      <c r="C3" s="5" t="s">
        <v>69</v>
      </c>
      <c r="D3" s="5" t="s">
        <v>70</v>
      </c>
    </row>
    <row r="4" customFormat="false" ht="22.35" hidden="false" customHeight="false" outlineLevel="0" collapsed="false">
      <c r="A4" s="6" t="s">
        <v>71</v>
      </c>
      <c r="B4" s="7" t="n">
        <v>82.88</v>
      </c>
      <c r="C4" s="8" t="s">
        <v>72</v>
      </c>
      <c r="D4" s="9" t="s">
        <v>73</v>
      </c>
    </row>
    <row r="5" customFormat="false" ht="27.75" hidden="false" customHeight="true" outlineLevel="0" collapsed="false">
      <c r="A5" s="6" t="s">
        <v>74</v>
      </c>
      <c r="B5" s="10"/>
      <c r="C5" s="8" t="s">
        <v>72</v>
      </c>
      <c r="D5" s="9" t="s">
        <v>75</v>
      </c>
    </row>
    <row r="6" customFormat="false" ht="15" hidden="false" customHeight="false" outlineLevel="0" collapsed="false">
      <c r="A6" s="6" t="s">
        <v>76</v>
      </c>
      <c r="B6" s="11" t="n">
        <v>26587647</v>
      </c>
      <c r="C6" s="8" t="s">
        <v>77</v>
      </c>
      <c r="D6" s="9" t="s">
        <v>78</v>
      </c>
    </row>
    <row r="7" customFormat="false" ht="15" hidden="false" customHeight="false" outlineLevel="0" collapsed="false">
      <c r="A7" s="6" t="s">
        <v>79</v>
      </c>
      <c r="B7" s="10" t="s">
        <v>80</v>
      </c>
      <c r="C7" s="8"/>
      <c r="D7" s="9" t="s">
        <v>81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18"/>
    <col collapsed="false" customWidth="true" hidden="false" outlineLevel="0" max="3" min="3" style="0" width="12"/>
    <col collapsed="false" customWidth="true" hidden="false" outlineLevel="0" max="4" min="4" style="0" width="15"/>
    <col collapsed="false" customWidth="true" hidden="false" outlineLevel="0" max="5" min="5" style="0" width="11"/>
    <col collapsed="false" customWidth="true" hidden="false" outlineLevel="0" max="6" min="6" style="0" width="15"/>
    <col collapsed="false" customWidth="true" hidden="false" outlineLevel="0" max="7" min="7" style="0" width="30"/>
    <col collapsed="false" customWidth="true" hidden="false" outlineLevel="0" max="8" min="8" style="0" width="74"/>
  </cols>
  <sheetData>
    <row r="1" customFormat="false" ht="16.15" hidden="false" customHeight="false" outlineLevel="0" collapsed="false">
      <c r="A1" s="1" t="s">
        <v>82</v>
      </c>
    </row>
    <row r="2" customFormat="false" ht="15" hidden="false" customHeight="false" outlineLevel="0" collapsed="false">
      <c r="A2" s="2" t="s">
        <v>83</v>
      </c>
    </row>
    <row r="4" customFormat="false" ht="30" hidden="false" customHeight="true" outlineLevel="0" collapsed="false">
      <c r="A4" s="5" t="s">
        <v>84</v>
      </c>
      <c r="B4" s="5" t="s">
        <v>85</v>
      </c>
      <c r="C4" s="5" t="s">
        <v>86</v>
      </c>
      <c r="D4" s="5" t="s">
        <v>87</v>
      </c>
      <c r="E4" s="5" t="s">
        <v>88</v>
      </c>
      <c r="F4" s="5" t="s">
        <v>89</v>
      </c>
      <c r="G4" s="5" t="s">
        <v>90</v>
      </c>
      <c r="H4" s="5" t="s">
        <v>91</v>
      </c>
    </row>
    <row r="5" customFormat="false" ht="42" hidden="false" customHeight="true" outlineLevel="0" collapsed="false">
      <c r="A5" s="12" t="n">
        <v>45993</v>
      </c>
      <c r="B5" s="13" t="n">
        <v>12517592</v>
      </c>
      <c r="C5" s="8" t="s">
        <v>92</v>
      </c>
      <c r="D5" s="8"/>
      <c r="E5" s="8"/>
      <c r="F5" s="8"/>
      <c r="G5" s="9" t="s">
        <v>93</v>
      </c>
      <c r="H5" s="9" t="s">
        <v>94</v>
      </c>
    </row>
    <row r="6" customFormat="false" ht="42" hidden="false" customHeight="true" outlineLevel="0" collapsed="false">
      <c r="A6" s="12" t="n">
        <v>46022</v>
      </c>
      <c r="B6" s="13" t="n">
        <v>12857533</v>
      </c>
      <c r="C6" s="8" t="s">
        <v>92</v>
      </c>
      <c r="D6" s="14" t="n">
        <f aca="false">B6-B5</f>
        <v>339941</v>
      </c>
      <c r="E6" s="15" t="n">
        <f aca="false">A6-A5</f>
        <v>29</v>
      </c>
      <c r="F6" s="15" t="n">
        <f aca="false">IFERROR(D6/E6,"")</f>
        <v>11722.1034482759</v>
      </c>
      <c r="G6" s="9" t="s">
        <v>95</v>
      </c>
      <c r="H6" s="9" t="s">
        <v>96</v>
      </c>
    </row>
    <row r="7" customFormat="false" ht="42" hidden="false" customHeight="true" outlineLevel="0" collapsed="false">
      <c r="A7" s="12" t="n">
        <v>46056</v>
      </c>
      <c r="B7" s="13" t="n">
        <v>17600000</v>
      </c>
      <c r="C7" s="16" t="s">
        <v>97</v>
      </c>
      <c r="D7" s="14" t="n">
        <f aca="false">B7-B6</f>
        <v>4742467</v>
      </c>
      <c r="E7" s="15" t="n">
        <f aca="false">A7-A6</f>
        <v>34</v>
      </c>
      <c r="F7" s="15" t="n">
        <f aca="false">IFERROR(D7/E7,"")</f>
        <v>139484.323529412</v>
      </c>
      <c r="G7" s="9" t="s">
        <v>98</v>
      </c>
      <c r="H7" s="9" t="s">
        <v>99</v>
      </c>
    </row>
    <row r="8" customFormat="false" ht="42" hidden="false" customHeight="true" outlineLevel="0" collapsed="false">
      <c r="A8" s="12" t="n">
        <v>46112</v>
      </c>
      <c r="B8" s="13" t="n">
        <v>18826355</v>
      </c>
      <c r="C8" s="8" t="s">
        <v>92</v>
      </c>
      <c r="D8" s="14" t="n">
        <f aca="false">B8-B7</f>
        <v>1226355</v>
      </c>
      <c r="E8" s="15" t="n">
        <f aca="false">A8-A7</f>
        <v>56</v>
      </c>
      <c r="F8" s="15" t="n">
        <f aca="false">IFERROR(D8/E8,"")</f>
        <v>21899.1964285714</v>
      </c>
      <c r="G8" s="9" t="s">
        <v>100</v>
      </c>
      <c r="H8" s="9" t="s">
        <v>101</v>
      </c>
    </row>
    <row r="9" customFormat="false" ht="42" hidden="false" customHeight="true" outlineLevel="0" collapsed="false">
      <c r="A9" s="12" t="n">
        <v>46141</v>
      </c>
      <c r="B9" s="13" t="n">
        <v>20000000</v>
      </c>
      <c r="C9" s="16" t="s">
        <v>97</v>
      </c>
      <c r="D9" s="14" t="n">
        <f aca="false">B9-B8</f>
        <v>1173645</v>
      </c>
      <c r="E9" s="15" t="n">
        <f aca="false">A9-A8</f>
        <v>29</v>
      </c>
      <c r="F9" s="15" t="n">
        <f aca="false">IFERROR(D9/E9,"")</f>
        <v>40470.5172413793</v>
      </c>
      <c r="G9" s="9" t="s">
        <v>102</v>
      </c>
      <c r="H9" s="9" t="s">
        <v>103</v>
      </c>
    </row>
    <row r="10" customFormat="false" ht="42" hidden="false" customHeight="true" outlineLevel="0" collapsed="false">
      <c r="A10" s="12" t="n">
        <v>46156</v>
      </c>
      <c r="B10" s="13" t="n">
        <v>20800000</v>
      </c>
      <c r="C10" s="16" t="s">
        <v>97</v>
      </c>
      <c r="D10" s="14" t="n">
        <f aca="false">B10-B9</f>
        <v>800000</v>
      </c>
      <c r="E10" s="15" t="n">
        <f aca="false">A10-A9</f>
        <v>15</v>
      </c>
      <c r="F10" s="15" t="n">
        <f aca="false">IFERROR(D10/E10,"")</f>
        <v>53333.3333333333</v>
      </c>
      <c r="G10" s="9" t="s">
        <v>104</v>
      </c>
      <c r="H10" s="9" t="s">
        <v>105</v>
      </c>
    </row>
    <row r="11" customFormat="false" ht="42" hidden="false" customHeight="true" outlineLevel="0" collapsed="false">
      <c r="A11" s="12" t="n">
        <v>46218</v>
      </c>
      <c r="B11" s="13" t="n">
        <v>29300000</v>
      </c>
      <c r="C11" s="16" t="s">
        <v>97</v>
      </c>
      <c r="D11" s="14" t="n">
        <f aca="false">B11-B10</f>
        <v>8500000</v>
      </c>
      <c r="E11" s="15" t="n">
        <f aca="false">A11-A10</f>
        <v>62</v>
      </c>
      <c r="F11" s="15" t="n">
        <f aca="false">IFERROR(D11/E11,"")</f>
        <v>137096.774193548</v>
      </c>
      <c r="G11" s="9" t="s">
        <v>106</v>
      </c>
      <c r="H11" s="9" t="s">
        <v>107</v>
      </c>
    </row>
    <row r="12" customFormat="false" ht="22.35" hidden="false" customHeight="false" outlineLevel="0" collapsed="false">
      <c r="A12" s="17" t="s">
        <v>108</v>
      </c>
      <c r="B12" s="18" t="n">
        <f aca="false">B11-B5</f>
        <v>16782408</v>
      </c>
      <c r="C12" s="17" t="s">
        <v>109</v>
      </c>
      <c r="D12" s="18" t="n">
        <f aca="false">SUM(D6:D11)</f>
        <v>16782408</v>
      </c>
      <c r="E12" s="18" t="n">
        <f aca="false">A11-A5</f>
        <v>225</v>
      </c>
      <c r="F12" s="18" t="n">
        <f aca="false">IFERROR(D12/E12,"")</f>
        <v>74588.48</v>
      </c>
      <c r="G12" s="19" t="s">
        <v>110</v>
      </c>
      <c r="H12" s="17" t="str">
        <f aca="false">IF(B12=D12,"TIE","MISMATCH - INVESTIGATE")</f>
        <v>TIE</v>
      </c>
    </row>
    <row r="14" customFormat="false" ht="22.35" hidden="false" customHeight="false" outlineLevel="0" collapsed="false">
      <c r="A14" s="6" t="s">
        <v>111</v>
      </c>
      <c r="B14" s="20" t="n">
        <f aca="false">B11*Assumptions!$B$4</f>
        <v>2428384000</v>
      </c>
      <c r="C14" s="21" t="s">
        <v>72</v>
      </c>
      <c r="G14" s="9" t="s">
        <v>112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15"/>
    <col collapsed="false" customWidth="true" hidden="false" outlineLevel="0" max="4" min="3" style="0" width="11"/>
    <col collapsed="false" customWidth="true" hidden="false" outlineLevel="0" max="5" min="5" style="0" width="14"/>
    <col collapsed="false" customWidth="true" hidden="false" outlineLevel="0" max="6" min="6" style="0" width="12"/>
    <col collapsed="false" customWidth="true" hidden="false" outlineLevel="0" max="7" min="7" style="0" width="10"/>
    <col collapsed="false" customWidth="true" hidden="false" outlineLevel="0" max="8" min="8" style="0" width="14"/>
    <col collapsed="false" customWidth="true" hidden="false" outlineLevel="0" max="9" min="9" style="0" width="12"/>
    <col collapsed="false" customWidth="true" hidden="false" outlineLevel="0" max="10" min="10" style="0" width="13"/>
    <col collapsed="false" customWidth="true" hidden="false" outlineLevel="0" max="11" min="11" style="0" width="12"/>
    <col collapsed="false" customWidth="true" hidden="false" outlineLevel="0" max="12" min="12" style="0" width="14"/>
    <col collapsed="false" customWidth="true" hidden="false" outlineLevel="0" max="13" min="13" style="0" width="17"/>
    <col collapsed="false" customWidth="true" hidden="false" outlineLevel="0" max="14" min="14" style="0" width="46"/>
  </cols>
  <sheetData>
    <row r="1" customFormat="false" ht="16.15" hidden="false" customHeight="false" outlineLevel="0" collapsed="false">
      <c r="A1" s="1" t="s">
        <v>113</v>
      </c>
    </row>
    <row r="2" customFormat="false" ht="15" hidden="false" customHeight="false" outlineLevel="0" collapsed="false">
      <c r="A2" s="2" t="s">
        <v>114</v>
      </c>
    </row>
    <row r="4" customFormat="false" ht="61.5" hidden="false" customHeight="true" outlineLevel="0" collapsed="false">
      <c r="A4" s="5" t="s">
        <v>115</v>
      </c>
      <c r="B4" s="5" t="s">
        <v>116</v>
      </c>
      <c r="C4" s="5" t="s">
        <v>117</v>
      </c>
      <c r="D4" s="5" t="s">
        <v>118</v>
      </c>
      <c r="E4" s="5" t="s">
        <v>119</v>
      </c>
      <c r="F4" s="5" t="s">
        <v>120</v>
      </c>
      <c r="G4" s="5" t="s">
        <v>121</v>
      </c>
      <c r="H4" s="5" t="s">
        <v>122</v>
      </c>
      <c r="I4" s="5" t="s">
        <v>123</v>
      </c>
      <c r="J4" s="5" t="s">
        <v>124</v>
      </c>
      <c r="K4" s="5" t="s">
        <v>125</v>
      </c>
      <c r="L4" s="5" t="s">
        <v>126</v>
      </c>
      <c r="M4" s="5" t="s">
        <v>127</v>
      </c>
      <c r="N4" s="5" t="s">
        <v>128</v>
      </c>
    </row>
    <row r="5" customFormat="false" ht="15.75" hidden="false" customHeight="true" outlineLevel="0" collapsed="false">
      <c r="A5" s="12" t="n">
        <v>46205</v>
      </c>
      <c r="B5" s="22" t="n">
        <f aca="false">A5-7</f>
        <v>46198</v>
      </c>
      <c r="C5" s="23" t="n">
        <v>29.26</v>
      </c>
      <c r="D5" s="24"/>
      <c r="E5" s="23" t="n">
        <v>227.11</v>
      </c>
      <c r="F5" s="24"/>
      <c r="G5" s="23" t="n">
        <v>149.4</v>
      </c>
      <c r="H5" s="23" t="n">
        <v>603.83</v>
      </c>
      <c r="I5" s="24"/>
      <c r="J5" s="23" t="n">
        <v>1016.89</v>
      </c>
      <c r="K5" s="24"/>
      <c r="L5" s="25"/>
      <c r="M5" s="21" t="s">
        <v>129</v>
      </c>
      <c r="N5" s="9"/>
    </row>
    <row r="6" customFormat="false" ht="15.75" hidden="false" customHeight="true" outlineLevel="0" collapsed="false">
      <c r="A6" s="12" t="n">
        <v>46212</v>
      </c>
      <c r="B6" s="22" t="n">
        <f aca="false">A6-7</f>
        <v>46205</v>
      </c>
      <c r="C6" s="23" t="n">
        <v>29.28</v>
      </c>
      <c r="D6" s="24" t="n">
        <f aca="false">C6-C5</f>
        <v>0.0199999999999996</v>
      </c>
      <c r="E6" s="23" t="n">
        <v>227.11</v>
      </c>
      <c r="F6" s="24" t="n">
        <f aca="false">E6-E5</f>
        <v>0</v>
      </c>
      <c r="G6" s="23" t="n">
        <v>149.4</v>
      </c>
      <c r="H6" s="23" t="n">
        <v>603.83</v>
      </c>
      <c r="I6" s="24" t="n">
        <f aca="false">H6-H5</f>
        <v>0</v>
      </c>
      <c r="J6" s="23" t="n">
        <v>1018.18</v>
      </c>
      <c r="K6" s="24" t="n">
        <f aca="false">J6-J5</f>
        <v>1.28999999999996</v>
      </c>
      <c r="L6" s="25" t="n">
        <f aca="false">IFERROR(IF(D6=0,"",K6/D6),"")</f>
        <v>64.4999999999996</v>
      </c>
      <c r="M6" s="21" t="s">
        <v>130</v>
      </c>
      <c r="N6" s="9"/>
    </row>
    <row r="7" customFormat="false" ht="15.75" hidden="false" customHeight="true" outlineLevel="0" collapsed="false">
      <c r="A7" s="12" t="n">
        <v>46219</v>
      </c>
      <c r="B7" s="22" t="n">
        <f aca="false">A7-7</f>
        <v>46212</v>
      </c>
      <c r="C7" s="23" t="n">
        <v>29.28</v>
      </c>
      <c r="D7" s="24" t="n">
        <f aca="false">C7-C6</f>
        <v>0</v>
      </c>
      <c r="E7" s="23" t="n">
        <v>227.11</v>
      </c>
      <c r="F7" s="24" t="n">
        <f aca="false">E7-E6</f>
        <v>0</v>
      </c>
      <c r="G7" s="23" t="n">
        <v>149.4</v>
      </c>
      <c r="H7" s="23" t="n">
        <v>603.83</v>
      </c>
      <c r="I7" s="24" t="n">
        <f aca="false">H7-H6</f>
        <v>0</v>
      </c>
      <c r="J7" s="23" t="n">
        <v>1018.18</v>
      </c>
      <c r="K7" s="24" t="n">
        <f aca="false">J7-J6</f>
        <v>0</v>
      </c>
      <c r="L7" s="25" t="str">
        <f aca="false">IFERROR(IF(D7=0,"",K7/D7),"")</f>
        <v/>
      </c>
      <c r="M7" s="21" t="s">
        <v>131</v>
      </c>
      <c r="N7" s="9"/>
    </row>
    <row r="8" customFormat="false" ht="15.75" hidden="false" customHeight="true" outlineLevel="0" collapsed="false">
      <c r="A8" s="12" t="n">
        <v>46226</v>
      </c>
      <c r="B8" s="22" t="n">
        <f aca="false">A8-7</f>
        <v>46219</v>
      </c>
      <c r="C8" s="23" t="n">
        <v>29.28</v>
      </c>
      <c r="D8" s="24" t="n">
        <f aca="false">C8-C7</f>
        <v>0</v>
      </c>
      <c r="E8" s="23" t="n">
        <v>227.11</v>
      </c>
      <c r="F8" s="24" t="n">
        <f aca="false">E8-E7</f>
        <v>0</v>
      </c>
      <c r="G8" s="23" t="n">
        <v>149.4</v>
      </c>
      <c r="H8" s="23" t="n">
        <v>603.83</v>
      </c>
      <c r="I8" s="24" t="n">
        <f aca="false">H8-H7</f>
        <v>0</v>
      </c>
      <c r="J8" s="23" t="n">
        <v>1018.18</v>
      </c>
      <c r="K8" s="24" t="n">
        <f aca="false">J8-J7</f>
        <v>0</v>
      </c>
      <c r="L8" s="25" t="str">
        <f aca="false">IFERROR(IF(D8=0,"",K8/D8),"")</f>
        <v/>
      </c>
      <c r="M8" s="21" t="s">
        <v>132</v>
      </c>
      <c r="N8" s="9"/>
    </row>
    <row r="9" customFormat="false" ht="39.75" hidden="false" customHeight="true" outlineLevel="0" collapsed="false">
      <c r="A9" s="12" t="n">
        <v>46233</v>
      </c>
      <c r="B9" s="22" t="n">
        <f aca="false">A9-7</f>
        <v>46226</v>
      </c>
      <c r="C9" s="23" t="n">
        <v>29.28</v>
      </c>
      <c r="D9" s="24" t="n">
        <f aca="false">C9-C8</f>
        <v>0</v>
      </c>
      <c r="E9" s="23" t="n">
        <v>226.7</v>
      </c>
      <c r="F9" s="24" t="n">
        <f aca="false">E9-E8</f>
        <v>-0.410000000000025</v>
      </c>
      <c r="G9" s="23" t="n">
        <v>146.56</v>
      </c>
      <c r="H9" s="23" t="n">
        <v>606.67</v>
      </c>
      <c r="I9" s="24" t="n">
        <f aca="false">H9-H8</f>
        <v>2.83999999999992</v>
      </c>
      <c r="J9" s="23" t="n">
        <v>1018.18</v>
      </c>
      <c r="K9" s="24" t="n">
        <f aca="false">J9-J8</f>
        <v>0</v>
      </c>
      <c r="L9" s="25" t="str">
        <f aca="false">IFERROR(IF(D9=0,"",K9/D9),"")</f>
        <v/>
      </c>
      <c r="M9" s="21" t="s">
        <v>133</v>
      </c>
      <c r="N9" s="9" t="s">
        <v>134</v>
      </c>
    </row>
    <row r="10" customFormat="false" ht="39.75" hidden="false" customHeight="true" outlineLevel="0" collapsed="false">
      <c r="A10" s="12" t="n">
        <v>46240</v>
      </c>
      <c r="B10" s="22" t="n">
        <f aca="false">A10-7</f>
        <v>46233</v>
      </c>
      <c r="C10" s="23" t="n">
        <v>29.28</v>
      </c>
      <c r="D10" s="24" t="n">
        <f aca="false">C10-C9</f>
        <v>0</v>
      </c>
      <c r="E10" s="23" t="n">
        <v>224.54</v>
      </c>
      <c r="F10" s="24" t="n">
        <f aca="false">E10-E9</f>
        <v>-2.16</v>
      </c>
      <c r="G10" s="23" t="n">
        <v>132.88</v>
      </c>
      <c r="H10" s="23" t="n">
        <v>620.44</v>
      </c>
      <c r="I10" s="24" t="n">
        <f aca="false">H10-H9</f>
        <v>13.7700000000001</v>
      </c>
      <c r="J10" s="23" t="n">
        <v>1021.47</v>
      </c>
      <c r="K10" s="24" t="n">
        <f aca="false">J10-J9</f>
        <v>3.29000000000008</v>
      </c>
      <c r="L10" s="25" t="str">
        <f aca="false">IFERROR(IF(D10=0,"",K10/D10),"")</f>
        <v/>
      </c>
      <c r="M10" s="21" t="s">
        <v>135</v>
      </c>
      <c r="N10" s="9" t="s">
        <v>136</v>
      </c>
    </row>
    <row r="11" customFormat="false" ht="15.75" hidden="false" customHeight="true" outlineLevel="0" collapsed="false">
      <c r="A11" s="12" t="n">
        <v>46247</v>
      </c>
      <c r="B11" s="22" t="n">
        <f aca="false">A11-7</f>
        <v>46240</v>
      </c>
      <c r="C11" s="23" t="n">
        <v>29.28</v>
      </c>
      <c r="D11" s="24" t="n">
        <f aca="false">C11-C10</f>
        <v>0</v>
      </c>
      <c r="E11" s="23" t="n">
        <v>224.43</v>
      </c>
      <c r="F11" s="24" t="n">
        <f aca="false">E11-E10</f>
        <v>-0.109999999999985</v>
      </c>
      <c r="G11" s="23" t="n">
        <v>132.62</v>
      </c>
      <c r="H11" s="23" t="n">
        <v>621.17</v>
      </c>
      <c r="I11" s="24" t="n">
        <f aca="false">H11-H10</f>
        <v>0.729999999999905</v>
      </c>
      <c r="J11" s="23" t="n">
        <v>1022.27</v>
      </c>
      <c r="K11" s="24" t="n">
        <f aca="false">J11-J10</f>
        <v>0.799999999999955</v>
      </c>
      <c r="L11" s="25" t="str">
        <f aca="false">IFERROR(IF(D11=0,"",K11/D11),"")</f>
        <v/>
      </c>
      <c r="M11" s="21" t="s">
        <v>137</v>
      </c>
      <c r="N11" s="9"/>
    </row>
    <row r="12" customFormat="false" ht="39.75" hidden="false" customHeight="true" outlineLevel="0" collapsed="false">
      <c r="A12" s="26" t="n">
        <v>46253</v>
      </c>
      <c r="B12" s="27" t="n">
        <f aca="false">A12-7</f>
        <v>46246</v>
      </c>
      <c r="C12" s="28" t="n">
        <v>29.28</v>
      </c>
      <c r="D12" s="29" t="n">
        <f aca="false">C12-C11</f>
        <v>0</v>
      </c>
      <c r="E12" s="28" t="n">
        <v>224.43</v>
      </c>
      <c r="F12" s="29" t="n">
        <f aca="false">E12-E11</f>
        <v>0</v>
      </c>
      <c r="G12" s="28" t="n">
        <v>132.62</v>
      </c>
      <c r="H12" s="28" t="n">
        <v>621.17</v>
      </c>
      <c r="I12" s="29" t="n">
        <f aca="false">H12-H11</f>
        <v>0</v>
      </c>
      <c r="J12" s="28" t="n">
        <v>1022.27</v>
      </c>
      <c r="K12" s="29" t="n">
        <f aca="false">J12-J11</f>
        <v>0</v>
      </c>
      <c r="L12" s="30" t="str">
        <f aca="false">IFERROR(IF(D12=0,"",K12/D12),"")</f>
        <v/>
      </c>
      <c r="M12" s="31" t="s">
        <v>138</v>
      </c>
      <c r="N12" s="32" t="s">
        <v>139</v>
      </c>
    </row>
    <row r="13" customFormat="false" ht="39.75" hidden="false" customHeight="true" outlineLevel="0" collapsed="false">
      <c r="A13" s="26" t="n">
        <v>46254</v>
      </c>
      <c r="B13" s="27" t="n">
        <f aca="false">A13-7</f>
        <v>46247</v>
      </c>
      <c r="C13" s="28" t="n">
        <v>29.35</v>
      </c>
      <c r="D13" s="29" t="n">
        <f aca="false">C13-C12</f>
        <v>0.0700000000000003</v>
      </c>
      <c r="E13" s="28" t="n">
        <v>224.43</v>
      </c>
      <c r="F13" s="29" t="n">
        <f aca="false">E13-E12</f>
        <v>0</v>
      </c>
      <c r="G13" s="28" t="n">
        <v>132.62</v>
      </c>
      <c r="H13" s="28" t="n">
        <v>621.17</v>
      </c>
      <c r="I13" s="29" t="n">
        <f aca="false">H13-H12</f>
        <v>0</v>
      </c>
      <c r="J13" s="28" t="n">
        <v>1023.07</v>
      </c>
      <c r="K13" s="29" t="n">
        <f aca="false">J13-J12</f>
        <v>0.800000000000068</v>
      </c>
      <c r="L13" s="30" t="n">
        <f aca="false">IFERROR(IF(D13=0,"",K13/D13),"")</f>
        <v>11.4285714285724</v>
      </c>
      <c r="M13" s="31" t="s">
        <v>140</v>
      </c>
      <c r="N13" s="32" t="s">
        <v>141</v>
      </c>
    </row>
    <row r="14" customFormat="false" ht="22.35" hidden="false" customHeight="false" outlineLevel="0" collapsed="false">
      <c r="A14" s="17" t="s">
        <v>142</v>
      </c>
      <c r="B14" s="33"/>
      <c r="C14" s="34" t="n">
        <f aca="false">C13</f>
        <v>29.35</v>
      </c>
      <c r="D14" s="35" t="n">
        <f aca="false">C13-C5</f>
        <v>0.0899999999999999</v>
      </c>
      <c r="E14" s="34" t="n">
        <f aca="false">E13</f>
        <v>224.43</v>
      </c>
      <c r="F14" s="35" t="n">
        <f aca="false">E13-E5</f>
        <v>-2.68000000000001</v>
      </c>
      <c r="G14" s="34" t="n">
        <f aca="false">G13</f>
        <v>132.62</v>
      </c>
      <c r="H14" s="34" t="n">
        <f aca="false">H13</f>
        <v>621.17</v>
      </c>
      <c r="I14" s="35" t="n">
        <f aca="false">H13-H5</f>
        <v>17.3399999999999</v>
      </c>
      <c r="J14" s="34" t="n">
        <f aca="false">J13</f>
        <v>1023.07</v>
      </c>
      <c r="K14" s="35" t="n">
        <f aca="false">J13-J5</f>
        <v>6.18000000000006</v>
      </c>
      <c r="L14" s="33"/>
      <c r="M14" s="33"/>
      <c r="N14" s="19" t="s">
        <v>143</v>
      </c>
    </row>
    <row r="16" customFormat="false" ht="105.95" hidden="false" customHeight="false" outlineLevel="0" collapsed="false">
      <c r="A16" s="6" t="s">
        <v>144</v>
      </c>
      <c r="C16" s="36" t="n">
        <f aca="false">IFERROR((H11-H8)/(E8-E11),"")</f>
        <v>6.4701492537313</v>
      </c>
      <c r="D16" s="21" t="s">
        <v>145</v>
      </c>
      <c r="E16" s="9" t="s">
        <v>146</v>
      </c>
    </row>
    <row r="17" customFormat="false" ht="74.6" hidden="false" customHeight="false" outlineLevel="0" collapsed="false">
      <c r="A17" s="6" t="s">
        <v>147</v>
      </c>
      <c r="C17" s="37" t="n">
        <f aca="false">C13/E13*1000</f>
        <v>130.775742993361</v>
      </c>
      <c r="D17" s="21" t="s">
        <v>148</v>
      </c>
      <c r="E17" s="9" t="s">
        <v>149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0"/>
    <col collapsed="false" customWidth="true" hidden="false" outlineLevel="0" max="3" min="3" style="0" width="17"/>
    <col collapsed="false" customWidth="true" hidden="false" outlineLevel="0" max="4" min="4" style="0" width="15"/>
    <col collapsed="false" customWidth="true" hidden="false" outlineLevel="0" max="5" min="5" style="0" width="17"/>
    <col collapsed="false" customWidth="true" hidden="false" outlineLevel="0" max="6" min="6" style="0" width="15"/>
    <col collapsed="false" customWidth="true" hidden="false" outlineLevel="0" max="7" min="7" style="0" width="11"/>
    <col collapsed="false" customWidth="true" hidden="false" outlineLevel="0" max="8" min="8" style="0" width="7"/>
    <col collapsed="false" customWidth="true" hidden="false" outlineLevel="0" max="9" min="9" style="0" width="11"/>
    <col collapsed="false" customWidth="true" hidden="false" outlineLevel="0" max="10" min="10" style="0" width="40"/>
    <col collapsed="false" customWidth="true" hidden="false" outlineLevel="0" max="11" min="11" style="0" width="60"/>
  </cols>
  <sheetData>
    <row r="1" customFormat="false" ht="16.15" hidden="false" customHeight="false" outlineLevel="0" collapsed="false">
      <c r="A1" s="1" t="s">
        <v>150</v>
      </c>
    </row>
    <row r="2" customFormat="false" ht="15" hidden="false" customHeight="false" outlineLevel="0" collapsed="false">
      <c r="A2" s="2" t="s">
        <v>151</v>
      </c>
    </row>
    <row r="3" customFormat="false" ht="15" hidden="false" customHeight="false" outlineLevel="0" collapsed="false">
      <c r="A3" s="2" t="s">
        <v>152</v>
      </c>
    </row>
    <row r="5" customFormat="false" ht="43.5" hidden="false" customHeight="true" outlineLevel="0" collapsed="false">
      <c r="A5" s="5" t="s">
        <v>84</v>
      </c>
      <c r="B5" s="5" t="s">
        <v>153</v>
      </c>
      <c r="C5" s="5" t="s">
        <v>154</v>
      </c>
      <c r="D5" s="5" t="s">
        <v>155</v>
      </c>
      <c r="E5" s="5" t="s">
        <v>156</v>
      </c>
      <c r="F5" s="5" t="s">
        <v>157</v>
      </c>
      <c r="G5" s="5" t="s">
        <v>158</v>
      </c>
      <c r="H5" s="5" t="s">
        <v>159</v>
      </c>
      <c r="I5" s="5" t="s">
        <v>160</v>
      </c>
      <c r="J5" s="5" t="s">
        <v>161</v>
      </c>
      <c r="K5" s="5" t="s">
        <v>128</v>
      </c>
    </row>
    <row r="6" customFormat="false" ht="43.5" hidden="false" customHeight="true" outlineLevel="0" collapsed="false">
      <c r="A6" s="12" t="n">
        <v>45996</v>
      </c>
      <c r="B6" s="8" t="s">
        <v>162</v>
      </c>
      <c r="C6" s="13" t="n">
        <v>127025563</v>
      </c>
      <c r="D6" s="13" t="n">
        <v>26587647</v>
      </c>
      <c r="E6" s="15" t="n">
        <f aca="false">IF(C6="","",C6+D6)</f>
        <v>153613210</v>
      </c>
      <c r="F6" s="8"/>
      <c r="G6" s="8"/>
      <c r="H6" s="38" t="n">
        <v>1</v>
      </c>
      <c r="I6" s="8" t="s">
        <v>163</v>
      </c>
      <c r="J6" s="9" t="s">
        <v>164</v>
      </c>
      <c r="K6" s="9" t="s">
        <v>165</v>
      </c>
    </row>
    <row r="7" customFormat="false" ht="43.5" hidden="false" customHeight="true" outlineLevel="0" collapsed="false">
      <c r="A7" s="12" t="n">
        <v>46022</v>
      </c>
      <c r="B7" s="8" t="s">
        <v>162</v>
      </c>
      <c r="C7" s="13" t="n">
        <v>124093048</v>
      </c>
      <c r="D7" s="13" t="n">
        <v>26587647</v>
      </c>
      <c r="E7" s="15" t="n">
        <f aca="false">IF(C7="","",C7+D7)</f>
        <v>150680695</v>
      </c>
      <c r="F7" s="14" t="n">
        <f aca="false">C7-C6</f>
        <v>-2932515</v>
      </c>
      <c r="G7" s="15" t="n">
        <f aca="false">A7-A6</f>
        <v>26</v>
      </c>
      <c r="H7" s="38" t="n">
        <v>1</v>
      </c>
      <c r="I7" s="6" t="s">
        <v>166</v>
      </c>
      <c r="J7" s="9" t="s">
        <v>167</v>
      </c>
      <c r="K7" s="9" t="s">
        <v>168</v>
      </c>
    </row>
    <row r="8" customFormat="false" ht="43.5" hidden="false" customHeight="true" outlineLevel="0" collapsed="false">
      <c r="A8" s="39" t="n">
        <v>46053</v>
      </c>
      <c r="B8" s="40" t="s">
        <v>169</v>
      </c>
      <c r="C8" s="11"/>
      <c r="D8" s="11"/>
      <c r="E8" s="41" t="str">
        <f aca="false">IF(C8="","",C8+D8)</f>
        <v/>
      </c>
      <c r="F8" s="40"/>
      <c r="G8" s="40"/>
      <c r="H8" s="42" t="n">
        <v>1</v>
      </c>
      <c r="I8" s="40" t="s">
        <v>170</v>
      </c>
      <c r="J8" s="43" t="s">
        <v>171</v>
      </c>
      <c r="K8" s="43" t="s">
        <v>172</v>
      </c>
    </row>
    <row r="9" customFormat="false" ht="43.5" hidden="false" customHeight="true" outlineLevel="0" collapsed="false">
      <c r="A9" s="12" t="n">
        <v>46064</v>
      </c>
      <c r="B9" s="8" t="s">
        <v>173</v>
      </c>
      <c r="C9" s="13" t="n">
        <v>123967508</v>
      </c>
      <c r="D9" s="13" t="n">
        <v>26587647</v>
      </c>
      <c r="E9" s="15" t="n">
        <f aca="false">IF(C9="","",C9+D9)</f>
        <v>150555155</v>
      </c>
      <c r="F9" s="14" t="n">
        <f aca="false">C9-C7</f>
        <v>-125540</v>
      </c>
      <c r="G9" s="15" t="n">
        <f aca="false">A9-A7</f>
        <v>42</v>
      </c>
      <c r="H9" s="38" t="n">
        <v>1</v>
      </c>
      <c r="I9" s="8" t="s">
        <v>163</v>
      </c>
      <c r="J9" s="9" t="s">
        <v>174</v>
      </c>
      <c r="K9" s="9" t="s">
        <v>175</v>
      </c>
    </row>
    <row r="10" customFormat="false" ht="43.5" hidden="false" customHeight="true" outlineLevel="0" collapsed="false">
      <c r="A10" s="12" t="n">
        <v>46112</v>
      </c>
      <c r="B10" s="8" t="s">
        <v>176</v>
      </c>
      <c r="C10" s="13" t="n">
        <v>124220108</v>
      </c>
      <c r="D10" s="13" t="n">
        <v>26587647</v>
      </c>
      <c r="E10" s="15" t="n">
        <f aca="false">IF(C10="","",C10+D10)</f>
        <v>150807755</v>
      </c>
      <c r="F10" s="14" t="n">
        <f aca="false">C10-C9</f>
        <v>252600</v>
      </c>
      <c r="G10" s="15" t="n">
        <f aca="false">A10-A9</f>
        <v>48</v>
      </c>
      <c r="H10" s="38" t="n">
        <v>1</v>
      </c>
      <c r="I10" s="6" t="s">
        <v>166</v>
      </c>
      <c r="J10" s="9" t="s">
        <v>177</v>
      </c>
      <c r="K10" s="9" t="s">
        <v>178</v>
      </c>
    </row>
    <row r="11" customFormat="false" ht="43.5" hidden="false" customHeight="true" outlineLevel="0" collapsed="false">
      <c r="A11" s="39" t="n">
        <v>46142</v>
      </c>
      <c r="B11" s="40" t="s">
        <v>179</v>
      </c>
      <c r="C11" s="11"/>
      <c r="D11" s="11"/>
      <c r="E11" s="41" t="str">
        <f aca="false">IF(C11="","",C11+D11)</f>
        <v/>
      </c>
      <c r="F11" s="40"/>
      <c r="G11" s="40"/>
      <c r="H11" s="42" t="n">
        <v>1</v>
      </c>
      <c r="I11" s="40" t="s">
        <v>170</v>
      </c>
      <c r="J11" s="43" t="s">
        <v>180</v>
      </c>
      <c r="K11" s="43" t="s">
        <v>181</v>
      </c>
    </row>
    <row r="12" customFormat="false" ht="43.5" hidden="false" customHeight="true" outlineLevel="0" collapsed="false">
      <c r="A12" s="12" t="n">
        <v>46149</v>
      </c>
      <c r="B12" s="8" t="s">
        <v>182</v>
      </c>
      <c r="C12" s="13" t="n">
        <v>134621571</v>
      </c>
      <c r="D12" s="13" t="n">
        <v>26587647</v>
      </c>
      <c r="E12" s="15" t="n">
        <f aca="false">IF(C12="","",C12+D12)</f>
        <v>161209218</v>
      </c>
      <c r="F12" s="14" t="n">
        <f aca="false">C12-C10</f>
        <v>10401463</v>
      </c>
      <c r="G12" s="15" t="n">
        <f aca="false">A12-A10</f>
        <v>37</v>
      </c>
      <c r="H12" s="38" t="n">
        <v>1</v>
      </c>
      <c r="I12" s="8" t="s">
        <v>163</v>
      </c>
      <c r="J12" s="9" t="s">
        <v>183</v>
      </c>
      <c r="K12" s="9" t="s">
        <v>184</v>
      </c>
    </row>
    <row r="13" customFormat="false" ht="43.5" hidden="false" customHeight="true" outlineLevel="0" collapsed="false">
      <c r="A13" s="12" t="n">
        <v>46161</v>
      </c>
      <c r="B13" s="8" t="s">
        <v>182</v>
      </c>
      <c r="C13" s="13" t="n">
        <v>144447571</v>
      </c>
      <c r="D13" s="13" t="n">
        <v>26587647</v>
      </c>
      <c r="E13" s="15" t="n">
        <f aca="false">IF(C13="","",C13+D13)</f>
        <v>171035218</v>
      </c>
      <c r="F13" s="14" t="n">
        <f aca="false">C13-C12</f>
        <v>9826000</v>
      </c>
      <c r="G13" s="15" t="n">
        <f aca="false">A13-A12</f>
        <v>12</v>
      </c>
      <c r="H13" s="38" t="n">
        <v>1</v>
      </c>
      <c r="I13" s="8" t="s">
        <v>163</v>
      </c>
      <c r="J13" s="9" t="s">
        <v>185</v>
      </c>
      <c r="K13" s="9" t="s">
        <v>186</v>
      </c>
    </row>
    <row r="14" customFormat="false" ht="43.5" hidden="false" customHeight="true" outlineLevel="0" collapsed="false">
      <c r="A14" s="12" t="n">
        <v>46188</v>
      </c>
      <c r="B14" s="8" t="s">
        <v>187</v>
      </c>
      <c r="C14" s="13" t="n">
        <v>196553055</v>
      </c>
      <c r="D14" s="13" t="n">
        <v>26587647</v>
      </c>
      <c r="E14" s="15" t="n">
        <f aca="false">IF(C14="","",C14+D14)</f>
        <v>223140702</v>
      </c>
      <c r="F14" s="14" t="n">
        <f aca="false">C14-C13</f>
        <v>52105484</v>
      </c>
      <c r="G14" s="15" t="n">
        <f aca="false">A14-A13</f>
        <v>27</v>
      </c>
      <c r="H14" s="38" t="n">
        <v>1</v>
      </c>
      <c r="I14" s="8" t="s">
        <v>163</v>
      </c>
      <c r="J14" s="9" t="s">
        <v>188</v>
      </c>
      <c r="K14" s="9" t="s">
        <v>189</v>
      </c>
    </row>
    <row r="15" customFormat="false" ht="43.5" hidden="false" customHeight="true" outlineLevel="0" collapsed="false">
      <c r="A15" s="44" t="n">
        <v>46198</v>
      </c>
      <c r="B15" s="45" t="s">
        <v>187</v>
      </c>
      <c r="C15" s="46" t="n">
        <v>200522353</v>
      </c>
      <c r="D15" s="46" t="n">
        <v>26587647</v>
      </c>
      <c r="E15" s="47" t="n">
        <f aca="false">IF(C15="","",C15+D15)</f>
        <v>227110000</v>
      </c>
      <c r="F15" s="48" t="n">
        <f aca="false">C15-C14</f>
        <v>3969298</v>
      </c>
      <c r="G15" s="47" t="n">
        <f aca="false">A15-A14</f>
        <v>10</v>
      </c>
      <c r="H15" s="49" t="n">
        <v>2</v>
      </c>
      <c r="I15" s="45" t="s">
        <v>190</v>
      </c>
      <c r="J15" s="50" t="s">
        <v>191</v>
      </c>
      <c r="K15" s="50" t="s">
        <v>192</v>
      </c>
    </row>
    <row r="16" customFormat="false" ht="43.5" hidden="false" customHeight="true" outlineLevel="0" collapsed="false">
      <c r="A16" s="12" t="n">
        <v>46218</v>
      </c>
      <c r="B16" s="8" t="s">
        <v>193</v>
      </c>
      <c r="C16" s="13" t="n">
        <v>200563691</v>
      </c>
      <c r="D16" s="13" t="n">
        <v>26587647</v>
      </c>
      <c r="E16" s="15" t="n">
        <f aca="false">IF(C16="","",C16+D16)</f>
        <v>227151338</v>
      </c>
      <c r="F16" s="14" t="n">
        <f aca="false">C16-C15</f>
        <v>41338</v>
      </c>
      <c r="G16" s="15" t="n">
        <f aca="false">A16-A15</f>
        <v>20</v>
      </c>
      <c r="H16" s="38" t="n">
        <v>1</v>
      </c>
      <c r="I16" s="8" t="s">
        <v>163</v>
      </c>
      <c r="J16" s="9" t="s">
        <v>194</v>
      </c>
      <c r="K16" s="9" t="s">
        <v>195</v>
      </c>
    </row>
    <row r="17" customFormat="false" ht="43.5" hidden="false" customHeight="true" outlineLevel="0" collapsed="false">
      <c r="A17" s="44" t="n">
        <v>46226</v>
      </c>
      <c r="B17" s="45" t="s">
        <v>193</v>
      </c>
      <c r="C17" s="46" t="n">
        <v>200112353</v>
      </c>
      <c r="D17" s="46" t="n">
        <v>26587647</v>
      </c>
      <c r="E17" s="47" t="n">
        <f aca="false">IF(C17="","",C17+D17)</f>
        <v>226700000</v>
      </c>
      <c r="F17" s="48" t="n">
        <f aca="false">C17-C16</f>
        <v>-451338</v>
      </c>
      <c r="G17" s="47" t="n">
        <f aca="false">A17-A16</f>
        <v>8</v>
      </c>
      <c r="H17" s="49" t="n">
        <v>2</v>
      </c>
      <c r="I17" s="45" t="s">
        <v>163</v>
      </c>
      <c r="J17" s="50" t="s">
        <v>196</v>
      </c>
      <c r="K17" s="50" t="s">
        <v>197</v>
      </c>
    </row>
    <row r="18" customFormat="false" ht="43.5" hidden="false" customHeight="true" outlineLevel="0" collapsed="false">
      <c r="A18" s="44" t="n">
        <v>46233</v>
      </c>
      <c r="B18" s="45" t="s">
        <v>193</v>
      </c>
      <c r="C18" s="46" t="n">
        <v>197952353</v>
      </c>
      <c r="D18" s="46" t="n">
        <v>26587647</v>
      </c>
      <c r="E18" s="47" t="n">
        <f aca="false">IF(C18="","",C18+D18)</f>
        <v>224540000</v>
      </c>
      <c r="F18" s="48" t="n">
        <f aca="false">C18-C17</f>
        <v>-2160000</v>
      </c>
      <c r="G18" s="47" t="n">
        <f aca="false">A18-A17</f>
        <v>7</v>
      </c>
      <c r="H18" s="49" t="n">
        <v>2</v>
      </c>
      <c r="I18" s="45" t="s">
        <v>190</v>
      </c>
      <c r="J18" s="50" t="s">
        <v>198</v>
      </c>
      <c r="K18" s="50" t="s">
        <v>199</v>
      </c>
    </row>
    <row r="19" customFormat="false" ht="43.5" hidden="false" customHeight="true" outlineLevel="0" collapsed="false">
      <c r="A19" s="44" t="n">
        <v>46240</v>
      </c>
      <c r="B19" s="45" t="s">
        <v>200</v>
      </c>
      <c r="C19" s="46" t="n">
        <v>197842353</v>
      </c>
      <c r="D19" s="46" t="n">
        <v>26587647</v>
      </c>
      <c r="E19" s="47" t="n">
        <f aca="false">IF(C19="","",C19+D19)</f>
        <v>224430000</v>
      </c>
      <c r="F19" s="48" t="n">
        <f aca="false">C19-C18</f>
        <v>-110000</v>
      </c>
      <c r="G19" s="47" t="n">
        <f aca="false">A19-A18</f>
        <v>7</v>
      </c>
      <c r="H19" s="49" t="n">
        <v>2</v>
      </c>
      <c r="I19" s="45" t="s">
        <v>163</v>
      </c>
      <c r="J19" s="50" t="s">
        <v>201</v>
      </c>
      <c r="K19" s="50"/>
    </row>
    <row r="20" customFormat="false" ht="43.5" hidden="false" customHeight="true" outlineLevel="0" collapsed="false">
      <c r="A20" s="44" t="n">
        <v>46247</v>
      </c>
      <c r="B20" s="45" t="s">
        <v>200</v>
      </c>
      <c r="C20" s="46" t="n">
        <v>197842353</v>
      </c>
      <c r="D20" s="46" t="n">
        <v>26587647</v>
      </c>
      <c r="E20" s="47" t="n">
        <f aca="false">IF(C20="","",C20+D20)</f>
        <v>224430000</v>
      </c>
      <c r="F20" s="48" t="n">
        <f aca="false">C20-C19</f>
        <v>0</v>
      </c>
      <c r="G20" s="47" t="n">
        <f aca="false">A20-A19</f>
        <v>7</v>
      </c>
      <c r="H20" s="49" t="n">
        <v>2</v>
      </c>
      <c r="I20" s="51" t="s">
        <v>202</v>
      </c>
      <c r="J20" s="50" t="s">
        <v>203</v>
      </c>
      <c r="K20" s="50" t="s">
        <v>204</v>
      </c>
    </row>
    <row r="22" customFormat="false" ht="15" hidden="false" customHeight="false" outlineLevel="0" collapsed="false">
      <c r="A22" s="17" t="s">
        <v>205</v>
      </c>
      <c r="B22" s="33"/>
      <c r="C22" s="18" t="n">
        <f aca="false">LOOKUP(2,1/(C6:C20&lt;&gt;""),C6:C20)</f>
        <v>197842353</v>
      </c>
      <c r="D22" s="18" t="n">
        <v>26587647</v>
      </c>
      <c r="E22" s="18" t="n">
        <f aca="false">C22+D22</f>
        <v>224430000</v>
      </c>
      <c r="F22" s="52" t="n">
        <f aca="false">C22-C7</f>
        <v>73749305</v>
      </c>
      <c r="G22" s="33"/>
      <c r="H22" s="33"/>
      <c r="I22" s="33"/>
      <c r="J22" s="19" t="s">
        <v>206</v>
      </c>
      <c r="K22" s="53" t="n">
        <f aca="false">IFERROR(C22/C7-1,"")</f>
        <v>0.594306499748479</v>
      </c>
    </row>
    <row r="23" customFormat="false" ht="33.75" hidden="false" customHeight="true" outlineLevel="0" collapsed="false">
      <c r="A23" s="6" t="s">
        <v>207</v>
      </c>
      <c r="C23" s="54" t="n">
        <f aca="false">Master_Series!B21/E22*1000</f>
        <v>130.775742993361</v>
      </c>
      <c r="D23" s="21" t="s">
        <v>208</v>
      </c>
      <c r="E23" s="54" t="n">
        <f aca="false">Master_Series!B21/C22*1000</f>
        <v>148.350439402629</v>
      </c>
      <c r="F23" s="21" t="s">
        <v>209</v>
      </c>
      <c r="J23" s="9" t="s">
        <v>210</v>
      </c>
    </row>
    <row r="25" customFormat="false" ht="15" hidden="false" customHeight="false" outlineLevel="0" collapsed="false">
      <c r="A25" s="3" t="s">
        <v>211</v>
      </c>
    </row>
    <row r="26" customFormat="false" ht="15" hidden="false" customHeight="false" outlineLevel="0" collapsed="false">
      <c r="A26" s="4" t="s">
        <v>212</v>
      </c>
    </row>
    <row r="27" customFormat="false" ht="15" hidden="false" customHeight="false" outlineLevel="0" collapsed="false">
      <c r="A27" s="4" t="s">
        <v>213</v>
      </c>
    </row>
    <row r="28" customFormat="false" ht="15" hidden="false" customHeight="false" outlineLevel="0" collapsed="false">
      <c r="A28" s="4" t="s">
        <v>214</v>
      </c>
    </row>
    <row r="29" customFormat="false" ht="15" hidden="false" customHeight="false" outlineLevel="0" collapsed="false">
      <c r="A29" s="4" t="s">
        <v>215</v>
      </c>
    </row>
    <row r="30" customFormat="false" ht="15" hidden="false" customHeight="false" outlineLevel="0" collapsed="false">
      <c r="A30" s="4" t="s">
        <v>216</v>
      </c>
    </row>
    <row r="31" customFormat="false" ht="15" hidden="false" customHeight="false" outlineLevel="0" collapsed="false">
      <c r="A31" s="4" t="s">
        <v>217</v>
      </c>
    </row>
    <row r="32" customFormat="false" ht="15" hidden="false" customHeight="false" outlineLevel="0" collapsed="false">
      <c r="A32" s="4" t="s">
        <v>218</v>
      </c>
    </row>
    <row r="33" customFormat="false" ht="15" hidden="false" customHeight="false" outlineLevel="0" collapsed="false">
      <c r="A33" s="4" t="s">
        <v>219</v>
      </c>
    </row>
    <row r="34" customFormat="false" ht="15" hidden="false" customHeight="false" outlineLevel="0" collapsed="false">
      <c r="A34" s="4" t="s">
        <v>220</v>
      </c>
    </row>
    <row r="35" customFormat="false" ht="15" hidden="false" customHeight="false" outlineLevel="0" collapsed="false">
      <c r="A35" s="4" t="s">
        <v>221</v>
      </c>
    </row>
    <row r="36" customFormat="false" ht="15" hidden="false" customHeight="false" outlineLevel="0" collapsed="false">
      <c r="A36" s="4" t="s">
        <v>222</v>
      </c>
    </row>
    <row r="37" customFormat="false" ht="15" hidden="false" customHeight="false" outlineLevel="0" collapsed="false">
      <c r="A37" s="4" t="s">
        <v>223</v>
      </c>
    </row>
    <row r="38" customFormat="false" ht="15" hidden="false" customHeight="false" outlineLevel="0" collapsed="false">
      <c r="A38" s="4" t="s">
        <v>224</v>
      </c>
    </row>
    <row r="39" customFormat="false" ht="15" hidden="false" customHeight="false" outlineLevel="0" collapsed="false">
      <c r="A39" s="4" t="s">
        <v>225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7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2" min="2" style="0" width="15"/>
    <col collapsed="false" customWidth="true" hidden="false" outlineLevel="0" max="3" min="3" style="0" width="13"/>
    <col collapsed="false" customWidth="true" hidden="false" outlineLevel="0" max="4" min="4" style="0" width="15"/>
    <col collapsed="false" customWidth="true" hidden="false" outlineLevel="0" max="8" min="5" style="0" width="16"/>
    <col collapsed="false" customWidth="true" hidden="false" outlineLevel="0" max="9" min="9" style="0" width="15"/>
    <col collapsed="false" customWidth="true" hidden="false" outlineLevel="0" max="10" min="10" style="0" width="58"/>
  </cols>
  <sheetData>
    <row r="1" customFormat="false" ht="16.15" hidden="false" customHeight="false" outlineLevel="0" collapsed="false">
      <c r="A1" s="1" t="s">
        <v>226</v>
      </c>
    </row>
    <row r="2" customFormat="false" ht="15" hidden="false" customHeight="false" outlineLevel="0" collapsed="false">
      <c r="A2" s="2" t="s">
        <v>227</v>
      </c>
    </row>
    <row r="3" customFormat="false" ht="15" hidden="false" customHeight="false" outlineLevel="0" collapsed="false">
      <c r="A3" s="2" t="s">
        <v>228</v>
      </c>
    </row>
    <row r="5" customFormat="false" ht="15" hidden="false" customHeight="false" outlineLevel="0" collapsed="false">
      <c r="A5" s="3" t="s">
        <v>229</v>
      </c>
    </row>
    <row r="6" customFormat="false" ht="42" hidden="false" customHeight="true" outlineLevel="0" collapsed="false">
      <c r="A6" s="5" t="s">
        <v>230</v>
      </c>
      <c r="B6" s="5" t="s">
        <v>231</v>
      </c>
      <c r="C6" s="5" t="s">
        <v>232</v>
      </c>
      <c r="D6" s="5" t="s">
        <v>233</v>
      </c>
      <c r="E6" s="5"/>
      <c r="F6" s="5"/>
      <c r="G6" s="5"/>
      <c r="H6" s="5"/>
      <c r="I6" s="5"/>
      <c r="J6" s="5" t="s">
        <v>234</v>
      </c>
    </row>
    <row r="7" customFormat="false" ht="45.75" hidden="false" customHeight="true" outlineLevel="0" collapsed="false">
      <c r="A7" s="8" t="s">
        <v>235</v>
      </c>
      <c r="B7" s="13" t="n">
        <v>9131600</v>
      </c>
      <c r="C7" s="55" t="n">
        <v>9.375</v>
      </c>
      <c r="D7" s="56" t="n">
        <f aca="false">B7*C7</f>
        <v>85608750</v>
      </c>
      <c r="J7" s="9" t="s">
        <v>236</v>
      </c>
    </row>
    <row r="8" customFormat="false" ht="30" hidden="false" customHeight="true" outlineLevel="0" collapsed="false">
      <c r="A8" s="8" t="s">
        <v>237</v>
      </c>
      <c r="B8" s="13" t="n">
        <v>9131600</v>
      </c>
      <c r="C8" s="55" t="n">
        <v>12.5</v>
      </c>
      <c r="D8" s="56" t="n">
        <f aca="false">B8*C8</f>
        <v>114145000</v>
      </c>
      <c r="J8" s="9" t="s">
        <v>238</v>
      </c>
    </row>
    <row r="9" customFormat="false" ht="30" hidden="false" customHeight="true" outlineLevel="0" collapsed="false">
      <c r="A9" s="8" t="s">
        <v>239</v>
      </c>
      <c r="B9" s="13" t="n">
        <v>9131600</v>
      </c>
      <c r="C9" s="55" t="n">
        <v>18.75</v>
      </c>
      <c r="D9" s="56" t="n">
        <f aca="false">B9*C9</f>
        <v>171217500</v>
      </c>
      <c r="J9" s="9" t="s">
        <v>240</v>
      </c>
    </row>
    <row r="10" customFormat="false" ht="30" hidden="false" customHeight="true" outlineLevel="0" collapsed="false">
      <c r="A10" s="8" t="s">
        <v>241</v>
      </c>
      <c r="B10" s="13" t="n">
        <v>640000</v>
      </c>
      <c r="C10" s="55" t="n">
        <v>6.25</v>
      </c>
      <c r="D10" s="56" t="n">
        <f aca="false">B10*C10</f>
        <v>4000000</v>
      </c>
      <c r="J10" s="9" t="s">
        <v>242</v>
      </c>
    </row>
    <row r="11" customFormat="false" ht="30" hidden="false" customHeight="true" outlineLevel="0" collapsed="false">
      <c r="A11" s="8" t="s">
        <v>243</v>
      </c>
      <c r="B11" s="13" t="n">
        <v>600000</v>
      </c>
      <c r="C11" s="55" t="n">
        <v>6.25</v>
      </c>
      <c r="D11" s="56" t="n">
        <f aca="false">B11*C11</f>
        <v>3750000</v>
      </c>
      <c r="J11" s="9" t="s">
        <v>244</v>
      </c>
    </row>
    <row r="12" customFormat="false" ht="45.75" hidden="false" customHeight="true" outlineLevel="0" collapsed="false">
      <c r="A12" s="57" t="s">
        <v>245</v>
      </c>
      <c r="B12" s="58" t="n">
        <v>1186481</v>
      </c>
      <c r="C12" s="59" t="n">
        <v>30.92</v>
      </c>
      <c r="D12" s="60" t="n">
        <f aca="false">B12*C12</f>
        <v>36685992.52</v>
      </c>
      <c r="J12" s="32" t="s">
        <v>246</v>
      </c>
    </row>
    <row r="13" customFormat="false" ht="22.35" hidden="false" customHeight="false" outlineLevel="0" collapsed="false">
      <c r="A13" s="17" t="s">
        <v>247</v>
      </c>
      <c r="B13" s="18" t="n">
        <f aca="false">SUM(B7:B12)</f>
        <v>29821281</v>
      </c>
      <c r="C13" s="61" t="n">
        <f aca="false">D13/B13</f>
        <v>13.9298926333849</v>
      </c>
      <c r="D13" s="62" t="n">
        <f aca="false">SUM(D7:D12)</f>
        <v>415407242.52</v>
      </c>
      <c r="J13" s="19" t="s">
        <v>248</v>
      </c>
    </row>
    <row r="14" customFormat="false" ht="15" hidden="false" customHeight="false" outlineLevel="0" collapsed="false">
      <c r="A14" s="6" t="s">
        <v>249</v>
      </c>
      <c r="B14" s="13" t="n">
        <v>29821281</v>
      </c>
      <c r="C14" s="63" t="n">
        <v>13.93</v>
      </c>
      <c r="D14" s="56" t="n">
        <f aca="false">B14*C14</f>
        <v>415410444.33</v>
      </c>
      <c r="J14" s="64" t="str">
        <f aca="false">IF(AND(B13=B14,ABS(C13-C14)&lt;0.01),"TIES on both share count and weighted average strike","DOES NOT TIE - INVESTIGATE")</f>
        <v>TIES on both share count and weighted average strike</v>
      </c>
    </row>
    <row r="16" customFormat="false" ht="15" hidden="false" customHeight="false" outlineLevel="0" collapsed="false">
      <c r="A16" s="6" t="s">
        <v>250</v>
      </c>
    </row>
    <row r="17" customFormat="false" ht="43.5" hidden="false" customHeight="true" outlineLevel="0" collapsed="false">
      <c r="A17" s="8" t="s">
        <v>76</v>
      </c>
      <c r="B17" s="13" t="n">
        <v>26587647</v>
      </c>
      <c r="J17" s="9" t="s">
        <v>251</v>
      </c>
    </row>
    <row r="18" customFormat="false" ht="43.5" hidden="false" customHeight="true" outlineLevel="0" collapsed="false">
      <c r="A18" s="8" t="s">
        <v>252</v>
      </c>
      <c r="B18" s="13" t="n">
        <v>747935</v>
      </c>
      <c r="J18" s="9" t="s">
        <v>253</v>
      </c>
    </row>
    <row r="19" customFormat="false" ht="43.5" hidden="false" customHeight="true" outlineLevel="0" collapsed="false">
      <c r="A19" s="8" t="s">
        <v>254</v>
      </c>
      <c r="B19" s="13" t="n">
        <v>5783343</v>
      </c>
      <c r="J19" s="9" t="s">
        <v>255</v>
      </c>
    </row>
    <row r="21" customFormat="false" ht="15" hidden="false" customHeight="false" outlineLevel="0" collapsed="false">
      <c r="A21" s="3" t="s">
        <v>256</v>
      </c>
    </row>
    <row r="22" customFormat="false" ht="42" hidden="false" customHeight="true" outlineLevel="0" collapsed="false">
      <c r="A22" s="5" t="s">
        <v>84</v>
      </c>
      <c r="B22" s="5" t="s">
        <v>257</v>
      </c>
      <c r="C22" s="5" t="s">
        <v>258</v>
      </c>
      <c r="D22" s="5" t="s">
        <v>259</v>
      </c>
      <c r="E22" s="5" t="s">
        <v>260</v>
      </c>
      <c r="F22" s="5" t="s">
        <v>261</v>
      </c>
      <c r="G22" s="5" t="s">
        <v>262</v>
      </c>
      <c r="H22" s="5" t="s">
        <v>263</v>
      </c>
      <c r="I22" s="5" t="s">
        <v>264</v>
      </c>
      <c r="J22" s="5" t="s">
        <v>70</v>
      </c>
    </row>
    <row r="23" customFormat="false" ht="19.5" hidden="false" customHeight="true" outlineLevel="0" collapsed="false">
      <c r="A23" s="12" t="n">
        <v>45996</v>
      </c>
      <c r="B23" s="63" t="n">
        <v>3.68</v>
      </c>
      <c r="C23" s="13" t="n">
        <v>127025563</v>
      </c>
      <c r="D23" s="13" t="n">
        <v>26587647</v>
      </c>
      <c r="E23" s="15" t="n">
        <f aca="false">C23+D23</f>
        <v>153613210</v>
      </c>
      <c r="F23" s="15" t="n">
        <f aca="false">IF($B23&gt;$C$7,($B23-$C$7)/$B23*$B$7,0)+IF($B23&gt;$C$8,($B23-$C$8)/$B23*$B$8,0)+IF($B23&gt;$C$9,($B23-$C$9)/$B23*$B$9,0)+IF($B23&gt;$C$10,($B23-$C$10)/$B23*$B$10,0)+IF($B23&gt;$C$11,($B23-$C$11)/$B23*$B$11,0)+IF($B23&gt;$C$12,($B23-$C$12)/$B23*$B$12,0)</f>
        <v>0</v>
      </c>
      <c r="G23" s="65" t="n">
        <f aca="false">E23+F23</f>
        <v>153613210</v>
      </c>
      <c r="H23" s="66" t="n">
        <f aca="false">IFERROR(G23/E23-1,"")</f>
        <v>0</v>
      </c>
      <c r="I23" s="38" t="n">
        <f aca="false">IF($B23&gt;$C$7,1,0)+IF($B23&gt;$C$8,1,0)+IF($B23&gt;$C$9,1,0)+IF($B23&gt;$C$10,1,0)+IF($B23&gt;$C$11,1,0)+IF($B23&gt;$C$12,1,0)</f>
        <v>0</v>
      </c>
      <c r="J23" s="9" t="s">
        <v>265</v>
      </c>
    </row>
    <row r="24" customFormat="false" ht="19.5" hidden="false" customHeight="true" outlineLevel="0" collapsed="false">
      <c r="A24" s="12" t="n">
        <v>46022</v>
      </c>
      <c r="B24" s="63" t="n">
        <v>3.56</v>
      </c>
      <c r="C24" s="13" t="n">
        <v>124093048</v>
      </c>
      <c r="D24" s="13" t="n">
        <v>26587647</v>
      </c>
      <c r="E24" s="15" t="n">
        <f aca="false">C24+D24</f>
        <v>150680695</v>
      </c>
      <c r="F24" s="15" t="n">
        <f aca="false">IF($B24&gt;$C$7,($B24-$C$7)/$B24*$B$7,0)+IF($B24&gt;$C$8,($B24-$C$8)/$B24*$B$8,0)+IF($B24&gt;$C$9,($B24-$C$9)/$B24*$B$9,0)+IF($B24&gt;$C$10,($B24-$C$10)/$B24*$B$10,0)+IF($B24&gt;$C$11,($B24-$C$11)/$B24*$B$11,0)+IF($B24&gt;$C$12,($B24-$C$12)/$B24*$B$12,0)</f>
        <v>0</v>
      </c>
      <c r="G24" s="65" t="n">
        <f aca="false">E24+F24</f>
        <v>150680695</v>
      </c>
      <c r="H24" s="66" t="n">
        <f aca="false">IFERROR(G24/E24-1,"")</f>
        <v>0</v>
      </c>
      <c r="I24" s="38" t="n">
        <f aca="false">IF($B24&gt;$C$7,1,0)+IF($B24&gt;$C$8,1,0)+IF($B24&gt;$C$9,1,0)+IF($B24&gt;$C$10,1,0)+IF($B24&gt;$C$11,1,0)+IF($B24&gt;$C$12,1,0)</f>
        <v>0</v>
      </c>
      <c r="J24" s="9" t="s">
        <v>266</v>
      </c>
    </row>
    <row r="25" customFormat="false" ht="19.5" hidden="false" customHeight="true" outlineLevel="0" collapsed="false">
      <c r="A25" s="12" t="n">
        <v>46064</v>
      </c>
      <c r="B25" s="63" t="n">
        <v>4.54</v>
      </c>
      <c r="C25" s="13" t="n">
        <v>123967508</v>
      </c>
      <c r="D25" s="13" t="n">
        <v>26587647</v>
      </c>
      <c r="E25" s="15" t="n">
        <f aca="false">C25+D25</f>
        <v>150555155</v>
      </c>
      <c r="F25" s="15" t="n">
        <f aca="false">IF($B25&gt;$C$7,($B25-$C$7)/$B25*$B$7,0)+IF($B25&gt;$C$8,($B25-$C$8)/$B25*$B$8,0)+IF($B25&gt;$C$9,($B25-$C$9)/$B25*$B$9,0)+IF($B25&gt;$C$10,($B25-$C$10)/$B25*$B$10,0)+IF($B25&gt;$C$11,($B25-$C$11)/$B25*$B$11,0)+IF($B25&gt;$C$12,($B25-$C$12)/$B25*$B$12,0)</f>
        <v>0</v>
      </c>
      <c r="G25" s="65" t="n">
        <f aca="false">E25+F25</f>
        <v>150555155</v>
      </c>
      <c r="H25" s="66" t="n">
        <f aca="false">IFERROR(G25/E25-1,"")</f>
        <v>0</v>
      </c>
      <c r="I25" s="38" t="n">
        <f aca="false">IF($B25&gt;$C$7,1,0)+IF($B25&gt;$C$8,1,0)+IF($B25&gt;$C$9,1,0)+IF($B25&gt;$C$10,1,0)+IF($B25&gt;$C$11,1,0)+IF($B25&gt;$C$12,1,0)</f>
        <v>0</v>
      </c>
      <c r="J25" s="9" t="s">
        <v>265</v>
      </c>
    </row>
    <row r="26" customFormat="false" ht="19.5" hidden="false" customHeight="true" outlineLevel="0" collapsed="false">
      <c r="A26" s="12" t="n">
        <v>46112</v>
      </c>
      <c r="B26" s="63" t="n">
        <v>5.09</v>
      </c>
      <c r="C26" s="13" t="n">
        <v>124220108</v>
      </c>
      <c r="D26" s="13" t="n">
        <v>26587647</v>
      </c>
      <c r="E26" s="15" t="n">
        <f aca="false">C26+D26</f>
        <v>150807755</v>
      </c>
      <c r="F26" s="15" t="n">
        <f aca="false">IF($B26&gt;$C$7,($B26-$C$7)/$B26*$B$7,0)+IF($B26&gt;$C$8,($B26-$C$8)/$B26*$B$8,0)+IF($B26&gt;$C$9,($B26-$C$9)/$B26*$B$9,0)+IF($B26&gt;$C$10,($B26-$C$10)/$B26*$B$10,0)+IF($B26&gt;$C$11,($B26-$C$11)/$B26*$B$11,0)+IF($B26&gt;$C$12,($B26-$C$12)/$B26*$B$12,0)</f>
        <v>0</v>
      </c>
      <c r="G26" s="65" t="n">
        <f aca="false">E26+F26</f>
        <v>150807755</v>
      </c>
      <c r="H26" s="66" t="n">
        <f aca="false">IFERROR(G26/E26-1,"")</f>
        <v>0</v>
      </c>
      <c r="I26" s="38" t="n">
        <f aca="false">IF($B26&gt;$C$7,1,0)+IF($B26&gt;$C$8,1,0)+IF($B26&gt;$C$9,1,0)+IF($B26&gt;$C$10,1,0)+IF($B26&gt;$C$11,1,0)+IF($B26&gt;$C$12,1,0)</f>
        <v>0</v>
      </c>
      <c r="J26" s="9" t="s">
        <v>266</v>
      </c>
    </row>
    <row r="27" customFormat="false" ht="19.5" hidden="false" customHeight="true" outlineLevel="0" collapsed="false">
      <c r="A27" s="12" t="n">
        <v>46149</v>
      </c>
      <c r="B27" s="63" t="n">
        <v>6.55</v>
      </c>
      <c r="C27" s="13" t="n">
        <v>134621571</v>
      </c>
      <c r="D27" s="13" t="n">
        <v>26587647</v>
      </c>
      <c r="E27" s="15" t="n">
        <f aca="false">C27+D27</f>
        <v>161209218</v>
      </c>
      <c r="F27" s="15" t="n">
        <f aca="false">IF($B27&gt;$C$7,($B27-$C$7)/$B27*$B$7,0)+IF($B27&gt;$C$8,($B27-$C$8)/$B27*$B$8,0)+IF($B27&gt;$C$9,($B27-$C$9)/$B27*$B$9,0)+IF($B27&gt;$C$10,($B27-$C$10)/$B27*$B$10,0)+IF($B27&gt;$C$11,($B27-$C$11)/$B27*$B$11,0)+IF($B27&gt;$C$12,($B27-$C$12)/$B27*$B$12,0)</f>
        <v>56793.893129771</v>
      </c>
      <c r="G27" s="65" t="n">
        <f aca="false">E27+F27</f>
        <v>161266011.89313</v>
      </c>
      <c r="H27" s="66" t="n">
        <f aca="false">IFERROR(G27/E27-1,"")</f>
        <v>0.000352299290539149</v>
      </c>
      <c r="I27" s="38" t="n">
        <f aca="false">IF($B27&gt;$C$7,1,0)+IF($B27&gt;$C$8,1,0)+IF($B27&gt;$C$9,1,0)+IF($B27&gt;$C$10,1,0)+IF($B27&gt;$C$11,1,0)+IF($B27&gt;$C$12,1,0)</f>
        <v>2</v>
      </c>
      <c r="J27" s="9" t="s">
        <v>265</v>
      </c>
    </row>
    <row r="28" customFormat="false" ht="19.5" hidden="false" customHeight="true" outlineLevel="0" collapsed="false">
      <c r="A28" s="12" t="n">
        <v>46161</v>
      </c>
      <c r="B28" s="63" t="n">
        <v>7.79</v>
      </c>
      <c r="C28" s="13" t="n">
        <v>144447571</v>
      </c>
      <c r="D28" s="13" t="n">
        <v>26587647</v>
      </c>
      <c r="E28" s="15" t="n">
        <f aca="false">C28+D28</f>
        <v>171035218</v>
      </c>
      <c r="F28" s="15" t="n">
        <f aca="false">IF($B28&gt;$C$7,($B28-$C$7)/$B28*$B$7,0)+IF($B28&gt;$C$8,($B28-$C$8)/$B28*$B$8,0)+IF($B28&gt;$C$9,($B28-$C$9)/$B28*$B$9,0)+IF($B28&gt;$C$10,($B28-$C$10)/$B28*$B$10,0)+IF($B28&gt;$C$11,($B28-$C$11)/$B28*$B$11,0)+IF($B28&gt;$C$12,($B28-$C$12)/$B28*$B$12,0)</f>
        <v>245134.788189987</v>
      </c>
      <c r="G28" s="65" t="n">
        <f aca="false">E28+F28</f>
        <v>171280352.78819</v>
      </c>
      <c r="H28" s="66" t="n">
        <f aca="false">IFERROR(G28/E28-1,"")</f>
        <v>0.00143324159232505</v>
      </c>
      <c r="I28" s="38" t="n">
        <f aca="false">IF($B28&gt;$C$7,1,0)+IF($B28&gt;$C$8,1,0)+IF($B28&gt;$C$9,1,0)+IF($B28&gt;$C$10,1,0)+IF($B28&gt;$C$11,1,0)+IF($B28&gt;$C$12,1,0)</f>
        <v>2</v>
      </c>
      <c r="J28" s="9" t="s">
        <v>267</v>
      </c>
    </row>
    <row r="29" customFormat="false" ht="43.5" hidden="false" customHeight="true" outlineLevel="0" collapsed="false">
      <c r="A29" s="12" t="n">
        <v>46188</v>
      </c>
      <c r="B29" s="63" t="n">
        <v>9.34</v>
      </c>
      <c r="C29" s="13" t="n">
        <v>196553055</v>
      </c>
      <c r="D29" s="13" t="n">
        <v>26587647</v>
      </c>
      <c r="E29" s="15" t="n">
        <f aca="false">C29+D29</f>
        <v>223140702</v>
      </c>
      <c r="F29" s="15" t="n">
        <f aca="false">IF($B29&gt;$C$7,($B29-$C$7)/$B29*$B$7,0)+IF($B29&gt;$C$8,($B29-$C$8)/$B29*$B$8,0)+IF($B29&gt;$C$9,($B29-$C$9)/$B29*$B$9,0)+IF($B29&gt;$C$10,($B29-$C$10)/$B29*$B$10,0)+IF($B29&gt;$C$11,($B29-$C$11)/$B29*$B$11,0)+IF($B29&gt;$C$12,($B29-$C$12)/$B29*$B$12,0)</f>
        <v>410235.546038544</v>
      </c>
      <c r="G29" s="65" t="n">
        <f aca="false">E29+F29</f>
        <v>223550937.546039</v>
      </c>
      <c r="H29" s="66" t="n">
        <f aca="false">IFERROR(G29/E29-1,"")</f>
        <v>0.00183846130428744</v>
      </c>
      <c r="I29" s="38" t="n">
        <f aca="false">IF($B29&gt;$C$7,1,0)+IF($B29&gt;$C$8,1,0)+IF($B29&gt;$C$9,1,0)+IF($B29&gt;$C$10,1,0)+IF($B29&gt;$C$11,1,0)+IF($B29&gt;$C$12,1,0)</f>
        <v>2</v>
      </c>
      <c r="J29" s="9" t="s">
        <v>268</v>
      </c>
    </row>
    <row r="30" customFormat="false" ht="19.5" hidden="false" customHeight="true" outlineLevel="0" collapsed="false">
      <c r="A30" s="12" t="n">
        <v>46218</v>
      </c>
      <c r="B30" s="63" t="n">
        <v>7.61</v>
      </c>
      <c r="C30" s="13" t="n">
        <v>200563691</v>
      </c>
      <c r="D30" s="13" t="n">
        <v>26587647</v>
      </c>
      <c r="E30" s="15" t="n">
        <f aca="false">C30+D30</f>
        <v>227151338</v>
      </c>
      <c r="F30" s="15" t="n">
        <f aca="false">IF($B30&gt;$C$7,($B30-$C$7)/$B30*$B$7,0)+IF($B30&gt;$C$8,($B30-$C$8)/$B30*$B$8,0)+IF($B30&gt;$C$9,($B30-$C$9)/$B30*$B$9,0)+IF($B30&gt;$C$10,($B30-$C$10)/$B30*$B$10,0)+IF($B30&gt;$C$11,($B30-$C$11)/$B30*$B$11,0)+IF($B30&gt;$C$12,($B30-$C$12)/$B30*$B$12,0)</f>
        <v>221603.153745072</v>
      </c>
      <c r="G30" s="65" t="n">
        <f aca="false">E30+F30</f>
        <v>227372941.153745</v>
      </c>
      <c r="H30" s="66" t="n">
        <f aca="false">IFERROR(G30/E30-1,"")</f>
        <v>0.000975574943543167</v>
      </c>
      <c r="I30" s="38" t="n">
        <f aca="false">IF($B30&gt;$C$7,1,0)+IF($B30&gt;$C$8,1,0)+IF($B30&gt;$C$9,1,0)+IF($B30&gt;$C$10,1,0)+IF($B30&gt;$C$11,1,0)+IF($B30&gt;$C$12,1,0)</f>
        <v>2</v>
      </c>
      <c r="J30" s="9" t="s">
        <v>269</v>
      </c>
    </row>
    <row r="31" customFormat="false" ht="19.5" hidden="false" customHeight="true" outlineLevel="0" collapsed="false">
      <c r="A31" s="44" t="n">
        <v>46226</v>
      </c>
      <c r="B31" s="67" t="n">
        <v>6.51</v>
      </c>
      <c r="C31" s="46" t="n">
        <v>200112353</v>
      </c>
      <c r="D31" s="46" t="n">
        <v>26587647</v>
      </c>
      <c r="E31" s="47" t="n">
        <f aca="false">C31+D31</f>
        <v>226700000</v>
      </c>
      <c r="F31" s="47" t="n">
        <f aca="false">IF($B31&gt;$C$7,($B31-$C$7)/$B31*$B$7,0)+IF($B31&gt;$C$8,($B31-$C$8)/$B31*$B$8,0)+IF($B31&gt;$C$9,($B31-$C$9)/$B31*$B$9,0)+IF($B31&gt;$C$10,($B31-$C$10)/$B31*$B$10,0)+IF($B31&gt;$C$11,($B31-$C$11)/$B31*$B$11,0)+IF($B31&gt;$C$12,($B31-$C$12)/$B31*$B$12,0)</f>
        <v>49523.8095238095</v>
      </c>
      <c r="G31" s="68" t="n">
        <f aca="false">E31+F31</f>
        <v>226749523.809524</v>
      </c>
      <c r="H31" s="69" t="n">
        <f aca="false">IFERROR(G31/E31-1,"")</f>
        <v>0.000218455269183071</v>
      </c>
      <c r="I31" s="49" t="n">
        <f aca="false">IF($B31&gt;$C$7,1,0)+IF($B31&gt;$C$8,1,0)+IF($B31&gt;$C$9,1,0)+IF($B31&gt;$C$10,1,0)+IF($B31&gt;$C$11,1,0)+IF($B31&gt;$C$12,1,0)</f>
        <v>2</v>
      </c>
      <c r="J31" s="50" t="s">
        <v>270</v>
      </c>
    </row>
    <row r="32" customFormat="false" ht="19.5" hidden="false" customHeight="true" outlineLevel="0" collapsed="false">
      <c r="A32" s="44" t="n">
        <v>46233</v>
      </c>
      <c r="B32" s="67" t="n">
        <v>6.3</v>
      </c>
      <c r="C32" s="46" t="n">
        <v>197952353</v>
      </c>
      <c r="D32" s="46" t="n">
        <v>26587647</v>
      </c>
      <c r="E32" s="47" t="n">
        <f aca="false">C32+D32</f>
        <v>224540000</v>
      </c>
      <c r="F32" s="47" t="n">
        <f aca="false">IF($B32&gt;$C$7,($B32-$C$7)/$B32*$B$7,0)+IF($B32&gt;$C$8,($B32-$C$8)/$B32*$B$8,0)+IF($B32&gt;$C$9,($B32-$C$9)/$B32*$B$9,0)+IF($B32&gt;$C$10,($B32-$C$10)/$B32*$B$10,0)+IF($B32&gt;$C$11,($B32-$C$11)/$B32*$B$11,0)+IF($B32&gt;$C$12,($B32-$C$12)/$B32*$B$12,0)</f>
        <v>9841.26984126981</v>
      </c>
      <c r="G32" s="68" t="n">
        <f aca="false">E32+F32</f>
        <v>224549841.269841</v>
      </c>
      <c r="H32" s="69" t="n">
        <f aca="false">IFERROR(G32/E32-1,"")</f>
        <v>4.38285821737772E-005</v>
      </c>
      <c r="I32" s="49" t="n">
        <f aca="false">IF($B32&gt;$C$7,1,0)+IF($B32&gt;$C$8,1,0)+IF($B32&gt;$C$9,1,0)+IF($B32&gt;$C$10,1,0)+IF($B32&gt;$C$11,1,0)+IF($B32&gt;$C$12,1,0)</f>
        <v>2</v>
      </c>
      <c r="J32" s="50" t="s">
        <v>270</v>
      </c>
    </row>
    <row r="33" customFormat="false" ht="19.5" hidden="false" customHeight="true" outlineLevel="0" collapsed="false">
      <c r="A33" s="44" t="n">
        <v>46240</v>
      </c>
      <c r="B33" s="67" t="n">
        <v>6.67</v>
      </c>
      <c r="C33" s="46" t="n">
        <v>197842353</v>
      </c>
      <c r="D33" s="46" t="n">
        <v>26587647</v>
      </c>
      <c r="E33" s="47" t="n">
        <f aca="false">C33+D33</f>
        <v>224430000</v>
      </c>
      <c r="F33" s="47" t="n">
        <f aca="false">IF($B33&gt;$C$7,($B33-$C$7)/$B33*$B$7,0)+IF($B33&gt;$C$8,($B33-$C$8)/$B33*$B$8,0)+IF($B33&gt;$C$9,($B33-$C$9)/$B33*$B$9,0)+IF($B33&gt;$C$10,($B33-$C$10)/$B33*$B$10,0)+IF($B33&gt;$C$11,($B33-$C$11)/$B33*$B$11,0)+IF($B33&gt;$C$12,($B33-$C$12)/$B33*$B$12,0)</f>
        <v>78080.9595202399</v>
      </c>
      <c r="G33" s="68" t="n">
        <f aca="false">E33+F33</f>
        <v>224508080.95952</v>
      </c>
      <c r="H33" s="69" t="n">
        <f aca="false">IFERROR(G33/E33-1,"")</f>
        <v>0.000347907853318397</v>
      </c>
      <c r="I33" s="49" t="n">
        <f aca="false">IF($B33&gt;$C$7,1,0)+IF($B33&gt;$C$8,1,0)+IF($B33&gt;$C$9,1,0)+IF($B33&gt;$C$10,1,0)+IF($B33&gt;$C$11,1,0)+IF($B33&gt;$C$12,1,0)</f>
        <v>2</v>
      </c>
      <c r="J33" s="50" t="s">
        <v>270</v>
      </c>
    </row>
    <row r="34" customFormat="false" ht="43.5" hidden="false" customHeight="true" outlineLevel="0" collapsed="false">
      <c r="A34" s="44" t="n">
        <v>46247</v>
      </c>
      <c r="B34" s="67" t="n">
        <v>6.82</v>
      </c>
      <c r="C34" s="46" t="n">
        <v>197842353</v>
      </c>
      <c r="D34" s="46" t="n">
        <v>26587647</v>
      </c>
      <c r="E34" s="47" t="n">
        <f aca="false">C34+D34</f>
        <v>224430000</v>
      </c>
      <c r="F34" s="47" t="n">
        <f aca="false">IF($B34&gt;$C$7,($B34-$C$7)/$B34*$B$7,0)+IF($B34&gt;$C$8,($B34-$C$8)/$B34*$B$8,0)+IF($B34&gt;$C$9,($B34-$C$9)/$B34*$B$9,0)+IF($B34&gt;$C$10,($B34-$C$10)/$B34*$B$10,0)+IF($B34&gt;$C$11,($B34-$C$11)/$B34*$B$11,0)+IF($B34&gt;$C$12,($B34-$C$12)/$B34*$B$12,0)</f>
        <v>103636.363636364</v>
      </c>
      <c r="G34" s="68" t="n">
        <f aca="false">E34+F34</f>
        <v>224533636.363636</v>
      </c>
      <c r="H34" s="69" t="n">
        <f aca="false">IFERROR(G34/E34-1,"")</f>
        <v>0.000461775892867999</v>
      </c>
      <c r="I34" s="49" t="n">
        <f aca="false">IF($B34&gt;$C$7,1,0)+IF($B34&gt;$C$8,1,0)+IF($B34&gt;$C$9,1,0)+IF($B34&gt;$C$10,1,0)+IF($B34&gt;$C$11,1,0)+IF($B34&gt;$C$12,1,0)</f>
        <v>2</v>
      </c>
      <c r="J34" s="50" t="s">
        <v>271</v>
      </c>
    </row>
    <row r="35" customFormat="false" ht="43.5" hidden="false" customHeight="true" outlineLevel="0" collapsed="false">
      <c r="A35" s="26" t="n">
        <v>46260</v>
      </c>
      <c r="B35" s="70" t="n">
        <v>11.56</v>
      </c>
      <c r="C35" s="58" t="n">
        <v>197842353</v>
      </c>
      <c r="D35" s="58" t="n">
        <v>26587647</v>
      </c>
      <c r="E35" s="71" t="n">
        <f aca="false">C35+D35</f>
        <v>224430000</v>
      </c>
      <c r="F35" s="71" t="n">
        <f aca="false">IF($B35&gt;$C$7,($B35-$C$7)/$B35*$B$7,0)+IF($B35&gt;$C$8,($B35-$C$8)/$B35*$B$8,0)+IF($B35&gt;$C$9,($B35-$C$9)/$B35*$B$9,0)+IF($B35&gt;$C$10,($B35-$C$10)/$B35*$B$10,0)+IF($B35&gt;$C$11,($B35-$C$11)/$B35*$B$11,0)+IF($B35&gt;$C$12,($B35-$C$12)/$B35*$B$12,0)</f>
        <v>2295583.56401384</v>
      </c>
      <c r="G35" s="72" t="n">
        <f aca="false">E35+F35</f>
        <v>226725583.564014</v>
      </c>
      <c r="H35" s="73" t="n">
        <f aca="false">IFERROR(G35/E35-1,"")</f>
        <v>0.0102285058326153</v>
      </c>
      <c r="I35" s="74" t="n">
        <f aca="false">IF($B35&gt;$C$7,1,0)+IF($B35&gt;$C$8,1,0)+IF($B35&gt;$C$9,1,0)+IF($B35&gt;$C$10,1,0)+IF($B35&gt;$C$11,1,0)+IF($B35&gt;$C$12,1,0)</f>
        <v>3</v>
      </c>
      <c r="J35" s="32" t="s">
        <v>272</v>
      </c>
    </row>
    <row r="37" customFormat="false" ht="15" hidden="false" customHeight="false" outlineLevel="0" collapsed="false">
      <c r="A37" s="3" t="s">
        <v>273</v>
      </c>
    </row>
    <row r="38" customFormat="false" ht="42" hidden="false" customHeight="true" outlineLevel="0" collapsed="false">
      <c r="A38" s="5" t="s">
        <v>274</v>
      </c>
      <c r="B38" s="5"/>
      <c r="C38" s="5" t="s">
        <v>258</v>
      </c>
      <c r="D38" s="5" t="s">
        <v>259</v>
      </c>
      <c r="E38" s="5" t="s">
        <v>260</v>
      </c>
      <c r="F38" s="5" t="s">
        <v>261</v>
      </c>
      <c r="G38" s="5" t="s">
        <v>262</v>
      </c>
      <c r="H38" s="5" t="s">
        <v>263</v>
      </c>
      <c r="I38" s="5" t="s">
        <v>264</v>
      </c>
      <c r="J38" s="5" t="s">
        <v>128</v>
      </c>
    </row>
    <row r="39" customFormat="false" ht="15" hidden="false" customHeight="false" outlineLevel="0" collapsed="false">
      <c r="A39" s="55" t="n">
        <v>6.25</v>
      </c>
      <c r="B39" s="8"/>
      <c r="C39" s="13" t="n">
        <v>197842353</v>
      </c>
      <c r="D39" s="13" t="n">
        <v>26587647</v>
      </c>
      <c r="E39" s="15" t="n">
        <f aca="false">C39+D39</f>
        <v>224430000</v>
      </c>
      <c r="F39" s="15" t="n">
        <f aca="false">IF($A39&gt;$C$7,($A39-$C$7)/$A39*$B$7,0)+IF($A39&gt;$C$8,($A39-$C$8)/$A39*$B$8,0)+IF($A39&gt;$C$9,($A39-$C$9)/$A39*$B$9,0)+IF($A39&gt;$C$10,($A39-$C$10)/$A39*$B$10,0)+IF($A39&gt;$C$11,($A39-$C$11)/$A39*$B$11,0)+IF($A39&gt;$C$12,($A39-$C$12)/$A39*$B$12,0)</f>
        <v>0</v>
      </c>
      <c r="G39" s="65" t="n">
        <f aca="false">E39+F39</f>
        <v>224430000</v>
      </c>
      <c r="H39" s="66" t="n">
        <f aca="false">IFERROR(G39/E39-1,"")</f>
        <v>0</v>
      </c>
      <c r="I39" s="38" t="n">
        <f aca="false">IF($A39&gt;$C$7,1,0)+IF($A39&gt;$C$8,1,0)+IF($A39&gt;$C$9,1,0)+IF($A39&gt;$C$10,1,0)+IF($A39&gt;$C$11,1,0)+IF($A39&gt;$C$12,1,0)</f>
        <v>0</v>
      </c>
      <c r="J39" s="9" t="s">
        <v>275</v>
      </c>
    </row>
    <row r="40" customFormat="false" ht="15" hidden="false" customHeight="false" outlineLevel="0" collapsed="false">
      <c r="A40" s="55" t="n">
        <v>6.82</v>
      </c>
      <c r="B40" s="8"/>
      <c r="C40" s="13" t="n">
        <v>197842353</v>
      </c>
      <c r="D40" s="13" t="n">
        <v>26587647</v>
      </c>
      <c r="E40" s="15" t="n">
        <f aca="false">C40+D40</f>
        <v>224430000</v>
      </c>
      <c r="F40" s="15" t="n">
        <f aca="false">IF($A40&gt;$C$7,($A40-$C$7)/$A40*$B$7,0)+IF($A40&gt;$C$8,($A40-$C$8)/$A40*$B$8,0)+IF($A40&gt;$C$9,($A40-$C$9)/$A40*$B$9,0)+IF($A40&gt;$C$10,($A40-$C$10)/$A40*$B$10,0)+IF($A40&gt;$C$11,($A40-$C$11)/$A40*$B$11,0)+IF($A40&gt;$C$12,($A40-$C$12)/$A40*$B$12,0)</f>
        <v>103636.363636364</v>
      </c>
      <c r="G40" s="65" t="n">
        <f aca="false">E40+F40</f>
        <v>224533636.363636</v>
      </c>
      <c r="H40" s="66" t="n">
        <f aca="false">IFERROR(G40/E40-1,"")</f>
        <v>0.000461775892867999</v>
      </c>
      <c r="I40" s="38" t="n">
        <f aca="false">IF($A40&gt;$C$7,1,0)+IF($A40&gt;$C$8,1,0)+IF($A40&gt;$C$9,1,0)+IF($A40&gt;$C$10,1,0)+IF($A40&gt;$C$11,1,0)+IF($A40&gt;$C$12,1,0)</f>
        <v>2</v>
      </c>
      <c r="J40" s="9"/>
    </row>
    <row r="41" customFormat="false" ht="15" hidden="false" customHeight="false" outlineLevel="0" collapsed="false">
      <c r="A41" s="55" t="n">
        <v>9.375</v>
      </c>
      <c r="B41" s="8"/>
      <c r="C41" s="13" t="n">
        <v>197842353</v>
      </c>
      <c r="D41" s="13" t="n">
        <v>26587647</v>
      </c>
      <c r="E41" s="15" t="n">
        <f aca="false">C41+D41</f>
        <v>224430000</v>
      </c>
      <c r="F41" s="15" t="n">
        <f aca="false">IF($A41&gt;$C$7,($A41-$C$7)/$A41*$B$7,0)+IF($A41&gt;$C$8,($A41-$C$8)/$A41*$B$8,0)+IF($A41&gt;$C$9,($A41-$C$9)/$A41*$B$9,0)+IF($A41&gt;$C$10,($A41-$C$10)/$A41*$B$10,0)+IF($A41&gt;$C$11,($A41-$C$11)/$A41*$B$11,0)+IF($A41&gt;$C$12,($A41-$C$12)/$A41*$B$12,0)</f>
        <v>413333.333333333</v>
      </c>
      <c r="G41" s="65" t="n">
        <f aca="false">E41+F41</f>
        <v>224843333.333333</v>
      </c>
      <c r="H41" s="66" t="n">
        <f aca="false">IFERROR(G41/E41-1,"")</f>
        <v>0.00184170268383621</v>
      </c>
      <c r="I41" s="38" t="n">
        <f aca="false">IF($A41&gt;$C$7,1,0)+IF($A41&gt;$C$8,1,0)+IF($A41&gt;$C$9,1,0)+IF($A41&gt;$C$10,1,0)+IF($A41&gt;$C$11,1,0)+IF($A41&gt;$C$12,1,0)</f>
        <v>2</v>
      </c>
      <c r="J41" s="9" t="s">
        <v>276</v>
      </c>
    </row>
    <row r="42" customFormat="false" ht="15" hidden="false" customHeight="false" outlineLevel="0" collapsed="false">
      <c r="A42" s="75" t="n">
        <v>11.56</v>
      </c>
      <c r="B42" s="40"/>
      <c r="C42" s="11" t="n">
        <v>197842353</v>
      </c>
      <c r="D42" s="11" t="n">
        <v>26587647</v>
      </c>
      <c r="E42" s="41" t="n">
        <f aca="false">C42+D42</f>
        <v>224430000</v>
      </c>
      <c r="F42" s="41" t="n">
        <f aca="false">IF($A42&gt;$C$7,($A42-$C$7)/$A42*$B$7,0)+IF($A42&gt;$C$8,($A42-$C$8)/$A42*$B$8,0)+IF($A42&gt;$C$9,($A42-$C$9)/$A42*$B$9,0)+IF($A42&gt;$C$10,($A42-$C$10)/$A42*$B$10,0)+IF($A42&gt;$C$11,($A42-$C$11)/$A42*$B$11,0)+IF($A42&gt;$C$12,($A42-$C$12)/$A42*$B$12,0)</f>
        <v>2295583.56401384</v>
      </c>
      <c r="G42" s="76" t="n">
        <f aca="false">E42+F42</f>
        <v>226725583.564014</v>
      </c>
      <c r="H42" s="77" t="n">
        <f aca="false">IFERROR(G42/E42-1,"")</f>
        <v>0.0102285058326153</v>
      </c>
      <c r="I42" s="42" t="n">
        <f aca="false">IF($A42&gt;$C$7,1,0)+IF($A42&gt;$C$8,1,0)+IF($A42&gt;$C$9,1,0)+IF($A42&gt;$C$10,1,0)+IF($A42&gt;$C$11,1,0)+IF($A42&gt;$C$12,1,0)</f>
        <v>3</v>
      </c>
      <c r="J42" s="43" t="s">
        <v>277</v>
      </c>
    </row>
    <row r="43" customFormat="false" ht="15" hidden="false" customHeight="false" outlineLevel="0" collapsed="false">
      <c r="A43" s="55" t="n">
        <v>12.5</v>
      </c>
      <c r="B43" s="8"/>
      <c r="C43" s="13" t="n">
        <v>197842353</v>
      </c>
      <c r="D43" s="13" t="n">
        <v>26587647</v>
      </c>
      <c r="E43" s="15" t="n">
        <f aca="false">C43+D43</f>
        <v>224430000</v>
      </c>
      <c r="F43" s="15" t="n">
        <f aca="false">IF($A43&gt;$C$7,($A43-$C$7)/$A43*$B$7,0)+IF($A43&gt;$C$8,($A43-$C$8)/$A43*$B$8,0)+IF($A43&gt;$C$9,($A43-$C$9)/$A43*$B$9,0)+IF($A43&gt;$C$10,($A43-$C$10)/$A43*$B$10,0)+IF($A43&gt;$C$11,($A43-$C$11)/$A43*$B$11,0)+IF($A43&gt;$C$12,($A43-$C$12)/$A43*$B$12,0)</f>
        <v>2902900</v>
      </c>
      <c r="G43" s="65" t="n">
        <f aca="false">E43+F43</f>
        <v>227332900</v>
      </c>
      <c r="H43" s="66" t="n">
        <f aca="false">IFERROR(G43/E43-1,"")</f>
        <v>0.0129345452925189</v>
      </c>
      <c r="I43" s="38" t="n">
        <f aca="false">IF($A43&gt;$C$7,1,0)+IF($A43&gt;$C$8,1,0)+IF($A43&gt;$C$9,1,0)+IF($A43&gt;$C$10,1,0)+IF($A43&gt;$C$11,1,0)+IF($A43&gt;$C$12,1,0)</f>
        <v>3</v>
      </c>
      <c r="J43" s="9" t="s">
        <v>278</v>
      </c>
    </row>
    <row r="44" customFormat="false" ht="15" hidden="false" customHeight="false" outlineLevel="0" collapsed="false">
      <c r="A44" s="55" t="n">
        <v>15</v>
      </c>
      <c r="B44" s="8"/>
      <c r="C44" s="13" t="n">
        <v>197842353</v>
      </c>
      <c r="D44" s="13" t="n">
        <v>26587647</v>
      </c>
      <c r="E44" s="15" t="n">
        <f aca="false">C44+D44</f>
        <v>224430000</v>
      </c>
      <c r="F44" s="15" t="n">
        <f aca="false">IF($A44&gt;$C$7,($A44-$C$7)/$A44*$B$7,0)+IF($A44&gt;$C$8,($A44-$C$8)/$A44*$B$8,0)+IF($A44&gt;$C$9,($A44-$C$9)/$A44*$B$9,0)+IF($A44&gt;$C$10,($A44-$C$10)/$A44*$B$10,0)+IF($A44&gt;$C$11,($A44-$C$11)/$A44*$B$11,0)+IF($A44&gt;$C$12,($A44-$C$12)/$A44*$B$12,0)</f>
        <v>5669616.66666667</v>
      </c>
      <c r="G44" s="65" t="n">
        <f aca="false">E44+F44</f>
        <v>230099616.666667</v>
      </c>
      <c r="H44" s="66" t="n">
        <f aca="false">IFERROR(G44/E44-1,"")</f>
        <v>0.0252622941080367</v>
      </c>
      <c r="I44" s="38" t="n">
        <f aca="false">IF($A44&gt;$C$7,1,0)+IF($A44&gt;$C$8,1,0)+IF($A44&gt;$C$9,1,0)+IF($A44&gt;$C$10,1,0)+IF($A44&gt;$C$11,1,0)+IF($A44&gt;$C$12,1,0)</f>
        <v>4</v>
      </c>
      <c r="J44" s="9"/>
    </row>
    <row r="45" customFormat="false" ht="15" hidden="false" customHeight="false" outlineLevel="0" collapsed="false">
      <c r="A45" s="55" t="n">
        <v>18.75</v>
      </c>
      <c r="B45" s="8"/>
      <c r="C45" s="13" t="n">
        <v>197842353</v>
      </c>
      <c r="D45" s="13" t="n">
        <v>26587647</v>
      </c>
      <c r="E45" s="15" t="n">
        <f aca="false">C45+D45</f>
        <v>224430000</v>
      </c>
      <c r="F45" s="15" t="n">
        <f aca="false">IF($A45&gt;$C$7,($A45-$C$7)/$A45*$B$7,0)+IF($A45&gt;$C$8,($A45-$C$8)/$A45*$B$8,0)+IF($A45&gt;$C$9,($A45-$C$9)/$A45*$B$9,0)+IF($A45&gt;$C$10,($A45-$C$10)/$A45*$B$10,0)+IF($A45&gt;$C$11,($A45-$C$11)/$A45*$B$11,0)+IF($A45&gt;$C$12,($A45-$C$12)/$A45*$B$12,0)</f>
        <v>8436333.33333333</v>
      </c>
      <c r="G45" s="65" t="n">
        <f aca="false">E45+F45</f>
        <v>232866333.333333</v>
      </c>
      <c r="H45" s="66" t="n">
        <f aca="false">IFERROR(G45/E45-1,"")</f>
        <v>0.0375900429235545</v>
      </c>
      <c r="I45" s="38" t="n">
        <f aca="false">IF($A45&gt;$C$7,1,0)+IF($A45&gt;$C$8,1,0)+IF($A45&gt;$C$9,1,0)+IF($A45&gt;$C$10,1,0)+IF($A45&gt;$C$11,1,0)+IF($A45&gt;$C$12,1,0)</f>
        <v>4</v>
      </c>
      <c r="J45" s="9" t="s">
        <v>279</v>
      </c>
    </row>
    <row r="46" customFormat="false" ht="15" hidden="false" customHeight="false" outlineLevel="0" collapsed="false">
      <c r="A46" s="55" t="n">
        <v>25</v>
      </c>
      <c r="B46" s="8"/>
      <c r="C46" s="13" t="n">
        <v>197842353</v>
      </c>
      <c r="D46" s="13" t="n">
        <v>26587647</v>
      </c>
      <c r="E46" s="15" t="n">
        <f aca="false">C46+D46</f>
        <v>224430000</v>
      </c>
      <c r="F46" s="15" t="n">
        <f aca="false">IF($A46&gt;$C$7,($A46-$C$7)/$A46*$B$7,0)+IF($A46&gt;$C$8,($A46-$C$8)/$A46*$B$8,0)+IF($A46&gt;$C$9,($A46-$C$9)/$A46*$B$9,0)+IF($A46&gt;$C$10,($A46-$C$10)/$A46*$B$10,0)+IF($A46&gt;$C$11,($A46-$C$11)/$A46*$B$11,0)+IF($A46&gt;$C$12,($A46-$C$12)/$A46*$B$12,0)</f>
        <v>13485950</v>
      </c>
      <c r="G46" s="65" t="n">
        <f aca="false">E46+F46</f>
        <v>237915950</v>
      </c>
      <c r="H46" s="66" t="n">
        <f aca="false">IFERROR(G46/E46-1,"")</f>
        <v>0.0600897830058371</v>
      </c>
      <c r="I46" s="38" t="n">
        <f aca="false">IF($A46&gt;$C$7,1,0)+IF($A46&gt;$C$8,1,0)+IF($A46&gt;$C$9,1,0)+IF($A46&gt;$C$10,1,0)+IF($A46&gt;$C$11,1,0)+IF($A46&gt;$C$12,1,0)</f>
        <v>5</v>
      </c>
      <c r="J46" s="9"/>
    </row>
    <row r="47" customFormat="false" ht="22.35" hidden="false" customHeight="false" outlineLevel="0" collapsed="false">
      <c r="A47" s="55" t="n">
        <v>40</v>
      </c>
      <c r="B47" s="8"/>
      <c r="C47" s="13" t="n">
        <v>197842353</v>
      </c>
      <c r="D47" s="13" t="n">
        <v>26587647</v>
      </c>
      <c r="E47" s="15" t="n">
        <f aca="false">C47+D47</f>
        <v>224430000</v>
      </c>
      <c r="F47" s="15" t="n">
        <f aca="false">IF($A47&gt;$C$7,($A47-$C$7)/$A47*$B$7,0)+IF($A47&gt;$C$8,($A47-$C$8)/$A47*$B$8,0)+IF($A47&gt;$C$9,($A47-$C$9)/$A47*$B$9,0)+IF($A47&gt;$C$10,($A47-$C$10)/$A47*$B$10,0)+IF($A47&gt;$C$11,($A47-$C$11)/$A47*$B$11,0)+IF($A47&gt;$C$12,($A47-$C$12)/$A47*$B$12,0)</f>
        <v>19436099.937</v>
      </c>
      <c r="G47" s="65" t="n">
        <f aca="false">E47+F47</f>
        <v>243866099.937</v>
      </c>
      <c r="H47" s="66" t="n">
        <f aca="false">IFERROR(G47/E47-1,"")</f>
        <v>0.0866020582676113</v>
      </c>
      <c r="I47" s="38" t="n">
        <f aca="false">IF($A47&gt;$C$7,1,0)+IF($A47&gt;$C$8,1,0)+IF($A47&gt;$C$9,1,0)+IF($A47&gt;$C$10,1,0)+IF($A47&gt;$C$11,1,0)+IF($A47&gt;$C$12,1,0)</f>
        <v>6</v>
      </c>
      <c r="J47" s="9" t="s">
        <v>280</v>
      </c>
    </row>
    <row r="49" customFormat="false" ht="15" hidden="false" customHeight="false" outlineLevel="0" collapsed="false">
      <c r="A49" s="3" t="s">
        <v>281</v>
      </c>
    </row>
    <row r="50" customFormat="false" ht="15" hidden="false" customHeight="false" outlineLevel="0" collapsed="false">
      <c r="A50" s="6" t="s">
        <v>282</v>
      </c>
      <c r="B50" s="78" t="n">
        <f aca="false">Master_Series!B21</f>
        <v>29350000</v>
      </c>
      <c r="J50" s="9" t="s">
        <v>283</v>
      </c>
    </row>
    <row r="51" customFormat="false" ht="15" hidden="false" customHeight="false" outlineLevel="0" collapsed="false">
      <c r="A51" s="6" t="s">
        <v>284</v>
      </c>
      <c r="B51" s="37" t="n">
        <f aca="false">B50/E34*1000</f>
        <v>130.775742993361</v>
      </c>
    </row>
    <row r="52" customFormat="false" ht="15" hidden="false" customHeight="false" outlineLevel="0" collapsed="false">
      <c r="A52" s="6" t="s">
        <v>285</v>
      </c>
      <c r="B52" s="37" t="n">
        <f aca="false">B50/G34*1000</f>
        <v>130.715381781227</v>
      </c>
    </row>
    <row r="53" customFormat="false" ht="15" hidden="false" customHeight="false" outlineLevel="0" collapsed="false">
      <c r="A53" s="6" t="s">
        <v>286</v>
      </c>
      <c r="B53" s="79" t="n">
        <f aca="false">B50/G35*1000</f>
        <v>129.451646076427</v>
      </c>
      <c r="J53" s="43" t="s">
        <v>287</v>
      </c>
    </row>
    <row r="55" customFormat="false" ht="15" hidden="false" customHeight="false" outlineLevel="0" collapsed="false">
      <c r="A55" s="3" t="s">
        <v>211</v>
      </c>
    </row>
    <row r="56" customFormat="false" ht="15" hidden="false" customHeight="false" outlineLevel="0" collapsed="false">
      <c r="A56" s="4" t="s">
        <v>288</v>
      </c>
    </row>
    <row r="57" customFormat="false" ht="15" hidden="false" customHeight="false" outlineLevel="0" collapsed="false">
      <c r="A57" s="4" t="s">
        <v>289</v>
      </c>
    </row>
    <row r="58" customFormat="false" ht="15" hidden="false" customHeight="false" outlineLevel="0" collapsed="false">
      <c r="A58" s="4" t="s">
        <v>290</v>
      </c>
    </row>
    <row r="59" customFormat="false" ht="15" hidden="false" customHeight="false" outlineLevel="0" collapsed="false">
      <c r="A59" s="4" t="s">
        <v>291</v>
      </c>
    </row>
    <row r="60" customFormat="false" ht="15" hidden="false" customHeight="false" outlineLevel="0" collapsed="false">
      <c r="A60" s="4" t="s">
        <v>292</v>
      </c>
    </row>
    <row r="61" customFormat="false" ht="15" hidden="false" customHeight="false" outlineLevel="0" collapsed="false">
      <c r="A61" s="4" t="s">
        <v>293</v>
      </c>
    </row>
    <row r="62" customFormat="false" ht="15" hidden="false" customHeight="false" outlineLevel="0" collapsed="false">
      <c r="A62" s="4" t="s">
        <v>294</v>
      </c>
    </row>
    <row r="63" customFormat="false" ht="15" hidden="false" customHeight="false" outlineLevel="0" collapsed="false">
      <c r="A63" s="4" t="s">
        <v>295</v>
      </c>
    </row>
    <row r="64" customFormat="false" ht="15" hidden="false" customHeight="false" outlineLevel="0" collapsed="false">
      <c r="A64" s="4" t="s">
        <v>296</v>
      </c>
    </row>
    <row r="65" customFormat="false" ht="15" hidden="false" customHeight="false" outlineLevel="0" collapsed="false">
      <c r="A65" s="4" t="s">
        <v>297</v>
      </c>
    </row>
    <row r="66" customFormat="false" ht="15" hidden="false" customHeight="false" outlineLevel="0" collapsed="false">
      <c r="A66" s="4" t="s">
        <v>298</v>
      </c>
    </row>
    <row r="67" customFormat="false" ht="15" hidden="false" customHeight="false" outlineLevel="0" collapsed="false">
      <c r="A67" s="4" t="s">
        <v>299</v>
      </c>
    </row>
    <row r="68" customFormat="false" ht="15" hidden="false" customHeight="false" outlineLevel="0" collapsed="false">
      <c r="A68" s="4" t="s">
        <v>300</v>
      </c>
    </row>
    <row r="69" customFormat="false" ht="15" hidden="false" customHeight="false" outlineLevel="0" collapsed="false">
      <c r="A69" s="4" t="s">
        <v>301</v>
      </c>
    </row>
    <row r="70" customFormat="false" ht="15" hidden="false" customHeight="false" outlineLevel="0" collapsed="false">
      <c r="A70" s="4" t="s">
        <v>302</v>
      </c>
    </row>
    <row r="71" customFormat="false" ht="15" hidden="false" customHeight="false" outlineLevel="0" collapsed="false">
      <c r="A71" s="4" t="s">
        <v>303</v>
      </c>
    </row>
    <row r="72" customFormat="false" ht="15" hidden="false" customHeight="false" outlineLevel="0" collapsed="false">
      <c r="A72" s="4" t="s">
        <v>304</v>
      </c>
    </row>
    <row r="73" customFormat="false" ht="15" hidden="false" customHeight="false" outlineLevel="0" collapsed="false">
      <c r="A73" s="4" t="s">
        <v>305</v>
      </c>
    </row>
    <row r="74" customFormat="false" ht="15" hidden="false" customHeight="false" outlineLevel="0" collapsed="false">
      <c r="A74" s="4" t="s">
        <v>306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6"/>
    <col collapsed="false" customWidth="true" hidden="false" outlineLevel="0" max="3" min="3" style="0" width="14"/>
    <col collapsed="false" customWidth="true" hidden="false" outlineLevel="0" max="4" min="4" style="0" width="15"/>
    <col collapsed="false" customWidth="true" hidden="false" outlineLevel="0" max="5" min="5" style="0" width="76"/>
  </cols>
  <sheetData>
    <row r="1" customFormat="false" ht="16.15" hidden="false" customHeight="false" outlineLevel="0" collapsed="false">
      <c r="A1" s="1" t="s">
        <v>307</v>
      </c>
    </row>
    <row r="2" customFormat="false" ht="15" hidden="false" customHeight="false" outlineLevel="0" collapsed="false">
      <c r="A2" s="2" t="s">
        <v>308</v>
      </c>
    </row>
    <row r="4" customFormat="false" ht="30" hidden="false" customHeight="true" outlineLevel="0" collapsed="false">
      <c r="A4" s="5" t="s">
        <v>309</v>
      </c>
      <c r="B4" s="5" t="s">
        <v>310</v>
      </c>
      <c r="C4" s="5" t="s">
        <v>311</v>
      </c>
      <c r="D4" s="5" t="s">
        <v>312</v>
      </c>
      <c r="E4" s="5" t="s">
        <v>313</v>
      </c>
    </row>
    <row r="5" customFormat="false" ht="15" hidden="false" customHeight="false" outlineLevel="0" collapsed="false">
      <c r="A5" s="17" t="s">
        <v>314</v>
      </c>
      <c r="B5" s="80" t="n">
        <v>0</v>
      </c>
      <c r="C5" s="80" t="n">
        <v>0</v>
      </c>
      <c r="D5" s="81" t="str">
        <f aca="false">IFERROR(IF(OR(B5="",B5=0),"",C5*1000/B5),"")</f>
        <v/>
      </c>
      <c r="E5" s="19"/>
    </row>
    <row r="6" customFormat="false" ht="15" hidden="false" customHeight="false" outlineLevel="0" collapsed="false">
      <c r="A6" s="17" t="s">
        <v>315</v>
      </c>
      <c r="B6" s="80" t="n">
        <v>0</v>
      </c>
      <c r="C6" s="80" t="n">
        <v>0</v>
      </c>
      <c r="D6" s="81" t="str">
        <f aca="false">IFERROR(IF(OR(B6="",B6=0),"",C6*1000/B6),"")</f>
        <v/>
      </c>
      <c r="E6" s="19"/>
    </row>
    <row r="7" customFormat="false" ht="31.5" hidden="false" customHeight="true" outlineLevel="0" collapsed="false">
      <c r="A7" s="8" t="s">
        <v>316</v>
      </c>
      <c r="B7" s="82" t="n">
        <v>12517592</v>
      </c>
      <c r="C7" s="82" t="n">
        <v>580466</v>
      </c>
      <c r="D7" s="36" t="n">
        <f aca="false">IFERROR(IF(OR(B7="",B7=0),"",C7*1000/B7),"")</f>
        <v>46.3720178769207</v>
      </c>
      <c r="E7" s="9" t="s">
        <v>317</v>
      </c>
    </row>
    <row r="8" customFormat="false" ht="31.5" hidden="false" customHeight="true" outlineLevel="0" collapsed="false">
      <c r="A8" s="8" t="s">
        <v>318</v>
      </c>
      <c r="B8" s="82" t="n">
        <v>321224</v>
      </c>
      <c r="C8" s="82" t="n">
        <v>9000</v>
      </c>
      <c r="D8" s="36" t="n">
        <f aca="false">IFERROR(IF(OR(B8="",B8=0),"",C8*1000/B8),"")</f>
        <v>28.0178317933903</v>
      </c>
      <c r="E8" s="9" t="s">
        <v>319</v>
      </c>
    </row>
    <row r="9" customFormat="false" ht="15" hidden="false" customHeight="false" outlineLevel="0" collapsed="false">
      <c r="A9" s="8" t="s">
        <v>320</v>
      </c>
      <c r="B9" s="82"/>
      <c r="C9" s="82" t="n">
        <v>-93200</v>
      </c>
      <c r="D9" s="36" t="str">
        <f aca="false">IFERROR(IF(OR(B9="",B9=0),"",C9*1000/B9),"")</f>
        <v/>
      </c>
      <c r="E9" s="9"/>
    </row>
    <row r="10" customFormat="false" ht="15" hidden="false" customHeight="false" outlineLevel="0" collapsed="false">
      <c r="A10" s="8" t="s">
        <v>321</v>
      </c>
      <c r="B10" s="82"/>
      <c r="C10" s="82" t="n">
        <v>-169156</v>
      </c>
      <c r="D10" s="36" t="str">
        <f aca="false">IFERROR(IF(OR(B10="",B10=0),"",C10*1000/B10),"")</f>
        <v/>
      </c>
      <c r="E10" s="9"/>
    </row>
    <row r="11" customFormat="false" ht="31.5" hidden="false" customHeight="true" outlineLevel="0" collapsed="false">
      <c r="A11" s="8" t="s">
        <v>322</v>
      </c>
      <c r="B11" s="82" t="n">
        <v>18717</v>
      </c>
      <c r="C11" s="82" t="n">
        <v>500</v>
      </c>
      <c r="D11" s="36" t="n">
        <f aca="false">IFERROR(IF(OR(B11="",B11=0),"",C11*1000/B11),"")</f>
        <v>26.7136827483037</v>
      </c>
      <c r="E11" s="9" t="s">
        <v>323</v>
      </c>
    </row>
    <row r="12" customFormat="false" ht="31.5" hidden="false" customHeight="true" outlineLevel="0" collapsed="false">
      <c r="A12" s="17" t="s">
        <v>324</v>
      </c>
      <c r="B12" s="80" t="n">
        <v>12857533</v>
      </c>
      <c r="C12" s="80" t="n">
        <v>327610</v>
      </c>
      <c r="D12" s="81" t="n">
        <f aca="false">IFERROR(IF(OR(B12="",B12=0),"",C12*1000/B12),"")</f>
        <v>25.4800046011937</v>
      </c>
      <c r="E12" s="19" t="s">
        <v>325</v>
      </c>
    </row>
    <row r="13" customFormat="false" ht="15" hidden="false" customHeight="false" outlineLevel="0" collapsed="false">
      <c r="A13" s="8" t="s">
        <v>326</v>
      </c>
      <c r="B13" s="82" t="n">
        <v>5884940</v>
      </c>
      <c r="C13" s="82" t="n">
        <v>160373</v>
      </c>
      <c r="D13" s="36" t="n">
        <f aca="false">IFERROR(IF(OR(B13="",B13=0),"",C13*1000/B13),"")</f>
        <v>27.2514248233627</v>
      </c>
      <c r="E13" s="9"/>
    </row>
    <row r="14" customFormat="false" ht="15" hidden="false" customHeight="false" outlineLevel="0" collapsed="false">
      <c r="A14" s="8" t="s">
        <v>327</v>
      </c>
      <c r="B14" s="82"/>
      <c r="C14" s="82" t="n">
        <v>198435</v>
      </c>
      <c r="D14" s="36" t="str">
        <f aca="false">IFERROR(IF(OR(B14="",B14=0),"",C14*1000/B14),"")</f>
        <v/>
      </c>
      <c r="E14" s="9"/>
    </row>
    <row r="15" customFormat="false" ht="31.5" hidden="false" customHeight="true" outlineLevel="0" collapsed="false">
      <c r="A15" s="8" t="s">
        <v>322</v>
      </c>
      <c r="B15" s="82" t="n">
        <v>83832</v>
      </c>
      <c r="C15" s="82" t="n">
        <v>2626</v>
      </c>
      <c r="D15" s="36" t="n">
        <f aca="false">IFERROR(IF(OR(B15="",B15=0),"",C15*1000/B15),"")</f>
        <v>31.3245538696441</v>
      </c>
      <c r="E15" s="9" t="s">
        <v>328</v>
      </c>
    </row>
    <row r="16" customFormat="false" ht="15" hidden="false" customHeight="false" outlineLevel="0" collapsed="false">
      <c r="A16" s="8" t="s">
        <v>329</v>
      </c>
      <c r="B16" s="82" t="n">
        <v>50</v>
      </c>
      <c r="C16" s="82" t="n">
        <v>1</v>
      </c>
      <c r="D16" s="36" t="n">
        <f aca="false">IFERROR(IF(OR(B16="",B16=0),"",C16*1000/B16),"")</f>
        <v>20</v>
      </c>
      <c r="E16" s="9"/>
    </row>
    <row r="17" customFormat="false" ht="31.5" hidden="false" customHeight="true" outlineLevel="0" collapsed="false">
      <c r="A17" s="17" t="s">
        <v>330</v>
      </c>
      <c r="B17" s="80" t="n">
        <v>18826355</v>
      </c>
      <c r="C17" s="80" t="n">
        <v>689045</v>
      </c>
      <c r="D17" s="81" t="n">
        <f aca="false">IFERROR(IF(OR(B17="",B17=0),"",C17*1000/B17),"")</f>
        <v>36.6000216186298</v>
      </c>
      <c r="E17" s="19" t="s">
        <v>331</v>
      </c>
    </row>
    <row r="19" customFormat="false" ht="15" hidden="false" customHeight="false" outlineLevel="0" collapsed="false">
      <c r="A19" s="17" t="s">
        <v>332</v>
      </c>
      <c r="B19" s="18" t="n">
        <f aca="false">B12+B13+B15+B16</f>
        <v>18826355</v>
      </c>
      <c r="C19" s="33"/>
      <c r="D19" s="17" t="str">
        <f aca="false">IF(B19=B17,"TIES to reported 31-Mar balance","DOES NOT TIE")</f>
        <v>TIES to reported 31-Mar balance</v>
      </c>
      <c r="E19" s="33"/>
    </row>
    <row r="21" customFormat="false" ht="31.5" hidden="false" customHeight="true" outlineLevel="0" collapsed="false">
      <c r="A21" s="6" t="s">
        <v>333</v>
      </c>
      <c r="B21" s="15" t="n">
        <f aca="false">B8+B13</f>
        <v>6206164</v>
      </c>
      <c r="C21" s="15" t="n">
        <f aca="false">C8+C13</f>
        <v>169373</v>
      </c>
      <c r="D21" s="83" t="n">
        <f aca="false">IFERROR(C21*1000/B21,"")</f>
        <v>27.2910931776859</v>
      </c>
      <c r="E21" s="9" t="s">
        <v>334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16"/>
    <col collapsed="false" customWidth="true" hidden="false" outlineLevel="0" max="3" min="3" style="0" width="12"/>
    <col collapsed="false" customWidth="true" hidden="false" outlineLevel="0" max="4" min="4" style="0" width="8"/>
    <col collapsed="false" customWidth="true" hidden="false" outlineLevel="0" max="5" min="5" style="0" width="13"/>
    <col collapsed="false" customWidth="true" hidden="false" outlineLevel="0" max="6" min="6" style="0" width="12"/>
    <col collapsed="false" customWidth="true" hidden="false" outlineLevel="0" max="7" min="7" style="0" width="16"/>
    <col collapsed="false" customWidth="true" hidden="false" outlineLevel="0" max="8" min="8" style="0" width="15"/>
    <col collapsed="false" customWidth="true" hidden="false" outlineLevel="0" max="9" min="9" style="0" width="16"/>
    <col collapsed="false" customWidth="true" hidden="false" outlineLevel="0" max="10" min="10" style="0" width="58"/>
  </cols>
  <sheetData>
    <row r="1" customFormat="false" ht="16.15" hidden="false" customHeight="false" outlineLevel="0" collapsed="false">
      <c r="A1" s="1" t="s">
        <v>335</v>
      </c>
    </row>
    <row r="2" customFormat="false" ht="15" hidden="false" customHeight="false" outlineLevel="0" collapsed="false">
      <c r="A2" s="2" t="s">
        <v>336</v>
      </c>
    </row>
    <row r="4" customFormat="false" ht="30" hidden="false" customHeight="true" outlineLevel="0" collapsed="false">
      <c r="A4" s="5" t="s">
        <v>84</v>
      </c>
      <c r="B4" s="5" t="s">
        <v>310</v>
      </c>
      <c r="C4" s="5" t="s">
        <v>337</v>
      </c>
      <c r="D4" s="5" t="s">
        <v>159</v>
      </c>
      <c r="E4" s="5" t="s">
        <v>86</v>
      </c>
      <c r="F4" s="5" t="s">
        <v>158</v>
      </c>
      <c r="G4" s="5" t="s">
        <v>338</v>
      </c>
      <c r="H4" s="5" t="s">
        <v>339</v>
      </c>
      <c r="I4" s="5" t="s">
        <v>340</v>
      </c>
      <c r="J4" s="5" t="s">
        <v>161</v>
      </c>
    </row>
    <row r="5" customFormat="false" ht="25.5" hidden="false" customHeight="true" outlineLevel="0" collapsed="false">
      <c r="A5" s="12" t="n">
        <v>45993</v>
      </c>
      <c r="B5" s="13" t="n">
        <v>12517592</v>
      </c>
      <c r="C5" s="84" t="n">
        <f aca="false">IF(B5="","",B5/1000000)</f>
        <v>12.517592</v>
      </c>
      <c r="D5" s="38" t="n">
        <v>1</v>
      </c>
      <c r="E5" s="8" t="s">
        <v>92</v>
      </c>
      <c r="F5" s="8"/>
      <c r="G5" s="8"/>
      <c r="H5" s="8"/>
      <c r="I5" s="78" t="n">
        <f aca="false">IF(B5="","",B5*Assumptions!$B$4/1000000)</f>
        <v>1037.45802496</v>
      </c>
      <c r="J5" s="9" t="s">
        <v>341</v>
      </c>
    </row>
    <row r="6" customFormat="false" ht="25.5" hidden="false" customHeight="true" outlineLevel="0" collapsed="false">
      <c r="A6" s="12" t="n">
        <v>46022</v>
      </c>
      <c r="B6" s="13" t="n">
        <v>12857533</v>
      </c>
      <c r="C6" s="84" t="n">
        <f aca="false">IF(B6="","",B6/1000000)</f>
        <v>12.857533</v>
      </c>
      <c r="D6" s="38" t="n">
        <v>1</v>
      </c>
      <c r="E6" s="8" t="s">
        <v>92</v>
      </c>
      <c r="F6" s="15" t="n">
        <f aca="false">A6-A5</f>
        <v>29</v>
      </c>
      <c r="G6" s="14" t="n">
        <f aca="false">B6-B5</f>
        <v>339941</v>
      </c>
      <c r="H6" s="15" t="n">
        <f aca="false">IFERROR(G6/F6,"")</f>
        <v>11722.1034482759</v>
      </c>
      <c r="I6" s="78" t="n">
        <f aca="false">IF(B6="","",B6*Assumptions!$B$4/1000000)</f>
        <v>1065.63233504</v>
      </c>
      <c r="J6" s="9" t="s">
        <v>342</v>
      </c>
    </row>
    <row r="7" customFormat="false" ht="25.5" hidden="false" customHeight="true" outlineLevel="0" collapsed="false">
      <c r="A7" s="12" t="n">
        <v>46056</v>
      </c>
      <c r="B7" s="13" t="n">
        <v>17600000</v>
      </c>
      <c r="C7" s="84" t="n">
        <f aca="false">IF(B7="","",B7/1000000)</f>
        <v>17.6</v>
      </c>
      <c r="D7" s="38" t="n">
        <v>1</v>
      </c>
      <c r="E7" s="8" t="s">
        <v>97</v>
      </c>
      <c r="F7" s="15" t="n">
        <f aca="false">A7-A6</f>
        <v>34</v>
      </c>
      <c r="G7" s="14" t="n">
        <f aca="false">B7-B6</f>
        <v>4742467</v>
      </c>
      <c r="H7" s="15" t="n">
        <f aca="false">IFERROR(G7/F7,"")</f>
        <v>139484.323529412</v>
      </c>
      <c r="I7" s="78" t="n">
        <f aca="false">IF(B7="","",B7*Assumptions!$B$4/1000000)</f>
        <v>1458.688</v>
      </c>
      <c r="J7" s="9" t="s">
        <v>343</v>
      </c>
    </row>
    <row r="8" customFormat="false" ht="25.5" hidden="false" customHeight="true" outlineLevel="0" collapsed="false">
      <c r="A8" s="12" t="n">
        <v>46112</v>
      </c>
      <c r="B8" s="13" t="n">
        <v>18826355</v>
      </c>
      <c r="C8" s="84" t="n">
        <f aca="false">IF(B8="","",B8/1000000)</f>
        <v>18.826355</v>
      </c>
      <c r="D8" s="38" t="n">
        <v>1</v>
      </c>
      <c r="E8" s="8" t="s">
        <v>92</v>
      </c>
      <c r="F8" s="15" t="n">
        <f aca="false">A8-A7</f>
        <v>56</v>
      </c>
      <c r="G8" s="14" t="n">
        <f aca="false">B8-B7</f>
        <v>1226355</v>
      </c>
      <c r="H8" s="15" t="n">
        <f aca="false">IFERROR(G8/F8,"")</f>
        <v>21899.1964285714</v>
      </c>
      <c r="I8" s="78" t="n">
        <f aca="false">IF(B8="","",B8*Assumptions!$B$4/1000000)</f>
        <v>1560.3283024</v>
      </c>
      <c r="J8" s="9" t="s">
        <v>344</v>
      </c>
    </row>
    <row r="9" customFormat="false" ht="25.5" hidden="false" customHeight="true" outlineLevel="0" collapsed="false">
      <c r="A9" s="12" t="n">
        <v>46141</v>
      </c>
      <c r="B9" s="13" t="n">
        <v>20000000</v>
      </c>
      <c r="C9" s="84" t="n">
        <f aca="false">IF(B9="","",B9/1000000)</f>
        <v>20</v>
      </c>
      <c r="D9" s="38" t="n">
        <v>1</v>
      </c>
      <c r="E9" s="8" t="s">
        <v>97</v>
      </c>
      <c r="F9" s="15" t="n">
        <f aca="false">A9-A8</f>
        <v>29</v>
      </c>
      <c r="G9" s="14" t="n">
        <f aca="false">B9-B8</f>
        <v>1173645</v>
      </c>
      <c r="H9" s="15" t="n">
        <f aca="false">IFERROR(G9/F9,"")</f>
        <v>40470.5172413793</v>
      </c>
      <c r="I9" s="78" t="n">
        <f aca="false">IF(B9="","",B9*Assumptions!$B$4/1000000)</f>
        <v>1657.6</v>
      </c>
      <c r="J9" s="9" t="s">
        <v>345</v>
      </c>
    </row>
    <row r="10" customFormat="false" ht="25.5" hidden="false" customHeight="true" outlineLevel="0" collapsed="false">
      <c r="A10" s="12" t="n">
        <v>46156</v>
      </c>
      <c r="B10" s="13" t="n">
        <v>20800000</v>
      </c>
      <c r="C10" s="84" t="n">
        <f aca="false">IF(B10="","",B10/1000000)</f>
        <v>20.8</v>
      </c>
      <c r="D10" s="38" t="n">
        <v>1</v>
      </c>
      <c r="E10" s="8" t="s">
        <v>97</v>
      </c>
      <c r="F10" s="15" t="n">
        <f aca="false">A10-A9</f>
        <v>15</v>
      </c>
      <c r="G10" s="14" t="n">
        <f aca="false">B10-B9</f>
        <v>800000</v>
      </c>
      <c r="H10" s="15" t="n">
        <f aca="false">IFERROR(G10/F10,"")</f>
        <v>53333.3333333333</v>
      </c>
      <c r="I10" s="78" t="n">
        <f aca="false">IF(B10="","",B10*Assumptions!$B$4/1000000)</f>
        <v>1723.904</v>
      </c>
      <c r="J10" s="9" t="s">
        <v>346</v>
      </c>
    </row>
    <row r="11" customFormat="false" ht="25.5" hidden="false" customHeight="true" outlineLevel="0" collapsed="false">
      <c r="A11" s="39" t="n">
        <v>46198</v>
      </c>
      <c r="B11" s="11"/>
      <c r="C11" s="85" t="str">
        <f aca="false">IF(B11="","",B11/1000000)</f>
        <v/>
      </c>
      <c r="D11" s="42" t="n">
        <v>1</v>
      </c>
      <c r="E11" s="40" t="s">
        <v>347</v>
      </c>
      <c r="F11" s="40"/>
      <c r="G11" s="40"/>
      <c r="H11" s="40"/>
      <c r="I11" s="86" t="str">
        <f aca="false">IF(B11="","",B11*Assumptions!$B$4/1000000)</f>
        <v/>
      </c>
      <c r="J11" s="43" t="s">
        <v>348</v>
      </c>
    </row>
    <row r="12" customFormat="false" ht="25.5" hidden="false" customHeight="true" outlineLevel="0" collapsed="false">
      <c r="A12" s="39" t="n">
        <v>46203</v>
      </c>
      <c r="B12" s="11"/>
      <c r="C12" s="85" t="str">
        <f aca="false">IF(B12="","",B12/1000000)</f>
        <v/>
      </c>
      <c r="D12" s="42" t="n">
        <v>1</v>
      </c>
      <c r="E12" s="40" t="s">
        <v>349</v>
      </c>
      <c r="F12" s="40"/>
      <c r="G12" s="40"/>
      <c r="H12" s="40"/>
      <c r="I12" s="86" t="str">
        <f aca="false">IF(B12="","",B12*Assumptions!$B$4/1000000)</f>
        <v/>
      </c>
      <c r="J12" s="43" t="s">
        <v>350</v>
      </c>
    </row>
    <row r="13" customFormat="false" ht="25.5" hidden="false" customHeight="true" outlineLevel="0" collapsed="false">
      <c r="A13" s="44" t="n">
        <v>46205</v>
      </c>
      <c r="B13" s="46" t="n">
        <v>29260000</v>
      </c>
      <c r="C13" s="87" t="n">
        <f aca="false">IF(B13="","",B13/1000000)</f>
        <v>29.26</v>
      </c>
      <c r="D13" s="49" t="n">
        <v>2</v>
      </c>
      <c r="E13" s="45" t="s">
        <v>351</v>
      </c>
      <c r="F13" s="47" t="n">
        <f aca="false">A13-A10</f>
        <v>49</v>
      </c>
      <c r="G13" s="48" t="n">
        <f aca="false">B13-B10</f>
        <v>8460000</v>
      </c>
      <c r="H13" s="47" t="n">
        <f aca="false">IFERROR(G13/F13,"")</f>
        <v>172653.06122449</v>
      </c>
      <c r="I13" s="88" t="n">
        <f aca="false">IF(B13="","",B13*Assumptions!$B$4/1000000)</f>
        <v>2425.0688</v>
      </c>
      <c r="J13" s="50" t="s">
        <v>352</v>
      </c>
    </row>
    <row r="14" customFormat="false" ht="25.5" hidden="false" customHeight="true" outlineLevel="0" collapsed="false">
      <c r="A14" s="44" t="n">
        <v>46212</v>
      </c>
      <c r="B14" s="46" t="n">
        <v>29280000</v>
      </c>
      <c r="C14" s="87" t="n">
        <f aca="false">IF(B14="","",B14/1000000)</f>
        <v>29.28</v>
      </c>
      <c r="D14" s="49" t="n">
        <v>2</v>
      </c>
      <c r="E14" s="45" t="s">
        <v>351</v>
      </c>
      <c r="F14" s="47" t="n">
        <f aca="false">A14-A13</f>
        <v>7</v>
      </c>
      <c r="G14" s="48" t="n">
        <f aca="false">B14-B13</f>
        <v>20000</v>
      </c>
      <c r="H14" s="47" t="n">
        <f aca="false">IFERROR(G14/F14,"")</f>
        <v>2857.14285714286</v>
      </c>
      <c r="I14" s="88" t="n">
        <f aca="false">IF(B14="","",B14*Assumptions!$B$4/1000000)</f>
        <v>2426.7264</v>
      </c>
      <c r="J14" s="50" t="s">
        <v>353</v>
      </c>
    </row>
    <row r="15" customFormat="false" ht="25.5" hidden="false" customHeight="true" outlineLevel="0" collapsed="false">
      <c r="A15" s="12" t="n">
        <v>46218</v>
      </c>
      <c r="B15" s="13" t="n">
        <v>29300000</v>
      </c>
      <c r="C15" s="84" t="n">
        <f aca="false">IF(B15="","",B15/1000000)</f>
        <v>29.3</v>
      </c>
      <c r="D15" s="38" t="n">
        <v>1</v>
      </c>
      <c r="E15" s="8" t="s">
        <v>97</v>
      </c>
      <c r="F15" s="15" t="n">
        <f aca="false">A15-A14</f>
        <v>6</v>
      </c>
      <c r="G15" s="14" t="n">
        <f aca="false">B15-B14</f>
        <v>20000</v>
      </c>
      <c r="H15" s="15" t="n">
        <f aca="false">IFERROR(G15/F15,"")</f>
        <v>3333.33333333333</v>
      </c>
      <c r="I15" s="78" t="n">
        <f aca="false">IF(B15="","",B15*Assumptions!$B$4/1000000)</f>
        <v>2428.384</v>
      </c>
      <c r="J15" s="9" t="s">
        <v>354</v>
      </c>
    </row>
    <row r="16" customFormat="false" ht="25.5" hidden="false" customHeight="true" outlineLevel="0" collapsed="false">
      <c r="A16" s="44" t="n">
        <v>46219</v>
      </c>
      <c r="B16" s="46" t="n">
        <v>29280000</v>
      </c>
      <c r="C16" s="87" t="n">
        <f aca="false">IF(B16="","",B16/1000000)</f>
        <v>29.28</v>
      </c>
      <c r="D16" s="49" t="n">
        <v>2</v>
      </c>
      <c r="E16" s="45" t="s">
        <v>351</v>
      </c>
      <c r="F16" s="47" t="n">
        <f aca="false">A16-A15</f>
        <v>1</v>
      </c>
      <c r="G16" s="48" t="n">
        <f aca="false">B16-B15</f>
        <v>-20000</v>
      </c>
      <c r="H16" s="47" t="n">
        <f aca="false">IFERROR(G16/F16,"")</f>
        <v>-20000</v>
      </c>
      <c r="I16" s="88" t="n">
        <f aca="false">IF(B16="","",B16*Assumptions!$B$4/1000000)</f>
        <v>2426.7264</v>
      </c>
      <c r="J16" s="50" t="s">
        <v>355</v>
      </c>
    </row>
    <row r="17" customFormat="false" ht="25.5" hidden="false" customHeight="true" outlineLevel="0" collapsed="false">
      <c r="A17" s="44" t="n">
        <v>46226</v>
      </c>
      <c r="B17" s="46" t="n">
        <v>29280000</v>
      </c>
      <c r="C17" s="87" t="n">
        <f aca="false">IF(B17="","",B17/1000000)</f>
        <v>29.28</v>
      </c>
      <c r="D17" s="49" t="n">
        <v>2</v>
      </c>
      <c r="E17" s="45" t="s">
        <v>351</v>
      </c>
      <c r="F17" s="47" t="n">
        <f aca="false">A17-A16</f>
        <v>7</v>
      </c>
      <c r="G17" s="48" t="n">
        <f aca="false">B17-B16</f>
        <v>0</v>
      </c>
      <c r="H17" s="47" t="n">
        <f aca="false">IFERROR(G17/F17,"")</f>
        <v>0</v>
      </c>
      <c r="I17" s="88" t="n">
        <f aca="false">IF(B17="","",B17*Assumptions!$B$4/1000000)</f>
        <v>2426.7264</v>
      </c>
      <c r="J17" s="50" t="s">
        <v>353</v>
      </c>
    </row>
    <row r="18" customFormat="false" ht="25.5" hidden="false" customHeight="true" outlineLevel="0" collapsed="false">
      <c r="A18" s="44" t="n">
        <v>46233</v>
      </c>
      <c r="B18" s="46" t="n">
        <v>29280000</v>
      </c>
      <c r="C18" s="87" t="n">
        <f aca="false">IF(B18="","",B18/1000000)</f>
        <v>29.28</v>
      </c>
      <c r="D18" s="49" t="n">
        <v>2</v>
      </c>
      <c r="E18" s="45" t="s">
        <v>351</v>
      </c>
      <c r="F18" s="47" t="n">
        <f aca="false">A18-A17</f>
        <v>7</v>
      </c>
      <c r="G18" s="48" t="n">
        <f aca="false">B18-B17</f>
        <v>0</v>
      </c>
      <c r="H18" s="47" t="n">
        <f aca="false">IFERROR(G18/F18,"")</f>
        <v>0</v>
      </c>
      <c r="I18" s="88" t="n">
        <f aca="false">IF(B18="","",B18*Assumptions!$B$4/1000000)</f>
        <v>2426.7264</v>
      </c>
      <c r="J18" s="50" t="s">
        <v>353</v>
      </c>
    </row>
    <row r="19" customFormat="false" ht="25.5" hidden="false" customHeight="true" outlineLevel="0" collapsed="false">
      <c r="A19" s="44" t="n">
        <v>46240</v>
      </c>
      <c r="B19" s="46" t="n">
        <v>29280000</v>
      </c>
      <c r="C19" s="87" t="n">
        <f aca="false">IF(B19="","",B19/1000000)</f>
        <v>29.28</v>
      </c>
      <c r="D19" s="49" t="n">
        <v>2</v>
      </c>
      <c r="E19" s="45" t="s">
        <v>351</v>
      </c>
      <c r="F19" s="47" t="n">
        <f aca="false">A19-A18</f>
        <v>7</v>
      </c>
      <c r="G19" s="48" t="n">
        <f aca="false">B19-B18</f>
        <v>0</v>
      </c>
      <c r="H19" s="47" t="n">
        <f aca="false">IFERROR(G19/F19,"")</f>
        <v>0</v>
      </c>
      <c r="I19" s="88" t="n">
        <f aca="false">IF(B19="","",B19*Assumptions!$B$4/1000000)</f>
        <v>2426.7264</v>
      </c>
      <c r="J19" s="50" t="s">
        <v>353</v>
      </c>
    </row>
    <row r="20" customFormat="false" ht="25.5" hidden="false" customHeight="true" outlineLevel="0" collapsed="false">
      <c r="A20" s="44" t="n">
        <v>46247</v>
      </c>
      <c r="B20" s="46" t="n">
        <v>29280000</v>
      </c>
      <c r="C20" s="87" t="n">
        <f aca="false">IF(B20="","",B20/1000000)</f>
        <v>29.28</v>
      </c>
      <c r="D20" s="49" t="n">
        <v>2</v>
      </c>
      <c r="E20" s="45" t="s">
        <v>351</v>
      </c>
      <c r="F20" s="47" t="n">
        <f aca="false">A20-A19</f>
        <v>7</v>
      </c>
      <c r="G20" s="48" t="n">
        <f aca="false">B20-B19</f>
        <v>0</v>
      </c>
      <c r="H20" s="47" t="n">
        <f aca="false">IFERROR(G20/F20,"")</f>
        <v>0</v>
      </c>
      <c r="I20" s="88" t="n">
        <f aca="false">IF(B20="","",B20*Assumptions!$B$4/1000000)</f>
        <v>2426.7264</v>
      </c>
      <c r="J20" s="50" t="s">
        <v>353</v>
      </c>
    </row>
    <row r="21" customFormat="false" ht="25.5" hidden="false" customHeight="true" outlineLevel="0" collapsed="false">
      <c r="A21" s="44" t="n">
        <v>46254</v>
      </c>
      <c r="B21" s="46" t="n">
        <v>29350000</v>
      </c>
      <c r="C21" s="87" t="n">
        <f aca="false">IF(B21="","",B21/1000000)</f>
        <v>29.35</v>
      </c>
      <c r="D21" s="49" t="n">
        <v>2</v>
      </c>
      <c r="E21" s="45" t="s">
        <v>351</v>
      </c>
      <c r="F21" s="47" t="n">
        <f aca="false">A21-A20</f>
        <v>7</v>
      </c>
      <c r="G21" s="48" t="n">
        <f aca="false">B21-B20</f>
        <v>70000</v>
      </c>
      <c r="H21" s="47" t="n">
        <f aca="false">IFERROR(G21/F21,"")</f>
        <v>10000</v>
      </c>
      <c r="I21" s="88" t="n">
        <f aca="false">IF(B21="","",B21*Assumptions!$B$4/1000000)</f>
        <v>2432.528</v>
      </c>
      <c r="J21" s="50" t="s">
        <v>356</v>
      </c>
    </row>
    <row r="23" customFormat="false" ht="22.35" hidden="false" customHeight="false" outlineLevel="0" collapsed="false">
      <c r="A23" s="17" t="s">
        <v>357</v>
      </c>
      <c r="B23" s="18" t="n">
        <f aca="false">LOOKUP(2,1/(B5:B21&lt;&gt;""),B5:B21)</f>
        <v>29350000</v>
      </c>
      <c r="C23" s="34" t="n">
        <f aca="false">B23/1000000</f>
        <v>29.35</v>
      </c>
      <c r="D23" s="33"/>
      <c r="E23" s="33"/>
      <c r="F23" s="33"/>
      <c r="G23" s="33"/>
      <c r="H23" s="33"/>
      <c r="I23" s="18" t="n">
        <f aca="false">B23*Assumptions!$B$4/1000000</f>
        <v>2432.528</v>
      </c>
      <c r="J23" s="19" t="s">
        <v>358</v>
      </c>
    </row>
    <row r="24" customFormat="false" ht="15" hidden="false" customHeight="false" outlineLevel="0" collapsed="false">
      <c r="A24" s="17" t="s">
        <v>359</v>
      </c>
      <c r="B24" s="18" t="n">
        <f aca="false">B23-B5</f>
        <v>16832408</v>
      </c>
      <c r="C24" s="53" t="n">
        <f aca="false">IFERROR(B23/B5-1,"")</f>
        <v>1.34470016277891</v>
      </c>
      <c r="D24" s="33"/>
      <c r="E24" s="33"/>
      <c r="F24" s="33"/>
      <c r="G24" s="33"/>
      <c r="H24" s="33"/>
      <c r="I24" s="33"/>
      <c r="J24" s="19" t="s">
        <v>360</v>
      </c>
    </row>
    <row r="26" customFormat="false" ht="45.75" hidden="false" customHeight="true" outlineLevel="0" collapsed="false">
      <c r="A26" s="6" t="s">
        <v>361</v>
      </c>
      <c r="B26" s="9" t="s">
        <v>362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20"/>
    <col collapsed="false" customWidth="true" hidden="false" outlineLevel="0" max="3" min="3" style="0" width="16"/>
    <col collapsed="false" customWidth="true" hidden="false" outlineLevel="0" max="4" min="4" style="0" width="18"/>
    <col collapsed="false" customWidth="true" hidden="false" outlineLevel="0" max="5" min="5" style="0" width="84"/>
    <col collapsed="false" customWidth="true" hidden="false" outlineLevel="0" max="6" min="6" style="0" width="20"/>
  </cols>
  <sheetData>
    <row r="1" customFormat="false" ht="16.15" hidden="false" customHeight="false" outlineLevel="0" collapsed="false">
      <c r="A1" s="1" t="s">
        <v>363</v>
      </c>
    </row>
    <row r="2" customFormat="false" ht="15" hidden="false" customHeight="false" outlineLevel="0" collapsed="false">
      <c r="A2" s="2" t="s">
        <v>364</v>
      </c>
    </row>
    <row r="4" customFormat="false" ht="30" hidden="false" customHeight="true" outlineLevel="0" collapsed="false">
      <c r="A4" s="5" t="s">
        <v>161</v>
      </c>
      <c r="B4" s="5" t="s">
        <v>365</v>
      </c>
      <c r="C4" s="5" t="s">
        <v>366</v>
      </c>
      <c r="D4" s="5" t="s">
        <v>367</v>
      </c>
      <c r="E4" s="5" t="s">
        <v>368</v>
      </c>
      <c r="F4" s="5" t="s">
        <v>369</v>
      </c>
    </row>
    <row r="5" customFormat="false" ht="75.75" hidden="false" customHeight="true" outlineLevel="0" collapsed="false">
      <c r="A5" s="89" t="s">
        <v>370</v>
      </c>
      <c r="B5" s="90" t="s">
        <v>371</v>
      </c>
      <c r="C5" s="89" t="s">
        <v>372</v>
      </c>
      <c r="D5" s="89" t="s">
        <v>373</v>
      </c>
      <c r="E5" s="32" t="s">
        <v>374</v>
      </c>
      <c r="F5" s="89" t="s">
        <v>375</v>
      </c>
    </row>
    <row r="6" customFormat="false" ht="75.75" hidden="false" customHeight="true" outlineLevel="0" collapsed="false">
      <c r="A6" s="89" t="s">
        <v>376</v>
      </c>
      <c r="B6" s="90" t="s">
        <v>377</v>
      </c>
      <c r="C6" s="89" t="s">
        <v>378</v>
      </c>
      <c r="D6" s="89" t="s">
        <v>379</v>
      </c>
      <c r="E6" s="32" t="s">
        <v>380</v>
      </c>
      <c r="F6" s="89" t="s">
        <v>375</v>
      </c>
    </row>
    <row r="7" customFormat="false" ht="75.75" hidden="false" customHeight="true" outlineLevel="0" collapsed="false">
      <c r="A7" s="17" t="s">
        <v>381</v>
      </c>
      <c r="B7" s="91" t="s">
        <v>382</v>
      </c>
      <c r="C7" s="17" t="s">
        <v>383</v>
      </c>
      <c r="D7" s="17" t="s">
        <v>384</v>
      </c>
      <c r="E7" s="19" t="s">
        <v>385</v>
      </c>
      <c r="F7" s="17" t="s">
        <v>386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30"/>
    <col collapsed="false" customWidth="true" hidden="false" outlineLevel="0" max="3" min="3" style="0" width="74"/>
    <col collapsed="false" customWidth="true" hidden="false" outlineLevel="0" max="5" min="4" style="0" width="46"/>
  </cols>
  <sheetData>
    <row r="1" customFormat="false" ht="16.15" hidden="false" customHeight="false" outlineLevel="0" collapsed="false">
      <c r="A1" s="1" t="s">
        <v>387</v>
      </c>
    </row>
    <row r="3" customFormat="false" ht="30" hidden="false" customHeight="true" outlineLevel="0" collapsed="false">
      <c r="A3" s="5" t="s">
        <v>388</v>
      </c>
      <c r="B3" s="5" t="s">
        <v>161</v>
      </c>
      <c r="C3" s="5" t="s">
        <v>389</v>
      </c>
      <c r="D3" s="5" t="s">
        <v>390</v>
      </c>
      <c r="E3" s="5" t="s">
        <v>391</v>
      </c>
    </row>
    <row r="4" customFormat="false" ht="33.75" hidden="false" customHeight="true" outlineLevel="0" collapsed="false">
      <c r="A4" s="38" t="n">
        <v>1</v>
      </c>
      <c r="B4" s="6" t="s">
        <v>392</v>
      </c>
      <c r="C4" s="9" t="s">
        <v>393</v>
      </c>
      <c r="D4" s="9" t="s">
        <v>394</v>
      </c>
      <c r="E4" s="9" t="s">
        <v>395</v>
      </c>
    </row>
    <row r="5" customFormat="false" ht="33.75" hidden="false" customHeight="true" outlineLevel="0" collapsed="false">
      <c r="A5" s="38" t="n">
        <v>2</v>
      </c>
      <c r="B5" s="6" t="s">
        <v>396</v>
      </c>
      <c r="C5" s="9" t="s">
        <v>397</v>
      </c>
      <c r="D5" s="9" t="s">
        <v>398</v>
      </c>
      <c r="E5" s="9" t="s">
        <v>399</v>
      </c>
    </row>
    <row r="6" customFormat="false" ht="33.75" hidden="false" customHeight="true" outlineLevel="0" collapsed="false">
      <c r="A6" s="38" t="n">
        <v>3</v>
      </c>
      <c r="B6" s="6" t="s">
        <v>400</v>
      </c>
      <c r="C6" s="9" t="s">
        <v>401</v>
      </c>
      <c r="D6" s="9" t="s">
        <v>402</v>
      </c>
      <c r="E6" s="9" t="s">
        <v>403</v>
      </c>
    </row>
    <row r="7" customFormat="false" ht="33.75" hidden="false" customHeight="true" outlineLevel="0" collapsed="false">
      <c r="A7" s="38" t="n">
        <v>4</v>
      </c>
      <c r="B7" s="6" t="s">
        <v>404</v>
      </c>
      <c r="C7" s="9" t="s">
        <v>405</v>
      </c>
      <c r="D7" s="9" t="s">
        <v>406</v>
      </c>
      <c r="E7" s="9" t="s">
        <v>407</v>
      </c>
    </row>
    <row r="8" customFormat="false" ht="33.75" hidden="false" customHeight="true" outlineLevel="0" collapsed="false">
      <c r="A8" s="38" t="n">
        <v>5</v>
      </c>
      <c r="B8" s="6" t="s">
        <v>408</v>
      </c>
      <c r="C8" s="9" t="s">
        <v>409</v>
      </c>
      <c r="D8" s="9" t="s">
        <v>410</v>
      </c>
      <c r="E8" s="9" t="s">
        <v>411</v>
      </c>
    </row>
    <row r="9" customFormat="false" ht="33.75" hidden="false" customHeight="true" outlineLevel="0" collapsed="false">
      <c r="A9" s="38" t="n">
        <v>6</v>
      </c>
      <c r="B9" s="6" t="s">
        <v>412</v>
      </c>
      <c r="C9" s="9" t="s">
        <v>413</v>
      </c>
      <c r="D9" s="9" t="s">
        <v>414</v>
      </c>
      <c r="E9" s="9" t="s">
        <v>411</v>
      </c>
    </row>
    <row r="10" customFormat="false" ht="33.75" hidden="false" customHeight="true" outlineLevel="0" collapsed="false">
      <c r="A10" s="38" t="n">
        <v>7</v>
      </c>
      <c r="B10" s="6" t="s">
        <v>415</v>
      </c>
      <c r="C10" s="9" t="s">
        <v>416</v>
      </c>
      <c r="D10" s="9" t="s">
        <v>417</v>
      </c>
      <c r="E10" s="9"/>
    </row>
    <row r="11" customFormat="false" ht="33.75" hidden="false" customHeight="true" outlineLevel="0" collapsed="false">
      <c r="A11" s="38" t="n">
        <v>8</v>
      </c>
      <c r="B11" s="6" t="s">
        <v>418</v>
      </c>
      <c r="C11" s="9" t="s">
        <v>419</v>
      </c>
      <c r="D11" s="9" t="s">
        <v>420</v>
      </c>
      <c r="E11" s="9" t="s">
        <v>421</v>
      </c>
    </row>
    <row r="12" customFormat="false" ht="33.75" hidden="false" customHeight="true" outlineLevel="0" collapsed="false">
      <c r="A12" s="38" t="n">
        <v>9</v>
      </c>
      <c r="B12" s="6" t="s">
        <v>422</v>
      </c>
      <c r="C12" s="9" t="s">
        <v>423</v>
      </c>
      <c r="D12" s="9" t="s">
        <v>424</v>
      </c>
      <c r="E12" s="9" t="s">
        <v>425</v>
      </c>
    </row>
    <row r="13" customFormat="false" ht="33.75" hidden="false" customHeight="true" outlineLevel="0" collapsed="false">
      <c r="A13" s="38" t="n">
        <v>10</v>
      </c>
      <c r="B13" s="6" t="s">
        <v>426</v>
      </c>
      <c r="C13" s="9" t="s">
        <v>427</v>
      </c>
      <c r="D13" s="9" t="s">
        <v>428</v>
      </c>
      <c r="E13" s="9" t="s">
        <v>429</v>
      </c>
    </row>
    <row r="14" customFormat="false" ht="33.75" hidden="false" customHeight="true" outlineLevel="0" collapsed="false">
      <c r="A14" s="38" t="n">
        <v>11</v>
      </c>
      <c r="B14" s="6" t="s">
        <v>430</v>
      </c>
      <c r="C14" s="9" t="s">
        <v>431</v>
      </c>
      <c r="D14" s="9" t="s">
        <v>432</v>
      </c>
      <c r="E14" s="9" t="s">
        <v>433</v>
      </c>
    </row>
    <row r="15" customFormat="false" ht="33.75" hidden="false" customHeight="true" outlineLevel="0" collapsed="false">
      <c r="A15" s="38" t="n">
        <v>12</v>
      </c>
      <c r="B15" s="6" t="s">
        <v>434</v>
      </c>
      <c r="C15" s="9" t="s">
        <v>435</v>
      </c>
      <c r="D15" s="9" t="s">
        <v>436</v>
      </c>
      <c r="E15" s="9" t="s">
        <v>437</v>
      </c>
    </row>
    <row r="16" customFormat="false" ht="33.75" hidden="false" customHeight="true" outlineLevel="0" collapsed="false">
      <c r="A16" s="38" t="n">
        <v>13</v>
      </c>
      <c r="B16" s="6" t="s">
        <v>370</v>
      </c>
      <c r="C16" s="9" t="s">
        <v>438</v>
      </c>
      <c r="D16" s="9" t="s">
        <v>439</v>
      </c>
      <c r="E16" s="9" t="s">
        <v>440</v>
      </c>
    </row>
    <row r="17" customFormat="false" ht="33.75" hidden="false" customHeight="true" outlineLevel="0" collapsed="false">
      <c r="A17" s="38" t="n">
        <v>14</v>
      </c>
      <c r="B17" s="6" t="s">
        <v>441</v>
      </c>
      <c r="C17" s="9" t="s">
        <v>442</v>
      </c>
      <c r="D17" s="9" t="s">
        <v>443</v>
      </c>
      <c r="E17" s="9" t="s">
        <v>440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2026-08-27T10:44:39Z</dcterms:created>
  <dc:creator>openpyxl</dc:creator>
  <dc:description/>
  <dc:language>en-US</dc:language>
  <cp:lastModifiedBy/>
  <dcterms:modified xsi:type="dcterms:W3CDTF">2026-08-27T10:44:39Z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