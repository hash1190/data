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df1201067fc29930/Desktop/Codex folder/India Power/"/>
    </mc:Choice>
  </mc:AlternateContent>
  <xr:revisionPtr revIDLastSave="3" documentId="11_808D7E3A3324EC21D04C3DAA700B0470A7F3664C" xr6:coauthVersionLast="47" xr6:coauthVersionMax="47" xr10:uidLastSave="{2154018E-7913-47B7-9574-ADE416FDB8F4}"/>
  <bookViews>
    <workbookView xWindow="-120" yWindow="-120" windowWidth="20730" windowHeight="11040" xr2:uid="{00000000-000D-0000-FFFF-FFFF00000000}"/>
  </bookViews>
  <sheets>
    <sheet name="Chart_Data" sheetId="1" r:id="rId1"/>
    <sheet name="MH_Master_List" sheetId="2" r:id="rId2"/>
  </sheets>
  <definedNames>
    <definedName name="_xlnm._FilterDatabase" localSheetId="1" hidden="1">MH_Master_List!$A$4:$Z$61</definedName>
  </definedNames>
  <calcPr calcId="191029"/>
</workbook>
</file>

<file path=xl/calcChain.xml><?xml version="1.0" encoding="utf-8"?>
<calcChain xmlns="http://schemas.openxmlformats.org/spreadsheetml/2006/main">
  <c r="S61" i="2" l="1"/>
  <c r="U61" i="2" s="1"/>
  <c r="S60" i="2"/>
  <c r="T60" i="2" s="1"/>
  <c r="S59" i="2"/>
  <c r="U59" i="2" s="1"/>
  <c r="S58" i="2"/>
  <c r="U58" i="2" s="1"/>
  <c r="S57" i="2"/>
  <c r="U57" i="2" s="1"/>
  <c r="S56" i="2"/>
  <c r="T56" i="2" s="1"/>
  <c r="S55" i="2"/>
  <c r="U55" i="2" s="1"/>
  <c r="S54" i="2"/>
  <c r="T54" i="2" s="1"/>
  <c r="S53" i="2"/>
  <c r="U53" i="2" s="1"/>
  <c r="S52" i="2"/>
  <c r="U52" i="2" s="1"/>
  <c r="S51" i="2"/>
  <c r="U51" i="2" s="1"/>
  <c r="S50" i="2"/>
  <c r="T50" i="2" s="1"/>
  <c r="S49" i="2"/>
  <c r="U49" i="2" s="1"/>
  <c r="S48" i="2"/>
  <c r="T48" i="2" s="1"/>
  <c r="S47" i="2"/>
  <c r="U47" i="2" s="1"/>
  <c r="S46" i="2"/>
  <c r="T46" i="2" s="1"/>
  <c r="T45" i="2"/>
  <c r="S45" i="2"/>
  <c r="U45" i="2" s="1"/>
  <c r="T44" i="2"/>
  <c r="S44" i="2"/>
  <c r="U44" i="2" s="1"/>
  <c r="S43" i="2"/>
  <c r="U43" i="2" s="1"/>
  <c r="U42" i="2"/>
  <c r="T42" i="2"/>
  <c r="S42" i="2"/>
  <c r="T41" i="2"/>
  <c r="S41" i="2"/>
  <c r="U41" i="2" s="1"/>
  <c r="T40" i="2"/>
  <c r="S40" i="2"/>
  <c r="U40" i="2" s="1"/>
  <c r="T39" i="2"/>
  <c r="S39" i="2"/>
  <c r="U39" i="2" s="1"/>
  <c r="T38" i="2"/>
  <c r="S38" i="2"/>
  <c r="U38" i="2" s="1"/>
  <c r="T37" i="2"/>
  <c r="S37" i="2"/>
  <c r="U37" i="2" s="1"/>
  <c r="T36" i="2"/>
  <c r="S36" i="2"/>
  <c r="U36" i="2" s="1"/>
  <c r="T35" i="2"/>
  <c r="S35" i="2"/>
  <c r="U35" i="2" s="1"/>
  <c r="T34" i="2"/>
  <c r="S34" i="2"/>
  <c r="U34" i="2" s="1"/>
  <c r="T33" i="2"/>
  <c r="S33" i="2"/>
  <c r="U33" i="2" s="1"/>
  <c r="T32" i="2"/>
  <c r="S32" i="2"/>
  <c r="U32" i="2" s="1"/>
  <c r="T31" i="2"/>
  <c r="S31" i="2"/>
  <c r="U31" i="2" s="1"/>
  <c r="T30" i="2"/>
  <c r="S30" i="2"/>
  <c r="U30" i="2" s="1"/>
  <c r="T29" i="2"/>
  <c r="S29" i="2"/>
  <c r="U29" i="2" s="1"/>
  <c r="T28" i="2"/>
  <c r="S28" i="2"/>
  <c r="B32" i="1" s="1"/>
  <c r="T27" i="2"/>
  <c r="S27" i="2"/>
  <c r="U27" i="2" s="1"/>
  <c r="T26" i="2"/>
  <c r="S26" i="2"/>
  <c r="U26" i="2" s="1"/>
  <c r="S25" i="2"/>
  <c r="U25" i="2" s="1"/>
  <c r="T24" i="2"/>
  <c r="S24" i="2"/>
  <c r="U24" i="2" s="1"/>
  <c r="T23" i="2"/>
  <c r="S23" i="2"/>
  <c r="U23" i="2" s="1"/>
  <c r="T22" i="2"/>
  <c r="S22" i="2"/>
  <c r="U22" i="2" s="1"/>
  <c r="T21" i="2"/>
  <c r="S21" i="2"/>
  <c r="U21" i="2" s="1"/>
  <c r="T20" i="2"/>
  <c r="S20" i="2"/>
  <c r="U20" i="2" s="1"/>
  <c r="T19" i="2"/>
  <c r="S19" i="2"/>
  <c r="U19" i="2" s="1"/>
  <c r="T18" i="2"/>
  <c r="S18" i="2"/>
  <c r="U18" i="2" s="1"/>
  <c r="T17" i="2"/>
  <c r="S17" i="2"/>
  <c r="U17" i="2" s="1"/>
  <c r="T16" i="2"/>
  <c r="S16" i="2"/>
  <c r="U16" i="2" s="1"/>
  <c r="T15" i="2"/>
  <c r="S15" i="2"/>
  <c r="U15" i="2" s="1"/>
  <c r="T14" i="2"/>
  <c r="S14" i="2"/>
  <c r="U14" i="2" s="1"/>
  <c r="T13" i="2"/>
  <c r="S13" i="2"/>
  <c r="U13" i="2" s="1"/>
  <c r="T12" i="2"/>
  <c r="S12" i="2"/>
  <c r="U12" i="2" s="1"/>
  <c r="T11" i="2"/>
  <c r="S11" i="2"/>
  <c r="U11" i="2" s="1"/>
  <c r="T10" i="2"/>
  <c r="S10" i="2"/>
  <c r="U10" i="2" s="1"/>
  <c r="T9" i="2"/>
  <c r="S9" i="2"/>
  <c r="U9" i="2" s="1"/>
  <c r="T8" i="2"/>
  <c r="S8" i="2"/>
  <c r="T7" i="2"/>
  <c r="S7" i="2"/>
  <c r="U7" i="2" s="1"/>
  <c r="T6" i="2"/>
  <c r="S6" i="2"/>
  <c r="U6" i="2" s="1"/>
  <c r="T5" i="2"/>
  <c r="S5" i="2"/>
  <c r="U5" i="2" s="1"/>
  <c r="G27" i="1"/>
  <c r="E27" i="1"/>
  <c r="D27" i="1"/>
  <c r="C27" i="1"/>
  <c r="G26" i="1"/>
  <c r="E26" i="1"/>
  <c r="D26" i="1"/>
  <c r="C26" i="1"/>
  <c r="B26" i="1"/>
  <c r="G25" i="1"/>
  <c r="E25" i="1"/>
  <c r="C25" i="1"/>
  <c r="B25" i="1"/>
  <c r="G24" i="1"/>
  <c r="E24" i="1"/>
  <c r="D24" i="1"/>
  <c r="C24" i="1"/>
  <c r="G23" i="1"/>
  <c r="E23" i="1"/>
  <c r="D23" i="1"/>
  <c r="C23" i="1"/>
  <c r="G22" i="1"/>
  <c r="E22" i="1"/>
  <c r="C22" i="1"/>
  <c r="B22" i="1"/>
  <c r="G21" i="1"/>
  <c r="E21" i="1"/>
  <c r="D21" i="1"/>
  <c r="C21" i="1"/>
  <c r="G20" i="1"/>
  <c r="E20" i="1"/>
  <c r="D20" i="1"/>
  <c r="C20" i="1"/>
  <c r="B20" i="1"/>
  <c r="G19" i="1"/>
  <c r="E19" i="1"/>
  <c r="D19" i="1"/>
  <c r="C19" i="1"/>
  <c r="G18" i="1"/>
  <c r="E18" i="1"/>
  <c r="D18" i="1"/>
  <c r="C18" i="1"/>
  <c r="B18" i="1"/>
  <c r="G17" i="1"/>
  <c r="E17" i="1"/>
  <c r="D17" i="1"/>
  <c r="C17" i="1"/>
  <c r="B17" i="1"/>
  <c r="G16" i="1"/>
  <c r="E16" i="1"/>
  <c r="D16" i="1"/>
  <c r="C16" i="1"/>
  <c r="G15" i="1"/>
  <c r="E15" i="1"/>
  <c r="D15" i="1"/>
  <c r="C15" i="1"/>
  <c r="B15" i="1"/>
  <c r="G14" i="1"/>
  <c r="E14" i="1"/>
  <c r="D14" i="1"/>
  <c r="C14" i="1"/>
  <c r="B14" i="1"/>
  <c r="G13" i="1"/>
  <c r="E13" i="1"/>
  <c r="D13" i="1"/>
  <c r="C13" i="1"/>
  <c r="B13" i="1"/>
  <c r="G12" i="1"/>
  <c r="E12" i="1"/>
  <c r="D12" i="1"/>
  <c r="C12" i="1"/>
  <c r="B12" i="1"/>
  <c r="G11" i="1"/>
  <c r="E11" i="1"/>
  <c r="D11" i="1"/>
  <c r="C11" i="1"/>
  <c r="B11" i="1"/>
  <c r="G10" i="1"/>
  <c r="E10" i="1"/>
  <c r="D10" i="1"/>
  <c r="C10" i="1"/>
  <c r="B10" i="1"/>
  <c r="G9" i="1"/>
  <c r="E9" i="1"/>
  <c r="D9" i="1"/>
  <c r="C9" i="1"/>
  <c r="B9" i="1"/>
  <c r="G8" i="1"/>
  <c r="E8" i="1"/>
  <c r="D8" i="1"/>
  <c r="C8" i="1"/>
  <c r="G7" i="1"/>
  <c r="E7" i="1"/>
  <c r="D7" i="1"/>
  <c r="C7" i="1"/>
  <c r="B7" i="1"/>
  <c r="G6" i="1"/>
  <c r="E6" i="1"/>
  <c r="D6" i="1"/>
  <c r="C6" i="1"/>
  <c r="B6" i="1"/>
  <c r="G5" i="1"/>
  <c r="E5" i="1"/>
  <c r="D5" i="1"/>
  <c r="C5" i="1"/>
  <c r="B5" i="1"/>
  <c r="T47" i="2" l="1"/>
  <c r="C28" i="1"/>
  <c r="F12" i="1"/>
  <c r="F17" i="1"/>
  <c r="B23" i="1"/>
  <c r="U46" i="2"/>
  <c r="T52" i="2"/>
  <c r="F9" i="1"/>
  <c r="U50" i="2"/>
  <c r="T55" i="2"/>
  <c r="F14" i="1"/>
  <c r="F6" i="1"/>
  <c r="F23" i="1"/>
  <c r="F10" i="1"/>
  <c r="T49" i="2"/>
  <c r="U54" i="2"/>
  <c r="E28" i="1"/>
  <c r="B19" i="1"/>
  <c r="F19" i="1" s="1"/>
  <c r="D25" i="1"/>
  <c r="F25" i="1" s="1"/>
  <c r="B27" i="1"/>
  <c r="F27" i="1" s="1"/>
  <c r="T25" i="2"/>
  <c r="B8" i="1"/>
  <c r="F8" i="1" s="1"/>
  <c r="F11" i="1"/>
  <c r="B16" i="1"/>
  <c r="F16" i="1" s="1"/>
  <c r="D22" i="1"/>
  <c r="F22" i="1" s="1"/>
  <c r="B24" i="1"/>
  <c r="F24" i="1" s="1"/>
  <c r="U28" i="2"/>
  <c r="T57" i="2"/>
  <c r="F5" i="1"/>
  <c r="F13" i="1"/>
  <c r="B21" i="1"/>
  <c r="F21" i="1" s="1"/>
  <c r="T53" i="2"/>
  <c r="F18" i="1"/>
  <c r="F26" i="1"/>
  <c r="F15" i="1"/>
  <c r="F20" i="1"/>
  <c r="B33" i="1"/>
  <c r="U60" i="2"/>
  <c r="F7" i="1"/>
  <c r="G28" i="1"/>
  <c r="U8" i="2"/>
  <c r="T43" i="2"/>
  <c r="U48" i="2"/>
  <c r="T51" i="2"/>
  <c r="U56" i="2"/>
  <c r="T59" i="2"/>
  <c r="B30" i="1"/>
  <c r="T58" i="2"/>
  <c r="T61" i="2"/>
  <c r="B28" i="1" l="1"/>
  <c r="F28" i="1"/>
  <c r="D28" i="1"/>
  <c r="B31" i="1"/>
</calcChain>
</file>

<file path=xl/sharedStrings.xml><?xml version="1.0" encoding="utf-8"?>
<sst xmlns="http://schemas.openxmlformats.org/spreadsheetml/2006/main" count="820" uniqueCount="484">
  <si>
    <t>Maharashtra data-centre power by group - verifiable MW, EXCLUDING CTUIL (no double counting)</t>
  </si>
  <si>
    <t>Every number is a SUMIFS on MH_Master_List: column S (verifiable MW) for rows of that group (col Z), excluding rows whose primary record (col B) is 'CTUIL', split by stage (col V). Each project appears in exactly one row of MH_Master_List, so groups cannot double count. Facility (grid) MW, not IT MW.</t>
  </si>
  <si>
    <t>Group</t>
  </si>
  <si>
    <t>Grid sanctioned / approved (SLDC, MERC)</t>
  </si>
  <si>
    <t>Grid under consideration (MERC)</t>
  </si>
  <si>
    <t>Permit only (EC connected load)</t>
  </si>
  <si>
    <t>MoU / LoI / EOI (not yet on grid)</t>
  </si>
  <si>
    <t>TOTAL excl. CTUIL (MW)</t>
  </si>
  <si>
    <t>of which realised today (SLDC)</t>
  </si>
  <si>
    <t>Callout text (MoU / LoI items)</t>
  </si>
  <si>
    <t>Rows in MH_Master_List</t>
  </si>
  <si>
    <t>Note</t>
  </si>
  <si>
    <t>Blackstone / AirTrunk</t>
  </si>
  <si>
    <t>AirTrunk - Raigad-Pen Growth Centre: 3,000 MW, State Letter of Intent for land (Jun-2026) (MH50)</t>
  </si>
  <si>
    <t>MH02, MH25, MH26, MH27, MH50</t>
  </si>
  <si>
    <t>Gramercy SPVs mapped to Blackstone/AirTrunk by inference (BOM1 = Gramercy Techpark)</t>
  </si>
  <si>
    <t>Ambernath park (MERC add-on)</t>
  </si>
  <si>
    <t>MH21, MH39</t>
  </si>
  <si>
    <t>MERC Case 88/2026: 1,450 MW granted (vs 925 in SLDC for AWS + STT, shown in their bars) + 1,500 MW under consideration; tenant split not disclosed</t>
  </si>
  <si>
    <t>AWS (Amazon)</t>
  </si>
  <si>
    <t>MH20, MH23, MH38</t>
  </si>
  <si>
    <t>Powai 225, Thane 150, Ambernath 475 (SLDC)</t>
  </si>
  <si>
    <t>STT GDC</t>
  </si>
  <si>
    <t>MH13, MH19, MH22, MH33</t>
  </si>
  <si>
    <t>Navi Mumbai 40 + 80, Ambernath 450, Pune 200 (SLDC)</t>
  </si>
  <si>
    <t>ReNew</t>
  </si>
  <si>
    <t>ReNew Wind Energy - MMR green DC park: 750 MW, State MoU Oct-2026 (MH51)</t>
  </si>
  <si>
    <t>MH51</t>
  </si>
  <si>
    <t>NTT</t>
  </si>
  <si>
    <t>MH10, MH11, MH12</t>
  </si>
  <si>
    <t>CtrlS</t>
  </si>
  <si>
    <t>MH06, MH28</t>
  </si>
  <si>
    <t>K Raheja Corp / Mindspace</t>
  </si>
  <si>
    <t>MH08, MH09</t>
  </si>
  <si>
    <t>Trentar (Dorf Ketal)</t>
  </si>
  <si>
    <t>Trentar Pvt Ltd - Location not disclosed: 500 MW, State LoI + MoU Oct-2026 (MH49)</t>
  </si>
  <si>
    <t>MH49</t>
  </si>
  <si>
    <t>Google</t>
  </si>
  <si>
    <t>MH30, MH31</t>
  </si>
  <si>
    <t>Adani Group</t>
  </si>
  <si>
    <t>MH16, MH37</t>
  </si>
  <si>
    <t>Only the two ex-Microsoft Pune sites; Adani's other MH power (Support Properties 1,468, Adani Infra 500) is CTUIL and excluded</t>
  </si>
  <si>
    <t>Digital Edge</t>
  </si>
  <si>
    <t>MH07, MH29</t>
  </si>
  <si>
    <t>Bharti Airtel (Nxtra)</t>
  </si>
  <si>
    <t>MH01, MH17, MH18</t>
  </si>
  <si>
    <t>MAHAPREIT (state)</t>
  </si>
  <si>
    <t>MAHAPREIT - State DC project: 200 MW, EOI stage (MH48)</t>
  </si>
  <si>
    <t>MH48</t>
  </si>
  <si>
    <t>Sify</t>
  </si>
  <si>
    <t>MH14, MH15</t>
  </si>
  <si>
    <t>CapitaLand</t>
  </si>
  <si>
    <t>MH04</t>
  </si>
  <si>
    <t>Iron Mountain (Web Werks)</t>
  </si>
  <si>
    <t>MH32</t>
  </si>
  <si>
    <t>Unidentified (Chandivali)</t>
  </si>
  <si>
    <t>MH43</t>
  </si>
  <si>
    <t>Unidentified ('IMCC')</t>
  </si>
  <si>
    <t>MH34</t>
  </si>
  <si>
    <t>Colt DCS - RMZ</t>
  </si>
  <si>
    <t>MH05</t>
  </si>
  <si>
    <t>Yotta (Hiranandani)</t>
  </si>
  <si>
    <t>MH36</t>
  </si>
  <si>
    <t>Unidentified ('Innovative')</t>
  </si>
  <si>
    <t>MH35</t>
  </si>
  <si>
    <t>Bridge Data Centres</t>
  </si>
  <si>
    <t>MH03</t>
  </si>
  <si>
    <t>TOTAL</t>
  </si>
  <si>
    <t>Check: all verifiable MW in MH_Master_List excl. CTUIL</t>
  </si>
  <si>
    <t>Difference (must be 0)</t>
  </si>
  <si>
    <t>For reference: CTUIL rows excluded (MW)</t>
  </si>
  <si>
    <t>For reference: total incl. CTUIL</t>
  </si>
  <si>
    <t>Not in the chart: rows with no verifiable MW (company / press claims only: PDG 270, Zerra 240, L&amp;T Vyoma 100, ESR 60, TCC 60, Avisirah 5.5; permit records without MW).</t>
  </si>
  <si>
    <t>Grey 'Permit only' = Chandivali 113.9 MW connected load in SEIAA EC minutes (no grid record yet).</t>
  </si>
  <si>
    <t>Maharashtra data centres - combined master list (SLDC grid + CTUIL + MERC + permits + our dataset), one row per project</t>
  </si>
  <si>
    <t>Verifiable MW = figure found in an official record, in priority order: SLDC/STU sanctioned load (Dec-2025) &gt; CTUIL GNA (approved + under process) &gt; other official (MERC order, EC/SEIAA connected load, state GO/LoI/MoU/EOI). Company / press figures are shown separately and NOT counted as verifiable. Grid MW (SLDC, CTUIL, MERC) and connected-load MW are facility power, not IT MW (IT is roughly 55-65% of facility load per SLDC).</t>
  </si>
  <si>
    <t>ID</t>
  </si>
  <si>
    <t>Primary record</t>
  </si>
  <si>
    <t>Company / SPV (as filed)</t>
  </si>
  <si>
    <t>Site / location</t>
  </si>
  <si>
    <t>Cluster</t>
  </si>
  <si>
    <t>Grid connection</t>
  </si>
  <si>
    <t>SLDC sanctioned (MW)</t>
  </si>
  <si>
    <t>SLDC realised (MW)</t>
  </si>
  <si>
    <t>SLDC avg load 3 m (MW)</t>
  </si>
  <si>
    <t>CTUIL approved (MW)</t>
  </si>
  <si>
    <t>CTUIL under process (MW)</t>
  </si>
  <si>
    <t>Other official (MW)</t>
  </si>
  <si>
    <t>Other official basis</t>
  </si>
  <si>
    <t>Other official tier</t>
  </si>
  <si>
    <t>Company / press (MW)</t>
  </si>
  <si>
    <t>Company / press basis &amp; tier</t>
  </si>
  <si>
    <t>Permits (EC / MPCB)</t>
  </si>
  <si>
    <t>VERIFIABLE MW</t>
  </si>
  <si>
    <t>Verifiable source</t>
  </si>
  <si>
    <t>Indicative MW (incl. unverified)</t>
  </si>
  <si>
    <t>Stage</t>
  </si>
  <si>
    <t>Primary source</t>
  </si>
  <si>
    <t>Other source</t>
  </si>
  <si>
    <t>Notes</t>
  </si>
  <si>
    <t>Chart group</t>
  </si>
  <si>
    <t>MH01</t>
  </si>
  <si>
    <t>SLDC</t>
  </si>
  <si>
    <t>M/s. Nxtra</t>
  </si>
  <si>
    <t>TTC, Mahape</t>
  </si>
  <si>
    <t>Navi Mumbai - TTC</t>
  </si>
  <si>
    <t>LILO on 220 kV Kalwa-Tiffil line</t>
  </si>
  <si>
    <t>SEIAA EC (expansion) - Granted (M022); MPCB CTE expansion (Feb-25); CTO part (Jun-25) - Approved (M023)</t>
  </si>
  <si>
    <t>1 Grid sanctioned - partly live</t>
  </si>
  <si>
    <t>https://mahasldc.in/assets/public-ui/files/Data_Centre.pdf#page=23</t>
  </si>
  <si>
    <t>https://assets.airtel.in/nxtra/pdf/EC_Environmental_Clearance_Certificate_Nxtra%20Mahape_DC-02_25.11.25.pdf</t>
  </si>
  <si>
    <t>SLDC MMR #8. Not in our MH state data (Airtel Nxtra)</t>
  </si>
  <si>
    <t>MH02</t>
  </si>
  <si>
    <t>Blackstone / AirTrunk (Gramercy SPVs) - inferred</t>
  </si>
  <si>
    <t>M/s Estela Hindustan Unilever (Gramercy Techpark)</t>
  </si>
  <si>
    <t>TTC MIDC, Airoli</t>
  </si>
  <si>
    <t>LILO on 220 kV Kalwa-Taloja-Panchanand</t>
  </si>
  <si>
    <t>IT MW - tier D</t>
  </si>
  <si>
    <t>MPCB Consent to Establish - Approved (M024); MPCB / SEIAA CTO (part); EC expansion - Approved / on agenda (M025)</t>
  </si>
  <si>
    <t>https://mahasldc.in/assets/public-ui/files/Data_Centre.pdf#page=24</t>
  </si>
  <si>
    <t>https://mpcb.gov.in/sites/default/files/inline-files/Minutes%20of%2015th%20CAC%20Establish%20Booklet%20no%2065.pdf</t>
  </si>
  <si>
    <t>SLDC MMR #13. Official grid figure (90 MW) replaces directory-sourced 62 MW</t>
  </si>
  <si>
    <t>M/s. Bridge Data Centre</t>
  </si>
  <si>
    <t>Dighi MIDC, Navi Mumbai</t>
  </si>
  <si>
    <t>LILO on 100 kV Kalwa-Mukund ckt-1</t>
  </si>
  <si>
    <t>MPCB CTO renewal - Approved (M040)</t>
  </si>
  <si>
    <t>https://mahasldc.in/assets/public-ui/files/Data_Centre.pdf#page=26</t>
  </si>
  <si>
    <t>https://mpcb.gov.in/sites/default/files/inline-files/Index_Of_15th_CAC_Meeting.pdf</t>
  </si>
  <si>
    <t>SLDC MMR #29. Not in our data; operating (avg ~11 MW)</t>
  </si>
  <si>
    <t>M/s. Datascape</t>
  </si>
  <si>
    <t>TTC, Dighe</t>
  </si>
  <si>
    <t>LILO on 220 kV Kalwa-Bapgaon</t>
  </si>
  <si>
    <t>EC / Form-1A connected load</t>
  </si>
  <si>
    <t>A1</t>
  </si>
  <si>
    <t>Connected MW - tier A1</t>
  </si>
  <si>
    <t>SEIAA EC (expansion) - Discussed (M005); MPCB Consent to Establish - Listed (M006); MPCB Consent to 1st Operate (part) - Approved (M007)</t>
  </si>
  <si>
    <t>https://environmentclearance.nic.in/writereaddata/FormB/agenda/1509202585756580%28740114%29MINUTESOF301DAY-4TABLEITEM-Copy.pdf</t>
  </si>
  <si>
    <t>SLDC MMR #17.</t>
  </si>
  <si>
    <t>M/s. Data Centre Holding</t>
  </si>
  <si>
    <t>Kalwa Industrial Area, Dighe, Airoli</t>
  </si>
  <si>
    <t>LILO on 220 kV Kalwa-Colourchem</t>
  </si>
  <si>
    <t>IT MW - tier C</t>
  </si>
  <si>
    <t>MPCB CTO / renewal - Approved (M039)</t>
  </si>
  <si>
    <t>https://indianinfrastructure.com/2026/10/16/colt-dcs-and-rmz-begin-construction-of-third-data-centre-in-mumbai/</t>
  </si>
  <si>
    <t>SLDC MMR #16. SLDC sanction only 60 MW so far vs 148 MW campus potential</t>
  </si>
  <si>
    <t>MH06</t>
  </si>
  <si>
    <t>M/s CTRLS</t>
  </si>
  <si>
    <t>TTC MIDC, Mahape</t>
  </si>
  <si>
    <t>LILO on ckt-I of 220 kV Kharghar-Borivali D/C</t>
  </si>
  <si>
    <t>IT MW - tier A1</t>
  </si>
  <si>
    <t>MPCB CTE for expansion - Approved (M038)</t>
  </si>
  <si>
    <t>https://mahasldc.in/assets/public-ui/files/Data_Centre.pdf#page=22</t>
  </si>
  <si>
    <t>https://www.ctrls.com/</t>
  </si>
  <si>
    <t>SLDC MMR #3. SLDC: 295 MW sanctioned + 290 MW 'CtrlS New' (#24) = 585 MW grid vs our 214 IT MW. Site visit: 70 MW live, avg 42-45 MW</t>
  </si>
  <si>
    <t>MH07</t>
  </si>
  <si>
    <t>M/s. Digital Edge (AGP)</t>
  </si>
  <si>
    <t>Mukund Ltd, Kalwa &amp; Digha</t>
  </si>
  <si>
    <t>LILO on 100 kV Kalwa-BDC-Mukund I &amp; II</t>
  </si>
  <si>
    <t>MPCB Consent to 1st Operate - Approved (M020)</t>
  </si>
  <si>
    <t>https://mpcb.gov.in/sites/default/files/inline-files/Action_Taken_Report_of_17th_CAC_Booklet_no_17_2024-25.pdf</t>
  </si>
  <si>
    <t>SLDC MMR #27. SLDC: Digital Edge #27 + #28 = 225 MW grid vs 350 MW campus</t>
  </si>
  <si>
    <t>MH08</t>
  </si>
  <si>
    <t>M/s Newfound</t>
  </si>
  <si>
    <t>TTC Industrial Area, Thane, Navi Mumbai</t>
  </si>
  <si>
    <t>LILO on 220 kV Kharghar-Sonkhar line</t>
  </si>
  <si>
    <t>SEIAA / MPCB CTO Part-I for Bldg 5A (Data Centre) - Approved (M033)</t>
  </si>
  <si>
    <t>SLDC MMR #4. Not in state data; 250 MW sanctioned to 2034</t>
  </si>
  <si>
    <t>MH09</t>
  </si>
  <si>
    <t>M/s Gigaplex</t>
  </si>
  <si>
    <t>Airoli Knowledge Park, Airoli</t>
  </si>
  <si>
    <t>SEIAA / MPCB CTO application; EC amendment - Listed (M034)</t>
  </si>
  <si>
    <t>https://mpcb.gov.in/sites/default/files/inline-files/Index_of_4th_CAC_Meeting_of_2025-26.pdf</t>
  </si>
  <si>
    <t>SLDC MMR #5. Not in state data; 285 MW sanctioned to 2031</t>
  </si>
  <si>
    <t>MH10</t>
  </si>
  <si>
    <t>M/s Netmagic</t>
  </si>
  <si>
    <t>LILO on ckt-1 of 220 kV Kharghar-Borivali D/C</t>
  </si>
  <si>
    <t>SLDC MMR #6. SLDC: NTT sites #6 + #9 + #18 = 665 MW grid</t>
  </si>
  <si>
    <t>MH11</t>
  </si>
  <si>
    <t>M/s. Estela Mukund (NTT Global)</t>
  </si>
  <si>
    <t>Bhola Nagar, Kalwa</t>
  </si>
  <si>
    <t>Interim LILO on 220 kV Kalwa-Bapgaon; final LILO on 400 kV Kalwa-Padghe</t>
  </si>
  <si>
    <t>MPCB CTO; renewal (part) - Approved (M036)</t>
  </si>
  <si>
    <t>https://www.datacenterdynamics.com/en/news/ntt-announces-500mw-nav2-data-center-in-navi-mumbai-india/</t>
  </si>
  <si>
    <t>SLDC MMR #9. NAV2 = 500 MW facility; our IT figure is consistent</t>
  </si>
  <si>
    <t>MH12</t>
  </si>
  <si>
    <t>M/s. NTT Global DC-13</t>
  </si>
  <si>
    <t>TTC, Bhola Nagar, Kalwa</t>
  </si>
  <si>
    <t>LILO on 220 kV Kalwa-Bapgaon at 220 kV GIS of NTT NAV2 (DC-13)</t>
  </si>
  <si>
    <t>SLDC MMR #18.</t>
  </si>
  <si>
    <t>MH13</t>
  </si>
  <si>
    <t>M/s. STT Global</t>
  </si>
  <si>
    <t>TTC MIDC, Khairane</t>
  </si>
  <si>
    <t>LILO on 220 kV Mahape-Tiffil</t>
  </si>
  <si>
    <t>MPCB CTE; CTO (part); amendment - Approved (M035)</t>
  </si>
  <si>
    <t>https://www.sttelemediagdc.com/in-en/locations/mumbai</t>
  </si>
  <si>
    <t>SLDC MMR #14.</t>
  </si>
  <si>
    <t>MH14</t>
  </si>
  <si>
    <t>M/s Print House (Sify Infinit Spaces)</t>
  </si>
  <si>
    <t>TTC, Rabale</t>
  </si>
  <si>
    <t>LILO on 220 kV Apta-Kalwa</t>
  </si>
  <si>
    <t>SEIAA / MPCB EC expansion; CTE expansion - Approved / on agenda (M028)</t>
  </si>
  <si>
    <t>https://www.sifytechnologies.com/data-center/rabale-data-center/</t>
  </si>
  <si>
    <t>SLDC MMR #12. SLDC: Sify #12 + #30 = 160 MW grid vs 377 MW company campus figure</t>
  </si>
  <si>
    <t>MH15</t>
  </si>
  <si>
    <t>M/s. Sify Technologies Ltd</t>
  </si>
  <si>
    <t>LILO of 100 kV Reliable-Standard Alkali</t>
  </si>
  <si>
    <t>SLDC MMR #30.</t>
  </si>
  <si>
    <t>MH16</t>
  </si>
  <si>
    <t>Adani Group (ex-Microsoft site) - inferred</t>
  </si>
  <si>
    <t>M/s Microsoft Corporation India Ltd (Pimpri-Chinchwad)</t>
  </si>
  <si>
    <t>Pimpri Chinchwad, Pune</t>
  </si>
  <si>
    <t>Pune</t>
  </si>
  <si>
    <t>220 kV D/C UG cable from 220 kV Bhosari-I S/s (4 km)</t>
  </si>
  <si>
    <t>MPCB Consent to Establish - Approved (M017); SEIAA EC - On agenda (M018)</t>
  </si>
  <si>
    <t>SLDC PMR #2. First MW figure for this site: 155 MW (cumulative schedule to Jan-2030)</t>
  </si>
  <si>
    <t>MH17</t>
  </si>
  <si>
    <t>M/s NXTRA Data Ltd-1</t>
  </si>
  <si>
    <t>MIDC Plot 13/104, Hinjewadi Ph-3, Pune</t>
  </si>
  <si>
    <t>2 x 220 kV lines from 400 kV Hinjewadi Ph-III</t>
  </si>
  <si>
    <t>https://mahasldc.in/assets/public-ui/files/Data_Centre.pdf#page=27</t>
  </si>
  <si>
    <t>SLDC PMR #4. Not in our data</t>
  </si>
  <si>
    <t>MH18</t>
  </si>
  <si>
    <t>M/s NXTRA Data Ltd-2</t>
  </si>
  <si>
    <t>Hinjewadi Ph-3, Mann, Pune</t>
  </si>
  <si>
    <t>220 kV UG D/C from 400/220 kV Hinjewadi Ph-III</t>
  </si>
  <si>
    <t>MPCB CTE expansion; CTO (part) - Approved (after SCN) (M043)</t>
  </si>
  <si>
    <t>https://mpcb.gov.in/sites/default/files/inline-files/Action_Taken_Report_of_16th_CAC_Booklet_no._16_%281%29.pdf</t>
  </si>
  <si>
    <t>SLDC PMR #5. Not in our data</t>
  </si>
  <si>
    <t>MH19</t>
  </si>
  <si>
    <t>M/s. STT Global Data Centres India Pvt Ltd</t>
  </si>
  <si>
    <t>Alandi Road, VSNL Old Colony, Dighi, Pune</t>
  </si>
  <si>
    <t>220 kV VSNL-STT Global ckt-I &amp; II</t>
  </si>
  <si>
    <t>SLDC PMR #3. Not in our MH data: 100 MW existing + 100 MW additional; avg load ~42 MW</t>
  </si>
  <si>
    <t>MH20</t>
  </si>
  <si>
    <t>M/s. Amazon, Ambernath</t>
  </si>
  <si>
    <t>Narhen, Usatane, Burdul &amp; Asode, Ambernath</t>
  </si>
  <si>
    <t>Ambernath (Lodha Palava park)</t>
  </si>
  <si>
    <t>220 kV D/C from 220 kV Lodha switching station (proposed MSETCL)</t>
  </si>
  <si>
    <t>2 Grid sanctioned / approved - not yet live</t>
  </si>
  <si>
    <t>https://mahasldc.in/assets/public-ui/files/Data_Centre.pdf#page=25</t>
  </si>
  <si>
    <t>SLDC MMR #22. Dec-2025: AWS 475 + STT 450 = 925 MW; MERC order (Jun-2026) later raised the park to ~1,450 MW granted. Phase schedule in report sums to 450</t>
  </si>
  <si>
    <t>MH21</t>
  </si>
  <si>
    <t>MERC</t>
  </si>
  <si>
    <t>Lodha park (AWS, STT + 1 more)</t>
  </si>
  <si>
    <t>Maharashtra STU - Ambernath 400/220 kV (Lodha-funded)</t>
  </si>
  <si>
    <t>Ambernath (Palava) - increase in STU grant Dec-25 -&gt; Jun-26</t>
  </si>
  <si>
    <t>400/220 kV Ambernath S/s (TBCB annulled; STU to build)</t>
  </si>
  <si>
    <t>Derived: MERC 1,450 MW granted (Jun-2026) less SLDC 925 MW (AWS 475 + STT 450, Dec-2025)</t>
  </si>
  <si>
    <t>https://merc.gov.in/wp-content/uploads/2026/06/Order-88-of-2026.pdf</t>
  </si>
  <si>
    <t>MERC Case 88/2026 para 7.15. AWS Ambernath EC filing (473 MW) sits inside this park - not added separately</t>
  </si>
  <si>
    <t>MH22</t>
  </si>
  <si>
    <t>M/s. STT Global, Ambernath</t>
  </si>
  <si>
    <t>SLDC MMR #23.</t>
  </si>
  <si>
    <t>MH23</t>
  </si>
  <si>
    <t>Amazon Data Services Pvt Ltd, Mumbai</t>
  </si>
  <si>
    <t>Tungwa, Powai (Kurla)</t>
  </si>
  <si>
    <t>Mumbai city</t>
  </si>
  <si>
    <t>LILO on 220 kV Salsette-Sahar &amp; Salsette-Saki</t>
  </si>
  <si>
    <t>SEIAA EC - Discussed (M010); MPCB Consent to Establish - Approved (M011)</t>
  </si>
  <si>
    <t>SLDC MMR #19. Grid sanction 225 MW vs 77 MW in the EC - EC covers only the first building(s)</t>
  </si>
  <si>
    <t>MH24</t>
  </si>
  <si>
    <t>CTUIL</t>
  </si>
  <si>
    <t>Adani Group (AdaniConneX)</t>
  </si>
  <si>
    <t>Support Properties Pvt Ltd ('ACXNMI-01')</t>
  </si>
  <si>
    <t>A-GEN-4 TTC Rabale / Ghansoli; 400 kV POWERGRID Navi Mumbai (GIS)</t>
  </si>
  <si>
    <t>ISTS - 400 kV PG Navi Mumbai (GIS)</t>
  </si>
  <si>
    <t>SEIAA / MPCB EC expansion; CTE (Feb-24) - On agenda / approved (M027)</t>
  </si>
  <si>
    <t>https://ctuil.in/nswsapi/gna</t>
  </si>
  <si>
    <t>https://www.ecmpcb.in/login/download_ec_document/MjMyMTI2NEMzMjYzNDM5M0IxRTJDRDY5MENBNDZFODcucGRm</t>
  </si>
  <si>
    <t>17 GNA applications (13 x 50 + 418 + 74 + 174 + 152) approved; AdaniConneX subsidiary since 2023. Not in SLDC (ISTS, not STU)</t>
  </si>
  <si>
    <t>MH25</t>
  </si>
  <si>
    <t>M/s Estela Coromandal (Gramercy Infopark Pvt Ltd)</t>
  </si>
  <si>
    <t>TTC, Mavli, Ghansoli</t>
  </si>
  <si>
    <t>Interim LILO on 220 kV Kharghar-Borivali; final LILO on 400 kV Kalwa-Kharghar</t>
  </si>
  <si>
    <t>SLDC MMR #11. Largest new item: 480 MW (Mar-2028 to Nov-2031); needs a 400 kV LILO</t>
  </si>
  <si>
    <t>MH26</t>
  </si>
  <si>
    <t>M/s. Gramercy Business Hub Pvt Ltd</t>
  </si>
  <si>
    <t>220 kV Gramercy switching station; LILO on 220 kV Kharghar-Netmagic</t>
  </si>
  <si>
    <t>MPCB Consent to Establish - Approved (M026)</t>
  </si>
  <si>
    <t>https://airtrunk.com/location/bom2-mumbai/</t>
  </si>
  <si>
    <t>SLDC MMR #25. Likely AirTrunk BOM2 (Mahape)</t>
  </si>
  <si>
    <t>MH27</t>
  </si>
  <si>
    <t>M/s. Gramercy Infra Realty Pvt Ltd</t>
  </si>
  <si>
    <t>Plot IT-1, IT-2, Knowledge Park, Navi Mumbai</t>
  </si>
  <si>
    <t>TFR awaited from field office</t>
  </si>
  <si>
    <t>SLDC MMR #26. Not in our data; connectivity still at feasibility (TFR awaited)</t>
  </si>
  <si>
    <t>MH28</t>
  </si>
  <si>
    <t>M/s. CTRLS New</t>
  </si>
  <si>
    <t>220 kV Mahape-CtrlS GIS D/C UG cable (1 km)</t>
  </si>
  <si>
    <t>SLDC MMR #24. Second CtrlS GIS substation, +290 MW</t>
  </si>
  <si>
    <t>MH29</t>
  </si>
  <si>
    <t>M/s. Digital Edge</t>
  </si>
  <si>
    <t>Dighe, Thane Belapur Road</t>
  </si>
  <si>
    <t>LILO of 220 kV DCHI-Colourchem</t>
  </si>
  <si>
    <t>MPCB Consent to Establish - Approved (M019); SEIAA EC - Granted (M021)</t>
  </si>
  <si>
    <t>https://www.digitaledgedc.com/products-services/data-centers/india/</t>
  </si>
  <si>
    <t>SLDC MMR #28.</t>
  </si>
  <si>
    <t>MH30</t>
  </si>
  <si>
    <t>M/s Amantin (Greenscape)</t>
  </si>
  <si>
    <t>TTC, Turbhe</t>
  </si>
  <si>
    <t>LILO on 220 kV Kalwa-Tiffil at proposed 220 kV S/s</t>
  </si>
  <si>
    <t>SEAC-II EC application - n/a (M001)</t>
  </si>
  <si>
    <t>https://environmentclearance.nic.in/DownloadPfdFile.aspx?FileName=Kwy+a1Xl%2FGHp2kMbJYBd8GPrFSz%2FNzzr1mrm87hA6RfsBvasy5U%2FhwjR4PRxBwwupD8Lw8MExL5FqtSFZLEOTQ%3D%3D&amp;FilePath=93ZZBm8LWEXfg+HAlQix2fE2t8z%2FpgnoBhDlYdZCxzXTbTpOQqzWjBW0IF63rxBVcDlG0LKdfbGNs0Ou%2FTEvAA%3D%3D</t>
  </si>
  <si>
    <t>SLDC MMR #10. SLDC 130 MW grid vs 103.4 MW connected load in EC filing</t>
  </si>
  <si>
    <t>MH31</t>
  </si>
  <si>
    <t>M/s. Raiden InfoTech India (P) Ltd</t>
  </si>
  <si>
    <t>Turbhe MIDC, TTC</t>
  </si>
  <si>
    <t>LILO on 220 kV Kharghar-Sonkhar</t>
  </si>
  <si>
    <t>n/a - tier A1</t>
  </si>
  <si>
    <t>MPCB Consent to Establish - Approved (M002); SEIAA EC application - On agenda (M003)</t>
  </si>
  <si>
    <t>https://mpcb.gov.in/sites/default/files/inline-files/Action_Taken_report_of_5th_CAC_Booklet_no_5_0.pdf</t>
  </si>
  <si>
    <t>SLDC MMR #21. First MW figure for Google's own Navi Mumbai site: 190 MW, May-2026 to May-2031</t>
  </si>
  <si>
    <t>M/s. Web Werks</t>
  </si>
  <si>
    <t>LILO on 220 kV Kalwa-Siemens at proposed 220 kV GIS</t>
  </si>
  <si>
    <t>SEIAA EC (new DC buildings) - Discussed (M008); MPCB Consent to Establish - Approved (M009)</t>
  </si>
  <si>
    <t>SLDC MMR #15.</t>
  </si>
  <si>
    <t>MH33</t>
  </si>
  <si>
    <t>M/s. ST Telemedia</t>
  </si>
  <si>
    <t>Thane Belapur Road</t>
  </si>
  <si>
    <t>LILO on 220 kV Mahape-Tiffil line</t>
  </si>
  <si>
    <t>SLDC MMR #1. SLDC grid sanction for the two STT Navi Mumbai sites = 120 MW</t>
  </si>
  <si>
    <t>M/s IMCC</t>
  </si>
  <si>
    <t>TTC MIDC Zone-A, Ghansoli</t>
  </si>
  <si>
    <t>SLDC MMR #7. Not in our data; sponsor to be identified</t>
  </si>
  <si>
    <t>M/s. Innovative</t>
  </si>
  <si>
    <t>Khairane MIDC, Navi Mumbai</t>
  </si>
  <si>
    <t>LILO on 220 kV Mahape-Tiffil ckt of Kalwa-Siemens-Mahape-Tiffil line</t>
  </si>
  <si>
    <t>SLDC MMR #2. Not in our data; sponsor to be identified</t>
  </si>
  <si>
    <t>Yotta Data Services</t>
  </si>
  <si>
    <t>Hiranandani Fortune City, Panvel</t>
  </si>
  <si>
    <t>Panvel / Raigad</t>
  </si>
  <si>
    <t>-</t>
  </si>
  <si>
    <t>MPCB Renewal of consent - Approved (M041)</t>
  </si>
  <si>
    <t>https://colocation.yotta.com/data-center/nm1-datacenter-mumbai-region-maharashtra/</t>
  </si>
  <si>
    <t>SLDC MMR #31. Exact match</t>
  </si>
  <si>
    <t>MH37</t>
  </si>
  <si>
    <t>Adani Group (ex-Microsoft site)</t>
  </si>
  <si>
    <t>M/s Microsoft Corporation India Ltd (Bhosari)</t>
  </si>
  <si>
    <t>Bhosari, Pimpri Industrial Area, Pune</t>
  </si>
  <si>
    <t>220 kV D/C UG cable from 220 kV Century Enka S/s (2 km)</t>
  </si>
  <si>
    <t>SEIAA EC (expansion) - Referred back to SEAC-III (M015); MPCB Consent to Establish - Approved (M016)</t>
  </si>
  <si>
    <t>https://environmentclearance.nic.in/writereaddata/FormB/agenda/2302202697285484%28921161%29MINUTESOF319DAY-5PART-B.pdf</t>
  </si>
  <si>
    <t>SLDC PMR #1. 74 MW grid = 75.4 MW EC. Schedule in report is cumulative (16.1 -&gt; 74); converted to annual increments</t>
  </si>
  <si>
    <t>MH38</t>
  </si>
  <si>
    <t>Amazon Data Services Pvt Ltd, Thane</t>
  </si>
  <si>
    <t>Balkum &amp; Majiwade, Thane</t>
  </si>
  <si>
    <t>Thane</t>
  </si>
  <si>
    <t>LILO on 220 kV Colorchem-Temghar</t>
  </si>
  <si>
    <t>MPCB Consent to Establish - Approved (M012); SEIAA EC application - On agenda (M013)</t>
  </si>
  <si>
    <t>https://x.com/cbdhage/status/1762797367529480646</t>
  </si>
  <si>
    <t>SLDC MMR #20. Official: 150 MW sanctioned in 4 x 37.5 MW phases 2025-28. Replace 272 (tier D) with 150 (A1)</t>
  </si>
  <si>
    <t>MH39</t>
  </si>
  <si>
    <t>Maharashtra STU - Ambernath (connectivity under consideration)</t>
  </si>
  <si>
    <t>Ambernath (Palava)</t>
  </si>
  <si>
    <t>400/220 kV Ambernath S/s</t>
  </si>
  <si>
    <t>MERC: ~1,500 MW additional load under consideration by STU</t>
  </si>
  <si>
    <t>3 Grid applied / under consideration</t>
  </si>
  <si>
    <t>One more DC's application under process (MERC para 7.6); park total 2,950 MW</t>
  </si>
  <si>
    <t>MH40</t>
  </si>
  <si>
    <t>Adani Group (Adani Infra / AdaniConneX)</t>
  </si>
  <si>
    <t>Adani Infra (India) Ltd - likely AdaniConneX Taloja (CoreWeave)</t>
  </si>
  <si>
    <t>LILO of 400 kV Padghe-Kharghar (Taloja / Kharghar belt)</t>
  </si>
  <si>
    <t>ISTS - LILO of 400 kV Padghe-Kharghar</t>
  </si>
  <si>
    <t>IT MW - tier C (CoreWeave release; 480 MW option)</t>
  </si>
  <si>
    <t>https://investors.coreweave.com/news/news-details/2026/CoreWeave-Enters-India-Expanding-AI-Cloud-Platform-With-AdaniConneX/default.aspx</t>
  </si>
  <si>
    <t>10 x 50 MW GNA under process (May-Jun 2026). Link to Taloja/CoreWeave campus is inferred (location + timing)</t>
  </si>
  <si>
    <t>MH41</t>
  </si>
  <si>
    <t>SITAC Group</t>
  </si>
  <si>
    <t>Vardhexa Data Centre Pvt Ltd</t>
  </si>
  <si>
    <t>Pune (Talegaon) 400 kV</t>
  </si>
  <si>
    <t>ISTS - Pune (Talegaon)</t>
  </si>
  <si>
    <t>1 GNA application (16-09-2026). Not in our earlier state data. SITAC group mapping per your research</t>
  </si>
  <si>
    <t>MH42</t>
  </si>
  <si>
    <t>Permits</t>
  </si>
  <si>
    <t>NTT Global Data Centers &amp; Cloud Infrastructure India</t>
  </si>
  <si>
    <t>Saki Vihar / Marol, Mumbai</t>
  </si>
  <si>
    <t>MPCB CTO renewal - Listed (M044)</t>
  </si>
  <si>
    <t>4 Permit only (no grid record)</t>
  </si>
  <si>
    <t>https://mpcb.gov.in/sites/default/files/inline-files/Agenda%20Index%20of%2013th%20CAC%20Meeting.pdf</t>
  </si>
  <si>
    <t>Existing NTT (ex-Netmagic) Saki Vihar DC - CTO renewal; served by Mumbai licensee</t>
  </si>
  <si>
    <t>Our data</t>
  </si>
  <si>
    <t>Tusshar Infra Developers &amp; Pantheon Buildcon</t>
  </si>
  <si>
    <t>Saki Vihar-Chandivali, Mumbai</t>
  </si>
  <si>
    <t>Connected MW - EC (expansion) under appraisal 2025</t>
  </si>
  <si>
    <t>SEIAA EC (expansion) - 'Commercial IT (Data Centre)' - Discussed (M014)</t>
  </si>
  <si>
    <t>https://environmentclearance.nic.in/writereaddata/FormB/agenda/2107202594781152MINUTESOF296DAY-3PART-B.pdf</t>
  </si>
  <si>
    <t>EC (expansion) under appraisal - 113.9 MW connected load in SEIAA minutes (A1); likely Tata Power / AEML supply, so not in SLDC</t>
  </si>
  <si>
    <t>MH44</t>
  </si>
  <si>
    <t>NTT (likely - Bearys builds NTT campuses)</t>
  </si>
  <si>
    <t>Bearys Properties &amp; Developments Pvt Ltd</t>
  </si>
  <si>
    <t>Plot ES-05, TTC Mahape</t>
  </si>
  <si>
    <t>SEIAA EC - On agenda (M030)</t>
  </si>
  <si>
    <t>https://www.ecmpcb.in/login/download_ec_document/QjJCMzlBQzg5M0MzNDZERjg1NDQxQTZGN0YzQzE0MjMucGRm</t>
  </si>
  <si>
    <t>EC on agenda for Plot ES-05 Mahape; may be part of an NTT SLDC line</t>
  </si>
  <si>
    <t>MH45</t>
  </si>
  <si>
    <t>Unidentified (Gargantuan Industrial Space)</t>
  </si>
  <si>
    <t>Gargantuan Industrial Space Solutions Pvt Ltd</t>
  </si>
  <si>
    <t>Plot R-978, Sector 8, Rabale</t>
  </si>
  <si>
    <t>SEIAA EC expansion - On agenda (M029)</t>
  </si>
  <si>
    <t>https://www.ecmpcb.in/login/download_ec_document/ODY2MDg5MDRCMzNGNDNCN0JEMTFBNDUzNEI4MjlGNEQucGRm</t>
  </si>
  <si>
    <t>EC expansion on agenda; no MW, no grid record</t>
  </si>
  <si>
    <t>MH46</t>
  </si>
  <si>
    <t>L&amp;T</t>
  </si>
  <si>
    <t>Larsen &amp; Toubro Ltd</t>
  </si>
  <si>
    <t>S.No. 39, 42, 49 Bhokarpada, Panvel</t>
  </si>
  <si>
    <t>SEIAA EC (DC + residential) - On agenda (M032)</t>
  </si>
  <si>
    <t>https://www.ecmpcb.in/login/download_ec_document/MzMzQzM2MDM3QkQ5NEYxQUIyOTNEMjAyNEE2NUNFODgucGRm</t>
  </si>
  <si>
    <t>EC for DC + residential at Bhokarpada, Panvel; no MW</t>
  </si>
  <si>
    <t>MH47</t>
  </si>
  <si>
    <t>Persipina Developers Pvt Ltd</t>
  </si>
  <si>
    <t>Bhokarpada, Panvel</t>
  </si>
  <si>
    <t>MPCB CTO for DG sets - Approved (M042)</t>
  </si>
  <si>
    <t>https://mpcb.gov.in/sites/default/files/inline-files/Webhost%20Minutes%20of%203rd%20CAC%20Booklet%20no.%203.pdf</t>
  </si>
  <si>
    <t>CTO for DG sets in the Yotta park - likely part of Yotta NM1/NM2</t>
  </si>
  <si>
    <t>MAHAPREIT</t>
  </si>
  <si>
    <t>State DC project</t>
  </si>
  <si>
    <t>Not disclosed</t>
  </si>
  <si>
    <t>Total load MW - EOI stage</t>
  </si>
  <si>
    <t>5 MoU / LoI / EOI</t>
  </si>
  <si>
    <t>https://mahapreit.in/assets/uploads/tender-ext-65-1786725791.pdf</t>
  </si>
  <si>
    <t>State EOI (A1) - 200 MW total load</t>
  </si>
  <si>
    <t>Trentar Pvt Ltd</t>
  </si>
  <si>
    <t>Location not disclosed</t>
  </si>
  <si>
    <t>IT MW - State LoI + MoU Oct-2026</t>
  </si>
  <si>
    <t>A2</t>
  </si>
  <si>
    <t>https://www.prnewswire.com/in/news-releases/trentar-signs-30-000-crore-3-3-bn-mou-with-maharashtra-for-500-mw-green-integrated-data-center-park-302899623.html</t>
  </si>
  <si>
    <t>State LoI + MoU Oct-2026 (reported, A2)</t>
  </si>
  <si>
    <t>MH50</t>
  </si>
  <si>
    <t>AirTrunk</t>
  </si>
  <si>
    <t>Raigad-Pen Growth Centre</t>
  </si>
  <si>
    <t>IT MW - State Letter of Intent for land (Jun-2026)</t>
  </si>
  <si>
    <t>https://www.aninews.in/news/business/maharashtra-issues-letter-of-intent-to-airtrunk-for-rs-2-lakh-crore-data-centre-project-in-raigad20260601123602/</t>
  </si>
  <si>
    <t>State LoI for land (Jun-2026); 3 GW IT - govt action reported (A2)</t>
  </si>
  <si>
    <t>ReNew Wind Energy</t>
  </si>
  <si>
    <t>MMR green DC park (Panvel/Taloja/Khalapur)</t>
  </si>
  <si>
    <t>IT MW - State MoU Oct-2026</t>
  </si>
  <si>
    <t>https://www.business-standard.com/industry/news/renew-signs-mou-with-maharashtra-for-70-000-crore-green-data-centre-park-126100801226_1.html</t>
  </si>
  <si>
    <t>State MoU Oct-2026 (reported, A2)</t>
  </si>
  <si>
    <t>MH52</t>
  </si>
  <si>
    <t>Avisirah</t>
  </si>
  <si>
    <t>Avisirah Technologies</t>
  </si>
  <si>
    <t>Navi Mumbai</t>
  </si>
  <si>
    <t>IT MW - Financed - tier D</t>
  </si>
  <si>
    <t>6 Company claim / announced only</t>
  </si>
  <si>
    <t>https://propnewstime.com/latestnewsstories/MzY3MDg=/avisirah-raises-inr-75-crore-for-navi-mumbai-data-centre</t>
  </si>
  <si>
    <t>Small - distribution voltage</t>
  </si>
  <si>
    <t>MH53</t>
  </si>
  <si>
    <t>ESR</t>
  </si>
  <si>
    <t>Rabale</t>
  </si>
  <si>
    <t>Facility MW - Announced - tier D</t>
  </si>
  <si>
    <t>https://www.crnasia.com/india/news/2026/esr-enters-india-data-centre-market-with-60-mw-facility-in-mumbai</t>
  </si>
  <si>
    <t>MH54</t>
  </si>
  <si>
    <t>L&amp;T (Vyoma)</t>
  </si>
  <si>
    <t>Larsen &amp; Toubro</t>
  </si>
  <si>
    <t>Vyoma EL-200 Mahape</t>
  </si>
  <si>
    <t>IT MW - SEIAA EC application (Oct-2025) - tier A1</t>
  </si>
  <si>
    <t>SEIAA EC - On agenda (M031)</t>
  </si>
  <si>
    <t>https://www.larsentoubro.com/pressreleases/2026/2026-01-21-larsen-toubro-vyoma-breaks-ground-on-40-mw-green-ai-ready-data-centre-in-navi-mumbai</t>
  </si>
  <si>
    <t>https://www.ecmpcb.in/login/download_ec_document/MzI2MjVDNjJFNjhGNEFDMkFCRjA0MDc5NDdENUQ3QjMucGRm</t>
  </si>
  <si>
    <t>EC on agenda (no MW in record); 40 MW of 100 MW campus per L&amp;T release</t>
  </si>
  <si>
    <t>MH55</t>
  </si>
  <si>
    <t>Princeton Digital Group</t>
  </si>
  <si>
    <t>PDG (India) Management</t>
  </si>
  <si>
    <t>MU1 Airoli (50 live + 100 expansion) + MU2 (120)</t>
  </si>
  <si>
    <t>IT MW - MU1: MPCB CTO May-2025; MU2: construction started Apr-2026, no permit found - tier C</t>
  </si>
  <si>
    <t>MPCB Consent to 1st Operate - Approved (M037)</t>
  </si>
  <si>
    <t>https://www.datacenterdynamics.com/en/news/pdg-breaks-ground-on-latest-mumbai-data-center/</t>
  </si>
  <si>
    <t>https://mpcb.gov.in/sites/default/files/inline-files/Action_Taken_Report_of_1st_CAC_Meeting_Part_I.pdf</t>
  </si>
  <si>
    <t>MU1 CTO approved (MPCB) but not in SLDC list - may be fed from a park substation; MW is company-stated</t>
  </si>
  <si>
    <t>MH56</t>
  </si>
  <si>
    <t>Zerra</t>
  </si>
  <si>
    <t>Zerra (AGPDC)</t>
  </si>
  <si>
    <t>Navi Mumbai 29 acres</t>
  </si>
  <si>
    <t>IT MW - Company claims consents; no government record found - tier C</t>
  </si>
  <si>
    <t>https://zerradc.com/projects/navi-mumbai/</t>
  </si>
  <si>
    <t>Company claims consents; no government record found</t>
  </si>
  <si>
    <t>MH57</t>
  </si>
  <si>
    <t>TCC Concept / NES Data</t>
  </si>
  <si>
    <t>TCC Concept</t>
  </si>
  <si>
    <t>Hinjewadi, Pune</t>
  </si>
  <si>
    <t>IT MW - 4 MW operating; land MoU for 60 MW - tier C</t>
  </si>
  <si>
    <t>https://www.constructionworld.in/policy-updates-and-economic-news/tcc-concept-plans-60-mw-data-centre-campus-in-pune/95832</t>
  </si>
  <si>
    <t>Small - likely distribution voltage</t>
  </si>
  <si>
    <t>Column S (VERIFIABLE MW) = first official figure in priority SLDC &gt; CTUIL &gt; other official (A1/A2). Column B = primary record; the chart sheet excludes rows where B = 'CTUIL'. Column Z = group used in the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</si>
</sst>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quot;-&quot;"/>
    <numFmt numFmtId="165" formatCode="#,##0;\-#,##0;&quot;-&quot;"/>
  </numFmts>
  <fonts count="8" x14ac:knownFonts="1">
    <font>
      <sz val="11"/>
      <color theme="1"/>
      <name val="Calibri"/>
      <family val="2"/>
      <scheme val="minor"/>
    </font>
    <font>
      <b/>
      <sz val="13"/>
      <name val="Arial"/>
    </font>
    <font>
      <i/>
      <sz val="9"/>
      <name val="Arial"/>
    </font>
    <font>
      <b/>
      <sz val="9"/>
      <color rgb="FFFFFFFF"/>
      <name val="Arial"/>
    </font>
    <font>
      <sz val="9"/>
      <name val="Arial"/>
    </font>
    <font>
      <b/>
      <sz val="9"/>
      <name val="Arial"/>
    </font>
    <font>
      <u/>
      <sz val="9"/>
      <color rgb="FF0563C1"/>
      <name val="Arial"/>
    </font>
    <font>
      <b/>
      <sz val="9"/>
      <color rgb="FFFFFFFF"/>
      <name val="Arial"/>
    </font>
  </fonts>
  <fills count="4">
    <fill>
      <patternFill patternType="none"/>
    </fill>
    <fill>
      <patternFill patternType="gray125"/>
    </fill>
    <fill>
      <patternFill patternType="solid">
        <fgColor rgb="FF1F3864"/>
      </patternFill>
    </fill>
    <fill>
      <patternFill patternType="solid">
        <f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xf numFmtId="0" fontId="7" fillId="3" borderId="2" xfId="0" applyFont="1" applyFill="1" applyBorder="1" applyAlignment="1">
      <alignment vertical="center" wrapText="1"/>
    </xf>
    <xf numFmtId="0" fontId="5" fillId="0" borderId="2" xfId="0" applyFont="1" applyBorder="1" applyAlignment="1">
      <alignment vertical="top" wrapText="1"/>
    </xf>
    <xf numFmtId="165" fontId="4" fillId="0" borderId="2" xfId="0" applyNumberFormat="1" applyFont="1" applyBorder="1" applyAlignment="1">
      <alignment vertical="top" wrapText="1"/>
    </xf>
    <xf numFmtId="165" fontId="5" fillId="0" borderId="2" xfId="0" applyNumberFormat="1" applyFont="1" applyBorder="1" applyAlignment="1">
      <alignment vertical="top" wrapText="1"/>
    </xf>
    <xf numFmtId="0" fontId="4" fillId="0" borderId="2" xfId="0" applyFont="1" applyBorder="1" applyAlignment="1">
      <alignment vertical="top" wrapText="1"/>
    </xf>
    <xf numFmtId="0" fontId="5" fillId="0" borderId="0" xfId="0" applyFont="1"/>
    <xf numFmtId="165" fontId="5" fillId="0" borderId="2" xfId="0" applyNumberFormat="1" applyFont="1" applyBorder="1"/>
    <xf numFmtId="0" fontId="2" fillId="0" borderId="0" xfId="0" applyFont="1"/>
    <xf numFmtId="0" fontId="3" fillId="2" borderId="1" xfId="0" applyFont="1" applyFill="1" applyBorder="1" applyAlignment="1">
      <alignment vertical="center" wrapText="1"/>
    </xf>
    <xf numFmtId="0" fontId="3" fillId="2" borderId="0" xfId="0" applyFont="1" applyFill="1"/>
    <xf numFmtId="0" fontId="4" fillId="0" borderId="1" xfId="0" applyFont="1" applyBorder="1" applyAlignment="1">
      <alignment vertical="top" wrapText="1"/>
    </xf>
    <xf numFmtId="164" fontId="4" fillId="0" borderId="1" xfId="0" applyNumberFormat="1" applyFont="1" applyBorder="1" applyAlignment="1">
      <alignment vertical="top" wrapText="1"/>
    </xf>
    <xf numFmtId="164" fontId="5" fillId="0" borderId="1" xfId="0" applyNumberFormat="1" applyFont="1" applyBorder="1" applyAlignment="1">
      <alignment vertical="top" wrapText="1"/>
    </xf>
    <xf numFmtId="0" fontId="6" fillId="0" borderId="1" xfId="0" applyFont="1" applyBorder="1" applyAlignment="1">
      <alignment vertical="top" wrapText="1"/>
    </xf>
    <xf numFmtId="0" fontId="4" fillId="0" borderId="0" xfId="0" applyFont="1"/>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Maharashtra DC power by group - verifiable MW, excluding CTUIL</a:t>
            </a:r>
          </a:p>
        </c:rich>
      </c:tx>
      <c:overlay val="1"/>
    </c:title>
    <c:autoTitleDeleted val="0"/>
    <c:plotArea>
      <c:layout/>
      <c:barChart>
        <c:barDir val="col"/>
        <c:grouping val="stacked"/>
        <c:varyColors val="1"/>
        <c:ser>
          <c:idx val="0"/>
          <c:order val="0"/>
          <c:tx>
            <c:strRef>
              <c:f>Chart_Data!$B$4</c:f>
              <c:strCache>
                <c:ptCount val="1"/>
                <c:pt idx="0">
                  <c:v>Grid sanctioned / approved (SLDC, MERC)</c:v>
                </c:pt>
              </c:strCache>
            </c:strRef>
          </c:tx>
          <c:spPr>
            <a:solidFill>
              <a:srgbClr val="1F3864"/>
            </a:solidFill>
            <a:ln>
              <a:solidFill>
                <a:srgbClr val="1F3864"/>
              </a:solidFill>
              <a:prstDash val="solid"/>
            </a:ln>
          </c:spPr>
          <c:invertIfNegative val="1"/>
          <c:cat>
            <c:strRef>
              <c:f>Chart_Data!$A$5:$A$27</c:f>
              <c:strCache>
                <c:ptCount val="23"/>
                <c:pt idx="0">
                  <c:v>Blackstone / AirTrunk</c:v>
                </c:pt>
                <c:pt idx="1">
                  <c:v>Ambernath park (MERC add-on)</c:v>
                </c:pt>
                <c:pt idx="2">
                  <c:v>AWS (Amazon)</c:v>
                </c:pt>
                <c:pt idx="3">
                  <c:v>STT GDC</c:v>
                </c:pt>
                <c:pt idx="4">
                  <c:v>ReNew</c:v>
                </c:pt>
                <c:pt idx="5">
                  <c:v>NTT</c:v>
                </c:pt>
                <c:pt idx="6">
                  <c:v>CtrlS</c:v>
                </c:pt>
                <c:pt idx="7">
                  <c:v>K Raheja Corp / Mindspace</c:v>
                </c:pt>
                <c:pt idx="8">
                  <c:v>Trentar (Dorf Ketal)</c:v>
                </c:pt>
                <c:pt idx="9">
                  <c:v>Google</c:v>
                </c:pt>
                <c:pt idx="10">
                  <c:v>Adani Group</c:v>
                </c:pt>
                <c:pt idx="11">
                  <c:v>Digital Edge</c:v>
                </c:pt>
                <c:pt idx="12">
                  <c:v>Bharti Airtel (Nxtra)</c:v>
                </c:pt>
                <c:pt idx="13">
                  <c:v>MAHAPREIT (state)</c:v>
                </c:pt>
                <c:pt idx="14">
                  <c:v>Sify</c:v>
                </c:pt>
                <c:pt idx="15">
                  <c:v>CapitaLand</c:v>
                </c:pt>
                <c:pt idx="16">
                  <c:v>Iron Mountain (Web Werks)</c:v>
                </c:pt>
                <c:pt idx="17">
                  <c:v>Unidentified (Chandivali)</c:v>
                </c:pt>
                <c:pt idx="18">
                  <c:v>Unidentified ('IMCC')</c:v>
                </c:pt>
                <c:pt idx="19">
                  <c:v>Colt DCS - RMZ</c:v>
                </c:pt>
                <c:pt idx="20">
                  <c:v>Yotta (Hiranandani)</c:v>
                </c:pt>
                <c:pt idx="21">
                  <c:v>Unidentified ('Innovative')</c:v>
                </c:pt>
                <c:pt idx="22">
                  <c:v>Bridge Data Centres</c:v>
                </c:pt>
              </c:strCache>
            </c:strRef>
          </c:cat>
          <c:val>
            <c:numRef>
              <c:f>Chart_Data!$B$5:$B$27</c:f>
              <c:numCache>
                <c:formatCode>#,##0;\-#,##0;"-"</c:formatCode>
                <c:ptCount val="23"/>
                <c:pt idx="0">
                  <c:v>900</c:v>
                </c:pt>
                <c:pt idx="1">
                  <c:v>525</c:v>
                </c:pt>
                <c:pt idx="2">
                  <c:v>850</c:v>
                </c:pt>
                <c:pt idx="3">
                  <c:v>770</c:v>
                </c:pt>
                <c:pt idx="4">
                  <c:v>0</c:v>
                </c:pt>
                <c:pt idx="5">
                  <c:v>665</c:v>
                </c:pt>
                <c:pt idx="6">
                  <c:v>585</c:v>
                </c:pt>
                <c:pt idx="7">
                  <c:v>535</c:v>
                </c:pt>
                <c:pt idx="8">
                  <c:v>0</c:v>
                </c:pt>
                <c:pt idx="9">
                  <c:v>320</c:v>
                </c:pt>
                <c:pt idx="10">
                  <c:v>229</c:v>
                </c:pt>
                <c:pt idx="11">
                  <c:v>225</c:v>
                </c:pt>
                <c:pt idx="12">
                  <c:v>221</c:v>
                </c:pt>
                <c:pt idx="13">
                  <c:v>0</c:v>
                </c:pt>
                <c:pt idx="14">
                  <c:v>160</c:v>
                </c:pt>
                <c:pt idx="15">
                  <c:v>120</c:v>
                </c:pt>
                <c:pt idx="16">
                  <c:v>120</c:v>
                </c:pt>
                <c:pt idx="17">
                  <c:v>0</c:v>
                </c:pt>
                <c:pt idx="18">
                  <c:v>106</c:v>
                </c:pt>
                <c:pt idx="19">
                  <c:v>60</c:v>
                </c:pt>
                <c:pt idx="20">
                  <c:v>52</c:v>
                </c:pt>
                <c:pt idx="21">
                  <c:v>50</c:v>
                </c:pt>
                <c:pt idx="22">
                  <c:v>32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864"/>
                    </a:solidFill>
                    <a:prstDash val="solid"/>
                  </a:ln>
                </c14:spPr>
              </c14:invertSolidFillFmt>
            </c:ext>
            <c:ext xmlns:c16="http://schemas.microsoft.com/office/drawing/2014/chart" uri="{C3380CC4-5D6E-409C-BE32-E72D297353CC}">
              <c16:uniqueId val="{00000000-57D5-49C8-ADB0-675501AC5873}"/>
            </c:ext>
          </c:extLst>
        </c:ser>
        <c:ser>
          <c:idx val="1"/>
          <c:order val="1"/>
          <c:tx>
            <c:strRef>
              <c:f>Chart_Data!$C$4</c:f>
              <c:strCache>
                <c:ptCount val="1"/>
                <c:pt idx="0">
                  <c:v>Grid under consideration (MERC)</c:v>
                </c:pt>
              </c:strCache>
            </c:strRef>
          </c:tx>
          <c:spPr>
            <a:solidFill>
              <a:srgbClr val="8EA9DB"/>
            </a:solidFill>
            <a:ln>
              <a:solidFill>
                <a:srgbClr val="8EA9DB"/>
              </a:solidFill>
              <a:prstDash val="solid"/>
            </a:ln>
          </c:spPr>
          <c:invertIfNegative val="1"/>
          <c:cat>
            <c:strRef>
              <c:f>Chart_Data!$A$5:$A$27</c:f>
              <c:strCache>
                <c:ptCount val="23"/>
                <c:pt idx="0">
                  <c:v>Blackstone / AirTrunk</c:v>
                </c:pt>
                <c:pt idx="1">
                  <c:v>Ambernath park (MERC add-on)</c:v>
                </c:pt>
                <c:pt idx="2">
                  <c:v>AWS (Amazon)</c:v>
                </c:pt>
                <c:pt idx="3">
                  <c:v>STT GDC</c:v>
                </c:pt>
                <c:pt idx="4">
                  <c:v>ReNew</c:v>
                </c:pt>
                <c:pt idx="5">
                  <c:v>NTT</c:v>
                </c:pt>
                <c:pt idx="6">
                  <c:v>CtrlS</c:v>
                </c:pt>
                <c:pt idx="7">
                  <c:v>K Raheja Corp / Mindspace</c:v>
                </c:pt>
                <c:pt idx="8">
                  <c:v>Trentar (Dorf Ketal)</c:v>
                </c:pt>
                <c:pt idx="9">
                  <c:v>Google</c:v>
                </c:pt>
                <c:pt idx="10">
                  <c:v>Adani Group</c:v>
                </c:pt>
                <c:pt idx="11">
                  <c:v>Digital Edge</c:v>
                </c:pt>
                <c:pt idx="12">
                  <c:v>Bharti Airtel (Nxtra)</c:v>
                </c:pt>
                <c:pt idx="13">
                  <c:v>MAHAPREIT (state)</c:v>
                </c:pt>
                <c:pt idx="14">
                  <c:v>Sify</c:v>
                </c:pt>
                <c:pt idx="15">
                  <c:v>CapitaLand</c:v>
                </c:pt>
                <c:pt idx="16">
                  <c:v>Iron Mountain (Web Werks)</c:v>
                </c:pt>
                <c:pt idx="17">
                  <c:v>Unidentified (Chandivali)</c:v>
                </c:pt>
                <c:pt idx="18">
                  <c:v>Unidentified ('IMCC')</c:v>
                </c:pt>
                <c:pt idx="19">
                  <c:v>Colt DCS - RMZ</c:v>
                </c:pt>
                <c:pt idx="20">
                  <c:v>Yotta (Hiranandani)</c:v>
                </c:pt>
                <c:pt idx="21">
                  <c:v>Unidentified ('Innovative')</c:v>
                </c:pt>
                <c:pt idx="22">
                  <c:v>Bridge Data Centres</c:v>
                </c:pt>
              </c:strCache>
            </c:strRef>
          </c:cat>
          <c:val>
            <c:numRef>
              <c:f>Chart_Data!$C$5:$C$27</c:f>
              <c:numCache>
                <c:formatCode>#,##0;\-#,##0;"-"</c:formatCode>
                <c:ptCount val="23"/>
                <c:pt idx="0">
                  <c:v>0</c:v>
                </c:pt>
                <c:pt idx="1">
                  <c:v>1500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8EA9DB"/>
                    </a:solidFill>
                    <a:prstDash val="solid"/>
                  </a:ln>
                </c14:spPr>
              </c14:invertSolidFillFmt>
            </c:ext>
            <c:ext xmlns:c16="http://schemas.microsoft.com/office/drawing/2014/chart" uri="{C3380CC4-5D6E-409C-BE32-E72D297353CC}">
              <c16:uniqueId val="{00000001-57D5-49C8-ADB0-675501AC5873}"/>
            </c:ext>
          </c:extLst>
        </c:ser>
        <c:ser>
          <c:idx val="2"/>
          <c:order val="2"/>
          <c:tx>
            <c:strRef>
              <c:f>Chart_Data!$D$4</c:f>
              <c:strCache>
                <c:ptCount val="1"/>
                <c:pt idx="0">
                  <c:v>Permit only (EC connected load)</c:v>
                </c:pt>
              </c:strCache>
            </c:strRef>
          </c:tx>
          <c:spPr>
            <a:solidFill>
              <a:srgbClr val="A6A6A6"/>
            </a:solidFill>
            <a:ln>
              <a:solidFill>
                <a:srgbClr val="A6A6A6"/>
              </a:solidFill>
              <a:prstDash val="solid"/>
            </a:ln>
          </c:spPr>
          <c:invertIfNegative val="1"/>
          <c:cat>
            <c:strRef>
              <c:f>Chart_Data!$A$5:$A$27</c:f>
              <c:strCache>
                <c:ptCount val="23"/>
                <c:pt idx="0">
                  <c:v>Blackstone / AirTrunk</c:v>
                </c:pt>
                <c:pt idx="1">
                  <c:v>Ambernath park (MERC add-on)</c:v>
                </c:pt>
                <c:pt idx="2">
                  <c:v>AWS (Amazon)</c:v>
                </c:pt>
                <c:pt idx="3">
                  <c:v>STT GDC</c:v>
                </c:pt>
                <c:pt idx="4">
                  <c:v>ReNew</c:v>
                </c:pt>
                <c:pt idx="5">
                  <c:v>NTT</c:v>
                </c:pt>
                <c:pt idx="6">
                  <c:v>CtrlS</c:v>
                </c:pt>
                <c:pt idx="7">
                  <c:v>K Raheja Corp / Mindspace</c:v>
                </c:pt>
                <c:pt idx="8">
                  <c:v>Trentar (Dorf Ketal)</c:v>
                </c:pt>
                <c:pt idx="9">
                  <c:v>Google</c:v>
                </c:pt>
                <c:pt idx="10">
                  <c:v>Adani Group</c:v>
                </c:pt>
                <c:pt idx="11">
                  <c:v>Digital Edge</c:v>
                </c:pt>
                <c:pt idx="12">
                  <c:v>Bharti Airtel (Nxtra)</c:v>
                </c:pt>
                <c:pt idx="13">
                  <c:v>MAHAPREIT (state)</c:v>
                </c:pt>
                <c:pt idx="14">
                  <c:v>Sify</c:v>
                </c:pt>
                <c:pt idx="15">
                  <c:v>CapitaLand</c:v>
                </c:pt>
                <c:pt idx="16">
                  <c:v>Iron Mountain (Web Werks)</c:v>
                </c:pt>
                <c:pt idx="17">
                  <c:v>Unidentified (Chandivali)</c:v>
                </c:pt>
                <c:pt idx="18">
                  <c:v>Unidentified ('IMCC')</c:v>
                </c:pt>
                <c:pt idx="19">
                  <c:v>Colt DCS - RMZ</c:v>
                </c:pt>
                <c:pt idx="20">
                  <c:v>Yotta (Hiranandani)</c:v>
                </c:pt>
                <c:pt idx="21">
                  <c:v>Unidentified ('Innovative')</c:v>
                </c:pt>
                <c:pt idx="22">
                  <c:v>Bridge Data Centres</c:v>
                </c:pt>
              </c:strCache>
            </c:strRef>
          </c:cat>
          <c:val>
            <c:numRef>
              <c:f>Chart_Data!$D$5:$D$27</c:f>
              <c:numCache>
                <c:formatCode>#,##0;\-#,##0;"-"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113.9</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A6A6A6"/>
                    </a:solidFill>
                    <a:prstDash val="solid"/>
                  </a:ln>
                </c14:spPr>
              </c14:invertSolidFillFmt>
            </c:ext>
            <c:ext xmlns:c16="http://schemas.microsoft.com/office/drawing/2014/chart" uri="{C3380CC4-5D6E-409C-BE32-E72D297353CC}">
              <c16:uniqueId val="{00000002-57D5-49C8-ADB0-675501AC5873}"/>
            </c:ext>
          </c:extLst>
        </c:ser>
        <c:ser>
          <c:idx val="3"/>
          <c:order val="3"/>
          <c:tx>
            <c:strRef>
              <c:f>Chart_Data!$E$4</c:f>
              <c:strCache>
                <c:ptCount val="1"/>
                <c:pt idx="0">
                  <c:v>MoU / LoI / EOI (not yet on grid)</c:v>
                </c:pt>
              </c:strCache>
            </c:strRef>
          </c:tx>
          <c:spPr>
            <a:solidFill>
              <a:srgbClr val="ED7D31"/>
            </a:solidFill>
            <a:ln>
              <a:solidFill>
                <a:srgbClr val="ED7D31"/>
              </a:solidFill>
              <a:prstDash val="solid"/>
            </a:ln>
          </c:spPr>
          <c:invertIfNegative val="1"/>
          <c:dLbls>
            <c:dLbl>
              <c:idx val="0"/>
              <c:layout>
                <c:manualLayout>
                  <c:x val="8.7600326797385636E-2"/>
                  <c:y val="-0.31093333333333334"/>
                </c:manualLayout>
              </c:layout>
              <c:tx>
                <c:strRef>
                  <c:f>Chart_Data!$H$5</c:f>
                  <c:strCache>
                    <c:ptCount val="1"/>
                    <c:pt idx="0">
                      <c:v>AirTrunk - Raigad-Pen Growth Centre: 3,000 MW, State Letter of Intent for land (Jun-2026) (MH50)</c:v>
                    </c:pt>
                  </c:strCache>
                </c:strRef>
              </c:tx>
              <c:spPr>
                <a:solidFill>
                  <a:srgbClr val="F2F2F2"/>
                </a:solidFill>
                <a:ln w="12700">
                  <a:solidFill>
                    <a:sysClr val="windowText" lastClr="000000"/>
                  </a:solidFill>
                </a:ln>
                <a:effectLst/>
              </c:spPr>
              <c:txPr>
                <a:bodyPr wrap="square" lIns="38100" tIns="19050" rIns="38100" bIns="19050" anchor="ctr">
                  <a:spAutoFit/>
                </a:bodyPr>
                <a:lstStyle/>
                <a:p>
                  <a:pPr>
                    <a:defRPr sz="800">
                      <a:solidFill>
                        <a:srgbClr val="000000"/>
                      </a:solidFill>
                      <a:latin typeface="Arial"/>
                      <a:ea typeface="Arial"/>
                      <a:cs typeface="Arial"/>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layout>
                    <c:manualLayout>
                      <c:w val="0.1763888888888889"/>
                      <c:h val="8.3010457516339869E-2"/>
                    </c:manualLayout>
                  </c15:layout>
                  <c15:dlblFieldTable>
                    <c15:dlblFTEntry>
                      <c15:txfldGUID>{28A9C960-16AB-480A-9874-94574F11E63B}</c15:txfldGUID>
                      <c15:f>Chart_Data!$H$5</c15:f>
                      <c15:dlblFieldTableCache>
                        <c:ptCount val="1"/>
                        <c:pt idx="0">
                          <c:v>AirTrunk - Raigad-Pen Growth Centre: 3,000 MW, State Letter of Intent for land (Jun-2026) (MH50)</c:v>
                        </c:pt>
                      </c15:dlblFieldTableCache>
                    </c15:dlblFTEntry>
                  </c15:dlblFieldTable>
                  <c15:showDataLabelsRange val="0"/>
                </c:ext>
                <c:ext xmlns:c16="http://schemas.microsoft.com/office/drawing/2014/chart" uri="{C3380CC4-5D6E-409C-BE32-E72D297353CC}">
                  <c16:uniqueId val="{00000004-57D5-49C8-ADB0-675501AC5873}"/>
                </c:ext>
              </c:extLst>
            </c:dLbl>
            <c:dLbl>
              <c:idx val="4"/>
              <c:delete val="1"/>
              <c:extLst>
                <c:ext xmlns:c15="http://schemas.microsoft.com/office/drawing/2012/chart" uri="{CE6537A1-D6FC-4f65-9D91-7224C49458BB}">
                  <c15:spPr xmlns:c15="http://schemas.microsoft.com/office/drawing/2012/chart">
                    <a:prstGeom prst="wedgeRectCallout">
                      <a:avLst/>
                    </a:prstGeom>
                  </c15:spPr>
                  <c15:layout>
                    <c:manualLayout>
                      <c:w val="0.1763888888888889"/>
                      <c:h val="0"/>
                    </c:manualLayout>
                  </c15:layout>
                </c:ext>
                <c:ext xmlns:c16="http://schemas.microsoft.com/office/drawing/2014/chart" uri="{C3380CC4-5D6E-409C-BE32-E72D297353CC}">
                  <c16:uniqueId val="{00000005-57D5-49C8-ADB0-675501AC5873}"/>
                </c:ext>
              </c:extLst>
            </c:dLbl>
            <c:dLbl>
              <c:idx val="8"/>
              <c:delete val="1"/>
              <c:extLst>
                <c:ext xmlns:c15="http://schemas.microsoft.com/office/drawing/2012/chart" uri="{CE6537A1-D6FC-4f65-9D91-7224C49458BB}">
                  <c15:spPr xmlns:c15="http://schemas.microsoft.com/office/drawing/2012/chart">
                    <a:prstGeom prst="wedgeRectCallout">
                      <a:avLst/>
                    </a:prstGeom>
                  </c15:spPr>
                  <c15:layout>
                    <c:manualLayout>
                      <c:w val="0.1763888888888889"/>
                      <c:h val="0"/>
                    </c:manualLayout>
                  </c15:layout>
                </c:ext>
                <c:ext xmlns:c16="http://schemas.microsoft.com/office/drawing/2014/chart" uri="{C3380CC4-5D6E-409C-BE32-E72D297353CC}">
                  <c16:uniqueId val="{00000006-57D5-49C8-ADB0-675501AC5873}"/>
                </c:ext>
              </c:extLst>
            </c:dLbl>
            <c:dLbl>
              <c:idx val="13"/>
              <c:delete val="1"/>
              <c:extLst>
                <c:ext xmlns:c15="http://schemas.microsoft.com/office/drawing/2012/chart" uri="{CE6537A1-D6FC-4f65-9D91-7224C49458BB}">
                  <c15:spPr xmlns:c15="http://schemas.microsoft.com/office/drawing/2012/chart">
                    <a:prstGeom prst="wedgeRectCallout">
                      <a:avLst/>
                    </a:prstGeom>
                  </c15:spPr>
                  <c15:layout>
                    <c:manualLayout>
                      <c:w val="0.1763888888888889"/>
                      <c:h val="0"/>
                    </c:manualLayout>
                  </c15:layout>
                </c:ext>
                <c:ext xmlns:c16="http://schemas.microsoft.com/office/drawing/2014/chart" uri="{C3380CC4-5D6E-409C-BE32-E72D297353CC}">
                  <c16:uniqueId val="{00000007-57D5-49C8-ADB0-675501AC587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Chart_Data!$A$5:$A$27</c:f>
              <c:strCache>
                <c:ptCount val="23"/>
                <c:pt idx="0">
                  <c:v>Blackstone / AirTrunk</c:v>
                </c:pt>
                <c:pt idx="1">
                  <c:v>Ambernath park (MERC add-on)</c:v>
                </c:pt>
                <c:pt idx="2">
                  <c:v>AWS (Amazon)</c:v>
                </c:pt>
                <c:pt idx="3">
                  <c:v>STT GDC</c:v>
                </c:pt>
                <c:pt idx="4">
                  <c:v>ReNew</c:v>
                </c:pt>
                <c:pt idx="5">
                  <c:v>NTT</c:v>
                </c:pt>
                <c:pt idx="6">
                  <c:v>CtrlS</c:v>
                </c:pt>
                <c:pt idx="7">
                  <c:v>K Raheja Corp / Mindspace</c:v>
                </c:pt>
                <c:pt idx="8">
                  <c:v>Trentar (Dorf Ketal)</c:v>
                </c:pt>
                <c:pt idx="9">
                  <c:v>Google</c:v>
                </c:pt>
                <c:pt idx="10">
                  <c:v>Adani Group</c:v>
                </c:pt>
                <c:pt idx="11">
                  <c:v>Digital Edge</c:v>
                </c:pt>
                <c:pt idx="12">
                  <c:v>Bharti Airtel (Nxtra)</c:v>
                </c:pt>
                <c:pt idx="13">
                  <c:v>MAHAPREIT (state)</c:v>
                </c:pt>
                <c:pt idx="14">
                  <c:v>Sify</c:v>
                </c:pt>
                <c:pt idx="15">
                  <c:v>CapitaLand</c:v>
                </c:pt>
                <c:pt idx="16">
                  <c:v>Iron Mountain (Web Werks)</c:v>
                </c:pt>
                <c:pt idx="17">
                  <c:v>Unidentified (Chandivali)</c:v>
                </c:pt>
                <c:pt idx="18">
                  <c:v>Unidentified ('IMCC')</c:v>
                </c:pt>
                <c:pt idx="19">
                  <c:v>Colt DCS - RMZ</c:v>
                </c:pt>
                <c:pt idx="20">
                  <c:v>Yotta (Hiranandani)</c:v>
                </c:pt>
                <c:pt idx="21">
                  <c:v>Unidentified ('Innovative')</c:v>
                </c:pt>
                <c:pt idx="22">
                  <c:v>Bridge Data Centres</c:v>
                </c:pt>
              </c:strCache>
            </c:strRef>
          </c:cat>
          <c:val>
            <c:numRef>
              <c:f>Chart_Data!$E$5:$E$27</c:f>
              <c:numCache>
                <c:formatCode>#,##0;\-#,##0;"-"</c:formatCode>
                <c:ptCount val="23"/>
                <c:pt idx="0">
                  <c:v>3000</c:v>
                </c:pt>
                <c:pt idx="1">
                  <c:v>0</c:v>
                </c:pt>
                <c:pt idx="2">
                  <c:v>0</c:v>
                </c:pt>
                <c:pt idx="3">
                  <c:v>0</c:v>
                </c:pt>
                <c:pt idx="4">
                  <c:v>750</c:v>
                </c:pt>
                <c:pt idx="5">
                  <c:v>0</c:v>
                </c:pt>
                <c:pt idx="6">
                  <c:v>0</c:v>
                </c:pt>
                <c:pt idx="7">
                  <c:v>0</c:v>
                </c:pt>
                <c:pt idx="8">
                  <c:v>500</c:v>
                </c:pt>
                <c:pt idx="9">
                  <c:v>0</c:v>
                </c:pt>
                <c:pt idx="10">
                  <c:v>0</c:v>
                </c:pt>
                <c:pt idx="11">
                  <c:v>0</c:v>
                </c:pt>
                <c:pt idx="12">
                  <c:v>0</c:v>
                </c:pt>
                <c:pt idx="13">
                  <c:v>200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ED7D31"/>
                    </a:solidFill>
                    <a:prstDash val="solid"/>
                  </a:ln>
                </c14:spPr>
              </c14:invertSolidFillFmt>
            </c:ext>
            <c:ext xmlns:c16="http://schemas.microsoft.com/office/drawing/2014/chart" uri="{C3380CC4-5D6E-409C-BE32-E72D297353CC}">
              <c16:uniqueId val="{00000003-57D5-49C8-ADB0-675501AC5873}"/>
            </c:ext>
          </c:extLst>
        </c:ser>
        <c:dLbls>
          <c:showLegendKey val="0"/>
          <c:showVal val="0"/>
          <c:showCatName val="0"/>
          <c:showSerName val="0"/>
          <c:showPercent val="0"/>
          <c:showBubbleSize val="0"/>
        </c:dLbls>
        <c:gapWidth val="6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MW (facility / grid)</a:t>
                </a:r>
              </a:p>
            </c:rich>
          </c:tx>
          <c:overlay val="1"/>
        </c:title>
        <c:numFmt formatCode="#,##0;\-#,##0;&quot;-&quot;"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37</xdr:row>
      <xdr:rowOff>0</xdr:rowOff>
    </xdr:from>
    <xdr:ext cx="12240000" cy="61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c:userShapes xmlns:c="http://schemas.openxmlformats.org/drawingml/2006/chart">
  <cdr:relSizeAnchor xmlns:cdr="http://schemas.openxmlformats.org/drawingml/2006/chartDrawing">
    <cdr:from>
      <cdr:x>0.21381</cdr:x>
      <cdr:y>0.44408</cdr:y>
    </cdr:from>
    <cdr:to>
      <cdr:x>0.36945</cdr:x>
      <cdr:y>0.54784</cdr:y>
    </cdr:to>
    <cdr:sp macro="" textlink="Chart_Data!$H$9">
      <cdr:nvSpPr>
        <cdr:cNvPr id="2" name="Callout_row9">
          <a:extLst xmlns:a="http://schemas.openxmlformats.org/drawingml/2006/main">
            <a:ext uri="{FF2B5EF4-FFF2-40B4-BE49-F238E27FC236}">
              <a16:creationId xmlns:a16="http://schemas.microsoft.com/office/drawing/2014/main" id="{557407AF-EC23-FF82-197F-23BDD4716455}"/>
            </a:ext>
          </a:extLst>
        </cdr:cNvPr>
        <cdr:cNvSpPr/>
      </cdr:nvSpPr>
      <cdr:spPr>
        <a:xfrm xmlns:a="http://schemas.openxmlformats.org/drawingml/2006/main">
          <a:off x="2617089" y="2717800"/>
          <a:ext cx="1905000" cy="635000"/>
        </a:xfrm>
        <a:prstGeom xmlns:a="http://schemas.openxmlformats.org/drawingml/2006/main" prst="wedgeRectCallout">
          <a:avLst>
            <a:gd name="adj1" fmla="val -35175"/>
            <a:gd name="adj2" fmla="val 139684"/>
          </a:avLst>
        </a:prstGeom>
        <a:solidFill xmlns:a="http://schemas.openxmlformats.org/drawingml/2006/main">
          <a:srgbClr val="F2F2F2"/>
        </a:solidFill>
        <a:ln xmlns:a="http://schemas.openxmlformats.org/drawingml/2006/main" w="12700">
          <a:solidFill>
            <a:srgbClr val="ED7D3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square" lIns="38100" tIns="25400" rIns="38100" bIns="25400"/>
        <a:lstStyle xmlns:a="http://schemas.openxmlformats.org/drawingml/2006/main"/>
        <a:p xmlns:a="http://schemas.openxmlformats.org/drawingml/2006/main">
          <a:fld id="{EA403858-42F1-41C6-A1C2-87CC096A6AAB}" type="TxLink">
            <a:rPr lang="en-US" sz="800" b="0" i="0" u="none" strike="noStrike" kern="1200">
              <a:solidFill>
                <a:srgbClr val="000000"/>
              </a:solidFill>
              <a:latin typeface="Arial" panose="020B0604020202020204" pitchFamily="34" charset="0"/>
              <a:cs typeface="Arial"/>
            </a:rPr>
            <a:t>ReNew Wind Energy - MMR green DC park: 750 MW, State MoU Oct-2026 (MH51)</a:t>
          </a:fld>
          <a:endParaRPr lang="en-IN" sz="800" kern="1200">
            <a:solidFill>
              <a:srgbClr val="000000"/>
            </a:solidFill>
            <a:latin typeface="Arial" panose="020B0604020202020204" pitchFamily="34" charset="0"/>
          </a:endParaRPr>
        </a:p>
      </cdr:txBody>
    </cdr:sp>
  </cdr:relSizeAnchor>
  <cdr:relSizeAnchor xmlns:cdr="http://schemas.openxmlformats.org/drawingml/2006/chartDrawing">
    <cdr:from>
      <cdr:x>0.37634</cdr:x>
      <cdr:y>0.48559</cdr:y>
    </cdr:from>
    <cdr:to>
      <cdr:x>0.53198</cdr:x>
      <cdr:y>0.58935</cdr:y>
    </cdr:to>
    <cdr:sp macro="" textlink="Chart_Data!$H$13">
      <cdr:nvSpPr>
        <cdr:cNvPr id="3" name="Callout_row13">
          <a:extLst xmlns:a="http://schemas.openxmlformats.org/drawingml/2006/main">
            <a:ext uri="{FF2B5EF4-FFF2-40B4-BE49-F238E27FC236}">
              <a16:creationId xmlns:a16="http://schemas.microsoft.com/office/drawing/2014/main" id="{B0ECED1A-27A6-868A-53BF-72869EC48532}"/>
            </a:ext>
          </a:extLst>
        </cdr:cNvPr>
        <cdr:cNvSpPr/>
      </cdr:nvSpPr>
      <cdr:spPr>
        <a:xfrm xmlns:a="http://schemas.openxmlformats.org/drawingml/2006/main">
          <a:off x="4606449" y="2971800"/>
          <a:ext cx="1905000" cy="635000"/>
        </a:xfrm>
        <a:prstGeom xmlns:a="http://schemas.openxmlformats.org/drawingml/2006/main" prst="wedgeRectCallout">
          <a:avLst>
            <a:gd name="adj1" fmla="val -35175"/>
            <a:gd name="adj2" fmla="val 139382"/>
          </a:avLst>
        </a:prstGeom>
        <a:solidFill xmlns:a="http://schemas.openxmlformats.org/drawingml/2006/main">
          <a:srgbClr val="F2F2F2"/>
        </a:solidFill>
        <a:ln xmlns:a="http://schemas.openxmlformats.org/drawingml/2006/main" w="12700">
          <a:solidFill>
            <a:srgbClr val="ED7D3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square" lIns="38100" tIns="25400" rIns="38100" bIns="25400"/>
        <a:lstStyle xmlns:a="http://schemas.openxmlformats.org/drawingml/2006/main"/>
        <a:p xmlns:a="http://schemas.openxmlformats.org/drawingml/2006/main">
          <a:fld id="{145BEBEA-7A88-4A41-86DE-FE2320A052BD}" type="TxLink">
            <a:rPr lang="en-US" sz="800" b="0" i="0" u="none" strike="noStrike" kern="1200">
              <a:solidFill>
                <a:srgbClr val="000000"/>
              </a:solidFill>
              <a:latin typeface="Arial" panose="020B0604020202020204" pitchFamily="34" charset="0"/>
              <a:cs typeface="Arial"/>
            </a:rPr>
            <a:t>Trentar Pvt Ltd - Location not disclosed: 500 MW, State LoI + MoU Oct-2026 (MH49)</a:t>
          </a:fld>
          <a:endParaRPr lang="en-IN" sz="800" kern="1200">
            <a:solidFill>
              <a:srgbClr val="000000"/>
            </a:solidFill>
            <a:latin typeface="Arial" panose="020B0604020202020204" pitchFamily="34" charset="0"/>
          </a:endParaRPr>
        </a:p>
      </cdr:txBody>
    </cdr:sp>
  </cdr:relSizeAnchor>
  <cdr:relSizeAnchor xmlns:cdr="http://schemas.openxmlformats.org/drawingml/2006/chartDrawing">
    <cdr:from>
      <cdr:x>0.57951</cdr:x>
      <cdr:y>0.53539</cdr:y>
    </cdr:from>
    <cdr:to>
      <cdr:x>0.73514</cdr:x>
      <cdr:y>0.63915</cdr:y>
    </cdr:to>
    <cdr:sp macro="" textlink="Chart_Data!$H$18">
      <cdr:nvSpPr>
        <cdr:cNvPr id="4" name="Callout_row18">
          <a:extLst xmlns:a="http://schemas.openxmlformats.org/drawingml/2006/main">
            <a:ext uri="{FF2B5EF4-FFF2-40B4-BE49-F238E27FC236}">
              <a16:creationId xmlns:a16="http://schemas.microsoft.com/office/drawing/2014/main" id="{96FC76F1-DC9D-55DA-FBF4-ABF7724FD55C}"/>
            </a:ext>
          </a:extLst>
        </cdr:cNvPr>
        <cdr:cNvSpPr/>
      </cdr:nvSpPr>
      <cdr:spPr>
        <a:xfrm xmlns:a="http://schemas.openxmlformats.org/drawingml/2006/main">
          <a:off x="7093150" y="3276600"/>
          <a:ext cx="1905000" cy="635000"/>
        </a:xfrm>
        <a:prstGeom xmlns:a="http://schemas.openxmlformats.org/drawingml/2006/main" prst="wedgeRectCallout">
          <a:avLst>
            <a:gd name="adj1" fmla="val -35175"/>
            <a:gd name="adj2" fmla="val 139020"/>
          </a:avLst>
        </a:prstGeom>
        <a:solidFill xmlns:a="http://schemas.openxmlformats.org/drawingml/2006/main">
          <a:srgbClr val="F2F2F2"/>
        </a:solidFill>
        <a:ln xmlns:a="http://schemas.openxmlformats.org/drawingml/2006/main" w="12700">
          <a:solidFill>
            <a:srgbClr val="ED7D3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wrap="square" lIns="38100" tIns="25400" rIns="38100" bIns="25400"/>
        <a:lstStyle xmlns:a="http://schemas.openxmlformats.org/drawingml/2006/main"/>
        <a:p xmlns:a="http://schemas.openxmlformats.org/drawingml/2006/main">
          <a:fld id="{5A1D6048-3E6F-4B46-99AA-A42818716639}" type="TxLink">
            <a:rPr lang="en-US" sz="800" b="0" i="0" u="none" strike="noStrike" kern="1200">
              <a:solidFill>
                <a:srgbClr val="000000"/>
              </a:solidFill>
              <a:latin typeface="Arial" panose="020B0604020202020204" pitchFamily="34" charset="0"/>
              <a:cs typeface="Arial"/>
            </a:rPr>
            <a:t>MAHAPREIT - State DC project: 200 MW, EOI stage (MH48)</a:t>
          </a:fld>
          <a:endParaRPr lang="en-IN" sz="800" kern="1200">
            <a:solidFill>
              <a:srgbClr val="000000"/>
            </a:solidFill>
            <a:latin typeface="Arial" panose="020B0604020202020204" pitchFamily="34" charset="0"/>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sifytechnologies.com/data-center/rabale-data-center/" TargetMode="External"/><Relationship Id="rId21" Type="http://schemas.openxmlformats.org/officeDocument/2006/relationships/hyperlink" Target="https://www.datacenterdynamics.com/en/news/ntt-announces-500mw-nav2-data-center-in-navi-mumbai-india/" TargetMode="External"/><Relationship Id="rId42" Type="http://schemas.openxmlformats.org/officeDocument/2006/relationships/hyperlink" Target="https://mahasldc.in/assets/public-ui/files/Data_Centre.pdf" TargetMode="External"/><Relationship Id="rId47" Type="http://schemas.openxmlformats.org/officeDocument/2006/relationships/hyperlink" Target="https://www.digitaledgedc.com/products-services/data-centers/india/" TargetMode="External"/><Relationship Id="rId63" Type="http://schemas.openxmlformats.org/officeDocument/2006/relationships/hyperlink" Target="https://merc.gov.in/wp-content/uploads/2026/06/Order-88-of-2026.pdf" TargetMode="External"/><Relationship Id="rId68" Type="http://schemas.openxmlformats.org/officeDocument/2006/relationships/hyperlink" Target="https://environmentclearance.nic.in/writereaddata/FormB/agenda/2107202594781152MINUTESOF296DAY-3PART-B.pdf" TargetMode="External"/><Relationship Id="rId84" Type="http://schemas.openxmlformats.org/officeDocument/2006/relationships/hyperlink" Target="https://zerradc.com/projects/navi-mumbai/" TargetMode="External"/><Relationship Id="rId16" Type="http://schemas.openxmlformats.org/officeDocument/2006/relationships/hyperlink" Target="https://mpcb.gov.in/sites/default/files/inline-files/Action_Taken_Report_of_17th_CAC_Booklet_no_17_2024-25.pdf" TargetMode="External"/><Relationship Id="rId11" Type="http://schemas.openxmlformats.org/officeDocument/2006/relationships/hyperlink" Target="https://mahasldc.in/assets/public-ui/files/Data_Centre.pdf" TargetMode="External"/><Relationship Id="rId32" Type="http://schemas.openxmlformats.org/officeDocument/2006/relationships/hyperlink" Target="https://mpcb.gov.in/sites/default/files/inline-files/Action_Taken_Report_of_16th_CAC_Booklet_no._16_%281%29.pdf" TargetMode="External"/><Relationship Id="rId37" Type="http://schemas.openxmlformats.org/officeDocument/2006/relationships/hyperlink" Target="https://mahasldc.in/assets/public-ui/files/Data_Centre.pdf" TargetMode="External"/><Relationship Id="rId53" Type="http://schemas.openxmlformats.org/officeDocument/2006/relationships/hyperlink" Target="https://environmentclearance.nic.in/writereaddata/FormB/agenda/1509202585756580%28740114%29MINUTESOF301DAY-4TABLEITEM-Copy.pdf" TargetMode="External"/><Relationship Id="rId58" Type="http://schemas.openxmlformats.org/officeDocument/2006/relationships/hyperlink" Target="https://colocation.yotta.com/data-center/nm1-datacenter-mumbai-region-maharashtra/" TargetMode="External"/><Relationship Id="rId74" Type="http://schemas.openxmlformats.org/officeDocument/2006/relationships/hyperlink" Target="https://mahapreit.in/assets/uploads/tender-ext-65-1786725791.pdf" TargetMode="External"/><Relationship Id="rId79" Type="http://schemas.openxmlformats.org/officeDocument/2006/relationships/hyperlink" Target="https://www.crnasia.com/india/news/2026/esr-enters-india-data-centre-market-with-60-mw-facility-in-mumbai" TargetMode="External"/><Relationship Id="rId5" Type="http://schemas.openxmlformats.org/officeDocument/2006/relationships/hyperlink" Target="https://mahasldc.in/assets/public-ui/files/Data_Centre.pdf" TargetMode="External"/><Relationship Id="rId19" Type="http://schemas.openxmlformats.org/officeDocument/2006/relationships/hyperlink" Target="https://mahasldc.in/assets/public-ui/files/Data_Centre.pdf" TargetMode="External"/><Relationship Id="rId14" Type="http://schemas.openxmlformats.org/officeDocument/2006/relationships/hyperlink" Target="https://mpcb.gov.in/sites/default/files/inline-files/Action_Taken_Report_of_17th_CAC_Booklet_no_17_2024-25.pdf" TargetMode="External"/><Relationship Id="rId22" Type="http://schemas.openxmlformats.org/officeDocument/2006/relationships/hyperlink" Target="https://mahasldc.in/assets/public-ui/files/Data_Centre.pdf" TargetMode="External"/><Relationship Id="rId27" Type="http://schemas.openxmlformats.org/officeDocument/2006/relationships/hyperlink" Target="https://mahasldc.in/assets/public-ui/files/Data_Centre.pdf" TargetMode="External"/><Relationship Id="rId30" Type="http://schemas.openxmlformats.org/officeDocument/2006/relationships/hyperlink" Target="https://mahasldc.in/assets/public-ui/files/Data_Centre.pdf" TargetMode="External"/><Relationship Id="rId35" Type="http://schemas.openxmlformats.org/officeDocument/2006/relationships/hyperlink" Target="https://merc.gov.in/wp-content/uploads/2026/06/Order-88-of-2026.pdf" TargetMode="External"/><Relationship Id="rId43" Type="http://schemas.openxmlformats.org/officeDocument/2006/relationships/hyperlink" Target="https://airtrunk.com/location/bom2-mumbai/" TargetMode="External"/><Relationship Id="rId48" Type="http://schemas.openxmlformats.org/officeDocument/2006/relationships/hyperlink" Target="https://mahasldc.in/assets/public-ui/files/Data_Centre.pdf" TargetMode="External"/><Relationship Id="rId56" Type="http://schemas.openxmlformats.org/officeDocument/2006/relationships/hyperlink" Target="https://mahasldc.in/assets/public-ui/files/Data_Centre.pdf" TargetMode="External"/><Relationship Id="rId64" Type="http://schemas.openxmlformats.org/officeDocument/2006/relationships/hyperlink" Target="https://ctuil.in/nswsapi/gna" TargetMode="External"/><Relationship Id="rId69" Type="http://schemas.openxmlformats.org/officeDocument/2006/relationships/hyperlink" Target="https://environmentclearance.nic.in/writereaddata/FormB/agenda/2107202594781152MINUTESOF296DAY-3PART-B.pdf" TargetMode="External"/><Relationship Id="rId77" Type="http://schemas.openxmlformats.org/officeDocument/2006/relationships/hyperlink" Target="https://www.business-standard.com/industry/news/renew-signs-mou-with-maharashtra-for-70-000-crore-green-data-centre-park-126100801226_1.html" TargetMode="External"/><Relationship Id="rId8" Type="http://schemas.openxmlformats.org/officeDocument/2006/relationships/hyperlink" Target="https://environmentclearance.nic.in/writereaddata/FormB/agenda/1509202585756580%28740114%29MINUTESOF301DAY-4TABLEITEM-Copy.pdf" TargetMode="External"/><Relationship Id="rId51" Type="http://schemas.openxmlformats.org/officeDocument/2006/relationships/hyperlink" Target="https://mpcb.gov.in/sites/default/files/inline-files/Action_Taken_report_of_5th_CAC_Booklet_no_5_0.pdf" TargetMode="External"/><Relationship Id="rId72" Type="http://schemas.openxmlformats.org/officeDocument/2006/relationships/hyperlink" Target="https://www.ecmpcb.in/login/download_ec_document/MzMzQzM2MDM3QkQ5NEYxQUIyOTNEMjAyNEE2NUNFODgucGRm" TargetMode="External"/><Relationship Id="rId80" Type="http://schemas.openxmlformats.org/officeDocument/2006/relationships/hyperlink" Target="https://www.larsentoubro.com/pressreleases/2026/2026-01-21-larsen-toubro-vyoma-breaks-ground-on-40-mw-green-ai-ready-data-centre-in-navi-mumbai" TargetMode="External"/><Relationship Id="rId85" Type="http://schemas.openxmlformats.org/officeDocument/2006/relationships/hyperlink" Target="https://www.constructionworld.in/policy-updates-and-economic-news/tcc-concept-plans-60-mw-data-centre-campus-in-pune/95832" TargetMode="External"/><Relationship Id="rId3" Type="http://schemas.openxmlformats.org/officeDocument/2006/relationships/hyperlink" Target="https://mahasldc.in/assets/public-ui/files/Data_Centre.pdf" TargetMode="External"/><Relationship Id="rId12" Type="http://schemas.openxmlformats.org/officeDocument/2006/relationships/hyperlink" Target="https://www.ctrls.com/" TargetMode="External"/><Relationship Id="rId17" Type="http://schemas.openxmlformats.org/officeDocument/2006/relationships/hyperlink" Target="https://mahasldc.in/assets/public-ui/files/Data_Centre.pdf" TargetMode="External"/><Relationship Id="rId25" Type="http://schemas.openxmlformats.org/officeDocument/2006/relationships/hyperlink" Target="https://mahasldc.in/assets/public-ui/files/Data_Centre.pdf" TargetMode="External"/><Relationship Id="rId33" Type="http://schemas.openxmlformats.org/officeDocument/2006/relationships/hyperlink" Target="https://mahasldc.in/assets/public-ui/files/Data_Centre.pdf" TargetMode="External"/><Relationship Id="rId38" Type="http://schemas.openxmlformats.org/officeDocument/2006/relationships/hyperlink" Target="https://environmentclearance.nic.in/writereaddata/FormB/agenda/1509202585756580%28740114%29MINUTESOF301DAY-4TABLEITEM-Copy.pdf" TargetMode="External"/><Relationship Id="rId46" Type="http://schemas.openxmlformats.org/officeDocument/2006/relationships/hyperlink" Target="https://mahasldc.in/assets/public-ui/files/Data_Centre.pdf" TargetMode="External"/><Relationship Id="rId59" Type="http://schemas.openxmlformats.org/officeDocument/2006/relationships/hyperlink" Target="https://mahasldc.in/assets/public-ui/files/Data_Centre.pdf" TargetMode="External"/><Relationship Id="rId67" Type="http://schemas.openxmlformats.org/officeDocument/2006/relationships/hyperlink" Target="https://mpcb.gov.in/sites/default/files/inline-files/Agenda%20Index%20of%2013th%20CAC%20Meeting.pdf" TargetMode="External"/><Relationship Id="rId20" Type="http://schemas.openxmlformats.org/officeDocument/2006/relationships/hyperlink" Target="https://mahasldc.in/assets/public-ui/files/Data_Centre.pdf" TargetMode="External"/><Relationship Id="rId41" Type="http://schemas.openxmlformats.org/officeDocument/2006/relationships/hyperlink" Target="https://mahasldc.in/assets/public-ui/files/Data_Centre.pdf" TargetMode="External"/><Relationship Id="rId54" Type="http://schemas.openxmlformats.org/officeDocument/2006/relationships/hyperlink" Target="https://mahasldc.in/assets/public-ui/files/Data_Centre.pdf" TargetMode="External"/><Relationship Id="rId62" Type="http://schemas.openxmlformats.org/officeDocument/2006/relationships/hyperlink" Target="https://x.com/cbdhage/status/1762797367529480646" TargetMode="External"/><Relationship Id="rId70" Type="http://schemas.openxmlformats.org/officeDocument/2006/relationships/hyperlink" Target="https://www.ecmpcb.in/login/download_ec_document/QjJCMzlBQzg5M0MzNDZERjg1NDQxQTZGN0YzQzE0MjMucGRm" TargetMode="External"/><Relationship Id="rId75" Type="http://schemas.openxmlformats.org/officeDocument/2006/relationships/hyperlink" Target="https://www.prnewswire.com/in/news-releases/trentar-signs-30-000-crore-3-3-bn-mou-with-maharashtra-for-500-mw-green-integrated-data-center-park-302899623.html" TargetMode="External"/><Relationship Id="rId83" Type="http://schemas.openxmlformats.org/officeDocument/2006/relationships/hyperlink" Target="https://mpcb.gov.in/sites/default/files/inline-files/Action_Taken_Report_of_1st_CAC_Meeting_Part_I.pdf" TargetMode="External"/><Relationship Id="rId1" Type="http://schemas.openxmlformats.org/officeDocument/2006/relationships/hyperlink" Target="https://mahasldc.in/assets/public-ui/files/Data_Centre.pdf" TargetMode="External"/><Relationship Id="rId6" Type="http://schemas.openxmlformats.org/officeDocument/2006/relationships/hyperlink" Target="https://mpcb.gov.in/sites/default/files/inline-files/Index_Of_15th_CAC_Meeting.pdf" TargetMode="External"/><Relationship Id="rId15" Type="http://schemas.openxmlformats.org/officeDocument/2006/relationships/hyperlink" Target="https://mahasldc.in/assets/public-ui/files/Data_Centre.pdf" TargetMode="External"/><Relationship Id="rId23" Type="http://schemas.openxmlformats.org/officeDocument/2006/relationships/hyperlink" Target="https://mahasldc.in/assets/public-ui/files/Data_Centre.pdf" TargetMode="External"/><Relationship Id="rId28" Type="http://schemas.openxmlformats.org/officeDocument/2006/relationships/hyperlink" Target="https://mahasldc.in/assets/public-ui/files/Data_Centre.pdf" TargetMode="External"/><Relationship Id="rId36" Type="http://schemas.openxmlformats.org/officeDocument/2006/relationships/hyperlink" Target="https://mahasldc.in/assets/public-ui/files/Data_Centre.pdf" TargetMode="External"/><Relationship Id="rId49" Type="http://schemas.openxmlformats.org/officeDocument/2006/relationships/hyperlink" Target="https://environmentclearance.nic.in/DownloadPfdFile.aspx?FileName=Kwy+a1Xl%2FGHp2kMbJYBd8GPrFSz%2FNzzr1mrm87hA6RfsBvasy5U%2FhwjR4PRxBwwupD8Lw8MExL5FqtSFZLEOTQ%3D%3D&amp;FilePath=93ZZBm8LWEXfg+HAlQix2fE2t8z%2FpgnoBhDlYdZCxzXTbTpOQqzWjBW0IF63rxBVcDlG0LKdfbGNs0Ou%2FTEvAA%3D%3D" TargetMode="External"/><Relationship Id="rId57" Type="http://schemas.openxmlformats.org/officeDocument/2006/relationships/hyperlink" Target="https://mahasldc.in/assets/public-ui/files/Data_Centre.pdf" TargetMode="External"/><Relationship Id="rId10" Type="http://schemas.openxmlformats.org/officeDocument/2006/relationships/hyperlink" Target="https://indianinfrastructure.com/2026/10/16/colt-dcs-and-rmz-begin-construction-of-third-data-centre-in-mumbai/" TargetMode="External"/><Relationship Id="rId31" Type="http://schemas.openxmlformats.org/officeDocument/2006/relationships/hyperlink" Target="https://mahasldc.in/assets/public-ui/files/Data_Centre.pdf" TargetMode="External"/><Relationship Id="rId44" Type="http://schemas.openxmlformats.org/officeDocument/2006/relationships/hyperlink" Target="https://mahasldc.in/assets/public-ui/files/Data_Centre.pdf" TargetMode="External"/><Relationship Id="rId52" Type="http://schemas.openxmlformats.org/officeDocument/2006/relationships/hyperlink" Target="https://mahasldc.in/assets/public-ui/files/Data_Centre.pdf" TargetMode="External"/><Relationship Id="rId60" Type="http://schemas.openxmlformats.org/officeDocument/2006/relationships/hyperlink" Target="https://environmentclearance.nic.in/writereaddata/FormB/agenda/2302202697285484%28921161%29MINUTESOF319DAY-5PART-B.pdf" TargetMode="External"/><Relationship Id="rId65" Type="http://schemas.openxmlformats.org/officeDocument/2006/relationships/hyperlink" Target="https://investors.coreweave.com/news/news-details/2026/CoreWeave-Enters-India-Expanding-AI-Cloud-Platform-With-AdaniConneX/default.aspx" TargetMode="External"/><Relationship Id="rId73" Type="http://schemas.openxmlformats.org/officeDocument/2006/relationships/hyperlink" Target="https://mpcb.gov.in/sites/default/files/inline-files/Webhost%20Minutes%20of%203rd%20CAC%20Booklet%20no.%203.pdf" TargetMode="External"/><Relationship Id="rId78" Type="http://schemas.openxmlformats.org/officeDocument/2006/relationships/hyperlink" Target="https://propnewstime.com/latestnewsstories/MzY3MDg=/avisirah-raises-inr-75-crore-for-navi-mumbai-data-centre" TargetMode="External"/><Relationship Id="rId81" Type="http://schemas.openxmlformats.org/officeDocument/2006/relationships/hyperlink" Target="https://www.ecmpcb.in/login/download_ec_document/MzI2MjVDNjJFNjhGNEFDMkFCRjA0MDc5NDdENUQ3QjMucGRm" TargetMode="External"/><Relationship Id="rId4" Type="http://schemas.openxmlformats.org/officeDocument/2006/relationships/hyperlink" Target="https://mpcb.gov.in/sites/default/files/inline-files/Minutes%20of%2015th%20CAC%20Establish%20Booklet%20no%2065.pdf" TargetMode="External"/><Relationship Id="rId9" Type="http://schemas.openxmlformats.org/officeDocument/2006/relationships/hyperlink" Target="https://mahasldc.in/assets/public-ui/files/Data_Centre.pdf" TargetMode="External"/><Relationship Id="rId13" Type="http://schemas.openxmlformats.org/officeDocument/2006/relationships/hyperlink" Target="https://mahasldc.in/assets/public-ui/files/Data_Centre.pdf" TargetMode="External"/><Relationship Id="rId18" Type="http://schemas.openxmlformats.org/officeDocument/2006/relationships/hyperlink" Target="https://mpcb.gov.in/sites/default/files/inline-files/Index_of_4th_CAC_Meeting_of_2025-26.pdf" TargetMode="External"/><Relationship Id="rId39" Type="http://schemas.openxmlformats.org/officeDocument/2006/relationships/hyperlink" Target="https://ctuil.in/nswsapi/gna" TargetMode="External"/><Relationship Id="rId34" Type="http://schemas.openxmlformats.org/officeDocument/2006/relationships/hyperlink" Target="https://mahasldc.in/assets/public-ui/files/Data_Centre.pdf" TargetMode="External"/><Relationship Id="rId50" Type="http://schemas.openxmlformats.org/officeDocument/2006/relationships/hyperlink" Target="https://mahasldc.in/assets/public-ui/files/Data_Centre.pdf" TargetMode="External"/><Relationship Id="rId55" Type="http://schemas.openxmlformats.org/officeDocument/2006/relationships/hyperlink" Target="https://mahasldc.in/assets/public-ui/files/Data_Centre.pdf" TargetMode="External"/><Relationship Id="rId76" Type="http://schemas.openxmlformats.org/officeDocument/2006/relationships/hyperlink" Target="https://www.aninews.in/news/business/maharashtra-issues-letter-of-intent-to-airtrunk-for-rs-2-lakh-crore-data-centre-project-in-raigad20260601123602/" TargetMode="External"/><Relationship Id="rId7" Type="http://schemas.openxmlformats.org/officeDocument/2006/relationships/hyperlink" Target="https://mahasldc.in/assets/public-ui/files/Data_Centre.pdf" TargetMode="External"/><Relationship Id="rId71" Type="http://schemas.openxmlformats.org/officeDocument/2006/relationships/hyperlink" Target="https://www.ecmpcb.in/login/download_ec_document/ODY2MDg5MDRCMzNGNDNCN0JEMTFBNDUzNEI4MjlGNEQucGRm" TargetMode="External"/><Relationship Id="rId2" Type="http://schemas.openxmlformats.org/officeDocument/2006/relationships/hyperlink" Target="https://assets.airtel.in/nxtra/pdf/EC_Environmental_Clearance_Certificate_Nxtra%20Mahape_DC-02_25.11.25.pdf" TargetMode="External"/><Relationship Id="rId29" Type="http://schemas.openxmlformats.org/officeDocument/2006/relationships/hyperlink" Target="https://mpcb.gov.in/sites/default/files/inline-files/Minutes%20of%2015th%20CAC%20Establish%20Booklet%20no%2065.pdf" TargetMode="External"/><Relationship Id="rId24" Type="http://schemas.openxmlformats.org/officeDocument/2006/relationships/hyperlink" Target="https://www.sttelemediagdc.com/in-en/locations/mumbai" TargetMode="External"/><Relationship Id="rId40" Type="http://schemas.openxmlformats.org/officeDocument/2006/relationships/hyperlink" Target="https://www.ecmpcb.in/login/download_ec_document/MjMyMTI2NEMzMjYzNDM5M0IxRTJDRDY5MENBNDZFODcucGRm" TargetMode="External"/><Relationship Id="rId45" Type="http://schemas.openxmlformats.org/officeDocument/2006/relationships/hyperlink" Target="https://mahasldc.in/assets/public-ui/files/Data_Centre.pdf" TargetMode="External"/><Relationship Id="rId66" Type="http://schemas.openxmlformats.org/officeDocument/2006/relationships/hyperlink" Target="https://ctuil.in/nswsapi/gna" TargetMode="External"/><Relationship Id="rId61" Type="http://schemas.openxmlformats.org/officeDocument/2006/relationships/hyperlink" Target="https://mahasldc.in/assets/public-ui/files/Data_Centre.pdf" TargetMode="External"/><Relationship Id="rId82" Type="http://schemas.openxmlformats.org/officeDocument/2006/relationships/hyperlink" Target="https://www.datacenterdynamics.com/en/news/pdg-breaks-ground-on-latest-mumbai-data-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workbookViewId="0"/>
  </sheetViews>
  <sheetFormatPr defaultRowHeight="15" x14ac:dyDescent="0.25"/>
  <cols>
    <col min="1" max="1" width="30" customWidth="1"/>
    <col min="2" max="3" width="13" customWidth="1"/>
    <col min="4" max="4" width="12" customWidth="1"/>
    <col min="5" max="5" width="13" customWidth="1"/>
    <col min="6" max="7" width="12" customWidth="1"/>
    <col min="8" max="8" width="48" customWidth="1"/>
    <col min="9" max="9" width="34" customWidth="1"/>
    <col min="10" max="10" width="40" customWidth="1"/>
  </cols>
  <sheetData>
    <row r="1" spans="1:10" ht="16.5" x14ac:dyDescent="0.25">
      <c r="A1" s="1" t="s">
        <v>0</v>
      </c>
    </row>
    <row r="2" spans="1:10" ht="39.950000000000003" customHeight="1" x14ac:dyDescent="0.25">
      <c r="A2" s="17" t="s">
        <v>1</v>
      </c>
      <c r="B2" s="18"/>
      <c r="C2" s="18"/>
      <c r="D2" s="18"/>
      <c r="E2" s="18"/>
      <c r="F2" s="18"/>
      <c r="G2" s="18"/>
      <c r="H2" s="18"/>
      <c r="I2" s="18"/>
      <c r="J2" s="18"/>
    </row>
    <row r="4" spans="1:10" ht="51.95" customHeight="1" x14ac:dyDescent="0.25">
      <c r="A4" s="2" t="s">
        <v>2</v>
      </c>
      <c r="B4" s="2" t="s">
        <v>3</v>
      </c>
      <c r="C4" s="2" t="s">
        <v>4</v>
      </c>
      <c r="D4" s="2" t="s">
        <v>5</v>
      </c>
      <c r="E4" s="2" t="s">
        <v>6</v>
      </c>
      <c r="F4" s="2" t="s">
        <v>7</v>
      </c>
      <c r="G4" s="2" t="s">
        <v>8</v>
      </c>
      <c r="H4" s="2" t="s">
        <v>9</v>
      </c>
      <c r="I4" s="2" t="s">
        <v>10</v>
      </c>
      <c r="J4" s="2" t="s">
        <v>11</v>
      </c>
    </row>
    <row r="5" spans="1:10" ht="24" x14ac:dyDescent="0.25">
      <c r="A5" s="3" t="s">
        <v>12</v>
      </c>
      <c r="B5" s="4">
        <f>SUMIFS(MH_Master_List!$S$5:$S$61,MH_Master_List!$Z$5:$Z$61,$A5,MH_Master_List!$B$5:$B$61,"&lt;&gt;CTUIL",MH_Master_List!$V$5:$V$61,"1*")+SUMIFS(MH_Master_List!$S$5:$S$61,MH_Master_List!$Z$5:$Z$61,$A5,MH_Master_List!$B$5:$B$61,"&lt;&gt;CTUIL",MH_Master_List!$V$5:$V$61,"2*")</f>
        <v>900</v>
      </c>
      <c r="C5" s="4">
        <f>SUMIFS(MH_Master_List!$S$5:$S$61,MH_Master_List!$Z$5:$Z$61,$A5,MH_Master_List!$B$5:$B$61,"&lt;&gt;CTUIL",MH_Master_List!$V$5:$V$61,"3*")</f>
        <v>0</v>
      </c>
      <c r="D5" s="4">
        <f>SUMIFS(MH_Master_List!$S$5:$S$61,MH_Master_List!$Z$5:$Z$61,$A5,MH_Master_List!$B$5:$B$61,"&lt;&gt;CTUIL",MH_Master_List!$V$5:$V$61,"4*")</f>
        <v>0</v>
      </c>
      <c r="E5" s="4">
        <f>SUMIFS(MH_Master_List!$S$5:$S$61,MH_Master_List!$Z$5:$Z$61,$A5,MH_Master_List!$B$5:$B$61,"&lt;&gt;CTUIL",MH_Master_List!$V$5:$V$61,"5*")</f>
        <v>3000</v>
      </c>
      <c r="F5" s="5">
        <f t="shared" ref="F5:F27" si="0">SUM(B5:E5)</f>
        <v>3900</v>
      </c>
      <c r="G5" s="4">
        <f>SUMIFS(MH_Master_List!$I$5:$I$61,MH_Master_List!$Z$5:$Z$61,$A5,MH_Master_List!$B$5:$B$61,"&lt;&gt;CTUIL")</f>
        <v>35</v>
      </c>
      <c r="H5" s="6" t="s">
        <v>13</v>
      </c>
      <c r="I5" s="6" t="s">
        <v>14</v>
      </c>
      <c r="J5" s="6" t="s">
        <v>15</v>
      </c>
    </row>
    <row r="6" spans="1:10" ht="48" x14ac:dyDescent="0.25">
      <c r="A6" s="3" t="s">
        <v>16</v>
      </c>
      <c r="B6" s="4">
        <f>SUMIFS(MH_Master_List!$S$5:$S$61,MH_Master_List!$Z$5:$Z$61,$A6,MH_Master_List!$B$5:$B$61,"&lt;&gt;CTUIL",MH_Master_List!$V$5:$V$61,"1*")+SUMIFS(MH_Master_List!$S$5:$S$61,MH_Master_List!$Z$5:$Z$61,$A6,MH_Master_List!$B$5:$B$61,"&lt;&gt;CTUIL",MH_Master_List!$V$5:$V$61,"2*")</f>
        <v>525</v>
      </c>
      <c r="C6" s="4">
        <f>SUMIFS(MH_Master_List!$S$5:$S$61,MH_Master_List!$Z$5:$Z$61,$A6,MH_Master_List!$B$5:$B$61,"&lt;&gt;CTUIL",MH_Master_List!$V$5:$V$61,"3*")</f>
        <v>1500</v>
      </c>
      <c r="D6" s="4">
        <f>SUMIFS(MH_Master_List!$S$5:$S$61,MH_Master_List!$Z$5:$Z$61,$A6,MH_Master_List!$B$5:$B$61,"&lt;&gt;CTUIL",MH_Master_List!$V$5:$V$61,"4*")</f>
        <v>0</v>
      </c>
      <c r="E6" s="4">
        <f>SUMIFS(MH_Master_List!$S$5:$S$61,MH_Master_List!$Z$5:$Z$61,$A6,MH_Master_List!$B$5:$B$61,"&lt;&gt;CTUIL",MH_Master_List!$V$5:$V$61,"5*")</f>
        <v>0</v>
      </c>
      <c r="F6" s="5">
        <f t="shared" si="0"/>
        <v>2025</v>
      </c>
      <c r="G6" s="4">
        <f>SUMIFS(MH_Master_List!$I$5:$I$61,MH_Master_List!$Z$5:$Z$61,$A6,MH_Master_List!$B$5:$B$61,"&lt;&gt;CTUIL")</f>
        <v>0</v>
      </c>
      <c r="H6" s="6"/>
      <c r="I6" s="6" t="s">
        <v>17</v>
      </c>
      <c r="J6" s="6" t="s">
        <v>18</v>
      </c>
    </row>
    <row r="7" spans="1:10" x14ac:dyDescent="0.25">
      <c r="A7" s="3" t="s">
        <v>19</v>
      </c>
      <c r="B7" s="4">
        <f>SUMIFS(MH_Master_List!$S$5:$S$61,MH_Master_List!$Z$5:$Z$61,$A7,MH_Master_List!$B$5:$B$61,"&lt;&gt;CTUIL",MH_Master_List!$V$5:$V$61,"1*")+SUMIFS(MH_Master_List!$S$5:$S$61,MH_Master_List!$Z$5:$Z$61,$A7,MH_Master_List!$B$5:$B$61,"&lt;&gt;CTUIL",MH_Master_List!$V$5:$V$61,"2*")</f>
        <v>850</v>
      </c>
      <c r="C7" s="4">
        <f>SUMIFS(MH_Master_List!$S$5:$S$61,MH_Master_List!$Z$5:$Z$61,$A7,MH_Master_List!$B$5:$B$61,"&lt;&gt;CTUIL",MH_Master_List!$V$5:$V$61,"3*")</f>
        <v>0</v>
      </c>
      <c r="D7" s="4">
        <f>SUMIFS(MH_Master_List!$S$5:$S$61,MH_Master_List!$Z$5:$Z$61,$A7,MH_Master_List!$B$5:$B$61,"&lt;&gt;CTUIL",MH_Master_List!$V$5:$V$61,"4*")</f>
        <v>0</v>
      </c>
      <c r="E7" s="4">
        <f>SUMIFS(MH_Master_List!$S$5:$S$61,MH_Master_List!$Z$5:$Z$61,$A7,MH_Master_List!$B$5:$B$61,"&lt;&gt;CTUIL",MH_Master_List!$V$5:$V$61,"5*")</f>
        <v>0</v>
      </c>
      <c r="F7" s="5">
        <f t="shared" si="0"/>
        <v>850</v>
      </c>
      <c r="G7" s="4">
        <f>SUMIFS(MH_Master_List!$I$5:$I$61,MH_Master_List!$Z$5:$Z$61,$A7,MH_Master_List!$B$5:$B$61,"&lt;&gt;CTUIL")</f>
        <v>0</v>
      </c>
      <c r="H7" s="6"/>
      <c r="I7" s="6" t="s">
        <v>20</v>
      </c>
      <c r="J7" s="6" t="s">
        <v>21</v>
      </c>
    </row>
    <row r="8" spans="1:10" ht="24" x14ac:dyDescent="0.25">
      <c r="A8" s="3" t="s">
        <v>22</v>
      </c>
      <c r="B8" s="4">
        <f>SUMIFS(MH_Master_List!$S$5:$S$61,MH_Master_List!$Z$5:$Z$61,$A8,MH_Master_List!$B$5:$B$61,"&lt;&gt;CTUIL",MH_Master_List!$V$5:$V$61,"1*")+SUMIFS(MH_Master_List!$S$5:$S$61,MH_Master_List!$Z$5:$Z$61,$A8,MH_Master_List!$B$5:$B$61,"&lt;&gt;CTUIL",MH_Master_List!$V$5:$V$61,"2*")</f>
        <v>770</v>
      </c>
      <c r="C8" s="4">
        <f>SUMIFS(MH_Master_List!$S$5:$S$61,MH_Master_List!$Z$5:$Z$61,$A8,MH_Master_List!$B$5:$B$61,"&lt;&gt;CTUIL",MH_Master_List!$V$5:$V$61,"3*")</f>
        <v>0</v>
      </c>
      <c r="D8" s="4">
        <f>SUMIFS(MH_Master_List!$S$5:$S$61,MH_Master_List!$Z$5:$Z$61,$A8,MH_Master_List!$B$5:$B$61,"&lt;&gt;CTUIL",MH_Master_List!$V$5:$V$61,"4*")</f>
        <v>0</v>
      </c>
      <c r="E8" s="4">
        <f>SUMIFS(MH_Master_List!$S$5:$S$61,MH_Master_List!$Z$5:$Z$61,$A8,MH_Master_List!$B$5:$B$61,"&lt;&gt;CTUIL",MH_Master_List!$V$5:$V$61,"5*")</f>
        <v>0</v>
      </c>
      <c r="F8" s="5">
        <f t="shared" si="0"/>
        <v>770</v>
      </c>
      <c r="G8" s="4">
        <f>SUMIFS(MH_Master_List!$I$5:$I$61,MH_Master_List!$Z$5:$Z$61,$A8,MH_Master_List!$B$5:$B$61,"&lt;&gt;CTUIL")</f>
        <v>97</v>
      </c>
      <c r="H8" s="6"/>
      <c r="I8" s="6" t="s">
        <v>23</v>
      </c>
      <c r="J8" s="6" t="s">
        <v>24</v>
      </c>
    </row>
    <row r="9" spans="1:10" ht="24" x14ac:dyDescent="0.25">
      <c r="A9" s="3" t="s">
        <v>25</v>
      </c>
      <c r="B9" s="4">
        <f>SUMIFS(MH_Master_List!$S$5:$S$61,MH_Master_List!$Z$5:$Z$61,$A9,MH_Master_List!$B$5:$B$61,"&lt;&gt;CTUIL",MH_Master_List!$V$5:$V$61,"1*")+SUMIFS(MH_Master_List!$S$5:$S$61,MH_Master_List!$Z$5:$Z$61,$A9,MH_Master_List!$B$5:$B$61,"&lt;&gt;CTUIL",MH_Master_List!$V$5:$V$61,"2*")</f>
        <v>0</v>
      </c>
      <c r="C9" s="4">
        <f>SUMIFS(MH_Master_List!$S$5:$S$61,MH_Master_List!$Z$5:$Z$61,$A9,MH_Master_List!$B$5:$B$61,"&lt;&gt;CTUIL",MH_Master_List!$V$5:$V$61,"3*")</f>
        <v>0</v>
      </c>
      <c r="D9" s="4">
        <f>SUMIFS(MH_Master_List!$S$5:$S$61,MH_Master_List!$Z$5:$Z$61,$A9,MH_Master_List!$B$5:$B$61,"&lt;&gt;CTUIL",MH_Master_List!$V$5:$V$61,"4*")</f>
        <v>0</v>
      </c>
      <c r="E9" s="4">
        <f>SUMIFS(MH_Master_List!$S$5:$S$61,MH_Master_List!$Z$5:$Z$61,$A9,MH_Master_List!$B$5:$B$61,"&lt;&gt;CTUIL",MH_Master_List!$V$5:$V$61,"5*")</f>
        <v>750</v>
      </c>
      <c r="F9" s="5">
        <f t="shared" si="0"/>
        <v>750</v>
      </c>
      <c r="G9" s="4">
        <f>SUMIFS(MH_Master_List!$I$5:$I$61,MH_Master_List!$Z$5:$Z$61,$A9,MH_Master_List!$B$5:$B$61,"&lt;&gt;CTUIL")</f>
        <v>0</v>
      </c>
      <c r="H9" s="6" t="s">
        <v>26</v>
      </c>
      <c r="I9" s="6" t="s">
        <v>27</v>
      </c>
      <c r="J9" s="6"/>
    </row>
    <row r="10" spans="1:10" x14ac:dyDescent="0.25">
      <c r="A10" s="3" t="s">
        <v>28</v>
      </c>
      <c r="B10" s="4">
        <f>SUMIFS(MH_Master_List!$S$5:$S$61,MH_Master_List!$Z$5:$Z$61,$A10,MH_Master_List!$B$5:$B$61,"&lt;&gt;CTUIL",MH_Master_List!$V$5:$V$61,"1*")+SUMIFS(MH_Master_List!$S$5:$S$61,MH_Master_List!$Z$5:$Z$61,$A10,MH_Master_List!$B$5:$B$61,"&lt;&gt;CTUIL",MH_Master_List!$V$5:$V$61,"2*")</f>
        <v>665</v>
      </c>
      <c r="C10" s="4">
        <f>SUMIFS(MH_Master_List!$S$5:$S$61,MH_Master_List!$Z$5:$Z$61,$A10,MH_Master_List!$B$5:$B$61,"&lt;&gt;CTUIL",MH_Master_List!$V$5:$V$61,"3*")</f>
        <v>0</v>
      </c>
      <c r="D10" s="4">
        <f>SUMIFS(MH_Master_List!$S$5:$S$61,MH_Master_List!$Z$5:$Z$61,$A10,MH_Master_List!$B$5:$B$61,"&lt;&gt;CTUIL",MH_Master_List!$V$5:$V$61,"4*")</f>
        <v>0</v>
      </c>
      <c r="E10" s="4">
        <f>SUMIFS(MH_Master_List!$S$5:$S$61,MH_Master_List!$Z$5:$Z$61,$A10,MH_Master_List!$B$5:$B$61,"&lt;&gt;CTUIL",MH_Master_List!$V$5:$V$61,"5*")</f>
        <v>0</v>
      </c>
      <c r="F10" s="5">
        <f t="shared" si="0"/>
        <v>665</v>
      </c>
      <c r="G10" s="4">
        <f>SUMIFS(MH_Master_List!$I$5:$I$61,MH_Master_List!$Z$5:$Z$61,$A10,MH_Master_List!$B$5:$B$61,"&lt;&gt;CTUIL")</f>
        <v>90</v>
      </c>
      <c r="H10" s="6"/>
      <c r="I10" s="6" t="s">
        <v>29</v>
      </c>
      <c r="J10" s="6"/>
    </row>
    <row r="11" spans="1:10" x14ac:dyDescent="0.25">
      <c r="A11" s="3" t="s">
        <v>30</v>
      </c>
      <c r="B11" s="4">
        <f>SUMIFS(MH_Master_List!$S$5:$S$61,MH_Master_List!$Z$5:$Z$61,$A11,MH_Master_List!$B$5:$B$61,"&lt;&gt;CTUIL",MH_Master_List!$V$5:$V$61,"1*")+SUMIFS(MH_Master_List!$S$5:$S$61,MH_Master_List!$Z$5:$Z$61,$A11,MH_Master_List!$B$5:$B$61,"&lt;&gt;CTUIL",MH_Master_List!$V$5:$V$61,"2*")</f>
        <v>585</v>
      </c>
      <c r="C11" s="4">
        <f>SUMIFS(MH_Master_List!$S$5:$S$61,MH_Master_List!$Z$5:$Z$61,$A11,MH_Master_List!$B$5:$B$61,"&lt;&gt;CTUIL",MH_Master_List!$V$5:$V$61,"3*")</f>
        <v>0</v>
      </c>
      <c r="D11" s="4">
        <f>SUMIFS(MH_Master_List!$S$5:$S$61,MH_Master_List!$Z$5:$Z$61,$A11,MH_Master_List!$B$5:$B$61,"&lt;&gt;CTUIL",MH_Master_List!$V$5:$V$61,"4*")</f>
        <v>0</v>
      </c>
      <c r="E11" s="4">
        <f>SUMIFS(MH_Master_List!$S$5:$S$61,MH_Master_List!$Z$5:$Z$61,$A11,MH_Master_List!$B$5:$B$61,"&lt;&gt;CTUIL",MH_Master_List!$V$5:$V$61,"5*")</f>
        <v>0</v>
      </c>
      <c r="F11" s="5">
        <f t="shared" si="0"/>
        <v>585</v>
      </c>
      <c r="G11" s="4">
        <f>SUMIFS(MH_Master_List!$I$5:$I$61,MH_Master_List!$Z$5:$Z$61,$A11,MH_Master_List!$B$5:$B$61,"&lt;&gt;CTUIL")</f>
        <v>70</v>
      </c>
      <c r="H11" s="6"/>
      <c r="I11" s="6" t="s">
        <v>31</v>
      </c>
      <c r="J11" s="6"/>
    </row>
    <row r="12" spans="1:10" x14ac:dyDescent="0.25">
      <c r="A12" s="3" t="s">
        <v>32</v>
      </c>
      <c r="B12" s="4">
        <f>SUMIFS(MH_Master_List!$S$5:$S$61,MH_Master_List!$Z$5:$Z$61,$A12,MH_Master_List!$B$5:$B$61,"&lt;&gt;CTUIL",MH_Master_List!$V$5:$V$61,"1*")+SUMIFS(MH_Master_List!$S$5:$S$61,MH_Master_List!$Z$5:$Z$61,$A12,MH_Master_List!$B$5:$B$61,"&lt;&gt;CTUIL",MH_Master_List!$V$5:$V$61,"2*")</f>
        <v>535</v>
      </c>
      <c r="C12" s="4">
        <f>SUMIFS(MH_Master_List!$S$5:$S$61,MH_Master_List!$Z$5:$Z$61,$A12,MH_Master_List!$B$5:$B$61,"&lt;&gt;CTUIL",MH_Master_List!$V$5:$V$61,"3*")</f>
        <v>0</v>
      </c>
      <c r="D12" s="4">
        <f>SUMIFS(MH_Master_List!$S$5:$S$61,MH_Master_List!$Z$5:$Z$61,$A12,MH_Master_List!$B$5:$B$61,"&lt;&gt;CTUIL",MH_Master_List!$V$5:$V$61,"4*")</f>
        <v>0</v>
      </c>
      <c r="E12" s="4">
        <f>SUMIFS(MH_Master_List!$S$5:$S$61,MH_Master_List!$Z$5:$Z$61,$A12,MH_Master_List!$B$5:$B$61,"&lt;&gt;CTUIL",MH_Master_List!$V$5:$V$61,"5*")</f>
        <v>0</v>
      </c>
      <c r="F12" s="5">
        <f t="shared" si="0"/>
        <v>535</v>
      </c>
      <c r="G12" s="4">
        <f>SUMIFS(MH_Master_List!$I$5:$I$61,MH_Master_List!$Z$5:$Z$61,$A12,MH_Master_List!$B$5:$B$61,"&lt;&gt;CTUIL")</f>
        <v>71</v>
      </c>
      <c r="H12" s="6"/>
      <c r="I12" s="6" t="s">
        <v>33</v>
      </c>
      <c r="J12" s="6"/>
    </row>
    <row r="13" spans="1:10" ht="24" x14ac:dyDescent="0.25">
      <c r="A13" s="3" t="s">
        <v>34</v>
      </c>
      <c r="B13" s="4">
        <f>SUMIFS(MH_Master_List!$S$5:$S$61,MH_Master_List!$Z$5:$Z$61,$A13,MH_Master_List!$B$5:$B$61,"&lt;&gt;CTUIL",MH_Master_List!$V$5:$V$61,"1*")+SUMIFS(MH_Master_List!$S$5:$S$61,MH_Master_List!$Z$5:$Z$61,$A13,MH_Master_List!$B$5:$B$61,"&lt;&gt;CTUIL",MH_Master_List!$V$5:$V$61,"2*")</f>
        <v>0</v>
      </c>
      <c r="C13" s="4">
        <f>SUMIFS(MH_Master_List!$S$5:$S$61,MH_Master_List!$Z$5:$Z$61,$A13,MH_Master_List!$B$5:$B$61,"&lt;&gt;CTUIL",MH_Master_List!$V$5:$V$61,"3*")</f>
        <v>0</v>
      </c>
      <c r="D13" s="4">
        <f>SUMIFS(MH_Master_List!$S$5:$S$61,MH_Master_List!$Z$5:$Z$61,$A13,MH_Master_List!$B$5:$B$61,"&lt;&gt;CTUIL",MH_Master_List!$V$5:$V$61,"4*")</f>
        <v>0</v>
      </c>
      <c r="E13" s="4">
        <f>SUMIFS(MH_Master_List!$S$5:$S$61,MH_Master_List!$Z$5:$Z$61,$A13,MH_Master_List!$B$5:$B$61,"&lt;&gt;CTUIL",MH_Master_List!$V$5:$V$61,"5*")</f>
        <v>500</v>
      </c>
      <c r="F13" s="5">
        <f t="shared" si="0"/>
        <v>500</v>
      </c>
      <c r="G13" s="4">
        <f>SUMIFS(MH_Master_List!$I$5:$I$61,MH_Master_List!$Z$5:$Z$61,$A13,MH_Master_List!$B$5:$B$61,"&lt;&gt;CTUIL")</f>
        <v>0</v>
      </c>
      <c r="H13" s="6" t="s">
        <v>35</v>
      </c>
      <c r="I13" s="6" t="s">
        <v>36</v>
      </c>
      <c r="J13" s="6"/>
    </row>
    <row r="14" spans="1:10" x14ac:dyDescent="0.25">
      <c r="A14" s="3" t="s">
        <v>37</v>
      </c>
      <c r="B14" s="4">
        <f>SUMIFS(MH_Master_List!$S$5:$S$61,MH_Master_List!$Z$5:$Z$61,$A14,MH_Master_List!$B$5:$B$61,"&lt;&gt;CTUIL",MH_Master_List!$V$5:$V$61,"1*")+SUMIFS(MH_Master_List!$S$5:$S$61,MH_Master_List!$Z$5:$Z$61,$A14,MH_Master_List!$B$5:$B$61,"&lt;&gt;CTUIL",MH_Master_List!$V$5:$V$61,"2*")</f>
        <v>320</v>
      </c>
      <c r="C14" s="4">
        <f>SUMIFS(MH_Master_List!$S$5:$S$61,MH_Master_List!$Z$5:$Z$61,$A14,MH_Master_List!$B$5:$B$61,"&lt;&gt;CTUIL",MH_Master_List!$V$5:$V$61,"3*")</f>
        <v>0</v>
      </c>
      <c r="D14" s="4">
        <f>SUMIFS(MH_Master_List!$S$5:$S$61,MH_Master_List!$Z$5:$Z$61,$A14,MH_Master_List!$B$5:$B$61,"&lt;&gt;CTUIL",MH_Master_List!$V$5:$V$61,"4*")</f>
        <v>0</v>
      </c>
      <c r="E14" s="4">
        <f>SUMIFS(MH_Master_List!$S$5:$S$61,MH_Master_List!$Z$5:$Z$61,$A14,MH_Master_List!$B$5:$B$61,"&lt;&gt;CTUIL",MH_Master_List!$V$5:$V$61,"5*")</f>
        <v>0</v>
      </c>
      <c r="F14" s="5">
        <f t="shared" si="0"/>
        <v>320</v>
      </c>
      <c r="G14" s="4">
        <f>SUMIFS(MH_Master_List!$I$5:$I$61,MH_Master_List!$Z$5:$Z$61,$A14,MH_Master_List!$B$5:$B$61,"&lt;&gt;CTUIL")</f>
        <v>0</v>
      </c>
      <c r="H14" s="6"/>
      <c r="I14" s="6" t="s">
        <v>38</v>
      </c>
      <c r="J14" s="6"/>
    </row>
    <row r="15" spans="1:10" ht="36" x14ac:dyDescent="0.25">
      <c r="A15" s="3" t="s">
        <v>39</v>
      </c>
      <c r="B15" s="4">
        <f>SUMIFS(MH_Master_List!$S$5:$S$61,MH_Master_List!$Z$5:$Z$61,$A15,MH_Master_List!$B$5:$B$61,"&lt;&gt;CTUIL",MH_Master_List!$V$5:$V$61,"1*")+SUMIFS(MH_Master_List!$S$5:$S$61,MH_Master_List!$Z$5:$Z$61,$A15,MH_Master_List!$B$5:$B$61,"&lt;&gt;CTUIL",MH_Master_List!$V$5:$V$61,"2*")</f>
        <v>229</v>
      </c>
      <c r="C15" s="4">
        <f>SUMIFS(MH_Master_List!$S$5:$S$61,MH_Master_List!$Z$5:$Z$61,$A15,MH_Master_List!$B$5:$B$61,"&lt;&gt;CTUIL",MH_Master_List!$V$5:$V$61,"3*")</f>
        <v>0</v>
      </c>
      <c r="D15" s="4">
        <f>SUMIFS(MH_Master_List!$S$5:$S$61,MH_Master_List!$Z$5:$Z$61,$A15,MH_Master_List!$B$5:$B$61,"&lt;&gt;CTUIL",MH_Master_List!$V$5:$V$61,"4*")</f>
        <v>0</v>
      </c>
      <c r="E15" s="4">
        <f>SUMIFS(MH_Master_List!$S$5:$S$61,MH_Master_List!$Z$5:$Z$61,$A15,MH_Master_List!$B$5:$B$61,"&lt;&gt;CTUIL",MH_Master_List!$V$5:$V$61,"5*")</f>
        <v>0</v>
      </c>
      <c r="F15" s="5">
        <f t="shared" si="0"/>
        <v>229</v>
      </c>
      <c r="G15" s="4">
        <f>SUMIFS(MH_Master_List!$I$5:$I$61,MH_Master_List!$Z$5:$Z$61,$A15,MH_Master_List!$B$5:$B$61,"&lt;&gt;CTUIL")</f>
        <v>16</v>
      </c>
      <c r="H15" s="6"/>
      <c r="I15" s="6" t="s">
        <v>40</v>
      </c>
      <c r="J15" s="6" t="s">
        <v>41</v>
      </c>
    </row>
    <row r="16" spans="1:10" x14ac:dyDescent="0.25">
      <c r="A16" s="3" t="s">
        <v>42</v>
      </c>
      <c r="B16" s="4">
        <f>SUMIFS(MH_Master_List!$S$5:$S$61,MH_Master_List!$Z$5:$Z$61,$A16,MH_Master_List!$B$5:$B$61,"&lt;&gt;CTUIL",MH_Master_List!$V$5:$V$61,"1*")+SUMIFS(MH_Master_List!$S$5:$S$61,MH_Master_List!$Z$5:$Z$61,$A16,MH_Master_List!$B$5:$B$61,"&lt;&gt;CTUIL",MH_Master_List!$V$5:$V$61,"2*")</f>
        <v>225</v>
      </c>
      <c r="C16" s="4">
        <f>SUMIFS(MH_Master_List!$S$5:$S$61,MH_Master_List!$Z$5:$Z$61,$A16,MH_Master_List!$B$5:$B$61,"&lt;&gt;CTUIL",MH_Master_List!$V$5:$V$61,"3*")</f>
        <v>0</v>
      </c>
      <c r="D16" s="4">
        <f>SUMIFS(MH_Master_List!$S$5:$S$61,MH_Master_List!$Z$5:$Z$61,$A16,MH_Master_List!$B$5:$B$61,"&lt;&gt;CTUIL",MH_Master_List!$V$5:$V$61,"4*")</f>
        <v>0</v>
      </c>
      <c r="E16" s="4">
        <f>SUMIFS(MH_Master_List!$S$5:$S$61,MH_Master_List!$Z$5:$Z$61,$A16,MH_Master_List!$B$5:$B$61,"&lt;&gt;CTUIL",MH_Master_List!$V$5:$V$61,"5*")</f>
        <v>0</v>
      </c>
      <c r="F16" s="5">
        <f t="shared" si="0"/>
        <v>225</v>
      </c>
      <c r="G16" s="4">
        <f>SUMIFS(MH_Master_List!$I$5:$I$61,MH_Master_List!$Z$5:$Z$61,$A16,MH_Master_List!$B$5:$B$61,"&lt;&gt;CTUIL")</f>
        <v>25</v>
      </c>
      <c r="H16" s="6"/>
      <c r="I16" s="6" t="s">
        <v>43</v>
      </c>
      <c r="J16" s="6"/>
    </row>
    <row r="17" spans="1:10" x14ac:dyDescent="0.25">
      <c r="A17" s="3" t="s">
        <v>44</v>
      </c>
      <c r="B17" s="4">
        <f>SUMIFS(MH_Master_List!$S$5:$S$61,MH_Master_List!$Z$5:$Z$61,$A17,MH_Master_List!$B$5:$B$61,"&lt;&gt;CTUIL",MH_Master_List!$V$5:$V$61,"1*")+SUMIFS(MH_Master_List!$S$5:$S$61,MH_Master_List!$Z$5:$Z$61,$A17,MH_Master_List!$B$5:$B$61,"&lt;&gt;CTUIL",MH_Master_List!$V$5:$V$61,"2*")</f>
        <v>221</v>
      </c>
      <c r="C17" s="4">
        <f>SUMIFS(MH_Master_List!$S$5:$S$61,MH_Master_List!$Z$5:$Z$61,$A17,MH_Master_List!$B$5:$B$61,"&lt;&gt;CTUIL",MH_Master_List!$V$5:$V$61,"3*")</f>
        <v>0</v>
      </c>
      <c r="D17" s="4">
        <f>SUMIFS(MH_Master_List!$S$5:$S$61,MH_Master_List!$Z$5:$Z$61,$A17,MH_Master_List!$B$5:$B$61,"&lt;&gt;CTUIL",MH_Master_List!$V$5:$V$61,"4*")</f>
        <v>0</v>
      </c>
      <c r="E17" s="4">
        <f>SUMIFS(MH_Master_List!$S$5:$S$61,MH_Master_List!$Z$5:$Z$61,$A17,MH_Master_List!$B$5:$B$61,"&lt;&gt;CTUIL",MH_Master_List!$V$5:$V$61,"5*")</f>
        <v>0</v>
      </c>
      <c r="F17" s="5">
        <f t="shared" si="0"/>
        <v>221</v>
      </c>
      <c r="G17" s="4">
        <f>SUMIFS(MH_Master_List!$I$5:$I$61,MH_Master_List!$Z$5:$Z$61,$A17,MH_Master_List!$B$5:$B$61,"&lt;&gt;CTUIL")</f>
        <v>121</v>
      </c>
      <c r="H17" s="6"/>
      <c r="I17" s="6" t="s">
        <v>45</v>
      </c>
      <c r="J17" s="6"/>
    </row>
    <row r="18" spans="1:10" x14ac:dyDescent="0.25">
      <c r="A18" s="3" t="s">
        <v>46</v>
      </c>
      <c r="B18" s="4">
        <f>SUMIFS(MH_Master_List!$S$5:$S$61,MH_Master_List!$Z$5:$Z$61,$A18,MH_Master_List!$B$5:$B$61,"&lt;&gt;CTUIL",MH_Master_List!$V$5:$V$61,"1*")+SUMIFS(MH_Master_List!$S$5:$S$61,MH_Master_List!$Z$5:$Z$61,$A18,MH_Master_List!$B$5:$B$61,"&lt;&gt;CTUIL",MH_Master_List!$V$5:$V$61,"2*")</f>
        <v>0</v>
      </c>
      <c r="C18" s="4">
        <f>SUMIFS(MH_Master_List!$S$5:$S$61,MH_Master_List!$Z$5:$Z$61,$A18,MH_Master_List!$B$5:$B$61,"&lt;&gt;CTUIL",MH_Master_List!$V$5:$V$61,"3*")</f>
        <v>0</v>
      </c>
      <c r="D18" s="4">
        <f>SUMIFS(MH_Master_List!$S$5:$S$61,MH_Master_List!$Z$5:$Z$61,$A18,MH_Master_List!$B$5:$B$61,"&lt;&gt;CTUIL",MH_Master_List!$V$5:$V$61,"4*")</f>
        <v>0</v>
      </c>
      <c r="E18" s="4">
        <f>SUMIFS(MH_Master_List!$S$5:$S$61,MH_Master_List!$Z$5:$Z$61,$A18,MH_Master_List!$B$5:$B$61,"&lt;&gt;CTUIL",MH_Master_List!$V$5:$V$61,"5*")</f>
        <v>200</v>
      </c>
      <c r="F18" s="5">
        <f t="shared" si="0"/>
        <v>200</v>
      </c>
      <c r="G18" s="4">
        <f>SUMIFS(MH_Master_List!$I$5:$I$61,MH_Master_List!$Z$5:$Z$61,$A18,MH_Master_List!$B$5:$B$61,"&lt;&gt;CTUIL")</f>
        <v>0</v>
      </c>
      <c r="H18" s="6" t="s">
        <v>47</v>
      </c>
      <c r="I18" s="6" t="s">
        <v>48</v>
      </c>
      <c r="J18" s="6"/>
    </row>
    <row r="19" spans="1:10" x14ac:dyDescent="0.25">
      <c r="A19" s="3" t="s">
        <v>49</v>
      </c>
      <c r="B19" s="4">
        <f>SUMIFS(MH_Master_List!$S$5:$S$61,MH_Master_List!$Z$5:$Z$61,$A19,MH_Master_List!$B$5:$B$61,"&lt;&gt;CTUIL",MH_Master_List!$V$5:$V$61,"1*")+SUMIFS(MH_Master_List!$S$5:$S$61,MH_Master_List!$Z$5:$Z$61,$A19,MH_Master_List!$B$5:$B$61,"&lt;&gt;CTUIL",MH_Master_List!$V$5:$V$61,"2*")</f>
        <v>160</v>
      </c>
      <c r="C19" s="4">
        <f>SUMIFS(MH_Master_List!$S$5:$S$61,MH_Master_List!$Z$5:$Z$61,$A19,MH_Master_List!$B$5:$B$61,"&lt;&gt;CTUIL",MH_Master_List!$V$5:$V$61,"3*")</f>
        <v>0</v>
      </c>
      <c r="D19" s="4">
        <f>SUMIFS(MH_Master_List!$S$5:$S$61,MH_Master_List!$Z$5:$Z$61,$A19,MH_Master_List!$B$5:$B$61,"&lt;&gt;CTUIL",MH_Master_List!$V$5:$V$61,"4*")</f>
        <v>0</v>
      </c>
      <c r="E19" s="4">
        <f>SUMIFS(MH_Master_List!$S$5:$S$61,MH_Master_List!$Z$5:$Z$61,$A19,MH_Master_List!$B$5:$B$61,"&lt;&gt;CTUIL",MH_Master_List!$V$5:$V$61,"5*")</f>
        <v>0</v>
      </c>
      <c r="F19" s="5">
        <f t="shared" si="0"/>
        <v>160</v>
      </c>
      <c r="G19" s="4">
        <f>SUMIFS(MH_Master_List!$I$5:$I$61,MH_Master_List!$Z$5:$Z$61,$A19,MH_Master_List!$B$5:$B$61,"&lt;&gt;CTUIL")</f>
        <v>100</v>
      </c>
      <c r="H19" s="6"/>
      <c r="I19" s="6" t="s">
        <v>50</v>
      </c>
      <c r="J19" s="6"/>
    </row>
    <row r="20" spans="1:10" x14ac:dyDescent="0.25">
      <c r="A20" s="3" t="s">
        <v>51</v>
      </c>
      <c r="B20" s="4">
        <f>SUMIFS(MH_Master_List!$S$5:$S$61,MH_Master_List!$Z$5:$Z$61,$A20,MH_Master_List!$B$5:$B$61,"&lt;&gt;CTUIL",MH_Master_List!$V$5:$V$61,"1*")+SUMIFS(MH_Master_List!$S$5:$S$61,MH_Master_List!$Z$5:$Z$61,$A20,MH_Master_List!$B$5:$B$61,"&lt;&gt;CTUIL",MH_Master_List!$V$5:$V$61,"2*")</f>
        <v>120</v>
      </c>
      <c r="C20" s="4">
        <f>SUMIFS(MH_Master_List!$S$5:$S$61,MH_Master_List!$Z$5:$Z$61,$A20,MH_Master_List!$B$5:$B$61,"&lt;&gt;CTUIL",MH_Master_List!$V$5:$V$61,"3*")</f>
        <v>0</v>
      </c>
      <c r="D20" s="4">
        <f>SUMIFS(MH_Master_List!$S$5:$S$61,MH_Master_List!$Z$5:$Z$61,$A20,MH_Master_List!$B$5:$B$61,"&lt;&gt;CTUIL",MH_Master_List!$V$5:$V$61,"4*")</f>
        <v>0</v>
      </c>
      <c r="E20" s="4">
        <f>SUMIFS(MH_Master_List!$S$5:$S$61,MH_Master_List!$Z$5:$Z$61,$A20,MH_Master_List!$B$5:$B$61,"&lt;&gt;CTUIL",MH_Master_List!$V$5:$V$61,"5*")</f>
        <v>0</v>
      </c>
      <c r="F20" s="5">
        <f t="shared" si="0"/>
        <v>120</v>
      </c>
      <c r="G20" s="4">
        <f>SUMIFS(MH_Master_List!$I$5:$I$61,MH_Master_List!$Z$5:$Z$61,$A20,MH_Master_List!$B$5:$B$61,"&lt;&gt;CTUIL")</f>
        <v>18</v>
      </c>
      <c r="H20" s="6"/>
      <c r="I20" s="6" t="s">
        <v>52</v>
      </c>
      <c r="J20" s="6"/>
    </row>
    <row r="21" spans="1:10" x14ac:dyDescent="0.25">
      <c r="A21" s="3" t="s">
        <v>53</v>
      </c>
      <c r="B21" s="4">
        <f>SUMIFS(MH_Master_List!$S$5:$S$61,MH_Master_List!$Z$5:$Z$61,$A21,MH_Master_List!$B$5:$B$61,"&lt;&gt;CTUIL",MH_Master_List!$V$5:$V$61,"1*")+SUMIFS(MH_Master_List!$S$5:$S$61,MH_Master_List!$Z$5:$Z$61,$A21,MH_Master_List!$B$5:$B$61,"&lt;&gt;CTUIL",MH_Master_List!$V$5:$V$61,"2*")</f>
        <v>120</v>
      </c>
      <c r="C21" s="4">
        <f>SUMIFS(MH_Master_List!$S$5:$S$61,MH_Master_List!$Z$5:$Z$61,$A21,MH_Master_List!$B$5:$B$61,"&lt;&gt;CTUIL",MH_Master_List!$V$5:$V$61,"3*")</f>
        <v>0</v>
      </c>
      <c r="D21" s="4">
        <f>SUMIFS(MH_Master_List!$S$5:$S$61,MH_Master_List!$Z$5:$Z$61,$A21,MH_Master_List!$B$5:$B$61,"&lt;&gt;CTUIL",MH_Master_List!$V$5:$V$61,"4*")</f>
        <v>0</v>
      </c>
      <c r="E21" s="4">
        <f>SUMIFS(MH_Master_List!$S$5:$S$61,MH_Master_List!$Z$5:$Z$61,$A21,MH_Master_List!$B$5:$B$61,"&lt;&gt;CTUIL",MH_Master_List!$V$5:$V$61,"5*")</f>
        <v>0</v>
      </c>
      <c r="F21" s="5">
        <f t="shared" si="0"/>
        <v>120</v>
      </c>
      <c r="G21" s="4">
        <f>SUMIFS(MH_Master_List!$I$5:$I$61,MH_Master_List!$Z$5:$Z$61,$A21,MH_Master_List!$B$5:$B$61,"&lt;&gt;CTUIL")</f>
        <v>0</v>
      </c>
      <c r="H21" s="6"/>
      <c r="I21" s="6" t="s">
        <v>54</v>
      </c>
      <c r="J21" s="6"/>
    </row>
    <row r="22" spans="1:10" x14ac:dyDescent="0.25">
      <c r="A22" s="3" t="s">
        <v>55</v>
      </c>
      <c r="B22" s="4">
        <f>SUMIFS(MH_Master_List!$S$5:$S$61,MH_Master_List!$Z$5:$Z$61,$A22,MH_Master_List!$B$5:$B$61,"&lt;&gt;CTUIL",MH_Master_List!$V$5:$V$61,"1*")+SUMIFS(MH_Master_List!$S$5:$S$61,MH_Master_List!$Z$5:$Z$61,$A22,MH_Master_List!$B$5:$B$61,"&lt;&gt;CTUIL",MH_Master_List!$V$5:$V$61,"2*")</f>
        <v>0</v>
      </c>
      <c r="C22" s="4">
        <f>SUMIFS(MH_Master_List!$S$5:$S$61,MH_Master_List!$Z$5:$Z$61,$A22,MH_Master_List!$B$5:$B$61,"&lt;&gt;CTUIL",MH_Master_List!$V$5:$V$61,"3*")</f>
        <v>0</v>
      </c>
      <c r="D22" s="4">
        <f>SUMIFS(MH_Master_List!$S$5:$S$61,MH_Master_List!$Z$5:$Z$61,$A22,MH_Master_List!$B$5:$B$61,"&lt;&gt;CTUIL",MH_Master_List!$V$5:$V$61,"4*")</f>
        <v>113.9</v>
      </c>
      <c r="E22" s="4">
        <f>SUMIFS(MH_Master_List!$S$5:$S$61,MH_Master_List!$Z$5:$Z$61,$A22,MH_Master_List!$B$5:$B$61,"&lt;&gt;CTUIL",MH_Master_List!$V$5:$V$61,"5*")</f>
        <v>0</v>
      </c>
      <c r="F22" s="5">
        <f t="shared" si="0"/>
        <v>113.9</v>
      </c>
      <c r="G22" s="4">
        <f>SUMIFS(MH_Master_List!$I$5:$I$61,MH_Master_List!$Z$5:$Z$61,$A22,MH_Master_List!$B$5:$B$61,"&lt;&gt;CTUIL")</f>
        <v>0</v>
      </c>
      <c r="H22" s="6"/>
      <c r="I22" s="6" t="s">
        <v>56</v>
      </c>
      <c r="J22" s="6"/>
    </row>
    <row r="23" spans="1:10" x14ac:dyDescent="0.25">
      <c r="A23" s="3" t="s">
        <v>57</v>
      </c>
      <c r="B23" s="4">
        <f>SUMIFS(MH_Master_List!$S$5:$S$61,MH_Master_List!$Z$5:$Z$61,$A23,MH_Master_List!$B$5:$B$61,"&lt;&gt;CTUIL",MH_Master_List!$V$5:$V$61,"1*")+SUMIFS(MH_Master_List!$S$5:$S$61,MH_Master_List!$Z$5:$Z$61,$A23,MH_Master_List!$B$5:$B$61,"&lt;&gt;CTUIL",MH_Master_List!$V$5:$V$61,"2*")</f>
        <v>106</v>
      </c>
      <c r="C23" s="4">
        <f>SUMIFS(MH_Master_List!$S$5:$S$61,MH_Master_List!$Z$5:$Z$61,$A23,MH_Master_List!$B$5:$B$61,"&lt;&gt;CTUIL",MH_Master_List!$V$5:$V$61,"3*")</f>
        <v>0</v>
      </c>
      <c r="D23" s="4">
        <f>SUMIFS(MH_Master_List!$S$5:$S$61,MH_Master_List!$Z$5:$Z$61,$A23,MH_Master_List!$B$5:$B$61,"&lt;&gt;CTUIL",MH_Master_List!$V$5:$V$61,"4*")</f>
        <v>0</v>
      </c>
      <c r="E23" s="4">
        <f>SUMIFS(MH_Master_List!$S$5:$S$61,MH_Master_List!$Z$5:$Z$61,$A23,MH_Master_List!$B$5:$B$61,"&lt;&gt;CTUIL",MH_Master_List!$V$5:$V$61,"5*")</f>
        <v>0</v>
      </c>
      <c r="F23" s="5">
        <f t="shared" si="0"/>
        <v>106</v>
      </c>
      <c r="G23" s="4">
        <f>SUMIFS(MH_Master_List!$I$5:$I$61,MH_Master_List!$Z$5:$Z$61,$A23,MH_Master_List!$B$5:$B$61,"&lt;&gt;CTUIL")</f>
        <v>0</v>
      </c>
      <c r="H23" s="6"/>
      <c r="I23" s="6" t="s">
        <v>58</v>
      </c>
      <c r="J23" s="6"/>
    </row>
    <row r="24" spans="1:10" x14ac:dyDescent="0.25">
      <c r="A24" s="3" t="s">
        <v>59</v>
      </c>
      <c r="B24" s="4">
        <f>SUMIFS(MH_Master_List!$S$5:$S$61,MH_Master_List!$Z$5:$Z$61,$A24,MH_Master_List!$B$5:$B$61,"&lt;&gt;CTUIL",MH_Master_List!$V$5:$V$61,"1*")+SUMIFS(MH_Master_List!$S$5:$S$61,MH_Master_List!$Z$5:$Z$61,$A24,MH_Master_List!$B$5:$B$61,"&lt;&gt;CTUIL",MH_Master_List!$V$5:$V$61,"2*")</f>
        <v>60</v>
      </c>
      <c r="C24" s="4">
        <f>SUMIFS(MH_Master_List!$S$5:$S$61,MH_Master_List!$Z$5:$Z$61,$A24,MH_Master_List!$B$5:$B$61,"&lt;&gt;CTUIL",MH_Master_List!$V$5:$V$61,"3*")</f>
        <v>0</v>
      </c>
      <c r="D24" s="4">
        <f>SUMIFS(MH_Master_List!$S$5:$S$61,MH_Master_List!$Z$5:$Z$61,$A24,MH_Master_List!$B$5:$B$61,"&lt;&gt;CTUIL",MH_Master_List!$V$5:$V$61,"4*")</f>
        <v>0</v>
      </c>
      <c r="E24" s="4">
        <f>SUMIFS(MH_Master_List!$S$5:$S$61,MH_Master_List!$Z$5:$Z$61,$A24,MH_Master_List!$B$5:$B$61,"&lt;&gt;CTUIL",MH_Master_List!$V$5:$V$61,"5*")</f>
        <v>0</v>
      </c>
      <c r="F24" s="5">
        <f t="shared" si="0"/>
        <v>60</v>
      </c>
      <c r="G24" s="4">
        <f>SUMIFS(MH_Master_List!$I$5:$I$61,MH_Master_List!$Z$5:$Z$61,$A24,MH_Master_List!$B$5:$B$61,"&lt;&gt;CTUIL")</f>
        <v>10</v>
      </c>
      <c r="H24" s="6"/>
      <c r="I24" s="6" t="s">
        <v>60</v>
      </c>
      <c r="J24" s="6"/>
    </row>
    <row r="25" spans="1:10" x14ac:dyDescent="0.25">
      <c r="A25" s="3" t="s">
        <v>61</v>
      </c>
      <c r="B25" s="4">
        <f>SUMIFS(MH_Master_List!$S$5:$S$61,MH_Master_List!$Z$5:$Z$61,$A25,MH_Master_List!$B$5:$B$61,"&lt;&gt;CTUIL",MH_Master_List!$V$5:$V$61,"1*")+SUMIFS(MH_Master_List!$S$5:$S$61,MH_Master_List!$Z$5:$Z$61,$A25,MH_Master_List!$B$5:$B$61,"&lt;&gt;CTUIL",MH_Master_List!$V$5:$V$61,"2*")</f>
        <v>52</v>
      </c>
      <c r="C25" s="4">
        <f>SUMIFS(MH_Master_List!$S$5:$S$61,MH_Master_List!$Z$5:$Z$61,$A25,MH_Master_List!$B$5:$B$61,"&lt;&gt;CTUIL",MH_Master_List!$V$5:$V$61,"3*")</f>
        <v>0</v>
      </c>
      <c r="D25" s="4">
        <f>SUMIFS(MH_Master_List!$S$5:$S$61,MH_Master_List!$Z$5:$Z$61,$A25,MH_Master_List!$B$5:$B$61,"&lt;&gt;CTUIL",MH_Master_List!$V$5:$V$61,"4*")</f>
        <v>0</v>
      </c>
      <c r="E25" s="4">
        <f>SUMIFS(MH_Master_List!$S$5:$S$61,MH_Master_List!$Z$5:$Z$61,$A25,MH_Master_List!$B$5:$B$61,"&lt;&gt;CTUIL",MH_Master_List!$V$5:$V$61,"5*")</f>
        <v>0</v>
      </c>
      <c r="F25" s="5">
        <f t="shared" si="0"/>
        <v>52</v>
      </c>
      <c r="G25" s="4">
        <f>SUMIFS(MH_Master_List!$I$5:$I$61,MH_Master_List!$Z$5:$Z$61,$A25,MH_Master_List!$B$5:$B$61,"&lt;&gt;CTUIL")</f>
        <v>0</v>
      </c>
      <c r="H25" s="6"/>
      <c r="I25" s="6" t="s">
        <v>62</v>
      </c>
      <c r="J25" s="6"/>
    </row>
    <row r="26" spans="1:10" x14ac:dyDescent="0.25">
      <c r="A26" s="3" t="s">
        <v>63</v>
      </c>
      <c r="B26" s="4">
        <f>SUMIFS(MH_Master_List!$S$5:$S$61,MH_Master_List!$Z$5:$Z$61,$A26,MH_Master_List!$B$5:$B$61,"&lt;&gt;CTUIL",MH_Master_List!$V$5:$V$61,"1*")+SUMIFS(MH_Master_List!$S$5:$S$61,MH_Master_List!$Z$5:$Z$61,$A26,MH_Master_List!$B$5:$B$61,"&lt;&gt;CTUIL",MH_Master_List!$V$5:$V$61,"2*")</f>
        <v>50</v>
      </c>
      <c r="C26" s="4">
        <f>SUMIFS(MH_Master_List!$S$5:$S$61,MH_Master_List!$Z$5:$Z$61,$A26,MH_Master_List!$B$5:$B$61,"&lt;&gt;CTUIL",MH_Master_List!$V$5:$V$61,"3*")</f>
        <v>0</v>
      </c>
      <c r="D26" s="4">
        <f>SUMIFS(MH_Master_List!$S$5:$S$61,MH_Master_List!$Z$5:$Z$61,$A26,MH_Master_List!$B$5:$B$61,"&lt;&gt;CTUIL",MH_Master_List!$V$5:$V$61,"4*")</f>
        <v>0</v>
      </c>
      <c r="E26" s="4">
        <f>SUMIFS(MH_Master_List!$S$5:$S$61,MH_Master_List!$Z$5:$Z$61,$A26,MH_Master_List!$B$5:$B$61,"&lt;&gt;CTUIL",MH_Master_List!$V$5:$V$61,"5*")</f>
        <v>0</v>
      </c>
      <c r="F26" s="5">
        <f t="shared" si="0"/>
        <v>50</v>
      </c>
      <c r="G26" s="4">
        <f>SUMIFS(MH_Master_List!$I$5:$I$61,MH_Master_List!$Z$5:$Z$61,$A26,MH_Master_List!$B$5:$B$61,"&lt;&gt;CTUIL")</f>
        <v>0</v>
      </c>
      <c r="H26" s="6"/>
      <c r="I26" s="6" t="s">
        <v>64</v>
      </c>
      <c r="J26" s="6"/>
    </row>
    <row r="27" spans="1:10" x14ac:dyDescent="0.25">
      <c r="A27" s="3" t="s">
        <v>65</v>
      </c>
      <c r="B27" s="4">
        <f>SUMIFS(MH_Master_List!$S$5:$S$61,MH_Master_List!$Z$5:$Z$61,$A27,MH_Master_List!$B$5:$B$61,"&lt;&gt;CTUIL",MH_Master_List!$V$5:$V$61,"1*")+SUMIFS(MH_Master_List!$S$5:$S$61,MH_Master_List!$Z$5:$Z$61,$A27,MH_Master_List!$B$5:$B$61,"&lt;&gt;CTUIL",MH_Master_List!$V$5:$V$61,"2*")</f>
        <v>32</v>
      </c>
      <c r="C27" s="4">
        <f>SUMIFS(MH_Master_List!$S$5:$S$61,MH_Master_List!$Z$5:$Z$61,$A27,MH_Master_List!$B$5:$B$61,"&lt;&gt;CTUIL",MH_Master_List!$V$5:$V$61,"3*")</f>
        <v>0</v>
      </c>
      <c r="D27" s="4">
        <f>SUMIFS(MH_Master_List!$S$5:$S$61,MH_Master_List!$Z$5:$Z$61,$A27,MH_Master_List!$B$5:$B$61,"&lt;&gt;CTUIL",MH_Master_List!$V$5:$V$61,"4*")</f>
        <v>0</v>
      </c>
      <c r="E27" s="4">
        <f>SUMIFS(MH_Master_List!$S$5:$S$61,MH_Master_List!$Z$5:$Z$61,$A27,MH_Master_List!$B$5:$B$61,"&lt;&gt;CTUIL",MH_Master_List!$V$5:$V$61,"5*")</f>
        <v>0</v>
      </c>
      <c r="F27" s="5">
        <f t="shared" si="0"/>
        <v>32</v>
      </c>
      <c r="G27" s="4">
        <f>SUMIFS(MH_Master_List!$I$5:$I$61,MH_Master_List!$Z$5:$Z$61,$A27,MH_Master_List!$B$5:$B$61,"&lt;&gt;CTUIL")</f>
        <v>32</v>
      </c>
      <c r="H27" s="6"/>
      <c r="I27" s="6" t="s">
        <v>66</v>
      </c>
      <c r="J27" s="6"/>
    </row>
    <row r="28" spans="1:10" x14ac:dyDescent="0.25">
      <c r="A28" s="7" t="s">
        <v>67</v>
      </c>
      <c r="B28" s="8">
        <f t="shared" ref="B28:G28" si="1">SUM(B5:B27)</f>
        <v>6525</v>
      </c>
      <c r="C28" s="8">
        <f t="shared" si="1"/>
        <v>1500</v>
      </c>
      <c r="D28" s="8">
        <f t="shared" si="1"/>
        <v>113.9</v>
      </c>
      <c r="E28" s="8">
        <f t="shared" si="1"/>
        <v>4450</v>
      </c>
      <c r="F28" s="8">
        <f t="shared" si="1"/>
        <v>12588.9</v>
      </c>
      <c r="G28" s="8">
        <f t="shared" si="1"/>
        <v>685</v>
      </c>
    </row>
    <row r="30" spans="1:10" x14ac:dyDescent="0.25">
      <c r="A30" s="7" t="s">
        <v>68</v>
      </c>
      <c r="B30" s="8">
        <f>SUMIFS(MH_Master_List!$S$5:$S$61,MH_Master_List!$B$5:$B$61,"&lt;&gt;CTUIL")</f>
        <v>12588.9</v>
      </c>
    </row>
    <row r="31" spans="1:10" x14ac:dyDescent="0.25">
      <c r="A31" s="7" t="s">
        <v>69</v>
      </c>
      <c r="B31" s="8">
        <f>F28-B30</f>
        <v>0</v>
      </c>
    </row>
    <row r="32" spans="1:10" x14ac:dyDescent="0.25">
      <c r="A32" s="7" t="s">
        <v>70</v>
      </c>
      <c r="B32" s="8">
        <f>SUMIFS(MH_Master_List!$S$5:$S$61,MH_Master_List!$B$5:$B$61,"CTUIL")</f>
        <v>2068</v>
      </c>
    </row>
    <row r="33" spans="1:2" x14ac:dyDescent="0.25">
      <c r="A33" s="7" t="s">
        <v>71</v>
      </c>
      <c r="B33" s="8">
        <f>SUM(MH_Master_List!$S$5:$S$61)</f>
        <v>14656.9</v>
      </c>
    </row>
    <row r="35" spans="1:2" x14ac:dyDescent="0.25">
      <c r="A35" s="9" t="s">
        <v>72</v>
      </c>
    </row>
    <row r="36" spans="1:2" x14ac:dyDescent="0.25">
      <c r="A36" s="9" t="s">
        <v>73</v>
      </c>
    </row>
  </sheetData>
  <mergeCells count="1">
    <mergeCell ref="A2:J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3"/>
  <sheetViews>
    <sheetView workbookViewId="0">
      <pane xSplit="4" ySplit="4" topLeftCell="E5" activePane="bottomRight" state="frozen"/>
      <selection pane="topRight"/>
      <selection pane="bottomLeft"/>
      <selection pane="bottomRight"/>
    </sheetView>
  </sheetViews>
  <sheetFormatPr defaultRowHeight="15" x14ac:dyDescent="0.25"/>
  <cols>
    <col min="1" max="1" width="5" customWidth="1"/>
    <col min="2" max="2" width="8" customWidth="1"/>
    <col min="3" max="3" width="22" customWidth="1"/>
    <col min="4" max="4" width="26" customWidth="1"/>
    <col min="5" max="5" width="28" customWidth="1"/>
    <col min="6" max="6" width="15" customWidth="1"/>
    <col min="7" max="7" width="24" customWidth="1"/>
    <col min="8" max="8" width="9" customWidth="1"/>
    <col min="9" max="13" width="13" customWidth="1"/>
    <col min="14" max="14" width="28" customWidth="1"/>
    <col min="15" max="15" width="6" customWidth="1"/>
    <col min="16" max="16" width="9" customWidth="1"/>
    <col min="17" max="17" width="22" customWidth="1"/>
    <col min="18" max="18" width="34" customWidth="1"/>
    <col min="19" max="19" width="10" customWidth="1"/>
    <col min="20" max="20" width="11" customWidth="1"/>
    <col min="21" max="21" width="10" customWidth="1"/>
    <col min="22" max="22" width="22" customWidth="1"/>
    <col min="23" max="23" width="26" customWidth="1"/>
    <col min="24" max="24" width="13" customWidth="1"/>
    <col min="25" max="25" width="46" customWidth="1"/>
    <col min="26" max="26" width="13" customWidth="1"/>
  </cols>
  <sheetData>
    <row r="1" spans="1:26" ht="16.5" x14ac:dyDescent="0.25">
      <c r="A1" s="1" t="s">
        <v>74</v>
      </c>
    </row>
    <row r="2" spans="1:26" ht="44.1" customHeight="1" x14ac:dyDescent="0.25">
      <c r="A2" s="17" t="s">
        <v>75</v>
      </c>
      <c r="B2" s="18"/>
      <c r="C2" s="18"/>
      <c r="D2" s="18"/>
      <c r="E2" s="18"/>
      <c r="F2" s="18"/>
      <c r="G2" s="18"/>
      <c r="H2" s="18"/>
      <c r="I2" s="18"/>
      <c r="J2" s="18"/>
      <c r="K2" s="18"/>
      <c r="L2" s="18"/>
      <c r="M2" s="18"/>
      <c r="N2" s="18"/>
      <c r="O2" s="18"/>
      <c r="P2" s="18"/>
      <c r="Q2" s="18"/>
      <c r="R2" s="18"/>
      <c r="S2" s="18"/>
      <c r="T2" s="18"/>
      <c r="U2" s="18"/>
      <c r="V2" s="18"/>
      <c r="W2" s="18"/>
      <c r="X2" s="18"/>
      <c r="Y2" s="18"/>
    </row>
    <row r="4" spans="1:26" ht="48" customHeight="1" x14ac:dyDescent="0.25">
      <c r="A4" s="10" t="s">
        <v>76</v>
      </c>
      <c r="B4" s="10" t="s">
        <v>77</v>
      </c>
      <c r="C4" s="10" t="s">
        <v>2</v>
      </c>
      <c r="D4" s="10" t="s">
        <v>78</v>
      </c>
      <c r="E4" s="10" t="s">
        <v>79</v>
      </c>
      <c r="F4" s="10" t="s">
        <v>80</v>
      </c>
      <c r="G4" s="10" t="s">
        <v>81</v>
      </c>
      <c r="H4" s="10" t="s">
        <v>82</v>
      </c>
      <c r="I4" s="10" t="s">
        <v>83</v>
      </c>
      <c r="J4" s="10" t="s">
        <v>84</v>
      </c>
      <c r="K4" s="10" t="s">
        <v>85</v>
      </c>
      <c r="L4" s="10" t="s">
        <v>86</v>
      </c>
      <c r="M4" s="10" t="s">
        <v>87</v>
      </c>
      <c r="N4" s="10" t="s">
        <v>88</v>
      </c>
      <c r="O4" s="10" t="s">
        <v>89</v>
      </c>
      <c r="P4" s="10" t="s">
        <v>90</v>
      </c>
      <c r="Q4" s="10" t="s">
        <v>91</v>
      </c>
      <c r="R4" s="10" t="s">
        <v>92</v>
      </c>
      <c r="S4" s="10" t="s">
        <v>93</v>
      </c>
      <c r="T4" s="10" t="s">
        <v>94</v>
      </c>
      <c r="U4" s="10" t="s">
        <v>95</v>
      </c>
      <c r="V4" s="10" t="s">
        <v>96</v>
      </c>
      <c r="W4" s="10" t="s">
        <v>97</v>
      </c>
      <c r="X4" s="10" t="s">
        <v>98</v>
      </c>
      <c r="Y4" s="10" t="s">
        <v>99</v>
      </c>
      <c r="Z4" s="11" t="s">
        <v>100</v>
      </c>
    </row>
    <row r="5" spans="1:26" ht="108" x14ac:dyDescent="0.25">
      <c r="A5" s="12" t="s">
        <v>101</v>
      </c>
      <c r="B5" s="12" t="s">
        <v>102</v>
      </c>
      <c r="C5" s="12" t="s">
        <v>44</v>
      </c>
      <c r="D5" s="12" t="s">
        <v>103</v>
      </c>
      <c r="E5" s="12" t="s">
        <v>104</v>
      </c>
      <c r="F5" s="12" t="s">
        <v>105</v>
      </c>
      <c r="G5" s="12" t="s">
        <v>106</v>
      </c>
      <c r="H5" s="13">
        <v>35</v>
      </c>
      <c r="I5" s="13">
        <v>35</v>
      </c>
      <c r="J5" s="13">
        <v>2.2799999999999998</v>
      </c>
      <c r="K5" s="13"/>
      <c r="L5" s="13"/>
      <c r="M5" s="13"/>
      <c r="N5" s="12"/>
      <c r="O5" s="12"/>
      <c r="P5" s="13"/>
      <c r="Q5" s="12"/>
      <c r="R5" s="12" t="s">
        <v>107</v>
      </c>
      <c r="S5" s="14">
        <f t="shared" ref="S5:S36" si="0">IF(N(H5)&gt;0,H5,IF(N(K5)+N(L5)&gt;0,N(K5)+N(L5),IF(AND(N(M5)&gt;0,OR(O5="A1",O5="A2")),M5,0)))</f>
        <v>35</v>
      </c>
      <c r="T5" s="12" t="str">
        <f t="shared" ref="T5:T36" si="1">IF(N(H5)&gt;0,"SLDC",IF(N(K5)+N(L5)&gt;0,"CTUIL",IF(S5&gt;0,"Other official",IF(N(P5)&gt;0,"Unverified","No MW"))))</f>
        <v>SLDC</v>
      </c>
      <c r="U5" s="13">
        <f t="shared" ref="U5:U36" si="2">IF(S5&gt;0,S5,N(P5))</f>
        <v>35</v>
      </c>
      <c r="V5" s="12" t="s">
        <v>108</v>
      </c>
      <c r="W5" s="15" t="s">
        <v>109</v>
      </c>
      <c r="X5" s="15" t="s">
        <v>110</v>
      </c>
      <c r="Y5" s="12" t="s">
        <v>111</v>
      </c>
      <c r="Z5" s="16" t="s">
        <v>44</v>
      </c>
    </row>
    <row r="6" spans="1:26" ht="108" x14ac:dyDescent="0.25">
      <c r="A6" s="12" t="s">
        <v>112</v>
      </c>
      <c r="B6" s="12" t="s">
        <v>102</v>
      </c>
      <c r="C6" s="12" t="s">
        <v>113</v>
      </c>
      <c r="D6" s="12" t="s">
        <v>114</v>
      </c>
      <c r="E6" s="12" t="s">
        <v>115</v>
      </c>
      <c r="F6" s="12" t="s">
        <v>105</v>
      </c>
      <c r="G6" s="12" t="s">
        <v>116</v>
      </c>
      <c r="H6" s="13">
        <v>90</v>
      </c>
      <c r="I6" s="13">
        <v>35</v>
      </c>
      <c r="J6" s="13">
        <v>5</v>
      </c>
      <c r="K6" s="13"/>
      <c r="L6" s="13"/>
      <c r="M6" s="13"/>
      <c r="N6" s="12"/>
      <c r="O6" s="12"/>
      <c r="P6" s="13">
        <v>62</v>
      </c>
      <c r="Q6" s="12" t="s">
        <v>117</v>
      </c>
      <c r="R6" s="12" t="s">
        <v>118</v>
      </c>
      <c r="S6" s="14">
        <f t="shared" si="0"/>
        <v>90</v>
      </c>
      <c r="T6" s="12" t="str">
        <f t="shared" si="1"/>
        <v>SLDC</v>
      </c>
      <c r="U6" s="13">
        <f t="shared" si="2"/>
        <v>90</v>
      </c>
      <c r="V6" s="12" t="s">
        <v>108</v>
      </c>
      <c r="W6" s="15" t="s">
        <v>119</v>
      </c>
      <c r="X6" s="15" t="s">
        <v>120</v>
      </c>
      <c r="Y6" s="12" t="s">
        <v>121</v>
      </c>
      <c r="Z6" s="16" t="s">
        <v>12</v>
      </c>
    </row>
    <row r="7" spans="1:26" ht="72" x14ac:dyDescent="0.25">
      <c r="A7" s="12" t="s">
        <v>66</v>
      </c>
      <c r="B7" s="12" t="s">
        <v>102</v>
      </c>
      <c r="C7" s="12" t="s">
        <v>65</v>
      </c>
      <c r="D7" s="12" t="s">
        <v>122</v>
      </c>
      <c r="E7" s="12" t="s">
        <v>123</v>
      </c>
      <c r="F7" s="12" t="s">
        <v>105</v>
      </c>
      <c r="G7" s="12" t="s">
        <v>124</v>
      </c>
      <c r="H7" s="13">
        <v>32</v>
      </c>
      <c r="I7" s="13">
        <v>32</v>
      </c>
      <c r="J7" s="13">
        <v>10.93</v>
      </c>
      <c r="K7" s="13"/>
      <c r="L7" s="13"/>
      <c r="M7" s="13"/>
      <c r="N7" s="12"/>
      <c r="O7" s="12"/>
      <c r="P7" s="13"/>
      <c r="Q7" s="12"/>
      <c r="R7" s="12" t="s">
        <v>125</v>
      </c>
      <c r="S7" s="14">
        <f t="shared" si="0"/>
        <v>32</v>
      </c>
      <c r="T7" s="12" t="str">
        <f t="shared" si="1"/>
        <v>SLDC</v>
      </c>
      <c r="U7" s="13">
        <f t="shared" si="2"/>
        <v>32</v>
      </c>
      <c r="V7" s="12" t="s">
        <v>108</v>
      </c>
      <c r="W7" s="15" t="s">
        <v>126</v>
      </c>
      <c r="X7" s="15" t="s">
        <v>127</v>
      </c>
      <c r="Y7" s="12" t="s">
        <v>128</v>
      </c>
      <c r="Z7" s="16" t="s">
        <v>65</v>
      </c>
    </row>
    <row r="8" spans="1:26" ht="132" x14ac:dyDescent="0.25">
      <c r="A8" s="12" t="s">
        <v>52</v>
      </c>
      <c r="B8" s="12" t="s">
        <v>102</v>
      </c>
      <c r="C8" s="12" t="s">
        <v>51</v>
      </c>
      <c r="D8" s="12" t="s">
        <v>129</v>
      </c>
      <c r="E8" s="12" t="s">
        <v>130</v>
      </c>
      <c r="F8" s="12" t="s">
        <v>105</v>
      </c>
      <c r="G8" s="12" t="s">
        <v>131</v>
      </c>
      <c r="H8" s="13">
        <v>120</v>
      </c>
      <c r="I8" s="13">
        <v>18</v>
      </c>
      <c r="J8" s="13">
        <v>9</v>
      </c>
      <c r="K8" s="13"/>
      <c r="L8" s="13"/>
      <c r="M8" s="13">
        <v>135</v>
      </c>
      <c r="N8" s="12" t="s">
        <v>132</v>
      </c>
      <c r="O8" s="12" t="s">
        <v>133</v>
      </c>
      <c r="P8" s="13">
        <v>135</v>
      </c>
      <c r="Q8" s="12" t="s">
        <v>134</v>
      </c>
      <c r="R8" s="12" t="s">
        <v>135</v>
      </c>
      <c r="S8" s="14">
        <f t="shared" si="0"/>
        <v>120</v>
      </c>
      <c r="T8" s="12" t="str">
        <f t="shared" si="1"/>
        <v>SLDC</v>
      </c>
      <c r="U8" s="13">
        <f t="shared" si="2"/>
        <v>120</v>
      </c>
      <c r="V8" s="12" t="s">
        <v>108</v>
      </c>
      <c r="W8" s="15" t="s">
        <v>119</v>
      </c>
      <c r="X8" s="15" t="s">
        <v>136</v>
      </c>
      <c r="Y8" s="12" t="s">
        <v>137</v>
      </c>
      <c r="Z8" s="16" t="s">
        <v>51</v>
      </c>
    </row>
    <row r="9" spans="1:26" ht="108" x14ac:dyDescent="0.25">
      <c r="A9" s="12" t="s">
        <v>60</v>
      </c>
      <c r="B9" s="12" t="s">
        <v>102</v>
      </c>
      <c r="C9" s="12" t="s">
        <v>59</v>
      </c>
      <c r="D9" s="12" t="s">
        <v>138</v>
      </c>
      <c r="E9" s="12" t="s">
        <v>139</v>
      </c>
      <c r="F9" s="12" t="s">
        <v>105</v>
      </c>
      <c r="G9" s="12" t="s">
        <v>140</v>
      </c>
      <c r="H9" s="13">
        <v>60</v>
      </c>
      <c r="I9" s="13">
        <v>10</v>
      </c>
      <c r="J9" s="13">
        <v>1.2</v>
      </c>
      <c r="K9" s="13"/>
      <c r="L9" s="13"/>
      <c r="M9" s="13"/>
      <c r="N9" s="12"/>
      <c r="O9" s="12"/>
      <c r="P9" s="13">
        <v>148</v>
      </c>
      <c r="Q9" s="12" t="s">
        <v>141</v>
      </c>
      <c r="R9" s="12" t="s">
        <v>142</v>
      </c>
      <c r="S9" s="14">
        <f t="shared" si="0"/>
        <v>60</v>
      </c>
      <c r="T9" s="12" t="str">
        <f t="shared" si="1"/>
        <v>SLDC</v>
      </c>
      <c r="U9" s="13">
        <f t="shared" si="2"/>
        <v>60</v>
      </c>
      <c r="V9" s="12" t="s">
        <v>108</v>
      </c>
      <c r="W9" s="15" t="s">
        <v>119</v>
      </c>
      <c r="X9" s="15" t="s">
        <v>143</v>
      </c>
      <c r="Y9" s="12" t="s">
        <v>144</v>
      </c>
      <c r="Z9" s="16" t="s">
        <v>59</v>
      </c>
    </row>
    <row r="10" spans="1:26" ht="48" x14ac:dyDescent="0.25">
      <c r="A10" s="12" t="s">
        <v>145</v>
      </c>
      <c r="B10" s="12" t="s">
        <v>102</v>
      </c>
      <c r="C10" s="12" t="s">
        <v>30</v>
      </c>
      <c r="D10" s="12" t="s">
        <v>146</v>
      </c>
      <c r="E10" s="12" t="s">
        <v>147</v>
      </c>
      <c r="F10" s="12" t="s">
        <v>105</v>
      </c>
      <c r="G10" s="12" t="s">
        <v>148</v>
      </c>
      <c r="H10" s="13">
        <v>295</v>
      </c>
      <c r="I10" s="13">
        <v>70</v>
      </c>
      <c r="J10" s="13">
        <v>43</v>
      </c>
      <c r="K10" s="13"/>
      <c r="L10" s="13"/>
      <c r="M10" s="13"/>
      <c r="N10" s="12"/>
      <c r="O10" s="12"/>
      <c r="P10" s="13">
        <v>214</v>
      </c>
      <c r="Q10" s="12" t="s">
        <v>149</v>
      </c>
      <c r="R10" s="12" t="s">
        <v>150</v>
      </c>
      <c r="S10" s="14">
        <f t="shared" si="0"/>
        <v>295</v>
      </c>
      <c r="T10" s="12" t="str">
        <f t="shared" si="1"/>
        <v>SLDC</v>
      </c>
      <c r="U10" s="13">
        <f t="shared" si="2"/>
        <v>295</v>
      </c>
      <c r="V10" s="12" t="s">
        <v>108</v>
      </c>
      <c r="W10" s="15" t="s">
        <v>151</v>
      </c>
      <c r="X10" s="15" t="s">
        <v>152</v>
      </c>
      <c r="Y10" s="12" t="s">
        <v>153</v>
      </c>
      <c r="Z10" s="16" t="s">
        <v>30</v>
      </c>
    </row>
    <row r="11" spans="1:26" ht="96" x14ac:dyDescent="0.25">
      <c r="A11" s="12" t="s">
        <v>154</v>
      </c>
      <c r="B11" s="12" t="s">
        <v>102</v>
      </c>
      <c r="C11" s="12" t="s">
        <v>42</v>
      </c>
      <c r="D11" s="12" t="s">
        <v>155</v>
      </c>
      <c r="E11" s="12" t="s">
        <v>156</v>
      </c>
      <c r="F11" s="12" t="s">
        <v>105</v>
      </c>
      <c r="G11" s="12" t="s">
        <v>157</v>
      </c>
      <c r="H11" s="13">
        <v>35</v>
      </c>
      <c r="I11" s="13">
        <v>25</v>
      </c>
      <c r="J11" s="13">
        <v>0.97</v>
      </c>
      <c r="K11" s="13"/>
      <c r="L11" s="13"/>
      <c r="M11" s="13"/>
      <c r="N11" s="12"/>
      <c r="O11" s="12"/>
      <c r="P11" s="13"/>
      <c r="Q11" s="12"/>
      <c r="R11" s="12" t="s">
        <v>158</v>
      </c>
      <c r="S11" s="14">
        <f t="shared" si="0"/>
        <v>35</v>
      </c>
      <c r="T11" s="12" t="str">
        <f t="shared" si="1"/>
        <v>SLDC</v>
      </c>
      <c r="U11" s="13">
        <f t="shared" si="2"/>
        <v>35</v>
      </c>
      <c r="V11" s="12" t="s">
        <v>108</v>
      </c>
      <c r="W11" s="15" t="s">
        <v>126</v>
      </c>
      <c r="X11" s="15" t="s">
        <v>159</v>
      </c>
      <c r="Y11" s="12" t="s">
        <v>160</v>
      </c>
      <c r="Z11" s="16" t="s">
        <v>42</v>
      </c>
    </row>
    <row r="12" spans="1:26" ht="96" x14ac:dyDescent="0.25">
      <c r="A12" s="12" t="s">
        <v>161</v>
      </c>
      <c r="B12" s="12" t="s">
        <v>102</v>
      </c>
      <c r="C12" s="12" t="s">
        <v>32</v>
      </c>
      <c r="D12" s="12" t="s">
        <v>162</v>
      </c>
      <c r="E12" s="12" t="s">
        <v>163</v>
      </c>
      <c r="F12" s="12" t="s">
        <v>105</v>
      </c>
      <c r="G12" s="12" t="s">
        <v>164</v>
      </c>
      <c r="H12" s="13">
        <v>250</v>
      </c>
      <c r="I12" s="13">
        <v>36</v>
      </c>
      <c r="J12" s="13">
        <v>0.42</v>
      </c>
      <c r="K12" s="13"/>
      <c r="L12" s="13"/>
      <c r="M12" s="13"/>
      <c r="N12" s="12"/>
      <c r="O12" s="12"/>
      <c r="P12" s="13"/>
      <c r="Q12" s="12"/>
      <c r="R12" s="12" t="s">
        <v>165</v>
      </c>
      <c r="S12" s="14">
        <f t="shared" si="0"/>
        <v>250</v>
      </c>
      <c r="T12" s="12" t="str">
        <f t="shared" si="1"/>
        <v>SLDC</v>
      </c>
      <c r="U12" s="13">
        <f t="shared" si="2"/>
        <v>250</v>
      </c>
      <c r="V12" s="12" t="s">
        <v>108</v>
      </c>
      <c r="W12" s="15" t="s">
        <v>151</v>
      </c>
      <c r="X12" s="15" t="s">
        <v>159</v>
      </c>
      <c r="Y12" s="12" t="s">
        <v>166</v>
      </c>
      <c r="Z12" s="16" t="s">
        <v>32</v>
      </c>
    </row>
    <row r="13" spans="1:26" ht="84" x14ac:dyDescent="0.25">
      <c r="A13" s="12" t="s">
        <v>167</v>
      </c>
      <c r="B13" s="12" t="s">
        <v>102</v>
      </c>
      <c r="C13" s="12" t="s">
        <v>32</v>
      </c>
      <c r="D13" s="12" t="s">
        <v>168</v>
      </c>
      <c r="E13" s="12" t="s">
        <v>169</v>
      </c>
      <c r="F13" s="12" t="s">
        <v>105</v>
      </c>
      <c r="G13" s="12" t="s">
        <v>131</v>
      </c>
      <c r="H13" s="13">
        <v>285</v>
      </c>
      <c r="I13" s="13">
        <v>35</v>
      </c>
      <c r="J13" s="13">
        <v>7</v>
      </c>
      <c r="K13" s="13"/>
      <c r="L13" s="13"/>
      <c r="M13" s="13"/>
      <c r="N13" s="12"/>
      <c r="O13" s="12"/>
      <c r="P13" s="13"/>
      <c r="Q13" s="12"/>
      <c r="R13" s="12" t="s">
        <v>170</v>
      </c>
      <c r="S13" s="14">
        <f t="shared" si="0"/>
        <v>285</v>
      </c>
      <c r="T13" s="12" t="str">
        <f t="shared" si="1"/>
        <v>SLDC</v>
      </c>
      <c r="U13" s="13">
        <f t="shared" si="2"/>
        <v>285</v>
      </c>
      <c r="V13" s="12" t="s">
        <v>108</v>
      </c>
      <c r="W13" s="15" t="s">
        <v>151</v>
      </c>
      <c r="X13" s="15" t="s">
        <v>171</v>
      </c>
      <c r="Y13" s="12" t="s">
        <v>172</v>
      </c>
      <c r="Z13" s="16" t="s">
        <v>32</v>
      </c>
    </row>
    <row r="14" spans="1:26" ht="48" x14ac:dyDescent="0.25">
      <c r="A14" s="12" t="s">
        <v>173</v>
      </c>
      <c r="B14" s="12" t="s">
        <v>102</v>
      </c>
      <c r="C14" s="12" t="s">
        <v>28</v>
      </c>
      <c r="D14" s="12" t="s">
        <v>174</v>
      </c>
      <c r="E14" s="12" t="s">
        <v>104</v>
      </c>
      <c r="F14" s="12" t="s">
        <v>105</v>
      </c>
      <c r="G14" s="12" t="s">
        <v>175</v>
      </c>
      <c r="H14" s="13">
        <v>90</v>
      </c>
      <c r="I14" s="13">
        <v>25</v>
      </c>
      <c r="J14" s="13">
        <v>23.19</v>
      </c>
      <c r="K14" s="13"/>
      <c r="L14" s="13"/>
      <c r="M14" s="13"/>
      <c r="N14" s="12"/>
      <c r="O14" s="12"/>
      <c r="P14" s="13"/>
      <c r="Q14" s="12"/>
      <c r="R14" s="12"/>
      <c r="S14" s="14">
        <f t="shared" si="0"/>
        <v>90</v>
      </c>
      <c r="T14" s="12" t="str">
        <f t="shared" si="1"/>
        <v>SLDC</v>
      </c>
      <c r="U14" s="13">
        <f t="shared" si="2"/>
        <v>90</v>
      </c>
      <c r="V14" s="12" t="s">
        <v>108</v>
      </c>
      <c r="W14" s="15" t="s">
        <v>109</v>
      </c>
      <c r="X14" s="12"/>
      <c r="Y14" s="12" t="s">
        <v>176</v>
      </c>
      <c r="Z14" s="16" t="s">
        <v>28</v>
      </c>
    </row>
    <row r="15" spans="1:26" ht="108" x14ac:dyDescent="0.25">
      <c r="A15" s="12" t="s">
        <v>177</v>
      </c>
      <c r="B15" s="12" t="s">
        <v>102</v>
      </c>
      <c r="C15" s="12" t="s">
        <v>28</v>
      </c>
      <c r="D15" s="12" t="s">
        <v>178</v>
      </c>
      <c r="E15" s="12" t="s">
        <v>179</v>
      </c>
      <c r="F15" s="12" t="s">
        <v>105</v>
      </c>
      <c r="G15" s="12" t="s">
        <v>180</v>
      </c>
      <c r="H15" s="13">
        <v>500</v>
      </c>
      <c r="I15" s="13">
        <v>50</v>
      </c>
      <c r="J15" s="13">
        <v>14</v>
      </c>
      <c r="K15" s="13"/>
      <c r="L15" s="13"/>
      <c r="M15" s="13"/>
      <c r="N15" s="12"/>
      <c r="O15" s="12"/>
      <c r="P15" s="13">
        <v>366</v>
      </c>
      <c r="Q15" s="12" t="s">
        <v>141</v>
      </c>
      <c r="R15" s="12" t="s">
        <v>181</v>
      </c>
      <c r="S15" s="14">
        <f t="shared" si="0"/>
        <v>500</v>
      </c>
      <c r="T15" s="12" t="str">
        <f t="shared" si="1"/>
        <v>SLDC</v>
      </c>
      <c r="U15" s="13">
        <f t="shared" si="2"/>
        <v>500</v>
      </c>
      <c r="V15" s="12" t="s">
        <v>108</v>
      </c>
      <c r="W15" s="15" t="s">
        <v>109</v>
      </c>
      <c r="X15" s="15" t="s">
        <v>182</v>
      </c>
      <c r="Y15" s="12" t="s">
        <v>183</v>
      </c>
      <c r="Z15" s="16" t="s">
        <v>28</v>
      </c>
    </row>
    <row r="16" spans="1:26" ht="48" x14ac:dyDescent="0.25">
      <c r="A16" s="12" t="s">
        <v>184</v>
      </c>
      <c r="B16" s="12" t="s">
        <v>102</v>
      </c>
      <c r="C16" s="12" t="s">
        <v>28</v>
      </c>
      <c r="D16" s="12" t="s">
        <v>185</v>
      </c>
      <c r="E16" s="12" t="s">
        <v>186</v>
      </c>
      <c r="F16" s="12" t="s">
        <v>105</v>
      </c>
      <c r="G16" s="12" t="s">
        <v>187</v>
      </c>
      <c r="H16" s="13">
        <v>75</v>
      </c>
      <c r="I16" s="13">
        <v>15</v>
      </c>
      <c r="J16" s="13">
        <v>5</v>
      </c>
      <c r="K16" s="13"/>
      <c r="L16" s="13"/>
      <c r="M16" s="13"/>
      <c r="N16" s="12"/>
      <c r="O16" s="12"/>
      <c r="P16" s="13"/>
      <c r="Q16" s="12"/>
      <c r="R16" s="12"/>
      <c r="S16" s="14">
        <f t="shared" si="0"/>
        <v>75</v>
      </c>
      <c r="T16" s="12" t="str">
        <f t="shared" si="1"/>
        <v>SLDC</v>
      </c>
      <c r="U16" s="13">
        <f t="shared" si="2"/>
        <v>75</v>
      </c>
      <c r="V16" s="12" t="s">
        <v>108</v>
      </c>
      <c r="W16" s="15" t="s">
        <v>119</v>
      </c>
      <c r="X16" s="12"/>
      <c r="Y16" s="12" t="s">
        <v>188</v>
      </c>
      <c r="Z16" s="16" t="s">
        <v>28</v>
      </c>
    </row>
    <row r="17" spans="1:26" ht="60" x14ac:dyDescent="0.25">
      <c r="A17" s="12" t="s">
        <v>189</v>
      </c>
      <c r="B17" s="12" t="s">
        <v>102</v>
      </c>
      <c r="C17" s="12" t="s">
        <v>22</v>
      </c>
      <c r="D17" s="12" t="s">
        <v>190</v>
      </c>
      <c r="E17" s="12" t="s">
        <v>191</v>
      </c>
      <c r="F17" s="12" t="s">
        <v>105</v>
      </c>
      <c r="G17" s="12" t="s">
        <v>192</v>
      </c>
      <c r="H17" s="13">
        <v>80</v>
      </c>
      <c r="I17" s="13">
        <v>40</v>
      </c>
      <c r="J17" s="13">
        <v>5</v>
      </c>
      <c r="K17" s="13"/>
      <c r="L17" s="13"/>
      <c r="M17" s="13"/>
      <c r="N17" s="12"/>
      <c r="O17" s="12"/>
      <c r="P17" s="13">
        <v>133</v>
      </c>
      <c r="Q17" s="12" t="s">
        <v>149</v>
      </c>
      <c r="R17" s="12" t="s">
        <v>193</v>
      </c>
      <c r="S17" s="14">
        <f t="shared" si="0"/>
        <v>80</v>
      </c>
      <c r="T17" s="12" t="str">
        <f t="shared" si="1"/>
        <v>SLDC</v>
      </c>
      <c r="U17" s="13">
        <f t="shared" si="2"/>
        <v>80</v>
      </c>
      <c r="V17" s="12" t="s">
        <v>108</v>
      </c>
      <c r="W17" s="15" t="s">
        <v>119</v>
      </c>
      <c r="X17" s="15" t="s">
        <v>194</v>
      </c>
      <c r="Y17" s="12" t="s">
        <v>195</v>
      </c>
      <c r="Z17" s="16" t="s">
        <v>22</v>
      </c>
    </row>
    <row r="18" spans="1:26" ht="60" x14ac:dyDescent="0.25">
      <c r="A18" s="12" t="s">
        <v>196</v>
      </c>
      <c r="B18" s="12" t="s">
        <v>102</v>
      </c>
      <c r="C18" s="12" t="s">
        <v>49</v>
      </c>
      <c r="D18" s="12" t="s">
        <v>197</v>
      </c>
      <c r="E18" s="12" t="s">
        <v>198</v>
      </c>
      <c r="F18" s="12" t="s">
        <v>105</v>
      </c>
      <c r="G18" s="12" t="s">
        <v>199</v>
      </c>
      <c r="H18" s="13">
        <v>90</v>
      </c>
      <c r="I18" s="13">
        <v>30</v>
      </c>
      <c r="J18" s="13">
        <v>14</v>
      </c>
      <c r="K18" s="13"/>
      <c r="L18" s="13"/>
      <c r="M18" s="13"/>
      <c r="N18" s="12"/>
      <c r="O18" s="12"/>
      <c r="P18" s="13">
        <v>377</v>
      </c>
      <c r="Q18" s="12" t="s">
        <v>149</v>
      </c>
      <c r="R18" s="12" t="s">
        <v>200</v>
      </c>
      <c r="S18" s="14">
        <f t="shared" si="0"/>
        <v>90</v>
      </c>
      <c r="T18" s="12" t="str">
        <f t="shared" si="1"/>
        <v>SLDC</v>
      </c>
      <c r="U18" s="13">
        <f t="shared" si="2"/>
        <v>90</v>
      </c>
      <c r="V18" s="12" t="s">
        <v>108</v>
      </c>
      <c r="W18" s="15" t="s">
        <v>109</v>
      </c>
      <c r="X18" s="15" t="s">
        <v>201</v>
      </c>
      <c r="Y18" s="12" t="s">
        <v>202</v>
      </c>
      <c r="Z18" s="16" t="s">
        <v>49</v>
      </c>
    </row>
    <row r="19" spans="1:26" ht="48" x14ac:dyDescent="0.25">
      <c r="A19" s="12" t="s">
        <v>203</v>
      </c>
      <c r="B19" s="12" t="s">
        <v>102</v>
      </c>
      <c r="C19" s="12" t="s">
        <v>49</v>
      </c>
      <c r="D19" s="12" t="s">
        <v>204</v>
      </c>
      <c r="E19" s="12" t="s">
        <v>198</v>
      </c>
      <c r="F19" s="12" t="s">
        <v>105</v>
      </c>
      <c r="G19" s="12" t="s">
        <v>205</v>
      </c>
      <c r="H19" s="13">
        <v>70</v>
      </c>
      <c r="I19" s="13">
        <v>70</v>
      </c>
      <c r="J19" s="13"/>
      <c r="K19" s="13"/>
      <c r="L19" s="13"/>
      <c r="M19" s="13"/>
      <c r="N19" s="12"/>
      <c r="O19" s="12"/>
      <c r="P19" s="13"/>
      <c r="Q19" s="12"/>
      <c r="R19" s="12"/>
      <c r="S19" s="14">
        <f t="shared" si="0"/>
        <v>70</v>
      </c>
      <c r="T19" s="12" t="str">
        <f t="shared" si="1"/>
        <v>SLDC</v>
      </c>
      <c r="U19" s="13">
        <f t="shared" si="2"/>
        <v>70</v>
      </c>
      <c r="V19" s="12" t="s">
        <v>108</v>
      </c>
      <c r="W19" s="15" t="s">
        <v>126</v>
      </c>
      <c r="X19" s="12"/>
      <c r="Y19" s="12" t="s">
        <v>206</v>
      </c>
      <c r="Z19" s="16" t="s">
        <v>49</v>
      </c>
    </row>
    <row r="20" spans="1:26" ht="108" x14ac:dyDescent="0.25">
      <c r="A20" s="12" t="s">
        <v>207</v>
      </c>
      <c r="B20" s="12" t="s">
        <v>102</v>
      </c>
      <c r="C20" s="12" t="s">
        <v>208</v>
      </c>
      <c r="D20" s="12" t="s">
        <v>209</v>
      </c>
      <c r="E20" s="12" t="s">
        <v>210</v>
      </c>
      <c r="F20" s="12" t="s">
        <v>211</v>
      </c>
      <c r="G20" s="12" t="s">
        <v>212</v>
      </c>
      <c r="H20" s="13">
        <v>155</v>
      </c>
      <c r="I20" s="13">
        <v>16</v>
      </c>
      <c r="J20" s="13">
        <v>0</v>
      </c>
      <c r="K20" s="13"/>
      <c r="L20" s="13"/>
      <c r="M20" s="13"/>
      <c r="N20" s="12"/>
      <c r="O20" s="12"/>
      <c r="P20" s="13"/>
      <c r="Q20" s="12"/>
      <c r="R20" s="12" t="s">
        <v>213</v>
      </c>
      <c r="S20" s="14">
        <f t="shared" si="0"/>
        <v>155</v>
      </c>
      <c r="T20" s="12" t="str">
        <f t="shared" si="1"/>
        <v>SLDC</v>
      </c>
      <c r="U20" s="13">
        <f t="shared" si="2"/>
        <v>155</v>
      </c>
      <c r="V20" s="12" t="s">
        <v>108</v>
      </c>
      <c r="W20" s="15" t="s">
        <v>126</v>
      </c>
      <c r="X20" s="15" t="s">
        <v>120</v>
      </c>
      <c r="Y20" s="12" t="s">
        <v>214</v>
      </c>
      <c r="Z20" s="16" t="s">
        <v>39</v>
      </c>
    </row>
    <row r="21" spans="1:26" ht="48" x14ac:dyDescent="0.25">
      <c r="A21" s="12" t="s">
        <v>215</v>
      </c>
      <c r="B21" s="12" t="s">
        <v>102</v>
      </c>
      <c r="C21" s="12" t="s">
        <v>44</v>
      </c>
      <c r="D21" s="12" t="s">
        <v>216</v>
      </c>
      <c r="E21" s="12" t="s">
        <v>217</v>
      </c>
      <c r="F21" s="12" t="s">
        <v>211</v>
      </c>
      <c r="G21" s="12" t="s">
        <v>218</v>
      </c>
      <c r="H21" s="13">
        <v>36</v>
      </c>
      <c r="I21" s="13">
        <v>36</v>
      </c>
      <c r="J21" s="13">
        <v>16.88</v>
      </c>
      <c r="K21" s="13"/>
      <c r="L21" s="13"/>
      <c r="M21" s="13"/>
      <c r="N21" s="12"/>
      <c r="O21" s="12"/>
      <c r="P21" s="13"/>
      <c r="Q21" s="12"/>
      <c r="R21" s="12"/>
      <c r="S21" s="14">
        <f t="shared" si="0"/>
        <v>36</v>
      </c>
      <c r="T21" s="12" t="str">
        <f t="shared" si="1"/>
        <v>SLDC</v>
      </c>
      <c r="U21" s="13">
        <f t="shared" si="2"/>
        <v>36</v>
      </c>
      <c r="V21" s="12" t="s">
        <v>108</v>
      </c>
      <c r="W21" s="15" t="s">
        <v>219</v>
      </c>
      <c r="X21" s="12"/>
      <c r="Y21" s="12" t="s">
        <v>220</v>
      </c>
      <c r="Z21" s="16" t="s">
        <v>44</v>
      </c>
    </row>
    <row r="22" spans="1:26" ht="96" x14ac:dyDescent="0.25">
      <c r="A22" s="12" t="s">
        <v>221</v>
      </c>
      <c r="B22" s="12" t="s">
        <v>102</v>
      </c>
      <c r="C22" s="12" t="s">
        <v>44</v>
      </c>
      <c r="D22" s="12" t="s">
        <v>222</v>
      </c>
      <c r="E22" s="12" t="s">
        <v>223</v>
      </c>
      <c r="F22" s="12" t="s">
        <v>211</v>
      </c>
      <c r="G22" s="12" t="s">
        <v>224</v>
      </c>
      <c r="H22" s="13">
        <v>150</v>
      </c>
      <c r="I22" s="13">
        <v>50</v>
      </c>
      <c r="J22" s="13">
        <v>5.0199999999999996</v>
      </c>
      <c r="K22" s="13"/>
      <c r="L22" s="13"/>
      <c r="M22" s="13"/>
      <c r="N22" s="12"/>
      <c r="O22" s="12"/>
      <c r="P22" s="13"/>
      <c r="Q22" s="12"/>
      <c r="R22" s="12" t="s">
        <v>225</v>
      </c>
      <c r="S22" s="14">
        <f t="shared" si="0"/>
        <v>150</v>
      </c>
      <c r="T22" s="12" t="str">
        <f t="shared" si="1"/>
        <v>SLDC</v>
      </c>
      <c r="U22" s="13">
        <f t="shared" si="2"/>
        <v>150</v>
      </c>
      <c r="V22" s="12" t="s">
        <v>108</v>
      </c>
      <c r="W22" s="15" t="s">
        <v>219</v>
      </c>
      <c r="X22" s="15" t="s">
        <v>226</v>
      </c>
      <c r="Y22" s="12" t="s">
        <v>227</v>
      </c>
      <c r="Z22" s="16" t="s">
        <v>44</v>
      </c>
    </row>
    <row r="23" spans="1:26" ht="48" x14ac:dyDescent="0.25">
      <c r="A23" s="12" t="s">
        <v>228</v>
      </c>
      <c r="B23" s="12" t="s">
        <v>102</v>
      </c>
      <c r="C23" s="12" t="s">
        <v>22</v>
      </c>
      <c r="D23" s="12" t="s">
        <v>229</v>
      </c>
      <c r="E23" s="12" t="s">
        <v>230</v>
      </c>
      <c r="F23" s="12" t="s">
        <v>211</v>
      </c>
      <c r="G23" s="12" t="s">
        <v>231</v>
      </c>
      <c r="H23" s="13">
        <v>200</v>
      </c>
      <c r="I23" s="13">
        <v>57</v>
      </c>
      <c r="J23" s="13">
        <v>41.63</v>
      </c>
      <c r="K23" s="13"/>
      <c r="L23" s="13"/>
      <c r="M23" s="13"/>
      <c r="N23" s="12"/>
      <c r="O23" s="12"/>
      <c r="P23" s="13"/>
      <c r="Q23" s="12"/>
      <c r="R23" s="12"/>
      <c r="S23" s="14">
        <f t="shared" si="0"/>
        <v>200</v>
      </c>
      <c r="T23" s="12" t="str">
        <f t="shared" si="1"/>
        <v>SLDC</v>
      </c>
      <c r="U23" s="13">
        <f t="shared" si="2"/>
        <v>200</v>
      </c>
      <c r="V23" s="12" t="s">
        <v>108</v>
      </c>
      <c r="W23" s="15" t="s">
        <v>219</v>
      </c>
      <c r="X23" s="12"/>
      <c r="Y23" s="12" t="s">
        <v>232</v>
      </c>
      <c r="Z23" s="16" t="s">
        <v>22</v>
      </c>
    </row>
    <row r="24" spans="1:26" ht="48" x14ac:dyDescent="0.25">
      <c r="A24" s="12" t="s">
        <v>233</v>
      </c>
      <c r="B24" s="12" t="s">
        <v>102</v>
      </c>
      <c r="C24" s="12" t="s">
        <v>19</v>
      </c>
      <c r="D24" s="12" t="s">
        <v>234</v>
      </c>
      <c r="E24" s="12" t="s">
        <v>235</v>
      </c>
      <c r="F24" s="12" t="s">
        <v>236</v>
      </c>
      <c r="G24" s="12" t="s">
        <v>237</v>
      </c>
      <c r="H24" s="13">
        <v>475</v>
      </c>
      <c r="I24" s="13"/>
      <c r="J24" s="13"/>
      <c r="K24" s="13"/>
      <c r="L24" s="13"/>
      <c r="M24" s="13"/>
      <c r="N24" s="12"/>
      <c r="O24" s="12"/>
      <c r="P24" s="13"/>
      <c r="Q24" s="12"/>
      <c r="R24" s="12"/>
      <c r="S24" s="14">
        <f t="shared" si="0"/>
        <v>475</v>
      </c>
      <c r="T24" s="12" t="str">
        <f t="shared" si="1"/>
        <v>SLDC</v>
      </c>
      <c r="U24" s="13">
        <f t="shared" si="2"/>
        <v>475</v>
      </c>
      <c r="V24" s="12" t="s">
        <v>238</v>
      </c>
      <c r="W24" s="15" t="s">
        <v>239</v>
      </c>
      <c r="X24" s="12"/>
      <c r="Y24" s="12" t="s">
        <v>240</v>
      </c>
      <c r="Z24" s="16" t="s">
        <v>19</v>
      </c>
    </row>
    <row r="25" spans="1:26" ht="36" x14ac:dyDescent="0.25">
      <c r="A25" s="12" t="s">
        <v>241</v>
      </c>
      <c r="B25" s="12" t="s">
        <v>242</v>
      </c>
      <c r="C25" s="12" t="s">
        <v>243</v>
      </c>
      <c r="D25" s="12" t="s">
        <v>244</v>
      </c>
      <c r="E25" s="12" t="s">
        <v>245</v>
      </c>
      <c r="F25" s="12" t="s">
        <v>236</v>
      </c>
      <c r="G25" s="12" t="s">
        <v>246</v>
      </c>
      <c r="H25" s="13"/>
      <c r="I25" s="13"/>
      <c r="J25" s="13"/>
      <c r="K25" s="13"/>
      <c r="L25" s="13"/>
      <c r="M25" s="13">
        <v>525</v>
      </c>
      <c r="N25" s="12" t="s">
        <v>247</v>
      </c>
      <c r="O25" s="12" t="s">
        <v>133</v>
      </c>
      <c r="P25" s="13"/>
      <c r="Q25" s="12"/>
      <c r="R25" s="12"/>
      <c r="S25" s="14">
        <f t="shared" si="0"/>
        <v>525</v>
      </c>
      <c r="T25" s="12" t="str">
        <f t="shared" si="1"/>
        <v>Other official</v>
      </c>
      <c r="U25" s="13">
        <f t="shared" si="2"/>
        <v>525</v>
      </c>
      <c r="V25" s="12" t="s">
        <v>238</v>
      </c>
      <c r="W25" s="15" t="s">
        <v>248</v>
      </c>
      <c r="X25" s="12"/>
      <c r="Y25" s="12" t="s">
        <v>249</v>
      </c>
      <c r="Z25" s="16" t="s">
        <v>16</v>
      </c>
    </row>
    <row r="26" spans="1:26" ht="48" x14ac:dyDescent="0.25">
      <c r="A26" s="12" t="s">
        <v>250</v>
      </c>
      <c r="B26" s="12" t="s">
        <v>102</v>
      </c>
      <c r="C26" s="12" t="s">
        <v>22</v>
      </c>
      <c r="D26" s="12" t="s">
        <v>251</v>
      </c>
      <c r="E26" s="12" t="s">
        <v>235</v>
      </c>
      <c r="F26" s="12" t="s">
        <v>236</v>
      </c>
      <c r="G26" s="12" t="s">
        <v>237</v>
      </c>
      <c r="H26" s="13">
        <v>450</v>
      </c>
      <c r="I26" s="13"/>
      <c r="J26" s="13"/>
      <c r="K26" s="13"/>
      <c r="L26" s="13"/>
      <c r="M26" s="13"/>
      <c r="N26" s="12"/>
      <c r="O26" s="12"/>
      <c r="P26" s="13"/>
      <c r="Q26" s="12"/>
      <c r="R26" s="12"/>
      <c r="S26" s="14">
        <f t="shared" si="0"/>
        <v>450</v>
      </c>
      <c r="T26" s="12" t="str">
        <f t="shared" si="1"/>
        <v>SLDC</v>
      </c>
      <c r="U26" s="13">
        <f t="shared" si="2"/>
        <v>450</v>
      </c>
      <c r="V26" s="12" t="s">
        <v>238</v>
      </c>
      <c r="W26" s="15" t="s">
        <v>239</v>
      </c>
      <c r="X26" s="12"/>
      <c r="Y26" s="12" t="s">
        <v>252</v>
      </c>
      <c r="Z26" s="16" t="s">
        <v>22</v>
      </c>
    </row>
    <row r="27" spans="1:26" ht="132" x14ac:dyDescent="0.25">
      <c r="A27" s="12" t="s">
        <v>253</v>
      </c>
      <c r="B27" s="12" t="s">
        <v>102</v>
      </c>
      <c r="C27" s="12" t="s">
        <v>19</v>
      </c>
      <c r="D27" s="12" t="s">
        <v>254</v>
      </c>
      <c r="E27" s="12" t="s">
        <v>255</v>
      </c>
      <c r="F27" s="12" t="s">
        <v>256</v>
      </c>
      <c r="G27" s="12" t="s">
        <v>257</v>
      </c>
      <c r="H27" s="13">
        <v>225</v>
      </c>
      <c r="I27" s="13"/>
      <c r="J27" s="13"/>
      <c r="K27" s="13"/>
      <c r="L27" s="13"/>
      <c r="M27" s="13">
        <v>77</v>
      </c>
      <c r="N27" s="12" t="s">
        <v>132</v>
      </c>
      <c r="O27" s="12" t="s">
        <v>133</v>
      </c>
      <c r="P27" s="13">
        <v>77</v>
      </c>
      <c r="Q27" s="12" t="s">
        <v>134</v>
      </c>
      <c r="R27" s="12" t="s">
        <v>258</v>
      </c>
      <c r="S27" s="14">
        <f t="shared" si="0"/>
        <v>225</v>
      </c>
      <c r="T27" s="12" t="str">
        <f t="shared" si="1"/>
        <v>SLDC</v>
      </c>
      <c r="U27" s="13">
        <f t="shared" si="2"/>
        <v>225</v>
      </c>
      <c r="V27" s="12" t="s">
        <v>238</v>
      </c>
      <c r="W27" s="15" t="s">
        <v>119</v>
      </c>
      <c r="X27" s="15" t="s">
        <v>136</v>
      </c>
      <c r="Y27" s="12" t="s">
        <v>259</v>
      </c>
      <c r="Z27" s="16" t="s">
        <v>19</v>
      </c>
    </row>
    <row r="28" spans="1:26" ht="108" x14ac:dyDescent="0.25">
      <c r="A28" s="12" t="s">
        <v>260</v>
      </c>
      <c r="B28" s="12" t="s">
        <v>261</v>
      </c>
      <c r="C28" s="12" t="s">
        <v>262</v>
      </c>
      <c r="D28" s="12" t="s">
        <v>263</v>
      </c>
      <c r="E28" s="12" t="s">
        <v>264</v>
      </c>
      <c r="F28" s="12" t="s">
        <v>105</v>
      </c>
      <c r="G28" s="12" t="s">
        <v>265</v>
      </c>
      <c r="H28" s="13"/>
      <c r="I28" s="13"/>
      <c r="J28" s="13"/>
      <c r="K28" s="13">
        <v>1468</v>
      </c>
      <c r="L28" s="13"/>
      <c r="M28" s="13"/>
      <c r="N28" s="12"/>
      <c r="O28" s="12"/>
      <c r="P28" s="13"/>
      <c r="Q28" s="12"/>
      <c r="R28" s="12" t="s">
        <v>266</v>
      </c>
      <c r="S28" s="14">
        <f t="shared" si="0"/>
        <v>1468</v>
      </c>
      <c r="T28" s="12" t="str">
        <f t="shared" si="1"/>
        <v>CTUIL</v>
      </c>
      <c r="U28" s="13">
        <f t="shared" si="2"/>
        <v>1468</v>
      </c>
      <c r="V28" s="12" t="s">
        <v>238</v>
      </c>
      <c r="W28" s="15" t="s">
        <v>267</v>
      </c>
      <c r="X28" s="15" t="s">
        <v>268</v>
      </c>
      <c r="Y28" s="12" t="s">
        <v>269</v>
      </c>
      <c r="Z28" s="16" t="s">
        <v>39</v>
      </c>
    </row>
    <row r="29" spans="1:26" ht="48" x14ac:dyDescent="0.25">
      <c r="A29" s="12" t="s">
        <v>270</v>
      </c>
      <c r="B29" s="12" t="s">
        <v>102</v>
      </c>
      <c r="C29" s="12" t="s">
        <v>113</v>
      </c>
      <c r="D29" s="12" t="s">
        <v>271</v>
      </c>
      <c r="E29" s="12" t="s">
        <v>272</v>
      </c>
      <c r="F29" s="12" t="s">
        <v>105</v>
      </c>
      <c r="G29" s="12" t="s">
        <v>273</v>
      </c>
      <c r="H29" s="13">
        <v>480</v>
      </c>
      <c r="I29" s="13"/>
      <c r="J29" s="13"/>
      <c r="K29" s="13"/>
      <c r="L29" s="13"/>
      <c r="M29" s="13"/>
      <c r="N29" s="12"/>
      <c r="O29" s="12"/>
      <c r="P29" s="13"/>
      <c r="Q29" s="12"/>
      <c r="R29" s="12"/>
      <c r="S29" s="14">
        <f t="shared" si="0"/>
        <v>480</v>
      </c>
      <c r="T29" s="12" t="str">
        <f t="shared" si="1"/>
        <v>SLDC</v>
      </c>
      <c r="U29" s="13">
        <f t="shared" si="2"/>
        <v>480</v>
      </c>
      <c r="V29" s="12" t="s">
        <v>238</v>
      </c>
      <c r="W29" s="15" t="s">
        <v>109</v>
      </c>
      <c r="X29" s="12"/>
      <c r="Y29" s="12" t="s">
        <v>274</v>
      </c>
      <c r="Z29" s="16" t="s">
        <v>12</v>
      </c>
    </row>
    <row r="30" spans="1:26" ht="48" x14ac:dyDescent="0.25">
      <c r="A30" s="12" t="s">
        <v>275</v>
      </c>
      <c r="B30" s="12" t="s">
        <v>102</v>
      </c>
      <c r="C30" s="12" t="s">
        <v>113</v>
      </c>
      <c r="D30" s="12" t="s">
        <v>276</v>
      </c>
      <c r="E30" s="12" t="s">
        <v>104</v>
      </c>
      <c r="F30" s="12" t="s">
        <v>105</v>
      </c>
      <c r="G30" s="12" t="s">
        <v>277</v>
      </c>
      <c r="H30" s="13">
        <v>150</v>
      </c>
      <c r="I30" s="13"/>
      <c r="J30" s="13"/>
      <c r="K30" s="13"/>
      <c r="L30" s="13"/>
      <c r="M30" s="13"/>
      <c r="N30" s="12"/>
      <c r="O30" s="12"/>
      <c r="P30" s="13">
        <v>120</v>
      </c>
      <c r="Q30" s="12" t="s">
        <v>141</v>
      </c>
      <c r="R30" s="12" t="s">
        <v>278</v>
      </c>
      <c r="S30" s="14">
        <f t="shared" si="0"/>
        <v>150</v>
      </c>
      <c r="T30" s="12" t="str">
        <f t="shared" si="1"/>
        <v>SLDC</v>
      </c>
      <c r="U30" s="13">
        <f t="shared" si="2"/>
        <v>150</v>
      </c>
      <c r="V30" s="12" t="s">
        <v>238</v>
      </c>
      <c r="W30" s="15" t="s">
        <v>239</v>
      </c>
      <c r="X30" s="15" t="s">
        <v>279</v>
      </c>
      <c r="Y30" s="12" t="s">
        <v>280</v>
      </c>
      <c r="Z30" s="16" t="s">
        <v>12</v>
      </c>
    </row>
    <row r="31" spans="1:26" ht="48" x14ac:dyDescent="0.25">
      <c r="A31" s="12" t="s">
        <v>281</v>
      </c>
      <c r="B31" s="12" t="s">
        <v>102</v>
      </c>
      <c r="C31" s="12" t="s">
        <v>113</v>
      </c>
      <c r="D31" s="12" t="s">
        <v>282</v>
      </c>
      <c r="E31" s="12" t="s">
        <v>283</v>
      </c>
      <c r="F31" s="12" t="s">
        <v>105</v>
      </c>
      <c r="G31" s="12" t="s">
        <v>284</v>
      </c>
      <c r="H31" s="13">
        <v>180</v>
      </c>
      <c r="I31" s="13"/>
      <c r="J31" s="13"/>
      <c r="K31" s="13"/>
      <c r="L31" s="13"/>
      <c r="M31" s="13"/>
      <c r="N31" s="12"/>
      <c r="O31" s="12"/>
      <c r="P31" s="13"/>
      <c r="Q31" s="12"/>
      <c r="R31" s="12"/>
      <c r="S31" s="14">
        <f t="shared" si="0"/>
        <v>180</v>
      </c>
      <c r="T31" s="12" t="str">
        <f t="shared" si="1"/>
        <v>SLDC</v>
      </c>
      <c r="U31" s="13">
        <f t="shared" si="2"/>
        <v>180</v>
      </c>
      <c r="V31" s="12" t="s">
        <v>238</v>
      </c>
      <c r="W31" s="15" t="s">
        <v>239</v>
      </c>
      <c r="X31" s="12"/>
      <c r="Y31" s="12" t="s">
        <v>285</v>
      </c>
      <c r="Z31" s="16" t="s">
        <v>12</v>
      </c>
    </row>
    <row r="32" spans="1:26" ht="48" x14ac:dyDescent="0.25">
      <c r="A32" s="12" t="s">
        <v>286</v>
      </c>
      <c r="B32" s="12" t="s">
        <v>102</v>
      </c>
      <c r="C32" s="12" t="s">
        <v>30</v>
      </c>
      <c r="D32" s="12" t="s">
        <v>287</v>
      </c>
      <c r="E32" s="12" t="s">
        <v>147</v>
      </c>
      <c r="F32" s="12" t="s">
        <v>105</v>
      </c>
      <c r="G32" s="12" t="s">
        <v>288</v>
      </c>
      <c r="H32" s="13">
        <v>290</v>
      </c>
      <c r="I32" s="13"/>
      <c r="J32" s="13"/>
      <c r="K32" s="13"/>
      <c r="L32" s="13"/>
      <c r="M32" s="13"/>
      <c r="N32" s="12"/>
      <c r="O32" s="12"/>
      <c r="P32" s="13"/>
      <c r="Q32" s="12"/>
      <c r="R32" s="12"/>
      <c r="S32" s="14">
        <f t="shared" si="0"/>
        <v>290</v>
      </c>
      <c r="T32" s="12" t="str">
        <f t="shared" si="1"/>
        <v>SLDC</v>
      </c>
      <c r="U32" s="13">
        <f t="shared" si="2"/>
        <v>290</v>
      </c>
      <c r="V32" s="12" t="s">
        <v>238</v>
      </c>
      <c r="W32" s="15" t="s">
        <v>239</v>
      </c>
      <c r="X32" s="12"/>
      <c r="Y32" s="12" t="s">
        <v>289</v>
      </c>
      <c r="Z32" s="16" t="s">
        <v>30</v>
      </c>
    </row>
    <row r="33" spans="1:26" ht="60" x14ac:dyDescent="0.25">
      <c r="A33" s="12" t="s">
        <v>290</v>
      </c>
      <c r="B33" s="12" t="s">
        <v>102</v>
      </c>
      <c r="C33" s="12" t="s">
        <v>42</v>
      </c>
      <c r="D33" s="12" t="s">
        <v>291</v>
      </c>
      <c r="E33" s="12" t="s">
        <v>292</v>
      </c>
      <c r="F33" s="12" t="s">
        <v>105</v>
      </c>
      <c r="G33" s="12" t="s">
        <v>293</v>
      </c>
      <c r="H33" s="13">
        <v>190</v>
      </c>
      <c r="I33" s="13"/>
      <c r="J33" s="13"/>
      <c r="K33" s="13"/>
      <c r="L33" s="13"/>
      <c r="M33" s="13"/>
      <c r="N33" s="12"/>
      <c r="O33" s="12"/>
      <c r="P33" s="13">
        <v>350</v>
      </c>
      <c r="Q33" s="12" t="s">
        <v>141</v>
      </c>
      <c r="R33" s="12" t="s">
        <v>294</v>
      </c>
      <c r="S33" s="14">
        <f t="shared" si="0"/>
        <v>190</v>
      </c>
      <c r="T33" s="12" t="str">
        <f t="shared" si="1"/>
        <v>SLDC</v>
      </c>
      <c r="U33" s="13">
        <f t="shared" si="2"/>
        <v>190</v>
      </c>
      <c r="V33" s="12" t="s">
        <v>238</v>
      </c>
      <c r="W33" s="15" t="s">
        <v>126</v>
      </c>
      <c r="X33" s="15" t="s">
        <v>295</v>
      </c>
      <c r="Y33" s="12" t="s">
        <v>296</v>
      </c>
      <c r="Z33" s="16" t="s">
        <v>42</v>
      </c>
    </row>
    <row r="34" spans="1:26" ht="276" x14ac:dyDescent="0.25">
      <c r="A34" s="12" t="s">
        <v>297</v>
      </c>
      <c r="B34" s="12" t="s">
        <v>102</v>
      </c>
      <c r="C34" s="12" t="s">
        <v>37</v>
      </c>
      <c r="D34" s="12" t="s">
        <v>298</v>
      </c>
      <c r="E34" s="12" t="s">
        <v>299</v>
      </c>
      <c r="F34" s="12" t="s">
        <v>105</v>
      </c>
      <c r="G34" s="12" t="s">
        <v>300</v>
      </c>
      <c r="H34" s="13">
        <v>130</v>
      </c>
      <c r="I34" s="13"/>
      <c r="J34" s="13"/>
      <c r="K34" s="13"/>
      <c r="L34" s="13"/>
      <c r="M34" s="13">
        <v>103.367</v>
      </c>
      <c r="N34" s="12" t="s">
        <v>132</v>
      </c>
      <c r="O34" s="12" t="s">
        <v>133</v>
      </c>
      <c r="P34" s="13">
        <v>103.4</v>
      </c>
      <c r="Q34" s="12" t="s">
        <v>134</v>
      </c>
      <c r="R34" s="12" t="s">
        <v>301</v>
      </c>
      <c r="S34" s="14">
        <f t="shared" si="0"/>
        <v>130</v>
      </c>
      <c r="T34" s="12" t="str">
        <f t="shared" si="1"/>
        <v>SLDC</v>
      </c>
      <c r="U34" s="13">
        <f t="shared" si="2"/>
        <v>130</v>
      </c>
      <c r="V34" s="12" t="s">
        <v>238</v>
      </c>
      <c r="W34" s="15" t="s">
        <v>109</v>
      </c>
      <c r="X34" s="15" t="s">
        <v>302</v>
      </c>
      <c r="Y34" s="12" t="s">
        <v>303</v>
      </c>
      <c r="Z34" s="16" t="s">
        <v>37</v>
      </c>
    </row>
    <row r="35" spans="1:26" ht="84" x14ac:dyDescent="0.25">
      <c r="A35" s="12" t="s">
        <v>304</v>
      </c>
      <c r="B35" s="12" t="s">
        <v>102</v>
      </c>
      <c r="C35" s="12" t="s">
        <v>37</v>
      </c>
      <c r="D35" s="12" t="s">
        <v>305</v>
      </c>
      <c r="E35" s="12" t="s">
        <v>306</v>
      </c>
      <c r="F35" s="12" t="s">
        <v>105</v>
      </c>
      <c r="G35" s="12" t="s">
        <v>307</v>
      </c>
      <c r="H35" s="13">
        <v>190</v>
      </c>
      <c r="I35" s="13"/>
      <c r="J35" s="13"/>
      <c r="K35" s="13"/>
      <c r="L35" s="13"/>
      <c r="M35" s="13"/>
      <c r="N35" s="12"/>
      <c r="O35" s="12"/>
      <c r="P35" s="13"/>
      <c r="Q35" s="12" t="s">
        <v>308</v>
      </c>
      <c r="R35" s="12" t="s">
        <v>309</v>
      </c>
      <c r="S35" s="14">
        <f t="shared" si="0"/>
        <v>190</v>
      </c>
      <c r="T35" s="12" t="str">
        <f t="shared" si="1"/>
        <v>SLDC</v>
      </c>
      <c r="U35" s="13">
        <f t="shared" si="2"/>
        <v>190</v>
      </c>
      <c r="V35" s="12" t="s">
        <v>238</v>
      </c>
      <c r="W35" s="15" t="s">
        <v>239</v>
      </c>
      <c r="X35" s="15" t="s">
        <v>310</v>
      </c>
      <c r="Y35" s="12" t="s">
        <v>311</v>
      </c>
      <c r="Z35" s="16" t="s">
        <v>37</v>
      </c>
    </row>
    <row r="36" spans="1:26" ht="132" x14ac:dyDescent="0.25">
      <c r="A36" s="12" t="s">
        <v>54</v>
      </c>
      <c r="B36" s="12" t="s">
        <v>102</v>
      </c>
      <c r="C36" s="12" t="s">
        <v>53</v>
      </c>
      <c r="D36" s="12" t="s">
        <v>312</v>
      </c>
      <c r="E36" s="12" t="s">
        <v>198</v>
      </c>
      <c r="F36" s="12" t="s">
        <v>105</v>
      </c>
      <c r="G36" s="12" t="s">
        <v>313</v>
      </c>
      <c r="H36" s="13">
        <v>120</v>
      </c>
      <c r="I36" s="13"/>
      <c r="J36" s="13"/>
      <c r="K36" s="13"/>
      <c r="L36" s="13"/>
      <c r="M36" s="13">
        <v>140</v>
      </c>
      <c r="N36" s="12" t="s">
        <v>132</v>
      </c>
      <c r="O36" s="12" t="s">
        <v>133</v>
      </c>
      <c r="P36" s="13">
        <v>140</v>
      </c>
      <c r="Q36" s="12" t="s">
        <v>134</v>
      </c>
      <c r="R36" s="12" t="s">
        <v>314</v>
      </c>
      <c r="S36" s="14">
        <f t="shared" si="0"/>
        <v>120</v>
      </c>
      <c r="T36" s="12" t="str">
        <f t="shared" si="1"/>
        <v>SLDC</v>
      </c>
      <c r="U36" s="13">
        <f t="shared" si="2"/>
        <v>120</v>
      </c>
      <c r="V36" s="12" t="s">
        <v>238</v>
      </c>
      <c r="W36" s="15" t="s">
        <v>119</v>
      </c>
      <c r="X36" s="15" t="s">
        <v>136</v>
      </c>
      <c r="Y36" s="12" t="s">
        <v>315</v>
      </c>
      <c r="Z36" s="16" t="s">
        <v>53</v>
      </c>
    </row>
    <row r="37" spans="1:26" ht="48" x14ac:dyDescent="0.25">
      <c r="A37" s="12" t="s">
        <v>316</v>
      </c>
      <c r="B37" s="12" t="s">
        <v>102</v>
      </c>
      <c r="C37" s="12" t="s">
        <v>22</v>
      </c>
      <c r="D37" s="12" t="s">
        <v>317</v>
      </c>
      <c r="E37" s="12" t="s">
        <v>318</v>
      </c>
      <c r="F37" s="12" t="s">
        <v>105</v>
      </c>
      <c r="G37" s="12" t="s">
        <v>319</v>
      </c>
      <c r="H37" s="13">
        <v>40</v>
      </c>
      <c r="I37" s="13"/>
      <c r="J37" s="13"/>
      <c r="K37" s="13"/>
      <c r="L37" s="13"/>
      <c r="M37" s="13"/>
      <c r="N37" s="12"/>
      <c r="O37" s="12"/>
      <c r="P37" s="13"/>
      <c r="Q37" s="12"/>
      <c r="R37" s="12"/>
      <c r="S37" s="14">
        <f t="shared" ref="S37:S61" si="3">IF(N(H37)&gt;0,H37,IF(N(K37)+N(L37)&gt;0,N(K37)+N(L37),IF(AND(N(M37)&gt;0,OR(O37="A1",O37="A2")),M37,0)))</f>
        <v>40</v>
      </c>
      <c r="T37" s="12" t="str">
        <f t="shared" ref="T37:T61" si="4">IF(N(H37)&gt;0,"SLDC",IF(N(K37)+N(L37)&gt;0,"CTUIL",IF(S37&gt;0,"Other official",IF(N(P37)&gt;0,"Unverified","No MW"))))</f>
        <v>SLDC</v>
      </c>
      <c r="U37" s="13">
        <f t="shared" ref="U37:U61" si="5">IF(S37&gt;0,S37,N(P37))</f>
        <v>40</v>
      </c>
      <c r="V37" s="12" t="s">
        <v>238</v>
      </c>
      <c r="W37" s="15" t="s">
        <v>151</v>
      </c>
      <c r="X37" s="12"/>
      <c r="Y37" s="12" t="s">
        <v>320</v>
      </c>
      <c r="Z37" s="16" t="s">
        <v>22</v>
      </c>
    </row>
    <row r="38" spans="1:26" ht="48" x14ac:dyDescent="0.25">
      <c r="A38" s="12" t="s">
        <v>58</v>
      </c>
      <c r="B38" s="12" t="s">
        <v>102</v>
      </c>
      <c r="C38" s="12" t="s">
        <v>57</v>
      </c>
      <c r="D38" s="12" t="s">
        <v>321</v>
      </c>
      <c r="E38" s="12" t="s">
        <v>322</v>
      </c>
      <c r="F38" s="12" t="s">
        <v>105</v>
      </c>
      <c r="G38" s="12" t="s">
        <v>148</v>
      </c>
      <c r="H38" s="13">
        <v>106</v>
      </c>
      <c r="I38" s="13"/>
      <c r="J38" s="13"/>
      <c r="K38" s="13"/>
      <c r="L38" s="13"/>
      <c r="M38" s="13"/>
      <c r="N38" s="12"/>
      <c r="O38" s="12"/>
      <c r="P38" s="13"/>
      <c r="Q38" s="12"/>
      <c r="R38" s="12"/>
      <c r="S38" s="14">
        <f t="shared" si="3"/>
        <v>106</v>
      </c>
      <c r="T38" s="12" t="str">
        <f t="shared" si="4"/>
        <v>SLDC</v>
      </c>
      <c r="U38" s="13">
        <f t="shared" si="5"/>
        <v>106</v>
      </c>
      <c r="V38" s="12" t="s">
        <v>238</v>
      </c>
      <c r="W38" s="15" t="s">
        <v>109</v>
      </c>
      <c r="X38" s="12"/>
      <c r="Y38" s="12" t="s">
        <v>323</v>
      </c>
      <c r="Z38" s="16" t="s">
        <v>57</v>
      </c>
    </row>
    <row r="39" spans="1:26" ht="48" x14ac:dyDescent="0.25">
      <c r="A39" s="12" t="s">
        <v>64</v>
      </c>
      <c r="B39" s="12" t="s">
        <v>102</v>
      </c>
      <c r="C39" s="12" t="s">
        <v>63</v>
      </c>
      <c r="D39" s="12" t="s">
        <v>324</v>
      </c>
      <c r="E39" s="12" t="s">
        <v>325</v>
      </c>
      <c r="F39" s="12" t="s">
        <v>105</v>
      </c>
      <c r="G39" s="12" t="s">
        <v>326</v>
      </c>
      <c r="H39" s="13">
        <v>50</v>
      </c>
      <c r="I39" s="13"/>
      <c r="J39" s="13"/>
      <c r="K39" s="13"/>
      <c r="L39" s="13"/>
      <c r="M39" s="13"/>
      <c r="N39" s="12"/>
      <c r="O39" s="12"/>
      <c r="P39" s="13"/>
      <c r="Q39" s="12"/>
      <c r="R39" s="12"/>
      <c r="S39" s="14">
        <f t="shared" si="3"/>
        <v>50</v>
      </c>
      <c r="T39" s="12" t="str">
        <f t="shared" si="4"/>
        <v>SLDC</v>
      </c>
      <c r="U39" s="13">
        <f t="shared" si="5"/>
        <v>50</v>
      </c>
      <c r="V39" s="12" t="s">
        <v>238</v>
      </c>
      <c r="W39" s="15" t="s">
        <v>151</v>
      </c>
      <c r="X39" s="12"/>
      <c r="Y39" s="12" t="s">
        <v>327</v>
      </c>
      <c r="Z39" s="16" t="s">
        <v>63</v>
      </c>
    </row>
    <row r="40" spans="1:26" ht="84" x14ac:dyDescent="0.25">
      <c r="A40" s="12" t="s">
        <v>62</v>
      </c>
      <c r="B40" s="12" t="s">
        <v>102</v>
      </c>
      <c r="C40" s="12" t="s">
        <v>61</v>
      </c>
      <c r="D40" s="12" t="s">
        <v>328</v>
      </c>
      <c r="E40" s="12" t="s">
        <v>329</v>
      </c>
      <c r="F40" s="12" t="s">
        <v>330</v>
      </c>
      <c r="G40" s="12" t="s">
        <v>331</v>
      </c>
      <c r="H40" s="13">
        <v>52</v>
      </c>
      <c r="I40" s="13"/>
      <c r="J40" s="13"/>
      <c r="K40" s="13"/>
      <c r="L40" s="13"/>
      <c r="M40" s="13"/>
      <c r="N40" s="12"/>
      <c r="O40" s="12"/>
      <c r="P40" s="13">
        <v>52</v>
      </c>
      <c r="Q40" s="12" t="s">
        <v>141</v>
      </c>
      <c r="R40" s="12" t="s">
        <v>332</v>
      </c>
      <c r="S40" s="14">
        <f t="shared" si="3"/>
        <v>52</v>
      </c>
      <c r="T40" s="12" t="str">
        <f t="shared" si="4"/>
        <v>SLDC</v>
      </c>
      <c r="U40" s="13">
        <f t="shared" si="5"/>
        <v>52</v>
      </c>
      <c r="V40" s="12" t="s">
        <v>238</v>
      </c>
      <c r="W40" s="15" t="s">
        <v>126</v>
      </c>
      <c r="X40" s="15" t="s">
        <v>333</v>
      </c>
      <c r="Y40" s="12" t="s">
        <v>334</v>
      </c>
      <c r="Z40" s="16" t="s">
        <v>61</v>
      </c>
    </row>
    <row r="41" spans="1:26" ht="120" x14ac:dyDescent="0.25">
      <c r="A41" s="12" t="s">
        <v>335</v>
      </c>
      <c r="B41" s="12" t="s">
        <v>102</v>
      </c>
      <c r="C41" s="12" t="s">
        <v>336</v>
      </c>
      <c r="D41" s="12" t="s">
        <v>337</v>
      </c>
      <c r="E41" s="12" t="s">
        <v>338</v>
      </c>
      <c r="F41" s="12" t="s">
        <v>211</v>
      </c>
      <c r="G41" s="12" t="s">
        <v>339</v>
      </c>
      <c r="H41" s="13">
        <v>74</v>
      </c>
      <c r="I41" s="13"/>
      <c r="J41" s="13"/>
      <c r="K41" s="13"/>
      <c r="L41" s="13"/>
      <c r="M41" s="13">
        <v>75.400000000000006</v>
      </c>
      <c r="N41" s="12" t="s">
        <v>132</v>
      </c>
      <c r="O41" s="12" t="s">
        <v>133</v>
      </c>
      <c r="P41" s="13">
        <v>75.400000000000006</v>
      </c>
      <c r="Q41" s="12" t="s">
        <v>134</v>
      </c>
      <c r="R41" s="12" t="s">
        <v>340</v>
      </c>
      <c r="S41" s="14">
        <f t="shared" si="3"/>
        <v>74</v>
      </c>
      <c r="T41" s="12" t="str">
        <f t="shared" si="4"/>
        <v>SLDC</v>
      </c>
      <c r="U41" s="13">
        <f t="shared" si="5"/>
        <v>74</v>
      </c>
      <c r="V41" s="12" t="s">
        <v>238</v>
      </c>
      <c r="W41" s="15" t="s">
        <v>126</v>
      </c>
      <c r="X41" s="15" t="s">
        <v>341</v>
      </c>
      <c r="Y41" s="12" t="s">
        <v>342</v>
      </c>
      <c r="Z41" s="16" t="s">
        <v>39</v>
      </c>
    </row>
    <row r="42" spans="1:26" ht="48" x14ac:dyDescent="0.25">
      <c r="A42" s="12" t="s">
        <v>343</v>
      </c>
      <c r="B42" s="12" t="s">
        <v>102</v>
      </c>
      <c r="C42" s="12" t="s">
        <v>19</v>
      </c>
      <c r="D42" s="12" t="s">
        <v>344</v>
      </c>
      <c r="E42" s="12" t="s">
        <v>345</v>
      </c>
      <c r="F42" s="12" t="s">
        <v>346</v>
      </c>
      <c r="G42" s="12" t="s">
        <v>347</v>
      </c>
      <c r="H42" s="13">
        <v>150</v>
      </c>
      <c r="I42" s="13"/>
      <c r="J42" s="13"/>
      <c r="K42" s="13"/>
      <c r="L42" s="13"/>
      <c r="M42" s="13"/>
      <c r="N42" s="12"/>
      <c r="O42" s="12"/>
      <c r="P42" s="13">
        <v>272</v>
      </c>
      <c r="Q42" s="12" t="s">
        <v>117</v>
      </c>
      <c r="R42" s="12" t="s">
        <v>348</v>
      </c>
      <c r="S42" s="14">
        <f t="shared" si="3"/>
        <v>150</v>
      </c>
      <c r="T42" s="12" t="str">
        <f t="shared" si="4"/>
        <v>SLDC</v>
      </c>
      <c r="U42" s="13">
        <f t="shared" si="5"/>
        <v>150</v>
      </c>
      <c r="V42" s="12" t="s">
        <v>238</v>
      </c>
      <c r="W42" s="15" t="s">
        <v>119</v>
      </c>
      <c r="X42" s="15" t="s">
        <v>349</v>
      </c>
      <c r="Y42" s="12" t="s">
        <v>350</v>
      </c>
      <c r="Z42" s="16" t="s">
        <v>19</v>
      </c>
    </row>
    <row r="43" spans="1:26" ht="36" x14ac:dyDescent="0.25">
      <c r="A43" s="12" t="s">
        <v>351</v>
      </c>
      <c r="B43" s="12" t="s">
        <v>242</v>
      </c>
      <c r="C43" s="12" t="s">
        <v>243</v>
      </c>
      <c r="D43" s="12" t="s">
        <v>352</v>
      </c>
      <c r="E43" s="12" t="s">
        <v>353</v>
      </c>
      <c r="F43" s="12" t="s">
        <v>236</v>
      </c>
      <c r="G43" s="12" t="s">
        <v>354</v>
      </c>
      <c r="H43" s="13"/>
      <c r="I43" s="13"/>
      <c r="J43" s="13"/>
      <c r="K43" s="13"/>
      <c r="L43" s="13"/>
      <c r="M43" s="13">
        <v>1500</v>
      </c>
      <c r="N43" s="12" t="s">
        <v>355</v>
      </c>
      <c r="O43" s="12" t="s">
        <v>133</v>
      </c>
      <c r="P43" s="13"/>
      <c r="Q43" s="12"/>
      <c r="R43" s="12"/>
      <c r="S43" s="14">
        <f t="shared" si="3"/>
        <v>1500</v>
      </c>
      <c r="T43" s="12" t="str">
        <f t="shared" si="4"/>
        <v>Other official</v>
      </c>
      <c r="U43" s="13">
        <f t="shared" si="5"/>
        <v>1500</v>
      </c>
      <c r="V43" s="12" t="s">
        <v>356</v>
      </c>
      <c r="W43" s="15" t="s">
        <v>248</v>
      </c>
      <c r="X43" s="12"/>
      <c r="Y43" s="12" t="s">
        <v>357</v>
      </c>
      <c r="Z43" s="16" t="s">
        <v>16</v>
      </c>
    </row>
    <row r="44" spans="1:26" ht="132" x14ac:dyDescent="0.25">
      <c r="A44" s="12" t="s">
        <v>358</v>
      </c>
      <c r="B44" s="12" t="s">
        <v>261</v>
      </c>
      <c r="C44" s="12" t="s">
        <v>359</v>
      </c>
      <c r="D44" s="12" t="s">
        <v>360</v>
      </c>
      <c r="E44" s="12" t="s">
        <v>361</v>
      </c>
      <c r="F44" s="12" t="s">
        <v>330</v>
      </c>
      <c r="G44" s="12" t="s">
        <v>362</v>
      </c>
      <c r="H44" s="13"/>
      <c r="I44" s="13"/>
      <c r="J44" s="13"/>
      <c r="K44" s="13"/>
      <c r="L44" s="13">
        <v>500</v>
      </c>
      <c r="M44" s="13"/>
      <c r="N44" s="12"/>
      <c r="O44" s="12"/>
      <c r="P44" s="13">
        <v>240</v>
      </c>
      <c r="Q44" s="12" t="s">
        <v>363</v>
      </c>
      <c r="R44" s="12"/>
      <c r="S44" s="14">
        <f t="shared" si="3"/>
        <v>500</v>
      </c>
      <c r="T44" s="12" t="str">
        <f t="shared" si="4"/>
        <v>CTUIL</v>
      </c>
      <c r="U44" s="13">
        <f t="shared" si="5"/>
        <v>500</v>
      </c>
      <c r="V44" s="12" t="s">
        <v>356</v>
      </c>
      <c r="W44" s="15" t="s">
        <v>267</v>
      </c>
      <c r="X44" s="15" t="s">
        <v>364</v>
      </c>
      <c r="Y44" s="12" t="s">
        <v>365</v>
      </c>
      <c r="Z44" s="16" t="s">
        <v>39</v>
      </c>
    </row>
    <row r="45" spans="1:26" ht="24" x14ac:dyDescent="0.25">
      <c r="A45" s="12" t="s">
        <v>366</v>
      </c>
      <c r="B45" s="12" t="s">
        <v>261</v>
      </c>
      <c r="C45" s="12" t="s">
        <v>367</v>
      </c>
      <c r="D45" s="12" t="s">
        <v>368</v>
      </c>
      <c r="E45" s="12" t="s">
        <v>369</v>
      </c>
      <c r="F45" s="12" t="s">
        <v>211</v>
      </c>
      <c r="G45" s="12" t="s">
        <v>370</v>
      </c>
      <c r="H45" s="13"/>
      <c r="I45" s="13"/>
      <c r="J45" s="13"/>
      <c r="K45" s="13"/>
      <c r="L45" s="13">
        <v>100</v>
      </c>
      <c r="M45" s="13"/>
      <c r="N45" s="12"/>
      <c r="O45" s="12"/>
      <c r="P45" s="13"/>
      <c r="Q45" s="12"/>
      <c r="R45" s="12"/>
      <c r="S45" s="14">
        <f t="shared" si="3"/>
        <v>100</v>
      </c>
      <c r="T45" s="12" t="str">
        <f t="shared" si="4"/>
        <v>CTUIL</v>
      </c>
      <c r="U45" s="13">
        <f t="shared" si="5"/>
        <v>100</v>
      </c>
      <c r="V45" s="12" t="s">
        <v>356</v>
      </c>
      <c r="W45" s="15" t="s">
        <v>267</v>
      </c>
      <c r="X45" s="12"/>
      <c r="Y45" s="12" t="s">
        <v>371</v>
      </c>
      <c r="Z45" s="16" t="s">
        <v>367</v>
      </c>
    </row>
    <row r="46" spans="1:26" ht="60" x14ac:dyDescent="0.25">
      <c r="A46" s="12" t="s">
        <v>372</v>
      </c>
      <c r="B46" s="12" t="s">
        <v>373</v>
      </c>
      <c r="C46" s="12" t="s">
        <v>28</v>
      </c>
      <c r="D46" s="12" t="s">
        <v>374</v>
      </c>
      <c r="E46" s="12" t="s">
        <v>375</v>
      </c>
      <c r="F46" s="12" t="s">
        <v>256</v>
      </c>
      <c r="G46" s="12"/>
      <c r="H46" s="13"/>
      <c r="I46" s="13"/>
      <c r="J46" s="13"/>
      <c r="K46" s="13"/>
      <c r="L46" s="13"/>
      <c r="M46" s="13"/>
      <c r="N46" s="12"/>
      <c r="O46" s="12"/>
      <c r="P46" s="13"/>
      <c r="Q46" s="12"/>
      <c r="R46" s="12" t="s">
        <v>376</v>
      </c>
      <c r="S46" s="14">
        <f t="shared" si="3"/>
        <v>0</v>
      </c>
      <c r="T46" s="12" t="str">
        <f t="shared" si="4"/>
        <v>No MW</v>
      </c>
      <c r="U46" s="13">
        <f t="shared" si="5"/>
        <v>0</v>
      </c>
      <c r="V46" s="12" t="s">
        <v>377</v>
      </c>
      <c r="W46" s="15" t="s">
        <v>378</v>
      </c>
      <c r="X46" s="12"/>
      <c r="Y46" s="12" t="s">
        <v>379</v>
      </c>
      <c r="Z46" s="16" t="s">
        <v>28</v>
      </c>
    </row>
    <row r="47" spans="1:26" ht="108" x14ac:dyDescent="0.25">
      <c r="A47" s="12" t="s">
        <v>56</v>
      </c>
      <c r="B47" s="12" t="s">
        <v>380</v>
      </c>
      <c r="C47" s="12" t="s">
        <v>55</v>
      </c>
      <c r="D47" s="12" t="s">
        <v>381</v>
      </c>
      <c r="E47" s="12" t="s">
        <v>382</v>
      </c>
      <c r="F47" s="12" t="s">
        <v>256</v>
      </c>
      <c r="G47" s="12"/>
      <c r="H47" s="13"/>
      <c r="I47" s="13"/>
      <c r="J47" s="13"/>
      <c r="K47" s="13"/>
      <c r="L47" s="13"/>
      <c r="M47" s="13">
        <v>113.9</v>
      </c>
      <c r="N47" s="12" t="s">
        <v>383</v>
      </c>
      <c r="O47" s="12" t="s">
        <v>133</v>
      </c>
      <c r="P47" s="13"/>
      <c r="Q47" s="12"/>
      <c r="R47" s="12" t="s">
        <v>384</v>
      </c>
      <c r="S47" s="14">
        <f t="shared" si="3"/>
        <v>113.9</v>
      </c>
      <c r="T47" s="12" t="str">
        <f t="shared" si="4"/>
        <v>Other official</v>
      </c>
      <c r="U47" s="13">
        <f t="shared" si="5"/>
        <v>113.9</v>
      </c>
      <c r="V47" s="12" t="s">
        <v>377</v>
      </c>
      <c r="W47" s="15" t="s">
        <v>385</v>
      </c>
      <c r="X47" s="15" t="s">
        <v>385</v>
      </c>
      <c r="Y47" s="12" t="s">
        <v>386</v>
      </c>
      <c r="Z47" s="16" t="s">
        <v>55</v>
      </c>
    </row>
    <row r="48" spans="1:26" ht="48" x14ac:dyDescent="0.25">
      <c r="A48" s="12" t="s">
        <v>387</v>
      </c>
      <c r="B48" s="12" t="s">
        <v>373</v>
      </c>
      <c r="C48" s="12" t="s">
        <v>388</v>
      </c>
      <c r="D48" s="12" t="s">
        <v>389</v>
      </c>
      <c r="E48" s="12" t="s">
        <v>390</v>
      </c>
      <c r="F48" s="12" t="s">
        <v>105</v>
      </c>
      <c r="G48" s="12"/>
      <c r="H48" s="13"/>
      <c r="I48" s="13"/>
      <c r="J48" s="13"/>
      <c r="K48" s="13"/>
      <c r="L48" s="13"/>
      <c r="M48" s="13"/>
      <c r="N48" s="12"/>
      <c r="O48" s="12"/>
      <c r="P48" s="13"/>
      <c r="Q48" s="12"/>
      <c r="R48" s="12" t="s">
        <v>391</v>
      </c>
      <c r="S48" s="14">
        <f t="shared" si="3"/>
        <v>0</v>
      </c>
      <c r="T48" s="12" t="str">
        <f t="shared" si="4"/>
        <v>No MW</v>
      </c>
      <c r="U48" s="13">
        <f t="shared" si="5"/>
        <v>0</v>
      </c>
      <c r="V48" s="12" t="s">
        <v>377</v>
      </c>
      <c r="W48" s="15" t="s">
        <v>392</v>
      </c>
      <c r="X48" s="12"/>
      <c r="Y48" s="12" t="s">
        <v>393</v>
      </c>
      <c r="Z48" s="16" t="s">
        <v>28</v>
      </c>
    </row>
    <row r="49" spans="1:26" ht="60" x14ac:dyDescent="0.25">
      <c r="A49" s="12" t="s">
        <v>394</v>
      </c>
      <c r="B49" s="12" t="s">
        <v>373</v>
      </c>
      <c r="C49" s="12" t="s">
        <v>395</v>
      </c>
      <c r="D49" s="12" t="s">
        <v>396</v>
      </c>
      <c r="E49" s="12" t="s">
        <v>397</v>
      </c>
      <c r="F49" s="12" t="s">
        <v>105</v>
      </c>
      <c r="G49" s="12"/>
      <c r="H49" s="13"/>
      <c r="I49" s="13"/>
      <c r="J49" s="13"/>
      <c r="K49" s="13"/>
      <c r="L49" s="13"/>
      <c r="M49" s="13"/>
      <c r="N49" s="12"/>
      <c r="O49" s="12"/>
      <c r="P49" s="13"/>
      <c r="Q49" s="12"/>
      <c r="R49" s="12" t="s">
        <v>398</v>
      </c>
      <c r="S49" s="14">
        <f t="shared" si="3"/>
        <v>0</v>
      </c>
      <c r="T49" s="12" t="str">
        <f t="shared" si="4"/>
        <v>No MW</v>
      </c>
      <c r="U49" s="13">
        <f t="shared" si="5"/>
        <v>0</v>
      </c>
      <c r="V49" s="12" t="s">
        <v>377</v>
      </c>
      <c r="W49" s="15" t="s">
        <v>399</v>
      </c>
      <c r="X49" s="12"/>
      <c r="Y49" s="12" t="s">
        <v>400</v>
      </c>
      <c r="Z49" s="16" t="s">
        <v>395</v>
      </c>
    </row>
    <row r="50" spans="1:26" ht="48" x14ac:dyDescent="0.25">
      <c r="A50" s="12" t="s">
        <v>401</v>
      </c>
      <c r="B50" s="12" t="s">
        <v>373</v>
      </c>
      <c r="C50" s="12" t="s">
        <v>402</v>
      </c>
      <c r="D50" s="12" t="s">
        <v>403</v>
      </c>
      <c r="E50" s="12" t="s">
        <v>404</v>
      </c>
      <c r="F50" s="12" t="s">
        <v>330</v>
      </c>
      <c r="G50" s="12"/>
      <c r="H50" s="13"/>
      <c r="I50" s="13"/>
      <c r="J50" s="13"/>
      <c r="K50" s="13"/>
      <c r="L50" s="13"/>
      <c r="M50" s="13"/>
      <c r="N50" s="12"/>
      <c r="O50" s="12"/>
      <c r="P50" s="13"/>
      <c r="Q50" s="12"/>
      <c r="R50" s="12" t="s">
        <v>405</v>
      </c>
      <c r="S50" s="14">
        <f t="shared" si="3"/>
        <v>0</v>
      </c>
      <c r="T50" s="12" t="str">
        <f t="shared" si="4"/>
        <v>No MW</v>
      </c>
      <c r="U50" s="13">
        <f t="shared" si="5"/>
        <v>0</v>
      </c>
      <c r="V50" s="12" t="s">
        <v>377</v>
      </c>
      <c r="W50" s="15" t="s">
        <v>406</v>
      </c>
      <c r="X50" s="12"/>
      <c r="Y50" s="12" t="s">
        <v>407</v>
      </c>
      <c r="Z50" s="16" t="s">
        <v>402</v>
      </c>
    </row>
    <row r="51" spans="1:26" ht="60" x14ac:dyDescent="0.25">
      <c r="A51" s="12" t="s">
        <v>408</v>
      </c>
      <c r="B51" s="12" t="s">
        <v>373</v>
      </c>
      <c r="C51" s="12" t="s">
        <v>61</v>
      </c>
      <c r="D51" s="12" t="s">
        <v>409</v>
      </c>
      <c r="E51" s="12" t="s">
        <v>410</v>
      </c>
      <c r="F51" s="12" t="s">
        <v>330</v>
      </c>
      <c r="G51" s="12"/>
      <c r="H51" s="13"/>
      <c r="I51" s="13"/>
      <c r="J51" s="13"/>
      <c r="K51" s="13"/>
      <c r="L51" s="13"/>
      <c r="M51" s="13"/>
      <c r="N51" s="12"/>
      <c r="O51" s="12"/>
      <c r="P51" s="13"/>
      <c r="Q51" s="12"/>
      <c r="R51" s="12" t="s">
        <v>411</v>
      </c>
      <c r="S51" s="14">
        <f t="shared" si="3"/>
        <v>0</v>
      </c>
      <c r="T51" s="12" t="str">
        <f t="shared" si="4"/>
        <v>No MW</v>
      </c>
      <c r="U51" s="13">
        <f t="shared" si="5"/>
        <v>0</v>
      </c>
      <c r="V51" s="12" t="s">
        <v>377</v>
      </c>
      <c r="W51" s="15" t="s">
        <v>412</v>
      </c>
      <c r="X51" s="12"/>
      <c r="Y51" s="12" t="s">
        <v>413</v>
      </c>
      <c r="Z51" s="16" t="s">
        <v>61</v>
      </c>
    </row>
    <row r="52" spans="1:26" ht="36" x14ac:dyDescent="0.25">
      <c r="A52" s="12" t="s">
        <v>48</v>
      </c>
      <c r="B52" s="12" t="s">
        <v>380</v>
      </c>
      <c r="C52" s="12" t="s">
        <v>46</v>
      </c>
      <c r="D52" s="12" t="s">
        <v>414</v>
      </c>
      <c r="E52" s="12" t="s">
        <v>415</v>
      </c>
      <c r="F52" s="12" t="s">
        <v>416</v>
      </c>
      <c r="G52" s="12"/>
      <c r="H52" s="13"/>
      <c r="I52" s="13"/>
      <c r="J52" s="13"/>
      <c r="K52" s="13"/>
      <c r="L52" s="13"/>
      <c r="M52" s="13">
        <v>200</v>
      </c>
      <c r="N52" s="12" t="s">
        <v>417</v>
      </c>
      <c r="O52" s="12" t="s">
        <v>133</v>
      </c>
      <c r="P52" s="13"/>
      <c r="Q52" s="12"/>
      <c r="R52" s="12"/>
      <c r="S52" s="14">
        <f t="shared" si="3"/>
        <v>200</v>
      </c>
      <c r="T52" s="12" t="str">
        <f t="shared" si="4"/>
        <v>Other official</v>
      </c>
      <c r="U52" s="13">
        <f t="shared" si="5"/>
        <v>200</v>
      </c>
      <c r="V52" s="12" t="s">
        <v>418</v>
      </c>
      <c r="W52" s="15" t="s">
        <v>419</v>
      </c>
      <c r="X52" s="12"/>
      <c r="Y52" s="12" t="s">
        <v>420</v>
      </c>
      <c r="Z52" s="16" t="s">
        <v>46</v>
      </c>
    </row>
    <row r="53" spans="1:26" ht="72" x14ac:dyDescent="0.25">
      <c r="A53" s="12" t="s">
        <v>36</v>
      </c>
      <c r="B53" s="12" t="s">
        <v>380</v>
      </c>
      <c r="C53" s="12" t="s">
        <v>34</v>
      </c>
      <c r="D53" s="12" t="s">
        <v>421</v>
      </c>
      <c r="E53" s="12" t="s">
        <v>422</v>
      </c>
      <c r="F53" s="12" t="s">
        <v>416</v>
      </c>
      <c r="G53" s="12"/>
      <c r="H53" s="13"/>
      <c r="I53" s="13"/>
      <c r="J53" s="13"/>
      <c r="K53" s="13"/>
      <c r="L53" s="13"/>
      <c r="M53" s="13">
        <v>500</v>
      </c>
      <c r="N53" s="12" t="s">
        <v>423</v>
      </c>
      <c r="O53" s="12" t="s">
        <v>424</v>
      </c>
      <c r="P53" s="13"/>
      <c r="Q53" s="12"/>
      <c r="R53" s="12"/>
      <c r="S53" s="14">
        <f t="shared" si="3"/>
        <v>500</v>
      </c>
      <c r="T53" s="12" t="str">
        <f t="shared" si="4"/>
        <v>Other official</v>
      </c>
      <c r="U53" s="13">
        <f t="shared" si="5"/>
        <v>500</v>
      </c>
      <c r="V53" s="12" t="s">
        <v>418</v>
      </c>
      <c r="W53" s="15" t="s">
        <v>425</v>
      </c>
      <c r="X53" s="12"/>
      <c r="Y53" s="12" t="s">
        <v>426</v>
      </c>
      <c r="Z53" s="16" t="s">
        <v>34</v>
      </c>
    </row>
    <row r="54" spans="1:26" ht="72" x14ac:dyDescent="0.25">
      <c r="A54" s="12" t="s">
        <v>427</v>
      </c>
      <c r="B54" s="12" t="s">
        <v>380</v>
      </c>
      <c r="C54" s="12" t="s">
        <v>12</v>
      </c>
      <c r="D54" s="12" t="s">
        <v>428</v>
      </c>
      <c r="E54" s="12" t="s">
        <v>429</v>
      </c>
      <c r="F54" s="12" t="s">
        <v>330</v>
      </c>
      <c r="G54" s="12"/>
      <c r="H54" s="13"/>
      <c r="I54" s="13"/>
      <c r="J54" s="13"/>
      <c r="K54" s="13"/>
      <c r="L54" s="13"/>
      <c r="M54" s="13">
        <v>3000</v>
      </c>
      <c r="N54" s="12" t="s">
        <v>430</v>
      </c>
      <c r="O54" s="12" t="s">
        <v>424</v>
      </c>
      <c r="P54" s="13"/>
      <c r="Q54" s="12"/>
      <c r="R54" s="12"/>
      <c r="S54" s="14">
        <f t="shared" si="3"/>
        <v>3000</v>
      </c>
      <c r="T54" s="12" t="str">
        <f t="shared" si="4"/>
        <v>Other official</v>
      </c>
      <c r="U54" s="13">
        <f t="shared" si="5"/>
        <v>3000</v>
      </c>
      <c r="V54" s="12" t="s">
        <v>418</v>
      </c>
      <c r="W54" s="15" t="s">
        <v>431</v>
      </c>
      <c r="X54" s="12"/>
      <c r="Y54" s="12" t="s">
        <v>432</v>
      </c>
      <c r="Z54" s="16" t="s">
        <v>12</v>
      </c>
    </row>
    <row r="55" spans="1:26" ht="72" x14ac:dyDescent="0.25">
      <c r="A55" s="12" t="s">
        <v>27</v>
      </c>
      <c r="B55" s="12" t="s">
        <v>380</v>
      </c>
      <c r="C55" s="12" t="s">
        <v>25</v>
      </c>
      <c r="D55" s="12" t="s">
        <v>433</v>
      </c>
      <c r="E55" s="12" t="s">
        <v>434</v>
      </c>
      <c r="F55" s="12" t="s">
        <v>330</v>
      </c>
      <c r="G55" s="12"/>
      <c r="H55" s="13"/>
      <c r="I55" s="13"/>
      <c r="J55" s="13"/>
      <c r="K55" s="13"/>
      <c r="L55" s="13"/>
      <c r="M55" s="13">
        <v>750</v>
      </c>
      <c r="N55" s="12" t="s">
        <v>435</v>
      </c>
      <c r="O55" s="12" t="s">
        <v>424</v>
      </c>
      <c r="P55" s="13"/>
      <c r="Q55" s="12"/>
      <c r="R55" s="12"/>
      <c r="S55" s="14">
        <f t="shared" si="3"/>
        <v>750</v>
      </c>
      <c r="T55" s="12" t="str">
        <f t="shared" si="4"/>
        <v>Other official</v>
      </c>
      <c r="U55" s="13">
        <f t="shared" si="5"/>
        <v>750</v>
      </c>
      <c r="V55" s="12" t="s">
        <v>418</v>
      </c>
      <c r="W55" s="15" t="s">
        <v>436</v>
      </c>
      <c r="X55" s="12"/>
      <c r="Y55" s="12" t="s">
        <v>437</v>
      </c>
      <c r="Z55" s="16" t="s">
        <v>25</v>
      </c>
    </row>
    <row r="56" spans="1:26" ht="48" x14ac:dyDescent="0.25">
      <c r="A56" s="12" t="s">
        <v>438</v>
      </c>
      <c r="B56" s="12" t="s">
        <v>380</v>
      </c>
      <c r="C56" s="12" t="s">
        <v>439</v>
      </c>
      <c r="D56" s="12" t="s">
        <v>440</v>
      </c>
      <c r="E56" s="12" t="s">
        <v>441</v>
      </c>
      <c r="F56" s="12" t="s">
        <v>105</v>
      </c>
      <c r="G56" s="12"/>
      <c r="H56" s="13"/>
      <c r="I56" s="13"/>
      <c r="J56" s="13"/>
      <c r="K56" s="13"/>
      <c r="L56" s="13"/>
      <c r="M56" s="13"/>
      <c r="N56" s="12"/>
      <c r="O56" s="12"/>
      <c r="P56" s="13">
        <v>5.5</v>
      </c>
      <c r="Q56" s="12" t="s">
        <v>442</v>
      </c>
      <c r="R56" s="12"/>
      <c r="S56" s="14">
        <f t="shared" si="3"/>
        <v>0</v>
      </c>
      <c r="T56" s="12" t="str">
        <f t="shared" si="4"/>
        <v>Unverified</v>
      </c>
      <c r="U56" s="13">
        <f t="shared" si="5"/>
        <v>5.5</v>
      </c>
      <c r="V56" s="12" t="s">
        <v>443</v>
      </c>
      <c r="W56" s="15" t="s">
        <v>444</v>
      </c>
      <c r="X56" s="12"/>
      <c r="Y56" s="12" t="s">
        <v>445</v>
      </c>
      <c r="Z56" s="16" t="s">
        <v>439</v>
      </c>
    </row>
    <row r="57" spans="1:26" ht="48" x14ac:dyDescent="0.25">
      <c r="A57" s="12" t="s">
        <v>446</v>
      </c>
      <c r="B57" s="12" t="s">
        <v>380</v>
      </c>
      <c r="C57" s="12" t="s">
        <v>447</v>
      </c>
      <c r="D57" s="12" t="s">
        <v>447</v>
      </c>
      <c r="E57" s="12" t="s">
        <v>448</v>
      </c>
      <c r="F57" s="12" t="s">
        <v>105</v>
      </c>
      <c r="G57" s="12"/>
      <c r="H57" s="13"/>
      <c r="I57" s="13"/>
      <c r="J57" s="13"/>
      <c r="K57" s="13"/>
      <c r="L57" s="13"/>
      <c r="M57" s="13"/>
      <c r="N57" s="12"/>
      <c r="O57" s="12"/>
      <c r="P57" s="13">
        <v>60</v>
      </c>
      <c r="Q57" s="12" t="s">
        <v>449</v>
      </c>
      <c r="R57" s="12"/>
      <c r="S57" s="14">
        <f t="shared" si="3"/>
        <v>0</v>
      </c>
      <c r="T57" s="12" t="str">
        <f t="shared" si="4"/>
        <v>Unverified</v>
      </c>
      <c r="U57" s="13">
        <f t="shared" si="5"/>
        <v>60</v>
      </c>
      <c r="V57" s="12" t="s">
        <v>443</v>
      </c>
      <c r="W57" s="15" t="s">
        <v>450</v>
      </c>
      <c r="X57" s="12"/>
      <c r="Y57" s="12"/>
      <c r="Z57" s="16" t="s">
        <v>447</v>
      </c>
    </row>
    <row r="58" spans="1:26" ht="96" x14ac:dyDescent="0.25">
      <c r="A58" s="12" t="s">
        <v>451</v>
      </c>
      <c r="B58" s="12" t="s">
        <v>380</v>
      </c>
      <c r="C58" s="12" t="s">
        <v>452</v>
      </c>
      <c r="D58" s="12" t="s">
        <v>453</v>
      </c>
      <c r="E58" s="12" t="s">
        <v>454</v>
      </c>
      <c r="F58" s="12" t="s">
        <v>105</v>
      </c>
      <c r="G58" s="12"/>
      <c r="H58" s="13"/>
      <c r="I58" s="13"/>
      <c r="J58" s="13"/>
      <c r="K58" s="13"/>
      <c r="L58" s="13"/>
      <c r="M58" s="13"/>
      <c r="N58" s="12"/>
      <c r="O58" s="12"/>
      <c r="P58" s="13">
        <v>100</v>
      </c>
      <c r="Q58" s="12" t="s">
        <v>455</v>
      </c>
      <c r="R58" s="12" t="s">
        <v>456</v>
      </c>
      <c r="S58" s="14">
        <f t="shared" si="3"/>
        <v>0</v>
      </c>
      <c r="T58" s="12" t="str">
        <f t="shared" si="4"/>
        <v>Unverified</v>
      </c>
      <c r="U58" s="13">
        <f t="shared" si="5"/>
        <v>100</v>
      </c>
      <c r="V58" s="12" t="s">
        <v>443</v>
      </c>
      <c r="W58" s="15" t="s">
        <v>457</v>
      </c>
      <c r="X58" s="15" t="s">
        <v>458</v>
      </c>
      <c r="Y58" s="12" t="s">
        <v>459</v>
      </c>
      <c r="Z58" s="16" t="s">
        <v>402</v>
      </c>
    </row>
    <row r="59" spans="1:26" ht="96" x14ac:dyDescent="0.25">
      <c r="A59" s="12" t="s">
        <v>460</v>
      </c>
      <c r="B59" s="12" t="s">
        <v>380</v>
      </c>
      <c r="C59" s="12" t="s">
        <v>461</v>
      </c>
      <c r="D59" s="12" t="s">
        <v>462</v>
      </c>
      <c r="E59" s="12" t="s">
        <v>463</v>
      </c>
      <c r="F59" s="12" t="s">
        <v>105</v>
      </c>
      <c r="G59" s="12"/>
      <c r="H59" s="13"/>
      <c r="I59" s="13"/>
      <c r="J59" s="13"/>
      <c r="K59" s="13"/>
      <c r="L59" s="13"/>
      <c r="M59" s="13"/>
      <c r="N59" s="12"/>
      <c r="O59" s="12"/>
      <c r="P59" s="13">
        <v>270</v>
      </c>
      <c r="Q59" s="12" t="s">
        <v>464</v>
      </c>
      <c r="R59" s="12" t="s">
        <v>465</v>
      </c>
      <c r="S59" s="14">
        <f t="shared" si="3"/>
        <v>0</v>
      </c>
      <c r="T59" s="12" t="str">
        <f t="shared" si="4"/>
        <v>Unverified</v>
      </c>
      <c r="U59" s="13">
        <f t="shared" si="5"/>
        <v>270</v>
      </c>
      <c r="V59" s="12" t="s">
        <v>443</v>
      </c>
      <c r="W59" s="15" t="s">
        <v>466</v>
      </c>
      <c r="X59" s="15" t="s">
        <v>467</v>
      </c>
      <c r="Y59" s="12" t="s">
        <v>468</v>
      </c>
      <c r="Z59" s="16" t="s">
        <v>461</v>
      </c>
    </row>
    <row r="60" spans="1:26" ht="36" x14ac:dyDescent="0.25">
      <c r="A60" s="12" t="s">
        <v>469</v>
      </c>
      <c r="B60" s="12" t="s">
        <v>380</v>
      </c>
      <c r="C60" s="12" t="s">
        <v>470</v>
      </c>
      <c r="D60" s="12" t="s">
        <v>471</v>
      </c>
      <c r="E60" s="12" t="s">
        <v>472</v>
      </c>
      <c r="F60" s="12" t="s">
        <v>105</v>
      </c>
      <c r="G60" s="12"/>
      <c r="H60" s="13"/>
      <c r="I60" s="13"/>
      <c r="J60" s="13"/>
      <c r="K60" s="13"/>
      <c r="L60" s="13"/>
      <c r="M60" s="13"/>
      <c r="N60" s="12"/>
      <c r="O60" s="12"/>
      <c r="P60" s="13">
        <v>240</v>
      </c>
      <c r="Q60" s="12" t="s">
        <v>473</v>
      </c>
      <c r="R60" s="12"/>
      <c r="S60" s="14">
        <f t="shared" si="3"/>
        <v>0</v>
      </c>
      <c r="T60" s="12" t="str">
        <f t="shared" si="4"/>
        <v>Unverified</v>
      </c>
      <c r="U60" s="13">
        <f t="shared" si="5"/>
        <v>240</v>
      </c>
      <c r="V60" s="12" t="s">
        <v>443</v>
      </c>
      <c r="W60" s="15" t="s">
        <v>474</v>
      </c>
      <c r="X60" s="12"/>
      <c r="Y60" s="12" t="s">
        <v>475</v>
      </c>
      <c r="Z60" s="16" t="s">
        <v>470</v>
      </c>
    </row>
    <row r="61" spans="1:26" ht="60" x14ac:dyDescent="0.25">
      <c r="A61" s="12" t="s">
        <v>476</v>
      </c>
      <c r="B61" s="12" t="s">
        <v>380</v>
      </c>
      <c r="C61" s="12" t="s">
        <v>477</v>
      </c>
      <c r="D61" s="12" t="s">
        <v>478</v>
      </c>
      <c r="E61" s="12" t="s">
        <v>479</v>
      </c>
      <c r="F61" s="12" t="s">
        <v>211</v>
      </c>
      <c r="G61" s="12"/>
      <c r="H61" s="13"/>
      <c r="I61" s="13"/>
      <c r="J61" s="13"/>
      <c r="K61" s="13"/>
      <c r="L61" s="13"/>
      <c r="M61" s="13"/>
      <c r="N61" s="12"/>
      <c r="O61" s="12"/>
      <c r="P61" s="13">
        <v>60</v>
      </c>
      <c r="Q61" s="12" t="s">
        <v>480</v>
      </c>
      <c r="R61" s="12"/>
      <c r="S61" s="14">
        <f t="shared" si="3"/>
        <v>0</v>
      </c>
      <c r="T61" s="12" t="str">
        <f t="shared" si="4"/>
        <v>Unverified</v>
      </c>
      <c r="U61" s="13">
        <f t="shared" si="5"/>
        <v>60</v>
      </c>
      <c r="V61" s="12" t="s">
        <v>443</v>
      </c>
      <c r="W61" s="15" t="s">
        <v>481</v>
      </c>
      <c r="X61" s="12"/>
      <c r="Y61" s="12" t="s">
        <v>482</v>
      </c>
      <c r="Z61" s="16" t="s">
        <v>477</v>
      </c>
    </row>
    <row r="63" spans="1:26" x14ac:dyDescent="0.25">
      <c r="A63" s="9" t="s">
        <v>483</v>
      </c>
    </row>
  </sheetData>
  <autoFilter ref="A4:Z61" xr:uid="{00000000-0009-0000-0000-000001000000}"/>
  <mergeCells count="1">
    <mergeCell ref="A2:Y2"/>
  </mergeCells>
  <hyperlinks>
    <hyperlink ref="W5" r:id="rId1" xr:uid="{00000000-0004-0000-0100-000000000000}"/>
    <hyperlink ref="X5" r:id="rId2" xr:uid="{00000000-0004-0000-0100-000001000000}"/>
    <hyperlink ref="W6" r:id="rId3" xr:uid="{00000000-0004-0000-0100-000002000000}"/>
    <hyperlink ref="X6" r:id="rId4" xr:uid="{00000000-0004-0000-0100-000003000000}"/>
    <hyperlink ref="W7" r:id="rId5" xr:uid="{00000000-0004-0000-0100-000004000000}"/>
    <hyperlink ref="X7" r:id="rId6" xr:uid="{00000000-0004-0000-0100-000005000000}"/>
    <hyperlink ref="W8" r:id="rId7" xr:uid="{00000000-0004-0000-0100-000006000000}"/>
    <hyperlink ref="X8" r:id="rId8" xr:uid="{00000000-0004-0000-0100-000007000000}"/>
    <hyperlink ref="W9" r:id="rId9" xr:uid="{00000000-0004-0000-0100-000008000000}"/>
    <hyperlink ref="X9" r:id="rId10" xr:uid="{00000000-0004-0000-0100-000009000000}"/>
    <hyperlink ref="W10" r:id="rId11" xr:uid="{00000000-0004-0000-0100-00000A000000}"/>
    <hyperlink ref="X10" r:id="rId12" xr:uid="{00000000-0004-0000-0100-00000B000000}"/>
    <hyperlink ref="W11" r:id="rId13" xr:uid="{00000000-0004-0000-0100-00000C000000}"/>
    <hyperlink ref="X11" r:id="rId14" xr:uid="{00000000-0004-0000-0100-00000D000000}"/>
    <hyperlink ref="W12" r:id="rId15" xr:uid="{00000000-0004-0000-0100-00000E000000}"/>
    <hyperlink ref="X12" r:id="rId16" xr:uid="{00000000-0004-0000-0100-00000F000000}"/>
    <hyperlink ref="W13" r:id="rId17" xr:uid="{00000000-0004-0000-0100-000010000000}"/>
    <hyperlink ref="X13" r:id="rId18" xr:uid="{00000000-0004-0000-0100-000011000000}"/>
    <hyperlink ref="W14" r:id="rId19" xr:uid="{00000000-0004-0000-0100-000012000000}"/>
    <hyperlink ref="W15" r:id="rId20" xr:uid="{00000000-0004-0000-0100-000013000000}"/>
    <hyperlink ref="X15" r:id="rId21" xr:uid="{00000000-0004-0000-0100-000014000000}"/>
    <hyperlink ref="W16" r:id="rId22" xr:uid="{00000000-0004-0000-0100-000015000000}"/>
    <hyperlink ref="W17" r:id="rId23" xr:uid="{00000000-0004-0000-0100-000016000000}"/>
    <hyperlink ref="X17" r:id="rId24" xr:uid="{00000000-0004-0000-0100-000017000000}"/>
    <hyperlink ref="W18" r:id="rId25" xr:uid="{00000000-0004-0000-0100-000018000000}"/>
    <hyperlink ref="X18" r:id="rId26" xr:uid="{00000000-0004-0000-0100-000019000000}"/>
    <hyperlink ref="W19" r:id="rId27" xr:uid="{00000000-0004-0000-0100-00001A000000}"/>
    <hyperlink ref="W20" r:id="rId28" xr:uid="{00000000-0004-0000-0100-00001B000000}"/>
    <hyperlink ref="X20" r:id="rId29" xr:uid="{00000000-0004-0000-0100-00001C000000}"/>
    <hyperlink ref="W21" r:id="rId30" xr:uid="{00000000-0004-0000-0100-00001D000000}"/>
    <hyperlink ref="W22" r:id="rId31" xr:uid="{00000000-0004-0000-0100-00001E000000}"/>
    <hyperlink ref="X22" r:id="rId32" xr:uid="{00000000-0004-0000-0100-00001F000000}"/>
    <hyperlink ref="W23" r:id="rId33" xr:uid="{00000000-0004-0000-0100-000020000000}"/>
    <hyperlink ref="W24" r:id="rId34" xr:uid="{00000000-0004-0000-0100-000021000000}"/>
    <hyperlink ref="W25" r:id="rId35" xr:uid="{00000000-0004-0000-0100-000022000000}"/>
    <hyperlink ref="W26" r:id="rId36" xr:uid="{00000000-0004-0000-0100-000023000000}"/>
    <hyperlink ref="W27" r:id="rId37" xr:uid="{00000000-0004-0000-0100-000024000000}"/>
    <hyperlink ref="X27" r:id="rId38" xr:uid="{00000000-0004-0000-0100-000025000000}"/>
    <hyperlink ref="W28" r:id="rId39" xr:uid="{00000000-0004-0000-0100-000026000000}"/>
    <hyperlink ref="X28" r:id="rId40" xr:uid="{00000000-0004-0000-0100-000027000000}"/>
    <hyperlink ref="W29" r:id="rId41" xr:uid="{00000000-0004-0000-0100-000028000000}"/>
    <hyperlink ref="W30" r:id="rId42" xr:uid="{00000000-0004-0000-0100-000029000000}"/>
    <hyperlink ref="X30" r:id="rId43" xr:uid="{00000000-0004-0000-0100-00002A000000}"/>
    <hyperlink ref="W31" r:id="rId44" xr:uid="{00000000-0004-0000-0100-00002B000000}"/>
    <hyperlink ref="W32" r:id="rId45" xr:uid="{00000000-0004-0000-0100-00002C000000}"/>
    <hyperlink ref="W33" r:id="rId46" xr:uid="{00000000-0004-0000-0100-00002D000000}"/>
    <hyperlink ref="X33" r:id="rId47" xr:uid="{00000000-0004-0000-0100-00002E000000}"/>
    <hyperlink ref="W34" r:id="rId48" xr:uid="{00000000-0004-0000-0100-00002F000000}"/>
    <hyperlink ref="X34" r:id="rId49" xr:uid="{00000000-0004-0000-0100-000030000000}"/>
    <hyperlink ref="W35" r:id="rId50" xr:uid="{00000000-0004-0000-0100-000031000000}"/>
    <hyperlink ref="X35" r:id="rId51" xr:uid="{00000000-0004-0000-0100-000032000000}"/>
    <hyperlink ref="W36" r:id="rId52" xr:uid="{00000000-0004-0000-0100-000033000000}"/>
    <hyperlink ref="X36" r:id="rId53" xr:uid="{00000000-0004-0000-0100-000034000000}"/>
    <hyperlink ref="W37" r:id="rId54" xr:uid="{00000000-0004-0000-0100-000035000000}"/>
    <hyperlink ref="W38" r:id="rId55" xr:uid="{00000000-0004-0000-0100-000036000000}"/>
    <hyperlink ref="W39" r:id="rId56" xr:uid="{00000000-0004-0000-0100-000037000000}"/>
    <hyperlink ref="W40" r:id="rId57" xr:uid="{00000000-0004-0000-0100-000038000000}"/>
    <hyperlink ref="X40" r:id="rId58" xr:uid="{00000000-0004-0000-0100-000039000000}"/>
    <hyperlink ref="W41" r:id="rId59" xr:uid="{00000000-0004-0000-0100-00003A000000}"/>
    <hyperlink ref="X41" r:id="rId60" xr:uid="{00000000-0004-0000-0100-00003B000000}"/>
    <hyperlink ref="W42" r:id="rId61" xr:uid="{00000000-0004-0000-0100-00003C000000}"/>
    <hyperlink ref="X42" r:id="rId62" xr:uid="{00000000-0004-0000-0100-00003D000000}"/>
    <hyperlink ref="W43" r:id="rId63" xr:uid="{00000000-0004-0000-0100-00003E000000}"/>
    <hyperlink ref="W44" r:id="rId64" xr:uid="{00000000-0004-0000-0100-00003F000000}"/>
    <hyperlink ref="X44" r:id="rId65" xr:uid="{00000000-0004-0000-0100-000040000000}"/>
    <hyperlink ref="W45" r:id="rId66" xr:uid="{00000000-0004-0000-0100-000041000000}"/>
    <hyperlink ref="W46" r:id="rId67" xr:uid="{00000000-0004-0000-0100-000042000000}"/>
    <hyperlink ref="W47" r:id="rId68" xr:uid="{00000000-0004-0000-0100-000043000000}"/>
    <hyperlink ref="X47" r:id="rId69" xr:uid="{00000000-0004-0000-0100-000044000000}"/>
    <hyperlink ref="W48" r:id="rId70" xr:uid="{00000000-0004-0000-0100-000045000000}"/>
    <hyperlink ref="W49" r:id="rId71" xr:uid="{00000000-0004-0000-0100-000046000000}"/>
    <hyperlink ref="W50" r:id="rId72" xr:uid="{00000000-0004-0000-0100-000047000000}"/>
    <hyperlink ref="W51" r:id="rId73" xr:uid="{00000000-0004-0000-0100-000048000000}"/>
    <hyperlink ref="W52" r:id="rId74" xr:uid="{00000000-0004-0000-0100-000049000000}"/>
    <hyperlink ref="W53" r:id="rId75" xr:uid="{00000000-0004-0000-0100-00004A000000}"/>
    <hyperlink ref="W54" r:id="rId76" xr:uid="{00000000-0004-0000-0100-00004B000000}"/>
    <hyperlink ref="W55" r:id="rId77" xr:uid="{00000000-0004-0000-0100-00004C000000}"/>
    <hyperlink ref="W56" r:id="rId78" xr:uid="{00000000-0004-0000-0100-00004D000000}"/>
    <hyperlink ref="W57" r:id="rId79" xr:uid="{00000000-0004-0000-0100-00004E000000}"/>
    <hyperlink ref="W58" r:id="rId80" xr:uid="{00000000-0004-0000-0100-00004F000000}"/>
    <hyperlink ref="X58" r:id="rId81" xr:uid="{00000000-0004-0000-0100-000050000000}"/>
    <hyperlink ref="W59" r:id="rId82" xr:uid="{00000000-0004-0000-0100-000051000000}"/>
    <hyperlink ref="X59" r:id="rId83" xr:uid="{00000000-0004-0000-0100-000052000000}"/>
    <hyperlink ref="W60" r:id="rId84" xr:uid="{00000000-0004-0000-0100-000053000000}"/>
    <hyperlink ref="W61" r:id="rId85" xr:uid="{00000000-0004-0000-0100-000054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Chart_Data</vt:lpstr>
      <vt:lpstr>MH_Master_List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206_Harsh Misra</cp:lastModifiedBy>
  <dcterms:created xsi:type="dcterms:W3CDTF">2026-10-22T07:08:58Z</dcterms:created>
  <dcterms:modified xsi:type="dcterms:W3CDTF">2026-10-22T07:09:47Z</dcterms:modified>
</cp:coreProperties>
</file>